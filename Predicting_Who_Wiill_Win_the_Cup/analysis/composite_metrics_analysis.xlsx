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Temp_Projects\NL_93_Predicting_the_Playoffs\Demos\PWP\"/>
    </mc:Choice>
  </mc:AlternateContent>
  <xr:revisionPtr revIDLastSave="0" documentId="13_ncr:1_{9DD2D699-9527-4409-86EF-B80FF4E26F95}" xr6:coauthVersionLast="47" xr6:coauthVersionMax="47" xr10:uidLastSave="{00000000-0000-0000-0000-000000000000}"/>
  <bookViews>
    <workbookView xWindow="-110" yWindow="-110" windowWidth="19420" windowHeight="11500" firstSheet="2" activeTab="6" xr2:uid="{B42D2AD1-85F8-4C54-894B-4522DAAD48BD}"/>
  </bookViews>
  <sheets>
    <sheet name="updated_stats" sheetId="11" r:id="rId1"/>
    <sheet name="avalanche" sheetId="2" r:id="rId2"/>
    <sheet name="golden_knights" sheetId="3" r:id="rId3"/>
    <sheet name="panthers" sheetId="4" r:id="rId4"/>
    <sheet name="2024_2025" sheetId="13" r:id="rId5"/>
    <sheet name="stanley_cup_winners" sheetId="9" r:id="rId6"/>
    <sheet name="new_bracket" sheetId="14" r:id="rId7"/>
    <sheet name="gfpg_analysis" sheetId="15" r:id="rId8"/>
    <sheet name="---" sheetId="12" r:id="rId9"/>
    <sheet name="old_stats_data" sheetId="1" r:id="rId10"/>
    <sheet name="old_2024_2025" sheetId="5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4" l="1"/>
  <c r="S2" i="14"/>
  <c r="P5" i="14"/>
  <c r="P4" i="14"/>
  <c r="P3" i="14"/>
  <c r="P2" i="14"/>
  <c r="M9" i="14"/>
  <c r="M8" i="14"/>
  <c r="M7" i="14"/>
  <c r="M6" i="14"/>
  <c r="M5" i="14"/>
  <c r="M4" i="14"/>
  <c r="M3" i="14"/>
  <c r="M2" i="14"/>
  <c r="D2" i="15"/>
  <c r="D3" i="15"/>
  <c r="D4" i="15"/>
  <c r="D5" i="15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3" i="14"/>
  <c r="J2" i="14"/>
  <c r="L2" i="13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7" i="4"/>
  <c r="L66" i="4"/>
  <c r="L68" i="4"/>
  <c r="L70" i="4"/>
  <c r="L69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</calcChain>
</file>

<file path=xl/sharedStrings.xml><?xml version="1.0" encoding="utf-8"?>
<sst xmlns="http://schemas.openxmlformats.org/spreadsheetml/2006/main" count="2234" uniqueCount="85">
  <si>
    <t>SEASON</t>
  </si>
  <si>
    <t>RANK</t>
  </si>
  <si>
    <t>TEAM</t>
  </si>
  <si>
    <t>GFPG</t>
  </si>
  <si>
    <t>WIN_PROB</t>
  </si>
  <si>
    <t>PUCK_POSSESSION</t>
  </si>
  <si>
    <t>GOALTENDING</t>
  </si>
  <si>
    <t>OFFENSE</t>
  </si>
  <si>
    <t>DEFENSE</t>
  </si>
  <si>
    <t>SPEC_TEAMS</t>
  </si>
  <si>
    <t>PHYSICALITY</t>
  </si>
  <si>
    <t>STANLEY_CUP_WINNER</t>
  </si>
  <si>
    <t>2021_2022</t>
  </si>
  <si>
    <t>Florida Panthers</t>
  </si>
  <si>
    <t>Colorado Avalanche</t>
  </si>
  <si>
    <t>Carolina Hurricanes</t>
  </si>
  <si>
    <t>Toronto Maple Leafs</t>
  </si>
  <si>
    <t>Minnesota Wild</t>
  </si>
  <si>
    <t>Calgary Flames</t>
  </si>
  <si>
    <t>Tampa Bay Lightning</t>
  </si>
  <si>
    <t>New York Rangers</t>
  </si>
  <si>
    <t>St. Louis Blues</t>
  </si>
  <si>
    <t>Boston Bruins</t>
  </si>
  <si>
    <t>Edmonton Oilers</t>
  </si>
  <si>
    <t>Pittsburgh Penguins</t>
  </si>
  <si>
    <t>Washington Capitals</t>
  </si>
  <si>
    <t>Los Angeles Kings</t>
  </si>
  <si>
    <t>Dallas Stars</t>
  </si>
  <si>
    <t>Nashville Predators</t>
  </si>
  <si>
    <t>Vegas Golden Knights</t>
  </si>
  <si>
    <t>Vancouver Canucks</t>
  </si>
  <si>
    <t>Winnipeg Jets</t>
  </si>
  <si>
    <t>New York Islanders</t>
  </si>
  <si>
    <t>Columbus Blue Jackets</t>
  </si>
  <si>
    <t>San Jose Sharks</t>
  </si>
  <si>
    <t>Anaheim Ducks</t>
  </si>
  <si>
    <t>Buffalo Sabres</t>
  </si>
  <si>
    <t>Detroit Red Wings</t>
  </si>
  <si>
    <t>Ottawa Senators</t>
  </si>
  <si>
    <t>Chicago Blackhawks</t>
  </si>
  <si>
    <t>New Jersey Devils</t>
  </si>
  <si>
    <t>Philadelphia Flyers</t>
  </si>
  <si>
    <t>Seattle Kraken</t>
  </si>
  <si>
    <t>Arizona Coyotes</t>
  </si>
  <si>
    <t>Montreal Canadiens</t>
  </si>
  <si>
    <t>2022_2023</t>
  </si>
  <si>
    <t>2023_2024</t>
  </si>
  <si>
    <t>2024_2025</t>
  </si>
  <si>
    <t>Utah Hockey Club</t>
  </si>
  <si>
    <t>PLAYOFF_SCORE</t>
  </si>
  <si>
    <t>CONFERENCE</t>
  </si>
  <si>
    <t>D</t>
  </si>
  <si>
    <t>ROUND_ONE</t>
  </si>
  <si>
    <t>GPG</t>
  </si>
  <si>
    <t>RESULT_R1</t>
  </si>
  <si>
    <t>ROUND_TWO</t>
  </si>
  <si>
    <t>GPG2</t>
  </si>
  <si>
    <t>RESULT_R2</t>
  </si>
  <si>
    <t>ROUND_THREE</t>
  </si>
  <si>
    <t>GPG3</t>
  </si>
  <si>
    <t>RESULT_R3</t>
  </si>
  <si>
    <t>FINAL</t>
  </si>
  <si>
    <t>GPG4</t>
  </si>
  <si>
    <t>RESULT_F</t>
  </si>
  <si>
    <t>EASTERN</t>
  </si>
  <si>
    <t>TOR</t>
  </si>
  <si>
    <t>WPG</t>
  </si>
  <si>
    <t>OTT</t>
  </si>
  <si>
    <t>TBL</t>
  </si>
  <si>
    <t>VGK</t>
  </si>
  <si>
    <t>WSH</t>
  </si>
  <si>
    <t>FLA</t>
  </si>
  <si>
    <t>CAR</t>
  </si>
  <si>
    <t>MTL</t>
  </si>
  <si>
    <t>DAL</t>
  </si>
  <si>
    <t>NJD</t>
  </si>
  <si>
    <t>EDM</t>
  </si>
  <si>
    <t>WESTERN</t>
  </si>
  <si>
    <t>STL</t>
  </si>
  <si>
    <t>COL</t>
  </si>
  <si>
    <t>MIN</t>
  </si>
  <si>
    <t>LAK</t>
  </si>
  <si>
    <t>REGULAR_SEASON</t>
  </si>
  <si>
    <t>PLAYOFF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</si>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</sst>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2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2" fontId="0" fillId="0" borderId="0" xfId="0" applyNumberFormat="1"/>
    <xf numFmtId="165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10" xfId="0" applyBorder="1"/>
    <xf numFmtId="0" fontId="0" fillId="0" borderId="10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13" fillId="33" borderId="0" xfId="0" applyFont="1" applyFill="1" applyAlignment="1">
      <alignment horizontal="center"/>
    </xf>
    <xf numFmtId="0" fontId="13" fillId="33" borderId="0" xfId="0" applyFont="1" applyFill="1"/>
    <xf numFmtId="164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4" fontId="16" fillId="0" borderId="11" xfId="0" applyNumberFormat="1" applyFont="1" applyBorder="1" applyAlignment="1">
      <alignment horizontal="center"/>
    </xf>
    <xf numFmtId="164" fontId="16" fillId="0" borderId="13" xfId="0" applyNumberFormat="1" applyFont="1" applyBorder="1" applyAlignment="1">
      <alignment horizontal="center"/>
    </xf>
    <xf numFmtId="166" fontId="0" fillId="0" borderId="0" xfId="42" applyNumberFormat="1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1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81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numFmt numFmtId="165" formatCode="0.00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top style="thin">
          <color theme="1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164" formatCode="0.00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gfpg_analysis!$B$1</c:f>
              <c:strCache>
                <c:ptCount val="1"/>
                <c:pt idx="0">
                  <c:v>REGULAR_SEASON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gfpg_analysis!$A$2:$A$4</c:f>
              <c:strCache>
                <c:ptCount val="3"/>
                <c:pt idx="0">
                  <c:v>2021_2022</c:v>
                </c:pt>
                <c:pt idx="1">
                  <c:v>2022_2023</c:v>
                </c:pt>
                <c:pt idx="2">
                  <c:v>2023_2024</c:v>
                </c:pt>
              </c:strCache>
            </c:strRef>
          </c:cat>
          <c:val>
            <c:numRef>
              <c:f>gfpg_analysis!$B$2:$B$4</c:f>
              <c:numCache>
                <c:formatCode>General</c:formatCode>
                <c:ptCount val="3"/>
                <c:pt idx="0">
                  <c:v>3.11</c:v>
                </c:pt>
                <c:pt idx="1">
                  <c:v>3.14</c:v>
                </c:pt>
                <c:pt idx="2">
                  <c:v>3.08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B-4F9F-9462-C5ED978A69D9}"/>
            </c:ext>
          </c:extLst>
        </c:ser>
        <c:ser>
          <c:idx val="1"/>
          <c:order val="1"/>
          <c:tx>
            <c:strRef>
              <c:f>gfpg_analysis!$C$1</c:f>
              <c:strCache>
                <c:ptCount val="1"/>
                <c:pt idx="0">
                  <c:v>PLAYOFF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gfpg_analysis!$A$2:$A$4</c:f>
              <c:strCache>
                <c:ptCount val="3"/>
                <c:pt idx="0">
                  <c:v>2021_2022</c:v>
                </c:pt>
                <c:pt idx="1">
                  <c:v>2022_2023</c:v>
                </c:pt>
                <c:pt idx="2">
                  <c:v>2023_2024</c:v>
                </c:pt>
              </c:strCache>
            </c:strRef>
          </c:cat>
          <c:val>
            <c:numRef>
              <c:f>gfpg_analysis!$C$2:$C$4</c:f>
              <c:numCache>
                <c:formatCode>General</c:formatCode>
                <c:ptCount val="3"/>
                <c:pt idx="0">
                  <c:v>2.69</c:v>
                </c:pt>
                <c:pt idx="1">
                  <c:v>3.06</c:v>
                </c:pt>
                <c:pt idx="2">
                  <c:v>3.03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0B-4F9F-9462-C5ED978A6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3035791"/>
        <c:axId val="463035311"/>
      </c:barChart>
      <c:catAx>
        <c:axId val="46303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035311"/>
        <c:crosses val="autoZero"/>
        <c:auto val="1"/>
        <c:lblAlgn val="ctr"/>
        <c:lblOffset val="100"/>
        <c:noMultiLvlLbl val="0"/>
      </c:catAx>
      <c:valAx>
        <c:axId val="4630353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63035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415924</xdr:colOff>
      <xdr:row>2</xdr:row>
      <xdr:rowOff>127000</xdr:rowOff>
    </xdr:from>
    <xdr:to>
      <xdr:col>15</xdr:col>
      <xdr:colOff>152399</xdr:colOff>
      <xdr:row>19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2AA6B3-9A86-3450-8024-05F9AB408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2C3BF23-4F15-4CCE-91E6-D38D239D809B}" name="Table8" displayName="Table8" ref="A1:L129" totalsRowShown="0">
  <autoFilter ref="A1:L129" xr:uid="{02C3BF23-4F15-4CCE-91E6-D38D239D809B}">
    <filterColumn colId="0">
      <filters>
        <filter val="2024_2025"/>
      </filters>
    </filterColumn>
  </autoFilter>
  <sortState xmlns:xlrd2="http://schemas.microsoft.com/office/spreadsheetml/2017/richdata2" ref="A66:L97">
    <sortCondition ref="B1:B129"/>
  </sortState>
  <tableColumns count="12">
    <tableColumn id="1" xr3:uid="{D27651D6-5F86-4EA8-A023-16A54A84104B}" name="SEASON"/>
    <tableColumn id="2" xr3:uid="{20E38720-D142-49B8-8096-19AFFC70B0D3}" name="RANK"/>
    <tableColumn id="3" xr3:uid="{5FE7FE35-91F7-42FB-B261-3488DB4CEB4B}" name="TEAM"/>
    <tableColumn id="4" xr3:uid="{647F2AD2-8044-4510-A13B-D42E28C9D4DF}" name="GFPG" dataDxfId="80"/>
    <tableColumn id="5" xr3:uid="{D7780757-5C0F-4146-9694-60403ABCCE56}" name="WIN_PROB" dataDxfId="79"/>
    <tableColumn id="6" xr3:uid="{8989E93C-4E1A-4F88-BA98-A4D8D7B0F025}" name="PUCK_POSSESSION" dataDxfId="78"/>
    <tableColumn id="7" xr3:uid="{4DABDD1F-986B-4730-B28F-8CADF0F4A822}" name="GOALTENDING" dataDxfId="77"/>
    <tableColumn id="8" xr3:uid="{1BF79595-76D6-475D-B7B9-476F47BB44E6}" name="OFFENSE" dataDxfId="76"/>
    <tableColumn id="9" xr3:uid="{58C4BA52-01AA-44A0-B658-8493DFFA5AA2}" name="DEFENSE" dataDxfId="75"/>
    <tableColumn id="10" xr3:uid="{1D4383FE-C019-4BAE-B13A-472D25614342}" name="SPEC_TEAMS" dataDxfId="74"/>
    <tableColumn id="11" xr3:uid="{D025AB9D-8554-4246-A345-C476ED998464}" name="PHYSICALITY" dataDxfId="73"/>
    <tableColumn id="12" xr3:uid="{92C221AD-8D38-49CF-B689-BEAA886F32D8}" name="STANLEY_CUP_WINNER" dataDxfId="7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ACA068-B881-46A7-95DF-95AF7DA8ABC4}" name="Table13" displayName="Table13" ref="A1:L129" totalsRowShown="0">
  <autoFilter ref="A1:L129" xr:uid="{0AACA068-B881-46A7-95DF-95AF7DA8ABC4}">
    <filterColumn colId="0">
      <filters>
        <filter val="2021_2022"/>
      </filters>
    </filterColumn>
    <filterColumn colId="1">
      <filters>
        <filter val="1"/>
        <filter val="2"/>
        <filter val="3"/>
        <filter val="4"/>
        <filter val="5"/>
      </filters>
    </filterColumn>
  </autoFilter>
  <tableColumns count="12">
    <tableColumn id="1" xr3:uid="{838CE8A8-5921-4E50-BE58-C26EB1F10E8A}" name="SEASON"/>
    <tableColumn id="2" xr3:uid="{B0B00FA9-8279-4382-945E-C50247BA5DB7}" name="RANK"/>
    <tableColumn id="3" xr3:uid="{055175D0-3A93-459E-8612-5160D557979F}" name="TEAM"/>
    <tableColumn id="4" xr3:uid="{25A20A32-0E27-43C1-B0C1-F346C089E86D}" name="GFPG" dataDxfId="71"/>
    <tableColumn id="5" xr3:uid="{637DFC74-E642-4E37-8AD8-039A98FF3AAA}" name="WIN_PROB" dataDxfId="70"/>
    <tableColumn id="6" xr3:uid="{842F4774-83A3-4E1C-8571-1FF22503F7CC}" name="PUCK_POSSESSION" dataDxfId="69"/>
    <tableColumn id="7" xr3:uid="{EB873098-8750-4E49-B094-6D71A195BC13}" name="GOALTENDING" dataDxfId="68"/>
    <tableColumn id="8" xr3:uid="{179A728D-5132-42F1-8276-64FC359CA5E0}" name="OFFENSE" dataDxfId="67"/>
    <tableColumn id="9" xr3:uid="{CED64521-00F3-4E6B-B349-C5F734F6AA42}" name="DEFENSE" dataDxfId="66"/>
    <tableColumn id="10" xr3:uid="{CA6972F6-C58B-4343-99C0-3B3DE9A7A3D4}" name="SPEC_TEAMS" dataDxfId="65"/>
    <tableColumn id="11" xr3:uid="{C8038972-22B0-47C8-B50C-25FA27978D67}" name="PHYSICALITY" dataDxfId="64"/>
    <tableColumn id="12" xr3:uid="{54F028B1-3FC1-4335-80A4-EB29CCDA3466}" name="PLAYOFF_SCORE" dataDxfId="63">
      <calculatedColumnFormula>(0.1 * Table13[[#This Row],[PUCK_POSSESSION]])+(0.2 * Table13[[#This Row],[GOALTENDING]]) + (0.35 * Table13[[#This Row],[OFFENSE]]) + (0.2 *Table13[[#This Row],[DEFENSE]]) + (0.05 * Table13[[#This Row],[SPEC_TEAMS]]) + (0.1 * Table13[[#This Row],[PHYSICALITY]])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76AADA-7933-4666-B43C-7951206F8950}" name="Table14" displayName="Table14" ref="A1:L129" totalsRowShown="0">
  <autoFilter ref="A1:L129" xr:uid="{1576AADA-7933-4666-B43C-7951206F8950}">
    <filterColumn colId="0">
      <filters>
        <filter val="2022_2023"/>
      </filters>
    </filterColumn>
    <filterColumn colId="1">
      <filters>
        <filter val="1"/>
        <filter val="2"/>
        <filter val="3"/>
        <filter val="4"/>
        <filter val="5"/>
      </filters>
    </filterColumn>
  </autoFilter>
  <tableColumns count="12">
    <tableColumn id="1" xr3:uid="{D5236AFC-97D6-4A7B-872B-29CDD3480919}" name="SEASON"/>
    <tableColumn id="2" xr3:uid="{A9ECABCD-D04E-4BC2-9E89-381E3FD0BD9A}" name="RANK"/>
    <tableColumn id="3" xr3:uid="{2AD6EAE7-1D64-4133-85CD-439168B6F36A}" name="TEAM"/>
    <tableColumn id="4" xr3:uid="{4829BCC1-4284-4655-B720-AAE9C89EB740}" name="GFPG" dataDxfId="62"/>
    <tableColumn id="5" xr3:uid="{DB353157-3390-42A4-AEC1-1DD40CF1107C}" name="WIN_PROB" dataDxfId="61"/>
    <tableColumn id="6" xr3:uid="{D47A7EC8-0045-42F1-B211-D401037EF8C8}" name="PUCK_POSSESSION" dataDxfId="60"/>
    <tableColumn id="7" xr3:uid="{202030B5-C9BD-49D1-8D6B-B9296E884807}" name="GOALTENDING" dataDxfId="59"/>
    <tableColumn id="8" xr3:uid="{2361532C-421E-4417-B8AA-1C91D1E732C3}" name="OFFENSE" dataDxfId="58"/>
    <tableColumn id="9" xr3:uid="{27717B15-9987-4B3D-A93C-825DD3B142A4}" name="DEFENSE" dataDxfId="57"/>
    <tableColumn id="10" xr3:uid="{70C2ECD2-8CB7-48BC-A348-C1AF9AE5D455}" name="SPEC_TEAMS" dataDxfId="56"/>
    <tableColumn id="11" xr3:uid="{59FBB959-A080-4E96-BD89-2492B8CBFC19}" name="PHYSICALITY" dataDxfId="55"/>
    <tableColumn id="12" xr3:uid="{02090E1A-94C1-420E-8DD6-949E96931430}" name="PLAYOFF_SCORE" dataDxfId="54">
      <calculatedColumnFormula>(0.1 * Table14[[#This Row],[PUCK_POSSESSION]])+(0.2 * Table14[[#This Row],[GOALTENDING]]) + (0.35 * Table14[[#This Row],[OFFENSE]]) + (0.2 *Table14[[#This Row],[DEFENSE]]) + (0.05 * Table14[[#This Row],[SPEC_TEAMS]]) + (0.1 * Table14[[#This Row],[PHYSICALITY]])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ADF4A8-DBD4-437B-94C7-F632C3533177}" name="Table15" displayName="Table15" ref="A1:L129" totalsRowShown="0">
  <autoFilter ref="A1:L129" xr:uid="{93ADF4A8-DBD4-437B-94C7-F632C3533177}">
    <filterColumn colId="0">
      <filters>
        <filter val="2023_2024"/>
      </filters>
    </filterColumn>
    <filterColumn colId="1">
      <filters>
        <filter val="1"/>
        <filter val="2"/>
        <filter val="3"/>
        <filter val="4"/>
        <filter val="5"/>
      </filters>
    </filterColumn>
  </autoFilter>
  <sortState xmlns:xlrd2="http://schemas.microsoft.com/office/spreadsheetml/2017/richdata2" ref="A66:L70">
    <sortCondition descending="1" ref="D1:D129"/>
  </sortState>
  <tableColumns count="12">
    <tableColumn id="1" xr3:uid="{07A486F5-9462-48CD-8D72-0F1B50492765}" name="SEASON"/>
    <tableColumn id="2" xr3:uid="{8D7DA990-3171-4BFD-A2C8-636C6641F891}" name="RANK"/>
    <tableColumn id="3" xr3:uid="{78847BAA-5C70-4F64-87AA-2EEFF27BB991}" name="TEAM"/>
    <tableColumn id="4" xr3:uid="{DFA93EB8-B801-4190-965D-6BEB03F1478F}" name="GFPG" dataDxfId="53"/>
    <tableColumn id="5" xr3:uid="{3283295A-BF1E-4035-86D2-8E8331A914DF}" name="WIN_PROB" dataDxfId="52"/>
    <tableColumn id="6" xr3:uid="{88071672-2976-4B21-9A8C-F46D8E7043F4}" name="PUCK_POSSESSION" dataDxfId="51"/>
    <tableColumn id="7" xr3:uid="{1EB5DF4E-FD27-4AFC-87DA-DE52792F5BDB}" name="GOALTENDING" dataDxfId="50"/>
    <tableColumn id="8" xr3:uid="{2359E71C-DB93-43C3-B69C-E2BAA6FF42C0}" name="OFFENSE" dataDxfId="49"/>
    <tableColumn id="9" xr3:uid="{B2B297DE-10CB-4427-B485-BF96A2DDFE02}" name="DEFENSE" dataDxfId="48"/>
    <tableColumn id="10" xr3:uid="{989ED76B-F0C9-4D75-9F03-DC6D33A1AED5}" name="SPEC_TEAMS" dataDxfId="47"/>
    <tableColumn id="11" xr3:uid="{4DCBF241-8FED-4B2C-8505-4A64D3BFFAA4}" name="PHYSICALITY" dataDxfId="46"/>
    <tableColumn id="12" xr3:uid="{CCADADCD-3B7B-4499-B9D0-4AE5C7A84362}" name="PLAYOFF_SCORE" dataDxfId="45">
      <calculatedColumnFormula>(0.1 * Table15[[#This Row],[PUCK_POSSESSION]])+(0.2 * Table15[[#This Row],[GOALTENDING]]) + (0.35 * Table15[[#This Row],[OFFENSE]]) + (0.2 *Table15[[#This Row],[DEFENSE]]) + (0.05 * Table15[[#This Row],[SPEC_TEAMS]]) + (0.1 * Table15[[#This Row],[PHYSICALITY]])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2907289-1546-4718-878B-1ADDC9FB9044}" name="Table10" displayName="Table10" ref="A1:M129" totalsRowShown="0">
  <autoFilter ref="A1:M129" xr:uid="{62907289-1546-4718-878B-1ADDC9FB9044}">
    <filterColumn colId="0">
      <filters>
        <filter val="2024_2025"/>
      </filters>
    </filterColumn>
    <filterColumn colId="1">
      <filters>
        <filter val="1"/>
        <filter val="10"/>
        <filter val="11"/>
        <filter val="12"/>
        <filter val="13"/>
        <filter val="15"/>
        <filter val="16"/>
        <filter val="17"/>
        <filter val="2"/>
        <filter val="3"/>
        <filter val="4"/>
        <filter val="5"/>
        <filter val="6"/>
        <filter val="7"/>
        <filter val="8"/>
        <filter val="9"/>
      </filters>
    </filterColumn>
  </autoFilter>
  <sortState xmlns:xlrd2="http://schemas.microsoft.com/office/spreadsheetml/2017/richdata2" ref="A98:M114">
    <sortCondition ref="B1:B129"/>
  </sortState>
  <tableColumns count="13">
    <tableColumn id="1" xr3:uid="{560C0EDA-4370-4B0E-AC80-5198929DE11E}" name="SEASON"/>
    <tableColumn id="2" xr3:uid="{2E5FCD47-7DDF-48FF-9F84-1901E54A1A9D}" name="RANK"/>
    <tableColumn id="3" xr3:uid="{B4E24B31-025F-4024-BA37-FFFCDCD4F6F8}" name="TEAM"/>
    <tableColumn id="4" xr3:uid="{619FBB2E-4705-4358-A940-F8DF9449FE80}" name="GFPG"/>
    <tableColumn id="5" xr3:uid="{FB3D9C10-6E28-466E-A66F-4B186D381B40}" name="WIN_PROB"/>
    <tableColumn id="6" xr3:uid="{975AB82E-2CC6-4EDF-9179-1945636BFB27}" name="PUCK_POSSESSION"/>
    <tableColumn id="7" xr3:uid="{3B464129-1B79-49E5-9A06-589EAA2845EA}" name="GOALTENDING"/>
    <tableColumn id="8" xr3:uid="{7B1EDB70-A389-4704-A597-AC949A1E4B92}" name="OFFENSE"/>
    <tableColumn id="9" xr3:uid="{B4AEDF6F-ED55-4BC0-AABB-9D3828E772CE}" name="DEFENSE"/>
    <tableColumn id="10" xr3:uid="{32C33052-108B-4515-8D38-327265BD29E6}" name="SPEC_TEAMS"/>
    <tableColumn id="11" xr3:uid="{23035429-2717-4EAE-AF8E-8FF4D6E411ED}" name="PHYSICALITY"/>
    <tableColumn id="13" xr3:uid="{68AEB598-2F33-4BEE-8221-512B8DD41133}" name="PLAYOFF_SCORE" dataDxfId="44">
      <calculatedColumnFormula>AVERAGE(Table10[[#This Row],[PUCK_POSSESSION]:[PHYSICALITY]])</calculatedColumnFormula>
    </tableColumn>
    <tableColumn id="12" xr3:uid="{BABFE1B4-8C45-46DE-9666-78030F3F615D}" name="STANLEY_CUP_WINNER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D8E3E31-57DD-430C-B16E-04292E3F4326}" name="Table9" displayName="Table9" ref="A1:L129" totalsRowShown="0">
  <autoFilter ref="A1:L129" xr:uid="{7D8E3E31-57DD-430C-B16E-04292E3F4326}">
    <filterColumn colId="11">
      <filters>
        <filter val="1"/>
      </filters>
    </filterColumn>
  </autoFilter>
  <tableColumns count="12">
    <tableColumn id="1" xr3:uid="{455800AC-0F63-4611-B292-E04C963D9C97}" name="SEASON"/>
    <tableColumn id="2" xr3:uid="{3AA581F7-4EB8-4F74-807F-54D2E27F3E50}" name="RANK"/>
    <tableColumn id="3" xr3:uid="{E90B5E12-0D6C-48E5-A124-04ED96FED3F9}" name="TEAM"/>
    <tableColumn id="4" xr3:uid="{CE10B561-85AF-4D73-8BD6-9CFF9B5BFB4F}" name="GFPG"/>
    <tableColumn id="5" xr3:uid="{AC63C309-9A39-48AA-AD56-C2F0AA08A9BC}" name="WIN_PROB"/>
    <tableColumn id="6" xr3:uid="{DA11AA91-E8D7-4586-BE2F-9DBF332AE816}" name="PUCK_POSSESSION"/>
    <tableColumn id="7" xr3:uid="{D4390A56-B066-4D54-A733-C4C3AF8A9580}" name="GOALTENDING"/>
    <tableColumn id="8" xr3:uid="{6152065A-EC8F-4E14-A9FE-998D6E362650}" name="OFFENSE"/>
    <tableColumn id="9" xr3:uid="{38D4DBEF-3A6B-4D0A-B559-841BDBD39238}" name="DEFENSE"/>
    <tableColumn id="10" xr3:uid="{8699AE4F-E5AA-4002-9D0C-F8250AFCD51B}" name="SPEC_TEAMS"/>
    <tableColumn id="11" xr3:uid="{CAF5A74E-368B-437B-898F-4C7ABB315D13}" name="PHYSICALITY"/>
    <tableColumn id="12" xr3:uid="{3B85E5DF-EFFB-4C94-9E34-662B6EA87F33}" name="STANLEY_CUP_WINNER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FE7762-F672-4C91-A02F-CED884ECFFFA}" name="Table6" displayName="Table6" ref="A1:S17" totalsRowShown="0" headerRowDxfId="43" dataDxfId="42" tableBorderDxfId="41">
  <autoFilter ref="A1:S17" xr:uid="{DCFE7762-F672-4C91-A02F-CED884ECFFFA}"/>
  <sortState xmlns:xlrd2="http://schemas.microsoft.com/office/spreadsheetml/2017/richdata2" ref="A2:F17">
    <sortCondition ref="B2:B17"/>
    <sortCondition ref="A2:A17"/>
  </sortState>
  <tableColumns count="19">
    <tableColumn id="1" xr3:uid="{2EA41E2B-3890-4EF6-BD98-8375C93FA3FC}" name="RANK" dataDxfId="40"/>
    <tableColumn id="2" xr3:uid="{4E2A49D9-7899-46A7-85FA-9830C5B2B1FC}" name="CONFERENCE" dataDxfId="39"/>
    <tableColumn id="3" xr3:uid="{BD559411-2E0A-4DD0-BD79-ACC3A0D96E5C}" name="TEAM" dataDxfId="38"/>
    <tableColumn id="4" xr3:uid="{A616E7C3-0B33-4011-8C76-0DEEC0BD21E0}" name="GFPG" dataDxfId="37"/>
    <tableColumn id="5" xr3:uid="{F209E230-99AE-4D34-B880-0ACCC8541D3D}" name="WIN_PROB" dataDxfId="36"/>
    <tableColumn id="12" xr3:uid="{7CF788E2-516D-4423-A5CE-A35A545F3345}" name="PLAYOFF_SCORE" dataDxfId="35"/>
    <tableColumn id="14" xr3:uid="{5EFB0551-E7D0-49D0-B877-5C43500A848A}" name="D" dataDxfId="34"/>
    <tableColumn id="13" xr3:uid="{C71D6C68-B694-4C4F-9EF3-9423596B48A9}" name="ROUND_ONE" dataDxfId="33"/>
    <tableColumn id="15" xr3:uid="{80EC72AC-A954-43E5-80AA-7EAC439F897F}" name="GPG" dataDxfId="32"/>
    <tableColumn id="16" xr3:uid="{48E779F4-BB28-40F6-AC42-F3E791EA59B7}" name="RESULT_R1" dataDxfId="31">
      <calculatedColumnFormula>Table6[[#This Row],[GPG]]-I3</calculatedColumnFormula>
    </tableColumn>
    <tableColumn id="17" xr3:uid="{3EC8CD18-030B-44DA-AB0D-2CF6B05F9063}" name="ROUND_TWO" dataDxfId="30"/>
    <tableColumn id="18" xr3:uid="{44AD8BE8-0128-4E7B-A707-95A0A861BFA4}" name="GPG2" dataDxfId="29"/>
    <tableColumn id="19" xr3:uid="{859AF61A-A421-4BE7-877A-E26DAA37A743}" name="RESULT_R2" dataDxfId="28">
      <calculatedColumnFormula>Table6[[#This Row],[GPG2]]-L3</calculatedColumnFormula>
    </tableColumn>
    <tableColumn id="20" xr3:uid="{D497541F-B012-49EE-85E3-A3DD08FCAD4A}" name="ROUND_THREE" dataDxfId="27"/>
    <tableColumn id="21" xr3:uid="{97D09AF5-06CF-47D2-A024-A8E96572CA23}" name="GPG3" dataDxfId="26"/>
    <tableColumn id="22" xr3:uid="{63B2ED08-7061-4126-A4E6-6A7475B14298}" name="RESULT_R3" dataDxfId="25">
      <calculatedColumnFormula>Table6[[#This Row],[GPG3]]-O3</calculatedColumnFormula>
    </tableColumn>
    <tableColumn id="23" xr3:uid="{EDAF5EF7-D33F-4C78-9B60-6A040ED5FBC5}" name="FINAL" dataDxfId="24"/>
    <tableColumn id="24" xr3:uid="{BA932294-9DAC-494D-8851-B8640E6BA15F}" name="GPG4" dataDxfId="23"/>
    <tableColumn id="25" xr3:uid="{CC0ADF90-A1D2-48AC-81A2-263AFB0BEEBD}" name="RESULT_F" dataDxfId="22">
      <calculatedColumnFormula>Table6[[#This Row],[GPG4]]-R3</calculatedColumnFormula>
    </tableColumn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1761989-570F-46AB-BA7D-5C338F543BFF}" name="Table7" displayName="Table7" ref="A1:D5" totalsRowShown="0">
  <autoFilter ref="A1:D5" xr:uid="{E1761989-570F-46AB-BA7D-5C338F543BFF}"/>
  <tableColumns count="4">
    <tableColumn id="1" xr3:uid="{C2135AFD-6276-4111-A1DE-3C62E01EFDE6}" name="SEASON"/>
    <tableColumn id="2" xr3:uid="{C3F4E767-D835-47A4-ABC0-91C5376F10CE}" name="REGULAR_SEASON" dataDxfId="21"/>
    <tableColumn id="3" xr3:uid="{43B48876-FF9D-4D68-B739-0BBC6D9F697B}" name="PLAYOFF" dataDxfId="20"/>
    <tableColumn id="4" xr3:uid="{48953062-BE13-4A09-AC7D-2D1C6660A512}" name="DIFF" dataDxfId="19">
      <calculatedColumnFormula>Table7[[#This Row],[PLAYOFF]]/Table7[[#This Row],[REGULAR_SEASON]]</calculatedColumnFormula>
    </tableColumn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FC3CB9-8AB7-4484-87B9-5DE0AE396C85}" name="Table1" displayName="Table1" ref="A1:L129" totalsRowShown="0">
  <sortState xmlns:xlrd2="http://schemas.microsoft.com/office/spreadsheetml/2017/richdata2" ref="A66:K97">
    <sortCondition ref="B1:B129"/>
  </sortState>
  <tableColumns count="12">
    <tableColumn id="1" xr3:uid="{9856A51F-A610-4D90-B116-FC9734E8F30E}" name="SEASON"/>
    <tableColumn id="2" xr3:uid="{CDA1F7B5-081D-42F2-8B52-7A877AB7EB27}" name="RANK" dataDxfId="18"/>
    <tableColumn id="3" xr3:uid="{00970097-2785-49C8-BBEA-A9E50F9731FD}" name="TEAM"/>
    <tableColumn id="4" xr3:uid="{AB5073F0-4A84-4339-B911-FE7D0D9DEBB1}" name="GFPG" dataDxfId="17"/>
    <tableColumn id="5" xr3:uid="{F204F7EA-46A2-48A4-980A-7C76135FFD98}" name="WIN_PROB" dataDxfId="16"/>
    <tableColumn id="6" xr3:uid="{9E88C869-FCA7-465C-99EF-D6C433085059}" name="PUCK_POSSESSION" dataDxfId="15"/>
    <tableColumn id="7" xr3:uid="{8C77874E-06B3-4145-93E2-E6B31338A84E}" name="GOALTENDING" dataDxfId="14"/>
    <tableColumn id="8" xr3:uid="{FEA6D384-4635-4A81-BD42-C451135E0E47}" name="OFFENSE" dataDxfId="13"/>
    <tableColumn id="9" xr3:uid="{D7DA4BEC-C409-4792-B896-EC3B1FEC2040}" name="DEFENSE" dataDxfId="12"/>
    <tableColumn id="10" xr3:uid="{0F7229C1-E9A6-453F-BEE0-297F252B0945}" name="SPEC_TEAMS" dataDxfId="11"/>
    <tableColumn id="11" xr3:uid="{D7EE46B7-0B40-4D5B-A356-91F68413F7DF}" name="PHYSICALITY" dataDxfId="10"/>
    <tableColumn id="12" xr3:uid="{982FAE98-78E2-4538-BFAF-CE655FF10DDA}" name="STANLEY_CUP_WINNER" dataDxfId="9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27C66C-BF2E-4501-9F08-FE1C7AE6B925}" name="Table16" displayName="Table16" ref="A1:L129" totalsRowShown="0">
  <autoFilter ref="A1:L129" xr:uid="{4B27C66C-BF2E-4501-9F08-FE1C7AE6B925}">
    <filterColumn colId="1">
      <filters>
        <filter val="1"/>
        <filter val="10"/>
        <filter val="11"/>
        <filter val="12"/>
        <filter val="13"/>
        <filter val="14"/>
        <filter val="15"/>
        <filter val="16"/>
        <filter val="2"/>
        <filter val="3"/>
        <filter val="4"/>
        <filter val="5"/>
        <filter val="6"/>
        <filter val="7"/>
        <filter val="8"/>
        <filter val="9"/>
      </filters>
    </filterColumn>
  </autoFilter>
  <sortState xmlns:xlrd2="http://schemas.microsoft.com/office/spreadsheetml/2017/richdata2" ref="A98:L113">
    <sortCondition ref="B1:B129"/>
  </sortState>
  <tableColumns count="12">
    <tableColumn id="1" xr3:uid="{B40C2619-3AEE-4EC6-A294-068BEDF6F866}" name="SEASON"/>
    <tableColumn id="2" xr3:uid="{FD3F9174-36CB-4B0B-9165-6E79D9A2E9A0}" name="RANK"/>
    <tableColumn id="3" xr3:uid="{1BD4B270-3D3A-45F9-812D-05169F1829E7}" name="TEAM"/>
    <tableColumn id="4" xr3:uid="{40EB7F3F-A087-422A-AD8D-73AC5FB89E83}" name="GFPG" dataDxfId="8"/>
    <tableColumn id="5" xr3:uid="{BDC5557E-B116-4858-B2FD-CDF0DB563B37}" name="WIN_PROB" dataDxfId="7"/>
    <tableColumn id="6" xr3:uid="{88B7C73A-04B4-4071-81EA-D5DD3D3854A1}" name="PUCK_POSSESSION" dataDxfId="6"/>
    <tableColumn id="7" xr3:uid="{48F5375C-3E9E-460A-8852-434114FF60D7}" name="GOALTENDING" dataDxfId="5"/>
    <tableColumn id="8" xr3:uid="{7CAE0A3C-E9C1-42E3-97A9-049C2D35DA28}" name="OFFENSE" dataDxfId="4"/>
    <tableColumn id="9" xr3:uid="{52F5163F-2792-479C-A7E7-6CEF1E115B5B}" name="DEFENSE" dataDxfId="3"/>
    <tableColumn id="10" xr3:uid="{ED79D962-A2E5-4A82-8B75-D0BA3B95430D}" name="SPEC_TEAMS" dataDxfId="2"/>
    <tableColumn id="11" xr3:uid="{9E3C217A-7492-43B8-A1A1-243A30480365}" name="PHYSICALITY" dataDxfId="1"/>
    <tableColumn id="12" xr3:uid="{333DD3F3-C881-43B6-9B2A-24478FC2A4BB}" name="PLAYOFF_SCORE" dataDxfId="0">
      <calculatedColumnFormula>(0.1 * Table16[[#This Row],[PUCK_POSSESSION]])+(0.2 * Table16[[#This Row],[GOALTENDING]]) + (0.35 * Table16[[#This Row],[OFFENSE]]) + (0.2 *Table16[[#This Row],[DEFENSE]]) + (0.05 * Table16[[#This Row],[SPEC_TEAMS]]) + (0.1 * Table16[[#This Row],[PHYSICALITY]])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2411F-9459-4018-96B1-0DAB4213DCD2}">
  <dimension ref="A1:L129"/>
  <sheetViews>
    <sheetView zoomScale="90" zoomScaleNormal="90" workbookViewId="0">
      <selection activeCell="C16" sqref="C16"/>
    </sheetView>
  </sheetViews>
  <sheetFormatPr defaultRowHeight="14.5" x14ac:dyDescent="0.35"/>
  <cols>
    <col min="1" max="1" width="10.453125" bestFit="1" customWidth="1"/>
    <col min="2" max="2" width="8.1796875" bestFit="1" customWidth="1"/>
    <col min="3" max="3" width="20" bestFit="1" customWidth="1"/>
    <col min="4" max="4" width="8.1796875" bestFit="1" customWidth="1"/>
    <col min="5" max="5" width="12.453125" bestFit="1" customWidth="1"/>
    <col min="6" max="6" width="20.1796875" bestFit="1" customWidth="1"/>
    <col min="7" max="7" width="15.81640625" bestFit="1" customWidth="1"/>
    <col min="8" max="9" width="11.1796875" bestFit="1" customWidth="1"/>
    <col min="10" max="11" width="14.453125" bestFit="1" customWidth="1"/>
    <col min="12" max="12" width="23.4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35">
      <c r="A2" t="s">
        <v>12</v>
      </c>
      <c r="B2">
        <v>1</v>
      </c>
      <c r="C2" t="s">
        <v>13</v>
      </c>
      <c r="D2" s="3">
        <v>4.1097560980000001</v>
      </c>
      <c r="E2" s="9">
        <v>0.65977470909122604</v>
      </c>
      <c r="F2" s="3">
        <v>56.6</v>
      </c>
      <c r="G2" s="2">
        <v>0.90400000000000003</v>
      </c>
      <c r="H2" s="2">
        <v>1</v>
      </c>
      <c r="I2" s="2">
        <v>0.38900000000000001</v>
      </c>
      <c r="J2" s="2">
        <v>0.67200000000000004</v>
      </c>
      <c r="K2" s="2">
        <v>0.5625</v>
      </c>
      <c r="L2" s="1">
        <v>0</v>
      </c>
    </row>
    <row r="3" spans="1:12" hidden="1" x14ac:dyDescent="0.35">
      <c r="A3" t="s">
        <v>12</v>
      </c>
      <c r="B3">
        <v>2</v>
      </c>
      <c r="C3" t="s">
        <v>14</v>
      </c>
      <c r="D3" s="3">
        <v>3.7560975609999998</v>
      </c>
      <c r="E3" s="9">
        <v>0.63800710211987499</v>
      </c>
      <c r="F3" s="3">
        <v>53</v>
      </c>
      <c r="G3" s="2">
        <v>0.91200000000000003</v>
      </c>
      <c r="H3" s="2">
        <v>0.77800000000000002</v>
      </c>
      <c r="I3" s="2">
        <v>0.33700000000000002</v>
      </c>
      <c r="J3" s="2">
        <v>0.66100000000000003</v>
      </c>
      <c r="K3" s="2">
        <v>0.42499999999999999</v>
      </c>
      <c r="L3" s="1">
        <v>1</v>
      </c>
    </row>
    <row r="4" spans="1:12" hidden="1" x14ac:dyDescent="0.35">
      <c r="A4" t="s">
        <v>12</v>
      </c>
      <c r="B4">
        <v>3</v>
      </c>
      <c r="C4" t="s">
        <v>15</v>
      </c>
      <c r="D4" s="3">
        <v>3.3780487799999999</v>
      </c>
      <c r="E4" s="9">
        <v>0.65732594299617098</v>
      </c>
      <c r="F4" s="3">
        <v>56.3</v>
      </c>
      <c r="G4" s="2">
        <v>0.91300000000000003</v>
      </c>
      <c r="H4" s="2">
        <v>0.60799999999999998</v>
      </c>
      <c r="I4" s="2">
        <v>0.14299999999999999</v>
      </c>
      <c r="J4" s="2">
        <v>0.88400000000000001</v>
      </c>
      <c r="K4" s="2">
        <v>0.45</v>
      </c>
      <c r="L4" s="1">
        <v>0</v>
      </c>
    </row>
    <row r="5" spans="1:12" hidden="1" x14ac:dyDescent="0.35">
      <c r="A5" t="s">
        <v>12</v>
      </c>
      <c r="B5">
        <v>4</v>
      </c>
      <c r="C5" t="s">
        <v>16</v>
      </c>
      <c r="D5" s="3">
        <v>3.804878049</v>
      </c>
      <c r="E5" s="9">
        <v>0.60519247985675895</v>
      </c>
      <c r="F5" s="3">
        <v>53.4</v>
      </c>
      <c r="G5" s="2">
        <v>0.9</v>
      </c>
      <c r="H5" s="2">
        <v>0.83499999999999996</v>
      </c>
      <c r="I5" s="2">
        <v>0.44600000000000001</v>
      </c>
      <c r="J5" s="2">
        <v>0.85899999999999999</v>
      </c>
      <c r="K5" s="2">
        <v>0.375</v>
      </c>
      <c r="L5" s="1">
        <v>0</v>
      </c>
    </row>
    <row r="6" spans="1:12" hidden="1" x14ac:dyDescent="0.35">
      <c r="A6" t="s">
        <v>12</v>
      </c>
      <c r="B6">
        <v>5</v>
      </c>
      <c r="C6" t="s">
        <v>17</v>
      </c>
      <c r="D6" s="3">
        <v>3.7195121950000001</v>
      </c>
      <c r="E6" s="9">
        <v>0.60006063499025997</v>
      </c>
      <c r="F6" s="3">
        <v>51.3</v>
      </c>
      <c r="G6" s="2">
        <v>0.90300000000000002</v>
      </c>
      <c r="H6" s="2">
        <v>0.75600000000000001</v>
      </c>
      <c r="I6" s="2">
        <v>0.40600000000000003</v>
      </c>
      <c r="J6" s="2">
        <v>0.41699999999999998</v>
      </c>
      <c r="K6" s="2">
        <v>0.65</v>
      </c>
      <c r="L6" s="1">
        <v>0</v>
      </c>
    </row>
    <row r="7" spans="1:12" hidden="1" x14ac:dyDescent="0.35">
      <c r="A7" t="s">
        <v>12</v>
      </c>
      <c r="B7">
        <v>6</v>
      </c>
      <c r="C7" t="s">
        <v>18</v>
      </c>
      <c r="D7" s="3">
        <v>3.5487804879999998</v>
      </c>
      <c r="E7" s="9">
        <v>0.66616581574455003</v>
      </c>
      <c r="F7" s="3">
        <v>55.7</v>
      </c>
      <c r="G7" s="2">
        <v>0.91300000000000003</v>
      </c>
      <c r="H7" s="2">
        <v>0.69899999999999995</v>
      </c>
      <c r="I7" s="2">
        <v>0.16600000000000001</v>
      </c>
      <c r="J7" s="2">
        <v>0.746</v>
      </c>
      <c r="K7" s="2">
        <v>0.4375</v>
      </c>
      <c r="L7" s="1">
        <v>0</v>
      </c>
    </row>
    <row r="8" spans="1:12" hidden="1" x14ac:dyDescent="0.35">
      <c r="A8" t="s">
        <v>12</v>
      </c>
      <c r="B8">
        <v>7</v>
      </c>
      <c r="C8" t="s">
        <v>19</v>
      </c>
      <c r="D8" s="3">
        <v>3.4756097559999999</v>
      </c>
      <c r="E8" s="9">
        <v>0.60975609756097604</v>
      </c>
      <c r="F8" s="3">
        <v>50.9</v>
      </c>
      <c r="G8" s="2">
        <v>0.90700000000000003</v>
      </c>
      <c r="H8" s="2">
        <v>0.64200000000000002</v>
      </c>
      <c r="I8" s="2">
        <v>0.309</v>
      </c>
      <c r="J8" s="2">
        <v>0.69</v>
      </c>
      <c r="K8" s="2">
        <v>0.67500000000000004</v>
      </c>
      <c r="L8" s="1">
        <v>0</v>
      </c>
    </row>
    <row r="9" spans="1:12" hidden="1" x14ac:dyDescent="0.35">
      <c r="A9" t="s">
        <v>12</v>
      </c>
      <c r="B9">
        <v>8</v>
      </c>
      <c r="C9" t="s">
        <v>20</v>
      </c>
      <c r="D9" s="3">
        <v>3.0487804879999998</v>
      </c>
      <c r="E9" s="9">
        <v>0.60029198202005496</v>
      </c>
      <c r="F9" s="3">
        <v>47.1</v>
      </c>
      <c r="G9" s="2">
        <v>0.91900000000000004</v>
      </c>
      <c r="H9" s="2">
        <v>0.42599999999999999</v>
      </c>
      <c r="I9" s="2">
        <v>0.183</v>
      </c>
      <c r="J9" s="2">
        <v>0.79700000000000004</v>
      </c>
      <c r="K9" s="2">
        <v>0.32500000000000001</v>
      </c>
      <c r="L9" s="1">
        <v>0</v>
      </c>
    </row>
    <row r="10" spans="1:12" hidden="1" x14ac:dyDescent="0.35">
      <c r="A10" t="s">
        <v>12</v>
      </c>
      <c r="B10">
        <v>9</v>
      </c>
      <c r="C10" t="s">
        <v>21</v>
      </c>
      <c r="D10" s="3">
        <v>3.7682926829999999</v>
      </c>
      <c r="E10" s="9">
        <v>0.62568642612809799</v>
      </c>
      <c r="F10" s="3">
        <v>47.2</v>
      </c>
      <c r="G10" s="2">
        <v>0.90800000000000003</v>
      </c>
      <c r="H10" s="2">
        <v>0.77800000000000002</v>
      </c>
      <c r="I10" s="2">
        <v>0.39400000000000002</v>
      </c>
      <c r="J10" s="2">
        <v>0.92</v>
      </c>
      <c r="K10" s="2">
        <v>0.23749999999999999</v>
      </c>
      <c r="L10" s="1">
        <v>0</v>
      </c>
    </row>
    <row r="11" spans="1:12" hidden="1" x14ac:dyDescent="0.35">
      <c r="A11" t="s">
        <v>12</v>
      </c>
      <c r="B11">
        <v>10</v>
      </c>
      <c r="C11" t="s">
        <v>22</v>
      </c>
      <c r="D11" s="3">
        <v>3.085365854</v>
      </c>
      <c r="E11" s="9">
        <v>0.57390189450655904</v>
      </c>
      <c r="F11" s="3">
        <v>54.5</v>
      </c>
      <c r="G11" s="2">
        <v>0.90700000000000003</v>
      </c>
      <c r="H11" s="2">
        <v>0.48899999999999999</v>
      </c>
      <c r="I11" s="2">
        <v>0.217</v>
      </c>
      <c r="J11" s="2">
        <v>0.62</v>
      </c>
      <c r="K11" s="2">
        <v>0.53749999999999998</v>
      </c>
      <c r="L11" s="1">
        <v>0</v>
      </c>
    </row>
    <row r="12" spans="1:12" hidden="1" x14ac:dyDescent="0.35">
      <c r="A12" t="s">
        <v>12</v>
      </c>
      <c r="B12">
        <v>11</v>
      </c>
      <c r="C12" t="s">
        <v>23</v>
      </c>
      <c r="D12" s="3">
        <v>3.4756097559999999</v>
      </c>
      <c r="E12" s="9">
        <v>0.56317862243978201</v>
      </c>
      <c r="F12" s="3">
        <v>52.5</v>
      </c>
      <c r="G12" s="2">
        <v>0.90500000000000003</v>
      </c>
      <c r="H12" s="2">
        <v>0.65900000000000003</v>
      </c>
      <c r="I12" s="2">
        <v>0.45100000000000001</v>
      </c>
      <c r="J12" s="2">
        <v>0.72</v>
      </c>
      <c r="K12" s="2">
        <v>0.3125</v>
      </c>
      <c r="L12" s="1">
        <v>0</v>
      </c>
    </row>
    <row r="13" spans="1:12" hidden="1" x14ac:dyDescent="0.35">
      <c r="A13" t="s">
        <v>12</v>
      </c>
      <c r="B13">
        <v>12</v>
      </c>
      <c r="C13" t="s">
        <v>24</v>
      </c>
      <c r="D13" s="3">
        <v>3.2804878049999999</v>
      </c>
      <c r="E13" s="9">
        <v>0.59485387808787904</v>
      </c>
      <c r="F13" s="3">
        <v>52.1</v>
      </c>
      <c r="G13" s="2">
        <v>0.91400000000000003</v>
      </c>
      <c r="H13" s="2">
        <v>0.57999999999999996</v>
      </c>
      <c r="I13" s="2">
        <v>0.28000000000000003</v>
      </c>
      <c r="J13" s="2">
        <v>0.69399999999999995</v>
      </c>
      <c r="K13" s="2">
        <v>0.16250000000000001</v>
      </c>
      <c r="L13" s="1">
        <v>0</v>
      </c>
    </row>
    <row r="14" spans="1:12" hidden="1" x14ac:dyDescent="0.35">
      <c r="A14" t="s">
        <v>12</v>
      </c>
      <c r="B14">
        <v>13</v>
      </c>
      <c r="C14" t="s">
        <v>25</v>
      </c>
      <c r="D14" s="3">
        <v>3.292682927</v>
      </c>
      <c r="E14" s="9">
        <v>0.55452443254427097</v>
      </c>
      <c r="F14" s="3">
        <v>50.6</v>
      </c>
      <c r="G14" s="2">
        <v>0.89800000000000002</v>
      </c>
      <c r="H14" s="2">
        <v>0.55100000000000005</v>
      </c>
      <c r="I14" s="2">
        <v>0.377</v>
      </c>
      <c r="J14" s="2">
        <v>0.505</v>
      </c>
      <c r="K14" s="2">
        <v>0.26250000000000001</v>
      </c>
      <c r="L14" s="1">
        <v>0</v>
      </c>
    </row>
    <row r="15" spans="1:12" hidden="1" x14ac:dyDescent="0.35">
      <c r="A15" t="s">
        <v>12</v>
      </c>
      <c r="B15">
        <v>14</v>
      </c>
      <c r="C15" t="s">
        <v>26</v>
      </c>
      <c r="D15" s="3">
        <v>2.8658536589999999</v>
      </c>
      <c r="E15" s="9">
        <v>0.50642371777824602</v>
      </c>
      <c r="F15" s="3">
        <v>54.1</v>
      </c>
      <c r="G15" s="2">
        <v>0.90100000000000002</v>
      </c>
      <c r="H15" s="2">
        <v>0.36899999999999999</v>
      </c>
      <c r="I15" s="2">
        <v>0.32600000000000001</v>
      </c>
      <c r="J15" s="2">
        <v>0.28000000000000003</v>
      </c>
      <c r="K15" s="2">
        <v>0.26250000000000001</v>
      </c>
      <c r="L15" s="1">
        <v>0</v>
      </c>
    </row>
    <row r="16" spans="1:12" hidden="1" x14ac:dyDescent="0.35">
      <c r="A16" t="s">
        <v>12</v>
      </c>
      <c r="B16">
        <v>15</v>
      </c>
      <c r="C16" t="s">
        <v>27</v>
      </c>
      <c r="D16" s="3">
        <v>2.8414634150000002</v>
      </c>
      <c r="E16" s="9">
        <v>0.47695146057544502</v>
      </c>
      <c r="F16" s="3">
        <v>48.9</v>
      </c>
      <c r="G16" s="2">
        <v>0.90400000000000003</v>
      </c>
      <c r="H16" s="2">
        <v>0.34699999999999998</v>
      </c>
      <c r="I16" s="2">
        <v>0.4</v>
      </c>
      <c r="J16" s="2">
        <v>0.58199999999999996</v>
      </c>
      <c r="K16" s="2">
        <v>0.13750000000000001</v>
      </c>
      <c r="L16" s="1">
        <v>0</v>
      </c>
    </row>
    <row r="17" spans="1:12" hidden="1" x14ac:dyDescent="0.35">
      <c r="A17" t="s">
        <v>12</v>
      </c>
      <c r="B17">
        <v>16</v>
      </c>
      <c r="C17" t="s">
        <v>28</v>
      </c>
      <c r="D17" s="3">
        <v>3.195121951</v>
      </c>
      <c r="E17" s="9">
        <v>0.52342463246507698</v>
      </c>
      <c r="F17" s="3">
        <v>49.5</v>
      </c>
      <c r="G17" s="2">
        <v>0.90600000000000003</v>
      </c>
      <c r="H17" s="2">
        <v>0.48899999999999999</v>
      </c>
      <c r="I17" s="2">
        <v>0.42899999999999999</v>
      </c>
      <c r="J17" s="2">
        <v>0.66100000000000003</v>
      </c>
      <c r="K17" s="2">
        <v>0.875</v>
      </c>
      <c r="L17" s="1">
        <v>0</v>
      </c>
    </row>
    <row r="18" spans="1:12" hidden="1" x14ac:dyDescent="0.35">
      <c r="A18" t="s">
        <v>12</v>
      </c>
      <c r="B18">
        <v>17</v>
      </c>
      <c r="C18" t="s">
        <v>29</v>
      </c>
      <c r="D18" s="3">
        <v>3.195121951</v>
      </c>
      <c r="E18" s="9">
        <v>0.53552816352004995</v>
      </c>
      <c r="F18" s="3">
        <v>52.6</v>
      </c>
      <c r="G18" s="2">
        <v>0.90100000000000002</v>
      </c>
      <c r="H18" s="2">
        <v>0.55100000000000005</v>
      </c>
      <c r="I18" s="2">
        <v>0.40600000000000003</v>
      </c>
      <c r="J18" s="2">
        <v>0.38600000000000001</v>
      </c>
      <c r="K18" s="2">
        <v>0.25</v>
      </c>
      <c r="L18" s="1">
        <v>0</v>
      </c>
    </row>
    <row r="19" spans="1:12" hidden="1" x14ac:dyDescent="0.35">
      <c r="A19" t="s">
        <v>12</v>
      </c>
      <c r="B19">
        <v>18</v>
      </c>
      <c r="C19" t="s">
        <v>30</v>
      </c>
      <c r="D19" s="3">
        <v>3</v>
      </c>
      <c r="E19" s="9">
        <v>0.53141547459100602</v>
      </c>
      <c r="F19" s="3">
        <v>49.6</v>
      </c>
      <c r="G19" s="2">
        <v>0.91200000000000003</v>
      </c>
      <c r="H19" s="2">
        <v>0.41499999999999998</v>
      </c>
      <c r="I19" s="2">
        <v>0.33700000000000002</v>
      </c>
      <c r="J19" s="2">
        <v>0.47599999999999998</v>
      </c>
      <c r="K19" s="2">
        <v>0.3</v>
      </c>
      <c r="L19" s="1">
        <v>0</v>
      </c>
    </row>
    <row r="20" spans="1:12" hidden="1" x14ac:dyDescent="0.35">
      <c r="A20" t="s">
        <v>12</v>
      </c>
      <c r="B20">
        <v>19</v>
      </c>
      <c r="C20" t="s">
        <v>31</v>
      </c>
      <c r="D20" s="3">
        <v>3.0487804879999998</v>
      </c>
      <c r="E20" s="9">
        <v>0.49403599743891702</v>
      </c>
      <c r="F20" s="3">
        <v>49.4</v>
      </c>
      <c r="G20" s="2">
        <v>0.90700000000000003</v>
      </c>
      <c r="H20" s="2">
        <v>0.45500000000000002</v>
      </c>
      <c r="I20" s="2">
        <v>0.47399999999999998</v>
      </c>
      <c r="J20" s="2">
        <v>0.39500000000000002</v>
      </c>
      <c r="K20" s="2">
        <v>0.4</v>
      </c>
      <c r="L20" s="1">
        <v>0</v>
      </c>
    </row>
    <row r="21" spans="1:12" hidden="1" x14ac:dyDescent="0.35">
      <c r="A21" t="s">
        <v>12</v>
      </c>
      <c r="B21">
        <v>20</v>
      </c>
      <c r="C21" t="s">
        <v>32</v>
      </c>
      <c r="D21" s="3">
        <v>2.792682927</v>
      </c>
      <c r="E21" s="9">
        <v>0.49565225610101898</v>
      </c>
      <c r="F21" s="3">
        <v>46</v>
      </c>
      <c r="G21" s="2">
        <v>0.91300000000000003</v>
      </c>
      <c r="H21" s="2">
        <v>0.32400000000000001</v>
      </c>
      <c r="I21" s="2">
        <v>0.36</v>
      </c>
      <c r="J21" s="2">
        <v>0.754</v>
      </c>
      <c r="K21" s="2">
        <v>0.41249999999999998</v>
      </c>
      <c r="L21" s="1">
        <v>0</v>
      </c>
    </row>
    <row r="22" spans="1:12" hidden="1" x14ac:dyDescent="0.35">
      <c r="A22" t="s">
        <v>12</v>
      </c>
      <c r="B22">
        <v>21</v>
      </c>
      <c r="C22" t="s">
        <v>33</v>
      </c>
      <c r="D22" s="3">
        <v>3.1463414630000002</v>
      </c>
      <c r="E22" s="9">
        <v>0.43007501308367702</v>
      </c>
      <c r="F22" s="3">
        <v>47.9</v>
      </c>
      <c r="G22" s="2">
        <v>0.89700000000000002</v>
      </c>
      <c r="H22" s="2">
        <v>0.46600000000000003</v>
      </c>
      <c r="I22" s="2">
        <v>0.754</v>
      </c>
      <c r="J22" s="2">
        <v>0.435</v>
      </c>
      <c r="K22" s="2">
        <v>0.26250000000000001</v>
      </c>
      <c r="L22" s="1">
        <v>0</v>
      </c>
    </row>
    <row r="23" spans="1:12" hidden="1" x14ac:dyDescent="0.35">
      <c r="A23" t="s">
        <v>12</v>
      </c>
      <c r="B23">
        <v>22</v>
      </c>
      <c r="C23" t="s">
        <v>34</v>
      </c>
      <c r="D23" s="3">
        <v>2.5731707319999999</v>
      </c>
      <c r="E23" s="9">
        <v>0.39524333729869898</v>
      </c>
      <c r="F23" s="3">
        <v>45.5</v>
      </c>
      <c r="G23" s="2">
        <v>0.9</v>
      </c>
      <c r="H23" s="2">
        <v>0.20499999999999999</v>
      </c>
      <c r="I23" s="2">
        <v>0.50900000000000001</v>
      </c>
      <c r="J23" s="2">
        <v>0.67900000000000005</v>
      </c>
      <c r="K23" s="2">
        <v>0.4</v>
      </c>
      <c r="L23" s="1">
        <v>0</v>
      </c>
    </row>
    <row r="24" spans="1:12" hidden="1" x14ac:dyDescent="0.35">
      <c r="A24" t="s">
        <v>12</v>
      </c>
      <c r="B24">
        <v>23</v>
      </c>
      <c r="C24" t="s">
        <v>35</v>
      </c>
      <c r="D24" s="3">
        <v>2.7804878049999999</v>
      </c>
      <c r="E24" s="9">
        <v>0.42352941176470599</v>
      </c>
      <c r="F24" s="3">
        <v>47.6</v>
      </c>
      <c r="G24" s="2">
        <v>0.90200000000000002</v>
      </c>
      <c r="H24" s="2">
        <v>0.313</v>
      </c>
      <c r="I24" s="2">
        <v>0.54300000000000004</v>
      </c>
      <c r="J24" s="2">
        <v>0.628</v>
      </c>
      <c r="K24" s="2">
        <v>0.46250000000000002</v>
      </c>
      <c r="L24" s="1">
        <v>0</v>
      </c>
    </row>
    <row r="25" spans="1:12" hidden="1" x14ac:dyDescent="0.35">
      <c r="A25" t="s">
        <v>12</v>
      </c>
      <c r="B25">
        <v>24</v>
      </c>
      <c r="C25" t="s">
        <v>36</v>
      </c>
      <c r="D25" s="3">
        <v>2.792682927</v>
      </c>
      <c r="E25" s="9">
        <v>0.38899933239373902</v>
      </c>
      <c r="F25" s="3">
        <v>48.5</v>
      </c>
      <c r="G25" s="2">
        <v>0.89400000000000002</v>
      </c>
      <c r="H25" s="2">
        <v>0.30099999999999999</v>
      </c>
      <c r="I25" s="2">
        <v>0.66300000000000003</v>
      </c>
      <c r="J25" s="2">
        <v>0.44900000000000001</v>
      </c>
      <c r="K25" s="2">
        <v>0.3125</v>
      </c>
      <c r="L25" s="1">
        <v>0</v>
      </c>
    </row>
    <row r="26" spans="1:12" hidden="1" x14ac:dyDescent="0.35">
      <c r="A26" t="s">
        <v>12</v>
      </c>
      <c r="B26">
        <v>25</v>
      </c>
      <c r="C26" t="s">
        <v>37</v>
      </c>
      <c r="D26" s="3">
        <v>2.7682926829999999</v>
      </c>
      <c r="E26" s="9">
        <v>0.34904388704116401</v>
      </c>
      <c r="F26" s="3">
        <v>46</v>
      </c>
      <c r="G26" s="2">
        <v>0.88800000000000001</v>
      </c>
      <c r="H26" s="2">
        <v>0.313</v>
      </c>
      <c r="I26" s="2">
        <v>0.81699999999999995</v>
      </c>
      <c r="J26" s="2">
        <v>0.186</v>
      </c>
      <c r="K26" s="2">
        <v>0.41249999999999998</v>
      </c>
      <c r="L26" s="1">
        <v>0</v>
      </c>
    </row>
    <row r="27" spans="1:12" hidden="1" x14ac:dyDescent="0.35">
      <c r="A27" t="s">
        <v>12</v>
      </c>
      <c r="B27">
        <v>26</v>
      </c>
      <c r="C27" t="s">
        <v>38</v>
      </c>
      <c r="D27" s="3">
        <v>2.7317073170000001</v>
      </c>
      <c r="E27" s="9">
        <v>0.41857981847303799</v>
      </c>
      <c r="F27" s="3">
        <v>47.9</v>
      </c>
      <c r="G27" s="2">
        <v>0.90400000000000003</v>
      </c>
      <c r="H27" s="2">
        <v>0.27800000000000002</v>
      </c>
      <c r="I27" s="2">
        <v>0.53100000000000003</v>
      </c>
      <c r="J27" s="2">
        <v>0.52100000000000002</v>
      </c>
      <c r="K27" s="2">
        <v>0.55000000000000004</v>
      </c>
      <c r="L27" s="1">
        <v>0</v>
      </c>
    </row>
    <row r="28" spans="1:12" hidden="1" x14ac:dyDescent="0.35">
      <c r="A28" t="s">
        <v>12</v>
      </c>
      <c r="B28">
        <v>27</v>
      </c>
      <c r="C28" t="s">
        <v>39</v>
      </c>
      <c r="D28" s="3">
        <v>2.597560976</v>
      </c>
      <c r="E28" s="9">
        <v>0.35199782760493398</v>
      </c>
      <c r="F28" s="3">
        <v>46</v>
      </c>
      <c r="G28" s="2">
        <v>0.89300000000000002</v>
      </c>
      <c r="H28" s="2">
        <v>0.21</v>
      </c>
      <c r="I28" s="2">
        <v>0.66300000000000003</v>
      </c>
      <c r="J28" s="2">
        <v>0.372</v>
      </c>
      <c r="K28" s="2">
        <v>0.28749999999999998</v>
      </c>
      <c r="L28" s="1">
        <v>0</v>
      </c>
    </row>
    <row r="29" spans="1:12" hidden="1" x14ac:dyDescent="0.35">
      <c r="A29" t="s">
        <v>12</v>
      </c>
      <c r="B29">
        <v>28</v>
      </c>
      <c r="C29" t="s">
        <v>40</v>
      </c>
      <c r="D29" s="3">
        <v>2.9878048779999999</v>
      </c>
      <c r="E29" s="9">
        <v>0.39691461293799501</v>
      </c>
      <c r="F29" s="3">
        <v>50.4</v>
      </c>
      <c r="G29" s="2">
        <v>0.88100000000000001</v>
      </c>
      <c r="H29" s="2">
        <v>0.42599999999999999</v>
      </c>
      <c r="I29" s="2">
        <v>0.73699999999999999</v>
      </c>
      <c r="J29" s="2">
        <v>0.38400000000000001</v>
      </c>
      <c r="K29" s="2">
        <v>0.3125</v>
      </c>
      <c r="L29" s="1">
        <v>0</v>
      </c>
    </row>
    <row r="30" spans="1:12" hidden="1" x14ac:dyDescent="0.35">
      <c r="A30" t="s">
        <v>12</v>
      </c>
      <c r="B30">
        <v>29</v>
      </c>
      <c r="C30" t="s">
        <v>41</v>
      </c>
      <c r="D30" s="3">
        <v>2.5609756099999998</v>
      </c>
      <c r="E30" s="9">
        <v>0.337837837837838</v>
      </c>
      <c r="F30" s="3">
        <v>46.6</v>
      </c>
      <c r="G30" s="2">
        <v>0.89400000000000002</v>
      </c>
      <c r="H30" s="2">
        <v>0.20499999999999999</v>
      </c>
      <c r="I30" s="2">
        <v>0.69699999999999995</v>
      </c>
      <c r="J30" s="2">
        <v>0.123</v>
      </c>
      <c r="K30" s="2">
        <v>0.42499999999999999</v>
      </c>
      <c r="L30" s="1">
        <v>0</v>
      </c>
    </row>
    <row r="31" spans="1:12" hidden="1" x14ac:dyDescent="0.35">
      <c r="A31" t="s">
        <v>12</v>
      </c>
      <c r="B31">
        <v>30</v>
      </c>
      <c r="C31" t="s">
        <v>42</v>
      </c>
      <c r="D31" s="3">
        <v>2.597560976</v>
      </c>
      <c r="E31" s="9">
        <v>0.36</v>
      </c>
      <c r="F31" s="3">
        <v>50.7</v>
      </c>
      <c r="G31" s="2">
        <v>0.88</v>
      </c>
      <c r="H31" s="2">
        <v>0.216</v>
      </c>
      <c r="I31" s="2">
        <v>0.60599999999999998</v>
      </c>
      <c r="J31" s="2">
        <v>0.16300000000000001</v>
      </c>
      <c r="K31" s="2">
        <v>0.36249999999999999</v>
      </c>
      <c r="L31" s="1">
        <v>0</v>
      </c>
    </row>
    <row r="32" spans="1:12" hidden="1" x14ac:dyDescent="0.35">
      <c r="A32" t="s">
        <v>12</v>
      </c>
      <c r="B32">
        <v>31</v>
      </c>
      <c r="C32" t="s">
        <v>43</v>
      </c>
      <c r="D32" s="3">
        <v>2.5121951220000001</v>
      </c>
      <c r="E32" s="9">
        <v>0.30769230769230799</v>
      </c>
      <c r="F32" s="3">
        <v>43.9</v>
      </c>
      <c r="G32" s="2">
        <v>0.89400000000000002</v>
      </c>
      <c r="H32" s="2">
        <v>0.159</v>
      </c>
      <c r="I32" s="2">
        <v>0.81100000000000005</v>
      </c>
      <c r="J32" s="2">
        <v>0.14299999999999999</v>
      </c>
      <c r="K32" s="2">
        <v>0.57499999999999996</v>
      </c>
      <c r="L32" s="1">
        <v>0</v>
      </c>
    </row>
    <row r="33" spans="1:12" hidden="1" x14ac:dyDescent="0.35">
      <c r="A33" t="s">
        <v>12</v>
      </c>
      <c r="B33">
        <v>32</v>
      </c>
      <c r="C33" t="s">
        <v>44</v>
      </c>
      <c r="D33" s="3">
        <v>2.6585365849999998</v>
      </c>
      <c r="E33" s="9">
        <v>0.32107990514346701</v>
      </c>
      <c r="F33" s="3">
        <v>47</v>
      </c>
      <c r="G33" s="2">
        <v>0.88800000000000001</v>
      </c>
      <c r="H33" s="2">
        <v>0.25</v>
      </c>
      <c r="I33" s="2">
        <v>0.84599999999999997</v>
      </c>
      <c r="J33" s="2">
        <v>0.157</v>
      </c>
      <c r="K33" s="2">
        <v>0.57499999999999996</v>
      </c>
      <c r="L33" s="1">
        <v>0</v>
      </c>
    </row>
    <row r="34" spans="1:12" hidden="1" x14ac:dyDescent="0.35">
      <c r="A34" t="s">
        <v>45</v>
      </c>
      <c r="B34">
        <v>1</v>
      </c>
      <c r="C34" t="s">
        <v>22</v>
      </c>
      <c r="D34" s="3">
        <v>3.6707317069999998</v>
      </c>
      <c r="E34" s="9">
        <v>0.74953051448993602</v>
      </c>
      <c r="F34" s="3">
        <v>51.5</v>
      </c>
      <c r="G34" s="2">
        <v>0.92900000000000005</v>
      </c>
      <c r="H34" s="2">
        <v>0.74399999999999999</v>
      </c>
      <c r="I34" s="2">
        <v>0</v>
      </c>
      <c r="J34" s="2">
        <v>0.86599999999999999</v>
      </c>
      <c r="K34" s="2">
        <v>0.61250000000000004</v>
      </c>
      <c r="L34" s="1">
        <v>0</v>
      </c>
    </row>
    <row r="35" spans="1:12" hidden="1" x14ac:dyDescent="0.35">
      <c r="A35" t="s">
        <v>45</v>
      </c>
      <c r="B35">
        <v>2</v>
      </c>
      <c r="C35" t="s">
        <v>15</v>
      </c>
      <c r="D35" s="3">
        <v>3.195121951</v>
      </c>
      <c r="E35" s="9">
        <v>0.60884836443624502</v>
      </c>
      <c r="F35" s="3">
        <v>60.2</v>
      </c>
      <c r="G35" s="2">
        <v>0.90200000000000002</v>
      </c>
      <c r="H35" s="2">
        <v>0.53400000000000003</v>
      </c>
      <c r="I35" s="2">
        <v>0.17699999999999999</v>
      </c>
      <c r="J35" s="2">
        <v>0.67800000000000005</v>
      </c>
      <c r="K35" s="2">
        <v>0.23749999999999999</v>
      </c>
      <c r="L35" s="1">
        <v>0</v>
      </c>
    </row>
    <row r="36" spans="1:12" hidden="1" x14ac:dyDescent="0.35">
      <c r="A36" t="s">
        <v>45</v>
      </c>
      <c r="B36">
        <v>3</v>
      </c>
      <c r="C36" t="s">
        <v>40</v>
      </c>
      <c r="D36" s="3">
        <v>3.5243902440000001</v>
      </c>
      <c r="E36" s="9">
        <v>0.62889951432551505</v>
      </c>
      <c r="F36" s="3">
        <v>53.8</v>
      </c>
      <c r="G36" s="2">
        <v>0.90400000000000003</v>
      </c>
      <c r="H36" s="2">
        <v>0.69299999999999995</v>
      </c>
      <c r="I36" s="2">
        <v>0.25700000000000001</v>
      </c>
      <c r="J36" s="2">
        <v>0.69</v>
      </c>
      <c r="K36" s="2">
        <v>0.26250000000000001</v>
      </c>
      <c r="L36" s="1">
        <v>0</v>
      </c>
    </row>
    <row r="37" spans="1:12" hidden="1" x14ac:dyDescent="0.35">
      <c r="A37" t="s">
        <v>45</v>
      </c>
      <c r="B37">
        <v>4</v>
      </c>
      <c r="C37" t="s">
        <v>29</v>
      </c>
      <c r="D37" s="3">
        <v>3.2560975609999998</v>
      </c>
      <c r="E37" s="9">
        <v>0.58474826517053002</v>
      </c>
      <c r="F37" s="3">
        <v>48.4</v>
      </c>
      <c r="G37" s="2">
        <v>0.91100000000000003</v>
      </c>
      <c r="H37" s="2">
        <v>0.55100000000000005</v>
      </c>
      <c r="I37" s="2">
        <v>0.29699999999999999</v>
      </c>
      <c r="J37" s="2">
        <v>0.45300000000000001</v>
      </c>
      <c r="K37" s="2">
        <v>0.2</v>
      </c>
      <c r="L37" s="1">
        <v>1</v>
      </c>
    </row>
    <row r="38" spans="1:12" hidden="1" x14ac:dyDescent="0.35">
      <c r="A38" t="s">
        <v>45</v>
      </c>
      <c r="B38">
        <v>5</v>
      </c>
      <c r="C38" t="s">
        <v>16</v>
      </c>
      <c r="D38" s="3">
        <v>3.3902439019999999</v>
      </c>
      <c r="E38" s="9">
        <v>0.61490722765029804</v>
      </c>
      <c r="F38" s="3">
        <v>50.9</v>
      </c>
      <c r="G38" s="2">
        <v>0.90900000000000003</v>
      </c>
      <c r="H38" s="2">
        <v>0.63100000000000001</v>
      </c>
      <c r="I38" s="2">
        <v>0.25700000000000001</v>
      </c>
      <c r="J38" s="2">
        <v>0.80800000000000005</v>
      </c>
      <c r="K38" s="2">
        <v>0.35</v>
      </c>
      <c r="L38" s="1">
        <v>0</v>
      </c>
    </row>
    <row r="39" spans="1:12" hidden="1" x14ac:dyDescent="0.35">
      <c r="A39" t="s">
        <v>45</v>
      </c>
      <c r="B39">
        <v>6</v>
      </c>
      <c r="C39" t="s">
        <v>14</v>
      </c>
      <c r="D39" s="3">
        <v>3.3414634150000002</v>
      </c>
      <c r="E39" s="9">
        <v>0.60154641240334905</v>
      </c>
      <c r="F39" s="3">
        <v>52.4</v>
      </c>
      <c r="G39" s="2">
        <v>0.91200000000000003</v>
      </c>
      <c r="H39" s="2">
        <v>0.59699999999999998</v>
      </c>
      <c r="I39" s="2">
        <v>0.28599999999999998</v>
      </c>
      <c r="J39" s="2">
        <v>0.65700000000000003</v>
      </c>
      <c r="K39" s="2">
        <v>0.32500000000000001</v>
      </c>
      <c r="L39" s="1">
        <v>0</v>
      </c>
    </row>
    <row r="40" spans="1:12" hidden="1" x14ac:dyDescent="0.35">
      <c r="A40" t="s">
        <v>45</v>
      </c>
      <c r="B40">
        <v>7</v>
      </c>
      <c r="C40" t="s">
        <v>23</v>
      </c>
      <c r="D40" s="3">
        <v>3.9634146339999998</v>
      </c>
      <c r="E40" s="9">
        <v>0.61710903768966097</v>
      </c>
      <c r="F40" s="3">
        <v>52.2</v>
      </c>
      <c r="G40" s="2">
        <v>0.9</v>
      </c>
      <c r="H40" s="2">
        <v>0.89800000000000002</v>
      </c>
      <c r="I40" s="2">
        <v>0.46899999999999997</v>
      </c>
      <c r="J40" s="2">
        <v>0.86</v>
      </c>
      <c r="K40" s="2">
        <v>0.375</v>
      </c>
      <c r="L40" s="1">
        <v>0</v>
      </c>
    </row>
    <row r="41" spans="1:12" hidden="1" x14ac:dyDescent="0.35">
      <c r="A41" t="s">
        <v>45</v>
      </c>
      <c r="B41">
        <v>8</v>
      </c>
      <c r="C41" t="s">
        <v>27</v>
      </c>
      <c r="D41" s="3">
        <v>3.4268292680000001</v>
      </c>
      <c r="E41" s="9">
        <v>0.63074944482609896</v>
      </c>
      <c r="F41" s="3">
        <v>51.6</v>
      </c>
      <c r="G41" s="2">
        <v>0.91200000000000003</v>
      </c>
      <c r="H41" s="2">
        <v>0.61899999999999999</v>
      </c>
      <c r="I41" s="2">
        <v>0.22900000000000001</v>
      </c>
      <c r="J41" s="2">
        <v>0.82899999999999996</v>
      </c>
      <c r="K41" s="2">
        <v>0.27500000000000002</v>
      </c>
      <c r="L41" s="1">
        <v>0</v>
      </c>
    </row>
    <row r="42" spans="1:12" hidden="1" x14ac:dyDescent="0.35">
      <c r="A42" t="s">
        <v>45</v>
      </c>
      <c r="B42">
        <v>9</v>
      </c>
      <c r="C42" t="s">
        <v>20</v>
      </c>
      <c r="D42" s="3">
        <v>3.3292682930000002</v>
      </c>
      <c r="E42" s="9">
        <v>0.61500185666542895</v>
      </c>
      <c r="F42" s="3">
        <v>49.8</v>
      </c>
      <c r="G42" s="2">
        <v>0.91</v>
      </c>
      <c r="H42" s="2">
        <v>0.57399999999999995</v>
      </c>
      <c r="I42" s="2">
        <v>0.25700000000000001</v>
      </c>
      <c r="J42" s="2">
        <v>0.71699999999999997</v>
      </c>
      <c r="K42" s="2">
        <v>0.25</v>
      </c>
      <c r="L42" s="1">
        <v>0</v>
      </c>
    </row>
    <row r="43" spans="1:12" hidden="1" x14ac:dyDescent="0.35">
      <c r="A43" t="s">
        <v>45</v>
      </c>
      <c r="B43">
        <v>10</v>
      </c>
      <c r="C43" t="s">
        <v>26</v>
      </c>
      <c r="D43" s="3">
        <v>3.3414634150000002</v>
      </c>
      <c r="E43" s="9">
        <v>0.53782451716430701</v>
      </c>
      <c r="F43" s="3">
        <v>52.3</v>
      </c>
      <c r="G43" s="2">
        <v>0.88900000000000001</v>
      </c>
      <c r="H43" s="2">
        <v>0.58499999999999996</v>
      </c>
      <c r="I43" s="2">
        <v>0.44</v>
      </c>
      <c r="J43" s="2">
        <v>0.57199999999999995</v>
      </c>
      <c r="K43" s="2">
        <v>0.375</v>
      </c>
      <c r="L43" s="1">
        <v>0</v>
      </c>
    </row>
    <row r="44" spans="1:12" hidden="1" x14ac:dyDescent="0.35">
      <c r="A44" t="s">
        <v>45</v>
      </c>
      <c r="B44">
        <v>11</v>
      </c>
      <c r="C44" t="s">
        <v>17</v>
      </c>
      <c r="D44" s="3">
        <v>2.914634146</v>
      </c>
      <c r="E44" s="9">
        <v>0.54358500980186897</v>
      </c>
      <c r="F44" s="3">
        <v>49.6</v>
      </c>
      <c r="G44" s="2">
        <v>0.91400000000000003</v>
      </c>
      <c r="H44" s="2">
        <v>0.36899999999999999</v>
      </c>
      <c r="I44" s="2">
        <v>0.25700000000000001</v>
      </c>
      <c r="J44" s="2">
        <v>0.65400000000000003</v>
      </c>
      <c r="K44" s="2">
        <v>0.71250000000000002</v>
      </c>
      <c r="L44" s="1">
        <v>0</v>
      </c>
    </row>
    <row r="45" spans="1:12" hidden="1" x14ac:dyDescent="0.35">
      <c r="A45" t="s">
        <v>45</v>
      </c>
      <c r="B45">
        <v>12</v>
      </c>
      <c r="C45" t="s">
        <v>42</v>
      </c>
      <c r="D45" s="3">
        <v>3.5243902440000001</v>
      </c>
      <c r="E45" s="9">
        <v>0.56807345689508604</v>
      </c>
      <c r="F45" s="3">
        <v>52.9</v>
      </c>
      <c r="G45" s="2">
        <v>0.88600000000000001</v>
      </c>
      <c r="H45" s="2">
        <v>0.65900000000000003</v>
      </c>
      <c r="I45" s="2">
        <v>0.42299999999999999</v>
      </c>
      <c r="J45" s="2">
        <v>0.40799999999999997</v>
      </c>
      <c r="K45" s="2">
        <v>0.36249999999999999</v>
      </c>
      <c r="L45" s="1">
        <v>0</v>
      </c>
    </row>
    <row r="46" spans="1:12" hidden="1" x14ac:dyDescent="0.35">
      <c r="A46" t="s">
        <v>45</v>
      </c>
      <c r="B46">
        <v>13</v>
      </c>
      <c r="C46" t="s">
        <v>19</v>
      </c>
      <c r="D46" s="3">
        <v>3.414634146</v>
      </c>
      <c r="E46" s="9">
        <v>0.55248618784530401</v>
      </c>
      <c r="F46" s="3">
        <v>51.6</v>
      </c>
      <c r="G46" s="2">
        <v>0.90200000000000002</v>
      </c>
      <c r="H46" s="2">
        <v>0.63600000000000001</v>
      </c>
      <c r="I46" s="2">
        <v>0.46899999999999997</v>
      </c>
      <c r="J46" s="2">
        <v>0.71</v>
      </c>
      <c r="K46" s="2">
        <v>0.8125</v>
      </c>
      <c r="L46" s="1">
        <v>0</v>
      </c>
    </row>
    <row r="47" spans="1:12" hidden="1" x14ac:dyDescent="0.35">
      <c r="A47" t="s">
        <v>45</v>
      </c>
      <c r="B47">
        <v>14</v>
      </c>
      <c r="C47" t="s">
        <v>31</v>
      </c>
      <c r="D47" s="3">
        <v>3</v>
      </c>
      <c r="E47" s="9">
        <v>0.54670617569472002</v>
      </c>
      <c r="F47" s="3">
        <v>51.7</v>
      </c>
      <c r="G47" s="2">
        <v>0.91</v>
      </c>
      <c r="H47" s="2">
        <v>0.41499999999999998</v>
      </c>
      <c r="I47" s="2">
        <v>0.28599999999999998</v>
      </c>
      <c r="J47" s="2">
        <v>0.59199999999999997</v>
      </c>
      <c r="K47" s="2">
        <v>0.36249999999999999</v>
      </c>
      <c r="L47" s="1">
        <v>0</v>
      </c>
    </row>
    <row r="48" spans="1:12" hidden="1" x14ac:dyDescent="0.35">
      <c r="A48" t="s">
        <v>45</v>
      </c>
      <c r="B48">
        <v>15</v>
      </c>
      <c r="C48" t="s">
        <v>18</v>
      </c>
      <c r="D48" s="3">
        <v>3.1463414630000002</v>
      </c>
      <c r="E48" s="9">
        <v>0.52177184827510503</v>
      </c>
      <c r="F48" s="3">
        <v>57.2</v>
      </c>
      <c r="G48" s="2">
        <v>0.89</v>
      </c>
      <c r="H48" s="2">
        <v>0.51700000000000002</v>
      </c>
      <c r="I48" s="2">
        <v>0.4</v>
      </c>
      <c r="J48" s="2">
        <v>0.61799999999999999</v>
      </c>
      <c r="K48" s="2">
        <v>0.45</v>
      </c>
      <c r="L48" s="1">
        <v>0</v>
      </c>
    </row>
    <row r="49" spans="1:12" hidden="1" x14ac:dyDescent="0.35">
      <c r="A49" t="s">
        <v>45</v>
      </c>
      <c r="B49">
        <v>16</v>
      </c>
      <c r="C49" t="s">
        <v>32</v>
      </c>
      <c r="D49" s="3">
        <v>2.9512195120000002</v>
      </c>
      <c r="E49" s="9">
        <v>0.55430513094753597</v>
      </c>
      <c r="F49" s="3">
        <v>49.8</v>
      </c>
      <c r="G49" s="2">
        <v>0.91500000000000004</v>
      </c>
      <c r="H49" s="2">
        <v>0.41499999999999998</v>
      </c>
      <c r="I49" s="2">
        <v>0.26900000000000002</v>
      </c>
      <c r="J49" s="2">
        <v>0.46100000000000002</v>
      </c>
      <c r="K49" s="2">
        <v>0.3</v>
      </c>
      <c r="L49" s="1">
        <v>0</v>
      </c>
    </row>
    <row r="50" spans="1:12" hidden="1" x14ac:dyDescent="0.35">
      <c r="A50" t="s">
        <v>45</v>
      </c>
      <c r="B50">
        <v>17</v>
      </c>
      <c r="C50" t="s">
        <v>13</v>
      </c>
      <c r="D50" s="3">
        <v>3.5121951220000001</v>
      </c>
      <c r="E50" s="9">
        <v>0.52854812398042395</v>
      </c>
      <c r="F50" s="3">
        <v>54.3</v>
      </c>
      <c r="G50" s="2">
        <v>0.89600000000000002</v>
      </c>
      <c r="H50" s="2">
        <v>0.69899999999999995</v>
      </c>
      <c r="I50" s="2">
        <v>0.57099999999999995</v>
      </c>
      <c r="J50" s="2">
        <v>0.49</v>
      </c>
      <c r="K50" s="2">
        <v>0.82499999999999996</v>
      </c>
      <c r="L50" s="1">
        <v>0</v>
      </c>
    </row>
    <row r="51" spans="1:12" hidden="1" x14ac:dyDescent="0.35">
      <c r="A51" t="s">
        <v>45</v>
      </c>
      <c r="B51">
        <v>18</v>
      </c>
      <c r="C51" t="s">
        <v>28</v>
      </c>
      <c r="D51" s="3">
        <v>2.7195121950000001</v>
      </c>
      <c r="E51" s="9">
        <v>0.47170026084894501</v>
      </c>
      <c r="F51" s="3">
        <v>47.1</v>
      </c>
      <c r="G51" s="2">
        <v>0.91400000000000003</v>
      </c>
      <c r="H51" s="2">
        <v>0.28399999999999997</v>
      </c>
      <c r="I51" s="2">
        <v>0.377</v>
      </c>
      <c r="J51" s="2">
        <v>0.53800000000000003</v>
      </c>
      <c r="K51" s="2">
        <v>0.5</v>
      </c>
      <c r="L51" s="1">
        <v>0</v>
      </c>
    </row>
    <row r="52" spans="1:12" hidden="1" x14ac:dyDescent="0.35">
      <c r="A52" t="s">
        <v>45</v>
      </c>
      <c r="B52">
        <v>19</v>
      </c>
      <c r="C52" t="s">
        <v>36</v>
      </c>
      <c r="D52" s="3">
        <v>3.5731707319999999</v>
      </c>
      <c r="E52" s="9">
        <v>0.49322065058773501</v>
      </c>
      <c r="F52" s="3">
        <v>51.4</v>
      </c>
      <c r="G52" s="2">
        <v>0.89</v>
      </c>
      <c r="H52" s="2">
        <v>0.70499999999999996</v>
      </c>
      <c r="I52" s="2">
        <v>0.74299999999999999</v>
      </c>
      <c r="J52" s="2">
        <v>0.40799999999999997</v>
      </c>
      <c r="K52" s="2">
        <v>0.22500000000000001</v>
      </c>
      <c r="L52" s="1">
        <v>0</v>
      </c>
    </row>
    <row r="53" spans="1:12" hidden="1" x14ac:dyDescent="0.35">
      <c r="A53" t="s">
        <v>45</v>
      </c>
      <c r="B53">
        <v>20</v>
      </c>
      <c r="C53" t="s">
        <v>24</v>
      </c>
      <c r="D53" s="3">
        <v>3.1829268289999999</v>
      </c>
      <c r="E53" s="9">
        <v>0.49618326170879201</v>
      </c>
      <c r="F53" s="3">
        <v>52</v>
      </c>
      <c r="G53" s="2">
        <v>0.90200000000000002</v>
      </c>
      <c r="H53" s="2">
        <v>0.54</v>
      </c>
      <c r="I53" s="2">
        <v>0.52600000000000002</v>
      </c>
      <c r="J53" s="2">
        <v>0.56100000000000005</v>
      </c>
      <c r="K53" s="2">
        <v>0.375</v>
      </c>
      <c r="L53" s="1">
        <v>0</v>
      </c>
    </row>
    <row r="54" spans="1:12" hidden="1" x14ac:dyDescent="0.35">
      <c r="A54" t="s">
        <v>45</v>
      </c>
      <c r="B54">
        <v>21</v>
      </c>
      <c r="C54" t="s">
        <v>38</v>
      </c>
      <c r="D54" s="3">
        <v>3.1585365849999998</v>
      </c>
      <c r="E54" s="9">
        <v>0.47921503632635898</v>
      </c>
      <c r="F54" s="3">
        <v>51.5</v>
      </c>
      <c r="G54" s="2">
        <v>0.89500000000000002</v>
      </c>
      <c r="H54" s="2">
        <v>0.49399999999999999</v>
      </c>
      <c r="I54" s="2">
        <v>0.54300000000000004</v>
      </c>
      <c r="J54" s="2">
        <v>0.65900000000000003</v>
      </c>
      <c r="K54" s="2">
        <v>0.85</v>
      </c>
      <c r="L54" s="1">
        <v>0</v>
      </c>
    </row>
    <row r="55" spans="1:12" hidden="1" x14ac:dyDescent="0.35">
      <c r="A55" t="s">
        <v>45</v>
      </c>
      <c r="B55">
        <v>22</v>
      </c>
      <c r="C55" t="s">
        <v>30</v>
      </c>
      <c r="D55" s="3">
        <v>3.292682927</v>
      </c>
      <c r="E55" s="9">
        <v>0.45416033292631303</v>
      </c>
      <c r="F55" s="3">
        <v>47.6</v>
      </c>
      <c r="G55" s="2">
        <v>0.88300000000000001</v>
      </c>
      <c r="H55" s="2">
        <v>0.54500000000000004</v>
      </c>
      <c r="I55" s="2">
        <v>0.70299999999999996</v>
      </c>
      <c r="J55" s="2">
        <v>0.33400000000000002</v>
      </c>
      <c r="K55" s="2">
        <v>0.42499999999999999</v>
      </c>
      <c r="L55" s="1">
        <v>0</v>
      </c>
    </row>
    <row r="56" spans="1:12" hidden="1" x14ac:dyDescent="0.35">
      <c r="A56" t="s">
        <v>45</v>
      </c>
      <c r="B56">
        <v>23</v>
      </c>
      <c r="C56" t="s">
        <v>21</v>
      </c>
      <c r="D56" s="3">
        <v>3.1707317069999998</v>
      </c>
      <c r="E56" s="9">
        <v>0.43221400987186998</v>
      </c>
      <c r="F56" s="3">
        <v>46.1</v>
      </c>
      <c r="G56" s="2">
        <v>0.88800000000000001</v>
      </c>
      <c r="H56" s="2">
        <v>0.49399999999999999</v>
      </c>
      <c r="I56" s="2">
        <v>0.74299999999999999</v>
      </c>
      <c r="J56" s="2">
        <v>0.24199999999999999</v>
      </c>
      <c r="K56" s="2">
        <v>0.27500000000000002</v>
      </c>
      <c r="L56" s="1">
        <v>0</v>
      </c>
    </row>
    <row r="57" spans="1:12" hidden="1" x14ac:dyDescent="0.35">
      <c r="A57" t="s">
        <v>45</v>
      </c>
      <c r="B57">
        <v>24</v>
      </c>
      <c r="C57" t="s">
        <v>25</v>
      </c>
      <c r="D57" s="3">
        <v>3.085365854</v>
      </c>
      <c r="E57" s="9">
        <v>0.484439567093014</v>
      </c>
      <c r="F57" s="3">
        <v>49.8</v>
      </c>
      <c r="G57" s="2">
        <v>0.89800000000000002</v>
      </c>
      <c r="H57" s="2">
        <v>0.46600000000000003</v>
      </c>
      <c r="I57" s="2">
        <v>0.50900000000000001</v>
      </c>
      <c r="J57" s="2">
        <v>0.64100000000000001</v>
      </c>
      <c r="K57" s="2">
        <v>0.38750000000000001</v>
      </c>
      <c r="L57" s="1">
        <v>0</v>
      </c>
    </row>
    <row r="58" spans="1:12" hidden="1" x14ac:dyDescent="0.35">
      <c r="A58" t="s">
        <v>45</v>
      </c>
      <c r="B58">
        <v>25</v>
      </c>
      <c r="C58" t="s">
        <v>37</v>
      </c>
      <c r="D58" s="3">
        <v>2.8902439019999999</v>
      </c>
      <c r="E58" s="9">
        <v>0.42618783859659798</v>
      </c>
      <c r="F58" s="3">
        <v>46.1</v>
      </c>
      <c r="G58" s="2">
        <v>0.89</v>
      </c>
      <c r="H58" s="2">
        <v>0.34100000000000003</v>
      </c>
      <c r="I58" s="2">
        <v>0.56000000000000005</v>
      </c>
      <c r="J58" s="2">
        <v>0.51300000000000001</v>
      </c>
      <c r="K58" s="2">
        <v>0.3125</v>
      </c>
      <c r="L58" s="1">
        <v>0</v>
      </c>
    </row>
    <row r="59" spans="1:12" hidden="1" x14ac:dyDescent="0.35">
      <c r="A59" t="s">
        <v>45</v>
      </c>
      <c r="B59">
        <v>26</v>
      </c>
      <c r="C59" t="s">
        <v>41</v>
      </c>
      <c r="D59" s="3">
        <v>2.6829268289999999</v>
      </c>
      <c r="E59" s="9">
        <v>0.38851785255587001</v>
      </c>
      <c r="F59" s="3">
        <v>47.4</v>
      </c>
      <c r="G59" s="2">
        <v>0.89300000000000002</v>
      </c>
      <c r="H59" s="2">
        <v>0.26700000000000002</v>
      </c>
      <c r="I59" s="2">
        <v>0.58899999999999997</v>
      </c>
      <c r="J59" s="2">
        <v>0.191</v>
      </c>
      <c r="K59" s="2">
        <v>0.6</v>
      </c>
      <c r="L59" s="1">
        <v>0</v>
      </c>
    </row>
    <row r="60" spans="1:12" hidden="1" x14ac:dyDescent="0.35">
      <c r="A60" t="s">
        <v>45</v>
      </c>
      <c r="B60">
        <v>27</v>
      </c>
      <c r="C60" t="s">
        <v>43</v>
      </c>
      <c r="D60" s="3">
        <v>2.7439024390000002</v>
      </c>
      <c r="E60" s="9">
        <v>0.36778060297856902</v>
      </c>
      <c r="F60" s="3">
        <v>45</v>
      </c>
      <c r="G60" s="2">
        <v>0.89700000000000002</v>
      </c>
      <c r="H60" s="2">
        <v>0.27300000000000002</v>
      </c>
      <c r="I60" s="2">
        <v>0.71399999999999997</v>
      </c>
      <c r="J60" s="2">
        <v>0.30599999999999999</v>
      </c>
      <c r="K60" s="2">
        <v>0.78749999999999998</v>
      </c>
      <c r="L60" s="1">
        <v>0</v>
      </c>
    </row>
    <row r="61" spans="1:12" hidden="1" x14ac:dyDescent="0.35">
      <c r="A61" t="s">
        <v>45</v>
      </c>
      <c r="B61">
        <v>28</v>
      </c>
      <c r="C61" t="s">
        <v>44</v>
      </c>
      <c r="D61" s="3">
        <v>2.7682926829999999</v>
      </c>
      <c r="E61" s="9">
        <v>0.356468862847102</v>
      </c>
      <c r="F61" s="3">
        <v>45.4</v>
      </c>
      <c r="G61" s="2">
        <v>0.88900000000000001</v>
      </c>
      <c r="H61" s="2">
        <v>0.28399999999999997</v>
      </c>
      <c r="I61" s="2">
        <v>0.77700000000000002</v>
      </c>
      <c r="J61" s="2">
        <v>0.14199999999999999</v>
      </c>
      <c r="K61" s="2">
        <v>0.75</v>
      </c>
      <c r="L61" s="1">
        <v>0</v>
      </c>
    </row>
    <row r="62" spans="1:12" hidden="1" x14ac:dyDescent="0.35">
      <c r="A62" t="s">
        <v>45</v>
      </c>
      <c r="B62">
        <v>29</v>
      </c>
      <c r="C62" t="s">
        <v>34</v>
      </c>
      <c r="D62" s="3">
        <v>2.8414634150000002</v>
      </c>
      <c r="E62" s="9">
        <v>0.353642013106297</v>
      </c>
      <c r="F62" s="3">
        <v>48.6</v>
      </c>
      <c r="G62" s="2">
        <v>0.88100000000000001</v>
      </c>
      <c r="H62" s="2">
        <v>0.35199999999999998</v>
      </c>
      <c r="I62" s="2">
        <v>0.81699999999999995</v>
      </c>
      <c r="J62" s="2">
        <v>0.56000000000000005</v>
      </c>
      <c r="K62" s="2">
        <v>0.3</v>
      </c>
      <c r="L62" s="1">
        <v>0</v>
      </c>
    </row>
    <row r="63" spans="1:12" hidden="1" x14ac:dyDescent="0.35">
      <c r="A63" t="s">
        <v>45</v>
      </c>
      <c r="B63">
        <v>30</v>
      </c>
      <c r="C63" t="s">
        <v>39</v>
      </c>
      <c r="D63" s="3">
        <v>2.4634146339999998</v>
      </c>
      <c r="E63" s="9">
        <v>0.31338274259821097</v>
      </c>
      <c r="F63" s="3">
        <v>43.9</v>
      </c>
      <c r="G63" s="2">
        <v>0.89200000000000002</v>
      </c>
      <c r="H63" s="2">
        <v>0.14799999999999999</v>
      </c>
      <c r="I63" s="2">
        <v>0.76</v>
      </c>
      <c r="J63" s="2">
        <v>0.27300000000000002</v>
      </c>
      <c r="K63" s="2">
        <v>0.375</v>
      </c>
      <c r="L63" s="1">
        <v>0</v>
      </c>
    </row>
    <row r="64" spans="1:12" hidden="1" x14ac:dyDescent="0.35">
      <c r="A64" t="s">
        <v>45</v>
      </c>
      <c r="B64">
        <v>31</v>
      </c>
      <c r="C64" t="s">
        <v>33</v>
      </c>
      <c r="D64" s="3">
        <v>2.597560976</v>
      </c>
      <c r="E64" s="9">
        <v>0.29535186511294798</v>
      </c>
      <c r="F64" s="3">
        <v>45</v>
      </c>
      <c r="G64" s="2">
        <v>0.88700000000000001</v>
      </c>
      <c r="H64" s="2">
        <v>0.222</v>
      </c>
      <c r="I64" s="2">
        <v>0.92600000000000005</v>
      </c>
      <c r="J64" s="2">
        <v>0.30199999999999999</v>
      </c>
      <c r="K64" s="2">
        <v>0.3</v>
      </c>
      <c r="L64" s="1">
        <v>0</v>
      </c>
    </row>
    <row r="65" spans="1:12" hidden="1" x14ac:dyDescent="0.35">
      <c r="A65" t="s">
        <v>45</v>
      </c>
      <c r="B65">
        <v>32</v>
      </c>
      <c r="C65" t="s">
        <v>35</v>
      </c>
      <c r="D65" s="3">
        <v>2.5121951220000001</v>
      </c>
      <c r="E65" s="9">
        <v>0.27438074239789001</v>
      </c>
      <c r="F65" s="3">
        <v>42.6</v>
      </c>
      <c r="G65" s="2">
        <v>0.89600000000000002</v>
      </c>
      <c r="H65" s="2">
        <v>0.16500000000000001</v>
      </c>
      <c r="I65" s="2">
        <v>1</v>
      </c>
      <c r="J65" s="2">
        <v>0.108</v>
      </c>
      <c r="K65" s="2">
        <v>0.71250000000000002</v>
      </c>
      <c r="L65" s="1">
        <v>0</v>
      </c>
    </row>
    <row r="66" spans="1:12" hidden="1" x14ac:dyDescent="0.35">
      <c r="A66" t="s">
        <v>46</v>
      </c>
      <c r="B66">
        <v>1</v>
      </c>
      <c r="C66" t="s">
        <v>20</v>
      </c>
      <c r="D66" s="3">
        <v>3.3902439019999999</v>
      </c>
      <c r="E66" s="9">
        <v>0.60208787784356499</v>
      </c>
      <c r="F66" s="3">
        <v>50.5</v>
      </c>
      <c r="G66" s="2">
        <v>0.90700000000000003</v>
      </c>
      <c r="H66" s="2">
        <v>0.58499999999999996</v>
      </c>
      <c r="I66" s="2">
        <v>0.29099999999999998</v>
      </c>
      <c r="J66" s="2">
        <v>0.91500000000000004</v>
      </c>
      <c r="K66" s="2">
        <v>0.47499999999999998</v>
      </c>
      <c r="L66" s="1">
        <v>0</v>
      </c>
    </row>
    <row r="67" spans="1:12" hidden="1" x14ac:dyDescent="0.35">
      <c r="A67" t="s">
        <v>46</v>
      </c>
      <c r="B67">
        <v>2</v>
      </c>
      <c r="C67" t="s">
        <v>27</v>
      </c>
      <c r="D67" s="3">
        <v>3.585365854</v>
      </c>
      <c r="E67" s="9">
        <v>0.61625552545273099</v>
      </c>
      <c r="F67" s="3">
        <v>53.7</v>
      </c>
      <c r="G67" s="2">
        <v>0.90100000000000002</v>
      </c>
      <c r="H67" s="2">
        <v>0.69299999999999995</v>
      </c>
      <c r="I67" s="2">
        <v>0.30299999999999999</v>
      </c>
      <c r="J67" s="2">
        <v>0.749</v>
      </c>
      <c r="K67" s="2">
        <v>0.15</v>
      </c>
      <c r="L67" s="1">
        <v>0</v>
      </c>
    </row>
    <row r="68" spans="1:12" hidden="1" x14ac:dyDescent="0.35">
      <c r="A68" t="s">
        <v>46</v>
      </c>
      <c r="B68">
        <v>3</v>
      </c>
      <c r="C68" t="s">
        <v>15</v>
      </c>
      <c r="D68" s="3">
        <v>3.3780487799999999</v>
      </c>
      <c r="E68" s="9">
        <v>0.63281649484536096</v>
      </c>
      <c r="F68" s="3">
        <v>60.1</v>
      </c>
      <c r="G68" s="2">
        <v>0.9</v>
      </c>
      <c r="H68" s="2">
        <v>0.58499999999999996</v>
      </c>
      <c r="I68" s="2">
        <v>0.189</v>
      </c>
      <c r="J68" s="2">
        <v>1</v>
      </c>
      <c r="K68" s="2">
        <v>0.36249999999999999</v>
      </c>
      <c r="L68" s="1">
        <v>0</v>
      </c>
    </row>
    <row r="69" spans="1:12" hidden="1" x14ac:dyDescent="0.35">
      <c r="A69" t="s">
        <v>46</v>
      </c>
      <c r="B69">
        <v>4</v>
      </c>
      <c r="C69" t="s">
        <v>31</v>
      </c>
      <c r="D69" s="3">
        <v>3.1585365849999998</v>
      </c>
      <c r="E69" s="9">
        <v>0.63114268241049998</v>
      </c>
      <c r="F69" s="3">
        <v>51.6</v>
      </c>
      <c r="G69" s="2">
        <v>0.91800000000000004</v>
      </c>
      <c r="H69" s="2">
        <v>0.48299999999999998</v>
      </c>
      <c r="I69" s="2">
        <v>0.13100000000000001</v>
      </c>
      <c r="J69" s="2">
        <v>0.38900000000000001</v>
      </c>
      <c r="K69" s="2">
        <v>0.32500000000000001</v>
      </c>
      <c r="L69" s="1">
        <v>0</v>
      </c>
    </row>
    <row r="70" spans="1:12" hidden="1" x14ac:dyDescent="0.35">
      <c r="A70" t="s">
        <v>46</v>
      </c>
      <c r="B70">
        <v>5</v>
      </c>
      <c r="C70" t="s">
        <v>13</v>
      </c>
      <c r="D70" s="3">
        <v>3.2317073170000001</v>
      </c>
      <c r="E70" s="9">
        <v>0.64174030650010505</v>
      </c>
      <c r="F70" s="3">
        <v>56.2</v>
      </c>
      <c r="G70" s="2">
        <v>0.91300000000000003</v>
      </c>
      <c r="H70" s="2">
        <v>0.51100000000000001</v>
      </c>
      <c r="I70" s="2">
        <v>0.10299999999999999</v>
      </c>
      <c r="J70" s="2">
        <v>0.74199999999999999</v>
      </c>
      <c r="K70" s="2">
        <v>1</v>
      </c>
      <c r="L70" s="1">
        <v>1</v>
      </c>
    </row>
    <row r="71" spans="1:12" hidden="1" x14ac:dyDescent="0.35">
      <c r="A71" t="s">
        <v>46</v>
      </c>
      <c r="B71">
        <v>6</v>
      </c>
      <c r="C71" t="s">
        <v>22</v>
      </c>
      <c r="D71" s="3">
        <v>3.207317073</v>
      </c>
      <c r="E71" s="9">
        <v>0.58612829421235502</v>
      </c>
      <c r="F71" s="3">
        <v>47.7</v>
      </c>
      <c r="G71" s="2">
        <v>0.91200000000000003</v>
      </c>
      <c r="H71" s="2">
        <v>0.50600000000000001</v>
      </c>
      <c r="I71" s="2">
        <v>0.25700000000000001</v>
      </c>
      <c r="J71" s="2">
        <v>0.69699999999999995</v>
      </c>
      <c r="K71" s="2">
        <v>0.48749999999999999</v>
      </c>
      <c r="L71" s="1">
        <v>0</v>
      </c>
    </row>
    <row r="72" spans="1:12" hidden="1" x14ac:dyDescent="0.35">
      <c r="A72" t="s">
        <v>46</v>
      </c>
      <c r="B72">
        <v>7</v>
      </c>
      <c r="C72" t="s">
        <v>30</v>
      </c>
      <c r="D72" s="3">
        <v>3.402439024</v>
      </c>
      <c r="E72" s="9">
        <v>0.61445982854707104</v>
      </c>
      <c r="F72" s="3">
        <v>52</v>
      </c>
      <c r="G72" s="2">
        <v>0.90600000000000003</v>
      </c>
      <c r="H72" s="2">
        <v>0.59099999999999997</v>
      </c>
      <c r="I72" s="2">
        <v>0.251</v>
      </c>
      <c r="J72" s="2">
        <v>0.59199999999999997</v>
      </c>
      <c r="K72" s="2">
        <v>0.5</v>
      </c>
      <c r="L72" s="1">
        <v>0</v>
      </c>
    </row>
    <row r="73" spans="1:12" hidden="1" x14ac:dyDescent="0.35">
      <c r="A73" t="s">
        <v>46</v>
      </c>
      <c r="B73">
        <v>8</v>
      </c>
      <c r="C73" t="s">
        <v>14</v>
      </c>
      <c r="D73" s="3">
        <v>3.6829268289999999</v>
      </c>
      <c r="E73" s="9">
        <v>0.58952348941231203</v>
      </c>
      <c r="F73" s="3">
        <v>53.2</v>
      </c>
      <c r="G73" s="2">
        <v>0.89700000000000002</v>
      </c>
      <c r="H73" s="2">
        <v>0.74399999999999999</v>
      </c>
      <c r="I73" s="2">
        <v>0.434</v>
      </c>
      <c r="J73" s="2">
        <v>0.68600000000000005</v>
      </c>
      <c r="K73" s="2">
        <v>0.41249999999999998</v>
      </c>
      <c r="L73" s="1">
        <v>0</v>
      </c>
    </row>
    <row r="74" spans="1:12" hidden="1" x14ac:dyDescent="0.35">
      <c r="A74" t="s">
        <v>46</v>
      </c>
      <c r="B74">
        <v>9</v>
      </c>
      <c r="C74" t="s">
        <v>23</v>
      </c>
      <c r="D74" s="3">
        <v>3.5609756099999998</v>
      </c>
      <c r="E74" s="9">
        <v>0.60488081725312104</v>
      </c>
      <c r="F74" s="3">
        <v>55.6</v>
      </c>
      <c r="G74" s="2">
        <v>0.89800000000000002</v>
      </c>
      <c r="H74" s="2">
        <v>0.72199999999999998</v>
      </c>
      <c r="I74" s="2">
        <v>0.33700000000000002</v>
      </c>
      <c r="J74" s="2">
        <v>0.73599999999999999</v>
      </c>
      <c r="K74" s="2">
        <v>0.48749999999999999</v>
      </c>
      <c r="L74" s="1">
        <v>0</v>
      </c>
    </row>
    <row r="75" spans="1:12" hidden="1" x14ac:dyDescent="0.35">
      <c r="A75" t="s">
        <v>46</v>
      </c>
      <c r="B75">
        <v>10</v>
      </c>
      <c r="C75" t="s">
        <v>16</v>
      </c>
      <c r="D75" s="3">
        <v>3.6341463410000001</v>
      </c>
      <c r="E75" s="9">
        <v>0.56590090807710702</v>
      </c>
      <c r="F75" s="3">
        <v>51.5</v>
      </c>
      <c r="G75" s="2">
        <v>0.89300000000000002</v>
      </c>
      <c r="H75" s="2">
        <v>0.72699999999999998</v>
      </c>
      <c r="I75" s="2">
        <v>0.48599999999999999</v>
      </c>
      <c r="J75" s="2">
        <v>0.56200000000000006</v>
      </c>
      <c r="K75" s="2">
        <v>0.53749999999999998</v>
      </c>
      <c r="L75" s="1">
        <v>0</v>
      </c>
    </row>
    <row r="76" spans="1:12" hidden="1" x14ac:dyDescent="0.35">
      <c r="A76" t="s">
        <v>46</v>
      </c>
      <c r="B76">
        <v>11</v>
      </c>
      <c r="C76" t="s">
        <v>28</v>
      </c>
      <c r="D76" s="3">
        <v>3.2439024390000002</v>
      </c>
      <c r="E76" s="9">
        <v>0.53497656131861504</v>
      </c>
      <c r="F76" s="3">
        <v>51.8</v>
      </c>
      <c r="G76" s="2">
        <v>0.90100000000000002</v>
      </c>
      <c r="H76" s="2">
        <v>0.54</v>
      </c>
      <c r="I76" s="2">
        <v>0.41699999999999998</v>
      </c>
      <c r="J76" s="2">
        <v>0.48</v>
      </c>
      <c r="K76" s="2">
        <v>0.51249999999999996</v>
      </c>
      <c r="L76" s="1">
        <v>0</v>
      </c>
    </row>
    <row r="77" spans="1:12" hidden="1" x14ac:dyDescent="0.35">
      <c r="A77" t="s">
        <v>46</v>
      </c>
      <c r="B77">
        <v>12</v>
      </c>
      <c r="C77" t="s">
        <v>26</v>
      </c>
      <c r="D77" s="3">
        <v>3.097560976</v>
      </c>
      <c r="E77" s="9">
        <v>0.59398247035427598</v>
      </c>
      <c r="F77" s="3">
        <v>54.4</v>
      </c>
      <c r="G77" s="2">
        <v>0.90900000000000003</v>
      </c>
      <c r="H77" s="2">
        <v>0.45500000000000002</v>
      </c>
      <c r="I77" s="2">
        <v>0.17699999999999999</v>
      </c>
      <c r="J77" s="2">
        <v>0.78400000000000003</v>
      </c>
      <c r="K77" s="2">
        <v>0.38750000000000001</v>
      </c>
      <c r="L77" s="1">
        <v>0</v>
      </c>
    </row>
    <row r="78" spans="1:12" hidden="1" x14ac:dyDescent="0.35">
      <c r="A78" t="s">
        <v>46</v>
      </c>
      <c r="B78">
        <v>13</v>
      </c>
      <c r="C78" t="s">
        <v>19</v>
      </c>
      <c r="D78" s="3">
        <v>3.5121951220000001</v>
      </c>
      <c r="E78" s="9">
        <v>0.53778374277878305</v>
      </c>
      <c r="F78" s="3">
        <v>51.1</v>
      </c>
      <c r="G78" s="2">
        <v>0.89</v>
      </c>
      <c r="H78" s="2">
        <v>0.64200000000000002</v>
      </c>
      <c r="I78" s="2">
        <v>0.52</v>
      </c>
      <c r="J78" s="2">
        <v>0.95199999999999996</v>
      </c>
      <c r="K78" s="2">
        <v>0.67500000000000004</v>
      </c>
      <c r="L78" s="1">
        <v>0</v>
      </c>
    </row>
    <row r="79" spans="1:12" hidden="1" x14ac:dyDescent="0.35">
      <c r="A79" t="s">
        <v>46</v>
      </c>
      <c r="B79">
        <v>14</v>
      </c>
      <c r="C79" t="s">
        <v>29</v>
      </c>
      <c r="D79" s="3">
        <v>3.207317073</v>
      </c>
      <c r="E79" s="9">
        <v>0.53946403781060404</v>
      </c>
      <c r="F79" s="3">
        <v>49</v>
      </c>
      <c r="G79" s="2">
        <v>0.90200000000000002</v>
      </c>
      <c r="H79" s="2">
        <v>0.51100000000000001</v>
      </c>
      <c r="I79" s="2">
        <v>0.38300000000000001</v>
      </c>
      <c r="J79" s="2">
        <v>0.51800000000000002</v>
      </c>
      <c r="K79" s="2">
        <v>0.22500000000000001</v>
      </c>
      <c r="L79" s="1">
        <v>0</v>
      </c>
    </row>
    <row r="80" spans="1:12" hidden="1" x14ac:dyDescent="0.35">
      <c r="A80" t="s">
        <v>46</v>
      </c>
      <c r="B80">
        <v>15</v>
      </c>
      <c r="C80" t="s">
        <v>32</v>
      </c>
      <c r="D80" s="3">
        <v>2.9878048779999999</v>
      </c>
      <c r="E80" s="9">
        <v>0.47417232144973098</v>
      </c>
      <c r="F80" s="3">
        <v>47.5</v>
      </c>
      <c r="G80" s="2">
        <v>0.90400000000000003</v>
      </c>
      <c r="H80" s="2">
        <v>0.41499999999999998</v>
      </c>
      <c r="I80" s="2">
        <v>0.48599999999999999</v>
      </c>
      <c r="J80" s="2">
        <v>0.247</v>
      </c>
      <c r="K80" s="2">
        <v>0.1875</v>
      </c>
      <c r="L80" s="1">
        <v>0</v>
      </c>
    </row>
    <row r="81" spans="1:12" hidden="1" x14ac:dyDescent="0.35">
      <c r="A81" t="s">
        <v>46</v>
      </c>
      <c r="B81">
        <v>16</v>
      </c>
      <c r="C81" t="s">
        <v>21</v>
      </c>
      <c r="D81" s="3">
        <v>2.8536585369999998</v>
      </c>
      <c r="E81" s="9">
        <v>0.47097884052984701</v>
      </c>
      <c r="F81" s="3">
        <v>45.9</v>
      </c>
      <c r="G81" s="2">
        <v>0.90600000000000003</v>
      </c>
      <c r="H81" s="2">
        <v>0.33</v>
      </c>
      <c r="I81" s="2">
        <v>0.44</v>
      </c>
      <c r="J81" s="2">
        <v>0.41399999999999998</v>
      </c>
      <c r="K81" s="2">
        <v>0.22500000000000001</v>
      </c>
      <c r="L81" s="1">
        <v>0</v>
      </c>
    </row>
    <row r="82" spans="1:12" hidden="1" x14ac:dyDescent="0.35">
      <c r="A82" t="s">
        <v>46</v>
      </c>
      <c r="B82">
        <v>17</v>
      </c>
      <c r="C82" t="s">
        <v>25</v>
      </c>
      <c r="D82" s="3">
        <v>2.6341463410000001</v>
      </c>
      <c r="E82" s="9">
        <v>0.42352941176470599</v>
      </c>
      <c r="F82" s="3">
        <v>47.2</v>
      </c>
      <c r="G82" s="2">
        <v>0.89900000000000002</v>
      </c>
      <c r="H82" s="2">
        <v>0.216</v>
      </c>
      <c r="I82" s="2">
        <v>0.44</v>
      </c>
      <c r="J82" s="2">
        <v>0.51800000000000002</v>
      </c>
      <c r="K82" s="2">
        <v>0.26250000000000001</v>
      </c>
      <c r="L82" s="1">
        <v>0</v>
      </c>
    </row>
    <row r="83" spans="1:12" hidden="1" x14ac:dyDescent="0.35">
      <c r="A83" t="s">
        <v>46</v>
      </c>
      <c r="B83">
        <v>18</v>
      </c>
      <c r="C83" t="s">
        <v>37</v>
      </c>
      <c r="D83" s="3">
        <v>3.3536585369999998</v>
      </c>
      <c r="E83" s="9">
        <v>0.503649586424604</v>
      </c>
      <c r="F83" s="3">
        <v>46.5</v>
      </c>
      <c r="G83" s="2">
        <v>0.89700000000000002</v>
      </c>
      <c r="H83" s="2">
        <v>0.54500000000000004</v>
      </c>
      <c r="I83" s="2">
        <v>0.57099999999999995</v>
      </c>
      <c r="J83" s="2">
        <v>0.626</v>
      </c>
      <c r="K83" s="2">
        <v>0.38750000000000001</v>
      </c>
      <c r="L83" s="1">
        <v>0</v>
      </c>
    </row>
    <row r="84" spans="1:12" hidden="1" x14ac:dyDescent="0.35">
      <c r="A84" t="s">
        <v>46</v>
      </c>
      <c r="B84">
        <v>19</v>
      </c>
      <c r="C84" t="s">
        <v>24</v>
      </c>
      <c r="D84" s="3">
        <v>3.085365854</v>
      </c>
      <c r="E84" s="9">
        <v>0.50997904599523602</v>
      </c>
      <c r="F84" s="3">
        <v>51.7</v>
      </c>
      <c r="G84" s="2">
        <v>0.9</v>
      </c>
      <c r="H84" s="2">
        <v>0.47199999999999998</v>
      </c>
      <c r="I84" s="2">
        <v>0.42299999999999999</v>
      </c>
      <c r="J84" s="2">
        <v>0.39</v>
      </c>
      <c r="K84" s="2">
        <v>0.22500000000000001</v>
      </c>
      <c r="L84" s="1">
        <v>0</v>
      </c>
    </row>
    <row r="85" spans="1:12" hidden="1" x14ac:dyDescent="0.35">
      <c r="A85" t="s">
        <v>46</v>
      </c>
      <c r="B85">
        <v>20</v>
      </c>
      <c r="C85" t="s">
        <v>17</v>
      </c>
      <c r="D85" s="3">
        <v>3.0243902440000001</v>
      </c>
      <c r="E85" s="9">
        <v>0.47639112653364701</v>
      </c>
      <c r="F85" s="3">
        <v>50.3</v>
      </c>
      <c r="G85" s="2">
        <v>0.89300000000000002</v>
      </c>
      <c r="H85" s="2">
        <v>0.39800000000000002</v>
      </c>
      <c r="I85" s="2">
        <v>0.45700000000000002</v>
      </c>
      <c r="J85" s="2">
        <v>0.436</v>
      </c>
      <c r="K85" s="2">
        <v>0.72499999999999998</v>
      </c>
      <c r="L85" s="1">
        <v>0</v>
      </c>
    </row>
    <row r="86" spans="1:12" hidden="1" x14ac:dyDescent="0.35">
      <c r="A86" t="s">
        <v>46</v>
      </c>
      <c r="B86">
        <v>21</v>
      </c>
      <c r="C86" t="s">
        <v>41</v>
      </c>
      <c r="D86" s="3">
        <v>2.8170731710000001</v>
      </c>
      <c r="E86" s="9">
        <v>0.44495309568480301</v>
      </c>
      <c r="F86" s="3">
        <v>52.1</v>
      </c>
      <c r="G86" s="2">
        <v>0.88400000000000001</v>
      </c>
      <c r="H86" s="2">
        <v>0.34100000000000003</v>
      </c>
      <c r="I86" s="2">
        <v>0.44600000000000001</v>
      </c>
      <c r="J86" s="2">
        <v>0.379</v>
      </c>
      <c r="K86" s="2">
        <v>0.5625</v>
      </c>
      <c r="L86" s="1">
        <v>0</v>
      </c>
    </row>
    <row r="87" spans="1:12" hidden="1" x14ac:dyDescent="0.35">
      <c r="A87" t="s">
        <v>46</v>
      </c>
      <c r="B87">
        <v>22</v>
      </c>
      <c r="C87" t="s">
        <v>36</v>
      </c>
      <c r="D87" s="3">
        <v>2.9756097559999999</v>
      </c>
      <c r="E87" s="9">
        <v>0.50205337943247497</v>
      </c>
      <c r="F87" s="3">
        <v>51.2</v>
      </c>
      <c r="G87" s="2">
        <v>0.89900000000000002</v>
      </c>
      <c r="H87" s="2">
        <v>0.39800000000000002</v>
      </c>
      <c r="I87" s="2">
        <v>0.39400000000000002</v>
      </c>
      <c r="J87" s="2">
        <v>0.40799999999999997</v>
      </c>
      <c r="K87" s="2">
        <v>0.52500000000000002</v>
      </c>
      <c r="L87" s="1">
        <v>0</v>
      </c>
    </row>
    <row r="88" spans="1:12" hidden="1" x14ac:dyDescent="0.35">
      <c r="A88" t="s">
        <v>46</v>
      </c>
      <c r="B88">
        <v>23</v>
      </c>
      <c r="C88" t="s">
        <v>40</v>
      </c>
      <c r="D88" s="3">
        <v>3.2195121950000001</v>
      </c>
      <c r="E88" s="9">
        <v>0.46883765984783798</v>
      </c>
      <c r="F88" s="3">
        <v>52.6</v>
      </c>
      <c r="G88" s="2">
        <v>0.88600000000000001</v>
      </c>
      <c r="H88" s="2">
        <v>0.52300000000000002</v>
      </c>
      <c r="I88" s="2">
        <v>0.61099999999999999</v>
      </c>
      <c r="J88" s="2">
        <v>0.64200000000000002</v>
      </c>
      <c r="K88" s="2">
        <v>0.4375</v>
      </c>
      <c r="L88" s="1">
        <v>0</v>
      </c>
    </row>
    <row r="89" spans="1:12" hidden="1" x14ac:dyDescent="0.35">
      <c r="A89" t="s">
        <v>46</v>
      </c>
      <c r="B89">
        <v>24</v>
      </c>
      <c r="C89" t="s">
        <v>42</v>
      </c>
      <c r="D89" s="3">
        <v>2.6097560980000001</v>
      </c>
      <c r="E89" s="9">
        <v>0.45970688616743599</v>
      </c>
      <c r="F89" s="3">
        <v>51.8</v>
      </c>
      <c r="G89" s="2">
        <v>0.90300000000000002</v>
      </c>
      <c r="H89" s="2">
        <v>0.216</v>
      </c>
      <c r="I89" s="2">
        <v>0.29699999999999999</v>
      </c>
      <c r="J89" s="2">
        <v>0.51500000000000001</v>
      </c>
      <c r="K89" s="2">
        <v>0.3</v>
      </c>
      <c r="L89" s="1">
        <v>0</v>
      </c>
    </row>
    <row r="90" spans="1:12" hidden="1" x14ac:dyDescent="0.35">
      <c r="A90" t="s">
        <v>46</v>
      </c>
      <c r="B90">
        <v>25</v>
      </c>
      <c r="C90" t="s">
        <v>18</v>
      </c>
      <c r="D90" s="3">
        <v>3.085365854</v>
      </c>
      <c r="E90" s="9">
        <v>0.47309642418956699</v>
      </c>
      <c r="F90" s="3">
        <v>51.7</v>
      </c>
      <c r="G90" s="2">
        <v>0.89</v>
      </c>
      <c r="H90" s="2">
        <v>0.44900000000000001</v>
      </c>
      <c r="I90" s="2">
        <v>0.53100000000000003</v>
      </c>
      <c r="J90" s="2">
        <v>0.48699999999999999</v>
      </c>
      <c r="K90" s="2">
        <v>0.47499999999999998</v>
      </c>
      <c r="L90" s="1">
        <v>0</v>
      </c>
    </row>
    <row r="91" spans="1:12" hidden="1" x14ac:dyDescent="0.35">
      <c r="A91" t="s">
        <v>46</v>
      </c>
      <c r="B91">
        <v>26</v>
      </c>
      <c r="C91" t="s">
        <v>38</v>
      </c>
      <c r="D91" s="3">
        <v>3.0487804879999998</v>
      </c>
      <c r="E91" s="9">
        <v>0.44181788620185097</v>
      </c>
      <c r="F91" s="3">
        <v>51</v>
      </c>
      <c r="G91" s="2">
        <v>0.88400000000000001</v>
      </c>
      <c r="H91" s="2">
        <v>0.432</v>
      </c>
      <c r="I91" s="2">
        <v>0.59399999999999997</v>
      </c>
      <c r="J91" s="2">
        <v>0.29199999999999998</v>
      </c>
      <c r="K91" s="2">
        <v>0.6</v>
      </c>
      <c r="L91" s="1">
        <v>0</v>
      </c>
    </row>
    <row r="92" spans="1:12" hidden="1" x14ac:dyDescent="0.35">
      <c r="A92" t="s">
        <v>46</v>
      </c>
      <c r="B92">
        <v>27</v>
      </c>
      <c r="C92" t="s">
        <v>43</v>
      </c>
      <c r="D92" s="3">
        <v>3.097560976</v>
      </c>
      <c r="E92" s="9">
        <v>0.46217548283569299</v>
      </c>
      <c r="F92" s="3">
        <v>49</v>
      </c>
      <c r="G92" s="2">
        <v>0.89500000000000002</v>
      </c>
      <c r="H92" s="2">
        <v>0.443</v>
      </c>
      <c r="I92" s="2">
        <v>0.57699999999999996</v>
      </c>
      <c r="J92" s="2">
        <v>0.47399999999999998</v>
      </c>
      <c r="K92" s="2">
        <v>0.73750000000000004</v>
      </c>
      <c r="L92" s="1">
        <v>0</v>
      </c>
    </row>
    <row r="93" spans="1:12" hidden="1" x14ac:dyDescent="0.35">
      <c r="A93" t="s">
        <v>46</v>
      </c>
      <c r="B93">
        <v>28</v>
      </c>
      <c r="C93" t="s">
        <v>44</v>
      </c>
      <c r="D93" s="3">
        <v>2.8292682930000002</v>
      </c>
      <c r="E93" s="9">
        <v>0.40534698949429498</v>
      </c>
      <c r="F93" s="3">
        <v>46.3</v>
      </c>
      <c r="G93" s="2">
        <v>0.89700000000000002</v>
      </c>
      <c r="H93" s="2">
        <v>0.318</v>
      </c>
      <c r="I93" s="2">
        <v>0.61099999999999999</v>
      </c>
      <c r="J93" s="2">
        <v>0.32200000000000001</v>
      </c>
      <c r="K93" s="2">
        <v>0.57499999999999996</v>
      </c>
      <c r="L93" s="1">
        <v>0</v>
      </c>
    </row>
    <row r="94" spans="1:12" hidden="1" x14ac:dyDescent="0.35">
      <c r="A94" t="s">
        <v>46</v>
      </c>
      <c r="B94">
        <v>29</v>
      </c>
      <c r="C94" t="s">
        <v>33</v>
      </c>
      <c r="D94" s="3">
        <v>2.8536585369999998</v>
      </c>
      <c r="E94" s="9">
        <v>0.38141543605461098</v>
      </c>
      <c r="F94" s="3">
        <v>48.3</v>
      </c>
      <c r="G94" s="2">
        <v>0.89400000000000002</v>
      </c>
      <c r="H94" s="2">
        <v>0.34100000000000003</v>
      </c>
      <c r="I94" s="2">
        <v>0.73099999999999998</v>
      </c>
      <c r="J94" s="2">
        <v>0.23</v>
      </c>
      <c r="K94" s="2">
        <v>0.32500000000000001</v>
      </c>
      <c r="L94" s="1">
        <v>0</v>
      </c>
    </row>
    <row r="95" spans="1:12" hidden="1" x14ac:dyDescent="0.35">
      <c r="A95" t="s">
        <v>46</v>
      </c>
      <c r="B95">
        <v>30</v>
      </c>
      <c r="C95" t="s">
        <v>35</v>
      </c>
      <c r="D95" s="3">
        <v>2.4756097559999999</v>
      </c>
      <c r="E95" s="9">
        <v>0.32433219474570701</v>
      </c>
      <c r="F95" s="3">
        <v>46.9</v>
      </c>
      <c r="G95" s="2">
        <v>0.89</v>
      </c>
      <c r="H95" s="2">
        <v>0.13600000000000001</v>
      </c>
      <c r="I95" s="2">
        <v>0.67400000000000004</v>
      </c>
      <c r="J95" s="2">
        <v>0.20799999999999999</v>
      </c>
      <c r="K95" s="2">
        <v>0.98750000000000004</v>
      </c>
      <c r="L95" s="1">
        <v>0</v>
      </c>
    </row>
    <row r="96" spans="1:12" hidden="1" x14ac:dyDescent="0.35">
      <c r="A96" t="s">
        <v>46</v>
      </c>
      <c r="B96">
        <v>31</v>
      </c>
      <c r="C96" t="s">
        <v>39</v>
      </c>
      <c r="D96" s="3">
        <v>2.1707317069999998</v>
      </c>
      <c r="E96" s="9">
        <v>0.27502278546938103</v>
      </c>
      <c r="F96" s="3">
        <v>44.3</v>
      </c>
      <c r="G96" s="2">
        <v>0.89200000000000002</v>
      </c>
      <c r="H96" s="2">
        <v>0</v>
      </c>
      <c r="I96" s="2">
        <v>0.68</v>
      </c>
      <c r="J96" s="2">
        <v>0.26500000000000001</v>
      </c>
      <c r="K96" s="2">
        <v>0.38750000000000001</v>
      </c>
      <c r="L96" s="1">
        <v>0</v>
      </c>
    </row>
    <row r="97" spans="1:12" hidden="1" x14ac:dyDescent="0.35">
      <c r="A97" t="s">
        <v>46</v>
      </c>
      <c r="B97">
        <v>32</v>
      </c>
      <c r="C97" t="s">
        <v>34</v>
      </c>
      <c r="D97" s="3">
        <v>2.195121951</v>
      </c>
      <c r="E97" s="9">
        <v>0.23363812051111901</v>
      </c>
      <c r="F97" s="3">
        <v>44.4</v>
      </c>
      <c r="G97" s="2">
        <v>0.88700000000000001</v>
      </c>
      <c r="H97" s="2">
        <v>0</v>
      </c>
      <c r="I97" s="2">
        <v>0.90900000000000003</v>
      </c>
      <c r="J97" s="2">
        <v>0.379</v>
      </c>
      <c r="K97" s="2">
        <v>0.48749999999999999</v>
      </c>
      <c r="L97" s="1">
        <v>0</v>
      </c>
    </row>
    <row r="98" spans="1:12" x14ac:dyDescent="0.35">
      <c r="A98" t="s">
        <v>47</v>
      </c>
      <c r="B98">
        <v>1</v>
      </c>
      <c r="C98" t="s">
        <v>31</v>
      </c>
      <c r="D98" s="3">
        <v>3.3536585369999998</v>
      </c>
      <c r="E98" s="9">
        <v>0.67688520921906503</v>
      </c>
      <c r="F98" s="3">
        <v>50.7</v>
      </c>
      <c r="G98" s="2">
        <v>0.91500000000000004</v>
      </c>
      <c r="H98" s="2">
        <v>0.56799999999999995</v>
      </c>
      <c r="I98" s="2">
        <v>7.3999999999999996E-2</v>
      </c>
      <c r="J98" s="2">
        <v>0.82399999999999995</v>
      </c>
      <c r="K98" s="2">
        <v>0.2</v>
      </c>
      <c r="L98" s="1"/>
    </row>
    <row r="99" spans="1:12" x14ac:dyDescent="0.35">
      <c r="A99" t="s">
        <v>47</v>
      </c>
      <c r="B99">
        <v>2</v>
      </c>
      <c r="C99" t="s">
        <v>25</v>
      </c>
      <c r="D99" s="3">
        <v>3.4878048779999999</v>
      </c>
      <c r="E99" s="9">
        <v>0.60934019681607898</v>
      </c>
      <c r="F99" s="3">
        <v>51.1</v>
      </c>
      <c r="G99" s="2">
        <v>0.89700000000000002</v>
      </c>
      <c r="H99" s="2">
        <v>0.64200000000000002</v>
      </c>
      <c r="I99" s="2">
        <v>0.30299999999999999</v>
      </c>
      <c r="J99" s="2">
        <v>0.72699999999999998</v>
      </c>
      <c r="K99" s="2">
        <v>0.48749999999999999</v>
      </c>
      <c r="L99" s="1"/>
    </row>
    <row r="100" spans="1:12" x14ac:dyDescent="0.35">
      <c r="A100" t="s">
        <v>47</v>
      </c>
      <c r="B100">
        <v>3</v>
      </c>
      <c r="C100" t="s">
        <v>29</v>
      </c>
      <c r="D100" s="3">
        <v>3.3414634150000002</v>
      </c>
      <c r="E100" s="9">
        <v>0.62111986233370797</v>
      </c>
      <c r="F100" s="3">
        <v>51.8</v>
      </c>
      <c r="G100" s="2">
        <v>0.9</v>
      </c>
      <c r="H100" s="2">
        <v>0.59699999999999998</v>
      </c>
      <c r="I100" s="2">
        <v>0.21099999999999999</v>
      </c>
      <c r="J100" s="2">
        <v>0.67600000000000005</v>
      </c>
      <c r="K100" s="2">
        <v>0</v>
      </c>
      <c r="L100" s="1"/>
    </row>
    <row r="101" spans="1:12" x14ac:dyDescent="0.35">
      <c r="A101" t="s">
        <v>47</v>
      </c>
      <c r="B101">
        <v>4</v>
      </c>
      <c r="C101" t="s">
        <v>16</v>
      </c>
      <c r="D101" s="3">
        <v>3.2560975609999998</v>
      </c>
      <c r="E101" s="9">
        <v>0.57616584498504797</v>
      </c>
      <c r="F101" s="3">
        <v>48.1</v>
      </c>
      <c r="G101" s="2">
        <v>0.90500000000000003</v>
      </c>
      <c r="H101" s="2">
        <v>0.53400000000000003</v>
      </c>
      <c r="I101" s="2">
        <v>0.30299999999999999</v>
      </c>
      <c r="J101" s="2">
        <v>0.625</v>
      </c>
      <c r="K101" s="2">
        <v>0.3</v>
      </c>
      <c r="L101" s="1"/>
    </row>
    <row r="102" spans="1:12" x14ac:dyDescent="0.35">
      <c r="A102" t="s">
        <v>47</v>
      </c>
      <c r="B102">
        <v>5</v>
      </c>
      <c r="C102" t="s">
        <v>27</v>
      </c>
      <c r="D102" s="3">
        <v>3.3536585369999998</v>
      </c>
      <c r="E102" s="9">
        <v>0.60544076087391596</v>
      </c>
      <c r="F102" s="3">
        <v>50.1</v>
      </c>
      <c r="G102" s="2">
        <v>0.90700000000000003</v>
      </c>
      <c r="H102" s="2">
        <v>0.57999999999999996</v>
      </c>
      <c r="I102" s="2">
        <v>0.26900000000000002</v>
      </c>
      <c r="J102" s="2">
        <v>0.67400000000000004</v>
      </c>
      <c r="K102" s="2">
        <v>0.17499999999999999</v>
      </c>
      <c r="L102" s="1"/>
    </row>
    <row r="103" spans="1:12" x14ac:dyDescent="0.35">
      <c r="A103" t="s">
        <v>47</v>
      </c>
      <c r="B103">
        <v>6</v>
      </c>
      <c r="C103" t="s">
        <v>26</v>
      </c>
      <c r="D103" s="3">
        <v>3.0365853660000002</v>
      </c>
      <c r="E103" s="9">
        <v>0.60072667377192102</v>
      </c>
      <c r="F103" s="3">
        <v>53.8</v>
      </c>
      <c r="G103" s="2">
        <v>0.90300000000000002</v>
      </c>
      <c r="H103" s="2">
        <v>0.41499999999999998</v>
      </c>
      <c r="I103" s="2">
        <v>0.14299999999999999</v>
      </c>
      <c r="J103" s="2">
        <v>0.50800000000000001</v>
      </c>
      <c r="K103" s="2">
        <v>0.27500000000000002</v>
      </c>
      <c r="L103" s="1"/>
    </row>
    <row r="104" spans="1:12" x14ac:dyDescent="0.35">
      <c r="A104" t="s">
        <v>47</v>
      </c>
      <c r="B104">
        <v>7</v>
      </c>
      <c r="C104" t="s">
        <v>19</v>
      </c>
      <c r="D104" s="3">
        <v>3.5609756099999998</v>
      </c>
      <c r="E104" s="9">
        <v>0.64633110976349295</v>
      </c>
      <c r="F104" s="3">
        <v>51.1</v>
      </c>
      <c r="G104" s="2">
        <v>0.90700000000000003</v>
      </c>
      <c r="H104" s="2">
        <v>0.68700000000000006</v>
      </c>
      <c r="I104" s="2">
        <v>0.24</v>
      </c>
      <c r="J104" s="2">
        <v>0.79200000000000004</v>
      </c>
      <c r="K104" s="2">
        <v>0.3125</v>
      </c>
      <c r="L104" s="1"/>
    </row>
    <row r="105" spans="1:12" x14ac:dyDescent="0.35">
      <c r="A105" t="s">
        <v>47</v>
      </c>
      <c r="B105">
        <v>8</v>
      </c>
      <c r="C105" t="s">
        <v>14</v>
      </c>
      <c r="D105" s="3">
        <v>3.3292682930000002</v>
      </c>
      <c r="E105" s="9">
        <v>0.582758620689655</v>
      </c>
      <c r="F105" s="3">
        <v>54.8</v>
      </c>
      <c r="G105" s="2">
        <v>0.89100000000000001</v>
      </c>
      <c r="H105" s="2">
        <v>0.57999999999999996</v>
      </c>
      <c r="I105" s="2">
        <v>0.309</v>
      </c>
      <c r="J105" s="2">
        <v>0.69399999999999995</v>
      </c>
      <c r="K105" s="2">
        <v>0.15</v>
      </c>
      <c r="L105" s="1"/>
    </row>
    <row r="106" spans="1:12" x14ac:dyDescent="0.35">
      <c r="A106" t="s">
        <v>47</v>
      </c>
      <c r="B106">
        <v>9</v>
      </c>
      <c r="C106" t="s">
        <v>23</v>
      </c>
      <c r="D106" s="3">
        <v>3.1585365849999998</v>
      </c>
      <c r="E106" s="9">
        <v>0.54846859516295199</v>
      </c>
      <c r="F106" s="3">
        <v>54.6</v>
      </c>
      <c r="G106" s="2">
        <v>0.89400000000000002</v>
      </c>
      <c r="H106" s="2">
        <v>0.51700000000000002</v>
      </c>
      <c r="I106" s="2">
        <v>0.33700000000000002</v>
      </c>
      <c r="J106" s="2">
        <v>0.59899999999999998</v>
      </c>
      <c r="K106" s="2">
        <v>0.23749999999999999</v>
      </c>
      <c r="L106" s="1"/>
    </row>
    <row r="107" spans="1:12" x14ac:dyDescent="0.35">
      <c r="A107" t="s">
        <v>47</v>
      </c>
      <c r="B107">
        <v>10</v>
      </c>
      <c r="C107" t="s">
        <v>15</v>
      </c>
      <c r="D107" s="3">
        <v>3.2439024390000002</v>
      </c>
      <c r="E107" s="9">
        <v>0.57220029759979296</v>
      </c>
      <c r="F107" s="3">
        <v>59.7</v>
      </c>
      <c r="G107" s="2">
        <v>0.88700000000000001</v>
      </c>
      <c r="H107" s="2">
        <v>0.54</v>
      </c>
      <c r="I107" s="2">
        <v>0.30299999999999999</v>
      </c>
      <c r="J107" s="2">
        <v>0.61399999999999999</v>
      </c>
      <c r="K107" s="2">
        <v>0.28749999999999998</v>
      </c>
      <c r="L107" s="1"/>
    </row>
    <row r="108" spans="1:12" x14ac:dyDescent="0.35">
      <c r="A108" t="s">
        <v>47</v>
      </c>
      <c r="B108">
        <v>11</v>
      </c>
      <c r="C108" t="s">
        <v>13</v>
      </c>
      <c r="D108" s="3">
        <v>3</v>
      </c>
      <c r="E108" s="9">
        <v>0.54892285364415605</v>
      </c>
      <c r="F108" s="3">
        <v>56.1</v>
      </c>
      <c r="G108" s="2">
        <v>0.89600000000000002</v>
      </c>
      <c r="H108" s="2">
        <v>0.432</v>
      </c>
      <c r="I108" s="2">
        <v>0.246</v>
      </c>
      <c r="J108" s="2">
        <v>0.68200000000000005</v>
      </c>
      <c r="K108" s="2">
        <v>0.6</v>
      </c>
      <c r="L108" s="1"/>
    </row>
    <row r="109" spans="1:12" x14ac:dyDescent="0.35">
      <c r="A109" t="s">
        <v>47</v>
      </c>
      <c r="B109">
        <v>12</v>
      </c>
      <c r="C109" t="s">
        <v>17</v>
      </c>
      <c r="D109" s="3">
        <v>2.7439024390000002</v>
      </c>
      <c r="E109" s="9">
        <v>0.47615240639196399</v>
      </c>
      <c r="F109" s="3">
        <v>48.4</v>
      </c>
      <c r="G109" s="2">
        <v>0.90300000000000002</v>
      </c>
      <c r="H109" s="2">
        <v>0.27300000000000002</v>
      </c>
      <c r="I109" s="2">
        <v>0.34899999999999998</v>
      </c>
      <c r="J109" s="2">
        <v>0.29799999999999999</v>
      </c>
      <c r="K109" s="2">
        <v>0.25</v>
      </c>
      <c r="L109" s="1"/>
    </row>
    <row r="110" spans="1:12" x14ac:dyDescent="0.35">
      <c r="A110" t="s">
        <v>47</v>
      </c>
      <c r="B110">
        <v>13</v>
      </c>
      <c r="C110" t="s">
        <v>38</v>
      </c>
      <c r="D110" s="3">
        <v>2.9512195120000002</v>
      </c>
      <c r="E110" s="9">
        <v>0.52108766060433498</v>
      </c>
      <c r="F110" s="3">
        <v>50.7</v>
      </c>
      <c r="G110" s="2">
        <v>0.90100000000000002</v>
      </c>
      <c r="H110" s="2">
        <v>0.375</v>
      </c>
      <c r="I110" s="2">
        <v>0.32600000000000001</v>
      </c>
      <c r="J110" s="2">
        <v>0.58599999999999997</v>
      </c>
      <c r="K110" s="2">
        <v>0.36249999999999999</v>
      </c>
      <c r="L110" s="1"/>
    </row>
    <row r="111" spans="1:12" x14ac:dyDescent="0.35">
      <c r="A111" t="s">
        <v>47</v>
      </c>
      <c r="B111">
        <v>14</v>
      </c>
      <c r="C111" t="s">
        <v>18</v>
      </c>
      <c r="D111" s="3">
        <v>2.6829268289999999</v>
      </c>
      <c r="E111" s="9">
        <v>0.46495542576083598</v>
      </c>
      <c r="F111" s="3">
        <v>52.4</v>
      </c>
      <c r="G111" s="2">
        <v>0.90100000000000002</v>
      </c>
      <c r="H111" s="2">
        <v>0.25600000000000001</v>
      </c>
      <c r="I111" s="2">
        <v>0.34899999999999998</v>
      </c>
      <c r="J111" s="2">
        <v>0.433</v>
      </c>
      <c r="K111" s="2">
        <v>0.45</v>
      </c>
      <c r="L111" s="1"/>
    </row>
    <row r="112" spans="1:12" x14ac:dyDescent="0.35">
      <c r="A112" t="s">
        <v>47</v>
      </c>
      <c r="B112">
        <v>15</v>
      </c>
      <c r="C112" t="s">
        <v>21</v>
      </c>
      <c r="D112" s="3">
        <v>3.0487804879999998</v>
      </c>
      <c r="E112" s="9">
        <v>0.53943950078110803</v>
      </c>
      <c r="F112" s="3">
        <v>49.2</v>
      </c>
      <c r="G112" s="2">
        <v>0.89700000000000002</v>
      </c>
      <c r="H112" s="2">
        <v>0.432</v>
      </c>
      <c r="I112" s="2">
        <v>0.30299999999999999</v>
      </c>
      <c r="J112" s="2">
        <v>0.40699999999999997</v>
      </c>
      <c r="K112" s="2">
        <v>0.23749999999999999</v>
      </c>
      <c r="L112" s="1"/>
    </row>
    <row r="113" spans="1:12" x14ac:dyDescent="0.35">
      <c r="A113" t="s">
        <v>47</v>
      </c>
      <c r="B113">
        <v>16</v>
      </c>
      <c r="C113" t="s">
        <v>44</v>
      </c>
      <c r="D113" s="3">
        <v>2.9634146339999998</v>
      </c>
      <c r="E113" s="9">
        <v>0.46433121019108298</v>
      </c>
      <c r="F113" s="3">
        <v>48.2</v>
      </c>
      <c r="G113" s="2">
        <v>0.89</v>
      </c>
      <c r="H113" s="2">
        <v>0.38100000000000001</v>
      </c>
      <c r="I113" s="2">
        <v>0.503</v>
      </c>
      <c r="J113" s="2">
        <v>0.56899999999999995</v>
      </c>
      <c r="K113" s="2">
        <v>0.46250000000000002</v>
      </c>
      <c r="L113" s="1"/>
    </row>
    <row r="114" spans="1:12" x14ac:dyDescent="0.35">
      <c r="A114" t="s">
        <v>47</v>
      </c>
      <c r="B114">
        <v>17</v>
      </c>
      <c r="C114" t="s">
        <v>40</v>
      </c>
      <c r="D114" s="3">
        <v>2.9268292680000001</v>
      </c>
      <c r="E114" s="9">
        <v>0.543396226415094</v>
      </c>
      <c r="F114" s="3">
        <v>52</v>
      </c>
      <c r="G114" s="2">
        <v>0.89800000000000002</v>
      </c>
      <c r="H114" s="2">
        <v>0.375</v>
      </c>
      <c r="I114" s="2">
        <v>0.24</v>
      </c>
      <c r="J114" s="2">
        <v>0.91500000000000004</v>
      </c>
      <c r="K114" s="2">
        <v>0.35</v>
      </c>
      <c r="L114" s="1"/>
    </row>
    <row r="115" spans="1:12" x14ac:dyDescent="0.35">
      <c r="A115" t="s">
        <v>47</v>
      </c>
      <c r="B115">
        <v>18</v>
      </c>
      <c r="C115" t="s">
        <v>30</v>
      </c>
      <c r="D115" s="3">
        <v>2.8414634150000002</v>
      </c>
      <c r="E115" s="9">
        <v>0.46286128399693099</v>
      </c>
      <c r="F115" s="3">
        <v>49.6</v>
      </c>
      <c r="G115" s="2">
        <v>0.88600000000000001</v>
      </c>
      <c r="H115" s="2">
        <v>0.318</v>
      </c>
      <c r="I115" s="2">
        <v>0.41699999999999998</v>
      </c>
      <c r="J115" s="2">
        <v>0.71199999999999997</v>
      </c>
      <c r="K115" s="2">
        <v>0.46250000000000002</v>
      </c>
      <c r="L115" s="1"/>
    </row>
    <row r="116" spans="1:12" x14ac:dyDescent="0.35">
      <c r="A116" t="s">
        <v>47</v>
      </c>
      <c r="B116">
        <v>19</v>
      </c>
      <c r="C116" t="s">
        <v>33</v>
      </c>
      <c r="D116" s="3">
        <v>3.2560975609999998</v>
      </c>
      <c r="E116" s="9">
        <v>0.5</v>
      </c>
      <c r="F116" s="3">
        <v>49.3</v>
      </c>
      <c r="G116" s="2">
        <v>0.89100000000000001</v>
      </c>
      <c r="H116" s="2">
        <v>0.53400000000000003</v>
      </c>
      <c r="I116" s="2">
        <v>0.54900000000000004</v>
      </c>
      <c r="J116" s="2">
        <v>0.40799999999999997</v>
      </c>
      <c r="K116" s="2">
        <v>0.32500000000000001</v>
      </c>
      <c r="L116" s="1"/>
    </row>
    <row r="117" spans="1:12" x14ac:dyDescent="0.35">
      <c r="A117" t="s">
        <v>47</v>
      </c>
      <c r="B117">
        <v>20</v>
      </c>
      <c r="C117" t="s">
        <v>48</v>
      </c>
      <c r="D117" s="3">
        <v>2.9268292680000001</v>
      </c>
      <c r="E117" s="9">
        <v>0.48562925241760702</v>
      </c>
      <c r="F117" s="3">
        <v>53.9</v>
      </c>
      <c r="G117" s="2">
        <v>0.89100000000000001</v>
      </c>
      <c r="H117" s="2">
        <v>0.38100000000000001</v>
      </c>
      <c r="I117" s="2">
        <v>0.39400000000000002</v>
      </c>
      <c r="J117" s="2">
        <v>0.65300000000000002</v>
      </c>
      <c r="K117" s="2">
        <v>0.5</v>
      </c>
      <c r="L117" s="1"/>
    </row>
    <row r="118" spans="1:12" x14ac:dyDescent="0.35">
      <c r="A118" t="s">
        <v>47</v>
      </c>
      <c r="B118">
        <v>21</v>
      </c>
      <c r="C118" t="s">
        <v>37</v>
      </c>
      <c r="D118" s="3">
        <v>2.8658536589999999</v>
      </c>
      <c r="E118" s="9">
        <v>0.45153140483704801</v>
      </c>
      <c r="F118" s="3">
        <v>48.6</v>
      </c>
      <c r="G118" s="2">
        <v>0.88900000000000001</v>
      </c>
      <c r="H118" s="2">
        <v>0.33500000000000002</v>
      </c>
      <c r="I118" s="2">
        <v>0.47399999999999998</v>
      </c>
      <c r="J118" s="2">
        <v>0.432</v>
      </c>
      <c r="K118" s="2">
        <v>0.15</v>
      </c>
      <c r="L118" s="1"/>
    </row>
    <row r="119" spans="1:12" x14ac:dyDescent="0.35">
      <c r="A119" t="s">
        <v>47</v>
      </c>
      <c r="B119">
        <v>22</v>
      </c>
      <c r="C119" t="s">
        <v>20</v>
      </c>
      <c r="D119" s="3">
        <v>3.1097560980000001</v>
      </c>
      <c r="E119" s="9">
        <v>0.5</v>
      </c>
      <c r="F119" s="3">
        <v>49.6</v>
      </c>
      <c r="G119" s="2">
        <v>0.89600000000000002</v>
      </c>
      <c r="H119" s="2">
        <v>0.45500000000000002</v>
      </c>
      <c r="I119" s="2">
        <v>0.48599999999999999</v>
      </c>
      <c r="J119" s="2">
        <v>0.46100000000000002</v>
      </c>
      <c r="K119" s="2">
        <v>0.35</v>
      </c>
      <c r="L119" s="1"/>
    </row>
    <row r="120" spans="1:12" x14ac:dyDescent="0.35">
      <c r="A120" t="s">
        <v>47</v>
      </c>
      <c r="B120">
        <v>23</v>
      </c>
      <c r="C120" t="s">
        <v>32</v>
      </c>
      <c r="D120" s="3">
        <v>2.707317073</v>
      </c>
      <c r="E120" s="9">
        <v>0.42731915410160098</v>
      </c>
      <c r="F120" s="3">
        <v>50.5</v>
      </c>
      <c r="G120" s="2">
        <v>0.89100000000000001</v>
      </c>
      <c r="H120" s="2">
        <v>0.28999999999999998</v>
      </c>
      <c r="I120" s="2">
        <v>0.48</v>
      </c>
      <c r="J120" s="2">
        <v>0</v>
      </c>
      <c r="K120" s="2">
        <v>1.25000000000001E-2</v>
      </c>
      <c r="L120" s="1"/>
    </row>
    <row r="121" spans="1:12" x14ac:dyDescent="0.35">
      <c r="A121" t="s">
        <v>47</v>
      </c>
      <c r="B121">
        <v>24</v>
      </c>
      <c r="C121" t="s">
        <v>24</v>
      </c>
      <c r="D121" s="3">
        <v>2.9512195120000002</v>
      </c>
      <c r="E121" s="9">
        <v>0.41554497527193801</v>
      </c>
      <c r="F121" s="3">
        <v>51.3</v>
      </c>
      <c r="G121" s="2">
        <v>0.88400000000000001</v>
      </c>
      <c r="H121" s="2">
        <v>0.38600000000000001</v>
      </c>
      <c r="I121" s="2">
        <v>0.65700000000000003</v>
      </c>
      <c r="J121" s="2">
        <v>0.65800000000000003</v>
      </c>
      <c r="K121" s="2">
        <v>0.15</v>
      </c>
      <c r="L121" s="1"/>
    </row>
    <row r="122" spans="1:12" x14ac:dyDescent="0.35">
      <c r="A122" t="s">
        <v>47</v>
      </c>
      <c r="B122">
        <v>25</v>
      </c>
      <c r="C122" t="s">
        <v>35</v>
      </c>
      <c r="D122" s="3">
        <v>2.6463414630000002</v>
      </c>
      <c r="E122" s="9">
        <v>0.40872320111101501</v>
      </c>
      <c r="F122" s="3">
        <v>46.5</v>
      </c>
      <c r="G122" s="2">
        <v>0.90100000000000002</v>
      </c>
      <c r="H122" s="2">
        <v>0.23300000000000001</v>
      </c>
      <c r="I122" s="2">
        <v>0.52600000000000002</v>
      </c>
      <c r="J122" s="2">
        <v>4.1000000000000002E-2</v>
      </c>
      <c r="K122" s="2">
        <v>0.41249999999999998</v>
      </c>
      <c r="L122" s="1"/>
    </row>
    <row r="123" spans="1:12" x14ac:dyDescent="0.35">
      <c r="A123" t="s">
        <v>47</v>
      </c>
      <c r="B123">
        <v>26</v>
      </c>
      <c r="C123" t="s">
        <v>36</v>
      </c>
      <c r="D123" s="3">
        <v>3.2317073170000001</v>
      </c>
      <c r="E123" s="9">
        <v>0.46020813400264798</v>
      </c>
      <c r="F123" s="3">
        <v>50.4</v>
      </c>
      <c r="G123" s="2">
        <v>0.879</v>
      </c>
      <c r="H123" s="2">
        <v>0.5</v>
      </c>
      <c r="I123" s="2">
        <v>0.65100000000000002</v>
      </c>
      <c r="J123" s="2">
        <v>0.36199999999999999</v>
      </c>
      <c r="K123" s="2">
        <v>0.57499999999999996</v>
      </c>
      <c r="L123" s="1"/>
    </row>
    <row r="124" spans="1:12" x14ac:dyDescent="0.35">
      <c r="A124" t="s">
        <v>47</v>
      </c>
      <c r="B124">
        <v>27</v>
      </c>
      <c r="C124" t="s">
        <v>22</v>
      </c>
      <c r="D124" s="3">
        <v>2.707317073</v>
      </c>
      <c r="E124" s="9">
        <v>0.40158077001426001</v>
      </c>
      <c r="F124" s="3">
        <v>48.3</v>
      </c>
      <c r="G124" s="2">
        <v>0.88400000000000001</v>
      </c>
      <c r="H124" s="2">
        <v>0.24399999999999999</v>
      </c>
      <c r="I124" s="2">
        <v>0.54300000000000004</v>
      </c>
      <c r="J124" s="2">
        <v>0.23499999999999999</v>
      </c>
      <c r="K124" s="2">
        <v>0.52500000000000002</v>
      </c>
      <c r="L124" s="1"/>
    </row>
    <row r="125" spans="1:12" x14ac:dyDescent="0.35">
      <c r="A125" t="s">
        <v>47</v>
      </c>
      <c r="B125">
        <v>28</v>
      </c>
      <c r="C125" t="s">
        <v>42</v>
      </c>
      <c r="D125" s="3">
        <v>2.9878048779999999</v>
      </c>
      <c r="E125" s="9">
        <v>0.466507084068424</v>
      </c>
      <c r="F125" s="3">
        <v>48.5</v>
      </c>
      <c r="G125" s="2">
        <v>0.88800000000000001</v>
      </c>
      <c r="H125" s="2">
        <v>0.38100000000000001</v>
      </c>
      <c r="I125" s="2">
        <v>0.503</v>
      </c>
      <c r="J125" s="2">
        <v>0.39800000000000002</v>
      </c>
      <c r="K125" s="2">
        <v>0.1875</v>
      </c>
      <c r="L125" s="1"/>
    </row>
    <row r="126" spans="1:12" x14ac:dyDescent="0.35">
      <c r="A126" t="s">
        <v>47</v>
      </c>
      <c r="B126">
        <v>29</v>
      </c>
      <c r="C126" t="s">
        <v>41</v>
      </c>
      <c r="D126" s="3">
        <v>2.8292682930000002</v>
      </c>
      <c r="E126" s="9">
        <v>0.40193259803006398</v>
      </c>
      <c r="F126" s="3">
        <v>48.7</v>
      </c>
      <c r="G126" s="2">
        <v>0.872</v>
      </c>
      <c r="H126" s="2">
        <v>0.34699999999999998</v>
      </c>
      <c r="I126" s="2">
        <v>0.60599999999999998</v>
      </c>
      <c r="J126" s="2">
        <v>0.27200000000000002</v>
      </c>
      <c r="K126" s="2">
        <v>0.21249999999999999</v>
      </c>
      <c r="L126" s="1"/>
    </row>
    <row r="127" spans="1:12" x14ac:dyDescent="0.35">
      <c r="A127" t="s">
        <v>47</v>
      </c>
      <c r="B127">
        <v>30</v>
      </c>
      <c r="C127" t="s">
        <v>28</v>
      </c>
      <c r="D127" s="3">
        <v>2.585365854</v>
      </c>
      <c r="E127" s="9">
        <v>0.37447092151308098</v>
      </c>
      <c r="F127" s="3">
        <v>51.1</v>
      </c>
      <c r="G127" s="2">
        <v>0.88300000000000001</v>
      </c>
      <c r="H127" s="2">
        <v>0.222</v>
      </c>
      <c r="I127" s="2">
        <v>0.56599999999999995</v>
      </c>
      <c r="J127" s="2">
        <v>0.64900000000000002</v>
      </c>
      <c r="K127" s="2">
        <v>0.52500000000000002</v>
      </c>
      <c r="L127" s="1"/>
    </row>
    <row r="128" spans="1:12" x14ac:dyDescent="0.35">
      <c r="A128" t="s">
        <v>47</v>
      </c>
      <c r="B128">
        <v>31</v>
      </c>
      <c r="C128" t="s">
        <v>39</v>
      </c>
      <c r="D128" s="3">
        <v>2.7317073170000001</v>
      </c>
      <c r="E128" s="9">
        <v>0.370466627288836</v>
      </c>
      <c r="F128" s="3">
        <v>44.8</v>
      </c>
      <c r="G128" s="2">
        <v>0.88500000000000001</v>
      </c>
      <c r="H128" s="2">
        <v>0.25600000000000001</v>
      </c>
      <c r="I128" s="2">
        <v>0.70299999999999996</v>
      </c>
      <c r="J128" s="2">
        <v>0.67900000000000005</v>
      </c>
      <c r="K128" s="2">
        <v>0.375</v>
      </c>
      <c r="L128" s="1"/>
    </row>
    <row r="129" spans="1:12" x14ac:dyDescent="0.35">
      <c r="A129" t="s">
        <v>47</v>
      </c>
      <c r="B129">
        <v>32</v>
      </c>
      <c r="C129" t="s">
        <v>34</v>
      </c>
      <c r="D129" s="3">
        <v>2.5365853660000002</v>
      </c>
      <c r="E129" s="9">
        <v>0.31043885077925398</v>
      </c>
      <c r="F129" s="3">
        <v>46.3</v>
      </c>
      <c r="G129" s="2">
        <v>0.88100000000000001</v>
      </c>
      <c r="H129" s="2">
        <v>0.17599999999999999</v>
      </c>
      <c r="I129" s="2">
        <v>0.79400000000000004</v>
      </c>
      <c r="J129" s="2">
        <v>0.28100000000000003</v>
      </c>
      <c r="K129" s="2">
        <v>0.38750000000000001</v>
      </c>
      <c r="L12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3B59F-5CCB-4E21-9B5A-9555676B375B}">
  <dimension ref="A1:L129"/>
  <sheetViews>
    <sheetView zoomScaleNormal="100" workbookViewId="0">
      <selection sqref="A1:K6"/>
    </sheetView>
  </sheetViews>
  <sheetFormatPr defaultRowHeight="14.5" x14ac:dyDescent="0.35"/>
  <cols>
    <col min="1" max="1" width="9.81640625" bestFit="1" customWidth="1"/>
    <col min="2" max="2" width="7.54296875" style="1" bestFit="1" customWidth="1"/>
    <col min="3" max="3" width="19.54296875" bestFit="1" customWidth="1"/>
    <col min="4" max="4" width="12" style="1" bestFit="1" customWidth="1"/>
    <col min="5" max="5" width="14.26953125" style="1" bestFit="1" customWidth="1"/>
    <col min="6" max="6" width="21.81640625" style="1" bestFit="1" customWidth="1"/>
    <col min="7" max="7" width="17.453125" style="1" bestFit="1" customWidth="1"/>
    <col min="8" max="9" width="13" style="1" bestFit="1" customWidth="1"/>
    <col min="10" max="10" width="16.1796875" style="1" bestFit="1" customWidth="1"/>
    <col min="11" max="11" width="16.26953125" style="1" bestFit="1" customWidth="1"/>
    <col min="12" max="12" width="16.1796875" customWidth="1"/>
  </cols>
  <sheetData>
    <row r="1" spans="1:12" x14ac:dyDescent="0.35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49</v>
      </c>
    </row>
    <row r="2" spans="1:12" x14ac:dyDescent="0.35">
      <c r="A2" t="s">
        <v>12</v>
      </c>
      <c r="B2" s="1">
        <v>1</v>
      </c>
      <c r="C2" t="s">
        <v>13</v>
      </c>
      <c r="D2" s="3">
        <v>4.1097560980000001</v>
      </c>
      <c r="E2" s="2">
        <v>0.65977470909122604</v>
      </c>
      <c r="F2" s="3">
        <v>47.6</v>
      </c>
      <c r="G2" s="2">
        <v>0.90400000000000003</v>
      </c>
      <c r="H2" s="2">
        <v>1</v>
      </c>
      <c r="I2" s="2">
        <v>0.41499999999999998</v>
      </c>
      <c r="J2" s="1">
        <v>0.67800000000000005</v>
      </c>
      <c r="K2" s="2">
        <v>0.556962025316456</v>
      </c>
      <c r="L2" s="3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5.463396202531646</v>
      </c>
    </row>
    <row r="3" spans="1:12" x14ac:dyDescent="0.35">
      <c r="A3" s="4" t="s">
        <v>12</v>
      </c>
      <c r="B3" s="5">
        <v>2</v>
      </c>
      <c r="C3" s="4" t="s">
        <v>14</v>
      </c>
      <c r="D3" s="6">
        <v>3.7560975609999998</v>
      </c>
      <c r="E3" s="7">
        <v>0.63800710211987499</v>
      </c>
      <c r="F3" s="6">
        <v>42.6</v>
      </c>
      <c r="G3" s="7">
        <v>0.91200000000000003</v>
      </c>
      <c r="H3" s="7">
        <v>0.80500000000000005</v>
      </c>
      <c r="I3" s="7">
        <v>0.42899999999999999</v>
      </c>
      <c r="J3" s="5">
        <v>0.66700000000000004</v>
      </c>
      <c r="K3" s="7">
        <v>0.417721518987342</v>
      </c>
      <c r="L3" s="6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4.8850721518987354</v>
      </c>
    </row>
    <row r="4" spans="1:12" x14ac:dyDescent="0.35">
      <c r="A4" t="s">
        <v>12</v>
      </c>
      <c r="B4" s="1">
        <v>3</v>
      </c>
      <c r="C4" t="s">
        <v>15</v>
      </c>
      <c r="D4" s="3">
        <v>3.3780487799999999</v>
      </c>
      <c r="E4" s="2">
        <v>0.65732594299617098</v>
      </c>
      <c r="F4" s="3">
        <v>46.9</v>
      </c>
      <c r="G4" s="2">
        <v>0.91300000000000003</v>
      </c>
      <c r="H4" s="2">
        <v>0.60399999999999998</v>
      </c>
      <c r="I4" s="2">
        <v>0.109</v>
      </c>
      <c r="J4" s="1">
        <v>0.88600000000000001</v>
      </c>
      <c r="K4" s="2">
        <v>0.443037974683544</v>
      </c>
      <c r="L4" s="3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5.1944037974683548</v>
      </c>
    </row>
    <row r="5" spans="1:12" x14ac:dyDescent="0.35">
      <c r="A5" t="s">
        <v>12</v>
      </c>
      <c r="B5" s="1">
        <v>4</v>
      </c>
      <c r="C5" t="s">
        <v>16</v>
      </c>
      <c r="D5" s="3">
        <v>3.804878049</v>
      </c>
      <c r="E5" s="2">
        <v>0.60519247985675895</v>
      </c>
      <c r="F5" s="3">
        <v>46.4</v>
      </c>
      <c r="G5" s="2">
        <v>0.9</v>
      </c>
      <c r="H5" s="2">
        <v>0.81100000000000005</v>
      </c>
      <c r="I5" s="2">
        <v>0.44900000000000001</v>
      </c>
      <c r="J5" s="1">
        <v>0.86199999999999999</v>
      </c>
      <c r="K5" s="2">
        <v>0.367088607594937</v>
      </c>
      <c r="L5" s="3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5.2734588607594937</v>
      </c>
    </row>
    <row r="6" spans="1:12" x14ac:dyDescent="0.35">
      <c r="A6" t="s">
        <v>12</v>
      </c>
      <c r="B6" s="1">
        <v>5</v>
      </c>
      <c r="C6" t="s">
        <v>17</v>
      </c>
      <c r="D6" s="3">
        <v>3.7195121950000001</v>
      </c>
      <c r="E6" s="2">
        <v>0.60006063499025997</v>
      </c>
      <c r="F6" s="3">
        <v>43.9</v>
      </c>
      <c r="G6" s="2">
        <v>0.90300000000000002</v>
      </c>
      <c r="H6" s="2">
        <v>0.78</v>
      </c>
      <c r="I6" s="2">
        <v>0.49</v>
      </c>
      <c r="J6" s="1">
        <v>0.42699999999999999</v>
      </c>
      <c r="K6" s="2">
        <v>0.645569620253165</v>
      </c>
      <c r="L6" s="3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5.0275069620253161</v>
      </c>
    </row>
    <row r="7" spans="1:12" hidden="1" x14ac:dyDescent="0.35">
      <c r="A7" t="s">
        <v>12</v>
      </c>
      <c r="B7">
        <v>6</v>
      </c>
      <c r="C7" t="s">
        <v>18</v>
      </c>
      <c r="D7" s="1">
        <v>3.5487804879999998</v>
      </c>
      <c r="E7" s="1">
        <v>0.66616581574455003</v>
      </c>
      <c r="F7" s="1">
        <v>45</v>
      </c>
      <c r="G7" s="1">
        <v>0.91300000000000003</v>
      </c>
      <c r="H7" s="1">
        <v>0.70099999999999996</v>
      </c>
      <c r="I7" s="1">
        <v>0.184</v>
      </c>
      <c r="J7" s="1">
        <v>0.75</v>
      </c>
      <c r="K7" s="1">
        <v>0.430379746835443</v>
      </c>
      <c r="L7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5.0452879746835446</v>
      </c>
    </row>
    <row r="8" spans="1:12" hidden="1" x14ac:dyDescent="0.35">
      <c r="A8" t="s">
        <v>12</v>
      </c>
      <c r="B8">
        <v>7</v>
      </c>
      <c r="C8" t="s">
        <v>19</v>
      </c>
      <c r="D8" s="1">
        <v>3.4756097559999999</v>
      </c>
      <c r="E8" s="1">
        <v>0.60975609756097604</v>
      </c>
      <c r="F8" s="1">
        <v>49</v>
      </c>
      <c r="G8" s="1">
        <v>0.90700000000000003</v>
      </c>
      <c r="H8" s="1">
        <v>0.67700000000000005</v>
      </c>
      <c r="I8" s="1">
        <v>0.30599999999999999</v>
      </c>
      <c r="J8" s="1">
        <v>0.69599999999999995</v>
      </c>
      <c r="K8" s="1">
        <v>0.670886075949367</v>
      </c>
      <c r="L8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5.4814386075949377</v>
      </c>
    </row>
    <row r="9" spans="1:12" hidden="1" x14ac:dyDescent="0.35">
      <c r="A9" t="s">
        <v>12</v>
      </c>
      <c r="B9">
        <v>8</v>
      </c>
      <c r="C9" t="s">
        <v>20</v>
      </c>
      <c r="D9" s="1">
        <v>3.0487804879999998</v>
      </c>
      <c r="E9" s="1">
        <v>0.60029198202005496</v>
      </c>
      <c r="F9" s="1">
        <v>54.5</v>
      </c>
      <c r="G9" s="1">
        <v>0.91900000000000004</v>
      </c>
      <c r="H9" s="1">
        <v>0.53</v>
      </c>
      <c r="I9" s="1">
        <v>8.7999999999999995E-2</v>
      </c>
      <c r="J9" s="1">
        <v>0.8</v>
      </c>
      <c r="K9" s="1">
        <v>0.316455696202532</v>
      </c>
      <c r="L9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5.9085455696202533</v>
      </c>
    </row>
    <row r="10" spans="1:12" hidden="1" x14ac:dyDescent="0.35">
      <c r="A10" t="s">
        <v>12</v>
      </c>
      <c r="B10">
        <v>9</v>
      </c>
      <c r="C10" t="s">
        <v>21</v>
      </c>
      <c r="D10" s="1">
        <v>3.7682926829999999</v>
      </c>
      <c r="E10" s="1">
        <v>0.62568642612809799</v>
      </c>
      <c r="F10" s="1">
        <v>51.5</v>
      </c>
      <c r="G10" s="1">
        <v>0.90800000000000003</v>
      </c>
      <c r="H10" s="1">
        <v>0.86599999999999999</v>
      </c>
      <c r="I10" s="1">
        <v>0.35399999999999998</v>
      </c>
      <c r="J10" s="1">
        <v>0.92200000000000004</v>
      </c>
      <c r="K10" s="1">
        <v>0.227848101265823</v>
      </c>
      <c r="L10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5.7743848101265831</v>
      </c>
    </row>
    <row r="11" spans="1:12" hidden="1" x14ac:dyDescent="0.35">
      <c r="A11" t="s">
        <v>12</v>
      </c>
      <c r="B11">
        <v>10</v>
      </c>
      <c r="C11" t="s">
        <v>22</v>
      </c>
      <c r="D11" s="1">
        <v>3.085365854</v>
      </c>
      <c r="E11" s="1">
        <v>0.57390189450655904</v>
      </c>
      <c r="F11" s="1">
        <v>47.7</v>
      </c>
      <c r="G11" s="1">
        <v>0.90700000000000003</v>
      </c>
      <c r="H11" s="1">
        <v>0.5</v>
      </c>
      <c r="I11" s="1">
        <v>0.218</v>
      </c>
      <c r="J11" s="1">
        <v>0.627</v>
      </c>
      <c r="K11" s="1">
        <v>0.531645569620253</v>
      </c>
      <c r="L11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5.2545145569620253</v>
      </c>
    </row>
    <row r="12" spans="1:12" hidden="1" x14ac:dyDescent="0.35">
      <c r="A12" t="s">
        <v>12</v>
      </c>
      <c r="B12">
        <v>11</v>
      </c>
      <c r="C12" t="s">
        <v>23</v>
      </c>
      <c r="D12" s="1">
        <v>3.4756097559999999</v>
      </c>
      <c r="E12" s="1">
        <v>0.56317862243978201</v>
      </c>
      <c r="F12" s="1">
        <v>48.6</v>
      </c>
      <c r="G12" s="1">
        <v>0.90500000000000003</v>
      </c>
      <c r="H12" s="1">
        <v>0.628</v>
      </c>
      <c r="I12" s="1">
        <v>0.40100000000000002</v>
      </c>
      <c r="J12" s="1">
        <v>0.72499999999999998</v>
      </c>
      <c r="K12" s="1">
        <v>0.30379746835443</v>
      </c>
      <c r="L12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5.4076297468354433</v>
      </c>
    </row>
    <row r="13" spans="1:12" hidden="1" x14ac:dyDescent="0.35">
      <c r="A13" t="s">
        <v>12</v>
      </c>
      <c r="B13">
        <v>12</v>
      </c>
      <c r="C13" t="s">
        <v>24</v>
      </c>
      <c r="D13" s="1">
        <v>3.2804878049999999</v>
      </c>
      <c r="E13" s="1">
        <v>0.59485387808787904</v>
      </c>
      <c r="F13" s="1">
        <v>48.5</v>
      </c>
      <c r="G13" s="1">
        <v>0.91400000000000003</v>
      </c>
      <c r="H13" s="1">
        <v>0.57899999999999996</v>
      </c>
      <c r="I13" s="1">
        <v>0.27900000000000003</v>
      </c>
      <c r="J13" s="1">
        <v>0.69899999999999995</v>
      </c>
      <c r="K13" s="1">
        <v>0.151898734177215</v>
      </c>
      <c r="L13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5.3413898734177225</v>
      </c>
    </row>
    <row r="14" spans="1:12" hidden="1" x14ac:dyDescent="0.35">
      <c r="A14" t="s">
        <v>12</v>
      </c>
      <c r="B14">
        <v>13</v>
      </c>
      <c r="C14" t="s">
        <v>25</v>
      </c>
      <c r="D14" s="1">
        <v>3.292682927</v>
      </c>
      <c r="E14" s="1">
        <v>0.55452443254427097</v>
      </c>
      <c r="F14" s="1">
        <v>51.4</v>
      </c>
      <c r="G14" s="1">
        <v>0.89800000000000002</v>
      </c>
      <c r="H14" s="1">
        <v>0.64</v>
      </c>
      <c r="I14" s="1">
        <v>0.44900000000000001</v>
      </c>
      <c r="J14" s="1">
        <v>0.51300000000000001</v>
      </c>
      <c r="K14" s="1">
        <v>0.253164556962025</v>
      </c>
      <c r="L14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5.6843664556962032</v>
      </c>
    </row>
    <row r="15" spans="1:12" hidden="1" x14ac:dyDescent="0.35">
      <c r="A15" t="s">
        <v>12</v>
      </c>
      <c r="B15">
        <v>14</v>
      </c>
      <c r="C15" t="s">
        <v>26</v>
      </c>
      <c r="D15" s="1">
        <v>2.8658536589999999</v>
      </c>
      <c r="E15" s="1">
        <v>0.50642371777824602</v>
      </c>
      <c r="F15" s="1">
        <v>51.2</v>
      </c>
      <c r="G15" s="1">
        <v>0.90100000000000002</v>
      </c>
      <c r="H15" s="1">
        <v>0.39</v>
      </c>
      <c r="I15" s="1">
        <v>0.32</v>
      </c>
      <c r="J15" s="1">
        <v>0.29299999999999998</v>
      </c>
      <c r="K15" s="1">
        <v>0.253164556962025</v>
      </c>
      <c r="L15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5.5406664556962033</v>
      </c>
    </row>
    <row r="16" spans="1:12" hidden="1" x14ac:dyDescent="0.35">
      <c r="A16" t="s">
        <v>12</v>
      </c>
      <c r="B16">
        <v>15</v>
      </c>
      <c r="C16" t="s">
        <v>27</v>
      </c>
      <c r="D16" s="1">
        <v>2.8414634150000002</v>
      </c>
      <c r="E16" s="1">
        <v>0.47695146057544502</v>
      </c>
      <c r="F16" s="1">
        <v>50.8</v>
      </c>
      <c r="G16" s="1">
        <v>0.90400000000000003</v>
      </c>
      <c r="H16" s="1">
        <v>0.32900000000000001</v>
      </c>
      <c r="I16" s="1">
        <v>0.374</v>
      </c>
      <c r="J16" s="1">
        <v>0.59</v>
      </c>
      <c r="K16" s="1">
        <v>0.126582278481013</v>
      </c>
      <c r="L16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5.4929082278481003</v>
      </c>
    </row>
    <row r="17" spans="1:12" hidden="1" x14ac:dyDescent="0.35">
      <c r="A17" t="s">
        <v>12</v>
      </c>
      <c r="B17">
        <v>16</v>
      </c>
      <c r="C17" t="s">
        <v>28</v>
      </c>
      <c r="D17" s="1">
        <v>3.195121951</v>
      </c>
      <c r="E17" s="1">
        <v>0.52342463246507698</v>
      </c>
      <c r="F17" s="1">
        <v>55.7</v>
      </c>
      <c r="G17" s="1">
        <v>0.90600000000000003</v>
      </c>
      <c r="H17" s="1">
        <v>0.59799999999999998</v>
      </c>
      <c r="I17" s="1">
        <v>0.41499999999999998</v>
      </c>
      <c r="J17" s="1">
        <v>0.66700000000000004</v>
      </c>
      <c r="K17" s="1">
        <v>0.873417721518987</v>
      </c>
      <c r="L17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6.1641917721518995</v>
      </c>
    </row>
    <row r="18" spans="1:12" hidden="1" x14ac:dyDescent="0.35">
      <c r="A18" t="s">
        <v>12</v>
      </c>
      <c r="B18">
        <v>17</v>
      </c>
      <c r="C18" t="s">
        <v>29</v>
      </c>
      <c r="D18" s="1">
        <v>3.195121951</v>
      </c>
      <c r="E18" s="1">
        <v>0.53552816352004995</v>
      </c>
      <c r="F18" s="1">
        <v>57.2</v>
      </c>
      <c r="G18" s="1">
        <v>0.90100000000000002</v>
      </c>
      <c r="H18" s="1">
        <v>0.59099999999999997</v>
      </c>
      <c r="I18" s="1">
        <v>0.38100000000000001</v>
      </c>
      <c r="J18" s="1">
        <v>0.39700000000000002</v>
      </c>
      <c r="K18" s="1">
        <v>0.240506329113924</v>
      </c>
      <c r="L18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6.2271506329113935</v>
      </c>
    </row>
    <row r="19" spans="1:12" hidden="1" x14ac:dyDescent="0.35">
      <c r="A19" t="s">
        <v>12</v>
      </c>
      <c r="B19">
        <v>18</v>
      </c>
      <c r="C19" t="s">
        <v>30</v>
      </c>
      <c r="D19" s="1">
        <v>3</v>
      </c>
      <c r="E19" s="1">
        <v>0.53141547459100602</v>
      </c>
      <c r="F19" s="1">
        <v>51.7</v>
      </c>
      <c r="G19" s="1">
        <v>0.91200000000000003</v>
      </c>
      <c r="H19" s="1">
        <v>0.46300000000000002</v>
      </c>
      <c r="I19" s="1">
        <v>0.313</v>
      </c>
      <c r="J19" s="1">
        <v>0.48499999999999999</v>
      </c>
      <c r="K19" s="1">
        <v>0.291139240506329</v>
      </c>
      <c r="L19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5.6304139240506341</v>
      </c>
    </row>
    <row r="20" spans="1:12" hidden="1" x14ac:dyDescent="0.35">
      <c r="A20" t="s">
        <v>12</v>
      </c>
      <c r="B20">
        <v>19</v>
      </c>
      <c r="C20" t="s">
        <v>31</v>
      </c>
      <c r="D20" s="1">
        <v>3.0487804879999998</v>
      </c>
      <c r="E20" s="1">
        <v>0.49403599743891702</v>
      </c>
      <c r="F20" s="1">
        <v>52.3</v>
      </c>
      <c r="G20" s="1">
        <v>0.90700000000000003</v>
      </c>
      <c r="H20" s="1">
        <v>0.433</v>
      </c>
      <c r="I20" s="1">
        <v>0.42199999999999999</v>
      </c>
      <c r="J20" s="1">
        <v>0.40500000000000003</v>
      </c>
      <c r="K20" s="1">
        <v>0.392405063291139</v>
      </c>
      <c r="L20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5.7068405063291143</v>
      </c>
    </row>
    <row r="21" spans="1:12" hidden="1" x14ac:dyDescent="0.35">
      <c r="A21" t="s">
        <v>12</v>
      </c>
      <c r="B21">
        <v>20</v>
      </c>
      <c r="C21" t="s">
        <v>32</v>
      </c>
      <c r="D21" s="1">
        <v>2.792682927</v>
      </c>
      <c r="E21" s="1">
        <v>0.49565225610101898</v>
      </c>
      <c r="F21" s="1">
        <v>56.3</v>
      </c>
      <c r="G21" s="1">
        <v>0.91300000000000003</v>
      </c>
      <c r="H21" s="1">
        <v>0.38400000000000001</v>
      </c>
      <c r="I21" s="1">
        <v>0.29899999999999999</v>
      </c>
      <c r="J21" s="1">
        <v>0.75800000000000001</v>
      </c>
      <c r="K21" s="1">
        <v>0.405063291139241</v>
      </c>
      <c r="L21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6.085206329113924</v>
      </c>
    </row>
    <row r="22" spans="1:12" hidden="1" x14ac:dyDescent="0.35">
      <c r="A22" t="s">
        <v>12</v>
      </c>
      <c r="B22">
        <v>21</v>
      </c>
      <c r="C22" t="s">
        <v>33</v>
      </c>
      <c r="D22" s="1">
        <v>3.1463414630000002</v>
      </c>
      <c r="E22" s="1">
        <v>0.43007501308367702</v>
      </c>
      <c r="F22" s="1">
        <v>60.2</v>
      </c>
      <c r="G22" s="1">
        <v>0.89700000000000002</v>
      </c>
      <c r="H22" s="1">
        <v>0.57299999999999995</v>
      </c>
      <c r="I22" s="1">
        <v>0.71399999999999997</v>
      </c>
      <c r="J22" s="1">
        <v>0.44500000000000001</v>
      </c>
      <c r="K22" s="1">
        <v>0.253164556962025</v>
      </c>
      <c r="L22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6.5903164556962031</v>
      </c>
    </row>
    <row r="23" spans="1:12" hidden="1" x14ac:dyDescent="0.35">
      <c r="A23" t="s">
        <v>12</v>
      </c>
      <c r="B23">
        <v>22</v>
      </c>
      <c r="C23" t="s">
        <v>34</v>
      </c>
      <c r="D23" s="1">
        <v>2.5731707319999999</v>
      </c>
      <c r="E23" s="1">
        <v>0.39524333729869898</v>
      </c>
      <c r="F23" s="1">
        <v>60.1</v>
      </c>
      <c r="G23" s="1">
        <v>0.9</v>
      </c>
      <c r="H23" s="1">
        <v>0.25600000000000001</v>
      </c>
      <c r="I23" s="1">
        <v>0.48299999999999998</v>
      </c>
      <c r="J23" s="1">
        <v>0.68500000000000005</v>
      </c>
      <c r="K23" s="1">
        <v>0.392405063291139</v>
      </c>
      <c r="L23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6.4496905063291141</v>
      </c>
    </row>
    <row r="24" spans="1:12" hidden="1" x14ac:dyDescent="0.35">
      <c r="A24" t="s">
        <v>12</v>
      </c>
      <c r="B24">
        <v>23</v>
      </c>
      <c r="C24" t="s">
        <v>35</v>
      </c>
      <c r="D24" s="1">
        <v>2.7804878049999999</v>
      </c>
      <c r="E24" s="1">
        <v>0.42352941176470599</v>
      </c>
      <c r="F24" s="1">
        <v>59.8</v>
      </c>
      <c r="G24" s="1">
        <v>0.90200000000000002</v>
      </c>
      <c r="H24" s="1">
        <v>0.34100000000000003</v>
      </c>
      <c r="I24" s="1">
        <v>0.49</v>
      </c>
      <c r="J24" s="1">
        <v>0.63500000000000001</v>
      </c>
      <c r="K24" s="1">
        <v>0.455696202531646</v>
      </c>
      <c r="L24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6.4550696202531643</v>
      </c>
    </row>
    <row r="25" spans="1:12" hidden="1" x14ac:dyDescent="0.35">
      <c r="A25" t="s">
        <v>12</v>
      </c>
      <c r="B25">
        <v>24</v>
      </c>
      <c r="C25" t="s">
        <v>36</v>
      </c>
      <c r="D25" s="1">
        <v>2.792682927</v>
      </c>
      <c r="E25" s="1">
        <v>0.38899933239373902</v>
      </c>
      <c r="F25" s="1">
        <v>46</v>
      </c>
      <c r="G25" s="1">
        <v>0.89400000000000002</v>
      </c>
      <c r="H25" s="1">
        <v>0.34100000000000003</v>
      </c>
      <c r="I25" s="1">
        <v>0.70099999999999996</v>
      </c>
      <c r="J25" s="1">
        <v>0.45800000000000002</v>
      </c>
      <c r="K25" s="1">
        <v>0.30379746835443</v>
      </c>
      <c r="L25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5.0916297468354434</v>
      </c>
    </row>
    <row r="26" spans="1:12" hidden="1" x14ac:dyDescent="0.35">
      <c r="A26" t="s">
        <v>12</v>
      </c>
      <c r="B26">
        <v>25</v>
      </c>
      <c r="C26" t="s">
        <v>37</v>
      </c>
      <c r="D26" s="1">
        <v>2.7682926829999999</v>
      </c>
      <c r="E26" s="1">
        <v>0.34904388704116401</v>
      </c>
      <c r="F26" s="1">
        <v>43.9</v>
      </c>
      <c r="G26" s="1">
        <v>0.88800000000000001</v>
      </c>
      <c r="H26" s="1">
        <v>0.32300000000000001</v>
      </c>
      <c r="I26" s="1">
        <v>0.89800000000000002</v>
      </c>
      <c r="J26" s="1">
        <v>0.2</v>
      </c>
      <c r="K26" s="1">
        <v>0.405063291139241</v>
      </c>
      <c r="L26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4.9107563291139238</v>
      </c>
    </row>
    <row r="27" spans="1:12" hidden="1" x14ac:dyDescent="0.35">
      <c r="A27" t="s">
        <v>12</v>
      </c>
      <c r="B27">
        <v>26</v>
      </c>
      <c r="C27" t="s">
        <v>38</v>
      </c>
      <c r="D27" s="1">
        <v>2.7317073170000001</v>
      </c>
      <c r="E27" s="1">
        <v>0.41857981847303799</v>
      </c>
      <c r="F27" s="1">
        <v>44.3</v>
      </c>
      <c r="G27" s="1">
        <v>0.90400000000000003</v>
      </c>
      <c r="H27" s="1">
        <v>0.29299999999999998</v>
      </c>
      <c r="I27" s="1">
        <v>0.57099999999999995</v>
      </c>
      <c r="J27" s="1">
        <v>0.53</v>
      </c>
      <c r="K27" s="1">
        <v>0.544303797468354</v>
      </c>
      <c r="L27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4.9084803797468357</v>
      </c>
    </row>
    <row r="28" spans="1:12" hidden="1" x14ac:dyDescent="0.35">
      <c r="A28" t="s">
        <v>12</v>
      </c>
      <c r="B28">
        <v>27</v>
      </c>
      <c r="C28" t="s">
        <v>39</v>
      </c>
      <c r="D28" s="1">
        <v>2.597560976</v>
      </c>
      <c r="E28" s="1">
        <v>0.35199782760493398</v>
      </c>
      <c r="F28" s="1">
        <v>44.8</v>
      </c>
      <c r="G28" s="1">
        <v>0.89300000000000002</v>
      </c>
      <c r="H28" s="1">
        <v>0.20100000000000001</v>
      </c>
      <c r="I28" s="1">
        <v>0.70099999999999996</v>
      </c>
      <c r="J28" s="1">
        <v>0.38300000000000001</v>
      </c>
      <c r="K28" s="1">
        <v>0.278481012658228</v>
      </c>
      <c r="L28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4.916148101265823</v>
      </c>
    </row>
    <row r="29" spans="1:12" hidden="1" x14ac:dyDescent="0.35">
      <c r="A29" t="s">
        <v>12</v>
      </c>
      <c r="B29">
        <v>28</v>
      </c>
      <c r="C29" t="s">
        <v>40</v>
      </c>
      <c r="D29" s="1">
        <v>2.9878048779999999</v>
      </c>
      <c r="E29" s="1">
        <v>0.39691461293799501</v>
      </c>
      <c r="F29" s="1">
        <v>53</v>
      </c>
      <c r="G29" s="1">
        <v>0.88100000000000001</v>
      </c>
      <c r="H29" s="1">
        <v>0.48199999999999998</v>
      </c>
      <c r="I29" s="1">
        <v>0.78900000000000003</v>
      </c>
      <c r="J29" s="1">
        <v>0.39500000000000002</v>
      </c>
      <c r="K29" s="1">
        <v>0.30379746835443</v>
      </c>
      <c r="L29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5.852829746835444</v>
      </c>
    </row>
    <row r="30" spans="1:12" hidden="1" x14ac:dyDescent="0.35">
      <c r="A30" t="s">
        <v>12</v>
      </c>
      <c r="B30">
        <v>29</v>
      </c>
      <c r="C30" t="s">
        <v>41</v>
      </c>
      <c r="D30" s="1">
        <v>2.5609756099999998</v>
      </c>
      <c r="E30" s="1">
        <v>0.337837837837838</v>
      </c>
      <c r="F30" s="1">
        <v>52.4</v>
      </c>
      <c r="G30" s="1">
        <v>0.89400000000000002</v>
      </c>
      <c r="H30" s="1">
        <v>0.27400000000000002</v>
      </c>
      <c r="I30" s="1">
        <v>0.73499999999999999</v>
      </c>
      <c r="J30" s="1">
        <v>0.13900000000000001</v>
      </c>
      <c r="K30" s="1">
        <v>0.417721518987342</v>
      </c>
      <c r="L30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5.7104221518987348</v>
      </c>
    </row>
    <row r="31" spans="1:12" hidden="1" x14ac:dyDescent="0.35">
      <c r="A31" t="s">
        <v>12</v>
      </c>
      <c r="B31">
        <v>30</v>
      </c>
      <c r="C31" t="s">
        <v>42</v>
      </c>
      <c r="D31" s="1">
        <v>2.597560976</v>
      </c>
      <c r="E31" s="1">
        <v>0.36</v>
      </c>
      <c r="F31" s="1">
        <v>53.2</v>
      </c>
      <c r="G31" s="1">
        <v>0.88</v>
      </c>
      <c r="H31" s="1">
        <v>0.28699999999999998</v>
      </c>
      <c r="I31" s="1">
        <v>0.65300000000000002</v>
      </c>
      <c r="J31" s="1">
        <v>0.17799999999999999</v>
      </c>
      <c r="K31" s="1">
        <v>0.354430379746835</v>
      </c>
      <c r="L31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5.7713930379746845</v>
      </c>
    </row>
    <row r="32" spans="1:12" hidden="1" x14ac:dyDescent="0.35">
      <c r="A32" t="s">
        <v>12</v>
      </c>
      <c r="B32">
        <v>31</v>
      </c>
      <c r="C32" t="s">
        <v>43</v>
      </c>
      <c r="D32" s="1">
        <v>2.5121951220000001</v>
      </c>
      <c r="E32" s="1">
        <v>0.30769230769230799</v>
      </c>
      <c r="F32" s="1">
        <v>54.8</v>
      </c>
      <c r="G32" s="1">
        <v>0.89400000000000002</v>
      </c>
      <c r="H32" s="1">
        <v>0.21299999999999999</v>
      </c>
      <c r="I32" s="1">
        <v>0.78200000000000003</v>
      </c>
      <c r="J32" s="1">
        <v>0.158</v>
      </c>
      <c r="K32" s="1">
        <v>0.569620253164557</v>
      </c>
      <c r="L32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5.9546120253164565</v>
      </c>
    </row>
    <row r="33" spans="1:12" hidden="1" x14ac:dyDescent="0.35">
      <c r="A33" t="s">
        <v>12</v>
      </c>
      <c r="B33">
        <v>32</v>
      </c>
      <c r="C33" t="s">
        <v>44</v>
      </c>
      <c r="D33" s="1">
        <v>2.6585365849999998</v>
      </c>
      <c r="E33" s="1">
        <v>0.32107990514346701</v>
      </c>
      <c r="F33" s="1">
        <v>47.9</v>
      </c>
      <c r="G33" s="1">
        <v>0.88800000000000001</v>
      </c>
      <c r="H33" s="1">
        <v>0.28000000000000003</v>
      </c>
      <c r="I33" s="1">
        <v>0.95199999999999996</v>
      </c>
      <c r="J33" s="1">
        <v>0.17199999999999999</v>
      </c>
      <c r="K33" s="1">
        <v>0.569620253164557</v>
      </c>
      <c r="L33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5.3215620253164566</v>
      </c>
    </row>
    <row r="34" spans="1:12" hidden="1" x14ac:dyDescent="0.35">
      <c r="A34" t="s">
        <v>45</v>
      </c>
      <c r="B34">
        <v>1</v>
      </c>
      <c r="C34" t="s">
        <v>22</v>
      </c>
      <c r="D34" s="1">
        <v>3.6707317069999998</v>
      </c>
      <c r="E34" s="1">
        <v>0.74953051448993602</v>
      </c>
      <c r="F34" s="1">
        <v>45</v>
      </c>
      <c r="G34" s="1">
        <v>0.92900000000000005</v>
      </c>
      <c r="H34" s="1">
        <v>0.77400000000000002</v>
      </c>
      <c r="I34" s="1">
        <v>0</v>
      </c>
      <c r="J34" s="1">
        <v>0.86799999999999999</v>
      </c>
      <c r="K34" s="1">
        <v>0.607594936708861</v>
      </c>
      <c r="L34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5.0608594936708871</v>
      </c>
    </row>
    <row r="35" spans="1:12" hidden="1" x14ac:dyDescent="0.35">
      <c r="A35" t="s">
        <v>45</v>
      </c>
      <c r="B35">
        <v>2</v>
      </c>
      <c r="C35" t="s">
        <v>15</v>
      </c>
      <c r="D35" s="1">
        <v>3.195121951</v>
      </c>
      <c r="E35" s="1">
        <v>0.60884836443624502</v>
      </c>
      <c r="F35" s="1">
        <v>48.3</v>
      </c>
      <c r="G35" s="1">
        <v>0.90200000000000002</v>
      </c>
      <c r="H35" s="1">
        <v>0.54900000000000004</v>
      </c>
      <c r="I35" s="1">
        <v>0.21099999999999999</v>
      </c>
      <c r="J35" s="1">
        <v>0.68400000000000005</v>
      </c>
      <c r="K35" s="1">
        <v>0.227848101265823</v>
      </c>
      <c r="L35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5.3017348101265824</v>
      </c>
    </row>
    <row r="36" spans="1:12" hidden="1" x14ac:dyDescent="0.35">
      <c r="A36" t="s">
        <v>45</v>
      </c>
      <c r="B36">
        <v>3</v>
      </c>
      <c r="C36" t="s">
        <v>40</v>
      </c>
      <c r="D36" s="1">
        <v>3.5243902440000001</v>
      </c>
      <c r="E36" s="1">
        <v>0.62889951432551505</v>
      </c>
      <c r="F36" s="1">
        <v>49</v>
      </c>
      <c r="G36" s="1">
        <v>0.90400000000000003</v>
      </c>
      <c r="H36" s="1">
        <v>0.68300000000000005</v>
      </c>
      <c r="I36" s="1">
        <v>0.23100000000000001</v>
      </c>
      <c r="J36" s="1">
        <v>0.69599999999999995</v>
      </c>
      <c r="K36" s="1">
        <v>0.253164556962025</v>
      </c>
      <c r="L36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5.4261664556962019</v>
      </c>
    </row>
    <row r="37" spans="1:12" hidden="1" x14ac:dyDescent="0.35">
      <c r="A37" t="s">
        <v>45</v>
      </c>
      <c r="B37">
        <v>4</v>
      </c>
      <c r="C37" t="s">
        <v>29</v>
      </c>
      <c r="D37" s="1">
        <v>3.2560975609999998</v>
      </c>
      <c r="E37" s="1">
        <v>0.58474826517053002</v>
      </c>
      <c r="F37" s="1">
        <v>48.9</v>
      </c>
      <c r="G37" s="1">
        <v>0.91100000000000003</v>
      </c>
      <c r="H37" s="1">
        <v>0.59099999999999997</v>
      </c>
      <c r="I37" s="1">
        <v>0.27900000000000003</v>
      </c>
      <c r="J37" s="1">
        <v>0.46300000000000002</v>
      </c>
      <c r="K37" s="1">
        <v>0.189873417721519</v>
      </c>
      <c r="L37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5.3769873417721525</v>
      </c>
    </row>
    <row r="38" spans="1:12" hidden="1" x14ac:dyDescent="0.35">
      <c r="A38" t="s">
        <v>45</v>
      </c>
      <c r="B38">
        <v>5</v>
      </c>
      <c r="C38" t="s">
        <v>16</v>
      </c>
      <c r="D38" s="1">
        <v>3.3902439019999999</v>
      </c>
      <c r="E38" s="1">
        <v>0.61490722765029804</v>
      </c>
      <c r="F38" s="1">
        <v>51.6</v>
      </c>
      <c r="G38" s="1">
        <v>0.90900000000000003</v>
      </c>
      <c r="H38" s="1">
        <v>0.67100000000000004</v>
      </c>
      <c r="I38" s="1">
        <v>0.23100000000000001</v>
      </c>
      <c r="J38" s="1">
        <v>0.81200000000000006</v>
      </c>
      <c r="K38" s="1">
        <v>0.341772151898734</v>
      </c>
      <c r="L38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5.6976272151898737</v>
      </c>
    </row>
    <row r="39" spans="1:12" hidden="1" x14ac:dyDescent="0.35">
      <c r="A39" t="s">
        <v>45</v>
      </c>
      <c r="B39">
        <v>6</v>
      </c>
      <c r="C39" t="s">
        <v>14</v>
      </c>
      <c r="D39" s="1">
        <v>3.3414634150000002</v>
      </c>
      <c r="E39" s="1">
        <v>0.60154641240334905</v>
      </c>
      <c r="F39" s="1">
        <v>53.7</v>
      </c>
      <c r="G39" s="1">
        <v>0.91200000000000003</v>
      </c>
      <c r="H39" s="1">
        <v>0.64600000000000002</v>
      </c>
      <c r="I39" s="1">
        <v>0.23100000000000001</v>
      </c>
      <c r="J39" s="1">
        <v>0.66300000000000003</v>
      </c>
      <c r="K39" s="1">
        <v>0.316455696202532</v>
      </c>
      <c r="L39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5.8894955696202542</v>
      </c>
    </row>
    <row r="40" spans="1:12" hidden="1" x14ac:dyDescent="0.35">
      <c r="A40" t="s">
        <v>45</v>
      </c>
      <c r="B40">
        <v>7</v>
      </c>
      <c r="C40" t="s">
        <v>23</v>
      </c>
      <c r="D40" s="1">
        <v>3.9634146339999998</v>
      </c>
      <c r="E40" s="1">
        <v>0.61710903768966097</v>
      </c>
      <c r="F40" s="1">
        <v>50.6</v>
      </c>
      <c r="G40" s="1">
        <v>0.9</v>
      </c>
      <c r="H40" s="1">
        <v>0.90900000000000003</v>
      </c>
      <c r="I40" s="1">
        <v>0.42899999999999999</v>
      </c>
      <c r="J40" s="1">
        <v>0.86199999999999999</v>
      </c>
      <c r="K40" s="1">
        <v>0.367088607594937</v>
      </c>
      <c r="L40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5.723758860759494</v>
      </c>
    </row>
    <row r="41" spans="1:12" hidden="1" x14ac:dyDescent="0.35">
      <c r="A41" t="s">
        <v>45</v>
      </c>
      <c r="B41">
        <v>8</v>
      </c>
      <c r="C41" t="s">
        <v>27</v>
      </c>
      <c r="D41" s="1">
        <v>3.4268292680000001</v>
      </c>
      <c r="E41" s="1">
        <v>0.63074944482609896</v>
      </c>
      <c r="F41" s="1">
        <v>46</v>
      </c>
      <c r="G41" s="1">
        <v>0.91200000000000003</v>
      </c>
      <c r="H41" s="1">
        <v>0.67100000000000004</v>
      </c>
      <c r="I41" s="1">
        <v>0.26500000000000001</v>
      </c>
      <c r="J41" s="1">
        <v>0.83299999999999996</v>
      </c>
      <c r="K41" s="1">
        <v>0.265822784810127</v>
      </c>
      <c r="L41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5.1384822784810131</v>
      </c>
    </row>
    <row r="42" spans="1:12" hidden="1" x14ac:dyDescent="0.35">
      <c r="A42" t="s">
        <v>45</v>
      </c>
      <c r="B42">
        <v>9</v>
      </c>
      <c r="C42" t="s">
        <v>20</v>
      </c>
      <c r="D42" s="1">
        <v>3.3292682930000002</v>
      </c>
      <c r="E42" s="1">
        <v>0.61500185666542895</v>
      </c>
      <c r="F42" s="1">
        <v>46.1</v>
      </c>
      <c r="G42" s="1">
        <v>0.91</v>
      </c>
      <c r="H42" s="1">
        <v>0.59799999999999998</v>
      </c>
      <c r="I42" s="1">
        <v>0.20399999999999999</v>
      </c>
      <c r="J42" s="1">
        <v>0.72199999999999998</v>
      </c>
      <c r="K42" s="1">
        <v>0.240506329113924</v>
      </c>
      <c r="L42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5.1022506329113932</v>
      </c>
    </row>
    <row r="43" spans="1:12" hidden="1" x14ac:dyDescent="0.35">
      <c r="A43" t="s">
        <v>45</v>
      </c>
      <c r="B43">
        <v>10</v>
      </c>
      <c r="C43" t="s">
        <v>26</v>
      </c>
      <c r="D43" s="1">
        <v>3.3414634150000002</v>
      </c>
      <c r="E43" s="1">
        <v>0.53782451716430701</v>
      </c>
      <c r="F43" s="1">
        <v>46.5</v>
      </c>
      <c r="G43" s="1">
        <v>0.88900000000000001</v>
      </c>
      <c r="H43" s="1">
        <v>0.59799999999999998</v>
      </c>
      <c r="I43" s="1">
        <v>0.47599999999999998</v>
      </c>
      <c r="J43" s="1">
        <v>0.57999999999999996</v>
      </c>
      <c r="K43" s="1">
        <v>0.367088607594937</v>
      </c>
      <c r="L43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5.1980088607594945</v>
      </c>
    </row>
    <row r="44" spans="1:12" hidden="1" x14ac:dyDescent="0.35">
      <c r="A44" t="s">
        <v>45</v>
      </c>
      <c r="B44">
        <v>11</v>
      </c>
      <c r="C44" t="s">
        <v>17</v>
      </c>
      <c r="D44" s="1">
        <v>2.914634146</v>
      </c>
      <c r="E44" s="1">
        <v>0.54358500980186897</v>
      </c>
      <c r="F44" s="1">
        <v>48.6</v>
      </c>
      <c r="G44" s="1">
        <v>0.91400000000000003</v>
      </c>
      <c r="H44" s="1">
        <v>0.372</v>
      </c>
      <c r="I44" s="1">
        <v>0.19</v>
      </c>
      <c r="J44" s="1">
        <v>0.66</v>
      </c>
      <c r="K44" s="1">
        <v>0.708860759493671</v>
      </c>
      <c r="L44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5.314886075949369</v>
      </c>
    </row>
    <row r="45" spans="1:12" hidden="1" x14ac:dyDescent="0.35">
      <c r="A45" t="s">
        <v>45</v>
      </c>
      <c r="B45">
        <v>12</v>
      </c>
      <c r="C45" t="s">
        <v>42</v>
      </c>
      <c r="D45" s="1">
        <v>3.5243902440000001</v>
      </c>
      <c r="E45" s="1">
        <v>0.56807345689508604</v>
      </c>
      <c r="F45" s="1">
        <v>52.5</v>
      </c>
      <c r="G45" s="1">
        <v>0.88600000000000001</v>
      </c>
      <c r="H45" s="1">
        <v>0.75</v>
      </c>
      <c r="I45" s="1">
        <v>0.46899999999999997</v>
      </c>
      <c r="J45" s="1">
        <v>0.41899999999999998</v>
      </c>
      <c r="K45" s="1">
        <v>0.354430379746835</v>
      </c>
      <c r="L45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5.8398930379746838</v>
      </c>
    </row>
    <row r="46" spans="1:12" hidden="1" x14ac:dyDescent="0.35">
      <c r="A46" t="s">
        <v>45</v>
      </c>
      <c r="B46">
        <v>13</v>
      </c>
      <c r="C46" t="s">
        <v>19</v>
      </c>
      <c r="D46" s="1">
        <v>3.414634146</v>
      </c>
      <c r="E46" s="1">
        <v>0.55248618784530401</v>
      </c>
      <c r="F46" s="1">
        <v>52.2</v>
      </c>
      <c r="G46" s="1">
        <v>0.90200000000000002</v>
      </c>
      <c r="H46" s="1">
        <v>0.71299999999999997</v>
      </c>
      <c r="I46" s="1">
        <v>0.45600000000000002</v>
      </c>
      <c r="J46" s="1">
        <v>0.71499999999999997</v>
      </c>
      <c r="K46" s="1">
        <v>0.810126582278481</v>
      </c>
      <c r="L46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5.8579126582278489</v>
      </c>
    </row>
    <row r="47" spans="1:12" hidden="1" x14ac:dyDescent="0.35">
      <c r="A47" t="s">
        <v>45</v>
      </c>
      <c r="B47">
        <v>14</v>
      </c>
      <c r="C47" t="s">
        <v>31</v>
      </c>
      <c r="D47" s="1">
        <v>3</v>
      </c>
      <c r="E47" s="1">
        <v>0.54670617569472002</v>
      </c>
      <c r="F47" s="1">
        <v>55.6</v>
      </c>
      <c r="G47" s="1">
        <v>0.91</v>
      </c>
      <c r="H47" s="1">
        <v>0.51800000000000002</v>
      </c>
      <c r="I47" s="1">
        <v>0.245</v>
      </c>
      <c r="J47" s="1">
        <v>0.59899999999999998</v>
      </c>
      <c r="K47" s="1">
        <v>0.354430379746835</v>
      </c>
      <c r="L47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6.0376930379746856</v>
      </c>
    </row>
    <row r="48" spans="1:12" hidden="1" x14ac:dyDescent="0.35">
      <c r="A48" t="s">
        <v>45</v>
      </c>
      <c r="B48">
        <v>15</v>
      </c>
      <c r="C48" t="s">
        <v>18</v>
      </c>
      <c r="D48" s="1">
        <v>3.1463414630000002</v>
      </c>
      <c r="E48" s="1">
        <v>0.52177184827510503</v>
      </c>
      <c r="F48" s="1">
        <v>54.5</v>
      </c>
      <c r="G48" s="1">
        <v>0.89</v>
      </c>
      <c r="H48" s="1">
        <v>0.53700000000000003</v>
      </c>
      <c r="I48" s="1">
        <v>0.38100000000000001</v>
      </c>
      <c r="J48" s="1">
        <v>0.625</v>
      </c>
      <c r="K48" s="1">
        <v>0.443037974683544</v>
      </c>
      <c r="L48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5.9677037974683547</v>
      </c>
    </row>
    <row r="49" spans="1:12" hidden="1" x14ac:dyDescent="0.35">
      <c r="A49" t="s">
        <v>45</v>
      </c>
      <c r="B49">
        <v>16</v>
      </c>
      <c r="C49" t="s">
        <v>32</v>
      </c>
      <c r="D49" s="1">
        <v>2.9512195120000002</v>
      </c>
      <c r="E49" s="1">
        <v>0.55430513094753597</v>
      </c>
      <c r="F49" s="1">
        <v>56.6</v>
      </c>
      <c r="G49" s="1">
        <v>0.91500000000000004</v>
      </c>
      <c r="H49" s="1">
        <v>0.53</v>
      </c>
      <c r="I49" s="1">
        <v>0.224</v>
      </c>
      <c r="J49" s="1">
        <v>0.47099999999999997</v>
      </c>
      <c r="K49" s="1">
        <v>0.291139240506329</v>
      </c>
      <c r="L49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6.1259639240506338</v>
      </c>
    </row>
    <row r="50" spans="1:12" hidden="1" x14ac:dyDescent="0.35">
      <c r="A50" t="s">
        <v>45</v>
      </c>
      <c r="B50">
        <v>17</v>
      </c>
      <c r="C50" t="s">
        <v>13</v>
      </c>
      <c r="D50" s="1">
        <v>3.5121951220000001</v>
      </c>
      <c r="E50" s="1">
        <v>0.52854812398042395</v>
      </c>
      <c r="F50" s="1">
        <v>54.3</v>
      </c>
      <c r="G50" s="1">
        <v>0.89600000000000002</v>
      </c>
      <c r="H50" s="1">
        <v>0.76800000000000002</v>
      </c>
      <c r="I50" s="1">
        <v>0.60499999999999998</v>
      </c>
      <c r="J50" s="1">
        <v>0.499</v>
      </c>
      <c r="K50" s="1">
        <v>0.822784810126582</v>
      </c>
      <c r="L50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6.1062284810126561</v>
      </c>
    </row>
    <row r="51" spans="1:12" hidden="1" x14ac:dyDescent="0.35">
      <c r="A51" t="s">
        <v>45</v>
      </c>
      <c r="B51">
        <v>18</v>
      </c>
      <c r="C51" t="s">
        <v>28</v>
      </c>
      <c r="D51" s="1">
        <v>2.7195121950000001</v>
      </c>
      <c r="E51" s="1">
        <v>0.47170026084894501</v>
      </c>
      <c r="F51" s="1">
        <v>56.2</v>
      </c>
      <c r="G51" s="1">
        <v>0.91400000000000003</v>
      </c>
      <c r="H51" s="1">
        <v>0.317</v>
      </c>
      <c r="I51" s="1">
        <v>0.30599999999999999</v>
      </c>
      <c r="J51" s="1">
        <v>0.54600000000000004</v>
      </c>
      <c r="K51" s="1">
        <v>0.493670886075949</v>
      </c>
      <c r="L51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6.0516170886075971</v>
      </c>
    </row>
    <row r="52" spans="1:12" hidden="1" x14ac:dyDescent="0.35">
      <c r="A52" t="s">
        <v>45</v>
      </c>
      <c r="B52">
        <v>19</v>
      </c>
      <c r="C52" t="s">
        <v>36</v>
      </c>
      <c r="D52" s="1">
        <v>3.5731707319999999</v>
      </c>
      <c r="E52" s="1">
        <v>0.49322065058773501</v>
      </c>
      <c r="F52" s="1">
        <v>55.4</v>
      </c>
      <c r="G52" s="1">
        <v>0.89</v>
      </c>
      <c r="H52" s="1">
        <v>0.72599999999999998</v>
      </c>
      <c r="I52" s="1">
        <v>0.68</v>
      </c>
      <c r="J52" s="1">
        <v>0.41899999999999998</v>
      </c>
      <c r="K52" s="1">
        <v>0.215189873417722</v>
      </c>
      <c r="L52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6.1505689873417726</v>
      </c>
    </row>
    <row r="53" spans="1:12" hidden="1" x14ac:dyDescent="0.35">
      <c r="A53" t="s">
        <v>45</v>
      </c>
      <c r="B53">
        <v>20</v>
      </c>
      <c r="C53" t="s">
        <v>24</v>
      </c>
      <c r="D53" s="1">
        <v>3.1829268289999999</v>
      </c>
      <c r="E53" s="1">
        <v>0.49618326170879201</v>
      </c>
      <c r="F53" s="1">
        <v>54.1</v>
      </c>
      <c r="G53" s="1">
        <v>0.90200000000000002</v>
      </c>
      <c r="H53" s="1">
        <v>0.56699999999999995</v>
      </c>
      <c r="I53" s="1">
        <v>0.51700000000000002</v>
      </c>
      <c r="J53" s="1">
        <v>0.56899999999999995</v>
      </c>
      <c r="K53" s="1">
        <v>0.367088607594937</v>
      </c>
      <c r="L53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5.9574088607594939</v>
      </c>
    </row>
    <row r="54" spans="1:12" hidden="1" x14ac:dyDescent="0.35">
      <c r="A54" t="s">
        <v>45</v>
      </c>
      <c r="B54">
        <v>21</v>
      </c>
      <c r="C54" t="s">
        <v>38</v>
      </c>
      <c r="D54" s="1">
        <v>3.1585365849999998</v>
      </c>
      <c r="E54" s="1">
        <v>0.47921503632635898</v>
      </c>
      <c r="F54" s="1">
        <v>52.3</v>
      </c>
      <c r="G54" s="1">
        <v>0.89500000000000002</v>
      </c>
      <c r="H54" s="1">
        <v>0.56100000000000005</v>
      </c>
      <c r="I54" s="1">
        <v>0.55800000000000005</v>
      </c>
      <c r="J54" s="1">
        <v>0.66500000000000004</v>
      </c>
      <c r="K54" s="1">
        <v>0.848101265822785</v>
      </c>
      <c r="L54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5.8350101265822794</v>
      </c>
    </row>
    <row r="55" spans="1:12" hidden="1" x14ac:dyDescent="0.35">
      <c r="A55" t="s">
        <v>45</v>
      </c>
      <c r="B55">
        <v>22</v>
      </c>
      <c r="C55" t="s">
        <v>30</v>
      </c>
      <c r="D55" s="1">
        <v>3.292682927</v>
      </c>
      <c r="E55" s="1">
        <v>0.45416033292631303</v>
      </c>
      <c r="F55" s="1">
        <v>54.4</v>
      </c>
      <c r="G55" s="1">
        <v>0.88300000000000001</v>
      </c>
      <c r="H55" s="1">
        <v>0.60399999999999998</v>
      </c>
      <c r="I55" s="1">
        <v>0.70099999999999996</v>
      </c>
      <c r="J55" s="1">
        <v>0.34599999999999997</v>
      </c>
      <c r="K55" s="1">
        <v>0.417721518987342</v>
      </c>
      <c r="L55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6.0272721518987344</v>
      </c>
    </row>
    <row r="56" spans="1:12" hidden="1" x14ac:dyDescent="0.35">
      <c r="A56" t="s">
        <v>45</v>
      </c>
      <c r="B56">
        <v>23</v>
      </c>
      <c r="C56" t="s">
        <v>21</v>
      </c>
      <c r="D56" s="1">
        <v>3.1707317069999998</v>
      </c>
      <c r="E56" s="1">
        <v>0.43221400987186998</v>
      </c>
      <c r="F56" s="1">
        <v>53.8</v>
      </c>
      <c r="G56" s="1">
        <v>0.88800000000000001</v>
      </c>
      <c r="H56" s="1">
        <v>0.49399999999999999</v>
      </c>
      <c r="I56" s="1">
        <v>0.69399999999999995</v>
      </c>
      <c r="J56" s="1">
        <v>0.255</v>
      </c>
      <c r="K56" s="1">
        <v>0.265822784810127</v>
      </c>
      <c r="L56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5.9086322784810124</v>
      </c>
    </row>
    <row r="57" spans="1:12" hidden="1" x14ac:dyDescent="0.35">
      <c r="A57" t="s">
        <v>45</v>
      </c>
      <c r="B57">
        <v>24</v>
      </c>
      <c r="C57" t="s">
        <v>25</v>
      </c>
      <c r="D57" s="1">
        <v>3.085365854</v>
      </c>
      <c r="E57" s="1">
        <v>0.484439567093014</v>
      </c>
      <c r="F57" s="1">
        <v>51.3</v>
      </c>
      <c r="G57" s="1">
        <v>0.89800000000000002</v>
      </c>
      <c r="H57" s="1">
        <v>0.51800000000000002</v>
      </c>
      <c r="I57" s="1">
        <v>0.49</v>
      </c>
      <c r="J57" s="1">
        <v>0.64700000000000002</v>
      </c>
      <c r="K57" s="1">
        <v>0.379746835443038</v>
      </c>
      <c r="L57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5.6592246835443039</v>
      </c>
    </row>
    <row r="58" spans="1:12" hidden="1" x14ac:dyDescent="0.35">
      <c r="A58" t="s">
        <v>45</v>
      </c>
      <c r="B58">
        <v>25</v>
      </c>
      <c r="C58" t="s">
        <v>37</v>
      </c>
      <c r="D58" s="1">
        <v>2.8902439019999999</v>
      </c>
      <c r="E58" s="1">
        <v>0.42618783859659798</v>
      </c>
      <c r="F58" s="1">
        <v>49.6</v>
      </c>
      <c r="G58" s="1">
        <v>0.89</v>
      </c>
      <c r="H58" s="1">
        <v>0.40200000000000002</v>
      </c>
      <c r="I58" s="1">
        <v>0.60499999999999998</v>
      </c>
      <c r="J58" s="1">
        <v>0.52100000000000002</v>
      </c>
      <c r="K58" s="1">
        <v>0.30379746835443</v>
      </c>
      <c r="L58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5.4561297468354439</v>
      </c>
    </row>
    <row r="59" spans="1:12" hidden="1" x14ac:dyDescent="0.35">
      <c r="A59" t="s">
        <v>45</v>
      </c>
      <c r="B59">
        <v>26</v>
      </c>
      <c r="C59" t="s">
        <v>41</v>
      </c>
      <c r="D59" s="1">
        <v>2.6829268289999999</v>
      </c>
      <c r="E59" s="1">
        <v>0.38851785255587001</v>
      </c>
      <c r="F59" s="1">
        <v>50.3</v>
      </c>
      <c r="G59" s="1">
        <v>0.89300000000000002</v>
      </c>
      <c r="H59" s="1">
        <v>0.28000000000000003</v>
      </c>
      <c r="I59" s="1">
        <v>0.57799999999999996</v>
      </c>
      <c r="J59" s="1">
        <v>0.20599999999999999</v>
      </c>
      <c r="K59" s="1">
        <v>0.59493670886076</v>
      </c>
      <c r="L59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5.4919936708860764</v>
      </c>
    </row>
    <row r="60" spans="1:12" hidden="1" x14ac:dyDescent="0.35">
      <c r="A60" t="s">
        <v>45</v>
      </c>
      <c r="B60">
        <v>27</v>
      </c>
      <c r="C60" t="s">
        <v>43</v>
      </c>
      <c r="D60" s="1">
        <v>2.7439024390000002</v>
      </c>
      <c r="E60" s="1">
        <v>0.36778060297856902</v>
      </c>
      <c r="F60" s="1">
        <v>48</v>
      </c>
      <c r="G60" s="1">
        <v>0.89700000000000002</v>
      </c>
      <c r="H60" s="1">
        <v>0.28699999999999998</v>
      </c>
      <c r="I60" s="1">
        <v>0.70099999999999996</v>
      </c>
      <c r="J60" s="1">
        <v>0.318</v>
      </c>
      <c r="K60" s="1">
        <v>0.784810126582279</v>
      </c>
      <c r="L60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5.3144310126582299</v>
      </c>
    </row>
    <row r="61" spans="1:12" hidden="1" x14ac:dyDescent="0.35">
      <c r="A61" t="s">
        <v>45</v>
      </c>
      <c r="B61">
        <v>28</v>
      </c>
      <c r="C61" t="s">
        <v>44</v>
      </c>
      <c r="D61" s="1">
        <v>2.7682926829999999</v>
      </c>
      <c r="E61" s="1">
        <v>0.356468862847102</v>
      </c>
      <c r="F61" s="1">
        <v>47</v>
      </c>
      <c r="G61" s="1">
        <v>0.88900000000000001</v>
      </c>
      <c r="H61" s="1">
        <v>0.34100000000000003</v>
      </c>
      <c r="I61" s="1">
        <v>0.85</v>
      </c>
      <c r="J61" s="1">
        <v>0.157</v>
      </c>
      <c r="K61" s="1">
        <v>0.746835443037975</v>
      </c>
      <c r="L61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5.2496835443037986</v>
      </c>
    </row>
    <row r="62" spans="1:12" hidden="1" x14ac:dyDescent="0.35">
      <c r="A62" t="s">
        <v>45</v>
      </c>
      <c r="B62">
        <v>29</v>
      </c>
      <c r="C62" t="s">
        <v>34</v>
      </c>
      <c r="D62" s="1">
        <v>2.8414634150000002</v>
      </c>
      <c r="E62" s="1">
        <v>0.353642013106297</v>
      </c>
      <c r="F62" s="1">
        <v>45.4</v>
      </c>
      <c r="G62" s="1">
        <v>0.88100000000000001</v>
      </c>
      <c r="H62" s="1">
        <v>0.36</v>
      </c>
      <c r="I62" s="1">
        <v>0.91800000000000004</v>
      </c>
      <c r="J62" s="1">
        <v>0.56799999999999995</v>
      </c>
      <c r="K62" s="1">
        <v>0.291139240506329</v>
      </c>
      <c r="L62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5.0833139240506338</v>
      </c>
    </row>
    <row r="63" spans="1:12" hidden="1" x14ac:dyDescent="0.35">
      <c r="A63" t="s">
        <v>45</v>
      </c>
      <c r="B63">
        <v>30</v>
      </c>
      <c r="C63" t="s">
        <v>39</v>
      </c>
      <c r="D63" s="1">
        <v>2.4634146339999998</v>
      </c>
      <c r="E63" s="1">
        <v>0.31338274259821097</v>
      </c>
      <c r="F63" s="1">
        <v>46.3</v>
      </c>
      <c r="G63" s="1">
        <v>0.89200000000000002</v>
      </c>
      <c r="H63" s="1">
        <v>0.183</v>
      </c>
      <c r="I63" s="1">
        <v>0.76900000000000002</v>
      </c>
      <c r="J63" s="1">
        <v>0.28599999999999998</v>
      </c>
      <c r="K63" s="1">
        <v>0.367088607594937</v>
      </c>
      <c r="L63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5.0772588607594944</v>
      </c>
    </row>
    <row r="64" spans="1:12" hidden="1" x14ac:dyDescent="0.35">
      <c r="A64" t="s">
        <v>45</v>
      </c>
      <c r="B64">
        <v>31</v>
      </c>
      <c r="C64" t="s">
        <v>33</v>
      </c>
      <c r="D64" s="1">
        <v>2.597560976</v>
      </c>
      <c r="E64" s="1">
        <v>0.29535186511294798</v>
      </c>
      <c r="F64" s="1">
        <v>48.5</v>
      </c>
      <c r="G64" s="1">
        <v>0.88700000000000001</v>
      </c>
      <c r="H64" s="1">
        <v>0.22600000000000001</v>
      </c>
      <c r="I64" s="1">
        <v>0.93899999999999995</v>
      </c>
      <c r="J64" s="1">
        <v>0.315</v>
      </c>
      <c r="K64" s="1">
        <v>0.291139240506329</v>
      </c>
      <c r="L64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5.3391639240506334</v>
      </c>
    </row>
    <row r="65" spans="1:12" hidden="1" x14ac:dyDescent="0.35">
      <c r="A65" t="s">
        <v>45</v>
      </c>
      <c r="B65">
        <v>32</v>
      </c>
      <c r="C65" t="s">
        <v>35</v>
      </c>
      <c r="D65" s="1">
        <v>2.5121951220000001</v>
      </c>
      <c r="E65" s="1">
        <v>0.27438074239789001</v>
      </c>
      <c r="F65" s="1">
        <v>49.5</v>
      </c>
      <c r="G65" s="1">
        <v>0.89600000000000002</v>
      </c>
      <c r="H65" s="1">
        <v>0.20699999999999999</v>
      </c>
      <c r="I65" s="1">
        <v>1</v>
      </c>
      <c r="J65" s="1">
        <v>0.124</v>
      </c>
      <c r="K65" s="1">
        <v>0.708860759493671</v>
      </c>
      <c r="L65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5.4787360759493673</v>
      </c>
    </row>
    <row r="66" spans="1:12" hidden="1" x14ac:dyDescent="0.35">
      <c r="A66" t="s">
        <v>46</v>
      </c>
      <c r="B66">
        <v>1</v>
      </c>
      <c r="C66" t="s">
        <v>20</v>
      </c>
      <c r="D66" s="1">
        <v>3.3902439019999999</v>
      </c>
      <c r="E66" s="1">
        <v>0.60208787784356499</v>
      </c>
      <c r="F66" s="1">
        <v>47.1</v>
      </c>
      <c r="G66" s="1">
        <v>0.90700000000000003</v>
      </c>
      <c r="H66" s="1">
        <v>0.65200000000000002</v>
      </c>
      <c r="I66" s="1">
        <v>0.313</v>
      </c>
      <c r="J66" s="1">
        <v>0.91600000000000004</v>
      </c>
      <c r="K66" s="1">
        <v>0.468354430379747</v>
      </c>
      <c r="L66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5.2748354430379747</v>
      </c>
    </row>
    <row r="67" spans="1:12" hidden="1" x14ac:dyDescent="0.35">
      <c r="A67" t="s">
        <v>46</v>
      </c>
      <c r="B67">
        <v>2</v>
      </c>
      <c r="C67" t="s">
        <v>27</v>
      </c>
      <c r="D67" s="1">
        <v>3.585365854</v>
      </c>
      <c r="E67" s="1">
        <v>0.61625552545273099</v>
      </c>
      <c r="F67" s="1">
        <v>51.8</v>
      </c>
      <c r="G67" s="1">
        <v>0.90100000000000002</v>
      </c>
      <c r="H67" s="1">
        <v>0.76200000000000001</v>
      </c>
      <c r="I67" s="1">
        <v>0.313</v>
      </c>
      <c r="J67" s="1">
        <v>0.754</v>
      </c>
      <c r="K67" s="1">
        <v>0.139240506329114</v>
      </c>
      <c r="L67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5.7411240506329113</v>
      </c>
    </row>
    <row r="68" spans="1:12" hidden="1" x14ac:dyDescent="0.35">
      <c r="A68" t="s">
        <v>46</v>
      </c>
      <c r="B68">
        <v>3</v>
      </c>
      <c r="C68" t="s">
        <v>15</v>
      </c>
      <c r="D68" s="1">
        <v>3.3780487799999999</v>
      </c>
      <c r="E68" s="1">
        <v>0.63281649484536096</v>
      </c>
      <c r="F68" s="1">
        <v>51.4</v>
      </c>
      <c r="G68" s="1">
        <v>0.9</v>
      </c>
      <c r="H68" s="1">
        <v>0.61599999999999999</v>
      </c>
      <c r="I68" s="1">
        <v>0.13600000000000001</v>
      </c>
      <c r="J68" s="1">
        <v>1</v>
      </c>
      <c r="K68" s="1">
        <v>0.354430379746835</v>
      </c>
      <c r="L68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5.6482430379746837</v>
      </c>
    </row>
    <row r="69" spans="1:12" hidden="1" x14ac:dyDescent="0.35">
      <c r="A69" t="s">
        <v>46</v>
      </c>
      <c r="B69">
        <v>4</v>
      </c>
      <c r="C69" t="s">
        <v>31</v>
      </c>
      <c r="D69" s="1">
        <v>3.1585365849999998</v>
      </c>
      <c r="E69" s="1">
        <v>0.63114268241049998</v>
      </c>
      <c r="F69" s="1">
        <v>50.4</v>
      </c>
      <c r="G69" s="1">
        <v>0.91800000000000004</v>
      </c>
      <c r="H69" s="1">
        <v>0.56100000000000005</v>
      </c>
      <c r="I69" s="1">
        <v>0.109</v>
      </c>
      <c r="J69" s="1">
        <v>0.4</v>
      </c>
      <c r="K69" s="1">
        <v>0.316455696202532</v>
      </c>
      <c r="L69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5.4933955696202528</v>
      </c>
    </row>
    <row r="70" spans="1:12" hidden="1" x14ac:dyDescent="0.35">
      <c r="A70" t="s">
        <v>46</v>
      </c>
      <c r="B70">
        <v>5</v>
      </c>
      <c r="C70" t="s">
        <v>13</v>
      </c>
      <c r="D70" s="1">
        <v>3.2317073170000001</v>
      </c>
      <c r="E70" s="1">
        <v>0.64174030650010505</v>
      </c>
      <c r="F70" s="1">
        <v>53.8</v>
      </c>
      <c r="G70" s="1">
        <v>0.91300000000000003</v>
      </c>
      <c r="H70" s="1">
        <v>0.622</v>
      </c>
      <c r="I70" s="1">
        <v>6.8000000000000005E-2</v>
      </c>
      <c r="J70" s="1">
        <v>0.747</v>
      </c>
      <c r="K70" s="1">
        <v>1</v>
      </c>
      <c r="L70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5.9312499999999995</v>
      </c>
    </row>
    <row r="71" spans="1:12" hidden="1" x14ac:dyDescent="0.35">
      <c r="A71" t="s">
        <v>46</v>
      </c>
      <c r="B71">
        <v>6</v>
      </c>
      <c r="C71" t="s">
        <v>22</v>
      </c>
      <c r="D71" s="1">
        <v>3.207317073</v>
      </c>
      <c r="E71" s="1">
        <v>0.58612829421235502</v>
      </c>
      <c r="F71" s="1">
        <v>52.6</v>
      </c>
      <c r="G71" s="1">
        <v>0.91200000000000003</v>
      </c>
      <c r="H71" s="1">
        <v>0.57299999999999995</v>
      </c>
      <c r="I71" s="1">
        <v>0.252</v>
      </c>
      <c r="J71" s="1">
        <v>0.70199999999999996</v>
      </c>
      <c r="K71" s="1">
        <v>0.481012658227848</v>
      </c>
      <c r="L71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5.7765512658227856</v>
      </c>
    </row>
    <row r="72" spans="1:12" hidden="1" x14ac:dyDescent="0.35">
      <c r="A72" t="s">
        <v>46</v>
      </c>
      <c r="B72">
        <v>7</v>
      </c>
      <c r="C72" t="s">
        <v>30</v>
      </c>
      <c r="D72" s="1">
        <v>3.402439024</v>
      </c>
      <c r="E72" s="1">
        <v>0.61445982854707104</v>
      </c>
      <c r="F72" s="1">
        <v>51.4</v>
      </c>
      <c r="G72" s="1">
        <v>0.90600000000000003</v>
      </c>
      <c r="H72" s="1">
        <v>0.628</v>
      </c>
      <c r="I72" s="1">
        <v>0.19700000000000001</v>
      </c>
      <c r="J72" s="1">
        <v>0.6</v>
      </c>
      <c r="K72" s="1">
        <v>0.493670886075949</v>
      </c>
      <c r="L72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5.6597670886075964</v>
      </c>
    </row>
    <row r="73" spans="1:12" hidden="1" x14ac:dyDescent="0.35">
      <c r="A73" t="s">
        <v>46</v>
      </c>
      <c r="B73">
        <v>8</v>
      </c>
      <c r="C73" t="s">
        <v>14</v>
      </c>
      <c r="D73" s="1">
        <v>3.6829268289999999</v>
      </c>
      <c r="E73" s="1">
        <v>0.58952348941231203</v>
      </c>
      <c r="F73" s="1">
        <v>46</v>
      </c>
      <c r="G73" s="1">
        <v>0.89700000000000002</v>
      </c>
      <c r="H73" s="1">
        <v>0.79900000000000004</v>
      </c>
      <c r="I73" s="1">
        <v>0.497</v>
      </c>
      <c r="J73" s="1">
        <v>0.69199999999999995</v>
      </c>
      <c r="K73" s="1">
        <v>0.405063291139241</v>
      </c>
      <c r="L73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5.2335563291139255</v>
      </c>
    </row>
    <row r="74" spans="1:12" hidden="1" x14ac:dyDescent="0.35">
      <c r="A74" t="s">
        <v>46</v>
      </c>
      <c r="B74">
        <v>9</v>
      </c>
      <c r="C74" t="s">
        <v>23</v>
      </c>
      <c r="D74" s="1">
        <v>3.5609756099999998</v>
      </c>
      <c r="E74" s="1">
        <v>0.60488081725312104</v>
      </c>
      <c r="F74" s="1">
        <v>49.8</v>
      </c>
      <c r="G74" s="1">
        <v>0.89800000000000002</v>
      </c>
      <c r="H74" s="1">
        <v>0.76200000000000001</v>
      </c>
      <c r="I74" s="1">
        <v>0.36699999999999999</v>
      </c>
      <c r="J74" s="1">
        <v>0.74099999999999999</v>
      </c>
      <c r="K74" s="1">
        <v>0.481012658227848</v>
      </c>
      <c r="L74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5.5848512658227856</v>
      </c>
    </row>
    <row r="75" spans="1:12" hidden="1" x14ac:dyDescent="0.35">
      <c r="A75" t="s">
        <v>46</v>
      </c>
      <c r="B75">
        <v>10</v>
      </c>
      <c r="C75" t="s">
        <v>16</v>
      </c>
      <c r="D75" s="1">
        <v>3.6341463410000001</v>
      </c>
      <c r="E75" s="1">
        <v>0.56590090807710702</v>
      </c>
      <c r="F75" s="1">
        <v>47.5</v>
      </c>
      <c r="G75" s="1">
        <v>0.89300000000000002</v>
      </c>
      <c r="H75" s="1">
        <v>0.77400000000000002</v>
      </c>
      <c r="I75" s="1">
        <v>0.52400000000000002</v>
      </c>
      <c r="J75" s="1">
        <v>0.56999999999999995</v>
      </c>
      <c r="K75" s="1">
        <v>0.531645569620253</v>
      </c>
      <c r="L75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5.3859645569620263</v>
      </c>
    </row>
    <row r="76" spans="1:12" hidden="1" x14ac:dyDescent="0.35">
      <c r="A76" t="s">
        <v>46</v>
      </c>
      <c r="B76">
        <v>11</v>
      </c>
      <c r="C76" t="s">
        <v>28</v>
      </c>
      <c r="D76" s="1">
        <v>3.2439024390000002</v>
      </c>
      <c r="E76" s="1">
        <v>0.53497656131861504</v>
      </c>
      <c r="F76" s="1">
        <v>50.4</v>
      </c>
      <c r="G76" s="1">
        <v>0.90100000000000002</v>
      </c>
      <c r="H76" s="1">
        <v>0.54900000000000004</v>
      </c>
      <c r="I76" s="1">
        <v>0.39500000000000002</v>
      </c>
      <c r="J76" s="1">
        <v>0.48899999999999999</v>
      </c>
      <c r="K76" s="1">
        <v>0.506329113924051</v>
      </c>
      <c r="L76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5.5664329113924049</v>
      </c>
    </row>
    <row r="77" spans="1:12" hidden="1" x14ac:dyDescent="0.35">
      <c r="A77" t="s">
        <v>46</v>
      </c>
      <c r="B77">
        <v>12</v>
      </c>
      <c r="C77" t="s">
        <v>26</v>
      </c>
      <c r="D77" s="1">
        <v>3.097560976</v>
      </c>
      <c r="E77" s="1">
        <v>0.59398247035427598</v>
      </c>
      <c r="F77" s="1">
        <v>47.1</v>
      </c>
      <c r="G77" s="1">
        <v>0.90900000000000003</v>
      </c>
      <c r="H77" s="1">
        <v>0.5</v>
      </c>
      <c r="I77" s="1">
        <v>0.184</v>
      </c>
      <c r="J77" s="1">
        <v>0.78700000000000003</v>
      </c>
      <c r="K77" s="1">
        <v>0.379746835443038</v>
      </c>
      <c r="L77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5.1809246835443039</v>
      </c>
    </row>
    <row r="78" spans="1:12" hidden="1" x14ac:dyDescent="0.35">
      <c r="A78" t="s">
        <v>46</v>
      </c>
      <c r="B78">
        <v>13</v>
      </c>
      <c r="C78" t="s">
        <v>19</v>
      </c>
      <c r="D78" s="1">
        <v>3.5121951220000001</v>
      </c>
      <c r="E78" s="1">
        <v>0.53778374277878305</v>
      </c>
      <c r="F78" s="1">
        <v>49.8</v>
      </c>
      <c r="G78" s="1">
        <v>0.89</v>
      </c>
      <c r="H78" s="1">
        <v>0.72599999999999998</v>
      </c>
      <c r="I78" s="1">
        <v>0.57099999999999995</v>
      </c>
      <c r="J78" s="1">
        <v>0.95299999999999996</v>
      </c>
      <c r="K78" s="1">
        <v>0.670886075949367</v>
      </c>
      <c r="L78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5.6410386075949379</v>
      </c>
    </row>
    <row r="79" spans="1:12" hidden="1" x14ac:dyDescent="0.35">
      <c r="A79" t="s">
        <v>46</v>
      </c>
      <c r="B79">
        <v>14</v>
      </c>
      <c r="C79" t="s">
        <v>29</v>
      </c>
      <c r="D79" s="1">
        <v>3.207317073</v>
      </c>
      <c r="E79" s="1">
        <v>0.53946403781060404</v>
      </c>
      <c r="F79" s="1">
        <v>50.5</v>
      </c>
      <c r="G79" s="1">
        <v>0.90200000000000002</v>
      </c>
      <c r="H79" s="1">
        <v>0.56100000000000005</v>
      </c>
      <c r="I79" s="1">
        <v>0.38800000000000001</v>
      </c>
      <c r="J79" s="1">
        <v>0.52700000000000002</v>
      </c>
      <c r="K79" s="1">
        <v>0.215189873417722</v>
      </c>
      <c r="L79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5.5522189873417727</v>
      </c>
    </row>
    <row r="80" spans="1:12" hidden="1" x14ac:dyDescent="0.35">
      <c r="A80" t="s">
        <v>46</v>
      </c>
      <c r="B80">
        <v>15</v>
      </c>
      <c r="C80" t="s">
        <v>32</v>
      </c>
      <c r="D80" s="1">
        <v>2.9878048779999999</v>
      </c>
      <c r="E80" s="1">
        <v>0.47417232144973098</v>
      </c>
      <c r="F80" s="1">
        <v>49.3</v>
      </c>
      <c r="G80" s="1">
        <v>0.90400000000000003</v>
      </c>
      <c r="H80" s="1">
        <v>0.41499999999999998</v>
      </c>
      <c r="I80" s="1">
        <v>0.497</v>
      </c>
      <c r="J80" s="1">
        <v>0.26100000000000001</v>
      </c>
      <c r="K80" s="1">
        <v>0.177215189873418</v>
      </c>
      <c r="L80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5.386221518987341</v>
      </c>
    </row>
    <row r="81" spans="1:12" hidden="1" x14ac:dyDescent="0.35">
      <c r="A81" t="s">
        <v>46</v>
      </c>
      <c r="B81">
        <v>16</v>
      </c>
      <c r="C81" t="s">
        <v>21</v>
      </c>
      <c r="D81" s="1">
        <v>2.8536585369999998</v>
      </c>
      <c r="E81" s="1">
        <v>0.47097884052984701</v>
      </c>
      <c r="F81" s="1">
        <v>47.9</v>
      </c>
      <c r="G81" s="1">
        <v>0.90600000000000003</v>
      </c>
      <c r="H81" s="1">
        <v>0.378</v>
      </c>
      <c r="I81" s="1">
        <v>0.45600000000000002</v>
      </c>
      <c r="J81" s="1">
        <v>0.42399999999999999</v>
      </c>
      <c r="K81" s="1">
        <v>0.215189873417722</v>
      </c>
      <c r="L81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5.2374189873417718</v>
      </c>
    </row>
    <row r="82" spans="1:12" hidden="1" x14ac:dyDescent="0.35">
      <c r="A82" t="s">
        <v>46</v>
      </c>
      <c r="B82">
        <v>17</v>
      </c>
      <c r="C82" t="s">
        <v>25</v>
      </c>
      <c r="D82" s="1">
        <v>2.6341463410000001</v>
      </c>
      <c r="E82" s="1">
        <v>0.42352941176470599</v>
      </c>
      <c r="F82" s="1">
        <v>51.5</v>
      </c>
      <c r="G82" s="1">
        <v>0.89900000000000002</v>
      </c>
      <c r="H82" s="1">
        <v>0.29299999999999998</v>
      </c>
      <c r="I82" s="1">
        <v>0.44900000000000001</v>
      </c>
      <c r="J82" s="1">
        <v>0.52700000000000002</v>
      </c>
      <c r="K82" s="1">
        <v>0.253164556962025</v>
      </c>
      <c r="L82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5.5738164556962033</v>
      </c>
    </row>
    <row r="83" spans="1:12" hidden="1" x14ac:dyDescent="0.35">
      <c r="A83" t="s">
        <v>46</v>
      </c>
      <c r="B83">
        <v>18</v>
      </c>
      <c r="C83" t="s">
        <v>37</v>
      </c>
      <c r="D83" s="1">
        <v>3.3536585369999998</v>
      </c>
      <c r="E83" s="1">
        <v>0.503649586424604</v>
      </c>
      <c r="F83" s="1">
        <v>51</v>
      </c>
      <c r="G83" s="1">
        <v>0.89700000000000002</v>
      </c>
      <c r="H83" s="1">
        <v>0.628</v>
      </c>
      <c r="I83" s="1">
        <v>0.57799999999999996</v>
      </c>
      <c r="J83" s="1">
        <v>0.63300000000000001</v>
      </c>
      <c r="K83" s="1">
        <v>0.379746835443038</v>
      </c>
      <c r="L83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5.6844246835443046</v>
      </c>
    </row>
    <row r="84" spans="1:12" hidden="1" x14ac:dyDescent="0.35">
      <c r="A84" t="s">
        <v>46</v>
      </c>
      <c r="B84">
        <v>19</v>
      </c>
      <c r="C84" t="s">
        <v>24</v>
      </c>
      <c r="D84" s="1">
        <v>3.085365854</v>
      </c>
      <c r="E84" s="1">
        <v>0.50997904599523602</v>
      </c>
      <c r="F84" s="1">
        <v>50.8</v>
      </c>
      <c r="G84" s="1">
        <v>0.9</v>
      </c>
      <c r="H84" s="1">
        <v>0.45100000000000001</v>
      </c>
      <c r="I84" s="1">
        <v>0.374</v>
      </c>
      <c r="J84" s="1">
        <v>0.40100000000000002</v>
      </c>
      <c r="K84" s="1">
        <v>0.215189873417722</v>
      </c>
      <c r="L84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5.534218987341772</v>
      </c>
    </row>
    <row r="85" spans="1:12" hidden="1" x14ac:dyDescent="0.35">
      <c r="A85" t="s">
        <v>46</v>
      </c>
      <c r="B85">
        <v>20</v>
      </c>
      <c r="C85" t="s">
        <v>17</v>
      </c>
      <c r="D85" s="1">
        <v>3.0243902440000001</v>
      </c>
      <c r="E85" s="1">
        <v>0.47639112653364701</v>
      </c>
      <c r="F85" s="1">
        <v>46.6</v>
      </c>
      <c r="G85" s="1">
        <v>0.89300000000000002</v>
      </c>
      <c r="H85" s="1">
        <v>0.46300000000000002</v>
      </c>
      <c r="I85" s="1">
        <v>0.53100000000000003</v>
      </c>
      <c r="J85" s="1">
        <v>0.44600000000000001</v>
      </c>
      <c r="K85" s="1">
        <v>0.721518987341772</v>
      </c>
      <c r="L85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5.2013018987341786</v>
      </c>
    </row>
    <row r="86" spans="1:12" hidden="1" x14ac:dyDescent="0.35">
      <c r="A86" t="s">
        <v>46</v>
      </c>
      <c r="B86">
        <v>21</v>
      </c>
      <c r="C86" t="s">
        <v>41</v>
      </c>
      <c r="D86" s="1">
        <v>2.8170731710000001</v>
      </c>
      <c r="E86" s="1">
        <v>0.44495309568480301</v>
      </c>
      <c r="F86" s="1">
        <v>47.4</v>
      </c>
      <c r="G86" s="1">
        <v>0.88400000000000001</v>
      </c>
      <c r="H86" s="1">
        <v>0.372</v>
      </c>
      <c r="I86" s="1">
        <v>0.503</v>
      </c>
      <c r="J86" s="1">
        <v>0.39</v>
      </c>
      <c r="K86" s="1">
        <v>0.556962025316456</v>
      </c>
      <c r="L86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5.2227962025316463</v>
      </c>
    </row>
    <row r="87" spans="1:12" hidden="1" x14ac:dyDescent="0.35">
      <c r="A87" t="s">
        <v>46</v>
      </c>
      <c r="B87">
        <v>22</v>
      </c>
      <c r="C87" t="s">
        <v>36</v>
      </c>
      <c r="D87" s="1">
        <v>2.9756097559999999</v>
      </c>
      <c r="E87" s="1">
        <v>0.50205337943247497</v>
      </c>
      <c r="F87" s="1">
        <v>52.1</v>
      </c>
      <c r="G87" s="1">
        <v>0.89900000000000002</v>
      </c>
      <c r="H87" s="1">
        <v>0.45700000000000002</v>
      </c>
      <c r="I87" s="1">
        <v>0.36099999999999999</v>
      </c>
      <c r="J87" s="1">
        <v>0.41899999999999998</v>
      </c>
      <c r="K87" s="1">
        <v>0.518987341772152</v>
      </c>
      <c r="L87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5.6947987341772164</v>
      </c>
    </row>
    <row r="88" spans="1:12" hidden="1" x14ac:dyDescent="0.35">
      <c r="A88" t="s">
        <v>46</v>
      </c>
      <c r="B88">
        <v>23</v>
      </c>
      <c r="C88" t="s">
        <v>40</v>
      </c>
      <c r="D88" s="1">
        <v>3.2195121950000001</v>
      </c>
      <c r="E88" s="1">
        <v>0.46883765984783798</v>
      </c>
      <c r="F88" s="1">
        <v>49</v>
      </c>
      <c r="G88" s="1">
        <v>0.88600000000000001</v>
      </c>
      <c r="H88" s="1">
        <v>0.54900000000000004</v>
      </c>
      <c r="I88" s="1">
        <v>0.59899999999999998</v>
      </c>
      <c r="J88" s="1">
        <v>0.64800000000000002</v>
      </c>
      <c r="K88" s="1">
        <v>0.430379746835443</v>
      </c>
      <c r="L88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5.4645879746835444</v>
      </c>
    </row>
    <row r="89" spans="1:12" hidden="1" x14ac:dyDescent="0.35">
      <c r="A89" t="s">
        <v>46</v>
      </c>
      <c r="B89">
        <v>24</v>
      </c>
      <c r="C89" t="s">
        <v>42</v>
      </c>
      <c r="D89" s="1">
        <v>2.6097560980000001</v>
      </c>
      <c r="E89" s="1">
        <v>0.45970688616743599</v>
      </c>
      <c r="F89" s="1">
        <v>52.1</v>
      </c>
      <c r="G89" s="1">
        <v>0.90300000000000002</v>
      </c>
      <c r="H89" s="1">
        <v>0.311</v>
      </c>
      <c r="I89" s="1">
        <v>0.32700000000000001</v>
      </c>
      <c r="J89" s="1">
        <v>0.52400000000000002</v>
      </c>
      <c r="K89" s="1">
        <v>0.291139240506329</v>
      </c>
      <c r="L89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5.6201639240506349</v>
      </c>
    </row>
    <row r="90" spans="1:12" hidden="1" x14ac:dyDescent="0.35">
      <c r="A90" t="s">
        <v>46</v>
      </c>
      <c r="B90">
        <v>25</v>
      </c>
      <c r="C90" t="s">
        <v>18</v>
      </c>
      <c r="D90" s="1">
        <v>3.085365854</v>
      </c>
      <c r="E90" s="1">
        <v>0.47309642418956699</v>
      </c>
      <c r="F90" s="1">
        <v>52</v>
      </c>
      <c r="G90" s="1">
        <v>0.89</v>
      </c>
      <c r="H90" s="1">
        <v>0.54900000000000004</v>
      </c>
      <c r="I90" s="1">
        <v>0.57799999999999996</v>
      </c>
      <c r="J90" s="1">
        <v>0.496</v>
      </c>
      <c r="K90" s="1">
        <v>0.468354430379747</v>
      </c>
      <c r="L90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5.7573854430379745</v>
      </c>
    </row>
    <row r="91" spans="1:12" hidden="1" x14ac:dyDescent="0.35">
      <c r="A91" t="s">
        <v>46</v>
      </c>
      <c r="B91">
        <v>26</v>
      </c>
      <c r="C91" t="s">
        <v>38</v>
      </c>
      <c r="D91" s="1">
        <v>3.0487804879999998</v>
      </c>
      <c r="E91" s="1">
        <v>0.44181788620185097</v>
      </c>
      <c r="F91" s="1">
        <v>51.7</v>
      </c>
      <c r="G91" s="1">
        <v>0.88400000000000001</v>
      </c>
      <c r="H91" s="1">
        <v>0.50600000000000001</v>
      </c>
      <c r="I91" s="1">
        <v>0.64600000000000002</v>
      </c>
      <c r="J91" s="1">
        <v>0.30499999999999999</v>
      </c>
      <c r="K91" s="1">
        <v>0.59493670886076</v>
      </c>
      <c r="L91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5.7278436708860774</v>
      </c>
    </row>
    <row r="92" spans="1:12" hidden="1" x14ac:dyDescent="0.35">
      <c r="A92" t="s">
        <v>46</v>
      </c>
      <c r="B92">
        <v>27</v>
      </c>
      <c r="C92" t="s">
        <v>43</v>
      </c>
      <c r="D92" s="1">
        <v>3.097560976</v>
      </c>
      <c r="E92" s="1">
        <v>0.46217548283569299</v>
      </c>
      <c r="F92" s="1">
        <v>51</v>
      </c>
      <c r="G92" s="1">
        <v>0.89500000000000002</v>
      </c>
      <c r="H92" s="1">
        <v>0.48199999999999998</v>
      </c>
      <c r="I92" s="1">
        <v>0.59199999999999997</v>
      </c>
      <c r="J92" s="1">
        <v>0.48299999999999998</v>
      </c>
      <c r="K92" s="1">
        <v>0.734177215189873</v>
      </c>
      <c r="L92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5.6636677215189888</v>
      </c>
    </row>
    <row r="93" spans="1:12" hidden="1" x14ac:dyDescent="0.35">
      <c r="A93" t="s">
        <v>46</v>
      </c>
      <c r="B93">
        <v>28</v>
      </c>
      <c r="C93" t="s">
        <v>44</v>
      </c>
      <c r="D93" s="1">
        <v>2.8292682930000002</v>
      </c>
      <c r="E93" s="1">
        <v>0.40534698949429498</v>
      </c>
      <c r="F93" s="1">
        <v>45.5</v>
      </c>
      <c r="G93" s="1">
        <v>0.89700000000000002</v>
      </c>
      <c r="H93" s="1">
        <v>0.36</v>
      </c>
      <c r="I93" s="1">
        <v>0.66</v>
      </c>
      <c r="J93" s="1">
        <v>0.33500000000000002</v>
      </c>
      <c r="K93" s="1">
        <v>0.569620253164557</v>
      </c>
      <c r="L93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5.0611120253164561</v>
      </c>
    </row>
    <row r="94" spans="1:12" hidden="1" x14ac:dyDescent="0.35">
      <c r="A94" t="s">
        <v>46</v>
      </c>
      <c r="B94">
        <v>29</v>
      </c>
      <c r="C94" t="s">
        <v>33</v>
      </c>
      <c r="D94" s="1">
        <v>2.8536585369999998</v>
      </c>
      <c r="E94" s="1">
        <v>0.38141543605461098</v>
      </c>
      <c r="F94" s="1">
        <v>48.6</v>
      </c>
      <c r="G94" s="1">
        <v>0.89400000000000002</v>
      </c>
      <c r="H94" s="1">
        <v>0.40200000000000002</v>
      </c>
      <c r="I94" s="1">
        <v>0.78200000000000003</v>
      </c>
      <c r="J94" s="1">
        <v>0.24399999999999999</v>
      </c>
      <c r="K94" s="1">
        <v>0.316455696202532</v>
      </c>
      <c r="L94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5.379745569620253</v>
      </c>
    </row>
    <row r="95" spans="1:12" hidden="1" x14ac:dyDescent="0.35">
      <c r="A95" t="s">
        <v>46</v>
      </c>
      <c r="B95">
        <v>30</v>
      </c>
      <c r="C95" t="s">
        <v>35</v>
      </c>
      <c r="D95" s="1">
        <v>2.4756097559999999</v>
      </c>
      <c r="E95" s="1">
        <v>0.32433219474570701</v>
      </c>
      <c r="F95" s="1">
        <v>44.4</v>
      </c>
      <c r="G95" s="1">
        <v>0.89</v>
      </c>
      <c r="H95" s="1">
        <v>0.152</v>
      </c>
      <c r="I95" s="1">
        <v>0.78900000000000003</v>
      </c>
      <c r="J95" s="1">
        <v>0.222</v>
      </c>
      <c r="K95" s="1">
        <v>0.987341772151899</v>
      </c>
      <c r="L95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4.93883417721519</v>
      </c>
    </row>
    <row r="96" spans="1:12" hidden="1" x14ac:dyDescent="0.35">
      <c r="A96" t="s">
        <v>46</v>
      </c>
      <c r="B96">
        <v>31</v>
      </c>
      <c r="C96" t="s">
        <v>39</v>
      </c>
      <c r="D96" s="1">
        <v>2.1707317069999998</v>
      </c>
      <c r="E96" s="1">
        <v>0.27502278546938103</v>
      </c>
      <c r="F96" s="1">
        <v>46.3</v>
      </c>
      <c r="G96" s="1">
        <v>0.89200000000000002</v>
      </c>
      <c r="H96" s="1">
        <v>0</v>
      </c>
      <c r="I96" s="1">
        <v>0.68700000000000006</v>
      </c>
      <c r="J96" s="1">
        <v>0.27900000000000003</v>
      </c>
      <c r="K96" s="1">
        <v>0.379746835443038</v>
      </c>
      <c r="L96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4.9977246835443045</v>
      </c>
    </row>
    <row r="97" spans="1:12" hidden="1" x14ac:dyDescent="0.35">
      <c r="A97" t="s">
        <v>46</v>
      </c>
      <c r="B97">
        <v>32</v>
      </c>
      <c r="C97" t="s">
        <v>34</v>
      </c>
      <c r="D97" s="1">
        <v>2.195121951</v>
      </c>
      <c r="E97" s="1">
        <v>0.23363812051111901</v>
      </c>
      <c r="F97" s="1">
        <v>50.7</v>
      </c>
      <c r="G97" s="1">
        <v>0.88700000000000001</v>
      </c>
      <c r="H97" s="1">
        <v>5.5E-2</v>
      </c>
      <c r="I97" s="1">
        <v>0.92500000000000004</v>
      </c>
      <c r="J97" s="1">
        <v>0.39</v>
      </c>
      <c r="K97" s="1">
        <v>0.481012658227848</v>
      </c>
      <c r="L97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5.5192512658227857</v>
      </c>
    </row>
    <row r="98" spans="1:12" hidden="1" x14ac:dyDescent="0.35">
      <c r="A98" t="s">
        <v>47</v>
      </c>
      <c r="B98">
        <v>1</v>
      </c>
      <c r="C98" t="s">
        <v>31</v>
      </c>
      <c r="D98" s="1">
        <v>3.452054795</v>
      </c>
      <c r="E98" s="1">
        <v>0.68471615720524004</v>
      </c>
      <c r="F98" s="1">
        <v>52.9</v>
      </c>
      <c r="G98" s="1">
        <v>0.91400000000000003</v>
      </c>
      <c r="H98" s="1">
        <v>0.72599999999999998</v>
      </c>
      <c r="I98" s="1">
        <v>6.0999999999999999E-2</v>
      </c>
      <c r="J98" s="1">
        <v>0.86599999999999999</v>
      </c>
      <c r="K98" s="1">
        <v>0.240506329113924</v>
      </c>
      <c r="L98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5.8064506329113934</v>
      </c>
    </row>
    <row r="99" spans="1:12" hidden="1" x14ac:dyDescent="0.35">
      <c r="A99" t="s">
        <v>47</v>
      </c>
      <c r="B99">
        <v>2</v>
      </c>
      <c r="C99" t="s">
        <v>25</v>
      </c>
      <c r="D99" s="1">
        <v>3.611111111</v>
      </c>
      <c r="E99" s="1">
        <v>0.66388411490302002</v>
      </c>
      <c r="F99" s="1">
        <v>51.8</v>
      </c>
      <c r="G99" s="1">
        <v>0.90500000000000003</v>
      </c>
      <c r="H99" s="1">
        <v>0.76800000000000002</v>
      </c>
      <c r="I99" s="1">
        <v>0.17699999999999999</v>
      </c>
      <c r="J99" s="1">
        <v>0.68700000000000006</v>
      </c>
      <c r="K99" s="1">
        <v>0.329113924050633</v>
      </c>
      <c r="L99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5.7324613924050629</v>
      </c>
    </row>
    <row r="100" spans="1:12" hidden="1" x14ac:dyDescent="0.35">
      <c r="A100" t="s">
        <v>47</v>
      </c>
      <c r="B100">
        <v>3</v>
      </c>
      <c r="C100" t="s">
        <v>27</v>
      </c>
      <c r="D100" s="1">
        <v>3.388888889</v>
      </c>
      <c r="E100" s="1">
        <v>0.63497616279689895</v>
      </c>
      <c r="F100" s="1">
        <v>48.6</v>
      </c>
      <c r="G100" s="1">
        <v>0.90900000000000003</v>
      </c>
      <c r="H100" s="1">
        <v>0.628</v>
      </c>
      <c r="I100" s="1">
        <v>0.184</v>
      </c>
      <c r="J100" s="1">
        <v>0.76900000000000002</v>
      </c>
      <c r="K100" s="1">
        <v>0.151898734177215</v>
      </c>
      <c r="L100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5.3520398734177226</v>
      </c>
    </row>
    <row r="101" spans="1:12" hidden="1" x14ac:dyDescent="0.35">
      <c r="A101" t="s">
        <v>47</v>
      </c>
      <c r="B101">
        <v>4</v>
      </c>
      <c r="C101" t="s">
        <v>29</v>
      </c>
      <c r="D101" s="1">
        <v>3.4166666669999999</v>
      </c>
      <c r="E101" s="1">
        <v>0.62389558439951798</v>
      </c>
      <c r="F101" s="1">
        <v>47.2</v>
      </c>
      <c r="G101" s="1">
        <v>0.9</v>
      </c>
      <c r="H101" s="1">
        <v>0.72</v>
      </c>
      <c r="I101" s="1">
        <v>0.29899999999999999</v>
      </c>
      <c r="J101" s="1">
        <v>0.76100000000000001</v>
      </c>
      <c r="K101" s="1">
        <v>0</v>
      </c>
      <c r="L101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5.2498500000000003</v>
      </c>
    </row>
    <row r="102" spans="1:12" hidden="1" x14ac:dyDescent="0.35">
      <c r="A102" t="s">
        <v>47</v>
      </c>
      <c r="B102">
        <v>5</v>
      </c>
      <c r="C102" t="s">
        <v>14</v>
      </c>
      <c r="D102" s="1">
        <v>3.3698630139999999</v>
      </c>
      <c r="E102" s="1">
        <v>0.59252731758900201</v>
      </c>
      <c r="F102" s="1">
        <v>46.1</v>
      </c>
      <c r="G102" s="1">
        <v>0.89200000000000002</v>
      </c>
      <c r="H102" s="1">
        <v>0.67700000000000005</v>
      </c>
      <c r="I102" s="1">
        <v>0.39500000000000002</v>
      </c>
      <c r="J102" s="1">
        <v>0.70699999999999996</v>
      </c>
      <c r="K102" s="1">
        <v>0.139240506329114</v>
      </c>
      <c r="L102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5.1536240506329118</v>
      </c>
    </row>
    <row r="103" spans="1:12" hidden="1" x14ac:dyDescent="0.35">
      <c r="A103" t="s">
        <v>47</v>
      </c>
      <c r="B103">
        <v>6</v>
      </c>
      <c r="C103" t="s">
        <v>15</v>
      </c>
      <c r="D103" s="1">
        <v>3.2222222220000001</v>
      </c>
      <c r="E103" s="1">
        <v>0.59854988657088204</v>
      </c>
      <c r="F103" s="1">
        <v>45.9</v>
      </c>
      <c r="G103" s="1">
        <v>0.89400000000000002</v>
      </c>
      <c r="H103" s="1">
        <v>0.58499999999999996</v>
      </c>
      <c r="I103" s="1">
        <v>0.27900000000000003</v>
      </c>
      <c r="J103" s="1">
        <v>0.64800000000000002</v>
      </c>
      <c r="K103" s="1">
        <v>0.164556962025316</v>
      </c>
      <c r="L103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5.0782056962025308</v>
      </c>
    </row>
    <row r="104" spans="1:12" hidden="1" x14ac:dyDescent="0.35">
      <c r="A104" t="s">
        <v>47</v>
      </c>
      <c r="B104">
        <v>7</v>
      </c>
      <c r="C104" t="s">
        <v>13</v>
      </c>
      <c r="D104" s="1">
        <v>3.138888889</v>
      </c>
      <c r="E104" s="1">
        <v>0.57575074398052095</v>
      </c>
      <c r="F104" s="1">
        <v>49.7</v>
      </c>
      <c r="G104" s="1">
        <v>0.89800000000000002</v>
      </c>
      <c r="H104" s="1">
        <v>0.53700000000000003</v>
      </c>
      <c r="I104" s="1">
        <v>0.224</v>
      </c>
      <c r="J104" s="1">
        <v>0.72299999999999998</v>
      </c>
      <c r="K104" s="1">
        <v>0.518987341772152</v>
      </c>
      <c r="L104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5.4703987341772162</v>
      </c>
    </row>
    <row r="105" spans="1:12" hidden="1" x14ac:dyDescent="0.35">
      <c r="A105" t="s">
        <v>47</v>
      </c>
      <c r="B105">
        <v>8</v>
      </c>
      <c r="C105" t="s">
        <v>16</v>
      </c>
      <c r="D105" s="1">
        <v>3.263888889</v>
      </c>
      <c r="E105" s="1">
        <v>0.54666851446728904</v>
      </c>
      <c r="F105" s="1">
        <v>50.9</v>
      </c>
      <c r="G105" s="1">
        <v>0.89800000000000002</v>
      </c>
      <c r="H105" s="1">
        <v>0.64</v>
      </c>
      <c r="I105" s="1">
        <v>0.435</v>
      </c>
      <c r="J105" s="1">
        <v>0.7</v>
      </c>
      <c r="K105" s="1">
        <v>0.278481012658228</v>
      </c>
      <c r="L105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5.6434481012658226</v>
      </c>
    </row>
    <row r="106" spans="1:12" hidden="1" x14ac:dyDescent="0.35">
      <c r="A106" t="s">
        <v>47</v>
      </c>
      <c r="B106">
        <v>9</v>
      </c>
      <c r="C106" t="s">
        <v>19</v>
      </c>
      <c r="D106" s="1">
        <v>3.5694444440000002</v>
      </c>
      <c r="E106" s="1">
        <v>0.64659468031992495</v>
      </c>
      <c r="F106" s="1">
        <v>51.6</v>
      </c>
      <c r="G106" s="1">
        <v>0.90600000000000003</v>
      </c>
      <c r="H106" s="1">
        <v>0.81699999999999995</v>
      </c>
      <c r="I106" s="1">
        <v>0.28599999999999998</v>
      </c>
      <c r="J106" s="1">
        <v>0.82699999999999996</v>
      </c>
      <c r="K106" s="1">
        <v>0.316455696202532</v>
      </c>
      <c r="L106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5.7573455696202531</v>
      </c>
    </row>
    <row r="107" spans="1:12" hidden="1" x14ac:dyDescent="0.35">
      <c r="A107" t="s">
        <v>47</v>
      </c>
      <c r="B107">
        <v>10</v>
      </c>
      <c r="C107" t="s">
        <v>26</v>
      </c>
      <c r="D107" s="1">
        <v>2.8873239439999998</v>
      </c>
      <c r="E107" s="1">
        <v>0.567399346528772</v>
      </c>
      <c r="F107" s="1">
        <v>51.1</v>
      </c>
      <c r="G107" s="1">
        <v>0.90100000000000002</v>
      </c>
      <c r="H107" s="1">
        <v>0.439</v>
      </c>
      <c r="I107" s="1">
        <v>0.19</v>
      </c>
      <c r="J107" s="1">
        <v>0.46</v>
      </c>
      <c r="K107" s="1">
        <v>0.265822784810127</v>
      </c>
      <c r="L107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5.531432278481013</v>
      </c>
    </row>
    <row r="108" spans="1:12" hidden="1" x14ac:dyDescent="0.35">
      <c r="A108" t="s">
        <v>47</v>
      </c>
      <c r="B108">
        <v>11</v>
      </c>
      <c r="C108" t="s">
        <v>17</v>
      </c>
      <c r="D108" s="1">
        <v>2.6986301369999999</v>
      </c>
      <c r="E108" s="1">
        <v>0.48254895865713399</v>
      </c>
      <c r="F108" s="1">
        <v>51</v>
      </c>
      <c r="G108" s="1">
        <v>0.90600000000000003</v>
      </c>
      <c r="H108" s="1">
        <v>0.33500000000000002</v>
      </c>
      <c r="I108" s="1">
        <v>0.29899999999999999</v>
      </c>
      <c r="J108" s="1">
        <v>0.28000000000000003</v>
      </c>
      <c r="K108" s="1">
        <v>0.240506329113924</v>
      </c>
      <c r="L108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5.4963006329113933</v>
      </c>
    </row>
    <row r="109" spans="1:12" hidden="1" x14ac:dyDescent="0.35">
      <c r="A109" t="s">
        <v>47</v>
      </c>
      <c r="B109">
        <v>12</v>
      </c>
      <c r="C109" t="s">
        <v>23</v>
      </c>
      <c r="D109" s="1">
        <v>3.236111111</v>
      </c>
      <c r="E109" s="1">
        <v>0.54708615077645495</v>
      </c>
      <c r="F109" s="1">
        <v>53.4</v>
      </c>
      <c r="G109" s="1">
        <v>0.89200000000000002</v>
      </c>
      <c r="H109" s="1">
        <v>0.67700000000000005</v>
      </c>
      <c r="I109" s="1">
        <v>0.42199999999999999</v>
      </c>
      <c r="J109" s="1">
        <v>0.60799999999999998</v>
      </c>
      <c r="K109" s="1">
        <v>0.151898734177215</v>
      </c>
      <c r="L109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5.8853398734177214</v>
      </c>
    </row>
    <row r="110" spans="1:12" hidden="1" x14ac:dyDescent="0.35">
      <c r="A110" t="s">
        <v>47</v>
      </c>
      <c r="B110">
        <v>13</v>
      </c>
      <c r="C110" t="s">
        <v>21</v>
      </c>
      <c r="D110" s="1">
        <v>3.013513514</v>
      </c>
      <c r="E110" s="1">
        <v>0.52999605665625804</v>
      </c>
      <c r="F110" s="1">
        <v>50.9</v>
      </c>
      <c r="G110" s="1">
        <v>0.89700000000000002</v>
      </c>
      <c r="H110" s="1">
        <v>0.54900000000000004</v>
      </c>
      <c r="I110" s="1">
        <v>0.34699999999999998</v>
      </c>
      <c r="J110" s="1">
        <v>0.34499999999999997</v>
      </c>
      <c r="K110" s="1">
        <v>0.253164556962025</v>
      </c>
      <c r="L110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5.5735164556962022</v>
      </c>
    </row>
    <row r="111" spans="1:12" hidden="1" x14ac:dyDescent="0.35">
      <c r="A111" t="s">
        <v>47</v>
      </c>
      <c r="B111">
        <v>14</v>
      </c>
      <c r="C111" t="s">
        <v>40</v>
      </c>
      <c r="D111" s="1">
        <v>2.9459459460000001</v>
      </c>
      <c r="E111" s="1">
        <v>0.55551789033185694</v>
      </c>
      <c r="F111" s="1">
        <v>51.5</v>
      </c>
      <c r="G111" s="1">
        <v>0.9</v>
      </c>
      <c r="H111" s="1">
        <v>0.49399999999999999</v>
      </c>
      <c r="I111" s="1">
        <v>0.23100000000000001</v>
      </c>
      <c r="J111" s="1">
        <v>0.871</v>
      </c>
      <c r="K111" s="1">
        <v>0.329113924050633</v>
      </c>
      <c r="L111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5.6255613924050634</v>
      </c>
    </row>
    <row r="112" spans="1:12" hidden="1" x14ac:dyDescent="0.35">
      <c r="A112" t="s">
        <v>47</v>
      </c>
      <c r="B112">
        <v>15</v>
      </c>
      <c r="C112" t="s">
        <v>38</v>
      </c>
      <c r="D112" s="1">
        <v>2.9154929580000002</v>
      </c>
      <c r="E112" s="1">
        <v>0.50729888119339395</v>
      </c>
      <c r="F112" s="1">
        <v>48.8</v>
      </c>
      <c r="G112" s="1">
        <v>0.89900000000000002</v>
      </c>
      <c r="H112" s="1">
        <v>0.433</v>
      </c>
      <c r="I112" s="1">
        <v>0.34</v>
      </c>
      <c r="J112" s="1">
        <v>0.58599999999999997</v>
      </c>
      <c r="K112" s="1">
        <v>0.379746835443038</v>
      </c>
      <c r="L112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5.3466246835443041</v>
      </c>
    </row>
    <row r="113" spans="1:12" hidden="1" x14ac:dyDescent="0.35">
      <c r="A113" t="s">
        <v>47</v>
      </c>
      <c r="B113">
        <v>16</v>
      </c>
      <c r="C113" t="s">
        <v>30</v>
      </c>
      <c r="D113" s="1">
        <v>2.8630136990000001</v>
      </c>
      <c r="E113" s="1">
        <v>0.46539949071459802</v>
      </c>
      <c r="F113" s="1">
        <v>53.8</v>
      </c>
      <c r="G113" s="1">
        <v>0.88500000000000001</v>
      </c>
      <c r="H113" s="1">
        <v>0.39</v>
      </c>
      <c r="I113" s="1">
        <v>0.42899999999999999</v>
      </c>
      <c r="J113" s="1">
        <v>0.72099999999999997</v>
      </c>
      <c r="K113" s="1">
        <v>0.468354430379747</v>
      </c>
      <c r="L113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5.8621854430379745</v>
      </c>
    </row>
    <row r="114" spans="1:12" hidden="1" x14ac:dyDescent="0.35">
      <c r="A114" t="s">
        <v>47</v>
      </c>
      <c r="B114">
        <v>17</v>
      </c>
      <c r="C114" t="s">
        <v>18</v>
      </c>
      <c r="D114" s="1">
        <v>2.6056338029999999</v>
      </c>
      <c r="E114" s="1">
        <v>0.43931147793494701</v>
      </c>
      <c r="F114" s="1">
        <v>49.6</v>
      </c>
      <c r="G114" s="1">
        <v>0.89800000000000002</v>
      </c>
      <c r="H114" s="1">
        <v>0.311</v>
      </c>
      <c r="I114" s="1">
        <v>0.442</v>
      </c>
      <c r="J114" s="1">
        <v>0.40699999999999997</v>
      </c>
      <c r="K114" s="1">
        <v>0.544303797468354</v>
      </c>
      <c r="L114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5.4116303797468364</v>
      </c>
    </row>
    <row r="115" spans="1:12" hidden="1" x14ac:dyDescent="0.35">
      <c r="A115" t="s">
        <v>47</v>
      </c>
      <c r="B115">
        <v>18</v>
      </c>
      <c r="C115" t="s">
        <v>48</v>
      </c>
      <c r="D115" s="1">
        <v>2.780821918</v>
      </c>
      <c r="E115" s="1">
        <v>0.45315489674283599</v>
      </c>
      <c r="F115" s="1">
        <v>47.6</v>
      </c>
      <c r="G115" s="1">
        <v>0.89</v>
      </c>
      <c r="H115" s="1">
        <v>0.39</v>
      </c>
      <c r="I115" s="1">
        <v>0.497</v>
      </c>
      <c r="J115" s="1">
        <v>0.61299999999999999</v>
      </c>
      <c r="K115" s="1">
        <v>0.481012658227848</v>
      </c>
      <c r="L115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5.2526512658227853</v>
      </c>
    </row>
    <row r="116" spans="1:12" hidden="1" x14ac:dyDescent="0.35">
      <c r="A116" t="s">
        <v>47</v>
      </c>
      <c r="B116">
        <v>19</v>
      </c>
      <c r="C116" t="s">
        <v>44</v>
      </c>
      <c r="D116" s="1">
        <v>2.9722222220000001</v>
      </c>
      <c r="E116" s="1">
        <v>0.44086756452342701</v>
      </c>
      <c r="F116" s="1">
        <v>52</v>
      </c>
      <c r="G116" s="1">
        <v>0.88500000000000001</v>
      </c>
      <c r="H116" s="1">
        <v>0.47599999999999998</v>
      </c>
      <c r="I116" s="1">
        <v>0.61899999999999999</v>
      </c>
      <c r="J116" s="1">
        <v>0.57899999999999996</v>
      </c>
      <c r="K116" s="1">
        <v>0.455696202531646</v>
      </c>
      <c r="L116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5.7419196202531646</v>
      </c>
    </row>
    <row r="117" spans="1:12" hidden="1" x14ac:dyDescent="0.35">
      <c r="A117" t="s">
        <v>47</v>
      </c>
      <c r="B117">
        <v>20</v>
      </c>
      <c r="C117" t="s">
        <v>20</v>
      </c>
      <c r="D117" s="1">
        <v>2.9726027400000001</v>
      </c>
      <c r="E117" s="1">
        <v>0.49086834149900999</v>
      </c>
      <c r="F117" s="1">
        <v>49.7</v>
      </c>
      <c r="G117" s="1">
        <v>0.9</v>
      </c>
      <c r="H117" s="1">
        <v>0.42099999999999999</v>
      </c>
      <c r="I117" s="1">
        <v>0.40100000000000002</v>
      </c>
      <c r="J117" s="1">
        <v>0.54400000000000004</v>
      </c>
      <c r="K117" s="1">
        <v>0.367088607594937</v>
      </c>
      <c r="L117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5.4414588607594938</v>
      </c>
    </row>
    <row r="118" spans="1:12" hidden="1" x14ac:dyDescent="0.35">
      <c r="A118" t="s">
        <v>47</v>
      </c>
      <c r="B118">
        <v>21</v>
      </c>
      <c r="C118" t="s">
        <v>33</v>
      </c>
      <c r="D118" s="1">
        <v>3.1830985919999999</v>
      </c>
      <c r="E118" s="1">
        <v>0.47415521722985499</v>
      </c>
      <c r="F118" s="1">
        <v>52.6</v>
      </c>
      <c r="G118" s="1">
        <v>0.88700000000000001</v>
      </c>
      <c r="H118" s="1">
        <v>0.65200000000000002</v>
      </c>
      <c r="I118" s="1">
        <v>0.66</v>
      </c>
      <c r="J118" s="1">
        <v>0.32800000000000001</v>
      </c>
      <c r="K118" s="1">
        <v>0.30379746835443</v>
      </c>
      <c r="L118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5.8443797468354433</v>
      </c>
    </row>
    <row r="119" spans="1:12" hidden="1" x14ac:dyDescent="0.35">
      <c r="A119" t="s">
        <v>47</v>
      </c>
      <c r="B119">
        <v>22</v>
      </c>
      <c r="C119" t="s">
        <v>32</v>
      </c>
      <c r="D119" s="1">
        <v>2.7183098590000001</v>
      </c>
      <c r="E119" s="1">
        <v>0.45318944435657499</v>
      </c>
      <c r="F119" s="1">
        <v>48.4</v>
      </c>
      <c r="G119" s="1">
        <v>0.89600000000000002</v>
      </c>
      <c r="H119" s="1">
        <v>0.39</v>
      </c>
      <c r="I119" s="1">
        <v>0.45600000000000002</v>
      </c>
      <c r="J119" s="1">
        <v>0</v>
      </c>
      <c r="K119" s="1">
        <v>1.26582278481012E-2</v>
      </c>
      <c r="L119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5.2481658227848094</v>
      </c>
    </row>
    <row r="120" spans="1:12" hidden="1" x14ac:dyDescent="0.35">
      <c r="A120" t="s">
        <v>47</v>
      </c>
      <c r="B120">
        <v>23</v>
      </c>
      <c r="C120" t="s">
        <v>37</v>
      </c>
      <c r="D120" s="1">
        <v>2.8472222220000001</v>
      </c>
      <c r="E120" s="1">
        <v>0.440578281928166</v>
      </c>
      <c r="F120" s="1">
        <v>49</v>
      </c>
      <c r="G120" s="1">
        <v>0.88800000000000001</v>
      </c>
      <c r="H120" s="1">
        <v>0.42699999999999999</v>
      </c>
      <c r="I120" s="1">
        <v>0.55100000000000005</v>
      </c>
      <c r="J120" s="1">
        <v>0.45800000000000002</v>
      </c>
      <c r="K120" s="1">
        <v>0.151898734177215</v>
      </c>
      <c r="L120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5.3753398734177216</v>
      </c>
    </row>
    <row r="121" spans="1:12" hidden="1" x14ac:dyDescent="0.35">
      <c r="A121" t="s">
        <v>47</v>
      </c>
      <c r="B121">
        <v>24</v>
      </c>
      <c r="C121" t="s">
        <v>35</v>
      </c>
      <c r="D121" s="1">
        <v>2.7222222220000001</v>
      </c>
      <c r="E121" s="1">
        <v>0.43144169539874899</v>
      </c>
      <c r="F121" s="1">
        <v>51.7</v>
      </c>
      <c r="G121" s="1">
        <v>0.90300000000000002</v>
      </c>
      <c r="H121" s="1">
        <v>0.35399999999999998</v>
      </c>
      <c r="I121" s="1">
        <v>0.46300000000000002</v>
      </c>
      <c r="J121" s="1">
        <v>3.3000000000000002E-2</v>
      </c>
      <c r="K121" s="1">
        <v>0.405063291139241</v>
      </c>
      <c r="L121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5.6092563291139248</v>
      </c>
    </row>
    <row r="122" spans="1:12" hidden="1" x14ac:dyDescent="0.35">
      <c r="A122" t="s">
        <v>47</v>
      </c>
      <c r="B122">
        <v>25</v>
      </c>
      <c r="C122" t="s">
        <v>22</v>
      </c>
      <c r="D122" s="1">
        <v>2.6301369860000001</v>
      </c>
      <c r="E122" s="1">
        <v>0.38826689135815501</v>
      </c>
      <c r="F122" s="1">
        <v>50.6</v>
      </c>
      <c r="G122" s="1">
        <v>0.88500000000000001</v>
      </c>
      <c r="H122" s="1">
        <v>0.317</v>
      </c>
      <c r="I122" s="1">
        <v>0.59899999999999998</v>
      </c>
      <c r="J122" s="1">
        <v>0.246</v>
      </c>
      <c r="K122" s="1">
        <v>0.569620253164557</v>
      </c>
      <c r="L122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5.5370120253164554</v>
      </c>
    </row>
    <row r="123" spans="1:12" hidden="1" x14ac:dyDescent="0.35">
      <c r="A123" t="s">
        <v>47</v>
      </c>
      <c r="B123">
        <v>26</v>
      </c>
      <c r="C123" t="s">
        <v>24</v>
      </c>
      <c r="D123" s="1">
        <v>2.9189189189999998</v>
      </c>
      <c r="E123" s="1">
        <v>0.39378798109385499</v>
      </c>
      <c r="F123" s="1">
        <v>49.8</v>
      </c>
      <c r="G123" s="1">
        <v>0.88100000000000001</v>
      </c>
      <c r="H123" s="1">
        <v>0.47</v>
      </c>
      <c r="I123" s="1">
        <v>0.80300000000000005</v>
      </c>
      <c r="J123" s="1">
        <v>0.59799999999999998</v>
      </c>
      <c r="K123" s="1">
        <v>0.164556962025316</v>
      </c>
      <c r="L123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5.5276556962025314</v>
      </c>
    </row>
    <row r="124" spans="1:12" hidden="1" x14ac:dyDescent="0.35">
      <c r="A124" t="s">
        <v>47</v>
      </c>
      <c r="B124">
        <v>27</v>
      </c>
      <c r="C124" t="s">
        <v>42</v>
      </c>
      <c r="D124" s="1">
        <v>3.0273972599999999</v>
      </c>
      <c r="E124" s="1">
        <v>0.471451876019576</v>
      </c>
      <c r="F124" s="1">
        <v>47.2</v>
      </c>
      <c r="G124" s="1">
        <v>0.88900000000000001</v>
      </c>
      <c r="H124" s="1">
        <v>0.47</v>
      </c>
      <c r="I124" s="1">
        <v>0.55100000000000005</v>
      </c>
      <c r="J124" s="1">
        <v>0.42299999999999999</v>
      </c>
      <c r="K124" s="1">
        <v>0.113924050632911</v>
      </c>
      <c r="L124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5.2050424050632929</v>
      </c>
    </row>
    <row r="125" spans="1:12" hidden="1" x14ac:dyDescent="0.35">
      <c r="A125" t="s">
        <v>47</v>
      </c>
      <c r="B125">
        <v>28</v>
      </c>
      <c r="C125" t="s">
        <v>41</v>
      </c>
      <c r="D125" s="1">
        <v>2.7432432430000002</v>
      </c>
      <c r="E125" s="1">
        <v>0.38790782611969798</v>
      </c>
      <c r="F125" s="1">
        <v>51.2</v>
      </c>
      <c r="G125" s="1">
        <v>0.871</v>
      </c>
      <c r="H125" s="1">
        <v>0.33500000000000002</v>
      </c>
      <c r="I125" s="1">
        <v>0.63300000000000001</v>
      </c>
      <c r="J125" s="1">
        <v>0.25</v>
      </c>
      <c r="K125" s="1">
        <v>0.227848101265823</v>
      </c>
      <c r="L125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5.5733348101265836</v>
      </c>
    </row>
    <row r="126" spans="1:12" hidden="1" x14ac:dyDescent="0.35">
      <c r="A126" t="s">
        <v>47</v>
      </c>
      <c r="B126">
        <v>29</v>
      </c>
      <c r="C126" t="s">
        <v>36</v>
      </c>
      <c r="D126" s="1">
        <v>3.1549295769999999</v>
      </c>
      <c r="E126" s="1">
        <v>0.44928366762177702</v>
      </c>
      <c r="F126" s="1">
        <v>49.4</v>
      </c>
      <c r="G126" s="1">
        <v>0.879</v>
      </c>
      <c r="H126" s="1">
        <v>0.60399999999999998</v>
      </c>
      <c r="I126" s="1">
        <v>0.76200000000000001</v>
      </c>
      <c r="J126" s="1">
        <v>0.34499999999999997</v>
      </c>
      <c r="K126" s="1">
        <v>0.645569620253165</v>
      </c>
      <c r="L126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5.561406962025317</v>
      </c>
    </row>
    <row r="127" spans="1:12" hidden="1" x14ac:dyDescent="0.35">
      <c r="A127" t="s">
        <v>47</v>
      </c>
      <c r="B127">
        <v>30</v>
      </c>
      <c r="C127" t="s">
        <v>28</v>
      </c>
      <c r="D127" s="1">
        <v>2.5416666669999999</v>
      </c>
      <c r="E127" s="1">
        <v>0.38355113213381697</v>
      </c>
      <c r="F127" s="1">
        <v>51.7</v>
      </c>
      <c r="G127" s="1">
        <v>0.88700000000000001</v>
      </c>
      <c r="H127" s="1">
        <v>0.27400000000000002</v>
      </c>
      <c r="I127" s="1">
        <v>0.57099999999999995</v>
      </c>
      <c r="J127" s="1">
        <v>0.627</v>
      </c>
      <c r="K127" s="1">
        <v>0.556962025316456</v>
      </c>
      <c r="L127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5.6445462025316466</v>
      </c>
    </row>
    <row r="128" spans="1:12" hidden="1" x14ac:dyDescent="0.35">
      <c r="A128" t="s">
        <v>47</v>
      </c>
      <c r="B128">
        <v>31</v>
      </c>
      <c r="C128" t="s">
        <v>39</v>
      </c>
      <c r="D128" s="1">
        <v>2.7123287669999998</v>
      </c>
      <c r="E128" s="1">
        <v>0.36351160893108803</v>
      </c>
      <c r="F128" s="1">
        <v>51.6</v>
      </c>
      <c r="G128" s="1">
        <v>0.88500000000000001</v>
      </c>
      <c r="H128" s="1">
        <v>0.35399999999999998</v>
      </c>
      <c r="I128" s="1">
        <v>0.748</v>
      </c>
      <c r="J128" s="1">
        <v>0.754</v>
      </c>
      <c r="K128" s="1">
        <v>0.392405063291139</v>
      </c>
      <c r="L128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5.6874405063291142</v>
      </c>
    </row>
    <row r="129" spans="1:12" hidden="1" x14ac:dyDescent="0.35">
      <c r="A129" t="s">
        <v>47</v>
      </c>
      <c r="B129">
        <v>32</v>
      </c>
      <c r="C129" t="s">
        <v>34</v>
      </c>
      <c r="D129" s="1">
        <v>2.6197183100000001</v>
      </c>
      <c r="E129" s="1">
        <v>0.33852596970527199</v>
      </c>
      <c r="F129" s="1">
        <v>50.5</v>
      </c>
      <c r="G129" s="1">
        <v>0.88400000000000001</v>
      </c>
      <c r="H129" s="1">
        <v>0.27400000000000002</v>
      </c>
      <c r="I129" s="1">
        <v>0.748</v>
      </c>
      <c r="J129" s="1">
        <v>0.32500000000000001</v>
      </c>
      <c r="K129" s="1">
        <v>0.367088607594937</v>
      </c>
      <c r="L129" s="1">
        <f>(0.1 * Table13[[#This Row],[PUCK_POSSESSION]])+(0.2 * Table13[[#This Row],[GOALTENDING]]) + (0.35 * Table13[[#This Row],[OFFENSE]]) + (0.2 *Table13[[#This Row],[DEFENSE]]) + (0.05 * Table13[[#This Row],[SPEC_TEAMS]]) + (0.1 * Table13[[#This Row],[PHYSICALITY]])</f>
        <v>5.5252588607594957</v>
      </c>
    </row>
  </sheetData>
  <conditionalFormatting sqref="D2:D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08DA-EDD7-4A8E-8618-3EBAC6072C54}">
  <dimension ref="A1:L129"/>
  <sheetViews>
    <sheetView zoomScale="90" zoomScaleNormal="90" workbookViewId="0">
      <selection activeCell="B1" sqref="B1:K38"/>
    </sheetView>
  </sheetViews>
  <sheetFormatPr defaultRowHeight="14.5" x14ac:dyDescent="0.35"/>
  <cols>
    <col min="1" max="1" width="9.81640625" bestFit="1" customWidth="1"/>
    <col min="2" max="2" width="7.54296875" style="1" bestFit="1" customWidth="1"/>
    <col min="3" max="3" width="19.54296875" bestFit="1" customWidth="1"/>
    <col min="4" max="4" width="11.81640625" style="1" bestFit="1" customWidth="1"/>
    <col min="5" max="5" width="14.26953125" style="1" bestFit="1" customWidth="1"/>
    <col min="6" max="6" width="21.81640625" style="1" bestFit="1" customWidth="1"/>
    <col min="7" max="7" width="17.453125" style="1" bestFit="1" customWidth="1"/>
    <col min="8" max="9" width="13" style="1" bestFit="1" customWidth="1"/>
    <col min="10" max="10" width="16.1796875" style="1" bestFit="1" customWidth="1"/>
    <col min="11" max="11" width="16.26953125" style="1" bestFit="1" customWidth="1"/>
    <col min="12" max="12" width="17.7265625" bestFit="1" customWidth="1"/>
  </cols>
  <sheetData>
    <row r="1" spans="1:12" x14ac:dyDescent="0.35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49</v>
      </c>
    </row>
    <row r="2" spans="1:12" hidden="1" x14ac:dyDescent="0.35">
      <c r="A2" t="s">
        <v>12</v>
      </c>
      <c r="B2">
        <v>1</v>
      </c>
      <c r="C2" t="s">
        <v>13</v>
      </c>
      <c r="D2" s="1">
        <v>4.1097560980000001</v>
      </c>
      <c r="E2" s="1">
        <v>0.65977470909122604</v>
      </c>
      <c r="F2" s="1">
        <v>47.6</v>
      </c>
      <c r="G2" s="1">
        <v>0.90400000000000003</v>
      </c>
      <c r="H2" s="1">
        <v>1</v>
      </c>
      <c r="I2" s="1">
        <v>0.41499999999999998</v>
      </c>
      <c r="J2" s="1">
        <v>0.67800000000000005</v>
      </c>
      <c r="K2" s="1">
        <v>0.556962025316456</v>
      </c>
      <c r="L2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5.463396202531646</v>
      </c>
    </row>
    <row r="3" spans="1:12" hidden="1" x14ac:dyDescent="0.35">
      <c r="A3" t="s">
        <v>12</v>
      </c>
      <c r="B3">
        <v>2</v>
      </c>
      <c r="C3" t="s">
        <v>14</v>
      </c>
      <c r="D3" s="1">
        <v>3.7560975609999998</v>
      </c>
      <c r="E3" s="1">
        <v>0.63800710211987499</v>
      </c>
      <c r="F3" s="1">
        <v>42.6</v>
      </c>
      <c r="G3" s="1">
        <v>0.91200000000000003</v>
      </c>
      <c r="H3" s="1">
        <v>0.80500000000000005</v>
      </c>
      <c r="I3" s="1">
        <v>0.42899999999999999</v>
      </c>
      <c r="J3" s="1">
        <v>0.66700000000000004</v>
      </c>
      <c r="K3" s="1">
        <v>0.417721518987342</v>
      </c>
      <c r="L3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4.8850721518987354</v>
      </c>
    </row>
    <row r="4" spans="1:12" hidden="1" x14ac:dyDescent="0.35">
      <c r="A4" t="s">
        <v>12</v>
      </c>
      <c r="B4">
        <v>3</v>
      </c>
      <c r="C4" t="s">
        <v>15</v>
      </c>
      <c r="D4" s="1">
        <v>3.3780487799999999</v>
      </c>
      <c r="E4" s="1">
        <v>0.65732594299617098</v>
      </c>
      <c r="F4" s="1">
        <v>46.9</v>
      </c>
      <c r="G4" s="1">
        <v>0.91300000000000003</v>
      </c>
      <c r="H4" s="1">
        <v>0.60399999999999998</v>
      </c>
      <c r="I4" s="1">
        <v>0.109</v>
      </c>
      <c r="J4" s="1">
        <v>0.88600000000000001</v>
      </c>
      <c r="K4" s="1">
        <v>0.443037974683544</v>
      </c>
      <c r="L4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5.1944037974683548</v>
      </c>
    </row>
    <row r="5" spans="1:12" hidden="1" x14ac:dyDescent="0.35">
      <c r="A5" t="s">
        <v>12</v>
      </c>
      <c r="B5">
        <v>4</v>
      </c>
      <c r="C5" t="s">
        <v>16</v>
      </c>
      <c r="D5" s="1">
        <v>3.804878049</v>
      </c>
      <c r="E5" s="1">
        <v>0.60519247985675895</v>
      </c>
      <c r="F5" s="1">
        <v>46.4</v>
      </c>
      <c r="G5" s="1">
        <v>0.9</v>
      </c>
      <c r="H5" s="1">
        <v>0.81100000000000005</v>
      </c>
      <c r="I5" s="1">
        <v>0.44900000000000001</v>
      </c>
      <c r="J5" s="1">
        <v>0.86199999999999999</v>
      </c>
      <c r="K5" s="1">
        <v>0.367088607594937</v>
      </c>
      <c r="L5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5.2734588607594937</v>
      </c>
    </row>
    <row r="6" spans="1:12" hidden="1" x14ac:dyDescent="0.35">
      <c r="A6" t="s">
        <v>12</v>
      </c>
      <c r="B6">
        <v>5</v>
      </c>
      <c r="C6" t="s">
        <v>17</v>
      </c>
      <c r="D6" s="1">
        <v>3.7195121950000001</v>
      </c>
      <c r="E6" s="1">
        <v>0.60006063499025997</v>
      </c>
      <c r="F6" s="1">
        <v>43.9</v>
      </c>
      <c r="G6" s="1">
        <v>0.90300000000000002</v>
      </c>
      <c r="H6" s="1">
        <v>0.78</v>
      </c>
      <c r="I6" s="1">
        <v>0.49</v>
      </c>
      <c r="J6" s="1">
        <v>0.42699999999999999</v>
      </c>
      <c r="K6" s="1">
        <v>0.645569620253165</v>
      </c>
      <c r="L6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5.0275069620253161</v>
      </c>
    </row>
    <row r="7" spans="1:12" hidden="1" x14ac:dyDescent="0.35">
      <c r="A7" t="s">
        <v>12</v>
      </c>
      <c r="B7">
        <v>6</v>
      </c>
      <c r="C7" t="s">
        <v>18</v>
      </c>
      <c r="D7" s="1">
        <v>3.5487804879999998</v>
      </c>
      <c r="E7" s="1">
        <v>0.66616581574455003</v>
      </c>
      <c r="F7" s="1">
        <v>45</v>
      </c>
      <c r="G7" s="1">
        <v>0.91300000000000003</v>
      </c>
      <c r="H7" s="1">
        <v>0.70099999999999996</v>
      </c>
      <c r="I7" s="1">
        <v>0.184</v>
      </c>
      <c r="J7" s="1">
        <v>0.75</v>
      </c>
      <c r="K7" s="1">
        <v>0.430379746835443</v>
      </c>
      <c r="L7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5.0452879746835446</v>
      </c>
    </row>
    <row r="8" spans="1:12" hidden="1" x14ac:dyDescent="0.35">
      <c r="A8" t="s">
        <v>12</v>
      </c>
      <c r="B8">
        <v>7</v>
      </c>
      <c r="C8" t="s">
        <v>19</v>
      </c>
      <c r="D8" s="1">
        <v>3.4756097559999999</v>
      </c>
      <c r="E8" s="1">
        <v>0.60975609756097604</v>
      </c>
      <c r="F8" s="1">
        <v>49</v>
      </c>
      <c r="G8" s="1">
        <v>0.90700000000000003</v>
      </c>
      <c r="H8" s="1">
        <v>0.67700000000000005</v>
      </c>
      <c r="I8" s="1">
        <v>0.30599999999999999</v>
      </c>
      <c r="J8" s="1">
        <v>0.69599999999999995</v>
      </c>
      <c r="K8" s="1">
        <v>0.670886075949367</v>
      </c>
      <c r="L8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5.4814386075949377</v>
      </c>
    </row>
    <row r="9" spans="1:12" hidden="1" x14ac:dyDescent="0.35">
      <c r="A9" t="s">
        <v>12</v>
      </c>
      <c r="B9">
        <v>8</v>
      </c>
      <c r="C9" t="s">
        <v>20</v>
      </c>
      <c r="D9" s="1">
        <v>3.0487804879999998</v>
      </c>
      <c r="E9" s="1">
        <v>0.60029198202005496</v>
      </c>
      <c r="F9" s="1">
        <v>54.5</v>
      </c>
      <c r="G9" s="1">
        <v>0.91900000000000004</v>
      </c>
      <c r="H9" s="1">
        <v>0.53</v>
      </c>
      <c r="I9" s="1">
        <v>8.7999999999999995E-2</v>
      </c>
      <c r="J9" s="1">
        <v>0.8</v>
      </c>
      <c r="K9" s="1">
        <v>0.316455696202532</v>
      </c>
      <c r="L9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5.9085455696202533</v>
      </c>
    </row>
    <row r="10" spans="1:12" hidden="1" x14ac:dyDescent="0.35">
      <c r="A10" t="s">
        <v>12</v>
      </c>
      <c r="B10">
        <v>9</v>
      </c>
      <c r="C10" t="s">
        <v>21</v>
      </c>
      <c r="D10" s="1">
        <v>3.7682926829999999</v>
      </c>
      <c r="E10" s="1">
        <v>0.62568642612809799</v>
      </c>
      <c r="F10" s="1">
        <v>51.5</v>
      </c>
      <c r="G10" s="1">
        <v>0.90800000000000003</v>
      </c>
      <c r="H10" s="1">
        <v>0.86599999999999999</v>
      </c>
      <c r="I10" s="1">
        <v>0.35399999999999998</v>
      </c>
      <c r="J10" s="1">
        <v>0.92200000000000004</v>
      </c>
      <c r="K10" s="1">
        <v>0.227848101265823</v>
      </c>
      <c r="L10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5.7743848101265831</v>
      </c>
    </row>
    <row r="11" spans="1:12" hidden="1" x14ac:dyDescent="0.35">
      <c r="A11" t="s">
        <v>12</v>
      </c>
      <c r="B11">
        <v>10</v>
      </c>
      <c r="C11" t="s">
        <v>22</v>
      </c>
      <c r="D11" s="1">
        <v>3.085365854</v>
      </c>
      <c r="E11" s="1">
        <v>0.57390189450655904</v>
      </c>
      <c r="F11" s="1">
        <v>47.7</v>
      </c>
      <c r="G11" s="1">
        <v>0.90700000000000003</v>
      </c>
      <c r="H11" s="1">
        <v>0.5</v>
      </c>
      <c r="I11" s="1">
        <v>0.218</v>
      </c>
      <c r="J11" s="1">
        <v>0.627</v>
      </c>
      <c r="K11" s="1">
        <v>0.531645569620253</v>
      </c>
      <c r="L11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5.2545145569620253</v>
      </c>
    </row>
    <row r="12" spans="1:12" hidden="1" x14ac:dyDescent="0.35">
      <c r="A12" t="s">
        <v>12</v>
      </c>
      <c r="B12">
        <v>11</v>
      </c>
      <c r="C12" t="s">
        <v>23</v>
      </c>
      <c r="D12" s="1">
        <v>3.4756097559999999</v>
      </c>
      <c r="E12" s="1">
        <v>0.56317862243978201</v>
      </c>
      <c r="F12" s="1">
        <v>48.6</v>
      </c>
      <c r="G12" s="1">
        <v>0.90500000000000003</v>
      </c>
      <c r="H12" s="1">
        <v>0.628</v>
      </c>
      <c r="I12" s="1">
        <v>0.40100000000000002</v>
      </c>
      <c r="J12" s="1">
        <v>0.72499999999999998</v>
      </c>
      <c r="K12" s="1">
        <v>0.30379746835443</v>
      </c>
      <c r="L12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5.4076297468354433</v>
      </c>
    </row>
    <row r="13" spans="1:12" hidden="1" x14ac:dyDescent="0.35">
      <c r="A13" t="s">
        <v>12</v>
      </c>
      <c r="B13">
        <v>12</v>
      </c>
      <c r="C13" t="s">
        <v>24</v>
      </c>
      <c r="D13" s="1">
        <v>3.2804878049999999</v>
      </c>
      <c r="E13" s="1">
        <v>0.59485387808787904</v>
      </c>
      <c r="F13" s="1">
        <v>48.5</v>
      </c>
      <c r="G13" s="1">
        <v>0.91400000000000003</v>
      </c>
      <c r="H13" s="1">
        <v>0.57899999999999996</v>
      </c>
      <c r="I13" s="1">
        <v>0.27900000000000003</v>
      </c>
      <c r="J13" s="1">
        <v>0.69899999999999995</v>
      </c>
      <c r="K13" s="1">
        <v>0.151898734177215</v>
      </c>
      <c r="L13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5.3413898734177225</v>
      </c>
    </row>
    <row r="14" spans="1:12" hidden="1" x14ac:dyDescent="0.35">
      <c r="A14" t="s">
        <v>12</v>
      </c>
      <c r="B14">
        <v>13</v>
      </c>
      <c r="C14" t="s">
        <v>25</v>
      </c>
      <c r="D14" s="1">
        <v>3.292682927</v>
      </c>
      <c r="E14" s="1">
        <v>0.55452443254427097</v>
      </c>
      <c r="F14" s="1">
        <v>51.4</v>
      </c>
      <c r="G14" s="1">
        <v>0.89800000000000002</v>
      </c>
      <c r="H14" s="1">
        <v>0.64</v>
      </c>
      <c r="I14" s="1">
        <v>0.44900000000000001</v>
      </c>
      <c r="J14" s="1">
        <v>0.51300000000000001</v>
      </c>
      <c r="K14" s="1">
        <v>0.253164556962025</v>
      </c>
      <c r="L14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5.6843664556962032</v>
      </c>
    </row>
    <row r="15" spans="1:12" hidden="1" x14ac:dyDescent="0.35">
      <c r="A15" t="s">
        <v>12</v>
      </c>
      <c r="B15">
        <v>14</v>
      </c>
      <c r="C15" t="s">
        <v>26</v>
      </c>
      <c r="D15" s="1">
        <v>2.8658536589999999</v>
      </c>
      <c r="E15" s="1">
        <v>0.50642371777824602</v>
      </c>
      <c r="F15" s="1">
        <v>51.2</v>
      </c>
      <c r="G15" s="1">
        <v>0.90100000000000002</v>
      </c>
      <c r="H15" s="1">
        <v>0.39</v>
      </c>
      <c r="I15" s="1">
        <v>0.32</v>
      </c>
      <c r="J15" s="1">
        <v>0.29299999999999998</v>
      </c>
      <c r="K15" s="1">
        <v>0.253164556962025</v>
      </c>
      <c r="L15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5.5406664556962033</v>
      </c>
    </row>
    <row r="16" spans="1:12" hidden="1" x14ac:dyDescent="0.35">
      <c r="A16" t="s">
        <v>12</v>
      </c>
      <c r="B16">
        <v>15</v>
      </c>
      <c r="C16" t="s">
        <v>27</v>
      </c>
      <c r="D16" s="1">
        <v>2.8414634150000002</v>
      </c>
      <c r="E16" s="1">
        <v>0.47695146057544502</v>
      </c>
      <c r="F16" s="1">
        <v>50.8</v>
      </c>
      <c r="G16" s="1">
        <v>0.90400000000000003</v>
      </c>
      <c r="H16" s="1">
        <v>0.32900000000000001</v>
      </c>
      <c r="I16" s="1">
        <v>0.374</v>
      </c>
      <c r="J16" s="1">
        <v>0.59</v>
      </c>
      <c r="K16" s="1">
        <v>0.126582278481013</v>
      </c>
      <c r="L16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5.4929082278481003</v>
      </c>
    </row>
    <row r="17" spans="1:12" hidden="1" x14ac:dyDescent="0.35">
      <c r="A17" t="s">
        <v>12</v>
      </c>
      <c r="B17">
        <v>16</v>
      </c>
      <c r="C17" t="s">
        <v>28</v>
      </c>
      <c r="D17" s="1">
        <v>3.195121951</v>
      </c>
      <c r="E17" s="1">
        <v>0.52342463246507698</v>
      </c>
      <c r="F17" s="1">
        <v>55.7</v>
      </c>
      <c r="G17" s="1">
        <v>0.90600000000000003</v>
      </c>
      <c r="H17" s="1">
        <v>0.59799999999999998</v>
      </c>
      <c r="I17" s="1">
        <v>0.41499999999999998</v>
      </c>
      <c r="J17" s="1">
        <v>0.66700000000000004</v>
      </c>
      <c r="K17" s="1">
        <v>0.873417721518987</v>
      </c>
      <c r="L17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6.1641917721518995</v>
      </c>
    </row>
    <row r="18" spans="1:12" hidden="1" x14ac:dyDescent="0.35">
      <c r="A18" t="s">
        <v>12</v>
      </c>
      <c r="B18">
        <v>17</v>
      </c>
      <c r="C18" t="s">
        <v>29</v>
      </c>
      <c r="D18" s="1">
        <v>3.195121951</v>
      </c>
      <c r="E18" s="1">
        <v>0.53552816352004995</v>
      </c>
      <c r="F18" s="1">
        <v>57.2</v>
      </c>
      <c r="G18" s="1">
        <v>0.90100000000000002</v>
      </c>
      <c r="H18" s="1">
        <v>0.59099999999999997</v>
      </c>
      <c r="I18" s="1">
        <v>0.38100000000000001</v>
      </c>
      <c r="J18" s="1">
        <v>0.39700000000000002</v>
      </c>
      <c r="K18" s="1">
        <v>0.240506329113924</v>
      </c>
      <c r="L18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6.2271506329113935</v>
      </c>
    </row>
    <row r="19" spans="1:12" hidden="1" x14ac:dyDescent="0.35">
      <c r="A19" t="s">
        <v>12</v>
      </c>
      <c r="B19">
        <v>18</v>
      </c>
      <c r="C19" t="s">
        <v>30</v>
      </c>
      <c r="D19" s="1">
        <v>3</v>
      </c>
      <c r="E19" s="1">
        <v>0.53141547459100602</v>
      </c>
      <c r="F19" s="1">
        <v>51.7</v>
      </c>
      <c r="G19" s="1">
        <v>0.91200000000000003</v>
      </c>
      <c r="H19" s="1">
        <v>0.46300000000000002</v>
      </c>
      <c r="I19" s="1">
        <v>0.313</v>
      </c>
      <c r="J19" s="1">
        <v>0.48499999999999999</v>
      </c>
      <c r="K19" s="1">
        <v>0.291139240506329</v>
      </c>
      <c r="L19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5.6304139240506341</v>
      </c>
    </row>
    <row r="20" spans="1:12" hidden="1" x14ac:dyDescent="0.35">
      <c r="A20" t="s">
        <v>12</v>
      </c>
      <c r="B20">
        <v>19</v>
      </c>
      <c r="C20" t="s">
        <v>31</v>
      </c>
      <c r="D20" s="1">
        <v>3.0487804879999998</v>
      </c>
      <c r="E20" s="1">
        <v>0.49403599743891702</v>
      </c>
      <c r="F20" s="1">
        <v>52.3</v>
      </c>
      <c r="G20" s="1">
        <v>0.90700000000000003</v>
      </c>
      <c r="H20" s="1">
        <v>0.433</v>
      </c>
      <c r="I20" s="1">
        <v>0.42199999999999999</v>
      </c>
      <c r="J20" s="1">
        <v>0.40500000000000003</v>
      </c>
      <c r="K20" s="1">
        <v>0.392405063291139</v>
      </c>
      <c r="L20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5.7068405063291143</v>
      </c>
    </row>
    <row r="21" spans="1:12" hidden="1" x14ac:dyDescent="0.35">
      <c r="A21" t="s">
        <v>12</v>
      </c>
      <c r="B21">
        <v>20</v>
      </c>
      <c r="C21" t="s">
        <v>32</v>
      </c>
      <c r="D21" s="1">
        <v>2.792682927</v>
      </c>
      <c r="E21" s="1">
        <v>0.49565225610101898</v>
      </c>
      <c r="F21" s="1">
        <v>56.3</v>
      </c>
      <c r="G21" s="1">
        <v>0.91300000000000003</v>
      </c>
      <c r="H21" s="1">
        <v>0.38400000000000001</v>
      </c>
      <c r="I21" s="1">
        <v>0.29899999999999999</v>
      </c>
      <c r="J21" s="1">
        <v>0.75800000000000001</v>
      </c>
      <c r="K21" s="1">
        <v>0.405063291139241</v>
      </c>
      <c r="L21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6.085206329113924</v>
      </c>
    </row>
    <row r="22" spans="1:12" hidden="1" x14ac:dyDescent="0.35">
      <c r="A22" t="s">
        <v>12</v>
      </c>
      <c r="B22">
        <v>21</v>
      </c>
      <c r="C22" t="s">
        <v>33</v>
      </c>
      <c r="D22" s="1">
        <v>3.1463414630000002</v>
      </c>
      <c r="E22" s="1">
        <v>0.43007501308367702</v>
      </c>
      <c r="F22" s="1">
        <v>60.2</v>
      </c>
      <c r="G22" s="1">
        <v>0.89700000000000002</v>
      </c>
      <c r="H22" s="1">
        <v>0.57299999999999995</v>
      </c>
      <c r="I22" s="1">
        <v>0.71399999999999997</v>
      </c>
      <c r="J22" s="1">
        <v>0.44500000000000001</v>
      </c>
      <c r="K22" s="1">
        <v>0.253164556962025</v>
      </c>
      <c r="L22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6.5903164556962031</v>
      </c>
    </row>
    <row r="23" spans="1:12" hidden="1" x14ac:dyDescent="0.35">
      <c r="A23" t="s">
        <v>12</v>
      </c>
      <c r="B23">
        <v>22</v>
      </c>
      <c r="C23" t="s">
        <v>34</v>
      </c>
      <c r="D23" s="1">
        <v>2.5731707319999999</v>
      </c>
      <c r="E23" s="1">
        <v>0.39524333729869898</v>
      </c>
      <c r="F23" s="1">
        <v>60.1</v>
      </c>
      <c r="G23" s="1">
        <v>0.9</v>
      </c>
      <c r="H23" s="1">
        <v>0.25600000000000001</v>
      </c>
      <c r="I23" s="1">
        <v>0.48299999999999998</v>
      </c>
      <c r="J23" s="1">
        <v>0.68500000000000005</v>
      </c>
      <c r="K23" s="1">
        <v>0.392405063291139</v>
      </c>
      <c r="L23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6.4496905063291141</v>
      </c>
    </row>
    <row r="24" spans="1:12" hidden="1" x14ac:dyDescent="0.35">
      <c r="A24" t="s">
        <v>12</v>
      </c>
      <c r="B24">
        <v>23</v>
      </c>
      <c r="C24" t="s">
        <v>35</v>
      </c>
      <c r="D24" s="1">
        <v>2.7804878049999999</v>
      </c>
      <c r="E24" s="1">
        <v>0.42352941176470599</v>
      </c>
      <c r="F24" s="1">
        <v>59.8</v>
      </c>
      <c r="G24" s="1">
        <v>0.90200000000000002</v>
      </c>
      <c r="H24" s="1">
        <v>0.34100000000000003</v>
      </c>
      <c r="I24" s="1">
        <v>0.49</v>
      </c>
      <c r="J24" s="1">
        <v>0.63500000000000001</v>
      </c>
      <c r="K24" s="1">
        <v>0.455696202531646</v>
      </c>
      <c r="L24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6.4550696202531643</v>
      </c>
    </row>
    <row r="25" spans="1:12" hidden="1" x14ac:dyDescent="0.35">
      <c r="A25" t="s">
        <v>12</v>
      </c>
      <c r="B25">
        <v>24</v>
      </c>
      <c r="C25" t="s">
        <v>36</v>
      </c>
      <c r="D25" s="1">
        <v>2.792682927</v>
      </c>
      <c r="E25" s="1">
        <v>0.38899933239373902</v>
      </c>
      <c r="F25" s="1">
        <v>46</v>
      </c>
      <c r="G25" s="1">
        <v>0.89400000000000002</v>
      </c>
      <c r="H25" s="1">
        <v>0.34100000000000003</v>
      </c>
      <c r="I25" s="1">
        <v>0.70099999999999996</v>
      </c>
      <c r="J25" s="1">
        <v>0.45800000000000002</v>
      </c>
      <c r="K25" s="1">
        <v>0.30379746835443</v>
      </c>
      <c r="L25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5.0916297468354434</v>
      </c>
    </row>
    <row r="26" spans="1:12" hidden="1" x14ac:dyDescent="0.35">
      <c r="A26" t="s">
        <v>12</v>
      </c>
      <c r="B26">
        <v>25</v>
      </c>
      <c r="C26" t="s">
        <v>37</v>
      </c>
      <c r="D26" s="1">
        <v>2.7682926829999999</v>
      </c>
      <c r="E26" s="1">
        <v>0.34904388704116401</v>
      </c>
      <c r="F26" s="1">
        <v>43.9</v>
      </c>
      <c r="G26" s="1">
        <v>0.88800000000000001</v>
      </c>
      <c r="H26" s="1">
        <v>0.32300000000000001</v>
      </c>
      <c r="I26" s="1">
        <v>0.89800000000000002</v>
      </c>
      <c r="J26" s="1">
        <v>0.2</v>
      </c>
      <c r="K26" s="1">
        <v>0.405063291139241</v>
      </c>
      <c r="L26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4.9107563291139238</v>
      </c>
    </row>
    <row r="27" spans="1:12" hidden="1" x14ac:dyDescent="0.35">
      <c r="A27" t="s">
        <v>12</v>
      </c>
      <c r="B27">
        <v>26</v>
      </c>
      <c r="C27" t="s">
        <v>38</v>
      </c>
      <c r="D27" s="1">
        <v>2.7317073170000001</v>
      </c>
      <c r="E27" s="1">
        <v>0.41857981847303799</v>
      </c>
      <c r="F27" s="1">
        <v>44.3</v>
      </c>
      <c r="G27" s="1">
        <v>0.90400000000000003</v>
      </c>
      <c r="H27" s="1">
        <v>0.29299999999999998</v>
      </c>
      <c r="I27" s="1">
        <v>0.57099999999999995</v>
      </c>
      <c r="J27" s="1">
        <v>0.53</v>
      </c>
      <c r="K27" s="1">
        <v>0.544303797468354</v>
      </c>
      <c r="L27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4.9084803797468357</v>
      </c>
    </row>
    <row r="28" spans="1:12" hidden="1" x14ac:dyDescent="0.35">
      <c r="A28" t="s">
        <v>12</v>
      </c>
      <c r="B28">
        <v>27</v>
      </c>
      <c r="C28" t="s">
        <v>39</v>
      </c>
      <c r="D28" s="1">
        <v>2.597560976</v>
      </c>
      <c r="E28" s="1">
        <v>0.35199782760493398</v>
      </c>
      <c r="F28" s="1">
        <v>44.8</v>
      </c>
      <c r="G28" s="1">
        <v>0.89300000000000002</v>
      </c>
      <c r="H28" s="1">
        <v>0.20100000000000001</v>
      </c>
      <c r="I28" s="1">
        <v>0.70099999999999996</v>
      </c>
      <c r="J28" s="1">
        <v>0.38300000000000001</v>
      </c>
      <c r="K28" s="1">
        <v>0.278481012658228</v>
      </c>
      <c r="L28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4.916148101265823</v>
      </c>
    </row>
    <row r="29" spans="1:12" hidden="1" x14ac:dyDescent="0.35">
      <c r="A29" t="s">
        <v>12</v>
      </c>
      <c r="B29">
        <v>28</v>
      </c>
      <c r="C29" t="s">
        <v>40</v>
      </c>
      <c r="D29" s="1">
        <v>2.9878048779999999</v>
      </c>
      <c r="E29" s="1">
        <v>0.39691461293799501</v>
      </c>
      <c r="F29" s="1">
        <v>53</v>
      </c>
      <c r="G29" s="1">
        <v>0.88100000000000001</v>
      </c>
      <c r="H29" s="1">
        <v>0.48199999999999998</v>
      </c>
      <c r="I29" s="1">
        <v>0.78900000000000003</v>
      </c>
      <c r="J29" s="1">
        <v>0.39500000000000002</v>
      </c>
      <c r="K29" s="1">
        <v>0.30379746835443</v>
      </c>
      <c r="L29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5.852829746835444</v>
      </c>
    </row>
    <row r="30" spans="1:12" hidden="1" x14ac:dyDescent="0.35">
      <c r="A30" t="s">
        <v>12</v>
      </c>
      <c r="B30">
        <v>29</v>
      </c>
      <c r="C30" t="s">
        <v>41</v>
      </c>
      <c r="D30" s="1">
        <v>2.5609756099999998</v>
      </c>
      <c r="E30" s="1">
        <v>0.337837837837838</v>
      </c>
      <c r="F30" s="1">
        <v>52.4</v>
      </c>
      <c r="G30" s="1">
        <v>0.89400000000000002</v>
      </c>
      <c r="H30" s="1">
        <v>0.27400000000000002</v>
      </c>
      <c r="I30" s="1">
        <v>0.73499999999999999</v>
      </c>
      <c r="J30" s="1">
        <v>0.13900000000000001</v>
      </c>
      <c r="K30" s="1">
        <v>0.417721518987342</v>
      </c>
      <c r="L30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5.7104221518987348</v>
      </c>
    </row>
    <row r="31" spans="1:12" hidden="1" x14ac:dyDescent="0.35">
      <c r="A31" t="s">
        <v>12</v>
      </c>
      <c r="B31">
        <v>30</v>
      </c>
      <c r="C31" t="s">
        <v>42</v>
      </c>
      <c r="D31" s="1">
        <v>2.597560976</v>
      </c>
      <c r="E31" s="1">
        <v>0.36</v>
      </c>
      <c r="F31" s="1">
        <v>53.2</v>
      </c>
      <c r="G31" s="1">
        <v>0.88</v>
      </c>
      <c r="H31" s="1">
        <v>0.28699999999999998</v>
      </c>
      <c r="I31" s="1">
        <v>0.65300000000000002</v>
      </c>
      <c r="J31" s="1">
        <v>0.17799999999999999</v>
      </c>
      <c r="K31" s="1">
        <v>0.354430379746835</v>
      </c>
      <c r="L31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5.7713930379746845</v>
      </c>
    </row>
    <row r="32" spans="1:12" hidden="1" x14ac:dyDescent="0.35">
      <c r="A32" t="s">
        <v>12</v>
      </c>
      <c r="B32">
        <v>31</v>
      </c>
      <c r="C32" t="s">
        <v>43</v>
      </c>
      <c r="D32" s="1">
        <v>2.5121951220000001</v>
      </c>
      <c r="E32" s="1">
        <v>0.30769230769230799</v>
      </c>
      <c r="F32" s="1">
        <v>54.8</v>
      </c>
      <c r="G32" s="1">
        <v>0.89400000000000002</v>
      </c>
      <c r="H32" s="1">
        <v>0.21299999999999999</v>
      </c>
      <c r="I32" s="1">
        <v>0.78200000000000003</v>
      </c>
      <c r="J32" s="1">
        <v>0.158</v>
      </c>
      <c r="K32" s="1">
        <v>0.569620253164557</v>
      </c>
      <c r="L32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5.9546120253164565</v>
      </c>
    </row>
    <row r="33" spans="1:12" hidden="1" x14ac:dyDescent="0.35">
      <c r="A33" t="s">
        <v>12</v>
      </c>
      <c r="B33">
        <v>32</v>
      </c>
      <c r="C33" t="s">
        <v>44</v>
      </c>
      <c r="D33" s="1">
        <v>2.6585365849999998</v>
      </c>
      <c r="E33" s="1">
        <v>0.32107990514346701</v>
      </c>
      <c r="F33" s="1">
        <v>47.9</v>
      </c>
      <c r="G33" s="1">
        <v>0.88800000000000001</v>
      </c>
      <c r="H33" s="1">
        <v>0.28000000000000003</v>
      </c>
      <c r="I33" s="1">
        <v>0.95199999999999996</v>
      </c>
      <c r="J33" s="1">
        <v>0.17199999999999999</v>
      </c>
      <c r="K33" s="1">
        <v>0.569620253164557</v>
      </c>
      <c r="L33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5.3215620253164566</v>
      </c>
    </row>
    <row r="34" spans="1:12" x14ac:dyDescent="0.35">
      <c r="A34" t="s">
        <v>45</v>
      </c>
      <c r="B34" s="1">
        <v>1</v>
      </c>
      <c r="C34" t="s">
        <v>22</v>
      </c>
      <c r="D34" s="3">
        <v>3.6707317069999998</v>
      </c>
      <c r="E34" s="2">
        <v>0.74953051448993602</v>
      </c>
      <c r="F34" s="3">
        <v>45</v>
      </c>
      <c r="G34" s="1">
        <v>0.92900000000000005</v>
      </c>
      <c r="H34" s="1">
        <v>0.77400000000000002</v>
      </c>
      <c r="I34" s="2">
        <v>0</v>
      </c>
      <c r="J34" s="1">
        <v>0.86799999999999999</v>
      </c>
      <c r="K34" s="2">
        <v>0.607594936708861</v>
      </c>
      <c r="L34" s="3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5.0608594936708871</v>
      </c>
    </row>
    <row r="35" spans="1:12" x14ac:dyDescent="0.35">
      <c r="A35" t="s">
        <v>45</v>
      </c>
      <c r="B35" s="1">
        <v>2</v>
      </c>
      <c r="C35" t="s">
        <v>15</v>
      </c>
      <c r="D35" s="3">
        <v>3.195121951</v>
      </c>
      <c r="E35" s="2">
        <v>0.60884836443624502</v>
      </c>
      <c r="F35" s="3">
        <v>48.3</v>
      </c>
      <c r="G35" s="1">
        <v>0.90200000000000002</v>
      </c>
      <c r="H35" s="1">
        <v>0.54900000000000004</v>
      </c>
      <c r="I35" s="2">
        <v>0.21099999999999999</v>
      </c>
      <c r="J35" s="1">
        <v>0.68400000000000005</v>
      </c>
      <c r="K35" s="2">
        <v>0.227848101265823</v>
      </c>
      <c r="L35" s="3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5.3017348101265824</v>
      </c>
    </row>
    <row r="36" spans="1:12" x14ac:dyDescent="0.35">
      <c r="A36" t="s">
        <v>45</v>
      </c>
      <c r="B36" s="1">
        <v>3</v>
      </c>
      <c r="C36" t="s">
        <v>40</v>
      </c>
      <c r="D36" s="3">
        <v>3.5243902440000001</v>
      </c>
      <c r="E36" s="2">
        <v>0.62889951432551505</v>
      </c>
      <c r="F36" s="3">
        <v>49</v>
      </c>
      <c r="G36" s="1">
        <v>0.90400000000000003</v>
      </c>
      <c r="H36" s="1">
        <v>0.68300000000000005</v>
      </c>
      <c r="I36" s="2">
        <v>0.23100000000000001</v>
      </c>
      <c r="J36" s="1">
        <v>0.69599999999999995</v>
      </c>
      <c r="K36" s="2">
        <v>0.253164556962025</v>
      </c>
      <c r="L36" s="3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5.4261664556962019</v>
      </c>
    </row>
    <row r="37" spans="1:12" x14ac:dyDescent="0.35">
      <c r="A37" s="4" t="s">
        <v>45</v>
      </c>
      <c r="B37" s="5">
        <v>4</v>
      </c>
      <c r="C37" s="4" t="s">
        <v>29</v>
      </c>
      <c r="D37" s="6">
        <v>3.2560975609999998</v>
      </c>
      <c r="E37" s="7">
        <v>0.58474826517053002</v>
      </c>
      <c r="F37" s="6">
        <v>48.9</v>
      </c>
      <c r="G37" s="5">
        <v>0.91100000000000003</v>
      </c>
      <c r="H37" s="5">
        <v>0.59099999999999997</v>
      </c>
      <c r="I37" s="7">
        <v>0.27900000000000003</v>
      </c>
      <c r="J37" s="5">
        <v>0.46300000000000002</v>
      </c>
      <c r="K37" s="7">
        <v>0.189873417721519</v>
      </c>
      <c r="L37" s="6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5.3769873417721525</v>
      </c>
    </row>
    <row r="38" spans="1:12" x14ac:dyDescent="0.35">
      <c r="A38" t="s">
        <v>45</v>
      </c>
      <c r="B38" s="1">
        <v>5</v>
      </c>
      <c r="C38" t="s">
        <v>16</v>
      </c>
      <c r="D38" s="3">
        <v>3.3902439019999999</v>
      </c>
      <c r="E38" s="2">
        <v>0.61490722765029804</v>
      </c>
      <c r="F38" s="3">
        <v>51.6</v>
      </c>
      <c r="G38" s="1">
        <v>0.90900000000000003</v>
      </c>
      <c r="H38" s="1">
        <v>0.67100000000000004</v>
      </c>
      <c r="I38" s="2">
        <v>0.23100000000000001</v>
      </c>
      <c r="J38" s="1">
        <v>0.81200000000000006</v>
      </c>
      <c r="K38" s="2">
        <v>0.341772151898734</v>
      </c>
      <c r="L38" s="3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5.6976272151898737</v>
      </c>
    </row>
    <row r="39" spans="1:12" hidden="1" x14ac:dyDescent="0.35">
      <c r="A39" t="s">
        <v>45</v>
      </c>
      <c r="B39">
        <v>6</v>
      </c>
      <c r="C39" t="s">
        <v>14</v>
      </c>
      <c r="D39" s="1">
        <v>3.3414634150000002</v>
      </c>
      <c r="E39" s="1">
        <v>0.60154641240334905</v>
      </c>
      <c r="F39" s="1">
        <v>53.7</v>
      </c>
      <c r="G39" s="1">
        <v>0.91200000000000003</v>
      </c>
      <c r="H39" s="1">
        <v>0.64600000000000002</v>
      </c>
      <c r="I39" s="1">
        <v>0.23100000000000001</v>
      </c>
      <c r="J39" s="1">
        <v>0.66300000000000003</v>
      </c>
      <c r="K39" s="1">
        <v>0.316455696202532</v>
      </c>
      <c r="L39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5.8894955696202542</v>
      </c>
    </row>
    <row r="40" spans="1:12" hidden="1" x14ac:dyDescent="0.35">
      <c r="A40" t="s">
        <v>45</v>
      </c>
      <c r="B40">
        <v>7</v>
      </c>
      <c r="C40" t="s">
        <v>23</v>
      </c>
      <c r="D40" s="1">
        <v>3.9634146339999998</v>
      </c>
      <c r="E40" s="1">
        <v>0.61710903768966097</v>
      </c>
      <c r="F40" s="1">
        <v>50.6</v>
      </c>
      <c r="G40" s="1">
        <v>0.9</v>
      </c>
      <c r="H40" s="1">
        <v>0.90900000000000003</v>
      </c>
      <c r="I40" s="1">
        <v>0.42899999999999999</v>
      </c>
      <c r="J40" s="1">
        <v>0.86199999999999999</v>
      </c>
      <c r="K40" s="1">
        <v>0.367088607594937</v>
      </c>
      <c r="L40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5.723758860759494</v>
      </c>
    </row>
    <row r="41" spans="1:12" hidden="1" x14ac:dyDescent="0.35">
      <c r="A41" t="s">
        <v>45</v>
      </c>
      <c r="B41">
        <v>8</v>
      </c>
      <c r="C41" t="s">
        <v>27</v>
      </c>
      <c r="D41" s="1">
        <v>3.4268292680000001</v>
      </c>
      <c r="E41" s="1">
        <v>0.63074944482609896</v>
      </c>
      <c r="F41" s="1">
        <v>46</v>
      </c>
      <c r="G41" s="1">
        <v>0.91200000000000003</v>
      </c>
      <c r="H41" s="1">
        <v>0.67100000000000004</v>
      </c>
      <c r="I41" s="1">
        <v>0.26500000000000001</v>
      </c>
      <c r="J41" s="1">
        <v>0.83299999999999996</v>
      </c>
      <c r="K41" s="1">
        <v>0.265822784810127</v>
      </c>
      <c r="L41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5.1384822784810131</v>
      </c>
    </row>
    <row r="42" spans="1:12" hidden="1" x14ac:dyDescent="0.35">
      <c r="A42" t="s">
        <v>45</v>
      </c>
      <c r="B42">
        <v>9</v>
      </c>
      <c r="C42" t="s">
        <v>20</v>
      </c>
      <c r="D42" s="1">
        <v>3.3292682930000002</v>
      </c>
      <c r="E42" s="1">
        <v>0.61500185666542895</v>
      </c>
      <c r="F42" s="1">
        <v>46.1</v>
      </c>
      <c r="G42" s="1">
        <v>0.91</v>
      </c>
      <c r="H42" s="1">
        <v>0.59799999999999998</v>
      </c>
      <c r="I42" s="1">
        <v>0.20399999999999999</v>
      </c>
      <c r="J42" s="1">
        <v>0.72199999999999998</v>
      </c>
      <c r="K42" s="1">
        <v>0.240506329113924</v>
      </c>
      <c r="L42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5.1022506329113932</v>
      </c>
    </row>
    <row r="43" spans="1:12" hidden="1" x14ac:dyDescent="0.35">
      <c r="A43" t="s">
        <v>45</v>
      </c>
      <c r="B43">
        <v>10</v>
      </c>
      <c r="C43" t="s">
        <v>26</v>
      </c>
      <c r="D43" s="1">
        <v>3.3414634150000002</v>
      </c>
      <c r="E43" s="1">
        <v>0.53782451716430701</v>
      </c>
      <c r="F43" s="1">
        <v>46.5</v>
      </c>
      <c r="G43" s="1">
        <v>0.88900000000000001</v>
      </c>
      <c r="H43" s="1">
        <v>0.59799999999999998</v>
      </c>
      <c r="I43" s="1">
        <v>0.47599999999999998</v>
      </c>
      <c r="J43" s="1">
        <v>0.57999999999999996</v>
      </c>
      <c r="K43" s="1">
        <v>0.367088607594937</v>
      </c>
      <c r="L43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5.1980088607594945</v>
      </c>
    </row>
    <row r="44" spans="1:12" hidden="1" x14ac:dyDescent="0.35">
      <c r="A44" t="s">
        <v>45</v>
      </c>
      <c r="B44">
        <v>11</v>
      </c>
      <c r="C44" t="s">
        <v>17</v>
      </c>
      <c r="D44" s="1">
        <v>2.914634146</v>
      </c>
      <c r="E44" s="1">
        <v>0.54358500980186897</v>
      </c>
      <c r="F44" s="1">
        <v>48.6</v>
      </c>
      <c r="G44" s="1">
        <v>0.91400000000000003</v>
      </c>
      <c r="H44" s="1">
        <v>0.372</v>
      </c>
      <c r="I44" s="1">
        <v>0.19</v>
      </c>
      <c r="J44" s="1">
        <v>0.66</v>
      </c>
      <c r="K44" s="1">
        <v>0.708860759493671</v>
      </c>
      <c r="L44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5.314886075949369</v>
      </c>
    </row>
    <row r="45" spans="1:12" hidden="1" x14ac:dyDescent="0.35">
      <c r="A45" t="s">
        <v>45</v>
      </c>
      <c r="B45">
        <v>12</v>
      </c>
      <c r="C45" t="s">
        <v>42</v>
      </c>
      <c r="D45" s="1">
        <v>3.5243902440000001</v>
      </c>
      <c r="E45" s="1">
        <v>0.56807345689508604</v>
      </c>
      <c r="F45" s="1">
        <v>52.5</v>
      </c>
      <c r="G45" s="1">
        <v>0.88600000000000001</v>
      </c>
      <c r="H45" s="1">
        <v>0.75</v>
      </c>
      <c r="I45" s="1">
        <v>0.46899999999999997</v>
      </c>
      <c r="J45" s="1">
        <v>0.41899999999999998</v>
      </c>
      <c r="K45" s="1">
        <v>0.354430379746835</v>
      </c>
      <c r="L45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5.8398930379746838</v>
      </c>
    </row>
    <row r="46" spans="1:12" hidden="1" x14ac:dyDescent="0.35">
      <c r="A46" t="s">
        <v>45</v>
      </c>
      <c r="B46">
        <v>13</v>
      </c>
      <c r="C46" t="s">
        <v>19</v>
      </c>
      <c r="D46" s="1">
        <v>3.414634146</v>
      </c>
      <c r="E46" s="1">
        <v>0.55248618784530401</v>
      </c>
      <c r="F46" s="1">
        <v>52.2</v>
      </c>
      <c r="G46" s="1">
        <v>0.90200000000000002</v>
      </c>
      <c r="H46" s="1">
        <v>0.71299999999999997</v>
      </c>
      <c r="I46" s="1">
        <v>0.45600000000000002</v>
      </c>
      <c r="J46" s="1">
        <v>0.71499999999999997</v>
      </c>
      <c r="K46" s="1">
        <v>0.810126582278481</v>
      </c>
      <c r="L46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5.8579126582278489</v>
      </c>
    </row>
    <row r="47" spans="1:12" hidden="1" x14ac:dyDescent="0.35">
      <c r="A47" t="s">
        <v>45</v>
      </c>
      <c r="B47">
        <v>14</v>
      </c>
      <c r="C47" t="s">
        <v>31</v>
      </c>
      <c r="D47" s="1">
        <v>3</v>
      </c>
      <c r="E47" s="1">
        <v>0.54670617569472002</v>
      </c>
      <c r="F47" s="1">
        <v>55.6</v>
      </c>
      <c r="G47" s="1">
        <v>0.91</v>
      </c>
      <c r="H47" s="1">
        <v>0.51800000000000002</v>
      </c>
      <c r="I47" s="1">
        <v>0.245</v>
      </c>
      <c r="J47" s="1">
        <v>0.59899999999999998</v>
      </c>
      <c r="K47" s="1">
        <v>0.354430379746835</v>
      </c>
      <c r="L47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6.0376930379746856</v>
      </c>
    </row>
    <row r="48" spans="1:12" hidden="1" x14ac:dyDescent="0.35">
      <c r="A48" t="s">
        <v>45</v>
      </c>
      <c r="B48">
        <v>15</v>
      </c>
      <c r="C48" t="s">
        <v>18</v>
      </c>
      <c r="D48" s="1">
        <v>3.1463414630000002</v>
      </c>
      <c r="E48" s="1">
        <v>0.52177184827510503</v>
      </c>
      <c r="F48" s="1">
        <v>54.5</v>
      </c>
      <c r="G48" s="1">
        <v>0.89</v>
      </c>
      <c r="H48" s="1">
        <v>0.53700000000000003</v>
      </c>
      <c r="I48" s="1">
        <v>0.38100000000000001</v>
      </c>
      <c r="J48" s="1">
        <v>0.625</v>
      </c>
      <c r="K48" s="1">
        <v>0.443037974683544</v>
      </c>
      <c r="L48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5.9677037974683547</v>
      </c>
    </row>
    <row r="49" spans="1:12" hidden="1" x14ac:dyDescent="0.35">
      <c r="A49" t="s">
        <v>45</v>
      </c>
      <c r="B49">
        <v>16</v>
      </c>
      <c r="C49" t="s">
        <v>32</v>
      </c>
      <c r="D49" s="1">
        <v>2.9512195120000002</v>
      </c>
      <c r="E49" s="1">
        <v>0.55430513094753597</v>
      </c>
      <c r="F49" s="1">
        <v>56.6</v>
      </c>
      <c r="G49" s="1">
        <v>0.91500000000000004</v>
      </c>
      <c r="H49" s="1">
        <v>0.53</v>
      </c>
      <c r="I49" s="1">
        <v>0.224</v>
      </c>
      <c r="J49" s="1">
        <v>0.47099999999999997</v>
      </c>
      <c r="K49" s="1">
        <v>0.291139240506329</v>
      </c>
      <c r="L49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6.1259639240506338</v>
      </c>
    </row>
    <row r="50" spans="1:12" hidden="1" x14ac:dyDescent="0.35">
      <c r="A50" t="s">
        <v>45</v>
      </c>
      <c r="B50">
        <v>17</v>
      </c>
      <c r="C50" t="s">
        <v>13</v>
      </c>
      <c r="D50" s="1">
        <v>3.5121951220000001</v>
      </c>
      <c r="E50" s="1">
        <v>0.52854812398042395</v>
      </c>
      <c r="F50" s="1">
        <v>54.3</v>
      </c>
      <c r="G50" s="1">
        <v>0.89600000000000002</v>
      </c>
      <c r="H50" s="1">
        <v>0.76800000000000002</v>
      </c>
      <c r="I50" s="1">
        <v>0.60499999999999998</v>
      </c>
      <c r="J50" s="1">
        <v>0.499</v>
      </c>
      <c r="K50" s="1">
        <v>0.822784810126582</v>
      </c>
      <c r="L50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6.1062284810126561</v>
      </c>
    </row>
    <row r="51" spans="1:12" hidden="1" x14ac:dyDescent="0.35">
      <c r="A51" t="s">
        <v>45</v>
      </c>
      <c r="B51">
        <v>18</v>
      </c>
      <c r="C51" t="s">
        <v>28</v>
      </c>
      <c r="D51" s="1">
        <v>2.7195121950000001</v>
      </c>
      <c r="E51" s="1">
        <v>0.47170026084894501</v>
      </c>
      <c r="F51" s="1">
        <v>56.2</v>
      </c>
      <c r="G51" s="1">
        <v>0.91400000000000003</v>
      </c>
      <c r="H51" s="1">
        <v>0.317</v>
      </c>
      <c r="I51" s="1">
        <v>0.30599999999999999</v>
      </c>
      <c r="J51" s="1">
        <v>0.54600000000000004</v>
      </c>
      <c r="K51" s="1">
        <v>0.493670886075949</v>
      </c>
      <c r="L51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6.0516170886075971</v>
      </c>
    </row>
    <row r="52" spans="1:12" hidden="1" x14ac:dyDescent="0.35">
      <c r="A52" t="s">
        <v>45</v>
      </c>
      <c r="B52">
        <v>19</v>
      </c>
      <c r="C52" t="s">
        <v>36</v>
      </c>
      <c r="D52" s="1">
        <v>3.5731707319999999</v>
      </c>
      <c r="E52" s="1">
        <v>0.49322065058773501</v>
      </c>
      <c r="F52" s="1">
        <v>55.4</v>
      </c>
      <c r="G52" s="1">
        <v>0.89</v>
      </c>
      <c r="H52" s="1">
        <v>0.72599999999999998</v>
      </c>
      <c r="I52" s="1">
        <v>0.68</v>
      </c>
      <c r="J52" s="1">
        <v>0.41899999999999998</v>
      </c>
      <c r="K52" s="1">
        <v>0.215189873417722</v>
      </c>
      <c r="L52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6.1505689873417726</v>
      </c>
    </row>
    <row r="53" spans="1:12" hidden="1" x14ac:dyDescent="0.35">
      <c r="A53" t="s">
        <v>45</v>
      </c>
      <c r="B53">
        <v>20</v>
      </c>
      <c r="C53" t="s">
        <v>24</v>
      </c>
      <c r="D53" s="1">
        <v>3.1829268289999999</v>
      </c>
      <c r="E53" s="1">
        <v>0.49618326170879201</v>
      </c>
      <c r="F53" s="1">
        <v>54.1</v>
      </c>
      <c r="G53" s="1">
        <v>0.90200000000000002</v>
      </c>
      <c r="H53" s="1">
        <v>0.56699999999999995</v>
      </c>
      <c r="I53" s="1">
        <v>0.51700000000000002</v>
      </c>
      <c r="J53" s="1">
        <v>0.56899999999999995</v>
      </c>
      <c r="K53" s="1">
        <v>0.367088607594937</v>
      </c>
      <c r="L53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5.9574088607594939</v>
      </c>
    </row>
    <row r="54" spans="1:12" hidden="1" x14ac:dyDescent="0.35">
      <c r="A54" t="s">
        <v>45</v>
      </c>
      <c r="B54">
        <v>21</v>
      </c>
      <c r="C54" t="s">
        <v>38</v>
      </c>
      <c r="D54" s="1">
        <v>3.1585365849999998</v>
      </c>
      <c r="E54" s="1">
        <v>0.47921503632635898</v>
      </c>
      <c r="F54" s="1">
        <v>52.3</v>
      </c>
      <c r="G54" s="1">
        <v>0.89500000000000002</v>
      </c>
      <c r="H54" s="1">
        <v>0.56100000000000005</v>
      </c>
      <c r="I54" s="1">
        <v>0.55800000000000005</v>
      </c>
      <c r="J54" s="1">
        <v>0.66500000000000004</v>
      </c>
      <c r="K54" s="1">
        <v>0.848101265822785</v>
      </c>
      <c r="L54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5.8350101265822794</v>
      </c>
    </row>
    <row r="55" spans="1:12" hidden="1" x14ac:dyDescent="0.35">
      <c r="A55" t="s">
        <v>45</v>
      </c>
      <c r="B55">
        <v>22</v>
      </c>
      <c r="C55" t="s">
        <v>30</v>
      </c>
      <c r="D55" s="1">
        <v>3.292682927</v>
      </c>
      <c r="E55" s="1">
        <v>0.45416033292631303</v>
      </c>
      <c r="F55" s="1">
        <v>54.4</v>
      </c>
      <c r="G55" s="1">
        <v>0.88300000000000001</v>
      </c>
      <c r="H55" s="1">
        <v>0.60399999999999998</v>
      </c>
      <c r="I55" s="1">
        <v>0.70099999999999996</v>
      </c>
      <c r="J55" s="1">
        <v>0.34599999999999997</v>
      </c>
      <c r="K55" s="1">
        <v>0.417721518987342</v>
      </c>
      <c r="L55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6.0272721518987344</v>
      </c>
    </row>
    <row r="56" spans="1:12" hidden="1" x14ac:dyDescent="0.35">
      <c r="A56" t="s">
        <v>45</v>
      </c>
      <c r="B56">
        <v>23</v>
      </c>
      <c r="C56" t="s">
        <v>21</v>
      </c>
      <c r="D56" s="1">
        <v>3.1707317069999998</v>
      </c>
      <c r="E56" s="1">
        <v>0.43221400987186998</v>
      </c>
      <c r="F56" s="1">
        <v>53.8</v>
      </c>
      <c r="G56" s="1">
        <v>0.88800000000000001</v>
      </c>
      <c r="H56" s="1">
        <v>0.49399999999999999</v>
      </c>
      <c r="I56" s="1">
        <v>0.69399999999999995</v>
      </c>
      <c r="J56" s="1">
        <v>0.255</v>
      </c>
      <c r="K56" s="1">
        <v>0.265822784810127</v>
      </c>
      <c r="L56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5.9086322784810124</v>
      </c>
    </row>
    <row r="57" spans="1:12" hidden="1" x14ac:dyDescent="0.35">
      <c r="A57" t="s">
        <v>45</v>
      </c>
      <c r="B57">
        <v>24</v>
      </c>
      <c r="C57" t="s">
        <v>25</v>
      </c>
      <c r="D57" s="1">
        <v>3.085365854</v>
      </c>
      <c r="E57" s="1">
        <v>0.484439567093014</v>
      </c>
      <c r="F57" s="1">
        <v>51.3</v>
      </c>
      <c r="G57" s="1">
        <v>0.89800000000000002</v>
      </c>
      <c r="H57" s="1">
        <v>0.51800000000000002</v>
      </c>
      <c r="I57" s="1">
        <v>0.49</v>
      </c>
      <c r="J57" s="1">
        <v>0.64700000000000002</v>
      </c>
      <c r="K57" s="1">
        <v>0.379746835443038</v>
      </c>
      <c r="L57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5.6592246835443039</v>
      </c>
    </row>
    <row r="58" spans="1:12" hidden="1" x14ac:dyDescent="0.35">
      <c r="A58" t="s">
        <v>45</v>
      </c>
      <c r="B58">
        <v>25</v>
      </c>
      <c r="C58" t="s">
        <v>37</v>
      </c>
      <c r="D58" s="1">
        <v>2.8902439019999999</v>
      </c>
      <c r="E58" s="1">
        <v>0.42618783859659798</v>
      </c>
      <c r="F58" s="1">
        <v>49.6</v>
      </c>
      <c r="G58" s="1">
        <v>0.89</v>
      </c>
      <c r="H58" s="1">
        <v>0.40200000000000002</v>
      </c>
      <c r="I58" s="1">
        <v>0.60499999999999998</v>
      </c>
      <c r="J58" s="1">
        <v>0.52100000000000002</v>
      </c>
      <c r="K58" s="1">
        <v>0.30379746835443</v>
      </c>
      <c r="L58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5.4561297468354439</v>
      </c>
    </row>
    <row r="59" spans="1:12" hidden="1" x14ac:dyDescent="0.35">
      <c r="A59" t="s">
        <v>45</v>
      </c>
      <c r="B59">
        <v>26</v>
      </c>
      <c r="C59" t="s">
        <v>41</v>
      </c>
      <c r="D59" s="1">
        <v>2.6829268289999999</v>
      </c>
      <c r="E59" s="1">
        <v>0.38851785255587001</v>
      </c>
      <c r="F59" s="1">
        <v>50.3</v>
      </c>
      <c r="G59" s="1">
        <v>0.89300000000000002</v>
      </c>
      <c r="H59" s="1">
        <v>0.28000000000000003</v>
      </c>
      <c r="I59" s="1">
        <v>0.57799999999999996</v>
      </c>
      <c r="J59" s="1">
        <v>0.20599999999999999</v>
      </c>
      <c r="K59" s="1">
        <v>0.59493670886076</v>
      </c>
      <c r="L59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5.4919936708860764</v>
      </c>
    </row>
    <row r="60" spans="1:12" hidden="1" x14ac:dyDescent="0.35">
      <c r="A60" t="s">
        <v>45</v>
      </c>
      <c r="B60">
        <v>27</v>
      </c>
      <c r="C60" t="s">
        <v>43</v>
      </c>
      <c r="D60" s="1">
        <v>2.7439024390000002</v>
      </c>
      <c r="E60" s="1">
        <v>0.36778060297856902</v>
      </c>
      <c r="F60" s="1">
        <v>48</v>
      </c>
      <c r="G60" s="1">
        <v>0.89700000000000002</v>
      </c>
      <c r="H60" s="1">
        <v>0.28699999999999998</v>
      </c>
      <c r="I60" s="1">
        <v>0.70099999999999996</v>
      </c>
      <c r="J60" s="1">
        <v>0.318</v>
      </c>
      <c r="K60" s="1">
        <v>0.784810126582279</v>
      </c>
      <c r="L60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5.3144310126582299</v>
      </c>
    </row>
    <row r="61" spans="1:12" hidden="1" x14ac:dyDescent="0.35">
      <c r="A61" t="s">
        <v>45</v>
      </c>
      <c r="B61">
        <v>28</v>
      </c>
      <c r="C61" t="s">
        <v>44</v>
      </c>
      <c r="D61" s="1">
        <v>2.7682926829999999</v>
      </c>
      <c r="E61" s="1">
        <v>0.356468862847102</v>
      </c>
      <c r="F61" s="1">
        <v>47</v>
      </c>
      <c r="G61" s="1">
        <v>0.88900000000000001</v>
      </c>
      <c r="H61" s="1">
        <v>0.34100000000000003</v>
      </c>
      <c r="I61" s="1">
        <v>0.85</v>
      </c>
      <c r="J61" s="1">
        <v>0.157</v>
      </c>
      <c r="K61" s="1">
        <v>0.746835443037975</v>
      </c>
      <c r="L61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5.2496835443037986</v>
      </c>
    </row>
    <row r="62" spans="1:12" hidden="1" x14ac:dyDescent="0.35">
      <c r="A62" t="s">
        <v>45</v>
      </c>
      <c r="B62">
        <v>29</v>
      </c>
      <c r="C62" t="s">
        <v>34</v>
      </c>
      <c r="D62" s="1">
        <v>2.8414634150000002</v>
      </c>
      <c r="E62" s="1">
        <v>0.353642013106297</v>
      </c>
      <c r="F62" s="1">
        <v>45.4</v>
      </c>
      <c r="G62" s="1">
        <v>0.88100000000000001</v>
      </c>
      <c r="H62" s="1">
        <v>0.36</v>
      </c>
      <c r="I62" s="1">
        <v>0.91800000000000004</v>
      </c>
      <c r="J62" s="1">
        <v>0.56799999999999995</v>
      </c>
      <c r="K62" s="1">
        <v>0.291139240506329</v>
      </c>
      <c r="L62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5.0833139240506338</v>
      </c>
    </row>
    <row r="63" spans="1:12" hidden="1" x14ac:dyDescent="0.35">
      <c r="A63" t="s">
        <v>45</v>
      </c>
      <c r="B63">
        <v>30</v>
      </c>
      <c r="C63" t="s">
        <v>39</v>
      </c>
      <c r="D63" s="1">
        <v>2.4634146339999998</v>
      </c>
      <c r="E63" s="1">
        <v>0.31338274259821097</v>
      </c>
      <c r="F63" s="1">
        <v>46.3</v>
      </c>
      <c r="G63" s="1">
        <v>0.89200000000000002</v>
      </c>
      <c r="H63" s="1">
        <v>0.183</v>
      </c>
      <c r="I63" s="1">
        <v>0.76900000000000002</v>
      </c>
      <c r="J63" s="1">
        <v>0.28599999999999998</v>
      </c>
      <c r="K63" s="1">
        <v>0.367088607594937</v>
      </c>
      <c r="L63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5.0772588607594944</v>
      </c>
    </row>
    <row r="64" spans="1:12" hidden="1" x14ac:dyDescent="0.35">
      <c r="A64" t="s">
        <v>45</v>
      </c>
      <c r="B64">
        <v>31</v>
      </c>
      <c r="C64" t="s">
        <v>33</v>
      </c>
      <c r="D64" s="1">
        <v>2.597560976</v>
      </c>
      <c r="E64" s="1">
        <v>0.29535186511294798</v>
      </c>
      <c r="F64" s="1">
        <v>48.5</v>
      </c>
      <c r="G64" s="1">
        <v>0.88700000000000001</v>
      </c>
      <c r="H64" s="1">
        <v>0.22600000000000001</v>
      </c>
      <c r="I64" s="1">
        <v>0.93899999999999995</v>
      </c>
      <c r="J64" s="1">
        <v>0.315</v>
      </c>
      <c r="K64" s="1">
        <v>0.291139240506329</v>
      </c>
      <c r="L64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5.3391639240506334</v>
      </c>
    </row>
    <row r="65" spans="1:12" hidden="1" x14ac:dyDescent="0.35">
      <c r="A65" t="s">
        <v>45</v>
      </c>
      <c r="B65">
        <v>32</v>
      </c>
      <c r="C65" t="s">
        <v>35</v>
      </c>
      <c r="D65" s="1">
        <v>2.5121951220000001</v>
      </c>
      <c r="E65" s="1">
        <v>0.27438074239789001</v>
      </c>
      <c r="F65" s="1">
        <v>49.5</v>
      </c>
      <c r="G65" s="1">
        <v>0.89600000000000002</v>
      </c>
      <c r="H65" s="1">
        <v>0.20699999999999999</v>
      </c>
      <c r="I65" s="1">
        <v>1</v>
      </c>
      <c r="J65" s="1">
        <v>0.124</v>
      </c>
      <c r="K65" s="1">
        <v>0.708860759493671</v>
      </c>
      <c r="L65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5.4787360759493673</v>
      </c>
    </row>
    <row r="66" spans="1:12" hidden="1" x14ac:dyDescent="0.35">
      <c r="A66" t="s">
        <v>46</v>
      </c>
      <c r="B66">
        <v>1</v>
      </c>
      <c r="C66" t="s">
        <v>20</v>
      </c>
      <c r="D66" s="1">
        <v>3.3902439019999999</v>
      </c>
      <c r="E66" s="1">
        <v>0.60208787784356499</v>
      </c>
      <c r="F66" s="1">
        <v>47.1</v>
      </c>
      <c r="G66" s="1">
        <v>0.90700000000000003</v>
      </c>
      <c r="H66" s="1">
        <v>0.65200000000000002</v>
      </c>
      <c r="I66" s="1">
        <v>0.313</v>
      </c>
      <c r="J66" s="1">
        <v>0.91600000000000004</v>
      </c>
      <c r="K66" s="1">
        <v>0.468354430379747</v>
      </c>
      <c r="L66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5.2748354430379747</v>
      </c>
    </row>
    <row r="67" spans="1:12" hidden="1" x14ac:dyDescent="0.35">
      <c r="A67" t="s">
        <v>46</v>
      </c>
      <c r="B67">
        <v>2</v>
      </c>
      <c r="C67" t="s">
        <v>27</v>
      </c>
      <c r="D67" s="1">
        <v>3.585365854</v>
      </c>
      <c r="E67" s="1">
        <v>0.61625552545273099</v>
      </c>
      <c r="F67" s="1">
        <v>51.8</v>
      </c>
      <c r="G67" s="1">
        <v>0.90100000000000002</v>
      </c>
      <c r="H67" s="1">
        <v>0.76200000000000001</v>
      </c>
      <c r="I67" s="1">
        <v>0.313</v>
      </c>
      <c r="J67" s="1">
        <v>0.754</v>
      </c>
      <c r="K67" s="1">
        <v>0.139240506329114</v>
      </c>
      <c r="L67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5.7411240506329113</v>
      </c>
    </row>
    <row r="68" spans="1:12" hidden="1" x14ac:dyDescent="0.35">
      <c r="A68" t="s">
        <v>46</v>
      </c>
      <c r="B68">
        <v>3</v>
      </c>
      <c r="C68" t="s">
        <v>15</v>
      </c>
      <c r="D68" s="1">
        <v>3.3780487799999999</v>
      </c>
      <c r="E68" s="1">
        <v>0.63281649484536096</v>
      </c>
      <c r="F68" s="1">
        <v>51.4</v>
      </c>
      <c r="G68" s="1">
        <v>0.9</v>
      </c>
      <c r="H68" s="1">
        <v>0.61599999999999999</v>
      </c>
      <c r="I68" s="1">
        <v>0.13600000000000001</v>
      </c>
      <c r="J68" s="1">
        <v>1</v>
      </c>
      <c r="K68" s="1">
        <v>0.354430379746835</v>
      </c>
      <c r="L68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5.6482430379746837</v>
      </c>
    </row>
    <row r="69" spans="1:12" hidden="1" x14ac:dyDescent="0.35">
      <c r="A69" t="s">
        <v>46</v>
      </c>
      <c r="B69">
        <v>4</v>
      </c>
      <c r="C69" t="s">
        <v>31</v>
      </c>
      <c r="D69" s="1">
        <v>3.1585365849999998</v>
      </c>
      <c r="E69" s="1">
        <v>0.63114268241049998</v>
      </c>
      <c r="F69" s="1">
        <v>50.4</v>
      </c>
      <c r="G69" s="1">
        <v>0.91800000000000004</v>
      </c>
      <c r="H69" s="1">
        <v>0.56100000000000005</v>
      </c>
      <c r="I69" s="1">
        <v>0.109</v>
      </c>
      <c r="J69" s="1">
        <v>0.4</v>
      </c>
      <c r="K69" s="1">
        <v>0.316455696202532</v>
      </c>
      <c r="L69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5.4933955696202528</v>
      </c>
    </row>
    <row r="70" spans="1:12" hidden="1" x14ac:dyDescent="0.35">
      <c r="A70" t="s">
        <v>46</v>
      </c>
      <c r="B70">
        <v>5</v>
      </c>
      <c r="C70" t="s">
        <v>13</v>
      </c>
      <c r="D70" s="1">
        <v>3.2317073170000001</v>
      </c>
      <c r="E70" s="1">
        <v>0.64174030650010505</v>
      </c>
      <c r="F70" s="1">
        <v>53.8</v>
      </c>
      <c r="G70" s="1">
        <v>0.91300000000000003</v>
      </c>
      <c r="H70" s="1">
        <v>0.622</v>
      </c>
      <c r="I70" s="1">
        <v>6.8000000000000005E-2</v>
      </c>
      <c r="J70" s="1">
        <v>0.747</v>
      </c>
      <c r="K70" s="1">
        <v>1</v>
      </c>
      <c r="L70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5.9312499999999995</v>
      </c>
    </row>
    <row r="71" spans="1:12" hidden="1" x14ac:dyDescent="0.35">
      <c r="A71" t="s">
        <v>46</v>
      </c>
      <c r="B71">
        <v>6</v>
      </c>
      <c r="C71" t="s">
        <v>22</v>
      </c>
      <c r="D71" s="1">
        <v>3.207317073</v>
      </c>
      <c r="E71" s="1">
        <v>0.58612829421235502</v>
      </c>
      <c r="F71" s="1">
        <v>52.6</v>
      </c>
      <c r="G71" s="1">
        <v>0.91200000000000003</v>
      </c>
      <c r="H71" s="1">
        <v>0.57299999999999995</v>
      </c>
      <c r="I71" s="1">
        <v>0.252</v>
      </c>
      <c r="J71" s="1">
        <v>0.70199999999999996</v>
      </c>
      <c r="K71" s="1">
        <v>0.481012658227848</v>
      </c>
      <c r="L71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5.7765512658227856</v>
      </c>
    </row>
    <row r="72" spans="1:12" hidden="1" x14ac:dyDescent="0.35">
      <c r="A72" t="s">
        <v>46</v>
      </c>
      <c r="B72">
        <v>7</v>
      </c>
      <c r="C72" t="s">
        <v>30</v>
      </c>
      <c r="D72" s="1">
        <v>3.402439024</v>
      </c>
      <c r="E72" s="1">
        <v>0.61445982854707104</v>
      </c>
      <c r="F72" s="1">
        <v>51.4</v>
      </c>
      <c r="G72" s="1">
        <v>0.90600000000000003</v>
      </c>
      <c r="H72" s="1">
        <v>0.628</v>
      </c>
      <c r="I72" s="1">
        <v>0.19700000000000001</v>
      </c>
      <c r="J72" s="1">
        <v>0.6</v>
      </c>
      <c r="K72" s="1">
        <v>0.493670886075949</v>
      </c>
      <c r="L72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5.6597670886075964</v>
      </c>
    </row>
    <row r="73" spans="1:12" hidden="1" x14ac:dyDescent="0.35">
      <c r="A73" t="s">
        <v>46</v>
      </c>
      <c r="B73">
        <v>8</v>
      </c>
      <c r="C73" t="s">
        <v>14</v>
      </c>
      <c r="D73" s="1">
        <v>3.6829268289999999</v>
      </c>
      <c r="E73" s="1">
        <v>0.58952348941231203</v>
      </c>
      <c r="F73" s="1">
        <v>46</v>
      </c>
      <c r="G73" s="1">
        <v>0.89700000000000002</v>
      </c>
      <c r="H73" s="1">
        <v>0.79900000000000004</v>
      </c>
      <c r="I73" s="1">
        <v>0.497</v>
      </c>
      <c r="J73" s="1">
        <v>0.69199999999999995</v>
      </c>
      <c r="K73" s="1">
        <v>0.405063291139241</v>
      </c>
      <c r="L73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5.2335563291139255</v>
      </c>
    </row>
    <row r="74" spans="1:12" hidden="1" x14ac:dyDescent="0.35">
      <c r="A74" t="s">
        <v>46</v>
      </c>
      <c r="B74">
        <v>9</v>
      </c>
      <c r="C74" t="s">
        <v>23</v>
      </c>
      <c r="D74" s="1">
        <v>3.5609756099999998</v>
      </c>
      <c r="E74" s="1">
        <v>0.60488081725312104</v>
      </c>
      <c r="F74" s="1">
        <v>49.8</v>
      </c>
      <c r="G74" s="1">
        <v>0.89800000000000002</v>
      </c>
      <c r="H74" s="1">
        <v>0.76200000000000001</v>
      </c>
      <c r="I74" s="1">
        <v>0.36699999999999999</v>
      </c>
      <c r="J74" s="1">
        <v>0.74099999999999999</v>
      </c>
      <c r="K74" s="1">
        <v>0.481012658227848</v>
      </c>
      <c r="L74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5.5848512658227856</v>
      </c>
    </row>
    <row r="75" spans="1:12" hidden="1" x14ac:dyDescent="0.35">
      <c r="A75" t="s">
        <v>46</v>
      </c>
      <c r="B75">
        <v>10</v>
      </c>
      <c r="C75" t="s">
        <v>16</v>
      </c>
      <c r="D75" s="1">
        <v>3.6341463410000001</v>
      </c>
      <c r="E75" s="1">
        <v>0.56590090807710702</v>
      </c>
      <c r="F75" s="1">
        <v>47.5</v>
      </c>
      <c r="G75" s="1">
        <v>0.89300000000000002</v>
      </c>
      <c r="H75" s="1">
        <v>0.77400000000000002</v>
      </c>
      <c r="I75" s="1">
        <v>0.52400000000000002</v>
      </c>
      <c r="J75" s="1">
        <v>0.56999999999999995</v>
      </c>
      <c r="K75" s="1">
        <v>0.531645569620253</v>
      </c>
      <c r="L75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5.3859645569620263</v>
      </c>
    </row>
    <row r="76" spans="1:12" hidden="1" x14ac:dyDescent="0.35">
      <c r="A76" t="s">
        <v>46</v>
      </c>
      <c r="B76">
        <v>11</v>
      </c>
      <c r="C76" t="s">
        <v>28</v>
      </c>
      <c r="D76" s="1">
        <v>3.2439024390000002</v>
      </c>
      <c r="E76" s="1">
        <v>0.53497656131861504</v>
      </c>
      <c r="F76" s="1">
        <v>50.4</v>
      </c>
      <c r="G76" s="1">
        <v>0.90100000000000002</v>
      </c>
      <c r="H76" s="1">
        <v>0.54900000000000004</v>
      </c>
      <c r="I76" s="1">
        <v>0.39500000000000002</v>
      </c>
      <c r="J76" s="1">
        <v>0.48899999999999999</v>
      </c>
      <c r="K76" s="1">
        <v>0.506329113924051</v>
      </c>
      <c r="L76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5.5664329113924049</v>
      </c>
    </row>
    <row r="77" spans="1:12" hidden="1" x14ac:dyDescent="0.35">
      <c r="A77" t="s">
        <v>46</v>
      </c>
      <c r="B77">
        <v>12</v>
      </c>
      <c r="C77" t="s">
        <v>26</v>
      </c>
      <c r="D77" s="1">
        <v>3.097560976</v>
      </c>
      <c r="E77" s="1">
        <v>0.59398247035427598</v>
      </c>
      <c r="F77" s="1">
        <v>47.1</v>
      </c>
      <c r="G77" s="1">
        <v>0.90900000000000003</v>
      </c>
      <c r="H77" s="1">
        <v>0.5</v>
      </c>
      <c r="I77" s="1">
        <v>0.184</v>
      </c>
      <c r="J77" s="1">
        <v>0.78700000000000003</v>
      </c>
      <c r="K77" s="1">
        <v>0.379746835443038</v>
      </c>
      <c r="L77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5.1809246835443039</v>
      </c>
    </row>
    <row r="78" spans="1:12" hidden="1" x14ac:dyDescent="0.35">
      <c r="A78" t="s">
        <v>46</v>
      </c>
      <c r="B78">
        <v>13</v>
      </c>
      <c r="C78" t="s">
        <v>19</v>
      </c>
      <c r="D78" s="1">
        <v>3.5121951220000001</v>
      </c>
      <c r="E78" s="1">
        <v>0.53778374277878305</v>
      </c>
      <c r="F78" s="1">
        <v>49.8</v>
      </c>
      <c r="G78" s="1">
        <v>0.89</v>
      </c>
      <c r="H78" s="1">
        <v>0.72599999999999998</v>
      </c>
      <c r="I78" s="1">
        <v>0.57099999999999995</v>
      </c>
      <c r="J78" s="1">
        <v>0.95299999999999996</v>
      </c>
      <c r="K78" s="1">
        <v>0.670886075949367</v>
      </c>
      <c r="L78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5.6410386075949379</v>
      </c>
    </row>
    <row r="79" spans="1:12" hidden="1" x14ac:dyDescent="0.35">
      <c r="A79" t="s">
        <v>46</v>
      </c>
      <c r="B79">
        <v>14</v>
      </c>
      <c r="C79" t="s">
        <v>29</v>
      </c>
      <c r="D79" s="1">
        <v>3.207317073</v>
      </c>
      <c r="E79" s="1">
        <v>0.53946403781060404</v>
      </c>
      <c r="F79" s="1">
        <v>50.5</v>
      </c>
      <c r="G79" s="1">
        <v>0.90200000000000002</v>
      </c>
      <c r="H79" s="1">
        <v>0.56100000000000005</v>
      </c>
      <c r="I79" s="1">
        <v>0.38800000000000001</v>
      </c>
      <c r="J79" s="1">
        <v>0.52700000000000002</v>
      </c>
      <c r="K79" s="1">
        <v>0.215189873417722</v>
      </c>
      <c r="L79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5.5522189873417727</v>
      </c>
    </row>
    <row r="80" spans="1:12" hidden="1" x14ac:dyDescent="0.35">
      <c r="A80" t="s">
        <v>46</v>
      </c>
      <c r="B80">
        <v>15</v>
      </c>
      <c r="C80" t="s">
        <v>32</v>
      </c>
      <c r="D80" s="1">
        <v>2.9878048779999999</v>
      </c>
      <c r="E80" s="1">
        <v>0.47417232144973098</v>
      </c>
      <c r="F80" s="1">
        <v>49.3</v>
      </c>
      <c r="G80" s="1">
        <v>0.90400000000000003</v>
      </c>
      <c r="H80" s="1">
        <v>0.41499999999999998</v>
      </c>
      <c r="I80" s="1">
        <v>0.497</v>
      </c>
      <c r="J80" s="1">
        <v>0.26100000000000001</v>
      </c>
      <c r="K80" s="1">
        <v>0.177215189873418</v>
      </c>
      <c r="L80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5.386221518987341</v>
      </c>
    </row>
    <row r="81" spans="1:12" hidden="1" x14ac:dyDescent="0.35">
      <c r="A81" t="s">
        <v>46</v>
      </c>
      <c r="B81">
        <v>16</v>
      </c>
      <c r="C81" t="s">
        <v>21</v>
      </c>
      <c r="D81" s="1">
        <v>2.8536585369999998</v>
      </c>
      <c r="E81" s="1">
        <v>0.47097884052984701</v>
      </c>
      <c r="F81" s="1">
        <v>47.9</v>
      </c>
      <c r="G81" s="1">
        <v>0.90600000000000003</v>
      </c>
      <c r="H81" s="1">
        <v>0.378</v>
      </c>
      <c r="I81" s="1">
        <v>0.45600000000000002</v>
      </c>
      <c r="J81" s="1">
        <v>0.42399999999999999</v>
      </c>
      <c r="K81" s="1">
        <v>0.215189873417722</v>
      </c>
      <c r="L81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5.2374189873417718</v>
      </c>
    </row>
    <row r="82" spans="1:12" hidden="1" x14ac:dyDescent="0.35">
      <c r="A82" t="s">
        <v>46</v>
      </c>
      <c r="B82">
        <v>17</v>
      </c>
      <c r="C82" t="s">
        <v>25</v>
      </c>
      <c r="D82" s="1">
        <v>2.6341463410000001</v>
      </c>
      <c r="E82" s="1">
        <v>0.42352941176470599</v>
      </c>
      <c r="F82" s="1">
        <v>51.5</v>
      </c>
      <c r="G82" s="1">
        <v>0.89900000000000002</v>
      </c>
      <c r="H82" s="1">
        <v>0.29299999999999998</v>
      </c>
      <c r="I82" s="1">
        <v>0.44900000000000001</v>
      </c>
      <c r="J82" s="1">
        <v>0.52700000000000002</v>
      </c>
      <c r="K82" s="1">
        <v>0.253164556962025</v>
      </c>
      <c r="L82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5.5738164556962033</v>
      </c>
    </row>
    <row r="83" spans="1:12" hidden="1" x14ac:dyDescent="0.35">
      <c r="A83" t="s">
        <v>46</v>
      </c>
      <c r="B83">
        <v>18</v>
      </c>
      <c r="C83" t="s">
        <v>37</v>
      </c>
      <c r="D83" s="1">
        <v>3.3536585369999998</v>
      </c>
      <c r="E83" s="1">
        <v>0.503649586424604</v>
      </c>
      <c r="F83" s="1">
        <v>51</v>
      </c>
      <c r="G83" s="1">
        <v>0.89700000000000002</v>
      </c>
      <c r="H83" s="1">
        <v>0.628</v>
      </c>
      <c r="I83" s="1">
        <v>0.57799999999999996</v>
      </c>
      <c r="J83" s="1">
        <v>0.63300000000000001</v>
      </c>
      <c r="K83" s="1">
        <v>0.379746835443038</v>
      </c>
      <c r="L83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5.6844246835443046</v>
      </c>
    </row>
    <row r="84" spans="1:12" hidden="1" x14ac:dyDescent="0.35">
      <c r="A84" t="s">
        <v>46</v>
      </c>
      <c r="B84">
        <v>19</v>
      </c>
      <c r="C84" t="s">
        <v>24</v>
      </c>
      <c r="D84" s="1">
        <v>3.085365854</v>
      </c>
      <c r="E84" s="1">
        <v>0.50997904599523602</v>
      </c>
      <c r="F84" s="1">
        <v>50.8</v>
      </c>
      <c r="G84" s="1">
        <v>0.9</v>
      </c>
      <c r="H84" s="1">
        <v>0.45100000000000001</v>
      </c>
      <c r="I84" s="1">
        <v>0.374</v>
      </c>
      <c r="J84" s="1">
        <v>0.40100000000000002</v>
      </c>
      <c r="K84" s="1">
        <v>0.215189873417722</v>
      </c>
      <c r="L84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5.534218987341772</v>
      </c>
    </row>
    <row r="85" spans="1:12" hidden="1" x14ac:dyDescent="0.35">
      <c r="A85" t="s">
        <v>46</v>
      </c>
      <c r="B85">
        <v>20</v>
      </c>
      <c r="C85" t="s">
        <v>17</v>
      </c>
      <c r="D85" s="1">
        <v>3.0243902440000001</v>
      </c>
      <c r="E85" s="1">
        <v>0.47639112653364701</v>
      </c>
      <c r="F85" s="1">
        <v>46.6</v>
      </c>
      <c r="G85" s="1">
        <v>0.89300000000000002</v>
      </c>
      <c r="H85" s="1">
        <v>0.46300000000000002</v>
      </c>
      <c r="I85" s="1">
        <v>0.53100000000000003</v>
      </c>
      <c r="J85" s="1">
        <v>0.44600000000000001</v>
      </c>
      <c r="K85" s="1">
        <v>0.721518987341772</v>
      </c>
      <c r="L85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5.2013018987341786</v>
      </c>
    </row>
    <row r="86" spans="1:12" hidden="1" x14ac:dyDescent="0.35">
      <c r="A86" t="s">
        <v>46</v>
      </c>
      <c r="B86">
        <v>21</v>
      </c>
      <c r="C86" t="s">
        <v>41</v>
      </c>
      <c r="D86" s="1">
        <v>2.8170731710000001</v>
      </c>
      <c r="E86" s="1">
        <v>0.44495309568480301</v>
      </c>
      <c r="F86" s="1">
        <v>47.4</v>
      </c>
      <c r="G86" s="1">
        <v>0.88400000000000001</v>
      </c>
      <c r="H86" s="1">
        <v>0.372</v>
      </c>
      <c r="I86" s="1">
        <v>0.503</v>
      </c>
      <c r="J86" s="1">
        <v>0.39</v>
      </c>
      <c r="K86" s="1">
        <v>0.556962025316456</v>
      </c>
      <c r="L86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5.2227962025316463</v>
      </c>
    </row>
    <row r="87" spans="1:12" hidden="1" x14ac:dyDescent="0.35">
      <c r="A87" t="s">
        <v>46</v>
      </c>
      <c r="B87">
        <v>22</v>
      </c>
      <c r="C87" t="s">
        <v>36</v>
      </c>
      <c r="D87" s="1">
        <v>2.9756097559999999</v>
      </c>
      <c r="E87" s="1">
        <v>0.50205337943247497</v>
      </c>
      <c r="F87" s="1">
        <v>52.1</v>
      </c>
      <c r="G87" s="1">
        <v>0.89900000000000002</v>
      </c>
      <c r="H87" s="1">
        <v>0.45700000000000002</v>
      </c>
      <c r="I87" s="1">
        <v>0.36099999999999999</v>
      </c>
      <c r="J87" s="1">
        <v>0.41899999999999998</v>
      </c>
      <c r="K87" s="1">
        <v>0.518987341772152</v>
      </c>
      <c r="L87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5.6947987341772164</v>
      </c>
    </row>
    <row r="88" spans="1:12" hidden="1" x14ac:dyDescent="0.35">
      <c r="A88" t="s">
        <v>46</v>
      </c>
      <c r="B88">
        <v>23</v>
      </c>
      <c r="C88" t="s">
        <v>40</v>
      </c>
      <c r="D88" s="1">
        <v>3.2195121950000001</v>
      </c>
      <c r="E88" s="1">
        <v>0.46883765984783798</v>
      </c>
      <c r="F88" s="1">
        <v>49</v>
      </c>
      <c r="G88" s="1">
        <v>0.88600000000000001</v>
      </c>
      <c r="H88" s="1">
        <v>0.54900000000000004</v>
      </c>
      <c r="I88" s="1">
        <v>0.59899999999999998</v>
      </c>
      <c r="J88" s="1">
        <v>0.64800000000000002</v>
      </c>
      <c r="K88" s="1">
        <v>0.430379746835443</v>
      </c>
      <c r="L88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5.4645879746835444</v>
      </c>
    </row>
    <row r="89" spans="1:12" hidden="1" x14ac:dyDescent="0.35">
      <c r="A89" t="s">
        <v>46</v>
      </c>
      <c r="B89">
        <v>24</v>
      </c>
      <c r="C89" t="s">
        <v>42</v>
      </c>
      <c r="D89" s="1">
        <v>2.6097560980000001</v>
      </c>
      <c r="E89" s="1">
        <v>0.45970688616743599</v>
      </c>
      <c r="F89" s="1">
        <v>52.1</v>
      </c>
      <c r="G89" s="1">
        <v>0.90300000000000002</v>
      </c>
      <c r="H89" s="1">
        <v>0.311</v>
      </c>
      <c r="I89" s="1">
        <v>0.32700000000000001</v>
      </c>
      <c r="J89" s="1">
        <v>0.52400000000000002</v>
      </c>
      <c r="K89" s="1">
        <v>0.291139240506329</v>
      </c>
      <c r="L89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5.6201639240506349</v>
      </c>
    </row>
    <row r="90" spans="1:12" hidden="1" x14ac:dyDescent="0.35">
      <c r="A90" t="s">
        <v>46</v>
      </c>
      <c r="B90">
        <v>25</v>
      </c>
      <c r="C90" t="s">
        <v>18</v>
      </c>
      <c r="D90" s="1">
        <v>3.085365854</v>
      </c>
      <c r="E90" s="1">
        <v>0.47309642418956699</v>
      </c>
      <c r="F90" s="1">
        <v>52</v>
      </c>
      <c r="G90" s="1">
        <v>0.89</v>
      </c>
      <c r="H90" s="1">
        <v>0.54900000000000004</v>
      </c>
      <c r="I90" s="1">
        <v>0.57799999999999996</v>
      </c>
      <c r="J90" s="1">
        <v>0.496</v>
      </c>
      <c r="K90" s="1">
        <v>0.468354430379747</v>
      </c>
      <c r="L90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5.7573854430379745</v>
      </c>
    </row>
    <row r="91" spans="1:12" hidden="1" x14ac:dyDescent="0.35">
      <c r="A91" t="s">
        <v>46</v>
      </c>
      <c r="B91">
        <v>26</v>
      </c>
      <c r="C91" t="s">
        <v>38</v>
      </c>
      <c r="D91" s="1">
        <v>3.0487804879999998</v>
      </c>
      <c r="E91" s="1">
        <v>0.44181788620185097</v>
      </c>
      <c r="F91" s="1">
        <v>51.7</v>
      </c>
      <c r="G91" s="1">
        <v>0.88400000000000001</v>
      </c>
      <c r="H91" s="1">
        <v>0.50600000000000001</v>
      </c>
      <c r="I91" s="1">
        <v>0.64600000000000002</v>
      </c>
      <c r="J91" s="1">
        <v>0.30499999999999999</v>
      </c>
      <c r="K91" s="1">
        <v>0.59493670886076</v>
      </c>
      <c r="L91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5.7278436708860774</v>
      </c>
    </row>
    <row r="92" spans="1:12" hidden="1" x14ac:dyDescent="0.35">
      <c r="A92" t="s">
        <v>46</v>
      </c>
      <c r="B92">
        <v>27</v>
      </c>
      <c r="C92" t="s">
        <v>43</v>
      </c>
      <c r="D92" s="1">
        <v>3.097560976</v>
      </c>
      <c r="E92" s="1">
        <v>0.46217548283569299</v>
      </c>
      <c r="F92" s="1">
        <v>51</v>
      </c>
      <c r="G92" s="1">
        <v>0.89500000000000002</v>
      </c>
      <c r="H92" s="1">
        <v>0.48199999999999998</v>
      </c>
      <c r="I92" s="1">
        <v>0.59199999999999997</v>
      </c>
      <c r="J92" s="1">
        <v>0.48299999999999998</v>
      </c>
      <c r="K92" s="1">
        <v>0.734177215189873</v>
      </c>
      <c r="L92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5.6636677215189888</v>
      </c>
    </row>
    <row r="93" spans="1:12" hidden="1" x14ac:dyDescent="0.35">
      <c r="A93" t="s">
        <v>46</v>
      </c>
      <c r="B93">
        <v>28</v>
      </c>
      <c r="C93" t="s">
        <v>44</v>
      </c>
      <c r="D93" s="1">
        <v>2.8292682930000002</v>
      </c>
      <c r="E93" s="1">
        <v>0.40534698949429498</v>
      </c>
      <c r="F93" s="1">
        <v>45.5</v>
      </c>
      <c r="G93" s="1">
        <v>0.89700000000000002</v>
      </c>
      <c r="H93" s="1">
        <v>0.36</v>
      </c>
      <c r="I93" s="1">
        <v>0.66</v>
      </c>
      <c r="J93" s="1">
        <v>0.33500000000000002</v>
      </c>
      <c r="K93" s="1">
        <v>0.569620253164557</v>
      </c>
      <c r="L93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5.0611120253164561</v>
      </c>
    </row>
    <row r="94" spans="1:12" hidden="1" x14ac:dyDescent="0.35">
      <c r="A94" t="s">
        <v>46</v>
      </c>
      <c r="B94">
        <v>29</v>
      </c>
      <c r="C94" t="s">
        <v>33</v>
      </c>
      <c r="D94" s="1">
        <v>2.8536585369999998</v>
      </c>
      <c r="E94" s="1">
        <v>0.38141543605461098</v>
      </c>
      <c r="F94" s="1">
        <v>48.6</v>
      </c>
      <c r="G94" s="1">
        <v>0.89400000000000002</v>
      </c>
      <c r="H94" s="1">
        <v>0.40200000000000002</v>
      </c>
      <c r="I94" s="1">
        <v>0.78200000000000003</v>
      </c>
      <c r="J94" s="1">
        <v>0.24399999999999999</v>
      </c>
      <c r="K94" s="1">
        <v>0.316455696202532</v>
      </c>
      <c r="L94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5.379745569620253</v>
      </c>
    </row>
    <row r="95" spans="1:12" hidden="1" x14ac:dyDescent="0.35">
      <c r="A95" t="s">
        <v>46</v>
      </c>
      <c r="B95">
        <v>30</v>
      </c>
      <c r="C95" t="s">
        <v>35</v>
      </c>
      <c r="D95" s="1">
        <v>2.4756097559999999</v>
      </c>
      <c r="E95" s="1">
        <v>0.32433219474570701</v>
      </c>
      <c r="F95" s="1">
        <v>44.4</v>
      </c>
      <c r="G95" s="1">
        <v>0.89</v>
      </c>
      <c r="H95" s="1">
        <v>0.152</v>
      </c>
      <c r="I95" s="1">
        <v>0.78900000000000003</v>
      </c>
      <c r="J95" s="1">
        <v>0.222</v>
      </c>
      <c r="K95" s="1">
        <v>0.987341772151899</v>
      </c>
      <c r="L95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4.93883417721519</v>
      </c>
    </row>
    <row r="96" spans="1:12" hidden="1" x14ac:dyDescent="0.35">
      <c r="A96" t="s">
        <v>46</v>
      </c>
      <c r="B96">
        <v>31</v>
      </c>
      <c r="C96" t="s">
        <v>39</v>
      </c>
      <c r="D96" s="1">
        <v>2.1707317069999998</v>
      </c>
      <c r="E96" s="1">
        <v>0.27502278546938103</v>
      </c>
      <c r="F96" s="1">
        <v>46.3</v>
      </c>
      <c r="G96" s="1">
        <v>0.89200000000000002</v>
      </c>
      <c r="H96" s="1">
        <v>0</v>
      </c>
      <c r="I96" s="1">
        <v>0.68700000000000006</v>
      </c>
      <c r="J96" s="1">
        <v>0.27900000000000003</v>
      </c>
      <c r="K96" s="1">
        <v>0.379746835443038</v>
      </c>
      <c r="L96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4.9977246835443045</v>
      </c>
    </row>
    <row r="97" spans="1:12" hidden="1" x14ac:dyDescent="0.35">
      <c r="A97" t="s">
        <v>46</v>
      </c>
      <c r="B97">
        <v>32</v>
      </c>
      <c r="C97" t="s">
        <v>34</v>
      </c>
      <c r="D97" s="1">
        <v>2.195121951</v>
      </c>
      <c r="E97" s="1">
        <v>0.23363812051111901</v>
      </c>
      <c r="F97" s="1">
        <v>50.7</v>
      </c>
      <c r="G97" s="1">
        <v>0.88700000000000001</v>
      </c>
      <c r="H97" s="1">
        <v>5.5E-2</v>
      </c>
      <c r="I97" s="1">
        <v>0.92500000000000004</v>
      </c>
      <c r="J97" s="1">
        <v>0.39</v>
      </c>
      <c r="K97" s="1">
        <v>0.481012658227848</v>
      </c>
      <c r="L97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5.5192512658227857</v>
      </c>
    </row>
    <row r="98" spans="1:12" hidden="1" x14ac:dyDescent="0.35">
      <c r="A98" t="s">
        <v>47</v>
      </c>
      <c r="B98">
        <v>1</v>
      </c>
      <c r="C98" t="s">
        <v>31</v>
      </c>
      <c r="D98" s="1">
        <v>3.452054795</v>
      </c>
      <c r="E98" s="1">
        <v>0.68471615720524004</v>
      </c>
      <c r="F98" s="1">
        <v>52.9</v>
      </c>
      <c r="G98" s="1">
        <v>0.91400000000000003</v>
      </c>
      <c r="H98" s="1">
        <v>0.72599999999999998</v>
      </c>
      <c r="I98" s="1">
        <v>6.0999999999999999E-2</v>
      </c>
      <c r="J98" s="1">
        <v>0.86599999999999999</v>
      </c>
      <c r="K98" s="1">
        <v>0.240506329113924</v>
      </c>
      <c r="L98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5.8064506329113934</v>
      </c>
    </row>
    <row r="99" spans="1:12" hidden="1" x14ac:dyDescent="0.35">
      <c r="A99" t="s">
        <v>47</v>
      </c>
      <c r="B99">
        <v>2</v>
      </c>
      <c r="C99" t="s">
        <v>25</v>
      </c>
      <c r="D99" s="1">
        <v>3.611111111</v>
      </c>
      <c r="E99" s="1">
        <v>0.66388411490302002</v>
      </c>
      <c r="F99" s="1">
        <v>51.8</v>
      </c>
      <c r="G99" s="1">
        <v>0.90500000000000003</v>
      </c>
      <c r="H99" s="1">
        <v>0.76800000000000002</v>
      </c>
      <c r="I99" s="1">
        <v>0.17699999999999999</v>
      </c>
      <c r="J99" s="1">
        <v>0.68700000000000006</v>
      </c>
      <c r="K99" s="1">
        <v>0.329113924050633</v>
      </c>
      <c r="L99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5.7324613924050629</v>
      </c>
    </row>
    <row r="100" spans="1:12" hidden="1" x14ac:dyDescent="0.35">
      <c r="A100" t="s">
        <v>47</v>
      </c>
      <c r="B100">
        <v>3</v>
      </c>
      <c r="C100" t="s">
        <v>27</v>
      </c>
      <c r="D100" s="1">
        <v>3.388888889</v>
      </c>
      <c r="E100" s="1">
        <v>0.63497616279689895</v>
      </c>
      <c r="F100" s="1">
        <v>48.6</v>
      </c>
      <c r="G100" s="1">
        <v>0.90900000000000003</v>
      </c>
      <c r="H100" s="1">
        <v>0.628</v>
      </c>
      <c r="I100" s="1">
        <v>0.184</v>
      </c>
      <c r="J100" s="1">
        <v>0.76900000000000002</v>
      </c>
      <c r="K100" s="1">
        <v>0.151898734177215</v>
      </c>
      <c r="L100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5.3520398734177226</v>
      </c>
    </row>
    <row r="101" spans="1:12" hidden="1" x14ac:dyDescent="0.35">
      <c r="A101" t="s">
        <v>47</v>
      </c>
      <c r="B101">
        <v>4</v>
      </c>
      <c r="C101" t="s">
        <v>29</v>
      </c>
      <c r="D101" s="1">
        <v>3.4166666669999999</v>
      </c>
      <c r="E101" s="1">
        <v>0.62389558439951798</v>
      </c>
      <c r="F101" s="1">
        <v>47.2</v>
      </c>
      <c r="G101" s="1">
        <v>0.9</v>
      </c>
      <c r="H101" s="1">
        <v>0.72</v>
      </c>
      <c r="I101" s="1">
        <v>0.29899999999999999</v>
      </c>
      <c r="J101" s="1">
        <v>0.76100000000000001</v>
      </c>
      <c r="K101" s="1">
        <v>0</v>
      </c>
      <c r="L101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5.2498500000000003</v>
      </c>
    </row>
    <row r="102" spans="1:12" hidden="1" x14ac:dyDescent="0.35">
      <c r="A102" t="s">
        <v>47</v>
      </c>
      <c r="B102">
        <v>5</v>
      </c>
      <c r="C102" t="s">
        <v>14</v>
      </c>
      <c r="D102" s="1">
        <v>3.3698630139999999</v>
      </c>
      <c r="E102" s="1">
        <v>0.59252731758900201</v>
      </c>
      <c r="F102" s="1">
        <v>46.1</v>
      </c>
      <c r="G102" s="1">
        <v>0.89200000000000002</v>
      </c>
      <c r="H102" s="1">
        <v>0.67700000000000005</v>
      </c>
      <c r="I102" s="1">
        <v>0.39500000000000002</v>
      </c>
      <c r="J102" s="1">
        <v>0.70699999999999996</v>
      </c>
      <c r="K102" s="1">
        <v>0.139240506329114</v>
      </c>
      <c r="L102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5.1536240506329118</v>
      </c>
    </row>
    <row r="103" spans="1:12" hidden="1" x14ac:dyDescent="0.35">
      <c r="A103" t="s">
        <v>47</v>
      </c>
      <c r="B103">
        <v>6</v>
      </c>
      <c r="C103" t="s">
        <v>15</v>
      </c>
      <c r="D103" s="1">
        <v>3.2222222220000001</v>
      </c>
      <c r="E103" s="1">
        <v>0.59854988657088204</v>
      </c>
      <c r="F103" s="1">
        <v>45.9</v>
      </c>
      <c r="G103" s="1">
        <v>0.89400000000000002</v>
      </c>
      <c r="H103" s="1">
        <v>0.58499999999999996</v>
      </c>
      <c r="I103" s="1">
        <v>0.27900000000000003</v>
      </c>
      <c r="J103" s="1">
        <v>0.64800000000000002</v>
      </c>
      <c r="K103" s="1">
        <v>0.164556962025316</v>
      </c>
      <c r="L103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5.0782056962025308</v>
      </c>
    </row>
    <row r="104" spans="1:12" hidden="1" x14ac:dyDescent="0.35">
      <c r="A104" t="s">
        <v>47</v>
      </c>
      <c r="B104">
        <v>7</v>
      </c>
      <c r="C104" t="s">
        <v>13</v>
      </c>
      <c r="D104" s="1">
        <v>3.138888889</v>
      </c>
      <c r="E104" s="1">
        <v>0.57575074398052095</v>
      </c>
      <c r="F104" s="1">
        <v>49.7</v>
      </c>
      <c r="G104" s="1">
        <v>0.89800000000000002</v>
      </c>
      <c r="H104" s="1">
        <v>0.53700000000000003</v>
      </c>
      <c r="I104" s="1">
        <v>0.224</v>
      </c>
      <c r="J104" s="1">
        <v>0.72299999999999998</v>
      </c>
      <c r="K104" s="1">
        <v>0.518987341772152</v>
      </c>
      <c r="L104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5.4703987341772162</v>
      </c>
    </row>
    <row r="105" spans="1:12" hidden="1" x14ac:dyDescent="0.35">
      <c r="A105" t="s">
        <v>47</v>
      </c>
      <c r="B105">
        <v>8</v>
      </c>
      <c r="C105" t="s">
        <v>16</v>
      </c>
      <c r="D105" s="1">
        <v>3.263888889</v>
      </c>
      <c r="E105" s="1">
        <v>0.54666851446728904</v>
      </c>
      <c r="F105" s="1">
        <v>50.9</v>
      </c>
      <c r="G105" s="1">
        <v>0.89800000000000002</v>
      </c>
      <c r="H105" s="1">
        <v>0.64</v>
      </c>
      <c r="I105" s="1">
        <v>0.435</v>
      </c>
      <c r="J105" s="1">
        <v>0.7</v>
      </c>
      <c r="K105" s="1">
        <v>0.278481012658228</v>
      </c>
      <c r="L105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5.6434481012658226</v>
      </c>
    </row>
    <row r="106" spans="1:12" hidden="1" x14ac:dyDescent="0.35">
      <c r="A106" t="s">
        <v>47</v>
      </c>
      <c r="B106">
        <v>9</v>
      </c>
      <c r="C106" t="s">
        <v>19</v>
      </c>
      <c r="D106" s="1">
        <v>3.5694444440000002</v>
      </c>
      <c r="E106" s="1">
        <v>0.64659468031992495</v>
      </c>
      <c r="F106" s="1">
        <v>51.6</v>
      </c>
      <c r="G106" s="1">
        <v>0.90600000000000003</v>
      </c>
      <c r="H106" s="1">
        <v>0.81699999999999995</v>
      </c>
      <c r="I106" s="1">
        <v>0.28599999999999998</v>
      </c>
      <c r="J106" s="1">
        <v>0.82699999999999996</v>
      </c>
      <c r="K106" s="1">
        <v>0.316455696202532</v>
      </c>
      <c r="L106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5.7573455696202531</v>
      </c>
    </row>
    <row r="107" spans="1:12" hidden="1" x14ac:dyDescent="0.35">
      <c r="A107" t="s">
        <v>47</v>
      </c>
      <c r="B107">
        <v>10</v>
      </c>
      <c r="C107" t="s">
        <v>26</v>
      </c>
      <c r="D107" s="1">
        <v>2.8873239439999998</v>
      </c>
      <c r="E107" s="1">
        <v>0.567399346528772</v>
      </c>
      <c r="F107" s="1">
        <v>51.1</v>
      </c>
      <c r="G107" s="1">
        <v>0.90100000000000002</v>
      </c>
      <c r="H107" s="1">
        <v>0.439</v>
      </c>
      <c r="I107" s="1">
        <v>0.19</v>
      </c>
      <c r="J107" s="1">
        <v>0.46</v>
      </c>
      <c r="K107" s="1">
        <v>0.265822784810127</v>
      </c>
      <c r="L107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5.531432278481013</v>
      </c>
    </row>
    <row r="108" spans="1:12" hidden="1" x14ac:dyDescent="0.35">
      <c r="A108" t="s">
        <v>47</v>
      </c>
      <c r="B108">
        <v>11</v>
      </c>
      <c r="C108" t="s">
        <v>17</v>
      </c>
      <c r="D108" s="1">
        <v>2.6986301369999999</v>
      </c>
      <c r="E108" s="1">
        <v>0.48254895865713399</v>
      </c>
      <c r="F108" s="1">
        <v>51</v>
      </c>
      <c r="G108" s="1">
        <v>0.90600000000000003</v>
      </c>
      <c r="H108" s="1">
        <v>0.33500000000000002</v>
      </c>
      <c r="I108" s="1">
        <v>0.29899999999999999</v>
      </c>
      <c r="J108" s="1">
        <v>0.28000000000000003</v>
      </c>
      <c r="K108" s="1">
        <v>0.240506329113924</v>
      </c>
      <c r="L108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5.4963006329113933</v>
      </c>
    </row>
    <row r="109" spans="1:12" hidden="1" x14ac:dyDescent="0.35">
      <c r="A109" t="s">
        <v>47</v>
      </c>
      <c r="B109">
        <v>12</v>
      </c>
      <c r="C109" t="s">
        <v>23</v>
      </c>
      <c r="D109" s="1">
        <v>3.236111111</v>
      </c>
      <c r="E109" s="1">
        <v>0.54708615077645495</v>
      </c>
      <c r="F109" s="1">
        <v>53.4</v>
      </c>
      <c r="G109" s="1">
        <v>0.89200000000000002</v>
      </c>
      <c r="H109" s="1">
        <v>0.67700000000000005</v>
      </c>
      <c r="I109" s="1">
        <v>0.42199999999999999</v>
      </c>
      <c r="J109" s="1">
        <v>0.60799999999999998</v>
      </c>
      <c r="K109" s="1">
        <v>0.151898734177215</v>
      </c>
      <c r="L109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5.8853398734177214</v>
      </c>
    </row>
    <row r="110" spans="1:12" hidden="1" x14ac:dyDescent="0.35">
      <c r="A110" t="s">
        <v>47</v>
      </c>
      <c r="B110">
        <v>13</v>
      </c>
      <c r="C110" t="s">
        <v>21</v>
      </c>
      <c r="D110" s="1">
        <v>3.013513514</v>
      </c>
      <c r="E110" s="1">
        <v>0.52999605665625804</v>
      </c>
      <c r="F110" s="1">
        <v>50.9</v>
      </c>
      <c r="G110" s="1">
        <v>0.89700000000000002</v>
      </c>
      <c r="H110" s="1">
        <v>0.54900000000000004</v>
      </c>
      <c r="I110" s="1">
        <v>0.34699999999999998</v>
      </c>
      <c r="J110" s="1">
        <v>0.34499999999999997</v>
      </c>
      <c r="K110" s="1">
        <v>0.253164556962025</v>
      </c>
      <c r="L110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5.5735164556962022</v>
      </c>
    </row>
    <row r="111" spans="1:12" hidden="1" x14ac:dyDescent="0.35">
      <c r="A111" t="s">
        <v>47</v>
      </c>
      <c r="B111">
        <v>14</v>
      </c>
      <c r="C111" t="s">
        <v>40</v>
      </c>
      <c r="D111" s="1">
        <v>2.9459459460000001</v>
      </c>
      <c r="E111" s="1">
        <v>0.55551789033185694</v>
      </c>
      <c r="F111" s="1">
        <v>51.5</v>
      </c>
      <c r="G111" s="1">
        <v>0.9</v>
      </c>
      <c r="H111" s="1">
        <v>0.49399999999999999</v>
      </c>
      <c r="I111" s="1">
        <v>0.23100000000000001</v>
      </c>
      <c r="J111" s="1">
        <v>0.871</v>
      </c>
      <c r="K111" s="1">
        <v>0.329113924050633</v>
      </c>
      <c r="L111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5.6255613924050634</v>
      </c>
    </row>
    <row r="112" spans="1:12" hidden="1" x14ac:dyDescent="0.35">
      <c r="A112" t="s">
        <v>47</v>
      </c>
      <c r="B112">
        <v>15</v>
      </c>
      <c r="C112" t="s">
        <v>38</v>
      </c>
      <c r="D112" s="1">
        <v>2.9154929580000002</v>
      </c>
      <c r="E112" s="1">
        <v>0.50729888119339395</v>
      </c>
      <c r="F112" s="1">
        <v>48.8</v>
      </c>
      <c r="G112" s="1">
        <v>0.89900000000000002</v>
      </c>
      <c r="H112" s="1">
        <v>0.433</v>
      </c>
      <c r="I112" s="1">
        <v>0.34</v>
      </c>
      <c r="J112" s="1">
        <v>0.58599999999999997</v>
      </c>
      <c r="K112" s="1">
        <v>0.379746835443038</v>
      </c>
      <c r="L112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5.3466246835443041</v>
      </c>
    </row>
    <row r="113" spans="1:12" hidden="1" x14ac:dyDescent="0.35">
      <c r="A113" t="s">
        <v>47</v>
      </c>
      <c r="B113">
        <v>16</v>
      </c>
      <c r="C113" t="s">
        <v>30</v>
      </c>
      <c r="D113" s="1">
        <v>2.8630136990000001</v>
      </c>
      <c r="E113" s="1">
        <v>0.46539949071459802</v>
      </c>
      <c r="F113" s="1">
        <v>53.8</v>
      </c>
      <c r="G113" s="1">
        <v>0.88500000000000001</v>
      </c>
      <c r="H113" s="1">
        <v>0.39</v>
      </c>
      <c r="I113" s="1">
        <v>0.42899999999999999</v>
      </c>
      <c r="J113" s="1">
        <v>0.72099999999999997</v>
      </c>
      <c r="K113" s="1">
        <v>0.468354430379747</v>
      </c>
      <c r="L113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5.8621854430379745</v>
      </c>
    </row>
    <row r="114" spans="1:12" hidden="1" x14ac:dyDescent="0.35">
      <c r="A114" t="s">
        <v>47</v>
      </c>
      <c r="B114">
        <v>17</v>
      </c>
      <c r="C114" t="s">
        <v>18</v>
      </c>
      <c r="D114" s="1">
        <v>2.6056338029999999</v>
      </c>
      <c r="E114" s="1">
        <v>0.43931147793494701</v>
      </c>
      <c r="F114" s="1">
        <v>49.6</v>
      </c>
      <c r="G114" s="1">
        <v>0.89800000000000002</v>
      </c>
      <c r="H114" s="1">
        <v>0.311</v>
      </c>
      <c r="I114" s="1">
        <v>0.442</v>
      </c>
      <c r="J114" s="1">
        <v>0.40699999999999997</v>
      </c>
      <c r="K114" s="1">
        <v>0.544303797468354</v>
      </c>
      <c r="L114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5.4116303797468364</v>
      </c>
    </row>
    <row r="115" spans="1:12" hidden="1" x14ac:dyDescent="0.35">
      <c r="A115" t="s">
        <v>47</v>
      </c>
      <c r="B115">
        <v>18</v>
      </c>
      <c r="C115" t="s">
        <v>48</v>
      </c>
      <c r="D115" s="1">
        <v>2.780821918</v>
      </c>
      <c r="E115" s="1">
        <v>0.45315489674283599</v>
      </c>
      <c r="F115" s="1">
        <v>47.6</v>
      </c>
      <c r="G115" s="1">
        <v>0.89</v>
      </c>
      <c r="H115" s="1">
        <v>0.39</v>
      </c>
      <c r="I115" s="1">
        <v>0.497</v>
      </c>
      <c r="J115" s="1">
        <v>0.61299999999999999</v>
      </c>
      <c r="K115" s="1">
        <v>0.481012658227848</v>
      </c>
      <c r="L115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5.2526512658227853</v>
      </c>
    </row>
    <row r="116" spans="1:12" hidden="1" x14ac:dyDescent="0.35">
      <c r="A116" t="s">
        <v>47</v>
      </c>
      <c r="B116">
        <v>19</v>
      </c>
      <c r="C116" t="s">
        <v>44</v>
      </c>
      <c r="D116" s="1">
        <v>2.9722222220000001</v>
      </c>
      <c r="E116" s="1">
        <v>0.44086756452342701</v>
      </c>
      <c r="F116" s="1">
        <v>52</v>
      </c>
      <c r="G116" s="1">
        <v>0.88500000000000001</v>
      </c>
      <c r="H116" s="1">
        <v>0.47599999999999998</v>
      </c>
      <c r="I116" s="1">
        <v>0.61899999999999999</v>
      </c>
      <c r="J116" s="1">
        <v>0.57899999999999996</v>
      </c>
      <c r="K116" s="1">
        <v>0.455696202531646</v>
      </c>
      <c r="L116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5.7419196202531646</v>
      </c>
    </row>
    <row r="117" spans="1:12" hidden="1" x14ac:dyDescent="0.35">
      <c r="A117" t="s">
        <v>47</v>
      </c>
      <c r="B117">
        <v>20</v>
      </c>
      <c r="C117" t="s">
        <v>20</v>
      </c>
      <c r="D117" s="1">
        <v>2.9726027400000001</v>
      </c>
      <c r="E117" s="1">
        <v>0.49086834149900999</v>
      </c>
      <c r="F117" s="1">
        <v>49.7</v>
      </c>
      <c r="G117" s="1">
        <v>0.9</v>
      </c>
      <c r="H117" s="1">
        <v>0.42099999999999999</v>
      </c>
      <c r="I117" s="1">
        <v>0.40100000000000002</v>
      </c>
      <c r="J117" s="1">
        <v>0.54400000000000004</v>
      </c>
      <c r="K117" s="1">
        <v>0.367088607594937</v>
      </c>
      <c r="L117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5.4414588607594938</v>
      </c>
    </row>
    <row r="118" spans="1:12" hidden="1" x14ac:dyDescent="0.35">
      <c r="A118" t="s">
        <v>47</v>
      </c>
      <c r="B118">
        <v>21</v>
      </c>
      <c r="C118" t="s">
        <v>33</v>
      </c>
      <c r="D118" s="1">
        <v>3.1830985919999999</v>
      </c>
      <c r="E118" s="1">
        <v>0.47415521722985499</v>
      </c>
      <c r="F118" s="1">
        <v>52.6</v>
      </c>
      <c r="G118" s="1">
        <v>0.88700000000000001</v>
      </c>
      <c r="H118" s="1">
        <v>0.65200000000000002</v>
      </c>
      <c r="I118" s="1">
        <v>0.66</v>
      </c>
      <c r="J118" s="1">
        <v>0.32800000000000001</v>
      </c>
      <c r="K118" s="1">
        <v>0.30379746835443</v>
      </c>
      <c r="L118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5.8443797468354433</v>
      </c>
    </row>
    <row r="119" spans="1:12" hidden="1" x14ac:dyDescent="0.35">
      <c r="A119" t="s">
        <v>47</v>
      </c>
      <c r="B119">
        <v>22</v>
      </c>
      <c r="C119" t="s">
        <v>32</v>
      </c>
      <c r="D119" s="1">
        <v>2.7183098590000001</v>
      </c>
      <c r="E119" s="1">
        <v>0.45318944435657499</v>
      </c>
      <c r="F119" s="1">
        <v>48.4</v>
      </c>
      <c r="G119" s="1">
        <v>0.89600000000000002</v>
      </c>
      <c r="H119" s="1">
        <v>0.39</v>
      </c>
      <c r="I119" s="1">
        <v>0.45600000000000002</v>
      </c>
      <c r="J119" s="1">
        <v>0</v>
      </c>
      <c r="K119" s="1">
        <v>1.26582278481012E-2</v>
      </c>
      <c r="L119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5.2481658227848094</v>
      </c>
    </row>
    <row r="120" spans="1:12" hidden="1" x14ac:dyDescent="0.35">
      <c r="A120" t="s">
        <v>47</v>
      </c>
      <c r="B120">
        <v>23</v>
      </c>
      <c r="C120" t="s">
        <v>37</v>
      </c>
      <c r="D120" s="1">
        <v>2.8472222220000001</v>
      </c>
      <c r="E120" s="1">
        <v>0.440578281928166</v>
      </c>
      <c r="F120" s="1">
        <v>49</v>
      </c>
      <c r="G120" s="1">
        <v>0.88800000000000001</v>
      </c>
      <c r="H120" s="1">
        <v>0.42699999999999999</v>
      </c>
      <c r="I120" s="1">
        <v>0.55100000000000005</v>
      </c>
      <c r="J120" s="1">
        <v>0.45800000000000002</v>
      </c>
      <c r="K120" s="1">
        <v>0.151898734177215</v>
      </c>
      <c r="L120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5.3753398734177216</v>
      </c>
    </row>
    <row r="121" spans="1:12" hidden="1" x14ac:dyDescent="0.35">
      <c r="A121" t="s">
        <v>47</v>
      </c>
      <c r="B121">
        <v>24</v>
      </c>
      <c r="C121" t="s">
        <v>35</v>
      </c>
      <c r="D121" s="1">
        <v>2.7222222220000001</v>
      </c>
      <c r="E121" s="1">
        <v>0.43144169539874899</v>
      </c>
      <c r="F121" s="1">
        <v>51.7</v>
      </c>
      <c r="G121" s="1">
        <v>0.90300000000000002</v>
      </c>
      <c r="H121" s="1">
        <v>0.35399999999999998</v>
      </c>
      <c r="I121" s="1">
        <v>0.46300000000000002</v>
      </c>
      <c r="J121" s="1">
        <v>3.3000000000000002E-2</v>
      </c>
      <c r="K121" s="1">
        <v>0.405063291139241</v>
      </c>
      <c r="L121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5.6092563291139248</v>
      </c>
    </row>
    <row r="122" spans="1:12" hidden="1" x14ac:dyDescent="0.35">
      <c r="A122" t="s">
        <v>47</v>
      </c>
      <c r="B122">
        <v>25</v>
      </c>
      <c r="C122" t="s">
        <v>22</v>
      </c>
      <c r="D122" s="1">
        <v>2.6301369860000001</v>
      </c>
      <c r="E122" s="1">
        <v>0.38826689135815501</v>
      </c>
      <c r="F122" s="1">
        <v>50.6</v>
      </c>
      <c r="G122" s="1">
        <v>0.88500000000000001</v>
      </c>
      <c r="H122" s="1">
        <v>0.317</v>
      </c>
      <c r="I122" s="1">
        <v>0.59899999999999998</v>
      </c>
      <c r="J122" s="1">
        <v>0.246</v>
      </c>
      <c r="K122" s="1">
        <v>0.569620253164557</v>
      </c>
      <c r="L122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5.5370120253164554</v>
      </c>
    </row>
    <row r="123" spans="1:12" hidden="1" x14ac:dyDescent="0.35">
      <c r="A123" t="s">
        <v>47</v>
      </c>
      <c r="B123">
        <v>26</v>
      </c>
      <c r="C123" t="s">
        <v>24</v>
      </c>
      <c r="D123" s="1">
        <v>2.9189189189999998</v>
      </c>
      <c r="E123" s="1">
        <v>0.39378798109385499</v>
      </c>
      <c r="F123" s="1">
        <v>49.8</v>
      </c>
      <c r="G123" s="1">
        <v>0.88100000000000001</v>
      </c>
      <c r="H123" s="1">
        <v>0.47</v>
      </c>
      <c r="I123" s="1">
        <v>0.80300000000000005</v>
      </c>
      <c r="J123" s="1">
        <v>0.59799999999999998</v>
      </c>
      <c r="K123" s="1">
        <v>0.164556962025316</v>
      </c>
      <c r="L123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5.5276556962025314</v>
      </c>
    </row>
    <row r="124" spans="1:12" hidden="1" x14ac:dyDescent="0.35">
      <c r="A124" t="s">
        <v>47</v>
      </c>
      <c r="B124">
        <v>27</v>
      </c>
      <c r="C124" t="s">
        <v>42</v>
      </c>
      <c r="D124" s="1">
        <v>3.0273972599999999</v>
      </c>
      <c r="E124" s="1">
        <v>0.471451876019576</v>
      </c>
      <c r="F124" s="1">
        <v>47.2</v>
      </c>
      <c r="G124" s="1">
        <v>0.88900000000000001</v>
      </c>
      <c r="H124" s="1">
        <v>0.47</v>
      </c>
      <c r="I124" s="1">
        <v>0.55100000000000005</v>
      </c>
      <c r="J124" s="1">
        <v>0.42299999999999999</v>
      </c>
      <c r="K124" s="1">
        <v>0.113924050632911</v>
      </c>
      <c r="L124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5.2050424050632929</v>
      </c>
    </row>
    <row r="125" spans="1:12" hidden="1" x14ac:dyDescent="0.35">
      <c r="A125" t="s">
        <v>47</v>
      </c>
      <c r="B125">
        <v>28</v>
      </c>
      <c r="C125" t="s">
        <v>41</v>
      </c>
      <c r="D125" s="1">
        <v>2.7432432430000002</v>
      </c>
      <c r="E125" s="1">
        <v>0.38790782611969798</v>
      </c>
      <c r="F125" s="1">
        <v>51.2</v>
      </c>
      <c r="G125" s="1">
        <v>0.871</v>
      </c>
      <c r="H125" s="1">
        <v>0.33500000000000002</v>
      </c>
      <c r="I125" s="1">
        <v>0.63300000000000001</v>
      </c>
      <c r="J125" s="1">
        <v>0.25</v>
      </c>
      <c r="K125" s="1">
        <v>0.227848101265823</v>
      </c>
      <c r="L125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5.5733348101265836</v>
      </c>
    </row>
    <row r="126" spans="1:12" hidden="1" x14ac:dyDescent="0.35">
      <c r="A126" t="s">
        <v>47</v>
      </c>
      <c r="B126">
        <v>29</v>
      </c>
      <c r="C126" t="s">
        <v>36</v>
      </c>
      <c r="D126" s="1">
        <v>3.1549295769999999</v>
      </c>
      <c r="E126" s="1">
        <v>0.44928366762177702</v>
      </c>
      <c r="F126" s="1">
        <v>49.4</v>
      </c>
      <c r="G126" s="1">
        <v>0.879</v>
      </c>
      <c r="H126" s="1">
        <v>0.60399999999999998</v>
      </c>
      <c r="I126" s="1">
        <v>0.76200000000000001</v>
      </c>
      <c r="J126" s="1">
        <v>0.34499999999999997</v>
      </c>
      <c r="K126" s="1">
        <v>0.645569620253165</v>
      </c>
      <c r="L126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5.561406962025317</v>
      </c>
    </row>
    <row r="127" spans="1:12" hidden="1" x14ac:dyDescent="0.35">
      <c r="A127" t="s">
        <v>47</v>
      </c>
      <c r="B127">
        <v>30</v>
      </c>
      <c r="C127" t="s">
        <v>28</v>
      </c>
      <c r="D127" s="1">
        <v>2.5416666669999999</v>
      </c>
      <c r="E127" s="1">
        <v>0.38355113213381697</v>
      </c>
      <c r="F127" s="1">
        <v>51.7</v>
      </c>
      <c r="G127" s="1">
        <v>0.88700000000000001</v>
      </c>
      <c r="H127" s="1">
        <v>0.27400000000000002</v>
      </c>
      <c r="I127" s="1">
        <v>0.57099999999999995</v>
      </c>
      <c r="J127" s="1">
        <v>0.627</v>
      </c>
      <c r="K127" s="1">
        <v>0.556962025316456</v>
      </c>
      <c r="L127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5.6445462025316466</v>
      </c>
    </row>
    <row r="128" spans="1:12" hidden="1" x14ac:dyDescent="0.35">
      <c r="A128" t="s">
        <v>47</v>
      </c>
      <c r="B128">
        <v>31</v>
      </c>
      <c r="C128" t="s">
        <v>39</v>
      </c>
      <c r="D128" s="1">
        <v>2.7123287669999998</v>
      </c>
      <c r="E128" s="1">
        <v>0.36351160893108803</v>
      </c>
      <c r="F128" s="1">
        <v>51.6</v>
      </c>
      <c r="G128" s="1">
        <v>0.88500000000000001</v>
      </c>
      <c r="H128" s="1">
        <v>0.35399999999999998</v>
      </c>
      <c r="I128" s="1">
        <v>0.748</v>
      </c>
      <c r="J128" s="1">
        <v>0.754</v>
      </c>
      <c r="K128" s="1">
        <v>0.392405063291139</v>
      </c>
      <c r="L128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5.6874405063291142</v>
      </c>
    </row>
    <row r="129" spans="1:12" hidden="1" x14ac:dyDescent="0.35">
      <c r="A129" t="s">
        <v>47</v>
      </c>
      <c r="B129">
        <v>32</v>
      </c>
      <c r="C129" t="s">
        <v>34</v>
      </c>
      <c r="D129" s="1">
        <v>2.6197183100000001</v>
      </c>
      <c r="E129" s="1">
        <v>0.33852596970527199</v>
      </c>
      <c r="F129" s="1">
        <v>50.5</v>
      </c>
      <c r="G129" s="1">
        <v>0.88400000000000001</v>
      </c>
      <c r="H129" s="1">
        <v>0.27400000000000002</v>
      </c>
      <c r="I129" s="1">
        <v>0.748</v>
      </c>
      <c r="J129" s="1">
        <v>0.32500000000000001</v>
      </c>
      <c r="K129" s="1">
        <v>0.367088607594937</v>
      </c>
      <c r="L129" s="1">
        <f>(0.1 * Table14[[#This Row],[PUCK_POSSESSION]])+(0.2 * Table14[[#This Row],[GOALTENDING]]) + (0.35 * Table14[[#This Row],[OFFENSE]]) + (0.2 *Table14[[#This Row],[DEFENSE]]) + (0.05 * Table14[[#This Row],[SPEC_TEAMS]]) + (0.1 * Table14[[#This Row],[PHYSICALITY]])</f>
        <v>5.5252588607594957</v>
      </c>
    </row>
  </sheetData>
  <conditionalFormatting sqref="D34:D3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4:E3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4:F3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4:G3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4:H3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4:I3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4:J3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4:K3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4:L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6007-F1CC-448B-84AA-D2F7C6BCBBEA}">
  <dimension ref="A1:L129"/>
  <sheetViews>
    <sheetView zoomScale="90" zoomScaleNormal="90" workbookViewId="0">
      <selection activeCell="E136" sqref="E136"/>
    </sheetView>
  </sheetViews>
  <sheetFormatPr defaultRowHeight="14.5" x14ac:dyDescent="0.35"/>
  <cols>
    <col min="1" max="1" width="9.81640625" bestFit="1" customWidth="1"/>
    <col min="2" max="2" width="7.54296875" style="1" bestFit="1" customWidth="1"/>
    <col min="3" max="3" width="19.54296875" bestFit="1" customWidth="1"/>
    <col min="4" max="4" width="11.81640625" style="1" bestFit="1" customWidth="1"/>
    <col min="5" max="5" width="14.26953125" style="1" bestFit="1" customWidth="1"/>
    <col min="6" max="6" width="21.81640625" style="1" bestFit="1" customWidth="1"/>
    <col min="7" max="7" width="17.453125" style="1" bestFit="1" customWidth="1"/>
    <col min="8" max="9" width="13" style="1" bestFit="1" customWidth="1"/>
    <col min="10" max="10" width="16.1796875" style="1" bestFit="1" customWidth="1"/>
    <col min="11" max="11" width="16.26953125" style="1" bestFit="1" customWidth="1"/>
    <col min="12" max="12" width="17.7265625" bestFit="1" customWidth="1"/>
  </cols>
  <sheetData>
    <row r="1" spans="1:12" x14ac:dyDescent="0.35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49</v>
      </c>
    </row>
    <row r="2" spans="1:12" hidden="1" x14ac:dyDescent="0.35">
      <c r="A2" t="s">
        <v>12</v>
      </c>
      <c r="B2">
        <v>1</v>
      </c>
      <c r="C2" t="s">
        <v>13</v>
      </c>
      <c r="D2" s="1">
        <v>4.1097560980000001</v>
      </c>
      <c r="E2" s="1">
        <v>0.65977470909122604</v>
      </c>
      <c r="F2" s="1">
        <v>47.6</v>
      </c>
      <c r="G2" s="1">
        <v>0.90400000000000003</v>
      </c>
      <c r="H2" s="1">
        <v>1</v>
      </c>
      <c r="I2" s="1">
        <v>0.41499999999999998</v>
      </c>
      <c r="J2" s="1">
        <v>0.67800000000000005</v>
      </c>
      <c r="K2" s="1">
        <v>0.556962025316456</v>
      </c>
      <c r="L2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5.463396202531646</v>
      </c>
    </row>
    <row r="3" spans="1:12" hidden="1" x14ac:dyDescent="0.35">
      <c r="A3" t="s">
        <v>12</v>
      </c>
      <c r="B3">
        <v>2</v>
      </c>
      <c r="C3" t="s">
        <v>14</v>
      </c>
      <c r="D3" s="1">
        <v>3.7560975609999998</v>
      </c>
      <c r="E3" s="1">
        <v>0.63800710211987499</v>
      </c>
      <c r="F3" s="1">
        <v>42.6</v>
      </c>
      <c r="G3" s="1">
        <v>0.91200000000000003</v>
      </c>
      <c r="H3" s="1">
        <v>0.80500000000000005</v>
      </c>
      <c r="I3" s="1">
        <v>0.42899999999999999</v>
      </c>
      <c r="J3" s="1">
        <v>0.66700000000000004</v>
      </c>
      <c r="K3" s="1">
        <v>0.417721518987342</v>
      </c>
      <c r="L3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4.8850721518987354</v>
      </c>
    </row>
    <row r="4" spans="1:12" hidden="1" x14ac:dyDescent="0.35">
      <c r="A4" t="s">
        <v>12</v>
      </c>
      <c r="B4">
        <v>3</v>
      </c>
      <c r="C4" t="s">
        <v>15</v>
      </c>
      <c r="D4" s="1">
        <v>3.3780487799999999</v>
      </c>
      <c r="E4" s="1">
        <v>0.65732594299617098</v>
      </c>
      <c r="F4" s="1">
        <v>46.9</v>
      </c>
      <c r="G4" s="1">
        <v>0.91300000000000003</v>
      </c>
      <c r="H4" s="1">
        <v>0.60399999999999998</v>
      </c>
      <c r="I4" s="1">
        <v>0.109</v>
      </c>
      <c r="J4" s="1">
        <v>0.88600000000000001</v>
      </c>
      <c r="K4" s="1">
        <v>0.443037974683544</v>
      </c>
      <c r="L4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5.1944037974683548</v>
      </c>
    </row>
    <row r="5" spans="1:12" hidden="1" x14ac:dyDescent="0.35">
      <c r="A5" t="s">
        <v>12</v>
      </c>
      <c r="B5">
        <v>4</v>
      </c>
      <c r="C5" t="s">
        <v>16</v>
      </c>
      <c r="D5" s="1">
        <v>3.804878049</v>
      </c>
      <c r="E5" s="1">
        <v>0.60519247985675895</v>
      </c>
      <c r="F5" s="1">
        <v>46.4</v>
      </c>
      <c r="G5" s="1">
        <v>0.9</v>
      </c>
      <c r="H5" s="1">
        <v>0.81100000000000005</v>
      </c>
      <c r="I5" s="1">
        <v>0.44900000000000001</v>
      </c>
      <c r="J5" s="1">
        <v>0.86199999999999999</v>
      </c>
      <c r="K5" s="1">
        <v>0.367088607594937</v>
      </c>
      <c r="L5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5.2734588607594937</v>
      </c>
    </row>
    <row r="6" spans="1:12" hidden="1" x14ac:dyDescent="0.35">
      <c r="A6" t="s">
        <v>12</v>
      </c>
      <c r="B6">
        <v>5</v>
      </c>
      <c r="C6" t="s">
        <v>17</v>
      </c>
      <c r="D6" s="1">
        <v>3.7195121950000001</v>
      </c>
      <c r="E6" s="1">
        <v>0.60006063499025997</v>
      </c>
      <c r="F6" s="1">
        <v>43.9</v>
      </c>
      <c r="G6" s="1">
        <v>0.90300000000000002</v>
      </c>
      <c r="H6" s="1">
        <v>0.78</v>
      </c>
      <c r="I6" s="1">
        <v>0.49</v>
      </c>
      <c r="J6" s="1">
        <v>0.42699999999999999</v>
      </c>
      <c r="K6" s="1">
        <v>0.645569620253165</v>
      </c>
      <c r="L6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5.0275069620253161</v>
      </c>
    </row>
    <row r="7" spans="1:12" hidden="1" x14ac:dyDescent="0.35">
      <c r="A7" t="s">
        <v>12</v>
      </c>
      <c r="B7">
        <v>6</v>
      </c>
      <c r="C7" t="s">
        <v>18</v>
      </c>
      <c r="D7" s="1">
        <v>3.5487804879999998</v>
      </c>
      <c r="E7" s="1">
        <v>0.66616581574455003</v>
      </c>
      <c r="F7" s="1">
        <v>45</v>
      </c>
      <c r="G7" s="1">
        <v>0.91300000000000003</v>
      </c>
      <c r="H7" s="1">
        <v>0.70099999999999996</v>
      </c>
      <c r="I7" s="1">
        <v>0.184</v>
      </c>
      <c r="J7" s="1">
        <v>0.75</v>
      </c>
      <c r="K7" s="1">
        <v>0.430379746835443</v>
      </c>
      <c r="L7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5.0452879746835446</v>
      </c>
    </row>
    <row r="8" spans="1:12" hidden="1" x14ac:dyDescent="0.35">
      <c r="A8" t="s">
        <v>12</v>
      </c>
      <c r="B8">
        <v>7</v>
      </c>
      <c r="C8" t="s">
        <v>19</v>
      </c>
      <c r="D8" s="1">
        <v>3.4756097559999999</v>
      </c>
      <c r="E8" s="1">
        <v>0.60975609756097604</v>
      </c>
      <c r="F8" s="1">
        <v>49</v>
      </c>
      <c r="G8" s="1">
        <v>0.90700000000000003</v>
      </c>
      <c r="H8" s="1">
        <v>0.67700000000000005</v>
      </c>
      <c r="I8" s="1">
        <v>0.30599999999999999</v>
      </c>
      <c r="J8" s="1">
        <v>0.69599999999999995</v>
      </c>
      <c r="K8" s="1">
        <v>0.670886075949367</v>
      </c>
      <c r="L8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5.4814386075949377</v>
      </c>
    </row>
    <row r="9" spans="1:12" hidden="1" x14ac:dyDescent="0.35">
      <c r="A9" t="s">
        <v>12</v>
      </c>
      <c r="B9">
        <v>8</v>
      </c>
      <c r="C9" t="s">
        <v>20</v>
      </c>
      <c r="D9" s="1">
        <v>3.0487804879999998</v>
      </c>
      <c r="E9" s="1">
        <v>0.60029198202005496</v>
      </c>
      <c r="F9" s="1">
        <v>54.5</v>
      </c>
      <c r="G9" s="1">
        <v>0.91900000000000004</v>
      </c>
      <c r="H9" s="1">
        <v>0.53</v>
      </c>
      <c r="I9" s="1">
        <v>8.7999999999999995E-2</v>
      </c>
      <c r="J9" s="1">
        <v>0.8</v>
      </c>
      <c r="K9" s="1">
        <v>0.316455696202532</v>
      </c>
      <c r="L9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5.9085455696202533</v>
      </c>
    </row>
    <row r="10" spans="1:12" hidden="1" x14ac:dyDescent="0.35">
      <c r="A10" t="s">
        <v>12</v>
      </c>
      <c r="B10">
        <v>9</v>
      </c>
      <c r="C10" t="s">
        <v>21</v>
      </c>
      <c r="D10" s="1">
        <v>3.7682926829999999</v>
      </c>
      <c r="E10" s="1">
        <v>0.62568642612809799</v>
      </c>
      <c r="F10" s="1">
        <v>51.5</v>
      </c>
      <c r="G10" s="1">
        <v>0.90800000000000003</v>
      </c>
      <c r="H10" s="1">
        <v>0.86599999999999999</v>
      </c>
      <c r="I10" s="1">
        <v>0.35399999999999998</v>
      </c>
      <c r="J10" s="1">
        <v>0.92200000000000004</v>
      </c>
      <c r="K10" s="1">
        <v>0.227848101265823</v>
      </c>
      <c r="L10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5.7743848101265831</v>
      </c>
    </row>
    <row r="11" spans="1:12" hidden="1" x14ac:dyDescent="0.35">
      <c r="A11" t="s">
        <v>12</v>
      </c>
      <c r="B11">
        <v>10</v>
      </c>
      <c r="C11" t="s">
        <v>22</v>
      </c>
      <c r="D11" s="1">
        <v>3.085365854</v>
      </c>
      <c r="E11" s="1">
        <v>0.57390189450655904</v>
      </c>
      <c r="F11" s="1">
        <v>47.7</v>
      </c>
      <c r="G11" s="1">
        <v>0.90700000000000003</v>
      </c>
      <c r="H11" s="1">
        <v>0.5</v>
      </c>
      <c r="I11" s="1">
        <v>0.218</v>
      </c>
      <c r="J11" s="1">
        <v>0.627</v>
      </c>
      <c r="K11" s="1">
        <v>0.531645569620253</v>
      </c>
      <c r="L11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5.2545145569620253</v>
      </c>
    </row>
    <row r="12" spans="1:12" hidden="1" x14ac:dyDescent="0.35">
      <c r="A12" t="s">
        <v>12</v>
      </c>
      <c r="B12">
        <v>11</v>
      </c>
      <c r="C12" t="s">
        <v>23</v>
      </c>
      <c r="D12" s="1">
        <v>3.4756097559999999</v>
      </c>
      <c r="E12" s="1">
        <v>0.56317862243978201</v>
      </c>
      <c r="F12" s="1">
        <v>48.6</v>
      </c>
      <c r="G12" s="1">
        <v>0.90500000000000003</v>
      </c>
      <c r="H12" s="1">
        <v>0.628</v>
      </c>
      <c r="I12" s="1">
        <v>0.40100000000000002</v>
      </c>
      <c r="J12" s="1">
        <v>0.72499999999999998</v>
      </c>
      <c r="K12" s="1">
        <v>0.30379746835443</v>
      </c>
      <c r="L12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5.4076297468354433</v>
      </c>
    </row>
    <row r="13" spans="1:12" hidden="1" x14ac:dyDescent="0.35">
      <c r="A13" t="s">
        <v>12</v>
      </c>
      <c r="B13">
        <v>12</v>
      </c>
      <c r="C13" t="s">
        <v>24</v>
      </c>
      <c r="D13" s="1">
        <v>3.2804878049999999</v>
      </c>
      <c r="E13" s="1">
        <v>0.59485387808787904</v>
      </c>
      <c r="F13" s="1">
        <v>48.5</v>
      </c>
      <c r="G13" s="1">
        <v>0.91400000000000003</v>
      </c>
      <c r="H13" s="1">
        <v>0.57899999999999996</v>
      </c>
      <c r="I13" s="1">
        <v>0.27900000000000003</v>
      </c>
      <c r="J13" s="1">
        <v>0.69899999999999995</v>
      </c>
      <c r="K13" s="1">
        <v>0.151898734177215</v>
      </c>
      <c r="L13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5.3413898734177225</v>
      </c>
    </row>
    <row r="14" spans="1:12" hidden="1" x14ac:dyDescent="0.35">
      <c r="A14" t="s">
        <v>12</v>
      </c>
      <c r="B14">
        <v>13</v>
      </c>
      <c r="C14" t="s">
        <v>25</v>
      </c>
      <c r="D14" s="1">
        <v>3.292682927</v>
      </c>
      <c r="E14" s="1">
        <v>0.55452443254427097</v>
      </c>
      <c r="F14" s="1">
        <v>51.4</v>
      </c>
      <c r="G14" s="1">
        <v>0.89800000000000002</v>
      </c>
      <c r="H14" s="1">
        <v>0.64</v>
      </c>
      <c r="I14" s="1">
        <v>0.44900000000000001</v>
      </c>
      <c r="J14" s="1">
        <v>0.51300000000000001</v>
      </c>
      <c r="K14" s="1">
        <v>0.253164556962025</v>
      </c>
      <c r="L14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5.6843664556962032</v>
      </c>
    </row>
    <row r="15" spans="1:12" hidden="1" x14ac:dyDescent="0.35">
      <c r="A15" t="s">
        <v>12</v>
      </c>
      <c r="B15">
        <v>14</v>
      </c>
      <c r="C15" t="s">
        <v>26</v>
      </c>
      <c r="D15" s="1">
        <v>2.8658536589999999</v>
      </c>
      <c r="E15" s="1">
        <v>0.50642371777824602</v>
      </c>
      <c r="F15" s="1">
        <v>51.2</v>
      </c>
      <c r="G15" s="1">
        <v>0.90100000000000002</v>
      </c>
      <c r="H15" s="1">
        <v>0.39</v>
      </c>
      <c r="I15" s="1">
        <v>0.32</v>
      </c>
      <c r="J15" s="1">
        <v>0.29299999999999998</v>
      </c>
      <c r="K15" s="1">
        <v>0.253164556962025</v>
      </c>
      <c r="L15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5.5406664556962033</v>
      </c>
    </row>
    <row r="16" spans="1:12" hidden="1" x14ac:dyDescent="0.35">
      <c r="A16" t="s">
        <v>12</v>
      </c>
      <c r="B16">
        <v>15</v>
      </c>
      <c r="C16" t="s">
        <v>27</v>
      </c>
      <c r="D16" s="1">
        <v>2.8414634150000002</v>
      </c>
      <c r="E16" s="1">
        <v>0.47695146057544502</v>
      </c>
      <c r="F16" s="1">
        <v>50.8</v>
      </c>
      <c r="G16" s="1">
        <v>0.90400000000000003</v>
      </c>
      <c r="H16" s="1">
        <v>0.32900000000000001</v>
      </c>
      <c r="I16" s="1">
        <v>0.374</v>
      </c>
      <c r="J16" s="1">
        <v>0.59</v>
      </c>
      <c r="K16" s="1">
        <v>0.126582278481013</v>
      </c>
      <c r="L16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5.4929082278481003</v>
      </c>
    </row>
    <row r="17" spans="1:12" hidden="1" x14ac:dyDescent="0.35">
      <c r="A17" t="s">
        <v>12</v>
      </c>
      <c r="B17">
        <v>16</v>
      </c>
      <c r="C17" t="s">
        <v>28</v>
      </c>
      <c r="D17" s="1">
        <v>3.195121951</v>
      </c>
      <c r="E17" s="1">
        <v>0.52342463246507698</v>
      </c>
      <c r="F17" s="1">
        <v>55.7</v>
      </c>
      <c r="G17" s="1">
        <v>0.90600000000000003</v>
      </c>
      <c r="H17" s="1">
        <v>0.59799999999999998</v>
      </c>
      <c r="I17" s="1">
        <v>0.41499999999999998</v>
      </c>
      <c r="J17" s="1">
        <v>0.66700000000000004</v>
      </c>
      <c r="K17" s="1">
        <v>0.873417721518987</v>
      </c>
      <c r="L17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6.1641917721518995</v>
      </c>
    </row>
    <row r="18" spans="1:12" hidden="1" x14ac:dyDescent="0.35">
      <c r="A18" t="s">
        <v>12</v>
      </c>
      <c r="B18">
        <v>17</v>
      </c>
      <c r="C18" t="s">
        <v>29</v>
      </c>
      <c r="D18" s="1">
        <v>3.195121951</v>
      </c>
      <c r="E18" s="1">
        <v>0.53552816352004995</v>
      </c>
      <c r="F18" s="1">
        <v>57.2</v>
      </c>
      <c r="G18" s="1">
        <v>0.90100000000000002</v>
      </c>
      <c r="H18" s="1">
        <v>0.59099999999999997</v>
      </c>
      <c r="I18" s="1">
        <v>0.38100000000000001</v>
      </c>
      <c r="J18" s="1">
        <v>0.39700000000000002</v>
      </c>
      <c r="K18" s="1">
        <v>0.240506329113924</v>
      </c>
      <c r="L18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6.2271506329113935</v>
      </c>
    </row>
    <row r="19" spans="1:12" hidden="1" x14ac:dyDescent="0.35">
      <c r="A19" t="s">
        <v>12</v>
      </c>
      <c r="B19">
        <v>18</v>
      </c>
      <c r="C19" t="s">
        <v>30</v>
      </c>
      <c r="D19" s="1">
        <v>3</v>
      </c>
      <c r="E19" s="1">
        <v>0.53141547459100602</v>
      </c>
      <c r="F19" s="1">
        <v>51.7</v>
      </c>
      <c r="G19" s="1">
        <v>0.91200000000000003</v>
      </c>
      <c r="H19" s="1">
        <v>0.46300000000000002</v>
      </c>
      <c r="I19" s="1">
        <v>0.313</v>
      </c>
      <c r="J19" s="1">
        <v>0.48499999999999999</v>
      </c>
      <c r="K19" s="1">
        <v>0.291139240506329</v>
      </c>
      <c r="L19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5.6304139240506341</v>
      </c>
    </row>
    <row r="20" spans="1:12" hidden="1" x14ac:dyDescent="0.35">
      <c r="A20" t="s">
        <v>12</v>
      </c>
      <c r="B20">
        <v>19</v>
      </c>
      <c r="C20" t="s">
        <v>31</v>
      </c>
      <c r="D20" s="1">
        <v>3.0487804879999998</v>
      </c>
      <c r="E20" s="1">
        <v>0.49403599743891702</v>
      </c>
      <c r="F20" s="1">
        <v>52.3</v>
      </c>
      <c r="G20" s="1">
        <v>0.90700000000000003</v>
      </c>
      <c r="H20" s="1">
        <v>0.433</v>
      </c>
      <c r="I20" s="1">
        <v>0.42199999999999999</v>
      </c>
      <c r="J20" s="1">
        <v>0.40500000000000003</v>
      </c>
      <c r="K20" s="1">
        <v>0.392405063291139</v>
      </c>
      <c r="L20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5.7068405063291143</v>
      </c>
    </row>
    <row r="21" spans="1:12" hidden="1" x14ac:dyDescent="0.35">
      <c r="A21" t="s">
        <v>12</v>
      </c>
      <c r="B21">
        <v>20</v>
      </c>
      <c r="C21" t="s">
        <v>32</v>
      </c>
      <c r="D21" s="1">
        <v>2.792682927</v>
      </c>
      <c r="E21" s="1">
        <v>0.49565225610101898</v>
      </c>
      <c r="F21" s="1">
        <v>56.3</v>
      </c>
      <c r="G21" s="1">
        <v>0.91300000000000003</v>
      </c>
      <c r="H21" s="1">
        <v>0.38400000000000001</v>
      </c>
      <c r="I21" s="1">
        <v>0.29899999999999999</v>
      </c>
      <c r="J21" s="1">
        <v>0.75800000000000001</v>
      </c>
      <c r="K21" s="1">
        <v>0.405063291139241</v>
      </c>
      <c r="L21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6.085206329113924</v>
      </c>
    </row>
    <row r="22" spans="1:12" hidden="1" x14ac:dyDescent="0.35">
      <c r="A22" t="s">
        <v>12</v>
      </c>
      <c r="B22">
        <v>21</v>
      </c>
      <c r="C22" t="s">
        <v>33</v>
      </c>
      <c r="D22" s="1">
        <v>3.1463414630000002</v>
      </c>
      <c r="E22" s="1">
        <v>0.43007501308367702</v>
      </c>
      <c r="F22" s="1">
        <v>60.2</v>
      </c>
      <c r="G22" s="1">
        <v>0.89700000000000002</v>
      </c>
      <c r="H22" s="1">
        <v>0.57299999999999995</v>
      </c>
      <c r="I22" s="1">
        <v>0.71399999999999997</v>
      </c>
      <c r="J22" s="1">
        <v>0.44500000000000001</v>
      </c>
      <c r="K22" s="1">
        <v>0.253164556962025</v>
      </c>
      <c r="L22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6.5903164556962031</v>
      </c>
    </row>
    <row r="23" spans="1:12" hidden="1" x14ac:dyDescent="0.35">
      <c r="A23" t="s">
        <v>12</v>
      </c>
      <c r="B23">
        <v>22</v>
      </c>
      <c r="C23" t="s">
        <v>34</v>
      </c>
      <c r="D23" s="1">
        <v>2.5731707319999999</v>
      </c>
      <c r="E23" s="1">
        <v>0.39524333729869898</v>
      </c>
      <c r="F23" s="1">
        <v>60.1</v>
      </c>
      <c r="G23" s="1">
        <v>0.9</v>
      </c>
      <c r="H23" s="1">
        <v>0.25600000000000001</v>
      </c>
      <c r="I23" s="1">
        <v>0.48299999999999998</v>
      </c>
      <c r="J23" s="1">
        <v>0.68500000000000005</v>
      </c>
      <c r="K23" s="1">
        <v>0.392405063291139</v>
      </c>
      <c r="L23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6.4496905063291141</v>
      </c>
    </row>
    <row r="24" spans="1:12" hidden="1" x14ac:dyDescent="0.35">
      <c r="A24" t="s">
        <v>12</v>
      </c>
      <c r="B24">
        <v>23</v>
      </c>
      <c r="C24" t="s">
        <v>35</v>
      </c>
      <c r="D24" s="1">
        <v>2.7804878049999999</v>
      </c>
      <c r="E24" s="1">
        <v>0.42352941176470599</v>
      </c>
      <c r="F24" s="1">
        <v>59.8</v>
      </c>
      <c r="G24" s="1">
        <v>0.90200000000000002</v>
      </c>
      <c r="H24" s="1">
        <v>0.34100000000000003</v>
      </c>
      <c r="I24" s="1">
        <v>0.49</v>
      </c>
      <c r="J24" s="1">
        <v>0.63500000000000001</v>
      </c>
      <c r="K24" s="1">
        <v>0.455696202531646</v>
      </c>
      <c r="L24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6.4550696202531643</v>
      </c>
    </row>
    <row r="25" spans="1:12" hidden="1" x14ac:dyDescent="0.35">
      <c r="A25" t="s">
        <v>12</v>
      </c>
      <c r="B25">
        <v>24</v>
      </c>
      <c r="C25" t="s">
        <v>36</v>
      </c>
      <c r="D25" s="1">
        <v>2.792682927</v>
      </c>
      <c r="E25" s="1">
        <v>0.38899933239373902</v>
      </c>
      <c r="F25" s="1">
        <v>46</v>
      </c>
      <c r="G25" s="1">
        <v>0.89400000000000002</v>
      </c>
      <c r="H25" s="1">
        <v>0.34100000000000003</v>
      </c>
      <c r="I25" s="1">
        <v>0.70099999999999996</v>
      </c>
      <c r="J25" s="1">
        <v>0.45800000000000002</v>
      </c>
      <c r="K25" s="1">
        <v>0.30379746835443</v>
      </c>
      <c r="L25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5.0916297468354434</v>
      </c>
    </row>
    <row r="26" spans="1:12" hidden="1" x14ac:dyDescent="0.35">
      <c r="A26" t="s">
        <v>12</v>
      </c>
      <c r="B26">
        <v>25</v>
      </c>
      <c r="C26" t="s">
        <v>37</v>
      </c>
      <c r="D26" s="1">
        <v>2.7682926829999999</v>
      </c>
      <c r="E26" s="1">
        <v>0.34904388704116401</v>
      </c>
      <c r="F26" s="1">
        <v>43.9</v>
      </c>
      <c r="G26" s="1">
        <v>0.88800000000000001</v>
      </c>
      <c r="H26" s="1">
        <v>0.32300000000000001</v>
      </c>
      <c r="I26" s="1">
        <v>0.89800000000000002</v>
      </c>
      <c r="J26" s="1">
        <v>0.2</v>
      </c>
      <c r="K26" s="1">
        <v>0.405063291139241</v>
      </c>
      <c r="L26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4.9107563291139238</v>
      </c>
    </row>
    <row r="27" spans="1:12" hidden="1" x14ac:dyDescent="0.35">
      <c r="A27" t="s">
        <v>12</v>
      </c>
      <c r="B27">
        <v>26</v>
      </c>
      <c r="C27" t="s">
        <v>38</v>
      </c>
      <c r="D27" s="1">
        <v>2.7317073170000001</v>
      </c>
      <c r="E27" s="1">
        <v>0.41857981847303799</v>
      </c>
      <c r="F27" s="1">
        <v>44.3</v>
      </c>
      <c r="G27" s="1">
        <v>0.90400000000000003</v>
      </c>
      <c r="H27" s="1">
        <v>0.29299999999999998</v>
      </c>
      <c r="I27" s="1">
        <v>0.57099999999999995</v>
      </c>
      <c r="J27" s="1">
        <v>0.53</v>
      </c>
      <c r="K27" s="1">
        <v>0.544303797468354</v>
      </c>
      <c r="L27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4.9084803797468357</v>
      </c>
    </row>
    <row r="28" spans="1:12" hidden="1" x14ac:dyDescent="0.35">
      <c r="A28" t="s">
        <v>12</v>
      </c>
      <c r="B28">
        <v>27</v>
      </c>
      <c r="C28" t="s">
        <v>39</v>
      </c>
      <c r="D28" s="1">
        <v>2.597560976</v>
      </c>
      <c r="E28" s="1">
        <v>0.35199782760493398</v>
      </c>
      <c r="F28" s="1">
        <v>44.8</v>
      </c>
      <c r="G28" s="1">
        <v>0.89300000000000002</v>
      </c>
      <c r="H28" s="1">
        <v>0.20100000000000001</v>
      </c>
      <c r="I28" s="1">
        <v>0.70099999999999996</v>
      </c>
      <c r="J28" s="1">
        <v>0.38300000000000001</v>
      </c>
      <c r="K28" s="1">
        <v>0.278481012658228</v>
      </c>
      <c r="L28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4.916148101265823</v>
      </c>
    </row>
    <row r="29" spans="1:12" hidden="1" x14ac:dyDescent="0.35">
      <c r="A29" t="s">
        <v>12</v>
      </c>
      <c r="B29">
        <v>28</v>
      </c>
      <c r="C29" t="s">
        <v>40</v>
      </c>
      <c r="D29" s="1">
        <v>2.9878048779999999</v>
      </c>
      <c r="E29" s="1">
        <v>0.39691461293799501</v>
      </c>
      <c r="F29" s="1">
        <v>53</v>
      </c>
      <c r="G29" s="1">
        <v>0.88100000000000001</v>
      </c>
      <c r="H29" s="1">
        <v>0.48199999999999998</v>
      </c>
      <c r="I29" s="1">
        <v>0.78900000000000003</v>
      </c>
      <c r="J29" s="1">
        <v>0.39500000000000002</v>
      </c>
      <c r="K29" s="1">
        <v>0.30379746835443</v>
      </c>
      <c r="L29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5.852829746835444</v>
      </c>
    </row>
    <row r="30" spans="1:12" hidden="1" x14ac:dyDescent="0.35">
      <c r="A30" t="s">
        <v>12</v>
      </c>
      <c r="B30">
        <v>29</v>
      </c>
      <c r="C30" t="s">
        <v>41</v>
      </c>
      <c r="D30" s="1">
        <v>2.5609756099999998</v>
      </c>
      <c r="E30" s="1">
        <v>0.337837837837838</v>
      </c>
      <c r="F30" s="1">
        <v>52.4</v>
      </c>
      <c r="G30" s="1">
        <v>0.89400000000000002</v>
      </c>
      <c r="H30" s="1">
        <v>0.27400000000000002</v>
      </c>
      <c r="I30" s="1">
        <v>0.73499999999999999</v>
      </c>
      <c r="J30" s="1">
        <v>0.13900000000000001</v>
      </c>
      <c r="K30" s="1">
        <v>0.417721518987342</v>
      </c>
      <c r="L30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5.7104221518987348</v>
      </c>
    </row>
    <row r="31" spans="1:12" hidden="1" x14ac:dyDescent="0.35">
      <c r="A31" t="s">
        <v>12</v>
      </c>
      <c r="B31">
        <v>30</v>
      </c>
      <c r="C31" t="s">
        <v>42</v>
      </c>
      <c r="D31" s="1">
        <v>2.597560976</v>
      </c>
      <c r="E31" s="1">
        <v>0.36</v>
      </c>
      <c r="F31" s="1">
        <v>53.2</v>
      </c>
      <c r="G31" s="1">
        <v>0.88</v>
      </c>
      <c r="H31" s="1">
        <v>0.28699999999999998</v>
      </c>
      <c r="I31" s="1">
        <v>0.65300000000000002</v>
      </c>
      <c r="J31" s="1">
        <v>0.17799999999999999</v>
      </c>
      <c r="K31" s="1">
        <v>0.354430379746835</v>
      </c>
      <c r="L31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5.7713930379746845</v>
      </c>
    </row>
    <row r="32" spans="1:12" hidden="1" x14ac:dyDescent="0.35">
      <c r="A32" t="s">
        <v>12</v>
      </c>
      <c r="B32">
        <v>31</v>
      </c>
      <c r="C32" t="s">
        <v>43</v>
      </c>
      <c r="D32" s="1">
        <v>2.5121951220000001</v>
      </c>
      <c r="E32" s="1">
        <v>0.30769230769230799</v>
      </c>
      <c r="F32" s="1">
        <v>54.8</v>
      </c>
      <c r="G32" s="1">
        <v>0.89400000000000002</v>
      </c>
      <c r="H32" s="1">
        <v>0.21299999999999999</v>
      </c>
      <c r="I32" s="1">
        <v>0.78200000000000003</v>
      </c>
      <c r="J32" s="1">
        <v>0.158</v>
      </c>
      <c r="K32" s="1">
        <v>0.569620253164557</v>
      </c>
      <c r="L32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5.9546120253164565</v>
      </c>
    </row>
    <row r="33" spans="1:12" hidden="1" x14ac:dyDescent="0.35">
      <c r="A33" t="s">
        <v>12</v>
      </c>
      <c r="B33">
        <v>32</v>
      </c>
      <c r="C33" t="s">
        <v>44</v>
      </c>
      <c r="D33" s="1">
        <v>2.6585365849999998</v>
      </c>
      <c r="E33" s="1">
        <v>0.32107990514346701</v>
      </c>
      <c r="F33" s="1">
        <v>47.9</v>
      </c>
      <c r="G33" s="1">
        <v>0.88800000000000001</v>
      </c>
      <c r="H33" s="1">
        <v>0.28000000000000003</v>
      </c>
      <c r="I33" s="1">
        <v>0.95199999999999996</v>
      </c>
      <c r="J33" s="1">
        <v>0.17199999999999999</v>
      </c>
      <c r="K33" s="1">
        <v>0.569620253164557</v>
      </c>
      <c r="L33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5.3215620253164566</v>
      </c>
    </row>
    <row r="34" spans="1:12" hidden="1" x14ac:dyDescent="0.35">
      <c r="A34" t="s">
        <v>45</v>
      </c>
      <c r="B34">
        <v>1</v>
      </c>
      <c r="C34" t="s">
        <v>22</v>
      </c>
      <c r="D34" s="1">
        <v>3.6707317069999998</v>
      </c>
      <c r="E34" s="1">
        <v>0.74953051448993602</v>
      </c>
      <c r="F34" s="1">
        <v>45</v>
      </c>
      <c r="G34" s="1">
        <v>0.92900000000000005</v>
      </c>
      <c r="H34" s="1">
        <v>0.77400000000000002</v>
      </c>
      <c r="I34" s="1">
        <v>0</v>
      </c>
      <c r="J34" s="1">
        <v>0.86799999999999999</v>
      </c>
      <c r="K34" s="1">
        <v>0.607594936708861</v>
      </c>
      <c r="L34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5.0608594936708871</v>
      </c>
    </row>
    <row r="35" spans="1:12" hidden="1" x14ac:dyDescent="0.35">
      <c r="A35" t="s">
        <v>45</v>
      </c>
      <c r="B35">
        <v>2</v>
      </c>
      <c r="C35" t="s">
        <v>15</v>
      </c>
      <c r="D35" s="1">
        <v>3.195121951</v>
      </c>
      <c r="E35" s="1">
        <v>0.60884836443624502</v>
      </c>
      <c r="F35" s="1">
        <v>48.3</v>
      </c>
      <c r="G35" s="1">
        <v>0.90200000000000002</v>
      </c>
      <c r="H35" s="1">
        <v>0.54900000000000004</v>
      </c>
      <c r="I35" s="1">
        <v>0.21099999999999999</v>
      </c>
      <c r="J35" s="1">
        <v>0.68400000000000005</v>
      </c>
      <c r="K35" s="1">
        <v>0.227848101265823</v>
      </c>
      <c r="L35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5.3017348101265824</v>
      </c>
    </row>
    <row r="36" spans="1:12" hidden="1" x14ac:dyDescent="0.35">
      <c r="A36" t="s">
        <v>45</v>
      </c>
      <c r="B36">
        <v>3</v>
      </c>
      <c r="C36" t="s">
        <v>40</v>
      </c>
      <c r="D36" s="1">
        <v>3.5243902440000001</v>
      </c>
      <c r="E36" s="1">
        <v>0.62889951432551505</v>
      </c>
      <c r="F36" s="1">
        <v>49</v>
      </c>
      <c r="G36" s="1">
        <v>0.90400000000000003</v>
      </c>
      <c r="H36" s="1">
        <v>0.68300000000000005</v>
      </c>
      <c r="I36" s="1">
        <v>0.23100000000000001</v>
      </c>
      <c r="J36" s="1">
        <v>0.69599999999999995</v>
      </c>
      <c r="K36" s="1">
        <v>0.253164556962025</v>
      </c>
      <c r="L36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5.4261664556962019</v>
      </c>
    </row>
    <row r="37" spans="1:12" hidden="1" x14ac:dyDescent="0.35">
      <c r="A37" t="s">
        <v>45</v>
      </c>
      <c r="B37">
        <v>4</v>
      </c>
      <c r="C37" t="s">
        <v>29</v>
      </c>
      <c r="D37" s="1">
        <v>3.2560975609999998</v>
      </c>
      <c r="E37" s="1">
        <v>0.58474826517053002</v>
      </c>
      <c r="F37" s="1">
        <v>48.9</v>
      </c>
      <c r="G37" s="1">
        <v>0.91100000000000003</v>
      </c>
      <c r="H37" s="1">
        <v>0.59099999999999997</v>
      </c>
      <c r="I37" s="1">
        <v>0.27900000000000003</v>
      </c>
      <c r="J37" s="1">
        <v>0.46300000000000002</v>
      </c>
      <c r="K37" s="1">
        <v>0.189873417721519</v>
      </c>
      <c r="L37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5.3769873417721525</v>
      </c>
    </row>
    <row r="38" spans="1:12" hidden="1" x14ac:dyDescent="0.35">
      <c r="A38" t="s">
        <v>45</v>
      </c>
      <c r="B38">
        <v>5</v>
      </c>
      <c r="C38" t="s">
        <v>16</v>
      </c>
      <c r="D38" s="1">
        <v>3.3902439019999999</v>
      </c>
      <c r="E38" s="1">
        <v>0.61490722765029804</v>
      </c>
      <c r="F38" s="1">
        <v>51.6</v>
      </c>
      <c r="G38" s="1">
        <v>0.90900000000000003</v>
      </c>
      <c r="H38" s="1">
        <v>0.67100000000000004</v>
      </c>
      <c r="I38" s="1">
        <v>0.23100000000000001</v>
      </c>
      <c r="J38" s="1">
        <v>0.81200000000000006</v>
      </c>
      <c r="K38" s="1">
        <v>0.341772151898734</v>
      </c>
      <c r="L38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5.6976272151898737</v>
      </c>
    </row>
    <row r="39" spans="1:12" hidden="1" x14ac:dyDescent="0.35">
      <c r="A39" t="s">
        <v>45</v>
      </c>
      <c r="B39">
        <v>6</v>
      </c>
      <c r="C39" t="s">
        <v>14</v>
      </c>
      <c r="D39" s="1">
        <v>3.3414634150000002</v>
      </c>
      <c r="E39" s="1">
        <v>0.60154641240334905</v>
      </c>
      <c r="F39" s="1">
        <v>53.7</v>
      </c>
      <c r="G39" s="1">
        <v>0.91200000000000003</v>
      </c>
      <c r="H39" s="1">
        <v>0.64600000000000002</v>
      </c>
      <c r="I39" s="1">
        <v>0.23100000000000001</v>
      </c>
      <c r="J39" s="1">
        <v>0.66300000000000003</v>
      </c>
      <c r="K39" s="1">
        <v>0.316455696202532</v>
      </c>
      <c r="L39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5.8894955696202542</v>
      </c>
    </row>
    <row r="40" spans="1:12" hidden="1" x14ac:dyDescent="0.35">
      <c r="A40" t="s">
        <v>45</v>
      </c>
      <c r="B40">
        <v>7</v>
      </c>
      <c r="C40" t="s">
        <v>23</v>
      </c>
      <c r="D40" s="1">
        <v>3.9634146339999998</v>
      </c>
      <c r="E40" s="1">
        <v>0.61710903768966097</v>
      </c>
      <c r="F40" s="1">
        <v>50.6</v>
      </c>
      <c r="G40" s="1">
        <v>0.9</v>
      </c>
      <c r="H40" s="1">
        <v>0.90900000000000003</v>
      </c>
      <c r="I40" s="1">
        <v>0.42899999999999999</v>
      </c>
      <c r="J40" s="1">
        <v>0.86199999999999999</v>
      </c>
      <c r="K40" s="1">
        <v>0.367088607594937</v>
      </c>
      <c r="L40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5.723758860759494</v>
      </c>
    </row>
    <row r="41" spans="1:12" hidden="1" x14ac:dyDescent="0.35">
      <c r="A41" t="s">
        <v>45</v>
      </c>
      <c r="B41">
        <v>8</v>
      </c>
      <c r="C41" t="s">
        <v>27</v>
      </c>
      <c r="D41" s="1">
        <v>3.4268292680000001</v>
      </c>
      <c r="E41" s="1">
        <v>0.63074944482609896</v>
      </c>
      <c r="F41" s="1">
        <v>46</v>
      </c>
      <c r="G41" s="1">
        <v>0.91200000000000003</v>
      </c>
      <c r="H41" s="1">
        <v>0.67100000000000004</v>
      </c>
      <c r="I41" s="1">
        <v>0.26500000000000001</v>
      </c>
      <c r="J41" s="1">
        <v>0.83299999999999996</v>
      </c>
      <c r="K41" s="1">
        <v>0.265822784810127</v>
      </c>
      <c r="L41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5.1384822784810131</v>
      </c>
    </row>
    <row r="42" spans="1:12" hidden="1" x14ac:dyDescent="0.35">
      <c r="A42" t="s">
        <v>45</v>
      </c>
      <c r="B42">
        <v>9</v>
      </c>
      <c r="C42" t="s">
        <v>20</v>
      </c>
      <c r="D42" s="1">
        <v>3.3292682930000002</v>
      </c>
      <c r="E42" s="1">
        <v>0.61500185666542895</v>
      </c>
      <c r="F42" s="1">
        <v>46.1</v>
      </c>
      <c r="G42" s="1">
        <v>0.91</v>
      </c>
      <c r="H42" s="1">
        <v>0.59799999999999998</v>
      </c>
      <c r="I42" s="1">
        <v>0.20399999999999999</v>
      </c>
      <c r="J42" s="1">
        <v>0.72199999999999998</v>
      </c>
      <c r="K42" s="1">
        <v>0.240506329113924</v>
      </c>
      <c r="L42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5.1022506329113932</v>
      </c>
    </row>
    <row r="43" spans="1:12" hidden="1" x14ac:dyDescent="0.35">
      <c r="A43" t="s">
        <v>45</v>
      </c>
      <c r="B43">
        <v>10</v>
      </c>
      <c r="C43" t="s">
        <v>26</v>
      </c>
      <c r="D43" s="1">
        <v>3.3414634150000002</v>
      </c>
      <c r="E43" s="1">
        <v>0.53782451716430701</v>
      </c>
      <c r="F43" s="1">
        <v>46.5</v>
      </c>
      <c r="G43" s="1">
        <v>0.88900000000000001</v>
      </c>
      <c r="H43" s="1">
        <v>0.59799999999999998</v>
      </c>
      <c r="I43" s="1">
        <v>0.47599999999999998</v>
      </c>
      <c r="J43" s="1">
        <v>0.57999999999999996</v>
      </c>
      <c r="K43" s="1">
        <v>0.367088607594937</v>
      </c>
      <c r="L43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5.1980088607594945</v>
      </c>
    </row>
    <row r="44" spans="1:12" hidden="1" x14ac:dyDescent="0.35">
      <c r="A44" t="s">
        <v>45</v>
      </c>
      <c r="B44">
        <v>11</v>
      </c>
      <c r="C44" t="s">
        <v>17</v>
      </c>
      <c r="D44" s="1">
        <v>2.914634146</v>
      </c>
      <c r="E44" s="1">
        <v>0.54358500980186897</v>
      </c>
      <c r="F44" s="1">
        <v>48.6</v>
      </c>
      <c r="G44" s="1">
        <v>0.91400000000000003</v>
      </c>
      <c r="H44" s="1">
        <v>0.372</v>
      </c>
      <c r="I44" s="1">
        <v>0.19</v>
      </c>
      <c r="J44" s="1">
        <v>0.66</v>
      </c>
      <c r="K44" s="1">
        <v>0.708860759493671</v>
      </c>
      <c r="L44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5.314886075949369</v>
      </c>
    </row>
    <row r="45" spans="1:12" hidden="1" x14ac:dyDescent="0.35">
      <c r="A45" t="s">
        <v>45</v>
      </c>
      <c r="B45">
        <v>12</v>
      </c>
      <c r="C45" t="s">
        <v>42</v>
      </c>
      <c r="D45" s="1">
        <v>3.5243902440000001</v>
      </c>
      <c r="E45" s="1">
        <v>0.56807345689508604</v>
      </c>
      <c r="F45" s="1">
        <v>52.5</v>
      </c>
      <c r="G45" s="1">
        <v>0.88600000000000001</v>
      </c>
      <c r="H45" s="1">
        <v>0.75</v>
      </c>
      <c r="I45" s="1">
        <v>0.46899999999999997</v>
      </c>
      <c r="J45" s="1">
        <v>0.41899999999999998</v>
      </c>
      <c r="K45" s="1">
        <v>0.354430379746835</v>
      </c>
      <c r="L45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5.8398930379746838</v>
      </c>
    </row>
    <row r="46" spans="1:12" hidden="1" x14ac:dyDescent="0.35">
      <c r="A46" t="s">
        <v>45</v>
      </c>
      <c r="B46">
        <v>13</v>
      </c>
      <c r="C46" t="s">
        <v>19</v>
      </c>
      <c r="D46" s="1">
        <v>3.414634146</v>
      </c>
      <c r="E46" s="1">
        <v>0.55248618784530401</v>
      </c>
      <c r="F46" s="1">
        <v>52.2</v>
      </c>
      <c r="G46" s="1">
        <v>0.90200000000000002</v>
      </c>
      <c r="H46" s="1">
        <v>0.71299999999999997</v>
      </c>
      <c r="I46" s="1">
        <v>0.45600000000000002</v>
      </c>
      <c r="J46" s="1">
        <v>0.71499999999999997</v>
      </c>
      <c r="K46" s="1">
        <v>0.810126582278481</v>
      </c>
      <c r="L46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5.8579126582278489</v>
      </c>
    </row>
    <row r="47" spans="1:12" hidden="1" x14ac:dyDescent="0.35">
      <c r="A47" t="s">
        <v>45</v>
      </c>
      <c r="B47">
        <v>14</v>
      </c>
      <c r="C47" t="s">
        <v>31</v>
      </c>
      <c r="D47" s="1">
        <v>3</v>
      </c>
      <c r="E47" s="1">
        <v>0.54670617569472002</v>
      </c>
      <c r="F47" s="1">
        <v>55.6</v>
      </c>
      <c r="G47" s="1">
        <v>0.91</v>
      </c>
      <c r="H47" s="1">
        <v>0.51800000000000002</v>
      </c>
      <c r="I47" s="1">
        <v>0.245</v>
      </c>
      <c r="J47" s="1">
        <v>0.59899999999999998</v>
      </c>
      <c r="K47" s="1">
        <v>0.354430379746835</v>
      </c>
      <c r="L47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6.0376930379746856</v>
      </c>
    </row>
    <row r="48" spans="1:12" hidden="1" x14ac:dyDescent="0.35">
      <c r="A48" t="s">
        <v>45</v>
      </c>
      <c r="B48">
        <v>15</v>
      </c>
      <c r="C48" t="s">
        <v>18</v>
      </c>
      <c r="D48" s="1">
        <v>3.1463414630000002</v>
      </c>
      <c r="E48" s="1">
        <v>0.52177184827510503</v>
      </c>
      <c r="F48" s="1">
        <v>54.5</v>
      </c>
      <c r="G48" s="1">
        <v>0.89</v>
      </c>
      <c r="H48" s="1">
        <v>0.53700000000000003</v>
      </c>
      <c r="I48" s="1">
        <v>0.38100000000000001</v>
      </c>
      <c r="J48" s="1">
        <v>0.625</v>
      </c>
      <c r="K48" s="1">
        <v>0.443037974683544</v>
      </c>
      <c r="L48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5.9677037974683547</v>
      </c>
    </row>
    <row r="49" spans="1:12" hidden="1" x14ac:dyDescent="0.35">
      <c r="A49" t="s">
        <v>45</v>
      </c>
      <c r="B49">
        <v>16</v>
      </c>
      <c r="C49" t="s">
        <v>32</v>
      </c>
      <c r="D49" s="1">
        <v>2.9512195120000002</v>
      </c>
      <c r="E49" s="1">
        <v>0.55430513094753597</v>
      </c>
      <c r="F49" s="1">
        <v>56.6</v>
      </c>
      <c r="G49" s="1">
        <v>0.91500000000000004</v>
      </c>
      <c r="H49" s="1">
        <v>0.53</v>
      </c>
      <c r="I49" s="1">
        <v>0.224</v>
      </c>
      <c r="J49" s="1">
        <v>0.47099999999999997</v>
      </c>
      <c r="K49" s="1">
        <v>0.291139240506329</v>
      </c>
      <c r="L49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6.1259639240506338</v>
      </c>
    </row>
    <row r="50" spans="1:12" hidden="1" x14ac:dyDescent="0.35">
      <c r="A50" t="s">
        <v>45</v>
      </c>
      <c r="B50">
        <v>17</v>
      </c>
      <c r="C50" t="s">
        <v>13</v>
      </c>
      <c r="D50" s="1">
        <v>3.5121951220000001</v>
      </c>
      <c r="E50" s="1">
        <v>0.52854812398042395</v>
      </c>
      <c r="F50" s="1">
        <v>54.3</v>
      </c>
      <c r="G50" s="1">
        <v>0.89600000000000002</v>
      </c>
      <c r="H50" s="1">
        <v>0.76800000000000002</v>
      </c>
      <c r="I50" s="1">
        <v>0.60499999999999998</v>
      </c>
      <c r="J50" s="1">
        <v>0.499</v>
      </c>
      <c r="K50" s="1">
        <v>0.822784810126582</v>
      </c>
      <c r="L50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6.1062284810126561</v>
      </c>
    </row>
    <row r="51" spans="1:12" hidden="1" x14ac:dyDescent="0.35">
      <c r="A51" t="s">
        <v>45</v>
      </c>
      <c r="B51">
        <v>18</v>
      </c>
      <c r="C51" t="s">
        <v>28</v>
      </c>
      <c r="D51" s="1">
        <v>2.7195121950000001</v>
      </c>
      <c r="E51" s="1">
        <v>0.47170026084894501</v>
      </c>
      <c r="F51" s="1">
        <v>56.2</v>
      </c>
      <c r="G51" s="1">
        <v>0.91400000000000003</v>
      </c>
      <c r="H51" s="1">
        <v>0.317</v>
      </c>
      <c r="I51" s="1">
        <v>0.30599999999999999</v>
      </c>
      <c r="J51" s="1">
        <v>0.54600000000000004</v>
      </c>
      <c r="K51" s="1">
        <v>0.493670886075949</v>
      </c>
      <c r="L51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6.0516170886075971</v>
      </c>
    </row>
    <row r="52" spans="1:12" hidden="1" x14ac:dyDescent="0.35">
      <c r="A52" t="s">
        <v>45</v>
      </c>
      <c r="B52">
        <v>19</v>
      </c>
      <c r="C52" t="s">
        <v>36</v>
      </c>
      <c r="D52" s="1">
        <v>3.5731707319999999</v>
      </c>
      <c r="E52" s="1">
        <v>0.49322065058773501</v>
      </c>
      <c r="F52" s="1">
        <v>55.4</v>
      </c>
      <c r="G52" s="1">
        <v>0.89</v>
      </c>
      <c r="H52" s="1">
        <v>0.72599999999999998</v>
      </c>
      <c r="I52" s="1">
        <v>0.68</v>
      </c>
      <c r="J52" s="1">
        <v>0.41899999999999998</v>
      </c>
      <c r="K52" s="1">
        <v>0.215189873417722</v>
      </c>
      <c r="L52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6.1505689873417726</v>
      </c>
    </row>
    <row r="53" spans="1:12" hidden="1" x14ac:dyDescent="0.35">
      <c r="A53" t="s">
        <v>45</v>
      </c>
      <c r="B53">
        <v>20</v>
      </c>
      <c r="C53" t="s">
        <v>24</v>
      </c>
      <c r="D53" s="1">
        <v>3.1829268289999999</v>
      </c>
      <c r="E53" s="1">
        <v>0.49618326170879201</v>
      </c>
      <c r="F53" s="1">
        <v>54.1</v>
      </c>
      <c r="G53" s="1">
        <v>0.90200000000000002</v>
      </c>
      <c r="H53" s="1">
        <v>0.56699999999999995</v>
      </c>
      <c r="I53" s="1">
        <v>0.51700000000000002</v>
      </c>
      <c r="J53" s="1">
        <v>0.56899999999999995</v>
      </c>
      <c r="K53" s="1">
        <v>0.367088607594937</v>
      </c>
      <c r="L53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5.9574088607594939</v>
      </c>
    </row>
    <row r="54" spans="1:12" hidden="1" x14ac:dyDescent="0.35">
      <c r="A54" t="s">
        <v>45</v>
      </c>
      <c r="B54">
        <v>21</v>
      </c>
      <c r="C54" t="s">
        <v>38</v>
      </c>
      <c r="D54" s="1">
        <v>3.1585365849999998</v>
      </c>
      <c r="E54" s="1">
        <v>0.47921503632635898</v>
      </c>
      <c r="F54" s="1">
        <v>52.3</v>
      </c>
      <c r="G54" s="1">
        <v>0.89500000000000002</v>
      </c>
      <c r="H54" s="1">
        <v>0.56100000000000005</v>
      </c>
      <c r="I54" s="1">
        <v>0.55800000000000005</v>
      </c>
      <c r="J54" s="1">
        <v>0.66500000000000004</v>
      </c>
      <c r="K54" s="1">
        <v>0.848101265822785</v>
      </c>
      <c r="L54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5.8350101265822794</v>
      </c>
    </row>
    <row r="55" spans="1:12" hidden="1" x14ac:dyDescent="0.35">
      <c r="A55" t="s">
        <v>45</v>
      </c>
      <c r="B55">
        <v>22</v>
      </c>
      <c r="C55" t="s">
        <v>30</v>
      </c>
      <c r="D55" s="1">
        <v>3.292682927</v>
      </c>
      <c r="E55" s="1">
        <v>0.45416033292631303</v>
      </c>
      <c r="F55" s="1">
        <v>54.4</v>
      </c>
      <c r="G55" s="1">
        <v>0.88300000000000001</v>
      </c>
      <c r="H55" s="1">
        <v>0.60399999999999998</v>
      </c>
      <c r="I55" s="1">
        <v>0.70099999999999996</v>
      </c>
      <c r="J55" s="1">
        <v>0.34599999999999997</v>
      </c>
      <c r="K55" s="1">
        <v>0.417721518987342</v>
      </c>
      <c r="L55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6.0272721518987344</v>
      </c>
    </row>
    <row r="56" spans="1:12" hidden="1" x14ac:dyDescent="0.35">
      <c r="A56" t="s">
        <v>45</v>
      </c>
      <c r="B56">
        <v>23</v>
      </c>
      <c r="C56" t="s">
        <v>21</v>
      </c>
      <c r="D56" s="1">
        <v>3.1707317069999998</v>
      </c>
      <c r="E56" s="1">
        <v>0.43221400987186998</v>
      </c>
      <c r="F56" s="1">
        <v>53.8</v>
      </c>
      <c r="G56" s="1">
        <v>0.88800000000000001</v>
      </c>
      <c r="H56" s="1">
        <v>0.49399999999999999</v>
      </c>
      <c r="I56" s="1">
        <v>0.69399999999999995</v>
      </c>
      <c r="J56" s="1">
        <v>0.255</v>
      </c>
      <c r="K56" s="1">
        <v>0.265822784810127</v>
      </c>
      <c r="L56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5.9086322784810124</v>
      </c>
    </row>
    <row r="57" spans="1:12" hidden="1" x14ac:dyDescent="0.35">
      <c r="A57" t="s">
        <v>45</v>
      </c>
      <c r="B57">
        <v>24</v>
      </c>
      <c r="C57" t="s">
        <v>25</v>
      </c>
      <c r="D57" s="1">
        <v>3.085365854</v>
      </c>
      <c r="E57" s="1">
        <v>0.484439567093014</v>
      </c>
      <c r="F57" s="1">
        <v>51.3</v>
      </c>
      <c r="G57" s="1">
        <v>0.89800000000000002</v>
      </c>
      <c r="H57" s="1">
        <v>0.51800000000000002</v>
      </c>
      <c r="I57" s="1">
        <v>0.49</v>
      </c>
      <c r="J57" s="1">
        <v>0.64700000000000002</v>
      </c>
      <c r="K57" s="1">
        <v>0.379746835443038</v>
      </c>
      <c r="L57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5.6592246835443039</v>
      </c>
    </row>
    <row r="58" spans="1:12" hidden="1" x14ac:dyDescent="0.35">
      <c r="A58" t="s">
        <v>45</v>
      </c>
      <c r="B58">
        <v>25</v>
      </c>
      <c r="C58" t="s">
        <v>37</v>
      </c>
      <c r="D58" s="1">
        <v>2.8902439019999999</v>
      </c>
      <c r="E58" s="1">
        <v>0.42618783859659798</v>
      </c>
      <c r="F58" s="1">
        <v>49.6</v>
      </c>
      <c r="G58" s="1">
        <v>0.89</v>
      </c>
      <c r="H58" s="1">
        <v>0.40200000000000002</v>
      </c>
      <c r="I58" s="1">
        <v>0.60499999999999998</v>
      </c>
      <c r="J58" s="1">
        <v>0.52100000000000002</v>
      </c>
      <c r="K58" s="1">
        <v>0.30379746835443</v>
      </c>
      <c r="L58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5.4561297468354439</v>
      </c>
    </row>
    <row r="59" spans="1:12" hidden="1" x14ac:dyDescent="0.35">
      <c r="A59" t="s">
        <v>45</v>
      </c>
      <c r="B59">
        <v>26</v>
      </c>
      <c r="C59" t="s">
        <v>41</v>
      </c>
      <c r="D59" s="1">
        <v>2.6829268289999999</v>
      </c>
      <c r="E59" s="1">
        <v>0.38851785255587001</v>
      </c>
      <c r="F59" s="1">
        <v>50.3</v>
      </c>
      <c r="G59" s="1">
        <v>0.89300000000000002</v>
      </c>
      <c r="H59" s="1">
        <v>0.28000000000000003</v>
      </c>
      <c r="I59" s="1">
        <v>0.57799999999999996</v>
      </c>
      <c r="J59" s="1">
        <v>0.20599999999999999</v>
      </c>
      <c r="K59" s="1">
        <v>0.59493670886076</v>
      </c>
      <c r="L59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5.4919936708860764</v>
      </c>
    </row>
    <row r="60" spans="1:12" hidden="1" x14ac:dyDescent="0.35">
      <c r="A60" t="s">
        <v>45</v>
      </c>
      <c r="B60">
        <v>27</v>
      </c>
      <c r="C60" t="s">
        <v>43</v>
      </c>
      <c r="D60" s="1">
        <v>2.7439024390000002</v>
      </c>
      <c r="E60" s="1">
        <v>0.36778060297856902</v>
      </c>
      <c r="F60" s="1">
        <v>48</v>
      </c>
      <c r="G60" s="1">
        <v>0.89700000000000002</v>
      </c>
      <c r="H60" s="1">
        <v>0.28699999999999998</v>
      </c>
      <c r="I60" s="1">
        <v>0.70099999999999996</v>
      </c>
      <c r="J60" s="1">
        <v>0.318</v>
      </c>
      <c r="K60" s="1">
        <v>0.784810126582279</v>
      </c>
      <c r="L60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5.3144310126582299</v>
      </c>
    </row>
    <row r="61" spans="1:12" hidden="1" x14ac:dyDescent="0.35">
      <c r="A61" t="s">
        <v>45</v>
      </c>
      <c r="B61">
        <v>28</v>
      </c>
      <c r="C61" t="s">
        <v>44</v>
      </c>
      <c r="D61" s="1">
        <v>2.7682926829999999</v>
      </c>
      <c r="E61" s="1">
        <v>0.356468862847102</v>
      </c>
      <c r="F61" s="1">
        <v>47</v>
      </c>
      <c r="G61" s="1">
        <v>0.88900000000000001</v>
      </c>
      <c r="H61" s="1">
        <v>0.34100000000000003</v>
      </c>
      <c r="I61" s="1">
        <v>0.85</v>
      </c>
      <c r="J61" s="1">
        <v>0.157</v>
      </c>
      <c r="K61" s="1">
        <v>0.746835443037975</v>
      </c>
      <c r="L61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5.2496835443037986</v>
      </c>
    </row>
    <row r="62" spans="1:12" hidden="1" x14ac:dyDescent="0.35">
      <c r="A62" t="s">
        <v>45</v>
      </c>
      <c r="B62">
        <v>29</v>
      </c>
      <c r="C62" t="s">
        <v>34</v>
      </c>
      <c r="D62" s="1">
        <v>2.8414634150000002</v>
      </c>
      <c r="E62" s="1">
        <v>0.353642013106297</v>
      </c>
      <c r="F62" s="1">
        <v>45.4</v>
      </c>
      <c r="G62" s="1">
        <v>0.88100000000000001</v>
      </c>
      <c r="H62" s="1">
        <v>0.36</v>
      </c>
      <c r="I62" s="1">
        <v>0.91800000000000004</v>
      </c>
      <c r="J62" s="1">
        <v>0.56799999999999995</v>
      </c>
      <c r="K62" s="1">
        <v>0.291139240506329</v>
      </c>
      <c r="L62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5.0833139240506338</v>
      </c>
    </row>
    <row r="63" spans="1:12" hidden="1" x14ac:dyDescent="0.35">
      <c r="A63" t="s">
        <v>45</v>
      </c>
      <c r="B63">
        <v>30</v>
      </c>
      <c r="C63" t="s">
        <v>39</v>
      </c>
      <c r="D63" s="1">
        <v>2.4634146339999998</v>
      </c>
      <c r="E63" s="1">
        <v>0.31338274259821097</v>
      </c>
      <c r="F63" s="1">
        <v>46.3</v>
      </c>
      <c r="G63" s="1">
        <v>0.89200000000000002</v>
      </c>
      <c r="H63" s="1">
        <v>0.183</v>
      </c>
      <c r="I63" s="1">
        <v>0.76900000000000002</v>
      </c>
      <c r="J63" s="1">
        <v>0.28599999999999998</v>
      </c>
      <c r="K63" s="1">
        <v>0.367088607594937</v>
      </c>
      <c r="L63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5.0772588607594944</v>
      </c>
    </row>
    <row r="64" spans="1:12" hidden="1" x14ac:dyDescent="0.35">
      <c r="A64" t="s">
        <v>45</v>
      </c>
      <c r="B64">
        <v>31</v>
      </c>
      <c r="C64" t="s">
        <v>33</v>
      </c>
      <c r="D64" s="1">
        <v>2.597560976</v>
      </c>
      <c r="E64" s="1">
        <v>0.29535186511294798</v>
      </c>
      <c r="F64" s="1">
        <v>48.5</v>
      </c>
      <c r="G64" s="1">
        <v>0.88700000000000001</v>
      </c>
      <c r="H64" s="1">
        <v>0.22600000000000001</v>
      </c>
      <c r="I64" s="1">
        <v>0.93899999999999995</v>
      </c>
      <c r="J64" s="1">
        <v>0.315</v>
      </c>
      <c r="K64" s="1">
        <v>0.291139240506329</v>
      </c>
      <c r="L64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5.3391639240506334</v>
      </c>
    </row>
    <row r="65" spans="1:12" hidden="1" x14ac:dyDescent="0.35">
      <c r="A65" t="s">
        <v>45</v>
      </c>
      <c r="B65">
        <v>32</v>
      </c>
      <c r="C65" t="s">
        <v>35</v>
      </c>
      <c r="D65" s="1">
        <v>2.5121951220000001</v>
      </c>
      <c r="E65" s="1">
        <v>0.27438074239789001</v>
      </c>
      <c r="F65" s="1">
        <v>49.5</v>
      </c>
      <c r="G65" s="1">
        <v>0.89600000000000002</v>
      </c>
      <c r="H65" s="1">
        <v>0.20699999999999999</v>
      </c>
      <c r="I65" s="1">
        <v>1</v>
      </c>
      <c r="J65" s="1">
        <v>0.124</v>
      </c>
      <c r="K65" s="1">
        <v>0.708860759493671</v>
      </c>
      <c r="L65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5.4787360759493673</v>
      </c>
    </row>
    <row r="66" spans="1:12" x14ac:dyDescent="0.35">
      <c r="A66" t="s">
        <v>46</v>
      </c>
      <c r="B66" s="1">
        <v>2</v>
      </c>
      <c r="C66" t="s">
        <v>27</v>
      </c>
      <c r="D66" s="3">
        <v>3.585365854</v>
      </c>
      <c r="E66" s="2">
        <v>0.61625552545273099</v>
      </c>
      <c r="F66" s="3">
        <v>51.8</v>
      </c>
      <c r="G66" s="2">
        <v>0.90100000000000002</v>
      </c>
      <c r="H66" s="1">
        <v>0.76200000000000001</v>
      </c>
      <c r="I66" s="1">
        <v>0.313</v>
      </c>
      <c r="J66" s="2">
        <v>0.754</v>
      </c>
      <c r="K66" s="2">
        <v>0.139240506329114</v>
      </c>
      <c r="L66" s="3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5.7411240506329113</v>
      </c>
    </row>
    <row r="67" spans="1:12" x14ac:dyDescent="0.35">
      <c r="A67" t="s">
        <v>46</v>
      </c>
      <c r="B67" s="1">
        <v>1</v>
      </c>
      <c r="C67" t="s">
        <v>20</v>
      </c>
      <c r="D67" s="3">
        <v>3.3902439019999999</v>
      </c>
      <c r="E67" s="2">
        <v>0.60208787784356499</v>
      </c>
      <c r="F67" s="3">
        <v>47.1</v>
      </c>
      <c r="G67" s="2">
        <v>0.90700000000000003</v>
      </c>
      <c r="H67" s="1">
        <v>0.65200000000000002</v>
      </c>
      <c r="I67" s="1">
        <v>0.313</v>
      </c>
      <c r="J67" s="2">
        <v>0.91600000000000004</v>
      </c>
      <c r="K67" s="2">
        <v>0.468354430379747</v>
      </c>
      <c r="L67" s="3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5.2748354430379747</v>
      </c>
    </row>
    <row r="68" spans="1:12" x14ac:dyDescent="0.35">
      <c r="A68" t="s">
        <v>46</v>
      </c>
      <c r="B68" s="1">
        <v>3</v>
      </c>
      <c r="C68" t="s">
        <v>15</v>
      </c>
      <c r="D68" s="3">
        <v>3.3780487799999999</v>
      </c>
      <c r="E68" s="2">
        <v>0.63281649484536096</v>
      </c>
      <c r="F68" s="3">
        <v>51.4</v>
      </c>
      <c r="G68" s="2">
        <v>0.9</v>
      </c>
      <c r="H68" s="1">
        <v>0.61599999999999999</v>
      </c>
      <c r="I68" s="1">
        <v>0.13600000000000001</v>
      </c>
      <c r="J68" s="2">
        <v>1</v>
      </c>
      <c r="K68" s="2">
        <v>0.354430379746835</v>
      </c>
      <c r="L68" s="3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5.6482430379746837</v>
      </c>
    </row>
    <row r="69" spans="1:12" x14ac:dyDescent="0.35">
      <c r="A69" s="4" t="s">
        <v>46</v>
      </c>
      <c r="B69" s="5">
        <v>5</v>
      </c>
      <c r="C69" s="4" t="s">
        <v>13</v>
      </c>
      <c r="D69" s="6">
        <v>3.2317073170000001</v>
      </c>
      <c r="E69" s="7">
        <v>0.64174030650010505</v>
      </c>
      <c r="F69" s="6">
        <v>53.8</v>
      </c>
      <c r="G69" s="7">
        <v>0.91300000000000003</v>
      </c>
      <c r="H69" s="5">
        <v>0.622</v>
      </c>
      <c r="I69" s="5">
        <v>6.8000000000000005E-2</v>
      </c>
      <c r="J69" s="7">
        <v>0.747</v>
      </c>
      <c r="K69" s="7">
        <v>1</v>
      </c>
      <c r="L69" s="6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5.9312499999999995</v>
      </c>
    </row>
    <row r="70" spans="1:12" x14ac:dyDescent="0.35">
      <c r="A70" t="s">
        <v>46</v>
      </c>
      <c r="B70" s="1">
        <v>4</v>
      </c>
      <c r="C70" t="s">
        <v>31</v>
      </c>
      <c r="D70" s="3">
        <v>3.1585365849999998</v>
      </c>
      <c r="E70" s="2">
        <v>0.63114268241049998</v>
      </c>
      <c r="F70" s="3">
        <v>50.4</v>
      </c>
      <c r="G70" s="2">
        <v>0.91800000000000004</v>
      </c>
      <c r="H70" s="1">
        <v>0.56100000000000005</v>
      </c>
      <c r="I70" s="1">
        <v>0.109</v>
      </c>
      <c r="J70" s="2">
        <v>0.4</v>
      </c>
      <c r="K70" s="2">
        <v>0.316455696202532</v>
      </c>
      <c r="L70" s="3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5.4933955696202528</v>
      </c>
    </row>
    <row r="71" spans="1:12" hidden="1" x14ac:dyDescent="0.35">
      <c r="A71" t="s">
        <v>46</v>
      </c>
      <c r="B71">
        <v>6</v>
      </c>
      <c r="C71" t="s">
        <v>22</v>
      </c>
      <c r="D71" s="1">
        <v>3.207317073</v>
      </c>
      <c r="E71" s="1">
        <v>0.58612829421235502</v>
      </c>
      <c r="F71" s="1">
        <v>52.6</v>
      </c>
      <c r="G71" s="1">
        <v>0.91200000000000003</v>
      </c>
      <c r="H71" s="1">
        <v>0.57299999999999995</v>
      </c>
      <c r="I71" s="1">
        <v>0.252</v>
      </c>
      <c r="J71" s="1">
        <v>0.70199999999999996</v>
      </c>
      <c r="K71" s="1">
        <v>0.481012658227848</v>
      </c>
      <c r="L71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5.7765512658227856</v>
      </c>
    </row>
    <row r="72" spans="1:12" hidden="1" x14ac:dyDescent="0.35">
      <c r="A72" t="s">
        <v>46</v>
      </c>
      <c r="B72">
        <v>7</v>
      </c>
      <c r="C72" t="s">
        <v>30</v>
      </c>
      <c r="D72" s="1">
        <v>3.402439024</v>
      </c>
      <c r="E72" s="1">
        <v>0.61445982854707104</v>
      </c>
      <c r="F72" s="1">
        <v>51.4</v>
      </c>
      <c r="G72" s="1">
        <v>0.90600000000000003</v>
      </c>
      <c r="H72" s="1">
        <v>0.628</v>
      </c>
      <c r="I72" s="1">
        <v>0.19700000000000001</v>
      </c>
      <c r="J72" s="1">
        <v>0.6</v>
      </c>
      <c r="K72" s="1">
        <v>0.493670886075949</v>
      </c>
      <c r="L72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5.6597670886075964</v>
      </c>
    </row>
    <row r="73" spans="1:12" hidden="1" x14ac:dyDescent="0.35">
      <c r="A73" t="s">
        <v>46</v>
      </c>
      <c r="B73">
        <v>8</v>
      </c>
      <c r="C73" t="s">
        <v>14</v>
      </c>
      <c r="D73" s="1">
        <v>3.6829268289999999</v>
      </c>
      <c r="E73" s="1">
        <v>0.58952348941231203</v>
      </c>
      <c r="F73" s="1">
        <v>46</v>
      </c>
      <c r="G73" s="1">
        <v>0.89700000000000002</v>
      </c>
      <c r="H73" s="1">
        <v>0.79900000000000004</v>
      </c>
      <c r="I73" s="1">
        <v>0.497</v>
      </c>
      <c r="J73" s="1">
        <v>0.69199999999999995</v>
      </c>
      <c r="K73" s="1">
        <v>0.405063291139241</v>
      </c>
      <c r="L73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5.2335563291139255</v>
      </c>
    </row>
    <row r="74" spans="1:12" hidden="1" x14ac:dyDescent="0.35">
      <c r="A74" t="s">
        <v>46</v>
      </c>
      <c r="B74">
        <v>9</v>
      </c>
      <c r="C74" t="s">
        <v>23</v>
      </c>
      <c r="D74" s="1">
        <v>3.5609756099999998</v>
      </c>
      <c r="E74" s="1">
        <v>0.60488081725312104</v>
      </c>
      <c r="F74" s="1">
        <v>49.8</v>
      </c>
      <c r="G74" s="1">
        <v>0.89800000000000002</v>
      </c>
      <c r="H74" s="1">
        <v>0.76200000000000001</v>
      </c>
      <c r="I74" s="1">
        <v>0.36699999999999999</v>
      </c>
      <c r="J74" s="1">
        <v>0.74099999999999999</v>
      </c>
      <c r="K74" s="1">
        <v>0.481012658227848</v>
      </c>
      <c r="L74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5.5848512658227856</v>
      </c>
    </row>
    <row r="75" spans="1:12" hidden="1" x14ac:dyDescent="0.35">
      <c r="A75" t="s">
        <v>46</v>
      </c>
      <c r="B75">
        <v>10</v>
      </c>
      <c r="C75" t="s">
        <v>16</v>
      </c>
      <c r="D75" s="1">
        <v>3.6341463410000001</v>
      </c>
      <c r="E75" s="1">
        <v>0.56590090807710702</v>
      </c>
      <c r="F75" s="1">
        <v>47.5</v>
      </c>
      <c r="G75" s="1">
        <v>0.89300000000000002</v>
      </c>
      <c r="H75" s="1">
        <v>0.77400000000000002</v>
      </c>
      <c r="I75" s="1">
        <v>0.52400000000000002</v>
      </c>
      <c r="J75" s="1">
        <v>0.56999999999999995</v>
      </c>
      <c r="K75" s="1">
        <v>0.531645569620253</v>
      </c>
      <c r="L75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5.3859645569620263</v>
      </c>
    </row>
    <row r="76" spans="1:12" hidden="1" x14ac:dyDescent="0.35">
      <c r="A76" t="s">
        <v>46</v>
      </c>
      <c r="B76">
        <v>11</v>
      </c>
      <c r="C76" t="s">
        <v>28</v>
      </c>
      <c r="D76" s="1">
        <v>3.2439024390000002</v>
      </c>
      <c r="E76" s="1">
        <v>0.53497656131861504</v>
      </c>
      <c r="F76" s="1">
        <v>50.4</v>
      </c>
      <c r="G76" s="1">
        <v>0.90100000000000002</v>
      </c>
      <c r="H76" s="1">
        <v>0.54900000000000004</v>
      </c>
      <c r="I76" s="1">
        <v>0.39500000000000002</v>
      </c>
      <c r="J76" s="1">
        <v>0.48899999999999999</v>
      </c>
      <c r="K76" s="1">
        <v>0.506329113924051</v>
      </c>
      <c r="L76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5.5664329113924049</v>
      </c>
    </row>
    <row r="77" spans="1:12" hidden="1" x14ac:dyDescent="0.35">
      <c r="A77" t="s">
        <v>46</v>
      </c>
      <c r="B77">
        <v>12</v>
      </c>
      <c r="C77" t="s">
        <v>26</v>
      </c>
      <c r="D77" s="1">
        <v>3.097560976</v>
      </c>
      <c r="E77" s="1">
        <v>0.59398247035427598</v>
      </c>
      <c r="F77" s="1">
        <v>47.1</v>
      </c>
      <c r="G77" s="1">
        <v>0.90900000000000003</v>
      </c>
      <c r="H77" s="1">
        <v>0.5</v>
      </c>
      <c r="I77" s="1">
        <v>0.184</v>
      </c>
      <c r="J77" s="1">
        <v>0.78700000000000003</v>
      </c>
      <c r="K77" s="1">
        <v>0.379746835443038</v>
      </c>
      <c r="L77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5.1809246835443039</v>
      </c>
    </row>
    <row r="78" spans="1:12" hidden="1" x14ac:dyDescent="0.35">
      <c r="A78" t="s">
        <v>46</v>
      </c>
      <c r="B78">
        <v>13</v>
      </c>
      <c r="C78" t="s">
        <v>19</v>
      </c>
      <c r="D78" s="1">
        <v>3.5121951220000001</v>
      </c>
      <c r="E78" s="1">
        <v>0.53778374277878305</v>
      </c>
      <c r="F78" s="1">
        <v>49.8</v>
      </c>
      <c r="G78" s="1">
        <v>0.89</v>
      </c>
      <c r="H78" s="1">
        <v>0.72599999999999998</v>
      </c>
      <c r="I78" s="1">
        <v>0.57099999999999995</v>
      </c>
      <c r="J78" s="1">
        <v>0.95299999999999996</v>
      </c>
      <c r="K78" s="1">
        <v>0.670886075949367</v>
      </c>
      <c r="L78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5.6410386075949379</v>
      </c>
    </row>
    <row r="79" spans="1:12" hidden="1" x14ac:dyDescent="0.35">
      <c r="A79" t="s">
        <v>46</v>
      </c>
      <c r="B79">
        <v>14</v>
      </c>
      <c r="C79" t="s">
        <v>29</v>
      </c>
      <c r="D79" s="1">
        <v>3.207317073</v>
      </c>
      <c r="E79" s="1">
        <v>0.53946403781060404</v>
      </c>
      <c r="F79" s="1">
        <v>50.5</v>
      </c>
      <c r="G79" s="1">
        <v>0.90200000000000002</v>
      </c>
      <c r="H79" s="1">
        <v>0.56100000000000005</v>
      </c>
      <c r="I79" s="1">
        <v>0.38800000000000001</v>
      </c>
      <c r="J79" s="1">
        <v>0.52700000000000002</v>
      </c>
      <c r="K79" s="1">
        <v>0.215189873417722</v>
      </c>
      <c r="L79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5.5522189873417727</v>
      </c>
    </row>
    <row r="80" spans="1:12" hidden="1" x14ac:dyDescent="0.35">
      <c r="A80" t="s">
        <v>46</v>
      </c>
      <c r="B80">
        <v>15</v>
      </c>
      <c r="C80" t="s">
        <v>32</v>
      </c>
      <c r="D80" s="1">
        <v>2.9878048779999999</v>
      </c>
      <c r="E80" s="1">
        <v>0.47417232144973098</v>
      </c>
      <c r="F80" s="1">
        <v>49.3</v>
      </c>
      <c r="G80" s="1">
        <v>0.90400000000000003</v>
      </c>
      <c r="H80" s="1">
        <v>0.41499999999999998</v>
      </c>
      <c r="I80" s="1">
        <v>0.497</v>
      </c>
      <c r="J80" s="1">
        <v>0.26100000000000001</v>
      </c>
      <c r="K80" s="1">
        <v>0.177215189873418</v>
      </c>
      <c r="L80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5.386221518987341</v>
      </c>
    </row>
    <row r="81" spans="1:12" hidden="1" x14ac:dyDescent="0.35">
      <c r="A81" t="s">
        <v>46</v>
      </c>
      <c r="B81">
        <v>16</v>
      </c>
      <c r="C81" t="s">
        <v>21</v>
      </c>
      <c r="D81" s="1">
        <v>2.8536585369999998</v>
      </c>
      <c r="E81" s="1">
        <v>0.47097884052984701</v>
      </c>
      <c r="F81" s="1">
        <v>47.9</v>
      </c>
      <c r="G81" s="1">
        <v>0.90600000000000003</v>
      </c>
      <c r="H81" s="1">
        <v>0.378</v>
      </c>
      <c r="I81" s="1">
        <v>0.45600000000000002</v>
      </c>
      <c r="J81" s="1">
        <v>0.42399999999999999</v>
      </c>
      <c r="K81" s="1">
        <v>0.215189873417722</v>
      </c>
      <c r="L81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5.2374189873417718</v>
      </c>
    </row>
    <row r="82" spans="1:12" hidden="1" x14ac:dyDescent="0.35">
      <c r="A82" t="s">
        <v>46</v>
      </c>
      <c r="B82">
        <v>17</v>
      </c>
      <c r="C82" t="s">
        <v>25</v>
      </c>
      <c r="D82" s="1">
        <v>2.6341463410000001</v>
      </c>
      <c r="E82" s="1">
        <v>0.42352941176470599</v>
      </c>
      <c r="F82" s="1">
        <v>51.5</v>
      </c>
      <c r="G82" s="1">
        <v>0.89900000000000002</v>
      </c>
      <c r="H82" s="1">
        <v>0.29299999999999998</v>
      </c>
      <c r="I82" s="1">
        <v>0.44900000000000001</v>
      </c>
      <c r="J82" s="1">
        <v>0.52700000000000002</v>
      </c>
      <c r="K82" s="1">
        <v>0.253164556962025</v>
      </c>
      <c r="L82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5.5738164556962033</v>
      </c>
    </row>
    <row r="83" spans="1:12" hidden="1" x14ac:dyDescent="0.35">
      <c r="A83" t="s">
        <v>46</v>
      </c>
      <c r="B83">
        <v>18</v>
      </c>
      <c r="C83" t="s">
        <v>37</v>
      </c>
      <c r="D83" s="1">
        <v>3.3536585369999998</v>
      </c>
      <c r="E83" s="1">
        <v>0.503649586424604</v>
      </c>
      <c r="F83" s="1">
        <v>51</v>
      </c>
      <c r="G83" s="1">
        <v>0.89700000000000002</v>
      </c>
      <c r="H83" s="1">
        <v>0.628</v>
      </c>
      <c r="I83" s="1">
        <v>0.57799999999999996</v>
      </c>
      <c r="J83" s="1">
        <v>0.63300000000000001</v>
      </c>
      <c r="K83" s="1">
        <v>0.379746835443038</v>
      </c>
      <c r="L83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5.6844246835443046</v>
      </c>
    </row>
    <row r="84" spans="1:12" hidden="1" x14ac:dyDescent="0.35">
      <c r="A84" t="s">
        <v>46</v>
      </c>
      <c r="B84">
        <v>19</v>
      </c>
      <c r="C84" t="s">
        <v>24</v>
      </c>
      <c r="D84" s="1">
        <v>3.085365854</v>
      </c>
      <c r="E84" s="1">
        <v>0.50997904599523602</v>
      </c>
      <c r="F84" s="1">
        <v>50.8</v>
      </c>
      <c r="G84" s="1">
        <v>0.9</v>
      </c>
      <c r="H84" s="1">
        <v>0.45100000000000001</v>
      </c>
      <c r="I84" s="1">
        <v>0.374</v>
      </c>
      <c r="J84" s="1">
        <v>0.40100000000000002</v>
      </c>
      <c r="K84" s="1">
        <v>0.215189873417722</v>
      </c>
      <c r="L84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5.534218987341772</v>
      </c>
    </row>
    <row r="85" spans="1:12" hidden="1" x14ac:dyDescent="0.35">
      <c r="A85" t="s">
        <v>46</v>
      </c>
      <c r="B85">
        <v>20</v>
      </c>
      <c r="C85" t="s">
        <v>17</v>
      </c>
      <c r="D85" s="1">
        <v>3.0243902440000001</v>
      </c>
      <c r="E85" s="1">
        <v>0.47639112653364701</v>
      </c>
      <c r="F85" s="1">
        <v>46.6</v>
      </c>
      <c r="G85" s="1">
        <v>0.89300000000000002</v>
      </c>
      <c r="H85" s="1">
        <v>0.46300000000000002</v>
      </c>
      <c r="I85" s="1">
        <v>0.53100000000000003</v>
      </c>
      <c r="J85" s="1">
        <v>0.44600000000000001</v>
      </c>
      <c r="K85" s="1">
        <v>0.721518987341772</v>
      </c>
      <c r="L85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5.2013018987341786</v>
      </c>
    </row>
    <row r="86" spans="1:12" hidden="1" x14ac:dyDescent="0.35">
      <c r="A86" t="s">
        <v>46</v>
      </c>
      <c r="B86">
        <v>21</v>
      </c>
      <c r="C86" t="s">
        <v>41</v>
      </c>
      <c r="D86" s="1">
        <v>2.8170731710000001</v>
      </c>
      <c r="E86" s="1">
        <v>0.44495309568480301</v>
      </c>
      <c r="F86" s="1">
        <v>47.4</v>
      </c>
      <c r="G86" s="1">
        <v>0.88400000000000001</v>
      </c>
      <c r="H86" s="1">
        <v>0.372</v>
      </c>
      <c r="I86" s="1">
        <v>0.503</v>
      </c>
      <c r="J86" s="1">
        <v>0.39</v>
      </c>
      <c r="K86" s="1">
        <v>0.556962025316456</v>
      </c>
      <c r="L86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5.2227962025316463</v>
      </c>
    </row>
    <row r="87" spans="1:12" hidden="1" x14ac:dyDescent="0.35">
      <c r="A87" t="s">
        <v>46</v>
      </c>
      <c r="B87">
        <v>22</v>
      </c>
      <c r="C87" t="s">
        <v>36</v>
      </c>
      <c r="D87" s="1">
        <v>2.9756097559999999</v>
      </c>
      <c r="E87" s="1">
        <v>0.50205337943247497</v>
      </c>
      <c r="F87" s="1">
        <v>52.1</v>
      </c>
      <c r="G87" s="1">
        <v>0.89900000000000002</v>
      </c>
      <c r="H87" s="1">
        <v>0.45700000000000002</v>
      </c>
      <c r="I87" s="1">
        <v>0.36099999999999999</v>
      </c>
      <c r="J87" s="1">
        <v>0.41899999999999998</v>
      </c>
      <c r="K87" s="1">
        <v>0.518987341772152</v>
      </c>
      <c r="L87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5.6947987341772164</v>
      </c>
    </row>
    <row r="88" spans="1:12" hidden="1" x14ac:dyDescent="0.35">
      <c r="A88" t="s">
        <v>46</v>
      </c>
      <c r="B88">
        <v>23</v>
      </c>
      <c r="C88" t="s">
        <v>40</v>
      </c>
      <c r="D88" s="1">
        <v>3.2195121950000001</v>
      </c>
      <c r="E88" s="1">
        <v>0.46883765984783798</v>
      </c>
      <c r="F88" s="1">
        <v>49</v>
      </c>
      <c r="G88" s="1">
        <v>0.88600000000000001</v>
      </c>
      <c r="H88" s="1">
        <v>0.54900000000000004</v>
      </c>
      <c r="I88" s="1">
        <v>0.59899999999999998</v>
      </c>
      <c r="J88" s="1">
        <v>0.64800000000000002</v>
      </c>
      <c r="K88" s="1">
        <v>0.430379746835443</v>
      </c>
      <c r="L88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5.4645879746835444</v>
      </c>
    </row>
    <row r="89" spans="1:12" hidden="1" x14ac:dyDescent="0.35">
      <c r="A89" t="s">
        <v>46</v>
      </c>
      <c r="B89">
        <v>24</v>
      </c>
      <c r="C89" t="s">
        <v>42</v>
      </c>
      <c r="D89" s="1">
        <v>2.6097560980000001</v>
      </c>
      <c r="E89" s="1">
        <v>0.45970688616743599</v>
      </c>
      <c r="F89" s="1">
        <v>52.1</v>
      </c>
      <c r="G89" s="1">
        <v>0.90300000000000002</v>
      </c>
      <c r="H89" s="1">
        <v>0.311</v>
      </c>
      <c r="I89" s="1">
        <v>0.32700000000000001</v>
      </c>
      <c r="J89" s="1">
        <v>0.52400000000000002</v>
      </c>
      <c r="K89" s="1">
        <v>0.291139240506329</v>
      </c>
      <c r="L89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5.6201639240506349</v>
      </c>
    </row>
    <row r="90" spans="1:12" hidden="1" x14ac:dyDescent="0.35">
      <c r="A90" t="s">
        <v>46</v>
      </c>
      <c r="B90">
        <v>25</v>
      </c>
      <c r="C90" t="s">
        <v>18</v>
      </c>
      <c r="D90" s="1">
        <v>3.085365854</v>
      </c>
      <c r="E90" s="1">
        <v>0.47309642418956699</v>
      </c>
      <c r="F90" s="1">
        <v>52</v>
      </c>
      <c r="G90" s="1">
        <v>0.89</v>
      </c>
      <c r="H90" s="1">
        <v>0.54900000000000004</v>
      </c>
      <c r="I90" s="1">
        <v>0.57799999999999996</v>
      </c>
      <c r="J90" s="1">
        <v>0.496</v>
      </c>
      <c r="K90" s="1">
        <v>0.468354430379747</v>
      </c>
      <c r="L90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5.7573854430379745</v>
      </c>
    </row>
    <row r="91" spans="1:12" hidden="1" x14ac:dyDescent="0.35">
      <c r="A91" t="s">
        <v>46</v>
      </c>
      <c r="B91">
        <v>26</v>
      </c>
      <c r="C91" t="s">
        <v>38</v>
      </c>
      <c r="D91" s="1">
        <v>3.0487804879999998</v>
      </c>
      <c r="E91" s="1">
        <v>0.44181788620185097</v>
      </c>
      <c r="F91" s="1">
        <v>51.7</v>
      </c>
      <c r="G91" s="1">
        <v>0.88400000000000001</v>
      </c>
      <c r="H91" s="1">
        <v>0.50600000000000001</v>
      </c>
      <c r="I91" s="1">
        <v>0.64600000000000002</v>
      </c>
      <c r="J91" s="1">
        <v>0.30499999999999999</v>
      </c>
      <c r="K91" s="1">
        <v>0.59493670886076</v>
      </c>
      <c r="L91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5.7278436708860774</v>
      </c>
    </row>
    <row r="92" spans="1:12" hidden="1" x14ac:dyDescent="0.35">
      <c r="A92" t="s">
        <v>46</v>
      </c>
      <c r="B92">
        <v>27</v>
      </c>
      <c r="C92" t="s">
        <v>43</v>
      </c>
      <c r="D92" s="1">
        <v>3.097560976</v>
      </c>
      <c r="E92" s="1">
        <v>0.46217548283569299</v>
      </c>
      <c r="F92" s="1">
        <v>51</v>
      </c>
      <c r="G92" s="1">
        <v>0.89500000000000002</v>
      </c>
      <c r="H92" s="1">
        <v>0.48199999999999998</v>
      </c>
      <c r="I92" s="1">
        <v>0.59199999999999997</v>
      </c>
      <c r="J92" s="1">
        <v>0.48299999999999998</v>
      </c>
      <c r="K92" s="1">
        <v>0.734177215189873</v>
      </c>
      <c r="L92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5.6636677215189888</v>
      </c>
    </row>
    <row r="93" spans="1:12" hidden="1" x14ac:dyDescent="0.35">
      <c r="A93" t="s">
        <v>46</v>
      </c>
      <c r="B93">
        <v>28</v>
      </c>
      <c r="C93" t="s">
        <v>44</v>
      </c>
      <c r="D93" s="1">
        <v>2.8292682930000002</v>
      </c>
      <c r="E93" s="1">
        <v>0.40534698949429498</v>
      </c>
      <c r="F93" s="1">
        <v>45.5</v>
      </c>
      <c r="G93" s="1">
        <v>0.89700000000000002</v>
      </c>
      <c r="H93" s="1">
        <v>0.36</v>
      </c>
      <c r="I93" s="1">
        <v>0.66</v>
      </c>
      <c r="J93" s="1">
        <v>0.33500000000000002</v>
      </c>
      <c r="K93" s="1">
        <v>0.569620253164557</v>
      </c>
      <c r="L93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5.0611120253164561</v>
      </c>
    </row>
    <row r="94" spans="1:12" hidden="1" x14ac:dyDescent="0.35">
      <c r="A94" t="s">
        <v>46</v>
      </c>
      <c r="B94">
        <v>29</v>
      </c>
      <c r="C94" t="s">
        <v>33</v>
      </c>
      <c r="D94" s="1">
        <v>2.8536585369999998</v>
      </c>
      <c r="E94" s="1">
        <v>0.38141543605461098</v>
      </c>
      <c r="F94" s="1">
        <v>48.6</v>
      </c>
      <c r="G94" s="1">
        <v>0.89400000000000002</v>
      </c>
      <c r="H94" s="1">
        <v>0.40200000000000002</v>
      </c>
      <c r="I94" s="1">
        <v>0.78200000000000003</v>
      </c>
      <c r="J94" s="1">
        <v>0.24399999999999999</v>
      </c>
      <c r="K94" s="1">
        <v>0.316455696202532</v>
      </c>
      <c r="L94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5.379745569620253</v>
      </c>
    </row>
    <row r="95" spans="1:12" hidden="1" x14ac:dyDescent="0.35">
      <c r="A95" t="s">
        <v>46</v>
      </c>
      <c r="B95">
        <v>30</v>
      </c>
      <c r="C95" t="s">
        <v>35</v>
      </c>
      <c r="D95" s="1">
        <v>2.4756097559999999</v>
      </c>
      <c r="E95" s="1">
        <v>0.32433219474570701</v>
      </c>
      <c r="F95" s="1">
        <v>44.4</v>
      </c>
      <c r="G95" s="1">
        <v>0.89</v>
      </c>
      <c r="H95" s="1">
        <v>0.152</v>
      </c>
      <c r="I95" s="1">
        <v>0.78900000000000003</v>
      </c>
      <c r="J95" s="1">
        <v>0.222</v>
      </c>
      <c r="K95" s="1">
        <v>0.987341772151899</v>
      </c>
      <c r="L95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4.93883417721519</v>
      </c>
    </row>
    <row r="96" spans="1:12" hidden="1" x14ac:dyDescent="0.35">
      <c r="A96" t="s">
        <v>46</v>
      </c>
      <c r="B96">
        <v>31</v>
      </c>
      <c r="C96" t="s">
        <v>39</v>
      </c>
      <c r="D96" s="1">
        <v>2.1707317069999998</v>
      </c>
      <c r="E96" s="1">
        <v>0.27502278546938103</v>
      </c>
      <c r="F96" s="1">
        <v>46.3</v>
      </c>
      <c r="G96" s="1">
        <v>0.89200000000000002</v>
      </c>
      <c r="H96" s="1">
        <v>0</v>
      </c>
      <c r="I96" s="1">
        <v>0.68700000000000006</v>
      </c>
      <c r="J96" s="1">
        <v>0.27900000000000003</v>
      </c>
      <c r="K96" s="1">
        <v>0.379746835443038</v>
      </c>
      <c r="L96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4.9977246835443045</v>
      </c>
    </row>
    <row r="97" spans="1:12" hidden="1" x14ac:dyDescent="0.35">
      <c r="A97" t="s">
        <v>46</v>
      </c>
      <c r="B97">
        <v>32</v>
      </c>
      <c r="C97" t="s">
        <v>34</v>
      </c>
      <c r="D97" s="1">
        <v>2.195121951</v>
      </c>
      <c r="E97" s="1">
        <v>0.23363812051111901</v>
      </c>
      <c r="F97" s="1">
        <v>50.7</v>
      </c>
      <c r="G97" s="1">
        <v>0.88700000000000001</v>
      </c>
      <c r="H97" s="1">
        <v>5.5E-2</v>
      </c>
      <c r="I97" s="1">
        <v>0.92500000000000004</v>
      </c>
      <c r="J97" s="1">
        <v>0.39</v>
      </c>
      <c r="K97" s="1">
        <v>0.481012658227848</v>
      </c>
      <c r="L97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5.5192512658227857</v>
      </c>
    </row>
    <row r="98" spans="1:12" hidden="1" x14ac:dyDescent="0.35">
      <c r="A98" t="s">
        <v>47</v>
      </c>
      <c r="B98">
        <v>1</v>
      </c>
      <c r="C98" t="s">
        <v>31</v>
      </c>
      <c r="D98" s="1">
        <v>3.452054795</v>
      </c>
      <c r="E98" s="1">
        <v>0.68471615720524004</v>
      </c>
      <c r="F98" s="1">
        <v>52.9</v>
      </c>
      <c r="G98" s="1">
        <v>0.91400000000000003</v>
      </c>
      <c r="H98" s="1">
        <v>0.72599999999999998</v>
      </c>
      <c r="I98" s="1">
        <v>6.0999999999999999E-2</v>
      </c>
      <c r="J98" s="1">
        <v>0.86599999999999999</v>
      </c>
      <c r="K98" s="1">
        <v>0.240506329113924</v>
      </c>
      <c r="L98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5.8064506329113934</v>
      </c>
    </row>
    <row r="99" spans="1:12" hidden="1" x14ac:dyDescent="0.35">
      <c r="A99" t="s">
        <v>47</v>
      </c>
      <c r="B99">
        <v>2</v>
      </c>
      <c r="C99" t="s">
        <v>25</v>
      </c>
      <c r="D99" s="1">
        <v>3.611111111</v>
      </c>
      <c r="E99" s="1">
        <v>0.66388411490302002</v>
      </c>
      <c r="F99" s="1">
        <v>51.8</v>
      </c>
      <c r="G99" s="1">
        <v>0.90500000000000003</v>
      </c>
      <c r="H99" s="1">
        <v>0.76800000000000002</v>
      </c>
      <c r="I99" s="1">
        <v>0.17699999999999999</v>
      </c>
      <c r="J99" s="1">
        <v>0.68700000000000006</v>
      </c>
      <c r="K99" s="1">
        <v>0.329113924050633</v>
      </c>
      <c r="L99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5.7324613924050629</v>
      </c>
    </row>
    <row r="100" spans="1:12" hidden="1" x14ac:dyDescent="0.35">
      <c r="A100" t="s">
        <v>47</v>
      </c>
      <c r="B100">
        <v>3</v>
      </c>
      <c r="C100" t="s">
        <v>27</v>
      </c>
      <c r="D100" s="1">
        <v>3.388888889</v>
      </c>
      <c r="E100" s="1">
        <v>0.63497616279689895</v>
      </c>
      <c r="F100" s="1">
        <v>48.6</v>
      </c>
      <c r="G100" s="1">
        <v>0.90900000000000003</v>
      </c>
      <c r="H100" s="1">
        <v>0.628</v>
      </c>
      <c r="I100" s="1">
        <v>0.184</v>
      </c>
      <c r="J100" s="1">
        <v>0.76900000000000002</v>
      </c>
      <c r="K100" s="1">
        <v>0.151898734177215</v>
      </c>
      <c r="L100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5.3520398734177226</v>
      </c>
    </row>
    <row r="101" spans="1:12" hidden="1" x14ac:dyDescent="0.35">
      <c r="A101" t="s">
        <v>47</v>
      </c>
      <c r="B101">
        <v>4</v>
      </c>
      <c r="C101" t="s">
        <v>29</v>
      </c>
      <c r="D101" s="1">
        <v>3.4166666669999999</v>
      </c>
      <c r="E101" s="1">
        <v>0.62389558439951798</v>
      </c>
      <c r="F101" s="1">
        <v>47.2</v>
      </c>
      <c r="G101" s="1">
        <v>0.9</v>
      </c>
      <c r="H101" s="1">
        <v>0.72</v>
      </c>
      <c r="I101" s="1">
        <v>0.29899999999999999</v>
      </c>
      <c r="J101" s="1">
        <v>0.76100000000000001</v>
      </c>
      <c r="K101" s="1">
        <v>0</v>
      </c>
      <c r="L101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5.2498500000000003</v>
      </c>
    </row>
    <row r="102" spans="1:12" hidden="1" x14ac:dyDescent="0.35">
      <c r="A102" t="s">
        <v>47</v>
      </c>
      <c r="B102">
        <v>5</v>
      </c>
      <c r="C102" t="s">
        <v>14</v>
      </c>
      <c r="D102" s="1">
        <v>3.3698630139999999</v>
      </c>
      <c r="E102" s="1">
        <v>0.59252731758900201</v>
      </c>
      <c r="F102" s="1">
        <v>46.1</v>
      </c>
      <c r="G102" s="1">
        <v>0.89200000000000002</v>
      </c>
      <c r="H102" s="1">
        <v>0.67700000000000005</v>
      </c>
      <c r="I102" s="1">
        <v>0.39500000000000002</v>
      </c>
      <c r="J102" s="1">
        <v>0.70699999999999996</v>
      </c>
      <c r="K102" s="1">
        <v>0.139240506329114</v>
      </c>
      <c r="L102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5.1536240506329118</v>
      </c>
    </row>
    <row r="103" spans="1:12" hidden="1" x14ac:dyDescent="0.35">
      <c r="A103" t="s">
        <v>47</v>
      </c>
      <c r="B103">
        <v>6</v>
      </c>
      <c r="C103" t="s">
        <v>15</v>
      </c>
      <c r="D103" s="1">
        <v>3.2222222220000001</v>
      </c>
      <c r="E103" s="1">
        <v>0.59854988657088204</v>
      </c>
      <c r="F103" s="1">
        <v>45.9</v>
      </c>
      <c r="G103" s="1">
        <v>0.89400000000000002</v>
      </c>
      <c r="H103" s="1">
        <v>0.58499999999999996</v>
      </c>
      <c r="I103" s="1">
        <v>0.27900000000000003</v>
      </c>
      <c r="J103" s="1">
        <v>0.64800000000000002</v>
      </c>
      <c r="K103" s="1">
        <v>0.164556962025316</v>
      </c>
      <c r="L103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5.0782056962025308</v>
      </c>
    </row>
    <row r="104" spans="1:12" hidden="1" x14ac:dyDescent="0.35">
      <c r="A104" t="s">
        <v>47</v>
      </c>
      <c r="B104">
        <v>7</v>
      </c>
      <c r="C104" t="s">
        <v>13</v>
      </c>
      <c r="D104" s="1">
        <v>3.138888889</v>
      </c>
      <c r="E104" s="1">
        <v>0.57575074398052095</v>
      </c>
      <c r="F104" s="1">
        <v>49.7</v>
      </c>
      <c r="G104" s="1">
        <v>0.89800000000000002</v>
      </c>
      <c r="H104" s="1">
        <v>0.53700000000000003</v>
      </c>
      <c r="I104" s="1">
        <v>0.224</v>
      </c>
      <c r="J104" s="1">
        <v>0.72299999999999998</v>
      </c>
      <c r="K104" s="1">
        <v>0.518987341772152</v>
      </c>
      <c r="L104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5.4703987341772162</v>
      </c>
    </row>
    <row r="105" spans="1:12" hidden="1" x14ac:dyDescent="0.35">
      <c r="A105" t="s">
        <v>47</v>
      </c>
      <c r="B105">
        <v>8</v>
      </c>
      <c r="C105" t="s">
        <v>16</v>
      </c>
      <c r="D105" s="1">
        <v>3.263888889</v>
      </c>
      <c r="E105" s="1">
        <v>0.54666851446728904</v>
      </c>
      <c r="F105" s="1">
        <v>50.9</v>
      </c>
      <c r="G105" s="1">
        <v>0.89800000000000002</v>
      </c>
      <c r="H105" s="1">
        <v>0.64</v>
      </c>
      <c r="I105" s="1">
        <v>0.435</v>
      </c>
      <c r="J105" s="1">
        <v>0.7</v>
      </c>
      <c r="K105" s="1">
        <v>0.278481012658228</v>
      </c>
      <c r="L105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5.6434481012658226</v>
      </c>
    </row>
    <row r="106" spans="1:12" hidden="1" x14ac:dyDescent="0.35">
      <c r="A106" t="s">
        <v>47</v>
      </c>
      <c r="B106">
        <v>9</v>
      </c>
      <c r="C106" t="s">
        <v>19</v>
      </c>
      <c r="D106" s="1">
        <v>3.5694444440000002</v>
      </c>
      <c r="E106" s="1">
        <v>0.64659468031992495</v>
      </c>
      <c r="F106" s="1">
        <v>51.6</v>
      </c>
      <c r="G106" s="1">
        <v>0.90600000000000003</v>
      </c>
      <c r="H106" s="1">
        <v>0.81699999999999995</v>
      </c>
      <c r="I106" s="1">
        <v>0.28599999999999998</v>
      </c>
      <c r="J106" s="1">
        <v>0.82699999999999996</v>
      </c>
      <c r="K106" s="1">
        <v>0.316455696202532</v>
      </c>
      <c r="L106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5.7573455696202531</v>
      </c>
    </row>
    <row r="107" spans="1:12" hidden="1" x14ac:dyDescent="0.35">
      <c r="A107" t="s">
        <v>47</v>
      </c>
      <c r="B107">
        <v>10</v>
      </c>
      <c r="C107" t="s">
        <v>26</v>
      </c>
      <c r="D107" s="1">
        <v>2.8873239439999998</v>
      </c>
      <c r="E107" s="1">
        <v>0.567399346528772</v>
      </c>
      <c r="F107" s="1">
        <v>51.1</v>
      </c>
      <c r="G107" s="1">
        <v>0.90100000000000002</v>
      </c>
      <c r="H107" s="1">
        <v>0.439</v>
      </c>
      <c r="I107" s="1">
        <v>0.19</v>
      </c>
      <c r="J107" s="1">
        <v>0.46</v>
      </c>
      <c r="K107" s="1">
        <v>0.265822784810127</v>
      </c>
      <c r="L107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5.531432278481013</v>
      </c>
    </row>
    <row r="108" spans="1:12" hidden="1" x14ac:dyDescent="0.35">
      <c r="A108" t="s">
        <v>47</v>
      </c>
      <c r="B108">
        <v>11</v>
      </c>
      <c r="C108" t="s">
        <v>17</v>
      </c>
      <c r="D108" s="1">
        <v>2.6986301369999999</v>
      </c>
      <c r="E108" s="1">
        <v>0.48254895865713399</v>
      </c>
      <c r="F108" s="1">
        <v>51</v>
      </c>
      <c r="G108" s="1">
        <v>0.90600000000000003</v>
      </c>
      <c r="H108" s="1">
        <v>0.33500000000000002</v>
      </c>
      <c r="I108" s="1">
        <v>0.29899999999999999</v>
      </c>
      <c r="J108" s="1">
        <v>0.28000000000000003</v>
      </c>
      <c r="K108" s="1">
        <v>0.240506329113924</v>
      </c>
      <c r="L108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5.4963006329113933</v>
      </c>
    </row>
    <row r="109" spans="1:12" hidden="1" x14ac:dyDescent="0.35">
      <c r="A109" t="s">
        <v>47</v>
      </c>
      <c r="B109">
        <v>12</v>
      </c>
      <c r="C109" t="s">
        <v>23</v>
      </c>
      <c r="D109" s="1">
        <v>3.236111111</v>
      </c>
      <c r="E109" s="1">
        <v>0.54708615077645495</v>
      </c>
      <c r="F109" s="1">
        <v>53.4</v>
      </c>
      <c r="G109" s="1">
        <v>0.89200000000000002</v>
      </c>
      <c r="H109" s="1">
        <v>0.67700000000000005</v>
      </c>
      <c r="I109" s="1">
        <v>0.42199999999999999</v>
      </c>
      <c r="J109" s="1">
        <v>0.60799999999999998</v>
      </c>
      <c r="K109" s="1">
        <v>0.151898734177215</v>
      </c>
      <c r="L109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5.8853398734177214</v>
      </c>
    </row>
    <row r="110" spans="1:12" hidden="1" x14ac:dyDescent="0.35">
      <c r="A110" t="s">
        <v>47</v>
      </c>
      <c r="B110">
        <v>13</v>
      </c>
      <c r="C110" t="s">
        <v>21</v>
      </c>
      <c r="D110" s="1">
        <v>3.013513514</v>
      </c>
      <c r="E110" s="1">
        <v>0.52999605665625804</v>
      </c>
      <c r="F110" s="1">
        <v>50.9</v>
      </c>
      <c r="G110" s="1">
        <v>0.89700000000000002</v>
      </c>
      <c r="H110" s="1">
        <v>0.54900000000000004</v>
      </c>
      <c r="I110" s="1">
        <v>0.34699999999999998</v>
      </c>
      <c r="J110" s="1">
        <v>0.34499999999999997</v>
      </c>
      <c r="K110" s="1">
        <v>0.253164556962025</v>
      </c>
      <c r="L110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5.5735164556962022</v>
      </c>
    </row>
    <row r="111" spans="1:12" hidden="1" x14ac:dyDescent="0.35">
      <c r="A111" t="s">
        <v>47</v>
      </c>
      <c r="B111">
        <v>14</v>
      </c>
      <c r="C111" t="s">
        <v>40</v>
      </c>
      <c r="D111" s="1">
        <v>2.9459459460000001</v>
      </c>
      <c r="E111" s="1">
        <v>0.55551789033185694</v>
      </c>
      <c r="F111" s="1">
        <v>51.5</v>
      </c>
      <c r="G111" s="1">
        <v>0.9</v>
      </c>
      <c r="H111" s="1">
        <v>0.49399999999999999</v>
      </c>
      <c r="I111" s="1">
        <v>0.23100000000000001</v>
      </c>
      <c r="J111" s="1">
        <v>0.871</v>
      </c>
      <c r="K111" s="1">
        <v>0.329113924050633</v>
      </c>
      <c r="L111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5.6255613924050634</v>
      </c>
    </row>
    <row r="112" spans="1:12" hidden="1" x14ac:dyDescent="0.35">
      <c r="A112" t="s">
        <v>47</v>
      </c>
      <c r="B112">
        <v>15</v>
      </c>
      <c r="C112" t="s">
        <v>38</v>
      </c>
      <c r="D112" s="1">
        <v>2.9154929580000002</v>
      </c>
      <c r="E112" s="1">
        <v>0.50729888119339395</v>
      </c>
      <c r="F112" s="1">
        <v>48.8</v>
      </c>
      <c r="G112" s="1">
        <v>0.89900000000000002</v>
      </c>
      <c r="H112" s="1">
        <v>0.433</v>
      </c>
      <c r="I112" s="1">
        <v>0.34</v>
      </c>
      <c r="J112" s="1">
        <v>0.58599999999999997</v>
      </c>
      <c r="K112" s="1">
        <v>0.379746835443038</v>
      </c>
      <c r="L112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5.3466246835443041</v>
      </c>
    </row>
    <row r="113" spans="1:12" hidden="1" x14ac:dyDescent="0.35">
      <c r="A113" t="s">
        <v>47</v>
      </c>
      <c r="B113">
        <v>16</v>
      </c>
      <c r="C113" t="s">
        <v>30</v>
      </c>
      <c r="D113" s="1">
        <v>2.8630136990000001</v>
      </c>
      <c r="E113" s="1">
        <v>0.46539949071459802</v>
      </c>
      <c r="F113" s="1">
        <v>53.8</v>
      </c>
      <c r="G113" s="1">
        <v>0.88500000000000001</v>
      </c>
      <c r="H113" s="1">
        <v>0.39</v>
      </c>
      <c r="I113" s="1">
        <v>0.42899999999999999</v>
      </c>
      <c r="J113" s="1">
        <v>0.72099999999999997</v>
      </c>
      <c r="K113" s="1">
        <v>0.468354430379747</v>
      </c>
      <c r="L113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5.8621854430379745</v>
      </c>
    </row>
    <row r="114" spans="1:12" hidden="1" x14ac:dyDescent="0.35">
      <c r="A114" t="s">
        <v>47</v>
      </c>
      <c r="B114">
        <v>17</v>
      </c>
      <c r="C114" t="s">
        <v>18</v>
      </c>
      <c r="D114" s="1">
        <v>2.6056338029999999</v>
      </c>
      <c r="E114" s="1">
        <v>0.43931147793494701</v>
      </c>
      <c r="F114" s="1">
        <v>49.6</v>
      </c>
      <c r="G114" s="1">
        <v>0.89800000000000002</v>
      </c>
      <c r="H114" s="1">
        <v>0.311</v>
      </c>
      <c r="I114" s="1">
        <v>0.442</v>
      </c>
      <c r="J114" s="1">
        <v>0.40699999999999997</v>
      </c>
      <c r="K114" s="1">
        <v>0.544303797468354</v>
      </c>
      <c r="L114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5.4116303797468364</v>
      </c>
    </row>
    <row r="115" spans="1:12" hidden="1" x14ac:dyDescent="0.35">
      <c r="A115" t="s">
        <v>47</v>
      </c>
      <c r="B115">
        <v>18</v>
      </c>
      <c r="C115" t="s">
        <v>48</v>
      </c>
      <c r="D115" s="1">
        <v>2.780821918</v>
      </c>
      <c r="E115" s="1">
        <v>0.45315489674283599</v>
      </c>
      <c r="F115" s="1">
        <v>47.6</v>
      </c>
      <c r="G115" s="1">
        <v>0.89</v>
      </c>
      <c r="H115" s="1">
        <v>0.39</v>
      </c>
      <c r="I115" s="1">
        <v>0.497</v>
      </c>
      <c r="J115" s="1">
        <v>0.61299999999999999</v>
      </c>
      <c r="K115" s="1">
        <v>0.481012658227848</v>
      </c>
      <c r="L115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5.2526512658227853</v>
      </c>
    </row>
    <row r="116" spans="1:12" hidden="1" x14ac:dyDescent="0.35">
      <c r="A116" t="s">
        <v>47</v>
      </c>
      <c r="B116">
        <v>19</v>
      </c>
      <c r="C116" t="s">
        <v>44</v>
      </c>
      <c r="D116" s="1">
        <v>2.9722222220000001</v>
      </c>
      <c r="E116" s="1">
        <v>0.44086756452342701</v>
      </c>
      <c r="F116" s="1">
        <v>52</v>
      </c>
      <c r="G116" s="1">
        <v>0.88500000000000001</v>
      </c>
      <c r="H116" s="1">
        <v>0.47599999999999998</v>
      </c>
      <c r="I116" s="1">
        <v>0.61899999999999999</v>
      </c>
      <c r="J116" s="1">
        <v>0.57899999999999996</v>
      </c>
      <c r="K116" s="1">
        <v>0.455696202531646</v>
      </c>
      <c r="L116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5.7419196202531646</v>
      </c>
    </row>
    <row r="117" spans="1:12" hidden="1" x14ac:dyDescent="0.35">
      <c r="A117" t="s">
        <v>47</v>
      </c>
      <c r="B117">
        <v>20</v>
      </c>
      <c r="C117" t="s">
        <v>20</v>
      </c>
      <c r="D117" s="1">
        <v>2.9726027400000001</v>
      </c>
      <c r="E117" s="1">
        <v>0.49086834149900999</v>
      </c>
      <c r="F117" s="1">
        <v>49.7</v>
      </c>
      <c r="G117" s="1">
        <v>0.9</v>
      </c>
      <c r="H117" s="1">
        <v>0.42099999999999999</v>
      </c>
      <c r="I117" s="1">
        <v>0.40100000000000002</v>
      </c>
      <c r="J117" s="1">
        <v>0.54400000000000004</v>
      </c>
      <c r="K117" s="1">
        <v>0.367088607594937</v>
      </c>
      <c r="L117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5.4414588607594938</v>
      </c>
    </row>
    <row r="118" spans="1:12" hidden="1" x14ac:dyDescent="0.35">
      <c r="A118" t="s">
        <v>47</v>
      </c>
      <c r="B118">
        <v>21</v>
      </c>
      <c r="C118" t="s">
        <v>33</v>
      </c>
      <c r="D118" s="1">
        <v>3.1830985919999999</v>
      </c>
      <c r="E118" s="1">
        <v>0.47415521722985499</v>
      </c>
      <c r="F118" s="1">
        <v>52.6</v>
      </c>
      <c r="G118" s="1">
        <v>0.88700000000000001</v>
      </c>
      <c r="H118" s="1">
        <v>0.65200000000000002</v>
      </c>
      <c r="I118" s="1">
        <v>0.66</v>
      </c>
      <c r="J118" s="1">
        <v>0.32800000000000001</v>
      </c>
      <c r="K118" s="1">
        <v>0.30379746835443</v>
      </c>
      <c r="L118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5.8443797468354433</v>
      </c>
    </row>
    <row r="119" spans="1:12" hidden="1" x14ac:dyDescent="0.35">
      <c r="A119" t="s">
        <v>47</v>
      </c>
      <c r="B119">
        <v>22</v>
      </c>
      <c r="C119" t="s">
        <v>32</v>
      </c>
      <c r="D119" s="1">
        <v>2.7183098590000001</v>
      </c>
      <c r="E119" s="1">
        <v>0.45318944435657499</v>
      </c>
      <c r="F119" s="1">
        <v>48.4</v>
      </c>
      <c r="G119" s="1">
        <v>0.89600000000000002</v>
      </c>
      <c r="H119" s="1">
        <v>0.39</v>
      </c>
      <c r="I119" s="1">
        <v>0.45600000000000002</v>
      </c>
      <c r="J119" s="1">
        <v>0</v>
      </c>
      <c r="K119" s="1">
        <v>1.26582278481012E-2</v>
      </c>
      <c r="L119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5.2481658227848094</v>
      </c>
    </row>
    <row r="120" spans="1:12" hidden="1" x14ac:dyDescent="0.35">
      <c r="A120" t="s">
        <v>47</v>
      </c>
      <c r="B120">
        <v>23</v>
      </c>
      <c r="C120" t="s">
        <v>37</v>
      </c>
      <c r="D120" s="1">
        <v>2.8472222220000001</v>
      </c>
      <c r="E120" s="1">
        <v>0.440578281928166</v>
      </c>
      <c r="F120" s="1">
        <v>49</v>
      </c>
      <c r="G120" s="1">
        <v>0.88800000000000001</v>
      </c>
      <c r="H120" s="1">
        <v>0.42699999999999999</v>
      </c>
      <c r="I120" s="1">
        <v>0.55100000000000005</v>
      </c>
      <c r="J120" s="1">
        <v>0.45800000000000002</v>
      </c>
      <c r="K120" s="1">
        <v>0.151898734177215</v>
      </c>
      <c r="L120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5.3753398734177216</v>
      </c>
    </row>
    <row r="121" spans="1:12" hidden="1" x14ac:dyDescent="0.35">
      <c r="A121" t="s">
        <v>47</v>
      </c>
      <c r="B121">
        <v>24</v>
      </c>
      <c r="C121" t="s">
        <v>35</v>
      </c>
      <c r="D121" s="1">
        <v>2.7222222220000001</v>
      </c>
      <c r="E121" s="1">
        <v>0.43144169539874899</v>
      </c>
      <c r="F121" s="1">
        <v>51.7</v>
      </c>
      <c r="G121" s="1">
        <v>0.90300000000000002</v>
      </c>
      <c r="H121" s="1">
        <v>0.35399999999999998</v>
      </c>
      <c r="I121" s="1">
        <v>0.46300000000000002</v>
      </c>
      <c r="J121" s="1">
        <v>3.3000000000000002E-2</v>
      </c>
      <c r="K121" s="1">
        <v>0.405063291139241</v>
      </c>
      <c r="L121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5.6092563291139248</v>
      </c>
    </row>
    <row r="122" spans="1:12" hidden="1" x14ac:dyDescent="0.35">
      <c r="A122" t="s">
        <v>47</v>
      </c>
      <c r="B122">
        <v>25</v>
      </c>
      <c r="C122" t="s">
        <v>22</v>
      </c>
      <c r="D122" s="1">
        <v>2.6301369860000001</v>
      </c>
      <c r="E122" s="1">
        <v>0.38826689135815501</v>
      </c>
      <c r="F122" s="1">
        <v>50.6</v>
      </c>
      <c r="G122" s="1">
        <v>0.88500000000000001</v>
      </c>
      <c r="H122" s="1">
        <v>0.317</v>
      </c>
      <c r="I122" s="1">
        <v>0.59899999999999998</v>
      </c>
      <c r="J122" s="1">
        <v>0.246</v>
      </c>
      <c r="K122" s="1">
        <v>0.569620253164557</v>
      </c>
      <c r="L122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5.5370120253164554</v>
      </c>
    </row>
    <row r="123" spans="1:12" hidden="1" x14ac:dyDescent="0.35">
      <c r="A123" t="s">
        <v>47</v>
      </c>
      <c r="B123">
        <v>26</v>
      </c>
      <c r="C123" t="s">
        <v>24</v>
      </c>
      <c r="D123" s="1">
        <v>2.9189189189999998</v>
      </c>
      <c r="E123" s="1">
        <v>0.39378798109385499</v>
      </c>
      <c r="F123" s="1">
        <v>49.8</v>
      </c>
      <c r="G123" s="1">
        <v>0.88100000000000001</v>
      </c>
      <c r="H123" s="1">
        <v>0.47</v>
      </c>
      <c r="I123" s="1">
        <v>0.80300000000000005</v>
      </c>
      <c r="J123" s="1">
        <v>0.59799999999999998</v>
      </c>
      <c r="K123" s="1">
        <v>0.164556962025316</v>
      </c>
      <c r="L123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5.5276556962025314</v>
      </c>
    </row>
    <row r="124" spans="1:12" hidden="1" x14ac:dyDescent="0.35">
      <c r="A124" t="s">
        <v>47</v>
      </c>
      <c r="B124">
        <v>27</v>
      </c>
      <c r="C124" t="s">
        <v>42</v>
      </c>
      <c r="D124" s="1">
        <v>3.0273972599999999</v>
      </c>
      <c r="E124" s="1">
        <v>0.471451876019576</v>
      </c>
      <c r="F124" s="1">
        <v>47.2</v>
      </c>
      <c r="G124" s="1">
        <v>0.88900000000000001</v>
      </c>
      <c r="H124" s="1">
        <v>0.47</v>
      </c>
      <c r="I124" s="1">
        <v>0.55100000000000005</v>
      </c>
      <c r="J124" s="1">
        <v>0.42299999999999999</v>
      </c>
      <c r="K124" s="1">
        <v>0.113924050632911</v>
      </c>
      <c r="L124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5.2050424050632929</v>
      </c>
    </row>
    <row r="125" spans="1:12" hidden="1" x14ac:dyDescent="0.35">
      <c r="A125" t="s">
        <v>47</v>
      </c>
      <c r="B125">
        <v>28</v>
      </c>
      <c r="C125" t="s">
        <v>41</v>
      </c>
      <c r="D125" s="1">
        <v>2.7432432430000002</v>
      </c>
      <c r="E125" s="1">
        <v>0.38790782611969798</v>
      </c>
      <c r="F125" s="1">
        <v>51.2</v>
      </c>
      <c r="G125" s="1">
        <v>0.871</v>
      </c>
      <c r="H125" s="1">
        <v>0.33500000000000002</v>
      </c>
      <c r="I125" s="1">
        <v>0.63300000000000001</v>
      </c>
      <c r="J125" s="1">
        <v>0.25</v>
      </c>
      <c r="K125" s="1">
        <v>0.227848101265823</v>
      </c>
      <c r="L125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5.5733348101265836</v>
      </c>
    </row>
    <row r="126" spans="1:12" hidden="1" x14ac:dyDescent="0.35">
      <c r="A126" t="s">
        <v>47</v>
      </c>
      <c r="B126">
        <v>29</v>
      </c>
      <c r="C126" t="s">
        <v>36</v>
      </c>
      <c r="D126" s="1">
        <v>3.1549295769999999</v>
      </c>
      <c r="E126" s="1">
        <v>0.44928366762177702</v>
      </c>
      <c r="F126" s="1">
        <v>49.4</v>
      </c>
      <c r="G126" s="1">
        <v>0.879</v>
      </c>
      <c r="H126" s="1">
        <v>0.60399999999999998</v>
      </c>
      <c r="I126" s="1">
        <v>0.76200000000000001</v>
      </c>
      <c r="J126" s="1">
        <v>0.34499999999999997</v>
      </c>
      <c r="K126" s="1">
        <v>0.645569620253165</v>
      </c>
      <c r="L126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5.561406962025317</v>
      </c>
    </row>
    <row r="127" spans="1:12" hidden="1" x14ac:dyDescent="0.35">
      <c r="A127" t="s">
        <v>47</v>
      </c>
      <c r="B127">
        <v>30</v>
      </c>
      <c r="C127" t="s">
        <v>28</v>
      </c>
      <c r="D127" s="1">
        <v>2.5416666669999999</v>
      </c>
      <c r="E127" s="1">
        <v>0.38355113213381697</v>
      </c>
      <c r="F127" s="1">
        <v>51.7</v>
      </c>
      <c r="G127" s="1">
        <v>0.88700000000000001</v>
      </c>
      <c r="H127" s="1">
        <v>0.27400000000000002</v>
      </c>
      <c r="I127" s="1">
        <v>0.57099999999999995</v>
      </c>
      <c r="J127" s="1">
        <v>0.627</v>
      </c>
      <c r="K127" s="1">
        <v>0.556962025316456</v>
      </c>
      <c r="L127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5.6445462025316466</v>
      </c>
    </row>
    <row r="128" spans="1:12" hidden="1" x14ac:dyDescent="0.35">
      <c r="A128" t="s">
        <v>47</v>
      </c>
      <c r="B128">
        <v>31</v>
      </c>
      <c r="C128" t="s">
        <v>39</v>
      </c>
      <c r="D128" s="1">
        <v>2.7123287669999998</v>
      </c>
      <c r="E128" s="1">
        <v>0.36351160893108803</v>
      </c>
      <c r="F128" s="1">
        <v>51.6</v>
      </c>
      <c r="G128" s="1">
        <v>0.88500000000000001</v>
      </c>
      <c r="H128" s="1">
        <v>0.35399999999999998</v>
      </c>
      <c r="I128" s="1">
        <v>0.748</v>
      </c>
      <c r="J128" s="1">
        <v>0.754</v>
      </c>
      <c r="K128" s="1">
        <v>0.392405063291139</v>
      </c>
      <c r="L128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5.6874405063291142</v>
      </c>
    </row>
    <row r="129" spans="1:12" hidden="1" x14ac:dyDescent="0.35">
      <c r="A129" t="s">
        <v>47</v>
      </c>
      <c r="B129">
        <v>32</v>
      </c>
      <c r="C129" t="s">
        <v>34</v>
      </c>
      <c r="D129" s="1">
        <v>2.6197183100000001</v>
      </c>
      <c r="E129" s="1">
        <v>0.33852596970527199</v>
      </c>
      <c r="F129" s="1">
        <v>50.5</v>
      </c>
      <c r="G129" s="1">
        <v>0.88400000000000001</v>
      </c>
      <c r="H129" s="1">
        <v>0.27400000000000002</v>
      </c>
      <c r="I129" s="1">
        <v>0.748</v>
      </c>
      <c r="J129" s="1">
        <v>0.32500000000000001</v>
      </c>
      <c r="K129" s="1">
        <v>0.367088607594937</v>
      </c>
      <c r="L129" s="1">
        <f>(0.1 * Table15[[#This Row],[PUCK_POSSESSION]])+(0.2 * Table15[[#This Row],[GOALTENDING]]) + (0.35 * Table15[[#This Row],[OFFENSE]]) + (0.2 *Table15[[#This Row],[DEFENSE]]) + (0.05 * Table15[[#This Row],[SPEC_TEAMS]]) + (0.1 * Table15[[#This Row],[PHYSICALITY]])</f>
        <v>5.5252588607594957</v>
      </c>
    </row>
  </sheetData>
  <conditionalFormatting sqref="D66:D7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6:E7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6:F7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6:G7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6:H7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6:I7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6:J7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6:K7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6:L7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32CD-B385-4381-8B85-4CFC5AA269E9}">
  <dimension ref="A1:M129"/>
  <sheetViews>
    <sheetView zoomScale="80" zoomScaleNormal="80" workbookViewId="0">
      <selection activeCell="B1" sqref="B1:K114"/>
    </sheetView>
  </sheetViews>
  <sheetFormatPr defaultRowHeight="14.5" x14ac:dyDescent="0.35"/>
  <cols>
    <col min="1" max="1" width="10.453125" bestFit="1" customWidth="1"/>
    <col min="2" max="2" width="10.54296875" style="1" bestFit="1" customWidth="1"/>
    <col min="3" max="3" width="20" bestFit="1" customWidth="1"/>
    <col min="4" max="4" width="12" style="1" bestFit="1" customWidth="1"/>
    <col min="5" max="5" width="14.81640625" style="1" bestFit="1" customWidth="1"/>
    <col min="6" max="6" width="22.7265625" style="1" bestFit="1" customWidth="1"/>
    <col min="7" max="7" width="18.453125" style="1" bestFit="1" customWidth="1"/>
    <col min="8" max="9" width="13.7265625" style="1" bestFit="1" customWidth="1"/>
    <col min="10" max="11" width="17" style="1" bestFit="1" customWidth="1"/>
    <col min="12" max="12" width="21.1796875" style="1" hidden="1" customWidth="1"/>
    <col min="13" max="13" width="23.453125" bestFit="1" customWidth="1"/>
  </cols>
  <sheetData>
    <row r="1" spans="1:13" x14ac:dyDescent="0.35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49</v>
      </c>
      <c r="M1" t="s">
        <v>11</v>
      </c>
    </row>
    <row r="2" spans="1:13" hidden="1" x14ac:dyDescent="0.35">
      <c r="A2" t="s">
        <v>12</v>
      </c>
      <c r="B2">
        <v>1</v>
      </c>
      <c r="C2" t="s">
        <v>13</v>
      </c>
      <c r="D2">
        <v>4.1097560980000001</v>
      </c>
      <c r="E2">
        <v>0.65977470909122604</v>
      </c>
      <c r="F2">
        <v>56.6</v>
      </c>
      <c r="G2">
        <v>0.90400000000000003</v>
      </c>
      <c r="H2">
        <v>1</v>
      </c>
      <c r="I2">
        <v>0.38900000000000001</v>
      </c>
      <c r="J2">
        <v>0.67200000000000004</v>
      </c>
      <c r="K2">
        <v>0.5625</v>
      </c>
      <c r="L2" s="10">
        <f>AVERAGE(Table10[[#This Row],[PUCK_POSSESSION]:[PHYSICALITY]])</f>
        <v>10.02125</v>
      </c>
      <c r="M2">
        <v>0</v>
      </c>
    </row>
    <row r="3" spans="1:13" hidden="1" x14ac:dyDescent="0.35">
      <c r="A3" t="s">
        <v>12</v>
      </c>
      <c r="B3">
        <v>2</v>
      </c>
      <c r="C3" t="s">
        <v>14</v>
      </c>
      <c r="D3">
        <v>3.7560975609999998</v>
      </c>
      <c r="E3">
        <v>0.63800710211987499</v>
      </c>
      <c r="F3">
        <v>53</v>
      </c>
      <c r="G3">
        <v>0.91200000000000003</v>
      </c>
      <c r="H3">
        <v>0.77800000000000002</v>
      </c>
      <c r="I3">
        <v>0.33700000000000002</v>
      </c>
      <c r="J3">
        <v>0.66100000000000003</v>
      </c>
      <c r="K3">
        <v>0.42499999999999999</v>
      </c>
      <c r="L3" s="10">
        <f>AVERAGE(Table10[[#This Row],[PUCK_POSSESSION]:[PHYSICALITY]])</f>
        <v>9.3521666666666672</v>
      </c>
      <c r="M3">
        <v>1</v>
      </c>
    </row>
    <row r="4" spans="1:13" hidden="1" x14ac:dyDescent="0.35">
      <c r="A4" t="s">
        <v>12</v>
      </c>
      <c r="B4">
        <v>3</v>
      </c>
      <c r="C4" t="s">
        <v>15</v>
      </c>
      <c r="D4">
        <v>3.3780487799999999</v>
      </c>
      <c r="E4">
        <v>0.65732594299617098</v>
      </c>
      <c r="F4">
        <v>56.3</v>
      </c>
      <c r="G4">
        <v>0.91300000000000003</v>
      </c>
      <c r="H4">
        <v>0.60799999999999998</v>
      </c>
      <c r="I4">
        <v>0.14299999999999999</v>
      </c>
      <c r="J4">
        <v>0.88400000000000001</v>
      </c>
      <c r="K4">
        <v>0.45</v>
      </c>
      <c r="L4" s="10">
        <f>AVERAGE(Table10[[#This Row],[PUCK_POSSESSION]:[PHYSICALITY]])</f>
        <v>9.8829999999999991</v>
      </c>
      <c r="M4">
        <v>0</v>
      </c>
    </row>
    <row r="5" spans="1:13" hidden="1" x14ac:dyDescent="0.35">
      <c r="A5" t="s">
        <v>12</v>
      </c>
      <c r="B5">
        <v>4</v>
      </c>
      <c r="C5" t="s">
        <v>16</v>
      </c>
      <c r="D5">
        <v>3.804878049</v>
      </c>
      <c r="E5">
        <v>0.60519247985675895</v>
      </c>
      <c r="F5">
        <v>53.4</v>
      </c>
      <c r="G5">
        <v>0.9</v>
      </c>
      <c r="H5">
        <v>0.83499999999999996</v>
      </c>
      <c r="I5">
        <v>0.44600000000000001</v>
      </c>
      <c r="J5">
        <v>0.85899999999999999</v>
      </c>
      <c r="K5">
        <v>0.375</v>
      </c>
      <c r="L5" s="10">
        <f>AVERAGE(Table10[[#This Row],[PUCK_POSSESSION]:[PHYSICALITY]])</f>
        <v>9.4691666666666663</v>
      </c>
      <c r="M5">
        <v>0</v>
      </c>
    </row>
    <row r="6" spans="1:13" hidden="1" x14ac:dyDescent="0.35">
      <c r="A6" t="s">
        <v>12</v>
      </c>
      <c r="B6">
        <v>5</v>
      </c>
      <c r="C6" t="s">
        <v>17</v>
      </c>
      <c r="D6">
        <v>3.7195121950000001</v>
      </c>
      <c r="E6">
        <v>0.60006063499025997</v>
      </c>
      <c r="F6">
        <v>51.3</v>
      </c>
      <c r="G6">
        <v>0.90300000000000002</v>
      </c>
      <c r="H6">
        <v>0.75600000000000001</v>
      </c>
      <c r="I6">
        <v>0.40600000000000003</v>
      </c>
      <c r="J6">
        <v>0.41699999999999998</v>
      </c>
      <c r="K6">
        <v>0.65</v>
      </c>
      <c r="L6" s="10">
        <f>AVERAGE(Table10[[#This Row],[PUCK_POSSESSION]:[PHYSICALITY]])</f>
        <v>9.0719999999999992</v>
      </c>
      <c r="M6">
        <v>0</v>
      </c>
    </row>
    <row r="7" spans="1:13" hidden="1" x14ac:dyDescent="0.35">
      <c r="A7" t="s">
        <v>12</v>
      </c>
      <c r="B7">
        <v>6</v>
      </c>
      <c r="C7" t="s">
        <v>18</v>
      </c>
      <c r="D7">
        <v>3.5487804879999998</v>
      </c>
      <c r="E7">
        <v>0.66616581574455003</v>
      </c>
      <c r="F7">
        <v>55.7</v>
      </c>
      <c r="G7">
        <v>0.91300000000000003</v>
      </c>
      <c r="H7">
        <v>0.69899999999999995</v>
      </c>
      <c r="I7">
        <v>0.16600000000000001</v>
      </c>
      <c r="J7">
        <v>0.746</v>
      </c>
      <c r="K7">
        <v>0.4375</v>
      </c>
      <c r="L7" s="10">
        <f>AVERAGE(Table10[[#This Row],[PUCK_POSSESSION]:[PHYSICALITY]])</f>
        <v>9.7769166666666667</v>
      </c>
      <c r="M7">
        <v>0</v>
      </c>
    </row>
    <row r="8" spans="1:13" hidden="1" x14ac:dyDescent="0.35">
      <c r="A8" t="s">
        <v>12</v>
      </c>
      <c r="B8">
        <v>7</v>
      </c>
      <c r="C8" t="s">
        <v>19</v>
      </c>
      <c r="D8">
        <v>3.4756097559999999</v>
      </c>
      <c r="E8">
        <v>0.60975609756097604</v>
      </c>
      <c r="F8">
        <v>50.9</v>
      </c>
      <c r="G8">
        <v>0.90700000000000003</v>
      </c>
      <c r="H8">
        <v>0.64200000000000002</v>
      </c>
      <c r="I8">
        <v>0.309</v>
      </c>
      <c r="J8">
        <v>0.69</v>
      </c>
      <c r="K8">
        <v>0.67500000000000004</v>
      </c>
      <c r="L8" s="10">
        <f>AVERAGE(Table10[[#This Row],[PUCK_POSSESSION]:[PHYSICALITY]])</f>
        <v>9.0205000000000002</v>
      </c>
      <c r="M8">
        <v>0</v>
      </c>
    </row>
    <row r="9" spans="1:13" hidden="1" x14ac:dyDescent="0.35">
      <c r="A9" t="s">
        <v>12</v>
      </c>
      <c r="B9">
        <v>8</v>
      </c>
      <c r="C9" t="s">
        <v>20</v>
      </c>
      <c r="D9">
        <v>3.0487804879999998</v>
      </c>
      <c r="E9">
        <v>0.60029198202005496</v>
      </c>
      <c r="F9">
        <v>47.1</v>
      </c>
      <c r="G9">
        <v>0.91900000000000004</v>
      </c>
      <c r="H9">
        <v>0.42599999999999999</v>
      </c>
      <c r="I9">
        <v>0.183</v>
      </c>
      <c r="J9">
        <v>0.79700000000000004</v>
      </c>
      <c r="K9">
        <v>0.32500000000000001</v>
      </c>
      <c r="L9" s="10">
        <f>AVERAGE(Table10[[#This Row],[PUCK_POSSESSION]:[PHYSICALITY]])</f>
        <v>8.2916666666666661</v>
      </c>
      <c r="M9">
        <v>0</v>
      </c>
    </row>
    <row r="10" spans="1:13" hidden="1" x14ac:dyDescent="0.35">
      <c r="A10" t="s">
        <v>12</v>
      </c>
      <c r="B10">
        <v>9</v>
      </c>
      <c r="C10" t="s">
        <v>21</v>
      </c>
      <c r="D10">
        <v>3.7682926829999999</v>
      </c>
      <c r="E10">
        <v>0.62568642612809799</v>
      </c>
      <c r="F10">
        <v>47.2</v>
      </c>
      <c r="G10">
        <v>0.90800000000000003</v>
      </c>
      <c r="H10">
        <v>0.77800000000000002</v>
      </c>
      <c r="I10">
        <v>0.39400000000000002</v>
      </c>
      <c r="J10">
        <v>0.92</v>
      </c>
      <c r="K10">
        <v>0.23749999999999999</v>
      </c>
      <c r="L10" s="10">
        <f>AVERAGE(Table10[[#This Row],[PUCK_POSSESSION]:[PHYSICALITY]])</f>
        <v>8.40625</v>
      </c>
      <c r="M10">
        <v>0</v>
      </c>
    </row>
    <row r="11" spans="1:13" hidden="1" x14ac:dyDescent="0.35">
      <c r="A11" t="s">
        <v>12</v>
      </c>
      <c r="B11">
        <v>10</v>
      </c>
      <c r="C11" t="s">
        <v>22</v>
      </c>
      <c r="D11">
        <v>3.085365854</v>
      </c>
      <c r="E11">
        <v>0.57390189450655904</v>
      </c>
      <c r="F11">
        <v>54.5</v>
      </c>
      <c r="G11">
        <v>0.90700000000000003</v>
      </c>
      <c r="H11">
        <v>0.48899999999999999</v>
      </c>
      <c r="I11">
        <v>0.217</v>
      </c>
      <c r="J11">
        <v>0.62</v>
      </c>
      <c r="K11">
        <v>0.53749999999999998</v>
      </c>
      <c r="L11" s="10">
        <f>AVERAGE(Table10[[#This Row],[PUCK_POSSESSION]:[PHYSICALITY]])</f>
        <v>9.5450833333333325</v>
      </c>
      <c r="M11">
        <v>0</v>
      </c>
    </row>
    <row r="12" spans="1:13" hidden="1" x14ac:dyDescent="0.35">
      <c r="A12" t="s">
        <v>12</v>
      </c>
      <c r="B12">
        <v>11</v>
      </c>
      <c r="C12" t="s">
        <v>23</v>
      </c>
      <c r="D12">
        <v>3.4756097559999999</v>
      </c>
      <c r="E12">
        <v>0.56317862243978201</v>
      </c>
      <c r="F12">
        <v>52.5</v>
      </c>
      <c r="G12">
        <v>0.90500000000000003</v>
      </c>
      <c r="H12">
        <v>0.65900000000000003</v>
      </c>
      <c r="I12">
        <v>0.45100000000000001</v>
      </c>
      <c r="J12">
        <v>0.72</v>
      </c>
      <c r="K12">
        <v>0.3125</v>
      </c>
      <c r="L12" s="10">
        <f>AVERAGE(Table10[[#This Row],[PUCK_POSSESSION]:[PHYSICALITY]])</f>
        <v>9.2579166666666666</v>
      </c>
      <c r="M12">
        <v>0</v>
      </c>
    </row>
    <row r="13" spans="1:13" hidden="1" x14ac:dyDescent="0.35">
      <c r="A13" t="s">
        <v>12</v>
      </c>
      <c r="B13">
        <v>12</v>
      </c>
      <c r="C13" t="s">
        <v>24</v>
      </c>
      <c r="D13">
        <v>3.2804878049999999</v>
      </c>
      <c r="E13">
        <v>0.59485387808787904</v>
      </c>
      <c r="F13">
        <v>52.1</v>
      </c>
      <c r="G13">
        <v>0.91400000000000003</v>
      </c>
      <c r="H13">
        <v>0.57999999999999996</v>
      </c>
      <c r="I13">
        <v>0.28000000000000003</v>
      </c>
      <c r="J13">
        <v>0.69399999999999995</v>
      </c>
      <c r="K13">
        <v>0.16250000000000001</v>
      </c>
      <c r="L13" s="10">
        <f>AVERAGE(Table10[[#This Row],[PUCK_POSSESSION]:[PHYSICALITY]])</f>
        <v>9.1217500000000005</v>
      </c>
      <c r="M13">
        <v>0</v>
      </c>
    </row>
    <row r="14" spans="1:13" hidden="1" x14ac:dyDescent="0.35">
      <c r="A14" t="s">
        <v>12</v>
      </c>
      <c r="B14">
        <v>13</v>
      </c>
      <c r="C14" t="s">
        <v>25</v>
      </c>
      <c r="D14">
        <v>3.292682927</v>
      </c>
      <c r="E14">
        <v>0.55452443254427097</v>
      </c>
      <c r="F14">
        <v>50.6</v>
      </c>
      <c r="G14">
        <v>0.89800000000000002</v>
      </c>
      <c r="H14">
        <v>0.55100000000000005</v>
      </c>
      <c r="I14">
        <v>0.377</v>
      </c>
      <c r="J14">
        <v>0.505</v>
      </c>
      <c r="K14">
        <v>0.26250000000000001</v>
      </c>
      <c r="L14" s="10">
        <f>AVERAGE(Table10[[#This Row],[PUCK_POSSESSION]:[PHYSICALITY]])</f>
        <v>8.8655833333333351</v>
      </c>
      <c r="M14">
        <v>0</v>
      </c>
    </row>
    <row r="15" spans="1:13" hidden="1" x14ac:dyDescent="0.35">
      <c r="A15" t="s">
        <v>12</v>
      </c>
      <c r="B15">
        <v>14</v>
      </c>
      <c r="C15" t="s">
        <v>26</v>
      </c>
      <c r="D15">
        <v>2.8658536589999999</v>
      </c>
      <c r="E15">
        <v>0.50642371777824602</v>
      </c>
      <c r="F15">
        <v>54.1</v>
      </c>
      <c r="G15">
        <v>0.90100000000000002</v>
      </c>
      <c r="H15">
        <v>0.36899999999999999</v>
      </c>
      <c r="I15">
        <v>0.32600000000000001</v>
      </c>
      <c r="J15">
        <v>0.28000000000000003</v>
      </c>
      <c r="K15">
        <v>0.26250000000000001</v>
      </c>
      <c r="L15" s="10">
        <f>AVERAGE(Table10[[#This Row],[PUCK_POSSESSION]:[PHYSICALITY]])</f>
        <v>9.3730833333333354</v>
      </c>
      <c r="M15">
        <v>0</v>
      </c>
    </row>
    <row r="16" spans="1:13" hidden="1" x14ac:dyDescent="0.35">
      <c r="A16" t="s">
        <v>12</v>
      </c>
      <c r="B16">
        <v>15</v>
      </c>
      <c r="C16" t="s">
        <v>27</v>
      </c>
      <c r="D16">
        <v>2.8414634150000002</v>
      </c>
      <c r="E16">
        <v>0.47695146057544502</v>
      </c>
      <c r="F16">
        <v>48.9</v>
      </c>
      <c r="G16">
        <v>0.90400000000000003</v>
      </c>
      <c r="H16">
        <v>0.34699999999999998</v>
      </c>
      <c r="I16">
        <v>0.4</v>
      </c>
      <c r="J16">
        <v>0.58199999999999996</v>
      </c>
      <c r="K16">
        <v>0.13750000000000001</v>
      </c>
      <c r="L16" s="10">
        <f>AVERAGE(Table10[[#This Row],[PUCK_POSSESSION]:[PHYSICALITY]])</f>
        <v>8.5450833333333343</v>
      </c>
      <c r="M16">
        <v>0</v>
      </c>
    </row>
    <row r="17" spans="1:13" hidden="1" x14ac:dyDescent="0.35">
      <c r="A17" t="s">
        <v>12</v>
      </c>
      <c r="B17">
        <v>16</v>
      </c>
      <c r="C17" t="s">
        <v>28</v>
      </c>
      <c r="D17">
        <v>3.195121951</v>
      </c>
      <c r="E17">
        <v>0.52342463246507698</v>
      </c>
      <c r="F17">
        <v>49.5</v>
      </c>
      <c r="G17">
        <v>0.90600000000000003</v>
      </c>
      <c r="H17">
        <v>0.48899999999999999</v>
      </c>
      <c r="I17">
        <v>0.42899999999999999</v>
      </c>
      <c r="J17">
        <v>0.66100000000000003</v>
      </c>
      <c r="K17">
        <v>0.875</v>
      </c>
      <c r="L17" s="10">
        <f>AVERAGE(Table10[[#This Row],[PUCK_POSSESSION]:[PHYSICALITY]])</f>
        <v>8.81</v>
      </c>
      <c r="M17">
        <v>0</v>
      </c>
    </row>
    <row r="18" spans="1:13" hidden="1" x14ac:dyDescent="0.35">
      <c r="A18" t="s">
        <v>12</v>
      </c>
      <c r="B18">
        <v>17</v>
      </c>
      <c r="C18" t="s">
        <v>29</v>
      </c>
      <c r="D18">
        <v>3.195121951</v>
      </c>
      <c r="E18">
        <v>0.53552816352004995</v>
      </c>
      <c r="F18">
        <v>52.6</v>
      </c>
      <c r="G18">
        <v>0.90100000000000002</v>
      </c>
      <c r="H18">
        <v>0.55100000000000005</v>
      </c>
      <c r="I18">
        <v>0.40600000000000003</v>
      </c>
      <c r="J18">
        <v>0.38600000000000001</v>
      </c>
      <c r="K18">
        <v>0.25</v>
      </c>
      <c r="L18" s="10">
        <f>AVERAGE(Table10[[#This Row],[PUCK_POSSESSION]:[PHYSICALITY]])</f>
        <v>9.1823333333333341</v>
      </c>
      <c r="M18">
        <v>0</v>
      </c>
    </row>
    <row r="19" spans="1:13" hidden="1" x14ac:dyDescent="0.35">
      <c r="A19" t="s">
        <v>12</v>
      </c>
      <c r="B19">
        <v>18</v>
      </c>
      <c r="C19" t="s">
        <v>30</v>
      </c>
      <c r="D19">
        <v>3</v>
      </c>
      <c r="E19">
        <v>0.53141547459100602</v>
      </c>
      <c r="F19">
        <v>49.6</v>
      </c>
      <c r="G19">
        <v>0.91200000000000003</v>
      </c>
      <c r="H19">
        <v>0.41499999999999998</v>
      </c>
      <c r="I19">
        <v>0.33700000000000002</v>
      </c>
      <c r="J19">
        <v>0.47599999999999998</v>
      </c>
      <c r="K19">
        <v>0.3</v>
      </c>
      <c r="L19" s="10">
        <f>AVERAGE(Table10[[#This Row],[PUCK_POSSESSION]:[PHYSICALITY]])</f>
        <v>8.6733333333333338</v>
      </c>
      <c r="M19">
        <v>0</v>
      </c>
    </row>
    <row r="20" spans="1:13" hidden="1" x14ac:dyDescent="0.35">
      <c r="A20" t="s">
        <v>12</v>
      </c>
      <c r="B20">
        <v>19</v>
      </c>
      <c r="C20" t="s">
        <v>31</v>
      </c>
      <c r="D20">
        <v>3.0487804879999998</v>
      </c>
      <c r="E20">
        <v>0.49403599743891702</v>
      </c>
      <c r="F20">
        <v>49.4</v>
      </c>
      <c r="G20">
        <v>0.90700000000000003</v>
      </c>
      <c r="H20">
        <v>0.45500000000000002</v>
      </c>
      <c r="I20">
        <v>0.47399999999999998</v>
      </c>
      <c r="J20">
        <v>0.39500000000000002</v>
      </c>
      <c r="K20">
        <v>0.4</v>
      </c>
      <c r="L20" s="10">
        <f>AVERAGE(Table10[[#This Row],[PUCK_POSSESSION]:[PHYSICALITY]])</f>
        <v>8.6718333333333337</v>
      </c>
      <c r="M20">
        <v>0</v>
      </c>
    </row>
    <row r="21" spans="1:13" hidden="1" x14ac:dyDescent="0.35">
      <c r="A21" t="s">
        <v>12</v>
      </c>
      <c r="B21">
        <v>20</v>
      </c>
      <c r="C21" t="s">
        <v>32</v>
      </c>
      <c r="D21">
        <v>2.792682927</v>
      </c>
      <c r="E21">
        <v>0.49565225610101898</v>
      </c>
      <c r="F21">
        <v>46</v>
      </c>
      <c r="G21">
        <v>0.91300000000000003</v>
      </c>
      <c r="H21">
        <v>0.32400000000000001</v>
      </c>
      <c r="I21">
        <v>0.36</v>
      </c>
      <c r="J21">
        <v>0.754</v>
      </c>
      <c r="K21">
        <v>0.41249999999999998</v>
      </c>
      <c r="L21" s="10">
        <f>AVERAGE(Table10[[#This Row],[PUCK_POSSESSION]:[PHYSICALITY]])</f>
        <v>8.1272499999999983</v>
      </c>
      <c r="M21">
        <v>0</v>
      </c>
    </row>
    <row r="22" spans="1:13" hidden="1" x14ac:dyDescent="0.35">
      <c r="A22" t="s">
        <v>12</v>
      </c>
      <c r="B22">
        <v>21</v>
      </c>
      <c r="C22" t="s">
        <v>33</v>
      </c>
      <c r="D22">
        <v>3.1463414630000002</v>
      </c>
      <c r="E22">
        <v>0.43007501308367702</v>
      </c>
      <c r="F22">
        <v>47.9</v>
      </c>
      <c r="G22">
        <v>0.89700000000000002</v>
      </c>
      <c r="H22">
        <v>0.46600000000000003</v>
      </c>
      <c r="I22">
        <v>0.754</v>
      </c>
      <c r="J22">
        <v>0.435</v>
      </c>
      <c r="K22">
        <v>0.26250000000000001</v>
      </c>
      <c r="L22" s="10">
        <f>AVERAGE(Table10[[#This Row],[PUCK_POSSESSION]:[PHYSICALITY]])</f>
        <v>8.4524166666666662</v>
      </c>
      <c r="M22">
        <v>0</v>
      </c>
    </row>
    <row r="23" spans="1:13" hidden="1" x14ac:dyDescent="0.35">
      <c r="A23" t="s">
        <v>12</v>
      </c>
      <c r="B23">
        <v>22</v>
      </c>
      <c r="C23" t="s">
        <v>34</v>
      </c>
      <c r="D23">
        <v>2.5731707319999999</v>
      </c>
      <c r="E23">
        <v>0.39524333729869898</v>
      </c>
      <c r="F23">
        <v>45.5</v>
      </c>
      <c r="G23">
        <v>0.9</v>
      </c>
      <c r="H23">
        <v>0.20499999999999999</v>
      </c>
      <c r="I23">
        <v>0.50900000000000001</v>
      </c>
      <c r="J23">
        <v>0.67900000000000005</v>
      </c>
      <c r="K23">
        <v>0.4</v>
      </c>
      <c r="L23" s="10">
        <f>AVERAGE(Table10[[#This Row],[PUCK_POSSESSION]:[PHYSICALITY]])</f>
        <v>8.0321666666666669</v>
      </c>
      <c r="M23">
        <v>0</v>
      </c>
    </row>
    <row r="24" spans="1:13" hidden="1" x14ac:dyDescent="0.35">
      <c r="A24" t="s">
        <v>12</v>
      </c>
      <c r="B24">
        <v>23</v>
      </c>
      <c r="C24" t="s">
        <v>35</v>
      </c>
      <c r="D24">
        <v>2.7804878049999999</v>
      </c>
      <c r="E24">
        <v>0.42352941176470599</v>
      </c>
      <c r="F24">
        <v>47.6</v>
      </c>
      <c r="G24">
        <v>0.90200000000000002</v>
      </c>
      <c r="H24">
        <v>0.313</v>
      </c>
      <c r="I24">
        <v>0.54300000000000004</v>
      </c>
      <c r="J24">
        <v>0.628</v>
      </c>
      <c r="K24">
        <v>0.46250000000000002</v>
      </c>
      <c r="L24" s="10">
        <f>AVERAGE(Table10[[#This Row],[PUCK_POSSESSION]:[PHYSICALITY]])</f>
        <v>8.4080833333333338</v>
      </c>
      <c r="M24">
        <v>0</v>
      </c>
    </row>
    <row r="25" spans="1:13" hidden="1" x14ac:dyDescent="0.35">
      <c r="A25" t="s">
        <v>12</v>
      </c>
      <c r="B25">
        <v>24</v>
      </c>
      <c r="C25" t="s">
        <v>36</v>
      </c>
      <c r="D25">
        <v>2.792682927</v>
      </c>
      <c r="E25">
        <v>0.38899933239373902</v>
      </c>
      <c r="F25">
        <v>48.5</v>
      </c>
      <c r="G25">
        <v>0.89400000000000002</v>
      </c>
      <c r="H25">
        <v>0.30099999999999999</v>
      </c>
      <c r="I25">
        <v>0.66300000000000003</v>
      </c>
      <c r="J25">
        <v>0.44900000000000001</v>
      </c>
      <c r="K25">
        <v>0.3125</v>
      </c>
      <c r="L25" s="10">
        <f>AVERAGE(Table10[[#This Row],[PUCK_POSSESSION]:[PHYSICALITY]])</f>
        <v>8.5199166666666653</v>
      </c>
      <c r="M25">
        <v>0</v>
      </c>
    </row>
    <row r="26" spans="1:13" hidden="1" x14ac:dyDescent="0.35">
      <c r="A26" t="s">
        <v>12</v>
      </c>
      <c r="B26">
        <v>25</v>
      </c>
      <c r="C26" t="s">
        <v>37</v>
      </c>
      <c r="D26">
        <v>2.7682926829999999</v>
      </c>
      <c r="E26">
        <v>0.34904388704116401</v>
      </c>
      <c r="F26">
        <v>46</v>
      </c>
      <c r="G26">
        <v>0.88800000000000001</v>
      </c>
      <c r="H26">
        <v>0.313</v>
      </c>
      <c r="I26">
        <v>0.81699999999999995</v>
      </c>
      <c r="J26">
        <v>0.186</v>
      </c>
      <c r="K26">
        <v>0.41249999999999998</v>
      </c>
      <c r="L26" s="10">
        <f>AVERAGE(Table10[[#This Row],[PUCK_POSSESSION]:[PHYSICALITY]])</f>
        <v>8.1027500000000003</v>
      </c>
      <c r="M26">
        <v>0</v>
      </c>
    </row>
    <row r="27" spans="1:13" hidden="1" x14ac:dyDescent="0.35">
      <c r="A27" t="s">
        <v>12</v>
      </c>
      <c r="B27">
        <v>26</v>
      </c>
      <c r="C27" t="s">
        <v>38</v>
      </c>
      <c r="D27">
        <v>2.7317073170000001</v>
      </c>
      <c r="E27">
        <v>0.41857981847303799</v>
      </c>
      <c r="F27">
        <v>47.9</v>
      </c>
      <c r="G27">
        <v>0.90400000000000003</v>
      </c>
      <c r="H27">
        <v>0.27800000000000002</v>
      </c>
      <c r="I27">
        <v>0.53100000000000003</v>
      </c>
      <c r="J27">
        <v>0.52100000000000002</v>
      </c>
      <c r="K27">
        <v>0.55000000000000004</v>
      </c>
      <c r="L27" s="10">
        <f>AVERAGE(Table10[[#This Row],[PUCK_POSSESSION]:[PHYSICALITY]])</f>
        <v>8.4473333333333329</v>
      </c>
      <c r="M27">
        <v>0</v>
      </c>
    </row>
    <row r="28" spans="1:13" hidden="1" x14ac:dyDescent="0.35">
      <c r="A28" t="s">
        <v>12</v>
      </c>
      <c r="B28">
        <v>27</v>
      </c>
      <c r="C28" t="s">
        <v>39</v>
      </c>
      <c r="D28">
        <v>2.597560976</v>
      </c>
      <c r="E28">
        <v>0.35199782760493398</v>
      </c>
      <c r="F28">
        <v>46</v>
      </c>
      <c r="G28">
        <v>0.89300000000000002</v>
      </c>
      <c r="H28">
        <v>0.21</v>
      </c>
      <c r="I28">
        <v>0.66300000000000003</v>
      </c>
      <c r="J28">
        <v>0.372</v>
      </c>
      <c r="K28">
        <v>0.28749999999999998</v>
      </c>
      <c r="L28" s="10">
        <f>AVERAGE(Table10[[#This Row],[PUCK_POSSESSION]:[PHYSICALITY]])</f>
        <v>8.0709166666666672</v>
      </c>
      <c r="M28">
        <v>0</v>
      </c>
    </row>
    <row r="29" spans="1:13" hidden="1" x14ac:dyDescent="0.35">
      <c r="A29" t="s">
        <v>12</v>
      </c>
      <c r="B29">
        <v>28</v>
      </c>
      <c r="C29" t="s">
        <v>40</v>
      </c>
      <c r="D29">
        <v>2.9878048779999999</v>
      </c>
      <c r="E29">
        <v>0.39691461293799501</v>
      </c>
      <c r="F29">
        <v>50.4</v>
      </c>
      <c r="G29">
        <v>0.88100000000000001</v>
      </c>
      <c r="H29">
        <v>0.42599999999999999</v>
      </c>
      <c r="I29">
        <v>0.73699999999999999</v>
      </c>
      <c r="J29">
        <v>0.38400000000000001</v>
      </c>
      <c r="K29">
        <v>0.3125</v>
      </c>
      <c r="L29" s="10">
        <f>AVERAGE(Table10[[#This Row],[PUCK_POSSESSION]:[PHYSICALITY]])</f>
        <v>8.8567499999999999</v>
      </c>
      <c r="M29">
        <v>0</v>
      </c>
    </row>
    <row r="30" spans="1:13" hidden="1" x14ac:dyDescent="0.35">
      <c r="A30" t="s">
        <v>12</v>
      </c>
      <c r="B30">
        <v>29</v>
      </c>
      <c r="C30" t="s">
        <v>41</v>
      </c>
      <c r="D30">
        <v>2.5609756099999998</v>
      </c>
      <c r="E30">
        <v>0.337837837837838</v>
      </c>
      <c r="F30">
        <v>46.6</v>
      </c>
      <c r="G30">
        <v>0.89400000000000002</v>
      </c>
      <c r="H30">
        <v>0.20499999999999999</v>
      </c>
      <c r="I30">
        <v>0.69699999999999995</v>
      </c>
      <c r="J30">
        <v>0.123</v>
      </c>
      <c r="K30">
        <v>0.42499999999999999</v>
      </c>
      <c r="L30" s="10">
        <f>AVERAGE(Table10[[#This Row],[PUCK_POSSESSION]:[PHYSICALITY]])</f>
        <v>8.157333333333332</v>
      </c>
      <c r="M30">
        <v>0</v>
      </c>
    </row>
    <row r="31" spans="1:13" hidden="1" x14ac:dyDescent="0.35">
      <c r="A31" t="s">
        <v>12</v>
      </c>
      <c r="B31">
        <v>30</v>
      </c>
      <c r="C31" t="s">
        <v>42</v>
      </c>
      <c r="D31">
        <v>2.597560976</v>
      </c>
      <c r="E31">
        <v>0.36</v>
      </c>
      <c r="F31">
        <v>50.7</v>
      </c>
      <c r="G31">
        <v>0.88</v>
      </c>
      <c r="H31">
        <v>0.216</v>
      </c>
      <c r="I31">
        <v>0.60599999999999998</v>
      </c>
      <c r="J31">
        <v>0.16300000000000001</v>
      </c>
      <c r="K31">
        <v>0.36249999999999999</v>
      </c>
      <c r="L31" s="10">
        <f>AVERAGE(Table10[[#This Row],[PUCK_POSSESSION]:[PHYSICALITY]])</f>
        <v>8.8212500000000009</v>
      </c>
      <c r="M31">
        <v>0</v>
      </c>
    </row>
    <row r="32" spans="1:13" hidden="1" x14ac:dyDescent="0.35">
      <c r="A32" t="s">
        <v>12</v>
      </c>
      <c r="B32">
        <v>31</v>
      </c>
      <c r="C32" t="s">
        <v>43</v>
      </c>
      <c r="D32">
        <v>2.5121951220000001</v>
      </c>
      <c r="E32">
        <v>0.30769230769230799</v>
      </c>
      <c r="F32">
        <v>43.9</v>
      </c>
      <c r="G32">
        <v>0.89400000000000002</v>
      </c>
      <c r="H32">
        <v>0.159</v>
      </c>
      <c r="I32">
        <v>0.81100000000000005</v>
      </c>
      <c r="J32">
        <v>0.14299999999999999</v>
      </c>
      <c r="K32">
        <v>0.57499999999999996</v>
      </c>
      <c r="L32" s="10">
        <f>AVERAGE(Table10[[#This Row],[PUCK_POSSESSION]:[PHYSICALITY]])</f>
        <v>7.7469999999999999</v>
      </c>
      <c r="M32">
        <v>0</v>
      </c>
    </row>
    <row r="33" spans="1:13" hidden="1" x14ac:dyDescent="0.35">
      <c r="A33" t="s">
        <v>12</v>
      </c>
      <c r="B33">
        <v>32</v>
      </c>
      <c r="C33" t="s">
        <v>44</v>
      </c>
      <c r="D33">
        <v>2.6585365849999998</v>
      </c>
      <c r="E33">
        <v>0.32107990514346701</v>
      </c>
      <c r="F33">
        <v>47</v>
      </c>
      <c r="G33">
        <v>0.88800000000000001</v>
      </c>
      <c r="H33">
        <v>0.25</v>
      </c>
      <c r="I33">
        <v>0.84599999999999997</v>
      </c>
      <c r="J33">
        <v>0.157</v>
      </c>
      <c r="K33">
        <v>0.57499999999999996</v>
      </c>
      <c r="L33" s="10">
        <f>AVERAGE(Table10[[#This Row],[PUCK_POSSESSION]:[PHYSICALITY]])</f>
        <v>8.2859999999999996</v>
      </c>
      <c r="M33">
        <v>0</v>
      </c>
    </row>
    <row r="34" spans="1:13" hidden="1" x14ac:dyDescent="0.35">
      <c r="A34" t="s">
        <v>45</v>
      </c>
      <c r="B34">
        <v>1</v>
      </c>
      <c r="C34" t="s">
        <v>22</v>
      </c>
      <c r="D34">
        <v>3.6707317069999998</v>
      </c>
      <c r="E34">
        <v>0.74953051448993602</v>
      </c>
      <c r="F34">
        <v>51.5</v>
      </c>
      <c r="G34">
        <v>0.92900000000000005</v>
      </c>
      <c r="H34">
        <v>0.74399999999999999</v>
      </c>
      <c r="I34">
        <v>0</v>
      </c>
      <c r="J34">
        <v>0.86599999999999999</v>
      </c>
      <c r="K34">
        <v>0.61250000000000004</v>
      </c>
      <c r="L34" s="10">
        <f>AVERAGE(Table10[[#This Row],[PUCK_POSSESSION]:[PHYSICALITY]])</f>
        <v>9.1085833333333337</v>
      </c>
      <c r="M34">
        <v>0</v>
      </c>
    </row>
    <row r="35" spans="1:13" hidden="1" x14ac:dyDescent="0.35">
      <c r="A35" t="s">
        <v>45</v>
      </c>
      <c r="B35">
        <v>2</v>
      </c>
      <c r="C35" t="s">
        <v>15</v>
      </c>
      <c r="D35">
        <v>3.195121951</v>
      </c>
      <c r="E35">
        <v>0.60884836443624502</v>
      </c>
      <c r="F35">
        <v>60.2</v>
      </c>
      <c r="G35">
        <v>0.90200000000000002</v>
      </c>
      <c r="H35">
        <v>0.53400000000000003</v>
      </c>
      <c r="I35">
        <v>0.17699999999999999</v>
      </c>
      <c r="J35">
        <v>0.67800000000000005</v>
      </c>
      <c r="K35">
        <v>0.23749999999999999</v>
      </c>
      <c r="L35" s="10">
        <f>AVERAGE(Table10[[#This Row],[PUCK_POSSESSION]:[PHYSICALITY]])</f>
        <v>10.454749999999999</v>
      </c>
      <c r="M35">
        <v>0</v>
      </c>
    </row>
    <row r="36" spans="1:13" hidden="1" x14ac:dyDescent="0.35">
      <c r="A36" t="s">
        <v>45</v>
      </c>
      <c r="B36">
        <v>3</v>
      </c>
      <c r="C36" t="s">
        <v>40</v>
      </c>
      <c r="D36">
        <v>3.5243902440000001</v>
      </c>
      <c r="E36">
        <v>0.62889951432551505</v>
      </c>
      <c r="F36">
        <v>53.8</v>
      </c>
      <c r="G36">
        <v>0.90400000000000003</v>
      </c>
      <c r="H36">
        <v>0.69299999999999995</v>
      </c>
      <c r="I36">
        <v>0.25700000000000001</v>
      </c>
      <c r="J36">
        <v>0.69</v>
      </c>
      <c r="K36">
        <v>0.26250000000000001</v>
      </c>
      <c r="L36" s="10">
        <f>AVERAGE(Table10[[#This Row],[PUCK_POSSESSION]:[PHYSICALITY]])</f>
        <v>9.4344166666666656</v>
      </c>
      <c r="M36">
        <v>0</v>
      </c>
    </row>
    <row r="37" spans="1:13" hidden="1" x14ac:dyDescent="0.35">
      <c r="A37" t="s">
        <v>45</v>
      </c>
      <c r="B37">
        <v>4</v>
      </c>
      <c r="C37" t="s">
        <v>29</v>
      </c>
      <c r="D37">
        <v>3.2560975609999998</v>
      </c>
      <c r="E37">
        <v>0.58474826517053002</v>
      </c>
      <c r="F37">
        <v>48.4</v>
      </c>
      <c r="G37">
        <v>0.91100000000000003</v>
      </c>
      <c r="H37">
        <v>0.55100000000000005</v>
      </c>
      <c r="I37">
        <v>0.29699999999999999</v>
      </c>
      <c r="J37">
        <v>0.45300000000000001</v>
      </c>
      <c r="K37">
        <v>0.2</v>
      </c>
      <c r="L37" s="10">
        <f>AVERAGE(Table10[[#This Row],[PUCK_POSSESSION]:[PHYSICALITY]])</f>
        <v>8.4686666666666675</v>
      </c>
      <c r="M37">
        <v>1</v>
      </c>
    </row>
    <row r="38" spans="1:13" hidden="1" x14ac:dyDescent="0.35">
      <c r="A38" t="s">
        <v>45</v>
      </c>
      <c r="B38">
        <v>5</v>
      </c>
      <c r="C38" t="s">
        <v>16</v>
      </c>
      <c r="D38">
        <v>3.3902439019999999</v>
      </c>
      <c r="E38">
        <v>0.61490722765029804</v>
      </c>
      <c r="F38">
        <v>50.9</v>
      </c>
      <c r="G38">
        <v>0.90900000000000003</v>
      </c>
      <c r="H38">
        <v>0.63100000000000001</v>
      </c>
      <c r="I38">
        <v>0.25700000000000001</v>
      </c>
      <c r="J38">
        <v>0.80800000000000005</v>
      </c>
      <c r="K38">
        <v>0.35</v>
      </c>
      <c r="L38" s="10">
        <f>AVERAGE(Table10[[#This Row],[PUCK_POSSESSION]:[PHYSICALITY]])</f>
        <v>8.9758333333333322</v>
      </c>
      <c r="M38">
        <v>0</v>
      </c>
    </row>
    <row r="39" spans="1:13" hidden="1" x14ac:dyDescent="0.35">
      <c r="A39" t="s">
        <v>45</v>
      </c>
      <c r="B39">
        <v>6</v>
      </c>
      <c r="C39" t="s">
        <v>14</v>
      </c>
      <c r="D39">
        <v>3.3414634150000002</v>
      </c>
      <c r="E39">
        <v>0.60154641240334905</v>
      </c>
      <c r="F39">
        <v>52.4</v>
      </c>
      <c r="G39">
        <v>0.91200000000000003</v>
      </c>
      <c r="H39">
        <v>0.59699999999999998</v>
      </c>
      <c r="I39">
        <v>0.28599999999999998</v>
      </c>
      <c r="J39">
        <v>0.65700000000000003</v>
      </c>
      <c r="K39">
        <v>0.32500000000000001</v>
      </c>
      <c r="L39" s="10">
        <f>AVERAGE(Table10[[#This Row],[PUCK_POSSESSION]:[PHYSICALITY]])</f>
        <v>9.1961666666666684</v>
      </c>
      <c r="M39">
        <v>0</v>
      </c>
    </row>
    <row r="40" spans="1:13" hidden="1" x14ac:dyDescent="0.35">
      <c r="A40" t="s">
        <v>45</v>
      </c>
      <c r="B40">
        <v>7</v>
      </c>
      <c r="C40" t="s">
        <v>23</v>
      </c>
      <c r="D40">
        <v>3.9634146339999998</v>
      </c>
      <c r="E40">
        <v>0.61710903768966097</v>
      </c>
      <c r="F40">
        <v>52.2</v>
      </c>
      <c r="G40">
        <v>0.9</v>
      </c>
      <c r="H40">
        <v>0.89800000000000002</v>
      </c>
      <c r="I40">
        <v>0.46899999999999997</v>
      </c>
      <c r="J40">
        <v>0.86</v>
      </c>
      <c r="K40">
        <v>0.375</v>
      </c>
      <c r="L40" s="10">
        <f>AVERAGE(Table10[[#This Row],[PUCK_POSSESSION]:[PHYSICALITY]])</f>
        <v>9.283666666666667</v>
      </c>
      <c r="M40">
        <v>0</v>
      </c>
    </row>
    <row r="41" spans="1:13" hidden="1" x14ac:dyDescent="0.35">
      <c r="A41" t="s">
        <v>45</v>
      </c>
      <c r="B41">
        <v>8</v>
      </c>
      <c r="C41" t="s">
        <v>27</v>
      </c>
      <c r="D41">
        <v>3.4268292680000001</v>
      </c>
      <c r="E41">
        <v>0.63074944482609896</v>
      </c>
      <c r="F41">
        <v>51.6</v>
      </c>
      <c r="G41">
        <v>0.91200000000000003</v>
      </c>
      <c r="H41">
        <v>0.61899999999999999</v>
      </c>
      <c r="I41">
        <v>0.22900000000000001</v>
      </c>
      <c r="J41">
        <v>0.82899999999999996</v>
      </c>
      <c r="K41">
        <v>0.27500000000000002</v>
      </c>
      <c r="L41" s="10">
        <f>AVERAGE(Table10[[#This Row],[PUCK_POSSESSION]:[PHYSICALITY]])</f>
        <v>9.0773333333333337</v>
      </c>
      <c r="M41">
        <v>0</v>
      </c>
    </row>
    <row r="42" spans="1:13" hidden="1" x14ac:dyDescent="0.35">
      <c r="A42" t="s">
        <v>45</v>
      </c>
      <c r="B42">
        <v>9</v>
      </c>
      <c r="C42" t="s">
        <v>20</v>
      </c>
      <c r="D42">
        <v>3.3292682930000002</v>
      </c>
      <c r="E42">
        <v>0.61500185666542895</v>
      </c>
      <c r="F42">
        <v>49.8</v>
      </c>
      <c r="G42">
        <v>0.91</v>
      </c>
      <c r="H42">
        <v>0.57399999999999995</v>
      </c>
      <c r="I42">
        <v>0.25700000000000001</v>
      </c>
      <c r="J42">
        <v>0.71699999999999997</v>
      </c>
      <c r="K42">
        <v>0.25</v>
      </c>
      <c r="L42" s="10">
        <f>AVERAGE(Table10[[#This Row],[PUCK_POSSESSION]:[PHYSICALITY]])</f>
        <v>8.7513333333333314</v>
      </c>
      <c r="M42">
        <v>0</v>
      </c>
    </row>
    <row r="43" spans="1:13" hidden="1" x14ac:dyDescent="0.35">
      <c r="A43" t="s">
        <v>45</v>
      </c>
      <c r="B43">
        <v>10</v>
      </c>
      <c r="C43" t="s">
        <v>26</v>
      </c>
      <c r="D43">
        <v>3.3414634150000002</v>
      </c>
      <c r="E43">
        <v>0.53782451716430701</v>
      </c>
      <c r="F43">
        <v>52.3</v>
      </c>
      <c r="G43">
        <v>0.88900000000000001</v>
      </c>
      <c r="H43">
        <v>0.58499999999999996</v>
      </c>
      <c r="I43">
        <v>0.44</v>
      </c>
      <c r="J43">
        <v>0.57199999999999995</v>
      </c>
      <c r="K43">
        <v>0.375</v>
      </c>
      <c r="L43" s="10">
        <f>AVERAGE(Table10[[#This Row],[PUCK_POSSESSION]:[PHYSICALITY]])</f>
        <v>9.1935000000000002</v>
      </c>
      <c r="M43">
        <v>0</v>
      </c>
    </row>
    <row r="44" spans="1:13" hidden="1" x14ac:dyDescent="0.35">
      <c r="A44" t="s">
        <v>45</v>
      </c>
      <c r="B44">
        <v>11</v>
      </c>
      <c r="C44" t="s">
        <v>17</v>
      </c>
      <c r="D44">
        <v>2.914634146</v>
      </c>
      <c r="E44">
        <v>0.54358500980186897</v>
      </c>
      <c r="F44">
        <v>49.6</v>
      </c>
      <c r="G44">
        <v>0.91400000000000003</v>
      </c>
      <c r="H44">
        <v>0.36899999999999999</v>
      </c>
      <c r="I44">
        <v>0.25700000000000001</v>
      </c>
      <c r="J44">
        <v>0.65400000000000003</v>
      </c>
      <c r="K44">
        <v>0.71250000000000002</v>
      </c>
      <c r="L44" s="10">
        <f>AVERAGE(Table10[[#This Row],[PUCK_POSSESSION]:[PHYSICALITY]])</f>
        <v>8.7510833333333338</v>
      </c>
      <c r="M44">
        <v>0</v>
      </c>
    </row>
    <row r="45" spans="1:13" hidden="1" x14ac:dyDescent="0.35">
      <c r="A45" t="s">
        <v>45</v>
      </c>
      <c r="B45">
        <v>12</v>
      </c>
      <c r="C45" t="s">
        <v>42</v>
      </c>
      <c r="D45">
        <v>3.5243902440000001</v>
      </c>
      <c r="E45">
        <v>0.56807345689508604</v>
      </c>
      <c r="F45">
        <v>52.9</v>
      </c>
      <c r="G45">
        <v>0.88600000000000001</v>
      </c>
      <c r="H45">
        <v>0.65900000000000003</v>
      </c>
      <c r="I45">
        <v>0.42299999999999999</v>
      </c>
      <c r="J45">
        <v>0.40799999999999997</v>
      </c>
      <c r="K45">
        <v>0.36249999999999999</v>
      </c>
      <c r="L45" s="10">
        <f>AVERAGE(Table10[[#This Row],[PUCK_POSSESSION]:[PHYSICALITY]])</f>
        <v>9.273083333333334</v>
      </c>
      <c r="M45">
        <v>0</v>
      </c>
    </row>
    <row r="46" spans="1:13" hidden="1" x14ac:dyDescent="0.35">
      <c r="A46" t="s">
        <v>45</v>
      </c>
      <c r="B46">
        <v>13</v>
      </c>
      <c r="C46" t="s">
        <v>19</v>
      </c>
      <c r="D46">
        <v>3.414634146</v>
      </c>
      <c r="E46">
        <v>0.55248618784530401</v>
      </c>
      <c r="F46">
        <v>51.6</v>
      </c>
      <c r="G46">
        <v>0.90200000000000002</v>
      </c>
      <c r="H46">
        <v>0.63600000000000001</v>
      </c>
      <c r="I46">
        <v>0.46899999999999997</v>
      </c>
      <c r="J46">
        <v>0.71</v>
      </c>
      <c r="K46">
        <v>0.8125</v>
      </c>
      <c r="L46" s="10">
        <f>AVERAGE(Table10[[#This Row],[PUCK_POSSESSION]:[PHYSICALITY]])</f>
        <v>9.1882500000000018</v>
      </c>
      <c r="M46">
        <v>0</v>
      </c>
    </row>
    <row r="47" spans="1:13" hidden="1" x14ac:dyDescent="0.35">
      <c r="A47" t="s">
        <v>45</v>
      </c>
      <c r="B47">
        <v>14</v>
      </c>
      <c r="C47" t="s">
        <v>31</v>
      </c>
      <c r="D47">
        <v>3</v>
      </c>
      <c r="E47">
        <v>0.54670617569472002</v>
      </c>
      <c r="F47">
        <v>51.7</v>
      </c>
      <c r="G47">
        <v>0.91</v>
      </c>
      <c r="H47">
        <v>0.41499999999999998</v>
      </c>
      <c r="I47">
        <v>0.28599999999999998</v>
      </c>
      <c r="J47">
        <v>0.59199999999999997</v>
      </c>
      <c r="K47">
        <v>0.36249999999999999</v>
      </c>
      <c r="L47" s="10">
        <f>AVERAGE(Table10[[#This Row],[PUCK_POSSESSION]:[PHYSICALITY]])</f>
        <v>9.0442499999999999</v>
      </c>
      <c r="M47">
        <v>0</v>
      </c>
    </row>
    <row r="48" spans="1:13" hidden="1" x14ac:dyDescent="0.35">
      <c r="A48" t="s">
        <v>45</v>
      </c>
      <c r="B48">
        <v>15</v>
      </c>
      <c r="C48" t="s">
        <v>18</v>
      </c>
      <c r="D48">
        <v>3.1463414630000002</v>
      </c>
      <c r="E48">
        <v>0.52177184827510503</v>
      </c>
      <c r="F48">
        <v>57.2</v>
      </c>
      <c r="G48">
        <v>0.89</v>
      </c>
      <c r="H48">
        <v>0.51700000000000002</v>
      </c>
      <c r="I48">
        <v>0.4</v>
      </c>
      <c r="J48">
        <v>0.61799999999999999</v>
      </c>
      <c r="K48">
        <v>0.45</v>
      </c>
      <c r="L48" s="10">
        <f>AVERAGE(Table10[[#This Row],[PUCK_POSSESSION]:[PHYSICALITY]])</f>
        <v>10.012500000000001</v>
      </c>
      <c r="M48">
        <v>0</v>
      </c>
    </row>
    <row r="49" spans="1:13" hidden="1" x14ac:dyDescent="0.35">
      <c r="A49" t="s">
        <v>45</v>
      </c>
      <c r="B49">
        <v>16</v>
      </c>
      <c r="C49" t="s">
        <v>32</v>
      </c>
      <c r="D49">
        <v>2.9512195120000002</v>
      </c>
      <c r="E49">
        <v>0.55430513094753597</v>
      </c>
      <c r="F49">
        <v>49.8</v>
      </c>
      <c r="G49">
        <v>0.91500000000000004</v>
      </c>
      <c r="H49">
        <v>0.41499999999999998</v>
      </c>
      <c r="I49">
        <v>0.26900000000000002</v>
      </c>
      <c r="J49">
        <v>0.46100000000000002</v>
      </c>
      <c r="K49">
        <v>0.3</v>
      </c>
      <c r="L49" s="10">
        <f>AVERAGE(Table10[[#This Row],[PUCK_POSSESSION]:[PHYSICALITY]])</f>
        <v>8.6933333333333316</v>
      </c>
      <c r="M49">
        <v>0</v>
      </c>
    </row>
    <row r="50" spans="1:13" hidden="1" x14ac:dyDescent="0.35">
      <c r="A50" t="s">
        <v>45</v>
      </c>
      <c r="B50">
        <v>17</v>
      </c>
      <c r="C50" t="s">
        <v>13</v>
      </c>
      <c r="D50">
        <v>3.5121951220000001</v>
      </c>
      <c r="E50">
        <v>0.52854812398042395</v>
      </c>
      <c r="F50">
        <v>54.3</v>
      </c>
      <c r="G50">
        <v>0.89600000000000002</v>
      </c>
      <c r="H50">
        <v>0.69899999999999995</v>
      </c>
      <c r="I50">
        <v>0.57099999999999995</v>
      </c>
      <c r="J50">
        <v>0.49</v>
      </c>
      <c r="K50">
        <v>0.82499999999999996</v>
      </c>
      <c r="L50" s="10">
        <f>AVERAGE(Table10[[#This Row],[PUCK_POSSESSION]:[PHYSICALITY]])</f>
        <v>9.6301666666666659</v>
      </c>
      <c r="M50">
        <v>0</v>
      </c>
    </row>
    <row r="51" spans="1:13" hidden="1" x14ac:dyDescent="0.35">
      <c r="A51" t="s">
        <v>45</v>
      </c>
      <c r="B51">
        <v>18</v>
      </c>
      <c r="C51" t="s">
        <v>28</v>
      </c>
      <c r="D51">
        <v>2.7195121950000001</v>
      </c>
      <c r="E51">
        <v>0.47170026084894501</v>
      </c>
      <c r="F51">
        <v>47.1</v>
      </c>
      <c r="G51">
        <v>0.91400000000000003</v>
      </c>
      <c r="H51">
        <v>0.28399999999999997</v>
      </c>
      <c r="I51">
        <v>0.377</v>
      </c>
      <c r="J51">
        <v>0.53800000000000003</v>
      </c>
      <c r="K51">
        <v>0.5</v>
      </c>
      <c r="L51" s="10">
        <f>AVERAGE(Table10[[#This Row],[PUCK_POSSESSION]:[PHYSICALITY]])</f>
        <v>8.2855000000000008</v>
      </c>
      <c r="M51">
        <v>0</v>
      </c>
    </row>
    <row r="52" spans="1:13" hidden="1" x14ac:dyDescent="0.35">
      <c r="A52" t="s">
        <v>45</v>
      </c>
      <c r="B52">
        <v>19</v>
      </c>
      <c r="C52" t="s">
        <v>36</v>
      </c>
      <c r="D52">
        <v>3.5731707319999999</v>
      </c>
      <c r="E52">
        <v>0.49322065058773501</v>
      </c>
      <c r="F52">
        <v>51.4</v>
      </c>
      <c r="G52">
        <v>0.89</v>
      </c>
      <c r="H52">
        <v>0.70499999999999996</v>
      </c>
      <c r="I52">
        <v>0.74299999999999999</v>
      </c>
      <c r="J52">
        <v>0.40799999999999997</v>
      </c>
      <c r="K52">
        <v>0.22500000000000001</v>
      </c>
      <c r="L52" s="10">
        <f>AVERAGE(Table10[[#This Row],[PUCK_POSSESSION]:[PHYSICALITY]])</f>
        <v>9.0618333333333343</v>
      </c>
      <c r="M52">
        <v>0</v>
      </c>
    </row>
    <row r="53" spans="1:13" hidden="1" x14ac:dyDescent="0.35">
      <c r="A53" t="s">
        <v>45</v>
      </c>
      <c r="B53">
        <v>20</v>
      </c>
      <c r="C53" t="s">
        <v>24</v>
      </c>
      <c r="D53">
        <v>3.1829268289999999</v>
      </c>
      <c r="E53">
        <v>0.49618326170879201</v>
      </c>
      <c r="F53">
        <v>52</v>
      </c>
      <c r="G53">
        <v>0.90200000000000002</v>
      </c>
      <c r="H53">
        <v>0.54</v>
      </c>
      <c r="I53">
        <v>0.52600000000000002</v>
      </c>
      <c r="J53">
        <v>0.56100000000000005</v>
      </c>
      <c r="K53">
        <v>0.375</v>
      </c>
      <c r="L53" s="10">
        <f>AVERAGE(Table10[[#This Row],[PUCK_POSSESSION]:[PHYSICALITY]])</f>
        <v>9.1506666666666678</v>
      </c>
      <c r="M53">
        <v>0</v>
      </c>
    </row>
    <row r="54" spans="1:13" hidden="1" x14ac:dyDescent="0.35">
      <c r="A54" t="s">
        <v>45</v>
      </c>
      <c r="B54">
        <v>21</v>
      </c>
      <c r="C54" t="s">
        <v>38</v>
      </c>
      <c r="D54">
        <v>3.1585365849999998</v>
      </c>
      <c r="E54">
        <v>0.47921503632635898</v>
      </c>
      <c r="F54">
        <v>51.5</v>
      </c>
      <c r="G54">
        <v>0.89500000000000002</v>
      </c>
      <c r="H54">
        <v>0.49399999999999999</v>
      </c>
      <c r="I54">
        <v>0.54300000000000004</v>
      </c>
      <c r="J54">
        <v>0.65900000000000003</v>
      </c>
      <c r="K54">
        <v>0.85</v>
      </c>
      <c r="L54" s="10">
        <f>AVERAGE(Table10[[#This Row],[PUCK_POSSESSION]:[PHYSICALITY]])</f>
        <v>9.1568333333333332</v>
      </c>
      <c r="M54">
        <v>0</v>
      </c>
    </row>
    <row r="55" spans="1:13" hidden="1" x14ac:dyDescent="0.35">
      <c r="A55" t="s">
        <v>45</v>
      </c>
      <c r="B55">
        <v>22</v>
      </c>
      <c r="C55" t="s">
        <v>30</v>
      </c>
      <c r="D55">
        <v>3.292682927</v>
      </c>
      <c r="E55">
        <v>0.45416033292631303</v>
      </c>
      <c r="F55">
        <v>47.6</v>
      </c>
      <c r="G55">
        <v>0.88300000000000001</v>
      </c>
      <c r="H55">
        <v>0.54500000000000004</v>
      </c>
      <c r="I55">
        <v>0.70299999999999996</v>
      </c>
      <c r="J55">
        <v>0.33400000000000002</v>
      </c>
      <c r="K55">
        <v>0.42499999999999999</v>
      </c>
      <c r="L55" s="10">
        <f>AVERAGE(Table10[[#This Row],[PUCK_POSSESSION]:[PHYSICALITY]])</f>
        <v>8.4150000000000009</v>
      </c>
      <c r="M55">
        <v>0</v>
      </c>
    </row>
    <row r="56" spans="1:13" hidden="1" x14ac:dyDescent="0.35">
      <c r="A56" t="s">
        <v>45</v>
      </c>
      <c r="B56">
        <v>23</v>
      </c>
      <c r="C56" t="s">
        <v>21</v>
      </c>
      <c r="D56">
        <v>3.1707317069999998</v>
      </c>
      <c r="E56">
        <v>0.43221400987186998</v>
      </c>
      <c r="F56">
        <v>46.1</v>
      </c>
      <c r="G56">
        <v>0.88800000000000001</v>
      </c>
      <c r="H56">
        <v>0.49399999999999999</v>
      </c>
      <c r="I56">
        <v>0.74299999999999999</v>
      </c>
      <c r="J56">
        <v>0.24199999999999999</v>
      </c>
      <c r="K56">
        <v>0.27500000000000002</v>
      </c>
      <c r="L56" s="10">
        <f>AVERAGE(Table10[[#This Row],[PUCK_POSSESSION]:[PHYSICALITY]])</f>
        <v>8.1236666666666668</v>
      </c>
      <c r="M56">
        <v>0</v>
      </c>
    </row>
    <row r="57" spans="1:13" hidden="1" x14ac:dyDescent="0.35">
      <c r="A57" t="s">
        <v>45</v>
      </c>
      <c r="B57">
        <v>24</v>
      </c>
      <c r="C57" t="s">
        <v>25</v>
      </c>
      <c r="D57">
        <v>3.085365854</v>
      </c>
      <c r="E57">
        <v>0.484439567093014</v>
      </c>
      <c r="F57">
        <v>49.8</v>
      </c>
      <c r="G57">
        <v>0.89800000000000002</v>
      </c>
      <c r="H57">
        <v>0.46600000000000003</v>
      </c>
      <c r="I57">
        <v>0.50900000000000001</v>
      </c>
      <c r="J57">
        <v>0.64100000000000001</v>
      </c>
      <c r="K57">
        <v>0.38750000000000001</v>
      </c>
      <c r="L57" s="10">
        <f>AVERAGE(Table10[[#This Row],[PUCK_POSSESSION]:[PHYSICALITY]])</f>
        <v>8.7835833333333344</v>
      </c>
      <c r="M57">
        <v>0</v>
      </c>
    </row>
    <row r="58" spans="1:13" hidden="1" x14ac:dyDescent="0.35">
      <c r="A58" t="s">
        <v>45</v>
      </c>
      <c r="B58">
        <v>25</v>
      </c>
      <c r="C58" t="s">
        <v>37</v>
      </c>
      <c r="D58">
        <v>2.8902439019999999</v>
      </c>
      <c r="E58">
        <v>0.42618783859659798</v>
      </c>
      <c r="F58">
        <v>46.1</v>
      </c>
      <c r="G58">
        <v>0.89</v>
      </c>
      <c r="H58">
        <v>0.34100000000000003</v>
      </c>
      <c r="I58">
        <v>0.56000000000000005</v>
      </c>
      <c r="J58">
        <v>0.51300000000000001</v>
      </c>
      <c r="K58">
        <v>0.3125</v>
      </c>
      <c r="L58" s="10">
        <f>AVERAGE(Table10[[#This Row],[PUCK_POSSESSION]:[PHYSICALITY]])</f>
        <v>8.1194166666666678</v>
      </c>
      <c r="M58">
        <v>0</v>
      </c>
    </row>
    <row r="59" spans="1:13" hidden="1" x14ac:dyDescent="0.35">
      <c r="A59" t="s">
        <v>45</v>
      </c>
      <c r="B59">
        <v>26</v>
      </c>
      <c r="C59" t="s">
        <v>41</v>
      </c>
      <c r="D59">
        <v>2.6829268289999999</v>
      </c>
      <c r="E59">
        <v>0.38851785255587001</v>
      </c>
      <c r="F59">
        <v>47.4</v>
      </c>
      <c r="G59">
        <v>0.89300000000000002</v>
      </c>
      <c r="H59">
        <v>0.26700000000000002</v>
      </c>
      <c r="I59">
        <v>0.58899999999999997</v>
      </c>
      <c r="J59">
        <v>0.191</v>
      </c>
      <c r="K59">
        <v>0.6</v>
      </c>
      <c r="L59" s="10">
        <f>AVERAGE(Table10[[#This Row],[PUCK_POSSESSION]:[PHYSICALITY]])</f>
        <v>8.3233333333333341</v>
      </c>
      <c r="M59">
        <v>0</v>
      </c>
    </row>
    <row r="60" spans="1:13" hidden="1" x14ac:dyDescent="0.35">
      <c r="A60" t="s">
        <v>45</v>
      </c>
      <c r="B60">
        <v>27</v>
      </c>
      <c r="C60" t="s">
        <v>43</v>
      </c>
      <c r="D60">
        <v>2.7439024390000002</v>
      </c>
      <c r="E60">
        <v>0.36778060297856902</v>
      </c>
      <c r="F60">
        <v>45</v>
      </c>
      <c r="G60">
        <v>0.89700000000000002</v>
      </c>
      <c r="H60">
        <v>0.27300000000000002</v>
      </c>
      <c r="I60">
        <v>0.71399999999999997</v>
      </c>
      <c r="J60">
        <v>0.30599999999999999</v>
      </c>
      <c r="K60">
        <v>0.78749999999999998</v>
      </c>
      <c r="L60" s="10">
        <f>AVERAGE(Table10[[#This Row],[PUCK_POSSESSION]:[PHYSICALITY]])</f>
        <v>7.9962499999999999</v>
      </c>
      <c r="M60">
        <v>0</v>
      </c>
    </row>
    <row r="61" spans="1:13" hidden="1" x14ac:dyDescent="0.35">
      <c r="A61" t="s">
        <v>45</v>
      </c>
      <c r="B61">
        <v>28</v>
      </c>
      <c r="C61" t="s">
        <v>44</v>
      </c>
      <c r="D61">
        <v>2.7682926829999999</v>
      </c>
      <c r="E61">
        <v>0.356468862847102</v>
      </c>
      <c r="F61">
        <v>45.4</v>
      </c>
      <c r="G61">
        <v>0.88900000000000001</v>
      </c>
      <c r="H61">
        <v>0.28399999999999997</v>
      </c>
      <c r="I61">
        <v>0.77700000000000002</v>
      </c>
      <c r="J61">
        <v>0.14199999999999999</v>
      </c>
      <c r="K61">
        <v>0.75</v>
      </c>
      <c r="L61" s="10">
        <f>AVERAGE(Table10[[#This Row],[PUCK_POSSESSION]:[PHYSICALITY]])</f>
        <v>8.0403333333333347</v>
      </c>
      <c r="M61">
        <v>0</v>
      </c>
    </row>
    <row r="62" spans="1:13" hidden="1" x14ac:dyDescent="0.35">
      <c r="A62" t="s">
        <v>45</v>
      </c>
      <c r="B62">
        <v>29</v>
      </c>
      <c r="C62" t="s">
        <v>34</v>
      </c>
      <c r="D62">
        <v>2.8414634150000002</v>
      </c>
      <c r="E62">
        <v>0.353642013106297</v>
      </c>
      <c r="F62">
        <v>48.6</v>
      </c>
      <c r="G62">
        <v>0.88100000000000001</v>
      </c>
      <c r="H62">
        <v>0.35199999999999998</v>
      </c>
      <c r="I62">
        <v>0.81699999999999995</v>
      </c>
      <c r="J62">
        <v>0.56000000000000005</v>
      </c>
      <c r="K62">
        <v>0.3</v>
      </c>
      <c r="L62" s="10">
        <f>AVERAGE(Table10[[#This Row],[PUCK_POSSESSION]:[PHYSICALITY]])</f>
        <v>8.5849999999999991</v>
      </c>
      <c r="M62">
        <v>0</v>
      </c>
    </row>
    <row r="63" spans="1:13" hidden="1" x14ac:dyDescent="0.35">
      <c r="A63" t="s">
        <v>45</v>
      </c>
      <c r="B63">
        <v>30</v>
      </c>
      <c r="C63" t="s">
        <v>39</v>
      </c>
      <c r="D63">
        <v>2.4634146339999998</v>
      </c>
      <c r="E63">
        <v>0.31338274259821097</v>
      </c>
      <c r="F63">
        <v>43.9</v>
      </c>
      <c r="G63">
        <v>0.89200000000000002</v>
      </c>
      <c r="H63">
        <v>0.14799999999999999</v>
      </c>
      <c r="I63">
        <v>0.76</v>
      </c>
      <c r="J63">
        <v>0.27300000000000002</v>
      </c>
      <c r="K63">
        <v>0.375</v>
      </c>
      <c r="L63" s="10">
        <f>AVERAGE(Table10[[#This Row],[PUCK_POSSESSION]:[PHYSICALITY]])</f>
        <v>7.7246666666666677</v>
      </c>
      <c r="M63">
        <v>0</v>
      </c>
    </row>
    <row r="64" spans="1:13" hidden="1" x14ac:dyDescent="0.35">
      <c r="A64" t="s">
        <v>45</v>
      </c>
      <c r="B64">
        <v>31</v>
      </c>
      <c r="C64" t="s">
        <v>33</v>
      </c>
      <c r="D64">
        <v>2.597560976</v>
      </c>
      <c r="E64">
        <v>0.29535186511294798</v>
      </c>
      <c r="F64">
        <v>45</v>
      </c>
      <c r="G64">
        <v>0.88700000000000001</v>
      </c>
      <c r="H64">
        <v>0.222</v>
      </c>
      <c r="I64">
        <v>0.92600000000000005</v>
      </c>
      <c r="J64">
        <v>0.30199999999999999</v>
      </c>
      <c r="K64">
        <v>0.3</v>
      </c>
      <c r="L64" s="10">
        <f>AVERAGE(Table10[[#This Row],[PUCK_POSSESSION]:[PHYSICALITY]])</f>
        <v>7.9394999999999998</v>
      </c>
      <c r="M64">
        <v>0</v>
      </c>
    </row>
    <row r="65" spans="1:13" hidden="1" x14ac:dyDescent="0.35">
      <c r="A65" t="s">
        <v>45</v>
      </c>
      <c r="B65">
        <v>32</v>
      </c>
      <c r="C65" t="s">
        <v>35</v>
      </c>
      <c r="D65">
        <v>2.5121951220000001</v>
      </c>
      <c r="E65">
        <v>0.27438074239789001</v>
      </c>
      <c r="F65">
        <v>42.6</v>
      </c>
      <c r="G65">
        <v>0.89600000000000002</v>
      </c>
      <c r="H65">
        <v>0.16500000000000001</v>
      </c>
      <c r="I65">
        <v>1</v>
      </c>
      <c r="J65">
        <v>0.108</v>
      </c>
      <c r="K65">
        <v>0.71250000000000002</v>
      </c>
      <c r="L65" s="10">
        <f>AVERAGE(Table10[[#This Row],[PUCK_POSSESSION]:[PHYSICALITY]])</f>
        <v>7.5802499999999995</v>
      </c>
      <c r="M65">
        <v>0</v>
      </c>
    </row>
    <row r="66" spans="1:13" hidden="1" x14ac:dyDescent="0.35">
      <c r="A66" t="s">
        <v>46</v>
      </c>
      <c r="B66">
        <v>1</v>
      </c>
      <c r="C66" t="s">
        <v>20</v>
      </c>
      <c r="D66">
        <v>3.3902439019999999</v>
      </c>
      <c r="E66">
        <v>0.60208787784356499</v>
      </c>
      <c r="F66">
        <v>50.5</v>
      </c>
      <c r="G66">
        <v>0.90700000000000003</v>
      </c>
      <c r="H66">
        <v>0.58499999999999996</v>
      </c>
      <c r="I66">
        <v>0.29099999999999998</v>
      </c>
      <c r="J66">
        <v>0.91500000000000004</v>
      </c>
      <c r="K66">
        <v>0.47499999999999998</v>
      </c>
      <c r="L66" s="10">
        <f>AVERAGE(Table10[[#This Row],[PUCK_POSSESSION]:[PHYSICALITY]])</f>
        <v>8.9454999999999991</v>
      </c>
      <c r="M66">
        <v>0</v>
      </c>
    </row>
    <row r="67" spans="1:13" hidden="1" x14ac:dyDescent="0.35">
      <c r="A67" t="s">
        <v>46</v>
      </c>
      <c r="B67">
        <v>2</v>
      </c>
      <c r="C67" t="s">
        <v>27</v>
      </c>
      <c r="D67">
        <v>3.585365854</v>
      </c>
      <c r="E67">
        <v>0.61625552545273099</v>
      </c>
      <c r="F67">
        <v>53.7</v>
      </c>
      <c r="G67">
        <v>0.90100000000000002</v>
      </c>
      <c r="H67">
        <v>0.69299999999999995</v>
      </c>
      <c r="I67">
        <v>0.30299999999999999</v>
      </c>
      <c r="J67">
        <v>0.749</v>
      </c>
      <c r="K67">
        <v>0.15</v>
      </c>
      <c r="L67" s="10">
        <f>AVERAGE(Table10[[#This Row],[PUCK_POSSESSION]:[PHYSICALITY]])</f>
        <v>9.4160000000000004</v>
      </c>
      <c r="M67">
        <v>0</v>
      </c>
    </row>
    <row r="68" spans="1:13" hidden="1" x14ac:dyDescent="0.35">
      <c r="A68" t="s">
        <v>46</v>
      </c>
      <c r="B68">
        <v>3</v>
      </c>
      <c r="C68" t="s">
        <v>15</v>
      </c>
      <c r="D68">
        <v>3.3780487799999999</v>
      </c>
      <c r="E68">
        <v>0.63281649484536096</v>
      </c>
      <c r="F68">
        <v>60.1</v>
      </c>
      <c r="G68">
        <v>0.9</v>
      </c>
      <c r="H68">
        <v>0.58499999999999996</v>
      </c>
      <c r="I68">
        <v>0.189</v>
      </c>
      <c r="J68">
        <v>1</v>
      </c>
      <c r="K68">
        <v>0.36249999999999999</v>
      </c>
      <c r="L68" s="10">
        <f>AVERAGE(Table10[[#This Row],[PUCK_POSSESSION]:[PHYSICALITY]])</f>
        <v>10.52275</v>
      </c>
      <c r="M68">
        <v>0</v>
      </c>
    </row>
    <row r="69" spans="1:13" hidden="1" x14ac:dyDescent="0.35">
      <c r="A69" t="s">
        <v>46</v>
      </c>
      <c r="B69">
        <v>4</v>
      </c>
      <c r="C69" t="s">
        <v>31</v>
      </c>
      <c r="D69">
        <v>3.1585365849999998</v>
      </c>
      <c r="E69">
        <v>0.63114268241049998</v>
      </c>
      <c r="F69">
        <v>51.6</v>
      </c>
      <c r="G69">
        <v>0.91800000000000004</v>
      </c>
      <c r="H69">
        <v>0.48299999999999998</v>
      </c>
      <c r="I69">
        <v>0.13100000000000001</v>
      </c>
      <c r="J69">
        <v>0.38900000000000001</v>
      </c>
      <c r="K69">
        <v>0.32500000000000001</v>
      </c>
      <c r="L69" s="10">
        <f>AVERAGE(Table10[[#This Row],[PUCK_POSSESSION]:[PHYSICALITY]])</f>
        <v>8.9743333333333339</v>
      </c>
      <c r="M69">
        <v>0</v>
      </c>
    </row>
    <row r="70" spans="1:13" hidden="1" x14ac:dyDescent="0.35">
      <c r="A70" t="s">
        <v>46</v>
      </c>
      <c r="B70">
        <v>5</v>
      </c>
      <c r="C70" t="s">
        <v>13</v>
      </c>
      <c r="D70">
        <v>3.2317073170000001</v>
      </c>
      <c r="E70">
        <v>0.64174030650010505</v>
      </c>
      <c r="F70">
        <v>56.2</v>
      </c>
      <c r="G70">
        <v>0.91300000000000003</v>
      </c>
      <c r="H70">
        <v>0.51100000000000001</v>
      </c>
      <c r="I70">
        <v>0.10299999999999999</v>
      </c>
      <c r="J70">
        <v>0.74199999999999999</v>
      </c>
      <c r="K70">
        <v>1</v>
      </c>
      <c r="L70" s="10">
        <f>AVERAGE(Table10[[#This Row],[PUCK_POSSESSION]:[PHYSICALITY]])</f>
        <v>9.9115000000000002</v>
      </c>
      <c r="M70">
        <v>1</v>
      </c>
    </row>
    <row r="71" spans="1:13" hidden="1" x14ac:dyDescent="0.35">
      <c r="A71" t="s">
        <v>46</v>
      </c>
      <c r="B71">
        <v>6</v>
      </c>
      <c r="C71" t="s">
        <v>22</v>
      </c>
      <c r="D71">
        <v>3.207317073</v>
      </c>
      <c r="E71">
        <v>0.58612829421235502</v>
      </c>
      <c r="F71">
        <v>47.7</v>
      </c>
      <c r="G71">
        <v>0.91200000000000003</v>
      </c>
      <c r="H71">
        <v>0.50600000000000001</v>
      </c>
      <c r="I71">
        <v>0.25700000000000001</v>
      </c>
      <c r="J71">
        <v>0.69699999999999995</v>
      </c>
      <c r="K71">
        <v>0.48749999999999999</v>
      </c>
      <c r="L71" s="10">
        <f>AVERAGE(Table10[[#This Row],[PUCK_POSSESSION]:[PHYSICALITY]])</f>
        <v>8.4265833333333333</v>
      </c>
      <c r="M71">
        <v>0</v>
      </c>
    </row>
    <row r="72" spans="1:13" hidden="1" x14ac:dyDescent="0.35">
      <c r="A72" t="s">
        <v>46</v>
      </c>
      <c r="B72">
        <v>7</v>
      </c>
      <c r="C72" t="s">
        <v>30</v>
      </c>
      <c r="D72">
        <v>3.402439024</v>
      </c>
      <c r="E72">
        <v>0.61445982854707104</v>
      </c>
      <c r="F72">
        <v>52</v>
      </c>
      <c r="G72">
        <v>0.90600000000000003</v>
      </c>
      <c r="H72">
        <v>0.59099999999999997</v>
      </c>
      <c r="I72">
        <v>0.251</v>
      </c>
      <c r="J72">
        <v>0.59199999999999997</v>
      </c>
      <c r="K72">
        <v>0.5</v>
      </c>
      <c r="L72" s="10">
        <f>AVERAGE(Table10[[#This Row],[PUCK_POSSESSION]:[PHYSICALITY]])</f>
        <v>9.1399999999999988</v>
      </c>
      <c r="M72">
        <v>0</v>
      </c>
    </row>
    <row r="73" spans="1:13" hidden="1" x14ac:dyDescent="0.35">
      <c r="A73" t="s">
        <v>46</v>
      </c>
      <c r="B73">
        <v>8</v>
      </c>
      <c r="C73" t="s">
        <v>14</v>
      </c>
      <c r="D73">
        <v>3.6829268289999999</v>
      </c>
      <c r="E73">
        <v>0.58952348941231203</v>
      </c>
      <c r="F73">
        <v>53.2</v>
      </c>
      <c r="G73">
        <v>0.89700000000000002</v>
      </c>
      <c r="H73">
        <v>0.74399999999999999</v>
      </c>
      <c r="I73">
        <v>0.434</v>
      </c>
      <c r="J73">
        <v>0.68600000000000005</v>
      </c>
      <c r="K73">
        <v>0.41249999999999998</v>
      </c>
      <c r="L73" s="10">
        <f>AVERAGE(Table10[[#This Row],[PUCK_POSSESSION]:[PHYSICALITY]])</f>
        <v>9.3955833333333327</v>
      </c>
      <c r="M73">
        <v>0</v>
      </c>
    </row>
    <row r="74" spans="1:13" hidden="1" x14ac:dyDescent="0.35">
      <c r="A74" t="s">
        <v>46</v>
      </c>
      <c r="B74">
        <v>9</v>
      </c>
      <c r="C74" t="s">
        <v>23</v>
      </c>
      <c r="D74">
        <v>3.5609756099999998</v>
      </c>
      <c r="E74">
        <v>0.60488081725312104</v>
      </c>
      <c r="F74">
        <v>55.6</v>
      </c>
      <c r="G74">
        <v>0.89800000000000002</v>
      </c>
      <c r="H74">
        <v>0.72199999999999998</v>
      </c>
      <c r="I74">
        <v>0.33700000000000002</v>
      </c>
      <c r="J74">
        <v>0.73599999999999999</v>
      </c>
      <c r="K74">
        <v>0.48749999999999999</v>
      </c>
      <c r="L74" s="10">
        <f>AVERAGE(Table10[[#This Row],[PUCK_POSSESSION]:[PHYSICALITY]])</f>
        <v>9.7967500000000012</v>
      </c>
      <c r="M74">
        <v>0</v>
      </c>
    </row>
    <row r="75" spans="1:13" hidden="1" x14ac:dyDescent="0.35">
      <c r="A75" t="s">
        <v>46</v>
      </c>
      <c r="B75">
        <v>10</v>
      </c>
      <c r="C75" t="s">
        <v>16</v>
      </c>
      <c r="D75">
        <v>3.6341463410000001</v>
      </c>
      <c r="E75">
        <v>0.56590090807710702</v>
      </c>
      <c r="F75">
        <v>51.5</v>
      </c>
      <c r="G75">
        <v>0.89300000000000002</v>
      </c>
      <c r="H75">
        <v>0.72699999999999998</v>
      </c>
      <c r="I75">
        <v>0.48599999999999999</v>
      </c>
      <c r="J75">
        <v>0.56200000000000006</v>
      </c>
      <c r="K75">
        <v>0.53749999999999998</v>
      </c>
      <c r="L75" s="10">
        <f>AVERAGE(Table10[[#This Row],[PUCK_POSSESSION]:[PHYSICALITY]])</f>
        <v>9.1175833333333323</v>
      </c>
      <c r="M75">
        <v>0</v>
      </c>
    </row>
    <row r="76" spans="1:13" hidden="1" x14ac:dyDescent="0.35">
      <c r="A76" t="s">
        <v>46</v>
      </c>
      <c r="B76">
        <v>11</v>
      </c>
      <c r="C76" t="s">
        <v>28</v>
      </c>
      <c r="D76">
        <v>3.2439024390000002</v>
      </c>
      <c r="E76">
        <v>0.53497656131861504</v>
      </c>
      <c r="F76">
        <v>51.8</v>
      </c>
      <c r="G76">
        <v>0.90100000000000002</v>
      </c>
      <c r="H76">
        <v>0.54</v>
      </c>
      <c r="I76">
        <v>0.41699999999999998</v>
      </c>
      <c r="J76">
        <v>0.48</v>
      </c>
      <c r="K76">
        <v>0.51249999999999996</v>
      </c>
      <c r="L76" s="10">
        <f>AVERAGE(Table10[[#This Row],[PUCK_POSSESSION]:[PHYSICALITY]])</f>
        <v>9.1084166666666668</v>
      </c>
      <c r="M76">
        <v>0</v>
      </c>
    </row>
    <row r="77" spans="1:13" hidden="1" x14ac:dyDescent="0.35">
      <c r="A77" t="s">
        <v>46</v>
      </c>
      <c r="B77">
        <v>12</v>
      </c>
      <c r="C77" t="s">
        <v>26</v>
      </c>
      <c r="D77">
        <v>3.097560976</v>
      </c>
      <c r="E77">
        <v>0.59398247035427598</v>
      </c>
      <c r="F77">
        <v>54.4</v>
      </c>
      <c r="G77">
        <v>0.90900000000000003</v>
      </c>
      <c r="H77">
        <v>0.45500000000000002</v>
      </c>
      <c r="I77">
        <v>0.17699999999999999</v>
      </c>
      <c r="J77">
        <v>0.78400000000000003</v>
      </c>
      <c r="K77">
        <v>0.38750000000000001</v>
      </c>
      <c r="L77" s="10">
        <f>AVERAGE(Table10[[#This Row],[PUCK_POSSESSION]:[PHYSICALITY]])</f>
        <v>9.5187499999999989</v>
      </c>
      <c r="M77">
        <v>0</v>
      </c>
    </row>
    <row r="78" spans="1:13" hidden="1" x14ac:dyDescent="0.35">
      <c r="A78" t="s">
        <v>46</v>
      </c>
      <c r="B78">
        <v>13</v>
      </c>
      <c r="C78" t="s">
        <v>19</v>
      </c>
      <c r="D78">
        <v>3.5121951220000001</v>
      </c>
      <c r="E78">
        <v>0.53778374277878305</v>
      </c>
      <c r="F78">
        <v>51.1</v>
      </c>
      <c r="G78">
        <v>0.89</v>
      </c>
      <c r="H78">
        <v>0.64200000000000002</v>
      </c>
      <c r="I78">
        <v>0.52</v>
      </c>
      <c r="J78">
        <v>0.95199999999999996</v>
      </c>
      <c r="K78">
        <v>0.67500000000000004</v>
      </c>
      <c r="L78" s="10">
        <f>AVERAGE(Table10[[#This Row],[PUCK_POSSESSION]:[PHYSICALITY]])</f>
        <v>9.1298333333333339</v>
      </c>
      <c r="M78">
        <v>0</v>
      </c>
    </row>
    <row r="79" spans="1:13" hidden="1" x14ac:dyDescent="0.35">
      <c r="A79" t="s">
        <v>46</v>
      </c>
      <c r="B79">
        <v>14</v>
      </c>
      <c r="C79" t="s">
        <v>29</v>
      </c>
      <c r="D79">
        <v>3.207317073</v>
      </c>
      <c r="E79">
        <v>0.53946403781060404</v>
      </c>
      <c r="F79">
        <v>49</v>
      </c>
      <c r="G79">
        <v>0.90200000000000002</v>
      </c>
      <c r="H79">
        <v>0.51100000000000001</v>
      </c>
      <c r="I79">
        <v>0.38300000000000001</v>
      </c>
      <c r="J79">
        <v>0.51800000000000002</v>
      </c>
      <c r="K79">
        <v>0.22500000000000001</v>
      </c>
      <c r="L79" s="10">
        <f>AVERAGE(Table10[[#This Row],[PUCK_POSSESSION]:[PHYSICALITY]])</f>
        <v>8.5898333333333348</v>
      </c>
      <c r="M79">
        <v>0</v>
      </c>
    </row>
    <row r="80" spans="1:13" hidden="1" x14ac:dyDescent="0.35">
      <c r="A80" t="s">
        <v>46</v>
      </c>
      <c r="B80">
        <v>15</v>
      </c>
      <c r="C80" t="s">
        <v>32</v>
      </c>
      <c r="D80">
        <v>2.9878048779999999</v>
      </c>
      <c r="E80">
        <v>0.47417232144973098</v>
      </c>
      <c r="F80">
        <v>47.5</v>
      </c>
      <c r="G80">
        <v>0.90400000000000003</v>
      </c>
      <c r="H80">
        <v>0.41499999999999998</v>
      </c>
      <c r="I80">
        <v>0.48599999999999999</v>
      </c>
      <c r="J80">
        <v>0.247</v>
      </c>
      <c r="K80">
        <v>0.1875</v>
      </c>
      <c r="L80" s="10">
        <f>AVERAGE(Table10[[#This Row],[PUCK_POSSESSION]:[PHYSICALITY]])</f>
        <v>8.2899166666666666</v>
      </c>
      <c r="M80">
        <v>0</v>
      </c>
    </row>
    <row r="81" spans="1:13" hidden="1" x14ac:dyDescent="0.35">
      <c r="A81" t="s">
        <v>46</v>
      </c>
      <c r="B81">
        <v>16</v>
      </c>
      <c r="C81" t="s">
        <v>21</v>
      </c>
      <c r="D81">
        <v>2.8536585369999998</v>
      </c>
      <c r="E81">
        <v>0.47097884052984701</v>
      </c>
      <c r="F81">
        <v>45.9</v>
      </c>
      <c r="G81">
        <v>0.90600000000000003</v>
      </c>
      <c r="H81">
        <v>0.33</v>
      </c>
      <c r="I81">
        <v>0.44</v>
      </c>
      <c r="J81">
        <v>0.41399999999999998</v>
      </c>
      <c r="K81">
        <v>0.22500000000000001</v>
      </c>
      <c r="L81" s="10">
        <f>AVERAGE(Table10[[#This Row],[PUCK_POSSESSION]:[PHYSICALITY]])</f>
        <v>8.0358333333333327</v>
      </c>
      <c r="M81">
        <v>0</v>
      </c>
    </row>
    <row r="82" spans="1:13" hidden="1" x14ac:dyDescent="0.35">
      <c r="A82" t="s">
        <v>46</v>
      </c>
      <c r="B82">
        <v>17</v>
      </c>
      <c r="C82" t="s">
        <v>25</v>
      </c>
      <c r="D82">
        <v>2.6341463410000001</v>
      </c>
      <c r="E82">
        <v>0.42352941176470599</v>
      </c>
      <c r="F82">
        <v>47.2</v>
      </c>
      <c r="G82">
        <v>0.89900000000000002</v>
      </c>
      <c r="H82">
        <v>0.216</v>
      </c>
      <c r="I82">
        <v>0.44</v>
      </c>
      <c r="J82">
        <v>0.51800000000000002</v>
      </c>
      <c r="K82">
        <v>0.26250000000000001</v>
      </c>
      <c r="L82" s="10">
        <f>AVERAGE(Table10[[#This Row],[PUCK_POSSESSION]:[PHYSICALITY]])</f>
        <v>8.2559166666666677</v>
      </c>
      <c r="M82">
        <v>0</v>
      </c>
    </row>
    <row r="83" spans="1:13" hidden="1" x14ac:dyDescent="0.35">
      <c r="A83" t="s">
        <v>46</v>
      </c>
      <c r="B83">
        <v>18</v>
      </c>
      <c r="C83" t="s">
        <v>37</v>
      </c>
      <c r="D83">
        <v>3.3536585369999998</v>
      </c>
      <c r="E83">
        <v>0.503649586424604</v>
      </c>
      <c r="F83">
        <v>46.5</v>
      </c>
      <c r="G83">
        <v>0.89700000000000002</v>
      </c>
      <c r="H83">
        <v>0.54500000000000004</v>
      </c>
      <c r="I83">
        <v>0.57099999999999995</v>
      </c>
      <c r="J83">
        <v>0.626</v>
      </c>
      <c r="K83">
        <v>0.38750000000000001</v>
      </c>
      <c r="L83" s="10">
        <f>AVERAGE(Table10[[#This Row],[PUCK_POSSESSION]:[PHYSICALITY]])</f>
        <v>8.2544166666666658</v>
      </c>
      <c r="M83">
        <v>0</v>
      </c>
    </row>
    <row r="84" spans="1:13" hidden="1" x14ac:dyDescent="0.35">
      <c r="A84" t="s">
        <v>46</v>
      </c>
      <c r="B84">
        <v>19</v>
      </c>
      <c r="C84" t="s">
        <v>24</v>
      </c>
      <c r="D84">
        <v>3.085365854</v>
      </c>
      <c r="E84">
        <v>0.50997904599523602</v>
      </c>
      <c r="F84">
        <v>51.7</v>
      </c>
      <c r="G84">
        <v>0.9</v>
      </c>
      <c r="H84">
        <v>0.47199999999999998</v>
      </c>
      <c r="I84">
        <v>0.42299999999999999</v>
      </c>
      <c r="J84">
        <v>0.39</v>
      </c>
      <c r="K84">
        <v>0.22500000000000001</v>
      </c>
      <c r="L84" s="10">
        <f>AVERAGE(Table10[[#This Row],[PUCK_POSSESSION]:[PHYSICALITY]])</f>
        <v>9.0183333333333344</v>
      </c>
      <c r="M84">
        <v>0</v>
      </c>
    </row>
    <row r="85" spans="1:13" hidden="1" x14ac:dyDescent="0.35">
      <c r="A85" t="s">
        <v>46</v>
      </c>
      <c r="B85">
        <v>20</v>
      </c>
      <c r="C85" t="s">
        <v>17</v>
      </c>
      <c r="D85">
        <v>3.0243902440000001</v>
      </c>
      <c r="E85">
        <v>0.47639112653364701</v>
      </c>
      <c r="F85">
        <v>50.3</v>
      </c>
      <c r="G85">
        <v>0.89300000000000002</v>
      </c>
      <c r="H85">
        <v>0.39800000000000002</v>
      </c>
      <c r="I85">
        <v>0.45700000000000002</v>
      </c>
      <c r="J85">
        <v>0.436</v>
      </c>
      <c r="K85">
        <v>0.72499999999999998</v>
      </c>
      <c r="L85" s="10">
        <f>AVERAGE(Table10[[#This Row],[PUCK_POSSESSION]:[PHYSICALITY]])</f>
        <v>8.8681666666666672</v>
      </c>
      <c r="M85">
        <v>0</v>
      </c>
    </row>
    <row r="86" spans="1:13" hidden="1" x14ac:dyDescent="0.35">
      <c r="A86" t="s">
        <v>46</v>
      </c>
      <c r="B86">
        <v>21</v>
      </c>
      <c r="C86" t="s">
        <v>41</v>
      </c>
      <c r="D86">
        <v>2.8170731710000001</v>
      </c>
      <c r="E86">
        <v>0.44495309568480301</v>
      </c>
      <c r="F86">
        <v>52.1</v>
      </c>
      <c r="G86">
        <v>0.88400000000000001</v>
      </c>
      <c r="H86">
        <v>0.34100000000000003</v>
      </c>
      <c r="I86">
        <v>0.44600000000000001</v>
      </c>
      <c r="J86">
        <v>0.379</v>
      </c>
      <c r="K86">
        <v>0.5625</v>
      </c>
      <c r="L86" s="10">
        <f>AVERAGE(Table10[[#This Row],[PUCK_POSSESSION]:[PHYSICALITY]])</f>
        <v>9.1187500000000004</v>
      </c>
      <c r="M86">
        <v>0</v>
      </c>
    </row>
    <row r="87" spans="1:13" hidden="1" x14ac:dyDescent="0.35">
      <c r="A87" t="s">
        <v>46</v>
      </c>
      <c r="B87">
        <v>22</v>
      </c>
      <c r="C87" t="s">
        <v>36</v>
      </c>
      <c r="D87">
        <v>2.9756097559999999</v>
      </c>
      <c r="E87">
        <v>0.50205337943247497</v>
      </c>
      <c r="F87">
        <v>51.2</v>
      </c>
      <c r="G87">
        <v>0.89900000000000002</v>
      </c>
      <c r="H87">
        <v>0.39800000000000002</v>
      </c>
      <c r="I87">
        <v>0.39400000000000002</v>
      </c>
      <c r="J87">
        <v>0.40799999999999997</v>
      </c>
      <c r="K87">
        <v>0.52500000000000002</v>
      </c>
      <c r="L87" s="10">
        <f>AVERAGE(Table10[[#This Row],[PUCK_POSSESSION]:[PHYSICALITY]])</f>
        <v>8.9706666666666681</v>
      </c>
      <c r="M87">
        <v>0</v>
      </c>
    </row>
    <row r="88" spans="1:13" hidden="1" x14ac:dyDescent="0.35">
      <c r="A88" t="s">
        <v>46</v>
      </c>
      <c r="B88">
        <v>23</v>
      </c>
      <c r="C88" t="s">
        <v>40</v>
      </c>
      <c r="D88">
        <v>3.2195121950000001</v>
      </c>
      <c r="E88">
        <v>0.46883765984783798</v>
      </c>
      <c r="F88">
        <v>52.6</v>
      </c>
      <c r="G88">
        <v>0.88600000000000001</v>
      </c>
      <c r="H88">
        <v>0.52300000000000002</v>
      </c>
      <c r="I88">
        <v>0.61099999999999999</v>
      </c>
      <c r="J88">
        <v>0.64200000000000002</v>
      </c>
      <c r="K88">
        <v>0.4375</v>
      </c>
      <c r="L88" s="10">
        <f>AVERAGE(Table10[[#This Row],[PUCK_POSSESSION]:[PHYSICALITY]])</f>
        <v>9.2832500000000007</v>
      </c>
      <c r="M88">
        <v>0</v>
      </c>
    </row>
    <row r="89" spans="1:13" hidden="1" x14ac:dyDescent="0.35">
      <c r="A89" t="s">
        <v>46</v>
      </c>
      <c r="B89">
        <v>24</v>
      </c>
      <c r="C89" t="s">
        <v>42</v>
      </c>
      <c r="D89">
        <v>2.6097560980000001</v>
      </c>
      <c r="E89">
        <v>0.45970688616743599</v>
      </c>
      <c r="F89">
        <v>51.8</v>
      </c>
      <c r="G89">
        <v>0.90300000000000002</v>
      </c>
      <c r="H89">
        <v>0.216</v>
      </c>
      <c r="I89">
        <v>0.29699999999999999</v>
      </c>
      <c r="J89">
        <v>0.51500000000000001</v>
      </c>
      <c r="K89">
        <v>0.3</v>
      </c>
      <c r="L89" s="10">
        <f>AVERAGE(Table10[[#This Row],[PUCK_POSSESSION]:[PHYSICALITY]])</f>
        <v>9.0051666666666659</v>
      </c>
      <c r="M89">
        <v>0</v>
      </c>
    </row>
    <row r="90" spans="1:13" hidden="1" x14ac:dyDescent="0.35">
      <c r="A90" t="s">
        <v>46</v>
      </c>
      <c r="B90">
        <v>25</v>
      </c>
      <c r="C90" t="s">
        <v>18</v>
      </c>
      <c r="D90">
        <v>3.085365854</v>
      </c>
      <c r="E90">
        <v>0.47309642418956699</v>
      </c>
      <c r="F90">
        <v>51.7</v>
      </c>
      <c r="G90">
        <v>0.89</v>
      </c>
      <c r="H90">
        <v>0.44900000000000001</v>
      </c>
      <c r="I90">
        <v>0.53100000000000003</v>
      </c>
      <c r="J90">
        <v>0.48699999999999999</v>
      </c>
      <c r="K90">
        <v>0.47499999999999998</v>
      </c>
      <c r="L90" s="10">
        <f>AVERAGE(Table10[[#This Row],[PUCK_POSSESSION]:[PHYSICALITY]])</f>
        <v>9.0886666666666667</v>
      </c>
      <c r="M90">
        <v>0</v>
      </c>
    </row>
    <row r="91" spans="1:13" hidden="1" x14ac:dyDescent="0.35">
      <c r="A91" t="s">
        <v>46</v>
      </c>
      <c r="B91">
        <v>26</v>
      </c>
      <c r="C91" t="s">
        <v>38</v>
      </c>
      <c r="D91">
        <v>3.0487804879999998</v>
      </c>
      <c r="E91">
        <v>0.44181788620185097</v>
      </c>
      <c r="F91">
        <v>51</v>
      </c>
      <c r="G91">
        <v>0.88400000000000001</v>
      </c>
      <c r="H91">
        <v>0.432</v>
      </c>
      <c r="I91">
        <v>0.59399999999999997</v>
      </c>
      <c r="J91">
        <v>0.29199999999999998</v>
      </c>
      <c r="K91">
        <v>0.6</v>
      </c>
      <c r="L91" s="10">
        <f>AVERAGE(Table10[[#This Row],[PUCK_POSSESSION]:[PHYSICALITY]])</f>
        <v>8.9670000000000005</v>
      </c>
      <c r="M91">
        <v>0</v>
      </c>
    </row>
    <row r="92" spans="1:13" hidden="1" x14ac:dyDescent="0.35">
      <c r="A92" t="s">
        <v>46</v>
      </c>
      <c r="B92">
        <v>27</v>
      </c>
      <c r="C92" t="s">
        <v>43</v>
      </c>
      <c r="D92">
        <v>3.097560976</v>
      </c>
      <c r="E92">
        <v>0.46217548283569299</v>
      </c>
      <c r="F92">
        <v>49</v>
      </c>
      <c r="G92">
        <v>0.89500000000000002</v>
      </c>
      <c r="H92">
        <v>0.443</v>
      </c>
      <c r="I92">
        <v>0.57699999999999996</v>
      </c>
      <c r="J92">
        <v>0.47399999999999998</v>
      </c>
      <c r="K92">
        <v>0.73750000000000004</v>
      </c>
      <c r="L92" s="10">
        <f>AVERAGE(Table10[[#This Row],[PUCK_POSSESSION]:[PHYSICALITY]])</f>
        <v>8.6877499999999994</v>
      </c>
      <c r="M92">
        <v>0</v>
      </c>
    </row>
    <row r="93" spans="1:13" hidden="1" x14ac:dyDescent="0.35">
      <c r="A93" t="s">
        <v>46</v>
      </c>
      <c r="B93">
        <v>28</v>
      </c>
      <c r="C93" t="s">
        <v>44</v>
      </c>
      <c r="D93">
        <v>2.8292682930000002</v>
      </c>
      <c r="E93">
        <v>0.40534698949429498</v>
      </c>
      <c r="F93">
        <v>46.3</v>
      </c>
      <c r="G93">
        <v>0.89700000000000002</v>
      </c>
      <c r="H93">
        <v>0.318</v>
      </c>
      <c r="I93">
        <v>0.61099999999999999</v>
      </c>
      <c r="J93">
        <v>0.32200000000000001</v>
      </c>
      <c r="K93">
        <v>0.57499999999999996</v>
      </c>
      <c r="L93" s="10">
        <f>AVERAGE(Table10[[#This Row],[PUCK_POSSESSION]:[PHYSICALITY]])</f>
        <v>8.1704999999999988</v>
      </c>
      <c r="M93">
        <v>0</v>
      </c>
    </row>
    <row r="94" spans="1:13" hidden="1" x14ac:dyDescent="0.35">
      <c r="A94" t="s">
        <v>46</v>
      </c>
      <c r="B94">
        <v>29</v>
      </c>
      <c r="C94" t="s">
        <v>33</v>
      </c>
      <c r="D94">
        <v>2.8536585369999998</v>
      </c>
      <c r="E94">
        <v>0.38141543605461098</v>
      </c>
      <c r="F94">
        <v>48.3</v>
      </c>
      <c r="G94">
        <v>0.89400000000000002</v>
      </c>
      <c r="H94">
        <v>0.34100000000000003</v>
      </c>
      <c r="I94">
        <v>0.73099999999999998</v>
      </c>
      <c r="J94">
        <v>0.23</v>
      </c>
      <c r="K94">
        <v>0.32500000000000001</v>
      </c>
      <c r="L94" s="10">
        <f>AVERAGE(Table10[[#This Row],[PUCK_POSSESSION]:[PHYSICALITY]])</f>
        <v>8.4701666666666657</v>
      </c>
      <c r="M94">
        <v>0</v>
      </c>
    </row>
    <row r="95" spans="1:13" hidden="1" x14ac:dyDescent="0.35">
      <c r="A95" t="s">
        <v>46</v>
      </c>
      <c r="B95">
        <v>30</v>
      </c>
      <c r="C95" t="s">
        <v>35</v>
      </c>
      <c r="D95">
        <v>2.4756097559999999</v>
      </c>
      <c r="E95">
        <v>0.32433219474570701</v>
      </c>
      <c r="F95">
        <v>46.9</v>
      </c>
      <c r="G95">
        <v>0.89</v>
      </c>
      <c r="H95">
        <v>0.13600000000000001</v>
      </c>
      <c r="I95">
        <v>0.67400000000000004</v>
      </c>
      <c r="J95">
        <v>0.20799999999999999</v>
      </c>
      <c r="K95">
        <v>0.98750000000000004</v>
      </c>
      <c r="L95" s="10">
        <f>AVERAGE(Table10[[#This Row],[PUCK_POSSESSION]:[PHYSICALITY]])</f>
        <v>8.2992499999999989</v>
      </c>
      <c r="M95">
        <v>0</v>
      </c>
    </row>
    <row r="96" spans="1:13" hidden="1" x14ac:dyDescent="0.35">
      <c r="A96" t="s">
        <v>46</v>
      </c>
      <c r="B96">
        <v>31</v>
      </c>
      <c r="C96" t="s">
        <v>39</v>
      </c>
      <c r="D96">
        <v>2.1707317069999998</v>
      </c>
      <c r="E96">
        <v>0.27502278546938103</v>
      </c>
      <c r="F96">
        <v>44.3</v>
      </c>
      <c r="G96">
        <v>0.89200000000000002</v>
      </c>
      <c r="H96">
        <v>0</v>
      </c>
      <c r="I96">
        <v>0.68</v>
      </c>
      <c r="J96">
        <v>0.26500000000000001</v>
      </c>
      <c r="K96">
        <v>0.38750000000000001</v>
      </c>
      <c r="L96" s="10">
        <f>AVERAGE(Table10[[#This Row],[PUCK_POSSESSION]:[PHYSICALITY]])</f>
        <v>7.7540833333333339</v>
      </c>
      <c r="M96">
        <v>0</v>
      </c>
    </row>
    <row r="97" spans="1:13" hidden="1" x14ac:dyDescent="0.35">
      <c r="A97" t="s">
        <v>46</v>
      </c>
      <c r="B97">
        <v>32</v>
      </c>
      <c r="C97" t="s">
        <v>34</v>
      </c>
      <c r="D97">
        <v>2.195121951</v>
      </c>
      <c r="E97">
        <v>0.23363812051111901</v>
      </c>
      <c r="F97">
        <v>44.4</v>
      </c>
      <c r="G97">
        <v>0.88700000000000001</v>
      </c>
      <c r="H97">
        <v>0</v>
      </c>
      <c r="I97">
        <v>0.90900000000000003</v>
      </c>
      <c r="J97">
        <v>0.379</v>
      </c>
      <c r="K97">
        <v>0.48749999999999999</v>
      </c>
      <c r="L97" s="10">
        <f>AVERAGE(Table10[[#This Row],[PUCK_POSSESSION]:[PHYSICALITY]])</f>
        <v>7.8437499999999991</v>
      </c>
      <c r="M97">
        <v>0</v>
      </c>
    </row>
    <row r="98" spans="1:13" x14ac:dyDescent="0.35">
      <c r="A98" t="s">
        <v>47</v>
      </c>
      <c r="B98" s="1">
        <v>1</v>
      </c>
      <c r="C98" t="s">
        <v>31</v>
      </c>
      <c r="D98" s="3">
        <v>3.3536585369999998</v>
      </c>
      <c r="E98" s="9">
        <v>0.67688520921906503</v>
      </c>
      <c r="F98" s="3">
        <v>50.7</v>
      </c>
      <c r="G98" s="2">
        <v>0.91500000000000004</v>
      </c>
      <c r="H98" s="2">
        <v>0.56799999999999995</v>
      </c>
      <c r="I98" s="2">
        <v>7.3999999999999996E-2</v>
      </c>
      <c r="J98" s="2">
        <v>0.82399999999999995</v>
      </c>
      <c r="K98" s="2">
        <v>0.2</v>
      </c>
      <c r="L98" s="2">
        <f>AVERAGE(Table10[[#This Row],[PUCK_POSSESSION]:[PHYSICALITY]])</f>
        <v>8.8801666666666659</v>
      </c>
    </row>
    <row r="99" spans="1:13" x14ac:dyDescent="0.35">
      <c r="A99" t="s">
        <v>47</v>
      </c>
      <c r="B99" s="1">
        <v>2</v>
      </c>
      <c r="C99" t="s">
        <v>25</v>
      </c>
      <c r="D99" s="3">
        <v>3.4878048779999999</v>
      </c>
      <c r="E99" s="9">
        <v>0.60934019681607898</v>
      </c>
      <c r="F99" s="3">
        <v>51.1</v>
      </c>
      <c r="G99" s="2">
        <v>0.89700000000000002</v>
      </c>
      <c r="H99" s="2">
        <v>0.64200000000000002</v>
      </c>
      <c r="I99" s="2">
        <v>0.30299999999999999</v>
      </c>
      <c r="J99" s="2">
        <v>0.72699999999999998</v>
      </c>
      <c r="K99" s="2">
        <v>0.48749999999999999</v>
      </c>
      <c r="L99" s="2">
        <f>AVERAGE(Table10[[#This Row],[PUCK_POSSESSION]:[PHYSICALITY]])</f>
        <v>9.0260833333333323</v>
      </c>
    </row>
    <row r="100" spans="1:13" x14ac:dyDescent="0.35">
      <c r="A100" t="s">
        <v>47</v>
      </c>
      <c r="B100" s="1">
        <v>3</v>
      </c>
      <c r="C100" t="s">
        <v>29</v>
      </c>
      <c r="D100" s="3">
        <v>3.3414634150000002</v>
      </c>
      <c r="E100" s="9">
        <v>0.62111986233370797</v>
      </c>
      <c r="F100" s="3">
        <v>51.8</v>
      </c>
      <c r="G100" s="2">
        <v>0.9</v>
      </c>
      <c r="H100" s="2">
        <v>0.59699999999999998</v>
      </c>
      <c r="I100" s="2">
        <v>0.21099999999999999</v>
      </c>
      <c r="J100" s="2">
        <v>0.67600000000000005</v>
      </c>
      <c r="K100" s="2">
        <v>0</v>
      </c>
      <c r="L100" s="2">
        <f>AVERAGE(Table10[[#This Row],[PUCK_POSSESSION]:[PHYSICALITY]])</f>
        <v>9.0306666666666668</v>
      </c>
    </row>
    <row r="101" spans="1:13" x14ac:dyDescent="0.35">
      <c r="A101" t="s">
        <v>47</v>
      </c>
      <c r="B101" s="1">
        <v>4</v>
      </c>
      <c r="C101" t="s">
        <v>16</v>
      </c>
      <c r="D101" s="3">
        <v>3.2560975609999998</v>
      </c>
      <c r="E101" s="9">
        <v>0.57616584498504797</v>
      </c>
      <c r="F101" s="3">
        <v>48.1</v>
      </c>
      <c r="G101" s="2">
        <v>0.90500000000000003</v>
      </c>
      <c r="H101" s="2">
        <v>0.53400000000000003</v>
      </c>
      <c r="I101" s="2">
        <v>0.30299999999999999</v>
      </c>
      <c r="J101" s="2">
        <v>0.625</v>
      </c>
      <c r="K101" s="2">
        <v>0.3</v>
      </c>
      <c r="L101" s="2">
        <f>AVERAGE(Table10[[#This Row],[PUCK_POSSESSION]:[PHYSICALITY]])</f>
        <v>8.4611666666666654</v>
      </c>
    </row>
    <row r="102" spans="1:13" x14ac:dyDescent="0.35">
      <c r="A102" t="s">
        <v>47</v>
      </c>
      <c r="B102" s="1">
        <v>5</v>
      </c>
      <c r="C102" t="s">
        <v>27</v>
      </c>
      <c r="D102" s="3">
        <v>3.3536585369999998</v>
      </c>
      <c r="E102" s="9">
        <v>0.60544076087391596</v>
      </c>
      <c r="F102" s="3">
        <v>50.1</v>
      </c>
      <c r="G102" s="2">
        <v>0.90700000000000003</v>
      </c>
      <c r="H102" s="2">
        <v>0.57999999999999996</v>
      </c>
      <c r="I102" s="2">
        <v>0.26900000000000002</v>
      </c>
      <c r="J102" s="2">
        <v>0.67400000000000004</v>
      </c>
      <c r="K102" s="2">
        <v>0.17499999999999999</v>
      </c>
      <c r="L102" s="2">
        <f>AVERAGE(Table10[[#This Row],[PUCK_POSSESSION]:[PHYSICALITY]])</f>
        <v>8.7841666666666658</v>
      </c>
    </row>
    <row r="103" spans="1:13" x14ac:dyDescent="0.35">
      <c r="A103" t="s">
        <v>47</v>
      </c>
      <c r="B103" s="1">
        <v>6</v>
      </c>
      <c r="C103" t="s">
        <v>26</v>
      </c>
      <c r="D103" s="3">
        <v>3.0365853660000002</v>
      </c>
      <c r="E103" s="9">
        <v>0.60072667377192102</v>
      </c>
      <c r="F103" s="3">
        <v>53.8</v>
      </c>
      <c r="G103" s="2">
        <v>0.90300000000000002</v>
      </c>
      <c r="H103" s="2">
        <v>0.41499999999999998</v>
      </c>
      <c r="I103" s="2">
        <v>0.14299999999999999</v>
      </c>
      <c r="J103" s="2">
        <v>0.50800000000000001</v>
      </c>
      <c r="K103" s="2">
        <v>0.27500000000000002</v>
      </c>
      <c r="L103" s="2">
        <f>AVERAGE(Table10[[#This Row],[PUCK_POSSESSION]:[PHYSICALITY]])</f>
        <v>9.3406666666666656</v>
      </c>
    </row>
    <row r="104" spans="1:13" x14ac:dyDescent="0.35">
      <c r="A104" t="s">
        <v>47</v>
      </c>
      <c r="B104" s="1">
        <v>7</v>
      </c>
      <c r="C104" t="s">
        <v>19</v>
      </c>
      <c r="D104" s="3">
        <v>3.5609756099999998</v>
      </c>
      <c r="E104" s="9">
        <v>0.64633110976349295</v>
      </c>
      <c r="F104" s="3">
        <v>51.1</v>
      </c>
      <c r="G104" s="2">
        <v>0.90700000000000003</v>
      </c>
      <c r="H104" s="2">
        <v>0.68700000000000006</v>
      </c>
      <c r="I104" s="2">
        <v>0.24</v>
      </c>
      <c r="J104" s="2">
        <v>0.79200000000000004</v>
      </c>
      <c r="K104" s="2">
        <v>0.3125</v>
      </c>
      <c r="L104" s="2">
        <f>AVERAGE(Table10[[#This Row],[PUCK_POSSESSION]:[PHYSICALITY]])</f>
        <v>9.0064166666666683</v>
      </c>
    </row>
    <row r="105" spans="1:13" x14ac:dyDescent="0.35">
      <c r="A105" t="s">
        <v>47</v>
      </c>
      <c r="B105" s="1">
        <v>8</v>
      </c>
      <c r="C105" t="s">
        <v>14</v>
      </c>
      <c r="D105" s="3">
        <v>3.3292682930000002</v>
      </c>
      <c r="E105" s="9">
        <v>0.582758620689655</v>
      </c>
      <c r="F105" s="3">
        <v>54.8</v>
      </c>
      <c r="G105" s="2">
        <v>0.89100000000000001</v>
      </c>
      <c r="H105" s="2">
        <v>0.57999999999999996</v>
      </c>
      <c r="I105" s="2">
        <v>0.309</v>
      </c>
      <c r="J105" s="2">
        <v>0.69399999999999995</v>
      </c>
      <c r="K105" s="2">
        <v>0.15</v>
      </c>
      <c r="L105" s="2">
        <f>AVERAGE(Table10[[#This Row],[PUCK_POSSESSION]:[PHYSICALITY]])</f>
        <v>9.570666666666666</v>
      </c>
    </row>
    <row r="106" spans="1:13" x14ac:dyDescent="0.35">
      <c r="A106" t="s">
        <v>47</v>
      </c>
      <c r="B106" s="1">
        <v>9</v>
      </c>
      <c r="C106" t="s">
        <v>23</v>
      </c>
      <c r="D106" s="3">
        <v>3.1585365849999998</v>
      </c>
      <c r="E106" s="9">
        <v>0.54846859516295199</v>
      </c>
      <c r="F106" s="3">
        <v>54.6</v>
      </c>
      <c r="G106" s="2">
        <v>0.89400000000000002</v>
      </c>
      <c r="H106" s="2">
        <v>0.51700000000000002</v>
      </c>
      <c r="I106" s="2">
        <v>0.33700000000000002</v>
      </c>
      <c r="J106" s="2">
        <v>0.59899999999999998</v>
      </c>
      <c r="K106" s="2">
        <v>0.23749999999999999</v>
      </c>
      <c r="L106" s="2">
        <f>AVERAGE(Table10[[#This Row],[PUCK_POSSESSION]:[PHYSICALITY]])</f>
        <v>9.5307499999999994</v>
      </c>
    </row>
    <row r="107" spans="1:13" x14ac:dyDescent="0.35">
      <c r="A107" t="s">
        <v>47</v>
      </c>
      <c r="B107" s="1">
        <v>10</v>
      </c>
      <c r="C107" t="s">
        <v>15</v>
      </c>
      <c r="D107" s="3">
        <v>3.2439024390000002</v>
      </c>
      <c r="E107" s="9">
        <v>0.57220029759979296</v>
      </c>
      <c r="F107" s="3">
        <v>59.7</v>
      </c>
      <c r="G107" s="2">
        <v>0.88700000000000001</v>
      </c>
      <c r="H107" s="2">
        <v>0.54</v>
      </c>
      <c r="I107" s="2">
        <v>0.30299999999999999</v>
      </c>
      <c r="J107" s="2">
        <v>0.61399999999999999</v>
      </c>
      <c r="K107" s="2">
        <v>0.28749999999999998</v>
      </c>
      <c r="L107" s="2">
        <f>AVERAGE(Table10[[#This Row],[PUCK_POSSESSION]:[PHYSICALITY]])</f>
        <v>10.388583333333333</v>
      </c>
    </row>
    <row r="108" spans="1:13" x14ac:dyDescent="0.35">
      <c r="A108" t="s">
        <v>47</v>
      </c>
      <c r="B108" s="1">
        <v>11</v>
      </c>
      <c r="C108" t="s">
        <v>13</v>
      </c>
      <c r="D108" s="3">
        <v>3</v>
      </c>
      <c r="E108" s="9">
        <v>0.54892285364415605</v>
      </c>
      <c r="F108" s="3">
        <v>56.1</v>
      </c>
      <c r="G108" s="2">
        <v>0.89600000000000002</v>
      </c>
      <c r="H108" s="2">
        <v>0.432</v>
      </c>
      <c r="I108" s="2">
        <v>0.246</v>
      </c>
      <c r="J108" s="2">
        <v>0.68200000000000005</v>
      </c>
      <c r="K108" s="2">
        <v>0.6</v>
      </c>
      <c r="L108" s="2">
        <f>AVERAGE(Table10[[#This Row],[PUCK_POSSESSION]:[PHYSICALITY]])</f>
        <v>9.8260000000000023</v>
      </c>
    </row>
    <row r="109" spans="1:13" x14ac:dyDescent="0.35">
      <c r="A109" t="s">
        <v>47</v>
      </c>
      <c r="B109" s="1">
        <v>12</v>
      </c>
      <c r="C109" t="s">
        <v>17</v>
      </c>
      <c r="D109" s="3">
        <v>2.7439024390000002</v>
      </c>
      <c r="E109" s="9">
        <v>0.47615240639196399</v>
      </c>
      <c r="F109" s="3">
        <v>48.4</v>
      </c>
      <c r="G109" s="2">
        <v>0.90300000000000002</v>
      </c>
      <c r="H109" s="2">
        <v>0.27300000000000002</v>
      </c>
      <c r="I109" s="2">
        <v>0.34899999999999998</v>
      </c>
      <c r="J109" s="2">
        <v>0.29799999999999999</v>
      </c>
      <c r="K109" s="2">
        <v>0.25</v>
      </c>
      <c r="L109" s="2">
        <f>AVERAGE(Table10[[#This Row],[PUCK_POSSESSION]:[PHYSICALITY]])</f>
        <v>8.4121666666666659</v>
      </c>
    </row>
    <row r="110" spans="1:13" x14ac:dyDescent="0.35">
      <c r="A110" t="s">
        <v>47</v>
      </c>
      <c r="B110" s="1">
        <v>13</v>
      </c>
      <c r="C110" t="s">
        <v>38</v>
      </c>
      <c r="D110" s="3">
        <v>2.9512195120000002</v>
      </c>
      <c r="E110" s="9">
        <v>0.52108766060433498</v>
      </c>
      <c r="F110" s="3">
        <v>50.7</v>
      </c>
      <c r="G110" s="2">
        <v>0.90100000000000002</v>
      </c>
      <c r="H110" s="2">
        <v>0.375</v>
      </c>
      <c r="I110" s="2">
        <v>0.32600000000000001</v>
      </c>
      <c r="J110" s="2">
        <v>0.58599999999999997</v>
      </c>
      <c r="K110" s="2">
        <v>0.36249999999999999</v>
      </c>
      <c r="L110" s="2">
        <f>AVERAGE(Table10[[#This Row],[PUCK_POSSESSION]:[PHYSICALITY]])</f>
        <v>8.8750833333333343</v>
      </c>
    </row>
    <row r="111" spans="1:13" hidden="1" x14ac:dyDescent="0.35">
      <c r="A111" t="s">
        <v>47</v>
      </c>
      <c r="B111">
        <v>14</v>
      </c>
      <c r="C111" t="s">
        <v>18</v>
      </c>
      <c r="D111">
        <v>2.6829268289999999</v>
      </c>
      <c r="E111">
        <v>0.46495542576083598</v>
      </c>
      <c r="F111">
        <v>52.4</v>
      </c>
      <c r="G111">
        <v>0.90100000000000002</v>
      </c>
      <c r="H111">
        <v>0.25600000000000001</v>
      </c>
      <c r="I111">
        <v>0.34899999999999998</v>
      </c>
      <c r="J111">
        <v>0.433</v>
      </c>
      <c r="K111">
        <v>0.45</v>
      </c>
      <c r="L111" s="10">
        <f>AVERAGE(Table10[[#This Row],[PUCK_POSSESSION]:[PHYSICALITY]])</f>
        <v>9.1315000000000008</v>
      </c>
    </row>
    <row r="112" spans="1:13" x14ac:dyDescent="0.35">
      <c r="A112" t="s">
        <v>47</v>
      </c>
      <c r="B112" s="1">
        <v>15</v>
      </c>
      <c r="C112" t="s">
        <v>21</v>
      </c>
      <c r="D112" s="3">
        <v>3.0487804879999998</v>
      </c>
      <c r="E112" s="9">
        <v>0.53943950078110803</v>
      </c>
      <c r="F112" s="3">
        <v>49.2</v>
      </c>
      <c r="G112" s="2">
        <v>0.89700000000000002</v>
      </c>
      <c r="H112" s="2">
        <v>0.432</v>
      </c>
      <c r="I112" s="2">
        <v>0.30299999999999999</v>
      </c>
      <c r="J112" s="2">
        <v>0.40699999999999997</v>
      </c>
      <c r="K112" s="2">
        <v>0.23749999999999999</v>
      </c>
      <c r="L112" s="2">
        <f>AVERAGE(Table10[[#This Row],[PUCK_POSSESSION]:[PHYSICALITY]])</f>
        <v>8.5794166666666651</v>
      </c>
    </row>
    <row r="113" spans="1:12" x14ac:dyDescent="0.35">
      <c r="A113" t="s">
        <v>47</v>
      </c>
      <c r="B113" s="1">
        <v>16</v>
      </c>
      <c r="C113" t="s">
        <v>44</v>
      </c>
      <c r="D113" s="3">
        <v>2.9634146339999998</v>
      </c>
      <c r="E113" s="9">
        <v>0.46433121019108298</v>
      </c>
      <c r="F113" s="3">
        <v>48.2</v>
      </c>
      <c r="G113" s="2">
        <v>0.89</v>
      </c>
      <c r="H113" s="2">
        <v>0.38100000000000001</v>
      </c>
      <c r="I113" s="2">
        <v>0.503</v>
      </c>
      <c r="J113" s="2">
        <v>0.56899999999999995</v>
      </c>
      <c r="K113" s="2">
        <v>0.46250000000000002</v>
      </c>
      <c r="L113" s="2">
        <f>AVERAGE(Table10[[#This Row],[PUCK_POSSESSION]:[PHYSICALITY]])</f>
        <v>8.5009166666666669</v>
      </c>
    </row>
    <row r="114" spans="1:12" x14ac:dyDescent="0.35">
      <c r="A114" t="s">
        <v>47</v>
      </c>
      <c r="B114" s="1">
        <v>17</v>
      </c>
      <c r="C114" t="s">
        <v>40</v>
      </c>
      <c r="D114" s="3">
        <v>2.9268292680000001</v>
      </c>
      <c r="E114" s="9">
        <v>0.543396226415094</v>
      </c>
      <c r="F114" s="3">
        <v>52</v>
      </c>
      <c r="G114" s="2">
        <v>0.89800000000000002</v>
      </c>
      <c r="H114" s="2">
        <v>0.375</v>
      </c>
      <c r="I114" s="2">
        <v>0.24</v>
      </c>
      <c r="J114" s="2">
        <v>0.91500000000000004</v>
      </c>
      <c r="K114" s="2">
        <v>0.35</v>
      </c>
      <c r="L114" s="2">
        <f>AVERAGE(Table10[[#This Row],[PUCK_POSSESSION]:[PHYSICALITY]])</f>
        <v>9.129666666666667</v>
      </c>
    </row>
    <row r="115" spans="1:12" hidden="1" x14ac:dyDescent="0.35">
      <c r="A115" t="s">
        <v>47</v>
      </c>
      <c r="B115">
        <v>18</v>
      </c>
      <c r="C115" t="s">
        <v>30</v>
      </c>
      <c r="D115">
        <v>2.8414634150000002</v>
      </c>
      <c r="E115">
        <v>0.46286128399693099</v>
      </c>
      <c r="F115">
        <v>49.6</v>
      </c>
      <c r="G115">
        <v>0.88600000000000001</v>
      </c>
      <c r="H115">
        <v>0.318</v>
      </c>
      <c r="I115">
        <v>0.41699999999999998</v>
      </c>
      <c r="J115">
        <v>0.71199999999999997</v>
      </c>
      <c r="K115">
        <v>0.46250000000000002</v>
      </c>
      <c r="L115" s="10">
        <f>AVERAGE(Table10[[#This Row],[PUCK_POSSESSION]:[PHYSICALITY]])</f>
        <v>8.7325833333333343</v>
      </c>
    </row>
    <row r="116" spans="1:12" hidden="1" x14ac:dyDescent="0.35">
      <c r="A116" t="s">
        <v>47</v>
      </c>
      <c r="B116">
        <v>19</v>
      </c>
      <c r="C116" t="s">
        <v>33</v>
      </c>
      <c r="D116">
        <v>3.2560975609999998</v>
      </c>
      <c r="E116">
        <v>0.5</v>
      </c>
      <c r="F116">
        <v>49.3</v>
      </c>
      <c r="G116">
        <v>0.89100000000000001</v>
      </c>
      <c r="H116">
        <v>0.53400000000000003</v>
      </c>
      <c r="I116">
        <v>0.54900000000000004</v>
      </c>
      <c r="J116">
        <v>0.40799999999999997</v>
      </c>
      <c r="K116">
        <v>0.32500000000000001</v>
      </c>
      <c r="L116" s="10">
        <f>AVERAGE(Table10[[#This Row],[PUCK_POSSESSION]:[PHYSICALITY]])</f>
        <v>8.6678333333333324</v>
      </c>
    </row>
    <row r="117" spans="1:12" hidden="1" x14ac:dyDescent="0.35">
      <c r="A117" t="s">
        <v>47</v>
      </c>
      <c r="B117">
        <v>20</v>
      </c>
      <c r="C117" t="s">
        <v>48</v>
      </c>
      <c r="D117">
        <v>2.9268292680000001</v>
      </c>
      <c r="E117">
        <v>0.48562925241760702</v>
      </c>
      <c r="F117">
        <v>53.9</v>
      </c>
      <c r="G117">
        <v>0.89100000000000001</v>
      </c>
      <c r="H117">
        <v>0.38100000000000001</v>
      </c>
      <c r="I117">
        <v>0.39400000000000002</v>
      </c>
      <c r="J117">
        <v>0.65300000000000002</v>
      </c>
      <c r="K117">
        <v>0.5</v>
      </c>
      <c r="L117" s="10">
        <f>AVERAGE(Table10[[#This Row],[PUCK_POSSESSION]:[PHYSICALITY]])</f>
        <v>9.4531666666666663</v>
      </c>
    </row>
    <row r="118" spans="1:12" hidden="1" x14ac:dyDescent="0.35">
      <c r="A118" t="s">
        <v>47</v>
      </c>
      <c r="B118">
        <v>21</v>
      </c>
      <c r="C118" t="s">
        <v>37</v>
      </c>
      <c r="D118">
        <v>2.8658536589999999</v>
      </c>
      <c r="E118">
        <v>0.45153140483704801</v>
      </c>
      <c r="F118">
        <v>48.6</v>
      </c>
      <c r="G118">
        <v>0.88900000000000001</v>
      </c>
      <c r="H118">
        <v>0.33500000000000002</v>
      </c>
      <c r="I118">
        <v>0.47399999999999998</v>
      </c>
      <c r="J118">
        <v>0.432</v>
      </c>
      <c r="K118">
        <v>0.15</v>
      </c>
      <c r="L118" s="10">
        <f>AVERAGE(Table10[[#This Row],[PUCK_POSSESSION]:[PHYSICALITY]])</f>
        <v>8.48</v>
      </c>
    </row>
    <row r="119" spans="1:12" hidden="1" x14ac:dyDescent="0.35">
      <c r="A119" t="s">
        <v>47</v>
      </c>
      <c r="B119">
        <v>22</v>
      </c>
      <c r="C119" t="s">
        <v>20</v>
      </c>
      <c r="D119">
        <v>3.1097560980000001</v>
      </c>
      <c r="E119">
        <v>0.5</v>
      </c>
      <c r="F119">
        <v>49.6</v>
      </c>
      <c r="G119">
        <v>0.89600000000000002</v>
      </c>
      <c r="H119">
        <v>0.45500000000000002</v>
      </c>
      <c r="I119">
        <v>0.48599999999999999</v>
      </c>
      <c r="J119">
        <v>0.46100000000000002</v>
      </c>
      <c r="K119">
        <v>0.35</v>
      </c>
      <c r="L119" s="10">
        <f>AVERAGE(Table10[[#This Row],[PUCK_POSSESSION]:[PHYSICALITY]])</f>
        <v>8.7080000000000002</v>
      </c>
    </row>
    <row r="120" spans="1:12" hidden="1" x14ac:dyDescent="0.35">
      <c r="A120" t="s">
        <v>47</v>
      </c>
      <c r="B120">
        <v>23</v>
      </c>
      <c r="C120" t="s">
        <v>32</v>
      </c>
      <c r="D120">
        <v>2.707317073</v>
      </c>
      <c r="E120">
        <v>0.42731915410160098</v>
      </c>
      <c r="F120">
        <v>50.5</v>
      </c>
      <c r="G120">
        <v>0.89100000000000001</v>
      </c>
      <c r="H120">
        <v>0.28999999999999998</v>
      </c>
      <c r="I120">
        <v>0.48</v>
      </c>
      <c r="J120">
        <v>0</v>
      </c>
      <c r="K120">
        <v>1.25000000000001E-2</v>
      </c>
      <c r="L120" s="10">
        <f>AVERAGE(Table10[[#This Row],[PUCK_POSSESSION]:[PHYSICALITY]])</f>
        <v>8.6955833333333334</v>
      </c>
    </row>
    <row r="121" spans="1:12" hidden="1" x14ac:dyDescent="0.35">
      <c r="A121" t="s">
        <v>47</v>
      </c>
      <c r="B121">
        <v>24</v>
      </c>
      <c r="C121" t="s">
        <v>24</v>
      </c>
      <c r="D121">
        <v>2.9512195120000002</v>
      </c>
      <c r="E121">
        <v>0.41554497527193801</v>
      </c>
      <c r="F121">
        <v>51.3</v>
      </c>
      <c r="G121">
        <v>0.88400000000000001</v>
      </c>
      <c r="H121">
        <v>0.38600000000000001</v>
      </c>
      <c r="I121">
        <v>0.65700000000000003</v>
      </c>
      <c r="J121">
        <v>0.65800000000000003</v>
      </c>
      <c r="K121">
        <v>0.15</v>
      </c>
      <c r="L121" s="10">
        <f>AVERAGE(Table10[[#This Row],[PUCK_POSSESSION]:[PHYSICALITY]])</f>
        <v>9.0058333333333334</v>
      </c>
    </row>
    <row r="122" spans="1:12" hidden="1" x14ac:dyDescent="0.35">
      <c r="A122" t="s">
        <v>47</v>
      </c>
      <c r="B122">
        <v>25</v>
      </c>
      <c r="C122" t="s">
        <v>35</v>
      </c>
      <c r="D122">
        <v>2.6463414630000002</v>
      </c>
      <c r="E122">
        <v>0.40872320111101501</v>
      </c>
      <c r="F122">
        <v>46.5</v>
      </c>
      <c r="G122">
        <v>0.90100000000000002</v>
      </c>
      <c r="H122">
        <v>0.23300000000000001</v>
      </c>
      <c r="I122">
        <v>0.52600000000000002</v>
      </c>
      <c r="J122">
        <v>4.1000000000000002E-2</v>
      </c>
      <c r="K122">
        <v>0.41249999999999998</v>
      </c>
      <c r="L122" s="10">
        <f>AVERAGE(Table10[[#This Row],[PUCK_POSSESSION]:[PHYSICALITY]])</f>
        <v>8.1022499999999997</v>
      </c>
    </row>
    <row r="123" spans="1:12" hidden="1" x14ac:dyDescent="0.35">
      <c r="A123" t="s">
        <v>47</v>
      </c>
      <c r="B123">
        <v>26</v>
      </c>
      <c r="C123" t="s">
        <v>36</v>
      </c>
      <c r="D123">
        <v>3.2317073170000001</v>
      </c>
      <c r="E123">
        <v>0.46020813400264798</v>
      </c>
      <c r="F123">
        <v>50.4</v>
      </c>
      <c r="G123">
        <v>0.879</v>
      </c>
      <c r="H123">
        <v>0.5</v>
      </c>
      <c r="I123">
        <v>0.65100000000000002</v>
      </c>
      <c r="J123">
        <v>0.36199999999999999</v>
      </c>
      <c r="K123">
        <v>0.57499999999999996</v>
      </c>
      <c r="L123" s="10">
        <f>AVERAGE(Table10[[#This Row],[PUCK_POSSESSION]:[PHYSICALITY]])</f>
        <v>8.8945000000000007</v>
      </c>
    </row>
    <row r="124" spans="1:12" hidden="1" x14ac:dyDescent="0.35">
      <c r="A124" t="s">
        <v>47</v>
      </c>
      <c r="B124">
        <v>27</v>
      </c>
      <c r="C124" t="s">
        <v>22</v>
      </c>
      <c r="D124">
        <v>2.707317073</v>
      </c>
      <c r="E124">
        <v>0.40158077001426001</v>
      </c>
      <c r="F124">
        <v>48.3</v>
      </c>
      <c r="G124">
        <v>0.88400000000000001</v>
      </c>
      <c r="H124">
        <v>0.24399999999999999</v>
      </c>
      <c r="I124">
        <v>0.54300000000000004</v>
      </c>
      <c r="J124">
        <v>0.23499999999999999</v>
      </c>
      <c r="K124">
        <v>0.52500000000000002</v>
      </c>
      <c r="L124" s="10">
        <f>AVERAGE(Table10[[#This Row],[PUCK_POSSESSION]:[PHYSICALITY]])</f>
        <v>8.4551666666666652</v>
      </c>
    </row>
    <row r="125" spans="1:12" hidden="1" x14ac:dyDescent="0.35">
      <c r="A125" t="s">
        <v>47</v>
      </c>
      <c r="B125">
        <v>28</v>
      </c>
      <c r="C125" t="s">
        <v>42</v>
      </c>
      <c r="D125">
        <v>2.9878048779999999</v>
      </c>
      <c r="E125">
        <v>0.466507084068424</v>
      </c>
      <c r="F125">
        <v>48.5</v>
      </c>
      <c r="G125">
        <v>0.88800000000000001</v>
      </c>
      <c r="H125">
        <v>0.38100000000000001</v>
      </c>
      <c r="I125">
        <v>0.503</v>
      </c>
      <c r="J125">
        <v>0.39800000000000002</v>
      </c>
      <c r="K125">
        <v>0.1875</v>
      </c>
      <c r="L125" s="10">
        <f>AVERAGE(Table10[[#This Row],[PUCK_POSSESSION]:[PHYSICALITY]])</f>
        <v>8.4762500000000003</v>
      </c>
    </row>
    <row r="126" spans="1:12" hidden="1" x14ac:dyDescent="0.35">
      <c r="A126" t="s">
        <v>47</v>
      </c>
      <c r="B126">
        <v>29</v>
      </c>
      <c r="C126" t="s">
        <v>41</v>
      </c>
      <c r="D126">
        <v>2.8292682930000002</v>
      </c>
      <c r="E126">
        <v>0.40193259803006398</v>
      </c>
      <c r="F126">
        <v>48.7</v>
      </c>
      <c r="G126">
        <v>0.872</v>
      </c>
      <c r="H126">
        <v>0.34699999999999998</v>
      </c>
      <c r="I126">
        <v>0.60599999999999998</v>
      </c>
      <c r="J126">
        <v>0.27200000000000002</v>
      </c>
      <c r="K126">
        <v>0.21249999999999999</v>
      </c>
      <c r="L126" s="10">
        <f>AVERAGE(Table10[[#This Row],[PUCK_POSSESSION]:[PHYSICALITY]])</f>
        <v>8.5015833333333344</v>
      </c>
    </row>
    <row r="127" spans="1:12" hidden="1" x14ac:dyDescent="0.35">
      <c r="A127" t="s">
        <v>47</v>
      </c>
      <c r="B127">
        <v>30</v>
      </c>
      <c r="C127" t="s">
        <v>28</v>
      </c>
      <c r="D127">
        <v>2.585365854</v>
      </c>
      <c r="E127">
        <v>0.37447092151308098</v>
      </c>
      <c r="F127">
        <v>51.1</v>
      </c>
      <c r="G127">
        <v>0.88300000000000001</v>
      </c>
      <c r="H127">
        <v>0.222</v>
      </c>
      <c r="I127">
        <v>0.56599999999999995</v>
      </c>
      <c r="J127">
        <v>0.64900000000000002</v>
      </c>
      <c r="K127">
        <v>0.52500000000000002</v>
      </c>
      <c r="L127" s="10">
        <f>AVERAGE(Table10[[#This Row],[PUCK_POSSESSION]:[PHYSICALITY]])</f>
        <v>8.9908333333333346</v>
      </c>
    </row>
    <row r="128" spans="1:12" hidden="1" x14ac:dyDescent="0.35">
      <c r="A128" t="s">
        <v>47</v>
      </c>
      <c r="B128">
        <v>31</v>
      </c>
      <c r="C128" t="s">
        <v>39</v>
      </c>
      <c r="D128">
        <v>2.7317073170000001</v>
      </c>
      <c r="E128">
        <v>0.370466627288836</v>
      </c>
      <c r="F128">
        <v>44.8</v>
      </c>
      <c r="G128">
        <v>0.88500000000000001</v>
      </c>
      <c r="H128">
        <v>0.25600000000000001</v>
      </c>
      <c r="I128">
        <v>0.70299999999999996</v>
      </c>
      <c r="J128">
        <v>0.67900000000000005</v>
      </c>
      <c r="K128">
        <v>0.375</v>
      </c>
      <c r="L128" s="10">
        <f>AVERAGE(Table10[[#This Row],[PUCK_POSSESSION]:[PHYSICALITY]])</f>
        <v>7.9496666666666664</v>
      </c>
    </row>
    <row r="129" spans="1:12" hidden="1" x14ac:dyDescent="0.35">
      <c r="A129" t="s">
        <v>47</v>
      </c>
      <c r="B129">
        <v>32</v>
      </c>
      <c r="C129" t="s">
        <v>34</v>
      </c>
      <c r="D129">
        <v>2.5365853660000002</v>
      </c>
      <c r="E129">
        <v>0.31043885077925398</v>
      </c>
      <c r="F129">
        <v>46.3</v>
      </c>
      <c r="G129">
        <v>0.88100000000000001</v>
      </c>
      <c r="H129">
        <v>0.17599999999999999</v>
      </c>
      <c r="I129">
        <v>0.79400000000000004</v>
      </c>
      <c r="J129">
        <v>0.28100000000000003</v>
      </c>
      <c r="K129">
        <v>0.38750000000000001</v>
      </c>
      <c r="L129" s="10">
        <f>AVERAGE(Table10[[#This Row],[PUCK_POSSESSION]:[PHYSICALITY]])</f>
        <v>8.1365833333333324</v>
      </c>
    </row>
  </sheetData>
  <conditionalFormatting sqref="D98:D11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8:E11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98:F11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98:G11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8:H11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8:I11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8:J1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98:K1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8:L1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901F-5087-4245-90FA-109A5D51AA74}">
  <dimension ref="A1:L129"/>
  <sheetViews>
    <sheetView zoomScale="90" zoomScaleNormal="90" workbookViewId="0">
      <selection activeCell="I145" sqref="I145"/>
    </sheetView>
  </sheetViews>
  <sheetFormatPr defaultRowHeight="14.5" x14ac:dyDescent="0.35"/>
  <cols>
    <col min="1" max="1" width="9.81640625" bestFit="1" customWidth="1"/>
    <col min="2" max="2" width="7.54296875" bestFit="1" customWidth="1"/>
    <col min="3" max="3" width="19.54296875" bestFit="1" customWidth="1"/>
    <col min="4" max="4" width="11.81640625" bestFit="1" customWidth="1"/>
    <col min="5" max="5" width="12" bestFit="1" customWidth="1"/>
    <col min="6" max="6" width="19.54296875" bestFit="1" customWidth="1"/>
    <col min="7" max="7" width="15.453125" bestFit="1" customWidth="1"/>
    <col min="8" max="9" width="10.7265625" bestFit="1" customWidth="1"/>
    <col min="10" max="10" width="13.81640625" bestFit="1" customWidth="1"/>
    <col min="11" max="11" width="14" bestFit="1" customWidth="1"/>
    <col min="12" max="12" width="22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35">
      <c r="A2" t="s">
        <v>12</v>
      </c>
      <c r="B2">
        <v>1</v>
      </c>
      <c r="C2" t="s">
        <v>13</v>
      </c>
      <c r="D2">
        <v>4.1097560980000001</v>
      </c>
      <c r="E2">
        <v>0.65977470909122604</v>
      </c>
      <c r="F2">
        <v>47.6</v>
      </c>
      <c r="G2">
        <v>0.90400000000000003</v>
      </c>
      <c r="H2">
        <v>1</v>
      </c>
      <c r="I2">
        <v>0.41499999999999998</v>
      </c>
      <c r="J2">
        <v>0.67800000000000005</v>
      </c>
      <c r="K2">
        <v>0.556962025316456</v>
      </c>
      <c r="L2">
        <v>0</v>
      </c>
    </row>
    <row r="3" spans="1:12" x14ac:dyDescent="0.35">
      <c r="A3" t="s">
        <v>12</v>
      </c>
      <c r="B3">
        <v>2</v>
      </c>
      <c r="C3" t="s">
        <v>14</v>
      </c>
      <c r="D3" s="8">
        <v>3.7560975609999998</v>
      </c>
      <c r="E3" s="9">
        <v>0.63800710211987499</v>
      </c>
      <c r="F3" s="3">
        <v>42.6</v>
      </c>
      <c r="G3" s="1">
        <v>0.91200000000000003</v>
      </c>
      <c r="H3" s="1">
        <v>0.80500000000000005</v>
      </c>
      <c r="I3" s="1">
        <v>0.42899999999999999</v>
      </c>
      <c r="J3" s="1">
        <v>0.66700000000000004</v>
      </c>
      <c r="K3" s="2">
        <v>0.417721518987342</v>
      </c>
      <c r="L3" s="1">
        <v>1</v>
      </c>
    </row>
    <row r="4" spans="1:12" hidden="1" x14ac:dyDescent="0.35">
      <c r="A4" t="s">
        <v>12</v>
      </c>
      <c r="B4">
        <v>3</v>
      </c>
      <c r="C4" t="s">
        <v>15</v>
      </c>
      <c r="D4">
        <v>3.3780487799999999</v>
      </c>
      <c r="E4">
        <v>0.65732594299617098</v>
      </c>
      <c r="F4">
        <v>46.9</v>
      </c>
      <c r="G4">
        <v>0.91300000000000003</v>
      </c>
      <c r="H4">
        <v>0.60399999999999998</v>
      </c>
      <c r="I4">
        <v>0.109</v>
      </c>
      <c r="J4">
        <v>0.88600000000000001</v>
      </c>
      <c r="K4">
        <v>0.443037974683544</v>
      </c>
      <c r="L4">
        <v>0</v>
      </c>
    </row>
    <row r="5" spans="1:12" hidden="1" x14ac:dyDescent="0.35">
      <c r="A5" t="s">
        <v>12</v>
      </c>
      <c r="B5">
        <v>4</v>
      </c>
      <c r="C5" t="s">
        <v>16</v>
      </c>
      <c r="D5">
        <v>3.804878049</v>
      </c>
      <c r="E5">
        <v>0.60519247985675895</v>
      </c>
      <c r="F5">
        <v>46.4</v>
      </c>
      <c r="G5">
        <v>0.9</v>
      </c>
      <c r="H5">
        <v>0.81100000000000005</v>
      </c>
      <c r="I5">
        <v>0.44900000000000001</v>
      </c>
      <c r="J5">
        <v>0.86199999999999999</v>
      </c>
      <c r="K5">
        <v>0.367088607594937</v>
      </c>
      <c r="L5">
        <v>0</v>
      </c>
    </row>
    <row r="6" spans="1:12" hidden="1" x14ac:dyDescent="0.35">
      <c r="A6" t="s">
        <v>12</v>
      </c>
      <c r="B6">
        <v>5</v>
      </c>
      <c r="C6" t="s">
        <v>17</v>
      </c>
      <c r="D6">
        <v>3.7195121950000001</v>
      </c>
      <c r="E6">
        <v>0.60006063499025997</v>
      </c>
      <c r="F6">
        <v>43.9</v>
      </c>
      <c r="G6">
        <v>0.90300000000000002</v>
      </c>
      <c r="H6">
        <v>0.78</v>
      </c>
      <c r="I6">
        <v>0.49</v>
      </c>
      <c r="J6">
        <v>0.42699999999999999</v>
      </c>
      <c r="K6">
        <v>0.645569620253165</v>
      </c>
      <c r="L6">
        <v>0</v>
      </c>
    </row>
    <row r="7" spans="1:12" hidden="1" x14ac:dyDescent="0.35">
      <c r="A7" t="s">
        <v>12</v>
      </c>
      <c r="B7">
        <v>6</v>
      </c>
      <c r="C7" t="s">
        <v>18</v>
      </c>
      <c r="D7">
        <v>3.5487804879999998</v>
      </c>
      <c r="E7">
        <v>0.66616581574455003</v>
      </c>
      <c r="F7">
        <v>45</v>
      </c>
      <c r="G7">
        <v>0.91300000000000003</v>
      </c>
      <c r="H7">
        <v>0.70099999999999996</v>
      </c>
      <c r="I7">
        <v>0.184</v>
      </c>
      <c r="J7">
        <v>0.75</v>
      </c>
      <c r="K7">
        <v>0.430379746835443</v>
      </c>
      <c r="L7">
        <v>0</v>
      </c>
    </row>
    <row r="8" spans="1:12" hidden="1" x14ac:dyDescent="0.35">
      <c r="A8" t="s">
        <v>12</v>
      </c>
      <c r="B8">
        <v>7</v>
      </c>
      <c r="C8" t="s">
        <v>19</v>
      </c>
      <c r="D8">
        <v>3.4756097559999999</v>
      </c>
      <c r="E8">
        <v>0.60975609756097604</v>
      </c>
      <c r="F8">
        <v>49</v>
      </c>
      <c r="G8">
        <v>0.90700000000000003</v>
      </c>
      <c r="H8">
        <v>0.67700000000000005</v>
      </c>
      <c r="I8">
        <v>0.30599999999999999</v>
      </c>
      <c r="J8">
        <v>0.69599999999999995</v>
      </c>
      <c r="K8">
        <v>0.670886075949367</v>
      </c>
      <c r="L8">
        <v>0</v>
      </c>
    </row>
    <row r="9" spans="1:12" hidden="1" x14ac:dyDescent="0.35">
      <c r="A9" t="s">
        <v>12</v>
      </c>
      <c r="B9">
        <v>8</v>
      </c>
      <c r="C9" t="s">
        <v>20</v>
      </c>
      <c r="D9">
        <v>3.0487804879999998</v>
      </c>
      <c r="E9">
        <v>0.60029198202005496</v>
      </c>
      <c r="F9">
        <v>54.5</v>
      </c>
      <c r="G9">
        <v>0.91900000000000004</v>
      </c>
      <c r="H9">
        <v>0.53</v>
      </c>
      <c r="I9">
        <v>8.7999999999999995E-2</v>
      </c>
      <c r="J9">
        <v>0.8</v>
      </c>
      <c r="K9">
        <v>0.316455696202532</v>
      </c>
      <c r="L9">
        <v>0</v>
      </c>
    </row>
    <row r="10" spans="1:12" hidden="1" x14ac:dyDescent="0.35">
      <c r="A10" t="s">
        <v>12</v>
      </c>
      <c r="B10">
        <v>9</v>
      </c>
      <c r="C10" t="s">
        <v>21</v>
      </c>
      <c r="D10">
        <v>3.7682926829999999</v>
      </c>
      <c r="E10">
        <v>0.62568642612809799</v>
      </c>
      <c r="F10">
        <v>51.5</v>
      </c>
      <c r="G10">
        <v>0.90800000000000003</v>
      </c>
      <c r="H10">
        <v>0.86599999999999999</v>
      </c>
      <c r="I10">
        <v>0.35399999999999998</v>
      </c>
      <c r="J10">
        <v>0.92200000000000004</v>
      </c>
      <c r="K10">
        <v>0.227848101265823</v>
      </c>
      <c r="L10">
        <v>0</v>
      </c>
    </row>
    <row r="11" spans="1:12" hidden="1" x14ac:dyDescent="0.35">
      <c r="A11" t="s">
        <v>12</v>
      </c>
      <c r="B11">
        <v>10</v>
      </c>
      <c r="C11" t="s">
        <v>22</v>
      </c>
      <c r="D11">
        <v>3.085365854</v>
      </c>
      <c r="E11">
        <v>0.57390189450655904</v>
      </c>
      <c r="F11">
        <v>47.7</v>
      </c>
      <c r="G11">
        <v>0.90700000000000003</v>
      </c>
      <c r="H11">
        <v>0.5</v>
      </c>
      <c r="I11">
        <v>0.218</v>
      </c>
      <c r="J11">
        <v>0.627</v>
      </c>
      <c r="K11">
        <v>0.531645569620253</v>
      </c>
      <c r="L11">
        <v>0</v>
      </c>
    </row>
    <row r="12" spans="1:12" hidden="1" x14ac:dyDescent="0.35">
      <c r="A12" t="s">
        <v>12</v>
      </c>
      <c r="B12">
        <v>11</v>
      </c>
      <c r="C12" t="s">
        <v>23</v>
      </c>
      <c r="D12">
        <v>3.4756097559999999</v>
      </c>
      <c r="E12">
        <v>0.56317862243978201</v>
      </c>
      <c r="F12">
        <v>48.6</v>
      </c>
      <c r="G12">
        <v>0.90500000000000003</v>
      </c>
      <c r="H12">
        <v>0.628</v>
      </c>
      <c r="I12">
        <v>0.40100000000000002</v>
      </c>
      <c r="J12">
        <v>0.72499999999999998</v>
      </c>
      <c r="K12">
        <v>0.30379746835443</v>
      </c>
      <c r="L12">
        <v>0</v>
      </c>
    </row>
    <row r="13" spans="1:12" hidden="1" x14ac:dyDescent="0.35">
      <c r="A13" t="s">
        <v>12</v>
      </c>
      <c r="B13">
        <v>12</v>
      </c>
      <c r="C13" t="s">
        <v>24</v>
      </c>
      <c r="D13">
        <v>3.2804878049999999</v>
      </c>
      <c r="E13">
        <v>0.59485387808787904</v>
      </c>
      <c r="F13">
        <v>48.5</v>
      </c>
      <c r="G13">
        <v>0.91400000000000003</v>
      </c>
      <c r="H13">
        <v>0.57899999999999996</v>
      </c>
      <c r="I13">
        <v>0.27900000000000003</v>
      </c>
      <c r="J13">
        <v>0.69899999999999995</v>
      </c>
      <c r="K13">
        <v>0.151898734177215</v>
      </c>
      <c r="L13">
        <v>0</v>
      </c>
    </row>
    <row r="14" spans="1:12" hidden="1" x14ac:dyDescent="0.35">
      <c r="A14" t="s">
        <v>12</v>
      </c>
      <c r="B14">
        <v>13</v>
      </c>
      <c r="C14" t="s">
        <v>25</v>
      </c>
      <c r="D14">
        <v>3.292682927</v>
      </c>
      <c r="E14">
        <v>0.55452443254427097</v>
      </c>
      <c r="F14">
        <v>51.4</v>
      </c>
      <c r="G14">
        <v>0.89800000000000002</v>
      </c>
      <c r="H14">
        <v>0.64</v>
      </c>
      <c r="I14">
        <v>0.44900000000000001</v>
      </c>
      <c r="J14">
        <v>0.51300000000000001</v>
      </c>
      <c r="K14">
        <v>0.253164556962025</v>
      </c>
      <c r="L14">
        <v>0</v>
      </c>
    </row>
    <row r="15" spans="1:12" hidden="1" x14ac:dyDescent="0.35">
      <c r="A15" t="s">
        <v>12</v>
      </c>
      <c r="B15">
        <v>14</v>
      </c>
      <c r="C15" t="s">
        <v>26</v>
      </c>
      <c r="D15">
        <v>2.8658536589999999</v>
      </c>
      <c r="E15">
        <v>0.50642371777824602</v>
      </c>
      <c r="F15">
        <v>51.2</v>
      </c>
      <c r="G15">
        <v>0.90100000000000002</v>
      </c>
      <c r="H15">
        <v>0.39</v>
      </c>
      <c r="I15">
        <v>0.32</v>
      </c>
      <c r="J15">
        <v>0.29299999999999998</v>
      </c>
      <c r="K15">
        <v>0.253164556962025</v>
      </c>
      <c r="L15">
        <v>0</v>
      </c>
    </row>
    <row r="16" spans="1:12" hidden="1" x14ac:dyDescent="0.35">
      <c r="A16" t="s">
        <v>12</v>
      </c>
      <c r="B16">
        <v>15</v>
      </c>
      <c r="C16" t="s">
        <v>27</v>
      </c>
      <c r="D16">
        <v>2.8414634150000002</v>
      </c>
      <c r="E16">
        <v>0.47695146057544502</v>
      </c>
      <c r="F16">
        <v>50.8</v>
      </c>
      <c r="G16">
        <v>0.90400000000000003</v>
      </c>
      <c r="H16">
        <v>0.32900000000000001</v>
      </c>
      <c r="I16">
        <v>0.374</v>
      </c>
      <c r="J16">
        <v>0.59</v>
      </c>
      <c r="K16">
        <v>0.126582278481013</v>
      </c>
      <c r="L16">
        <v>0</v>
      </c>
    </row>
    <row r="17" spans="1:12" hidden="1" x14ac:dyDescent="0.35">
      <c r="A17" t="s">
        <v>12</v>
      </c>
      <c r="B17">
        <v>16</v>
      </c>
      <c r="C17" t="s">
        <v>28</v>
      </c>
      <c r="D17">
        <v>3.195121951</v>
      </c>
      <c r="E17">
        <v>0.52342463246507698</v>
      </c>
      <c r="F17">
        <v>55.7</v>
      </c>
      <c r="G17">
        <v>0.90600000000000003</v>
      </c>
      <c r="H17">
        <v>0.59799999999999998</v>
      </c>
      <c r="I17">
        <v>0.41499999999999998</v>
      </c>
      <c r="J17">
        <v>0.66700000000000004</v>
      </c>
      <c r="K17">
        <v>0.873417721518987</v>
      </c>
      <c r="L17">
        <v>0</v>
      </c>
    </row>
    <row r="18" spans="1:12" hidden="1" x14ac:dyDescent="0.35">
      <c r="A18" t="s">
        <v>12</v>
      </c>
      <c r="B18">
        <v>17</v>
      </c>
      <c r="C18" t="s">
        <v>29</v>
      </c>
      <c r="D18">
        <v>3.195121951</v>
      </c>
      <c r="E18">
        <v>0.53552816352004995</v>
      </c>
      <c r="F18">
        <v>57.2</v>
      </c>
      <c r="G18">
        <v>0.90100000000000002</v>
      </c>
      <c r="H18">
        <v>0.59099999999999997</v>
      </c>
      <c r="I18">
        <v>0.38100000000000001</v>
      </c>
      <c r="J18">
        <v>0.39700000000000002</v>
      </c>
      <c r="K18">
        <v>0.240506329113924</v>
      </c>
      <c r="L18">
        <v>0</v>
      </c>
    </row>
    <row r="19" spans="1:12" hidden="1" x14ac:dyDescent="0.35">
      <c r="A19" t="s">
        <v>12</v>
      </c>
      <c r="B19">
        <v>18</v>
      </c>
      <c r="C19" t="s">
        <v>30</v>
      </c>
      <c r="D19">
        <v>3</v>
      </c>
      <c r="E19">
        <v>0.53141547459100602</v>
      </c>
      <c r="F19">
        <v>51.7</v>
      </c>
      <c r="G19">
        <v>0.91200000000000003</v>
      </c>
      <c r="H19">
        <v>0.46300000000000002</v>
      </c>
      <c r="I19">
        <v>0.313</v>
      </c>
      <c r="J19">
        <v>0.48499999999999999</v>
      </c>
      <c r="K19">
        <v>0.291139240506329</v>
      </c>
      <c r="L19">
        <v>0</v>
      </c>
    </row>
    <row r="20" spans="1:12" hidden="1" x14ac:dyDescent="0.35">
      <c r="A20" t="s">
        <v>12</v>
      </c>
      <c r="B20">
        <v>19</v>
      </c>
      <c r="C20" t="s">
        <v>31</v>
      </c>
      <c r="D20">
        <v>3.0487804879999998</v>
      </c>
      <c r="E20">
        <v>0.49403599743891702</v>
      </c>
      <c r="F20">
        <v>52.3</v>
      </c>
      <c r="G20">
        <v>0.90700000000000003</v>
      </c>
      <c r="H20">
        <v>0.433</v>
      </c>
      <c r="I20">
        <v>0.42199999999999999</v>
      </c>
      <c r="J20">
        <v>0.40500000000000003</v>
      </c>
      <c r="K20">
        <v>0.392405063291139</v>
      </c>
      <c r="L20">
        <v>0</v>
      </c>
    </row>
    <row r="21" spans="1:12" hidden="1" x14ac:dyDescent="0.35">
      <c r="A21" t="s">
        <v>12</v>
      </c>
      <c r="B21">
        <v>20</v>
      </c>
      <c r="C21" t="s">
        <v>32</v>
      </c>
      <c r="D21">
        <v>2.792682927</v>
      </c>
      <c r="E21">
        <v>0.49565225610101898</v>
      </c>
      <c r="F21">
        <v>56.3</v>
      </c>
      <c r="G21">
        <v>0.91300000000000003</v>
      </c>
      <c r="H21">
        <v>0.38400000000000001</v>
      </c>
      <c r="I21">
        <v>0.29899999999999999</v>
      </c>
      <c r="J21">
        <v>0.75800000000000001</v>
      </c>
      <c r="K21">
        <v>0.405063291139241</v>
      </c>
      <c r="L21">
        <v>0</v>
      </c>
    </row>
    <row r="22" spans="1:12" hidden="1" x14ac:dyDescent="0.35">
      <c r="A22" t="s">
        <v>12</v>
      </c>
      <c r="B22">
        <v>21</v>
      </c>
      <c r="C22" t="s">
        <v>33</v>
      </c>
      <c r="D22">
        <v>3.1463414630000002</v>
      </c>
      <c r="E22">
        <v>0.43007501308367702</v>
      </c>
      <c r="F22">
        <v>60.2</v>
      </c>
      <c r="G22">
        <v>0.89700000000000002</v>
      </c>
      <c r="H22">
        <v>0.57299999999999995</v>
      </c>
      <c r="I22">
        <v>0.71399999999999997</v>
      </c>
      <c r="J22">
        <v>0.44500000000000001</v>
      </c>
      <c r="K22">
        <v>0.253164556962025</v>
      </c>
      <c r="L22">
        <v>0</v>
      </c>
    </row>
    <row r="23" spans="1:12" hidden="1" x14ac:dyDescent="0.35">
      <c r="A23" t="s">
        <v>12</v>
      </c>
      <c r="B23">
        <v>22</v>
      </c>
      <c r="C23" t="s">
        <v>34</v>
      </c>
      <c r="D23">
        <v>2.5731707319999999</v>
      </c>
      <c r="E23">
        <v>0.39524333729869898</v>
      </c>
      <c r="F23">
        <v>60.1</v>
      </c>
      <c r="G23">
        <v>0.9</v>
      </c>
      <c r="H23">
        <v>0.25600000000000001</v>
      </c>
      <c r="I23">
        <v>0.48299999999999998</v>
      </c>
      <c r="J23">
        <v>0.68500000000000005</v>
      </c>
      <c r="K23">
        <v>0.392405063291139</v>
      </c>
      <c r="L23">
        <v>0</v>
      </c>
    </row>
    <row r="24" spans="1:12" hidden="1" x14ac:dyDescent="0.35">
      <c r="A24" t="s">
        <v>12</v>
      </c>
      <c r="B24">
        <v>23</v>
      </c>
      <c r="C24" t="s">
        <v>35</v>
      </c>
      <c r="D24">
        <v>2.7804878049999999</v>
      </c>
      <c r="E24">
        <v>0.42352941176470599</v>
      </c>
      <c r="F24">
        <v>59.8</v>
      </c>
      <c r="G24">
        <v>0.90200000000000002</v>
      </c>
      <c r="H24">
        <v>0.34100000000000003</v>
      </c>
      <c r="I24">
        <v>0.49</v>
      </c>
      <c r="J24">
        <v>0.63500000000000001</v>
      </c>
      <c r="K24">
        <v>0.455696202531646</v>
      </c>
      <c r="L24">
        <v>0</v>
      </c>
    </row>
    <row r="25" spans="1:12" hidden="1" x14ac:dyDescent="0.35">
      <c r="A25" t="s">
        <v>12</v>
      </c>
      <c r="B25">
        <v>24</v>
      </c>
      <c r="C25" t="s">
        <v>36</v>
      </c>
      <c r="D25">
        <v>2.792682927</v>
      </c>
      <c r="E25">
        <v>0.38899933239373902</v>
      </c>
      <c r="F25">
        <v>46</v>
      </c>
      <c r="G25">
        <v>0.89400000000000002</v>
      </c>
      <c r="H25">
        <v>0.34100000000000003</v>
      </c>
      <c r="I25">
        <v>0.70099999999999996</v>
      </c>
      <c r="J25">
        <v>0.45800000000000002</v>
      </c>
      <c r="K25">
        <v>0.30379746835443</v>
      </c>
      <c r="L25">
        <v>0</v>
      </c>
    </row>
    <row r="26" spans="1:12" hidden="1" x14ac:dyDescent="0.35">
      <c r="A26" t="s">
        <v>12</v>
      </c>
      <c r="B26">
        <v>25</v>
      </c>
      <c r="C26" t="s">
        <v>37</v>
      </c>
      <c r="D26">
        <v>2.7682926829999999</v>
      </c>
      <c r="E26">
        <v>0.34904388704116401</v>
      </c>
      <c r="F26">
        <v>43.9</v>
      </c>
      <c r="G26">
        <v>0.88800000000000001</v>
      </c>
      <c r="H26">
        <v>0.32300000000000001</v>
      </c>
      <c r="I26">
        <v>0.89800000000000002</v>
      </c>
      <c r="J26">
        <v>0.2</v>
      </c>
      <c r="K26">
        <v>0.405063291139241</v>
      </c>
      <c r="L26">
        <v>0</v>
      </c>
    </row>
    <row r="27" spans="1:12" hidden="1" x14ac:dyDescent="0.35">
      <c r="A27" t="s">
        <v>12</v>
      </c>
      <c r="B27">
        <v>26</v>
      </c>
      <c r="C27" t="s">
        <v>38</v>
      </c>
      <c r="D27">
        <v>2.7317073170000001</v>
      </c>
      <c r="E27">
        <v>0.41857981847303799</v>
      </c>
      <c r="F27">
        <v>44.3</v>
      </c>
      <c r="G27">
        <v>0.90400000000000003</v>
      </c>
      <c r="H27">
        <v>0.29299999999999998</v>
      </c>
      <c r="I27">
        <v>0.57099999999999995</v>
      </c>
      <c r="J27">
        <v>0.53</v>
      </c>
      <c r="K27">
        <v>0.544303797468354</v>
      </c>
      <c r="L27">
        <v>0</v>
      </c>
    </row>
    <row r="28" spans="1:12" hidden="1" x14ac:dyDescent="0.35">
      <c r="A28" t="s">
        <v>12</v>
      </c>
      <c r="B28">
        <v>27</v>
      </c>
      <c r="C28" t="s">
        <v>39</v>
      </c>
      <c r="D28">
        <v>2.597560976</v>
      </c>
      <c r="E28">
        <v>0.35199782760493398</v>
      </c>
      <c r="F28">
        <v>44.8</v>
      </c>
      <c r="G28">
        <v>0.89300000000000002</v>
      </c>
      <c r="H28">
        <v>0.20100000000000001</v>
      </c>
      <c r="I28">
        <v>0.70099999999999996</v>
      </c>
      <c r="J28">
        <v>0.38300000000000001</v>
      </c>
      <c r="K28">
        <v>0.278481012658228</v>
      </c>
      <c r="L28">
        <v>0</v>
      </c>
    </row>
    <row r="29" spans="1:12" hidden="1" x14ac:dyDescent="0.35">
      <c r="A29" t="s">
        <v>12</v>
      </c>
      <c r="B29">
        <v>28</v>
      </c>
      <c r="C29" t="s">
        <v>40</v>
      </c>
      <c r="D29">
        <v>2.9878048779999999</v>
      </c>
      <c r="E29">
        <v>0.39691461293799501</v>
      </c>
      <c r="F29">
        <v>53</v>
      </c>
      <c r="G29">
        <v>0.88100000000000001</v>
      </c>
      <c r="H29">
        <v>0.48199999999999998</v>
      </c>
      <c r="I29">
        <v>0.78900000000000003</v>
      </c>
      <c r="J29">
        <v>0.39500000000000002</v>
      </c>
      <c r="K29">
        <v>0.30379746835443</v>
      </c>
      <c r="L29">
        <v>0</v>
      </c>
    </row>
    <row r="30" spans="1:12" hidden="1" x14ac:dyDescent="0.35">
      <c r="A30" t="s">
        <v>12</v>
      </c>
      <c r="B30">
        <v>29</v>
      </c>
      <c r="C30" t="s">
        <v>41</v>
      </c>
      <c r="D30">
        <v>2.5609756099999998</v>
      </c>
      <c r="E30">
        <v>0.337837837837838</v>
      </c>
      <c r="F30">
        <v>52.4</v>
      </c>
      <c r="G30">
        <v>0.89400000000000002</v>
      </c>
      <c r="H30">
        <v>0.27400000000000002</v>
      </c>
      <c r="I30">
        <v>0.73499999999999999</v>
      </c>
      <c r="J30">
        <v>0.13900000000000001</v>
      </c>
      <c r="K30">
        <v>0.417721518987342</v>
      </c>
      <c r="L30">
        <v>0</v>
      </c>
    </row>
    <row r="31" spans="1:12" hidden="1" x14ac:dyDescent="0.35">
      <c r="A31" t="s">
        <v>12</v>
      </c>
      <c r="B31">
        <v>30</v>
      </c>
      <c r="C31" t="s">
        <v>42</v>
      </c>
      <c r="D31">
        <v>2.597560976</v>
      </c>
      <c r="E31">
        <v>0.36</v>
      </c>
      <c r="F31">
        <v>53.2</v>
      </c>
      <c r="G31">
        <v>0.88</v>
      </c>
      <c r="H31">
        <v>0.28699999999999998</v>
      </c>
      <c r="I31">
        <v>0.65300000000000002</v>
      </c>
      <c r="J31">
        <v>0.17799999999999999</v>
      </c>
      <c r="K31">
        <v>0.354430379746835</v>
      </c>
      <c r="L31">
        <v>0</v>
      </c>
    </row>
    <row r="32" spans="1:12" hidden="1" x14ac:dyDescent="0.35">
      <c r="A32" t="s">
        <v>12</v>
      </c>
      <c r="B32">
        <v>31</v>
      </c>
      <c r="C32" t="s">
        <v>43</v>
      </c>
      <c r="D32">
        <v>2.5121951220000001</v>
      </c>
      <c r="E32">
        <v>0.30769230769230799</v>
      </c>
      <c r="F32">
        <v>54.8</v>
      </c>
      <c r="G32">
        <v>0.89400000000000002</v>
      </c>
      <c r="H32">
        <v>0.21299999999999999</v>
      </c>
      <c r="I32">
        <v>0.78200000000000003</v>
      </c>
      <c r="J32">
        <v>0.158</v>
      </c>
      <c r="K32">
        <v>0.569620253164557</v>
      </c>
      <c r="L32">
        <v>0</v>
      </c>
    </row>
    <row r="33" spans="1:12" hidden="1" x14ac:dyDescent="0.35">
      <c r="A33" t="s">
        <v>12</v>
      </c>
      <c r="B33">
        <v>32</v>
      </c>
      <c r="C33" t="s">
        <v>44</v>
      </c>
      <c r="D33">
        <v>2.6585365849999998</v>
      </c>
      <c r="E33">
        <v>0.32107990514346701</v>
      </c>
      <c r="F33">
        <v>47.9</v>
      </c>
      <c r="G33">
        <v>0.88800000000000001</v>
      </c>
      <c r="H33">
        <v>0.28000000000000003</v>
      </c>
      <c r="I33">
        <v>0.95199999999999996</v>
      </c>
      <c r="J33">
        <v>0.17199999999999999</v>
      </c>
      <c r="K33">
        <v>0.569620253164557</v>
      </c>
      <c r="L33">
        <v>0</v>
      </c>
    </row>
    <row r="34" spans="1:12" hidden="1" x14ac:dyDescent="0.35">
      <c r="A34" t="s">
        <v>45</v>
      </c>
      <c r="B34">
        <v>1</v>
      </c>
      <c r="C34" t="s">
        <v>22</v>
      </c>
      <c r="D34">
        <v>3.6707317069999998</v>
      </c>
      <c r="E34">
        <v>0.74953051448993602</v>
      </c>
      <c r="F34">
        <v>45</v>
      </c>
      <c r="G34">
        <v>0.92900000000000005</v>
      </c>
      <c r="H34">
        <v>0.77400000000000002</v>
      </c>
      <c r="I34">
        <v>0</v>
      </c>
      <c r="J34">
        <v>0.86799999999999999</v>
      </c>
      <c r="K34">
        <v>0.607594936708861</v>
      </c>
      <c r="L34">
        <v>0</v>
      </c>
    </row>
    <row r="35" spans="1:12" hidden="1" x14ac:dyDescent="0.35">
      <c r="A35" t="s">
        <v>45</v>
      </c>
      <c r="B35">
        <v>2</v>
      </c>
      <c r="C35" t="s">
        <v>15</v>
      </c>
      <c r="D35">
        <v>3.195121951</v>
      </c>
      <c r="E35">
        <v>0.60884836443624502</v>
      </c>
      <c r="F35">
        <v>48.3</v>
      </c>
      <c r="G35">
        <v>0.90200000000000002</v>
      </c>
      <c r="H35">
        <v>0.54900000000000004</v>
      </c>
      <c r="I35">
        <v>0.21099999999999999</v>
      </c>
      <c r="J35">
        <v>0.68400000000000005</v>
      </c>
      <c r="K35">
        <v>0.227848101265823</v>
      </c>
      <c r="L35">
        <v>0</v>
      </c>
    </row>
    <row r="36" spans="1:12" hidden="1" x14ac:dyDescent="0.35">
      <c r="A36" t="s">
        <v>45</v>
      </c>
      <c r="B36">
        <v>3</v>
      </c>
      <c r="C36" t="s">
        <v>40</v>
      </c>
      <c r="D36">
        <v>3.5243902440000001</v>
      </c>
      <c r="E36">
        <v>0.62889951432551505</v>
      </c>
      <c r="F36">
        <v>49</v>
      </c>
      <c r="G36">
        <v>0.90400000000000003</v>
      </c>
      <c r="H36">
        <v>0.68300000000000005</v>
      </c>
      <c r="I36">
        <v>0.23100000000000001</v>
      </c>
      <c r="J36">
        <v>0.69599999999999995</v>
      </c>
      <c r="K36">
        <v>0.253164556962025</v>
      </c>
      <c r="L36">
        <v>0</v>
      </c>
    </row>
    <row r="37" spans="1:12" x14ac:dyDescent="0.35">
      <c r="A37" t="s">
        <v>45</v>
      </c>
      <c r="B37">
        <v>4</v>
      </c>
      <c r="C37" t="s">
        <v>29</v>
      </c>
      <c r="D37" s="8">
        <v>3.2560975609999998</v>
      </c>
      <c r="E37" s="9">
        <v>0.58474826517053002</v>
      </c>
      <c r="F37" s="3">
        <v>48.9</v>
      </c>
      <c r="G37" s="1">
        <v>0.91100000000000003</v>
      </c>
      <c r="H37" s="1">
        <v>0.59099999999999997</v>
      </c>
      <c r="I37" s="1">
        <v>0.27900000000000003</v>
      </c>
      <c r="J37" s="1">
        <v>0.46300000000000002</v>
      </c>
      <c r="K37" s="2">
        <v>0.189873417721519</v>
      </c>
      <c r="L37" s="1">
        <v>1</v>
      </c>
    </row>
    <row r="38" spans="1:12" hidden="1" x14ac:dyDescent="0.35">
      <c r="A38" t="s">
        <v>45</v>
      </c>
      <c r="B38">
        <v>5</v>
      </c>
      <c r="C38" t="s">
        <v>16</v>
      </c>
      <c r="D38">
        <v>3.3902439019999999</v>
      </c>
      <c r="E38">
        <v>0.61490722765029804</v>
      </c>
      <c r="F38">
        <v>51.6</v>
      </c>
      <c r="G38">
        <v>0.90900000000000003</v>
      </c>
      <c r="H38">
        <v>0.67100000000000004</v>
      </c>
      <c r="I38">
        <v>0.23100000000000001</v>
      </c>
      <c r="J38">
        <v>0.81200000000000006</v>
      </c>
      <c r="K38">
        <v>0.341772151898734</v>
      </c>
      <c r="L38">
        <v>0</v>
      </c>
    </row>
    <row r="39" spans="1:12" hidden="1" x14ac:dyDescent="0.35">
      <c r="A39" t="s">
        <v>45</v>
      </c>
      <c r="B39">
        <v>6</v>
      </c>
      <c r="C39" t="s">
        <v>14</v>
      </c>
      <c r="D39">
        <v>3.3414634150000002</v>
      </c>
      <c r="E39">
        <v>0.60154641240334905</v>
      </c>
      <c r="F39">
        <v>53.7</v>
      </c>
      <c r="G39">
        <v>0.91200000000000003</v>
      </c>
      <c r="H39">
        <v>0.64600000000000002</v>
      </c>
      <c r="I39">
        <v>0.23100000000000001</v>
      </c>
      <c r="J39">
        <v>0.66300000000000003</v>
      </c>
      <c r="K39">
        <v>0.316455696202532</v>
      </c>
      <c r="L39">
        <v>0</v>
      </c>
    </row>
    <row r="40" spans="1:12" hidden="1" x14ac:dyDescent="0.35">
      <c r="A40" t="s">
        <v>45</v>
      </c>
      <c r="B40">
        <v>7</v>
      </c>
      <c r="C40" t="s">
        <v>23</v>
      </c>
      <c r="D40">
        <v>3.9634146339999998</v>
      </c>
      <c r="E40">
        <v>0.61710903768966097</v>
      </c>
      <c r="F40">
        <v>50.6</v>
      </c>
      <c r="G40">
        <v>0.9</v>
      </c>
      <c r="H40">
        <v>0.90900000000000003</v>
      </c>
      <c r="I40">
        <v>0.42899999999999999</v>
      </c>
      <c r="J40">
        <v>0.86199999999999999</v>
      </c>
      <c r="K40">
        <v>0.367088607594937</v>
      </c>
      <c r="L40">
        <v>0</v>
      </c>
    </row>
    <row r="41" spans="1:12" hidden="1" x14ac:dyDescent="0.35">
      <c r="A41" t="s">
        <v>45</v>
      </c>
      <c r="B41">
        <v>8</v>
      </c>
      <c r="C41" t="s">
        <v>27</v>
      </c>
      <c r="D41">
        <v>3.4268292680000001</v>
      </c>
      <c r="E41">
        <v>0.63074944482609896</v>
      </c>
      <c r="F41">
        <v>46</v>
      </c>
      <c r="G41">
        <v>0.91200000000000003</v>
      </c>
      <c r="H41">
        <v>0.67100000000000004</v>
      </c>
      <c r="I41">
        <v>0.26500000000000001</v>
      </c>
      <c r="J41">
        <v>0.83299999999999996</v>
      </c>
      <c r="K41">
        <v>0.265822784810127</v>
      </c>
      <c r="L41">
        <v>0</v>
      </c>
    </row>
    <row r="42" spans="1:12" hidden="1" x14ac:dyDescent="0.35">
      <c r="A42" t="s">
        <v>45</v>
      </c>
      <c r="B42">
        <v>9</v>
      </c>
      <c r="C42" t="s">
        <v>20</v>
      </c>
      <c r="D42">
        <v>3.3292682930000002</v>
      </c>
      <c r="E42">
        <v>0.61500185666542895</v>
      </c>
      <c r="F42">
        <v>46.1</v>
      </c>
      <c r="G42">
        <v>0.91</v>
      </c>
      <c r="H42">
        <v>0.59799999999999998</v>
      </c>
      <c r="I42">
        <v>0.20399999999999999</v>
      </c>
      <c r="J42">
        <v>0.72199999999999998</v>
      </c>
      <c r="K42">
        <v>0.240506329113924</v>
      </c>
      <c r="L42">
        <v>0</v>
      </c>
    </row>
    <row r="43" spans="1:12" hidden="1" x14ac:dyDescent="0.35">
      <c r="A43" t="s">
        <v>45</v>
      </c>
      <c r="B43">
        <v>10</v>
      </c>
      <c r="C43" t="s">
        <v>26</v>
      </c>
      <c r="D43">
        <v>3.3414634150000002</v>
      </c>
      <c r="E43">
        <v>0.53782451716430701</v>
      </c>
      <c r="F43">
        <v>46.5</v>
      </c>
      <c r="G43">
        <v>0.88900000000000001</v>
      </c>
      <c r="H43">
        <v>0.59799999999999998</v>
      </c>
      <c r="I43">
        <v>0.47599999999999998</v>
      </c>
      <c r="J43">
        <v>0.57999999999999996</v>
      </c>
      <c r="K43">
        <v>0.367088607594937</v>
      </c>
      <c r="L43">
        <v>0</v>
      </c>
    </row>
    <row r="44" spans="1:12" hidden="1" x14ac:dyDescent="0.35">
      <c r="A44" t="s">
        <v>45</v>
      </c>
      <c r="B44">
        <v>11</v>
      </c>
      <c r="C44" t="s">
        <v>17</v>
      </c>
      <c r="D44">
        <v>2.914634146</v>
      </c>
      <c r="E44">
        <v>0.54358500980186897</v>
      </c>
      <c r="F44">
        <v>48.6</v>
      </c>
      <c r="G44">
        <v>0.91400000000000003</v>
      </c>
      <c r="H44">
        <v>0.372</v>
      </c>
      <c r="I44">
        <v>0.19</v>
      </c>
      <c r="J44">
        <v>0.66</v>
      </c>
      <c r="K44">
        <v>0.708860759493671</v>
      </c>
      <c r="L44">
        <v>0</v>
      </c>
    </row>
    <row r="45" spans="1:12" hidden="1" x14ac:dyDescent="0.35">
      <c r="A45" t="s">
        <v>45</v>
      </c>
      <c r="B45">
        <v>12</v>
      </c>
      <c r="C45" t="s">
        <v>42</v>
      </c>
      <c r="D45">
        <v>3.5243902440000001</v>
      </c>
      <c r="E45">
        <v>0.56807345689508604</v>
      </c>
      <c r="F45">
        <v>52.5</v>
      </c>
      <c r="G45">
        <v>0.88600000000000001</v>
      </c>
      <c r="H45">
        <v>0.75</v>
      </c>
      <c r="I45">
        <v>0.46899999999999997</v>
      </c>
      <c r="J45">
        <v>0.41899999999999998</v>
      </c>
      <c r="K45">
        <v>0.354430379746835</v>
      </c>
      <c r="L45">
        <v>0</v>
      </c>
    </row>
    <row r="46" spans="1:12" hidden="1" x14ac:dyDescent="0.35">
      <c r="A46" t="s">
        <v>45</v>
      </c>
      <c r="B46">
        <v>13</v>
      </c>
      <c r="C46" t="s">
        <v>19</v>
      </c>
      <c r="D46">
        <v>3.414634146</v>
      </c>
      <c r="E46">
        <v>0.55248618784530401</v>
      </c>
      <c r="F46">
        <v>52.2</v>
      </c>
      <c r="G46">
        <v>0.90200000000000002</v>
      </c>
      <c r="H46">
        <v>0.71299999999999997</v>
      </c>
      <c r="I46">
        <v>0.45600000000000002</v>
      </c>
      <c r="J46">
        <v>0.71499999999999997</v>
      </c>
      <c r="K46">
        <v>0.810126582278481</v>
      </c>
      <c r="L46">
        <v>0</v>
      </c>
    </row>
    <row r="47" spans="1:12" hidden="1" x14ac:dyDescent="0.35">
      <c r="A47" t="s">
        <v>45</v>
      </c>
      <c r="B47">
        <v>14</v>
      </c>
      <c r="C47" t="s">
        <v>31</v>
      </c>
      <c r="D47">
        <v>3</v>
      </c>
      <c r="E47">
        <v>0.54670617569472002</v>
      </c>
      <c r="F47">
        <v>55.6</v>
      </c>
      <c r="G47">
        <v>0.91</v>
      </c>
      <c r="H47">
        <v>0.51800000000000002</v>
      </c>
      <c r="I47">
        <v>0.245</v>
      </c>
      <c r="J47">
        <v>0.59899999999999998</v>
      </c>
      <c r="K47">
        <v>0.354430379746835</v>
      </c>
      <c r="L47">
        <v>0</v>
      </c>
    </row>
    <row r="48" spans="1:12" hidden="1" x14ac:dyDescent="0.35">
      <c r="A48" t="s">
        <v>45</v>
      </c>
      <c r="B48">
        <v>15</v>
      </c>
      <c r="C48" t="s">
        <v>18</v>
      </c>
      <c r="D48">
        <v>3.1463414630000002</v>
      </c>
      <c r="E48">
        <v>0.52177184827510503</v>
      </c>
      <c r="F48">
        <v>54.5</v>
      </c>
      <c r="G48">
        <v>0.89</v>
      </c>
      <c r="H48">
        <v>0.53700000000000003</v>
      </c>
      <c r="I48">
        <v>0.38100000000000001</v>
      </c>
      <c r="J48">
        <v>0.625</v>
      </c>
      <c r="K48">
        <v>0.443037974683544</v>
      </c>
      <c r="L48">
        <v>0</v>
      </c>
    </row>
    <row r="49" spans="1:12" hidden="1" x14ac:dyDescent="0.35">
      <c r="A49" t="s">
        <v>45</v>
      </c>
      <c r="B49">
        <v>16</v>
      </c>
      <c r="C49" t="s">
        <v>32</v>
      </c>
      <c r="D49">
        <v>2.9512195120000002</v>
      </c>
      <c r="E49">
        <v>0.55430513094753597</v>
      </c>
      <c r="F49">
        <v>56.6</v>
      </c>
      <c r="G49">
        <v>0.91500000000000004</v>
      </c>
      <c r="H49">
        <v>0.53</v>
      </c>
      <c r="I49">
        <v>0.224</v>
      </c>
      <c r="J49">
        <v>0.47099999999999997</v>
      </c>
      <c r="K49">
        <v>0.291139240506329</v>
      </c>
      <c r="L49">
        <v>0</v>
      </c>
    </row>
    <row r="50" spans="1:12" hidden="1" x14ac:dyDescent="0.35">
      <c r="A50" t="s">
        <v>45</v>
      </c>
      <c r="B50">
        <v>17</v>
      </c>
      <c r="C50" t="s">
        <v>13</v>
      </c>
      <c r="D50">
        <v>3.5121951220000001</v>
      </c>
      <c r="E50">
        <v>0.52854812398042395</v>
      </c>
      <c r="F50">
        <v>54.3</v>
      </c>
      <c r="G50">
        <v>0.89600000000000002</v>
      </c>
      <c r="H50">
        <v>0.76800000000000002</v>
      </c>
      <c r="I50">
        <v>0.60499999999999998</v>
      </c>
      <c r="J50">
        <v>0.499</v>
      </c>
      <c r="K50">
        <v>0.822784810126582</v>
      </c>
      <c r="L50">
        <v>0</v>
      </c>
    </row>
    <row r="51" spans="1:12" hidden="1" x14ac:dyDescent="0.35">
      <c r="A51" t="s">
        <v>45</v>
      </c>
      <c r="B51">
        <v>18</v>
      </c>
      <c r="C51" t="s">
        <v>28</v>
      </c>
      <c r="D51">
        <v>2.7195121950000001</v>
      </c>
      <c r="E51">
        <v>0.47170026084894501</v>
      </c>
      <c r="F51">
        <v>56.2</v>
      </c>
      <c r="G51">
        <v>0.91400000000000003</v>
      </c>
      <c r="H51">
        <v>0.317</v>
      </c>
      <c r="I51">
        <v>0.30599999999999999</v>
      </c>
      <c r="J51">
        <v>0.54600000000000004</v>
      </c>
      <c r="K51">
        <v>0.493670886075949</v>
      </c>
      <c r="L51">
        <v>0</v>
      </c>
    </row>
    <row r="52" spans="1:12" hidden="1" x14ac:dyDescent="0.35">
      <c r="A52" t="s">
        <v>45</v>
      </c>
      <c r="B52">
        <v>19</v>
      </c>
      <c r="C52" t="s">
        <v>36</v>
      </c>
      <c r="D52">
        <v>3.5731707319999999</v>
      </c>
      <c r="E52">
        <v>0.49322065058773501</v>
      </c>
      <c r="F52">
        <v>55.4</v>
      </c>
      <c r="G52">
        <v>0.89</v>
      </c>
      <c r="H52">
        <v>0.72599999999999998</v>
      </c>
      <c r="I52">
        <v>0.68</v>
      </c>
      <c r="J52">
        <v>0.41899999999999998</v>
      </c>
      <c r="K52">
        <v>0.215189873417722</v>
      </c>
      <c r="L52">
        <v>0</v>
      </c>
    </row>
    <row r="53" spans="1:12" hidden="1" x14ac:dyDescent="0.35">
      <c r="A53" t="s">
        <v>45</v>
      </c>
      <c r="B53">
        <v>20</v>
      </c>
      <c r="C53" t="s">
        <v>24</v>
      </c>
      <c r="D53">
        <v>3.1829268289999999</v>
      </c>
      <c r="E53">
        <v>0.49618326170879201</v>
      </c>
      <c r="F53">
        <v>54.1</v>
      </c>
      <c r="G53">
        <v>0.90200000000000002</v>
      </c>
      <c r="H53">
        <v>0.56699999999999995</v>
      </c>
      <c r="I53">
        <v>0.51700000000000002</v>
      </c>
      <c r="J53">
        <v>0.56899999999999995</v>
      </c>
      <c r="K53">
        <v>0.367088607594937</v>
      </c>
      <c r="L53">
        <v>0</v>
      </c>
    </row>
    <row r="54" spans="1:12" hidden="1" x14ac:dyDescent="0.35">
      <c r="A54" t="s">
        <v>45</v>
      </c>
      <c r="B54">
        <v>21</v>
      </c>
      <c r="C54" t="s">
        <v>38</v>
      </c>
      <c r="D54">
        <v>3.1585365849999998</v>
      </c>
      <c r="E54">
        <v>0.47921503632635898</v>
      </c>
      <c r="F54">
        <v>52.3</v>
      </c>
      <c r="G54">
        <v>0.89500000000000002</v>
      </c>
      <c r="H54">
        <v>0.56100000000000005</v>
      </c>
      <c r="I54">
        <v>0.55800000000000005</v>
      </c>
      <c r="J54">
        <v>0.66500000000000004</v>
      </c>
      <c r="K54">
        <v>0.848101265822785</v>
      </c>
      <c r="L54">
        <v>0</v>
      </c>
    </row>
    <row r="55" spans="1:12" hidden="1" x14ac:dyDescent="0.35">
      <c r="A55" t="s">
        <v>45</v>
      </c>
      <c r="B55">
        <v>22</v>
      </c>
      <c r="C55" t="s">
        <v>30</v>
      </c>
      <c r="D55">
        <v>3.292682927</v>
      </c>
      <c r="E55">
        <v>0.45416033292631303</v>
      </c>
      <c r="F55">
        <v>54.4</v>
      </c>
      <c r="G55">
        <v>0.88300000000000001</v>
      </c>
      <c r="H55">
        <v>0.60399999999999998</v>
      </c>
      <c r="I55">
        <v>0.70099999999999996</v>
      </c>
      <c r="J55">
        <v>0.34599999999999997</v>
      </c>
      <c r="K55">
        <v>0.417721518987342</v>
      </c>
      <c r="L55">
        <v>0</v>
      </c>
    </row>
    <row r="56" spans="1:12" hidden="1" x14ac:dyDescent="0.35">
      <c r="A56" t="s">
        <v>45</v>
      </c>
      <c r="B56">
        <v>23</v>
      </c>
      <c r="C56" t="s">
        <v>21</v>
      </c>
      <c r="D56">
        <v>3.1707317069999998</v>
      </c>
      <c r="E56">
        <v>0.43221400987186998</v>
      </c>
      <c r="F56">
        <v>53.8</v>
      </c>
      <c r="G56">
        <v>0.88800000000000001</v>
      </c>
      <c r="H56">
        <v>0.49399999999999999</v>
      </c>
      <c r="I56">
        <v>0.69399999999999995</v>
      </c>
      <c r="J56">
        <v>0.255</v>
      </c>
      <c r="K56">
        <v>0.265822784810127</v>
      </c>
      <c r="L56">
        <v>0</v>
      </c>
    </row>
    <row r="57" spans="1:12" hidden="1" x14ac:dyDescent="0.35">
      <c r="A57" t="s">
        <v>45</v>
      </c>
      <c r="B57">
        <v>24</v>
      </c>
      <c r="C57" t="s">
        <v>25</v>
      </c>
      <c r="D57">
        <v>3.085365854</v>
      </c>
      <c r="E57">
        <v>0.484439567093014</v>
      </c>
      <c r="F57">
        <v>51.3</v>
      </c>
      <c r="G57">
        <v>0.89800000000000002</v>
      </c>
      <c r="H57">
        <v>0.51800000000000002</v>
      </c>
      <c r="I57">
        <v>0.49</v>
      </c>
      <c r="J57">
        <v>0.64700000000000002</v>
      </c>
      <c r="K57">
        <v>0.379746835443038</v>
      </c>
      <c r="L57">
        <v>0</v>
      </c>
    </row>
    <row r="58" spans="1:12" hidden="1" x14ac:dyDescent="0.35">
      <c r="A58" t="s">
        <v>45</v>
      </c>
      <c r="B58">
        <v>25</v>
      </c>
      <c r="C58" t="s">
        <v>37</v>
      </c>
      <c r="D58">
        <v>2.8902439019999999</v>
      </c>
      <c r="E58">
        <v>0.42618783859659798</v>
      </c>
      <c r="F58">
        <v>49.6</v>
      </c>
      <c r="G58">
        <v>0.89</v>
      </c>
      <c r="H58">
        <v>0.40200000000000002</v>
      </c>
      <c r="I58">
        <v>0.60499999999999998</v>
      </c>
      <c r="J58">
        <v>0.52100000000000002</v>
      </c>
      <c r="K58">
        <v>0.30379746835443</v>
      </c>
      <c r="L58">
        <v>0</v>
      </c>
    </row>
    <row r="59" spans="1:12" hidden="1" x14ac:dyDescent="0.35">
      <c r="A59" t="s">
        <v>45</v>
      </c>
      <c r="B59">
        <v>26</v>
      </c>
      <c r="C59" t="s">
        <v>41</v>
      </c>
      <c r="D59">
        <v>2.6829268289999999</v>
      </c>
      <c r="E59">
        <v>0.38851785255587001</v>
      </c>
      <c r="F59">
        <v>50.3</v>
      </c>
      <c r="G59">
        <v>0.89300000000000002</v>
      </c>
      <c r="H59">
        <v>0.28000000000000003</v>
      </c>
      <c r="I59">
        <v>0.57799999999999996</v>
      </c>
      <c r="J59">
        <v>0.20599999999999999</v>
      </c>
      <c r="K59">
        <v>0.59493670886076</v>
      </c>
      <c r="L59">
        <v>0</v>
      </c>
    </row>
    <row r="60" spans="1:12" hidden="1" x14ac:dyDescent="0.35">
      <c r="A60" t="s">
        <v>45</v>
      </c>
      <c r="B60">
        <v>27</v>
      </c>
      <c r="C60" t="s">
        <v>43</v>
      </c>
      <c r="D60">
        <v>2.7439024390000002</v>
      </c>
      <c r="E60">
        <v>0.36778060297856902</v>
      </c>
      <c r="F60">
        <v>48</v>
      </c>
      <c r="G60">
        <v>0.89700000000000002</v>
      </c>
      <c r="H60">
        <v>0.28699999999999998</v>
      </c>
      <c r="I60">
        <v>0.70099999999999996</v>
      </c>
      <c r="J60">
        <v>0.318</v>
      </c>
      <c r="K60">
        <v>0.784810126582279</v>
      </c>
      <c r="L60">
        <v>0</v>
      </c>
    </row>
    <row r="61" spans="1:12" hidden="1" x14ac:dyDescent="0.35">
      <c r="A61" t="s">
        <v>45</v>
      </c>
      <c r="B61">
        <v>28</v>
      </c>
      <c r="C61" t="s">
        <v>44</v>
      </c>
      <c r="D61">
        <v>2.7682926829999999</v>
      </c>
      <c r="E61">
        <v>0.356468862847102</v>
      </c>
      <c r="F61">
        <v>47</v>
      </c>
      <c r="G61">
        <v>0.88900000000000001</v>
      </c>
      <c r="H61">
        <v>0.34100000000000003</v>
      </c>
      <c r="I61">
        <v>0.85</v>
      </c>
      <c r="J61">
        <v>0.157</v>
      </c>
      <c r="K61">
        <v>0.746835443037975</v>
      </c>
      <c r="L61">
        <v>0</v>
      </c>
    </row>
    <row r="62" spans="1:12" hidden="1" x14ac:dyDescent="0.35">
      <c r="A62" t="s">
        <v>45</v>
      </c>
      <c r="B62">
        <v>29</v>
      </c>
      <c r="C62" t="s">
        <v>34</v>
      </c>
      <c r="D62">
        <v>2.8414634150000002</v>
      </c>
      <c r="E62">
        <v>0.353642013106297</v>
      </c>
      <c r="F62">
        <v>45.4</v>
      </c>
      <c r="G62">
        <v>0.88100000000000001</v>
      </c>
      <c r="H62">
        <v>0.36</v>
      </c>
      <c r="I62">
        <v>0.91800000000000004</v>
      </c>
      <c r="J62">
        <v>0.56799999999999995</v>
      </c>
      <c r="K62">
        <v>0.291139240506329</v>
      </c>
      <c r="L62">
        <v>0</v>
      </c>
    </row>
    <row r="63" spans="1:12" hidden="1" x14ac:dyDescent="0.35">
      <c r="A63" t="s">
        <v>45</v>
      </c>
      <c r="B63">
        <v>30</v>
      </c>
      <c r="C63" t="s">
        <v>39</v>
      </c>
      <c r="D63">
        <v>2.4634146339999998</v>
      </c>
      <c r="E63">
        <v>0.31338274259821097</v>
      </c>
      <c r="F63">
        <v>46.3</v>
      </c>
      <c r="G63">
        <v>0.89200000000000002</v>
      </c>
      <c r="H63">
        <v>0.183</v>
      </c>
      <c r="I63">
        <v>0.76900000000000002</v>
      </c>
      <c r="J63">
        <v>0.28599999999999998</v>
      </c>
      <c r="K63">
        <v>0.367088607594937</v>
      </c>
      <c r="L63">
        <v>0</v>
      </c>
    </row>
    <row r="64" spans="1:12" hidden="1" x14ac:dyDescent="0.35">
      <c r="A64" t="s">
        <v>45</v>
      </c>
      <c r="B64">
        <v>31</v>
      </c>
      <c r="C64" t="s">
        <v>33</v>
      </c>
      <c r="D64">
        <v>2.597560976</v>
      </c>
      <c r="E64">
        <v>0.29535186511294798</v>
      </c>
      <c r="F64">
        <v>48.5</v>
      </c>
      <c r="G64">
        <v>0.88700000000000001</v>
      </c>
      <c r="H64">
        <v>0.22600000000000001</v>
      </c>
      <c r="I64">
        <v>0.93899999999999995</v>
      </c>
      <c r="J64">
        <v>0.315</v>
      </c>
      <c r="K64">
        <v>0.291139240506329</v>
      </c>
      <c r="L64">
        <v>0</v>
      </c>
    </row>
    <row r="65" spans="1:12" hidden="1" x14ac:dyDescent="0.35">
      <c r="A65" t="s">
        <v>45</v>
      </c>
      <c r="B65">
        <v>32</v>
      </c>
      <c r="C65" t="s">
        <v>35</v>
      </c>
      <c r="D65">
        <v>2.5121951220000001</v>
      </c>
      <c r="E65">
        <v>0.27438074239789001</v>
      </c>
      <c r="F65">
        <v>49.5</v>
      </c>
      <c r="G65">
        <v>0.89600000000000002</v>
      </c>
      <c r="H65">
        <v>0.20699999999999999</v>
      </c>
      <c r="I65">
        <v>1</v>
      </c>
      <c r="J65">
        <v>0.124</v>
      </c>
      <c r="K65">
        <v>0.708860759493671</v>
      </c>
      <c r="L65">
        <v>0</v>
      </c>
    </row>
    <row r="66" spans="1:12" hidden="1" x14ac:dyDescent="0.35">
      <c r="A66" t="s">
        <v>46</v>
      </c>
      <c r="B66">
        <v>1</v>
      </c>
      <c r="C66" t="s">
        <v>20</v>
      </c>
      <c r="D66">
        <v>3.3902439019999999</v>
      </c>
      <c r="E66">
        <v>0.60208787784356499</v>
      </c>
      <c r="F66">
        <v>47.1</v>
      </c>
      <c r="G66">
        <v>0.90700000000000003</v>
      </c>
      <c r="H66">
        <v>0.65200000000000002</v>
      </c>
      <c r="I66">
        <v>0.313</v>
      </c>
      <c r="J66">
        <v>0.91600000000000004</v>
      </c>
      <c r="K66">
        <v>0.468354430379747</v>
      </c>
      <c r="L66">
        <v>0</v>
      </c>
    </row>
    <row r="67" spans="1:12" hidden="1" x14ac:dyDescent="0.35">
      <c r="A67" t="s">
        <v>46</v>
      </c>
      <c r="B67">
        <v>2</v>
      </c>
      <c r="C67" t="s">
        <v>27</v>
      </c>
      <c r="D67">
        <v>3.585365854</v>
      </c>
      <c r="E67">
        <v>0.61625552545273099</v>
      </c>
      <c r="F67">
        <v>51.8</v>
      </c>
      <c r="G67">
        <v>0.90100000000000002</v>
      </c>
      <c r="H67">
        <v>0.76200000000000001</v>
      </c>
      <c r="I67">
        <v>0.313</v>
      </c>
      <c r="J67">
        <v>0.754</v>
      </c>
      <c r="K67">
        <v>0.139240506329114</v>
      </c>
      <c r="L67">
        <v>0</v>
      </c>
    </row>
    <row r="68" spans="1:12" hidden="1" x14ac:dyDescent="0.35">
      <c r="A68" t="s">
        <v>46</v>
      </c>
      <c r="B68">
        <v>3</v>
      </c>
      <c r="C68" t="s">
        <v>15</v>
      </c>
      <c r="D68">
        <v>3.3780487799999999</v>
      </c>
      <c r="E68">
        <v>0.63281649484536096</v>
      </c>
      <c r="F68">
        <v>51.4</v>
      </c>
      <c r="G68">
        <v>0.9</v>
      </c>
      <c r="H68">
        <v>0.61599999999999999</v>
      </c>
      <c r="I68">
        <v>0.13600000000000001</v>
      </c>
      <c r="J68">
        <v>1</v>
      </c>
      <c r="K68">
        <v>0.354430379746835</v>
      </c>
      <c r="L68">
        <v>0</v>
      </c>
    </row>
    <row r="69" spans="1:12" hidden="1" x14ac:dyDescent="0.35">
      <c r="A69" t="s">
        <v>46</v>
      </c>
      <c r="B69">
        <v>4</v>
      </c>
      <c r="C69" t="s">
        <v>31</v>
      </c>
      <c r="D69">
        <v>3.1585365849999998</v>
      </c>
      <c r="E69">
        <v>0.63114268241049998</v>
      </c>
      <c r="F69">
        <v>50.4</v>
      </c>
      <c r="G69">
        <v>0.91800000000000004</v>
      </c>
      <c r="H69">
        <v>0.56100000000000005</v>
      </c>
      <c r="I69">
        <v>0.109</v>
      </c>
      <c r="J69">
        <v>0.4</v>
      </c>
      <c r="K69">
        <v>0.316455696202532</v>
      </c>
      <c r="L69">
        <v>0</v>
      </c>
    </row>
    <row r="70" spans="1:12" x14ac:dyDescent="0.35">
      <c r="A70" t="s">
        <v>46</v>
      </c>
      <c r="B70">
        <v>5</v>
      </c>
      <c r="C70" t="s">
        <v>13</v>
      </c>
      <c r="D70" s="8">
        <v>3.2317073170000001</v>
      </c>
      <c r="E70" s="9">
        <v>0.64174030650010505</v>
      </c>
      <c r="F70" s="3">
        <v>53.8</v>
      </c>
      <c r="G70" s="1">
        <v>0.91300000000000003</v>
      </c>
      <c r="H70" s="1">
        <v>0.622</v>
      </c>
      <c r="I70" s="1">
        <v>6.8000000000000005E-2</v>
      </c>
      <c r="J70" s="1">
        <v>0.747</v>
      </c>
      <c r="K70" s="2">
        <v>1</v>
      </c>
      <c r="L70" s="1">
        <v>1</v>
      </c>
    </row>
    <row r="71" spans="1:12" hidden="1" x14ac:dyDescent="0.35">
      <c r="A71" t="s">
        <v>46</v>
      </c>
      <c r="B71">
        <v>6</v>
      </c>
      <c r="C71" t="s">
        <v>22</v>
      </c>
      <c r="D71">
        <v>3.207317073</v>
      </c>
      <c r="E71">
        <v>0.58612829421235502</v>
      </c>
      <c r="F71">
        <v>52.6</v>
      </c>
      <c r="G71">
        <v>0.91200000000000003</v>
      </c>
      <c r="H71">
        <v>0.57299999999999995</v>
      </c>
      <c r="I71">
        <v>0.252</v>
      </c>
      <c r="J71">
        <v>0.70199999999999996</v>
      </c>
      <c r="K71">
        <v>0.481012658227848</v>
      </c>
      <c r="L71">
        <v>0</v>
      </c>
    </row>
    <row r="72" spans="1:12" hidden="1" x14ac:dyDescent="0.35">
      <c r="A72" t="s">
        <v>46</v>
      </c>
      <c r="B72">
        <v>7</v>
      </c>
      <c r="C72" t="s">
        <v>30</v>
      </c>
      <c r="D72">
        <v>3.402439024</v>
      </c>
      <c r="E72">
        <v>0.61445982854707104</v>
      </c>
      <c r="F72">
        <v>51.4</v>
      </c>
      <c r="G72">
        <v>0.90600000000000003</v>
      </c>
      <c r="H72">
        <v>0.628</v>
      </c>
      <c r="I72">
        <v>0.19700000000000001</v>
      </c>
      <c r="J72">
        <v>0.6</v>
      </c>
      <c r="K72">
        <v>0.493670886075949</v>
      </c>
      <c r="L72">
        <v>0</v>
      </c>
    </row>
    <row r="73" spans="1:12" hidden="1" x14ac:dyDescent="0.35">
      <c r="A73" t="s">
        <v>46</v>
      </c>
      <c r="B73">
        <v>8</v>
      </c>
      <c r="C73" t="s">
        <v>14</v>
      </c>
      <c r="D73">
        <v>3.6829268289999999</v>
      </c>
      <c r="E73">
        <v>0.58952348941231203</v>
      </c>
      <c r="F73">
        <v>46</v>
      </c>
      <c r="G73">
        <v>0.89700000000000002</v>
      </c>
      <c r="H73">
        <v>0.79900000000000004</v>
      </c>
      <c r="I73">
        <v>0.497</v>
      </c>
      <c r="J73">
        <v>0.69199999999999995</v>
      </c>
      <c r="K73">
        <v>0.405063291139241</v>
      </c>
      <c r="L73">
        <v>0</v>
      </c>
    </row>
    <row r="74" spans="1:12" hidden="1" x14ac:dyDescent="0.35">
      <c r="A74" t="s">
        <v>46</v>
      </c>
      <c r="B74">
        <v>9</v>
      </c>
      <c r="C74" t="s">
        <v>23</v>
      </c>
      <c r="D74">
        <v>3.5609756099999998</v>
      </c>
      <c r="E74">
        <v>0.60488081725312104</v>
      </c>
      <c r="F74">
        <v>49.8</v>
      </c>
      <c r="G74">
        <v>0.89800000000000002</v>
      </c>
      <c r="H74">
        <v>0.76200000000000001</v>
      </c>
      <c r="I74">
        <v>0.36699999999999999</v>
      </c>
      <c r="J74">
        <v>0.74099999999999999</v>
      </c>
      <c r="K74">
        <v>0.481012658227848</v>
      </c>
      <c r="L74">
        <v>0</v>
      </c>
    </row>
    <row r="75" spans="1:12" hidden="1" x14ac:dyDescent="0.35">
      <c r="A75" t="s">
        <v>46</v>
      </c>
      <c r="B75">
        <v>10</v>
      </c>
      <c r="C75" t="s">
        <v>16</v>
      </c>
      <c r="D75">
        <v>3.6341463410000001</v>
      </c>
      <c r="E75">
        <v>0.56590090807710702</v>
      </c>
      <c r="F75">
        <v>47.5</v>
      </c>
      <c r="G75">
        <v>0.89300000000000002</v>
      </c>
      <c r="H75">
        <v>0.77400000000000002</v>
      </c>
      <c r="I75">
        <v>0.52400000000000002</v>
      </c>
      <c r="J75">
        <v>0.56999999999999995</v>
      </c>
      <c r="K75">
        <v>0.531645569620253</v>
      </c>
      <c r="L75">
        <v>0</v>
      </c>
    </row>
    <row r="76" spans="1:12" hidden="1" x14ac:dyDescent="0.35">
      <c r="A76" t="s">
        <v>46</v>
      </c>
      <c r="B76">
        <v>11</v>
      </c>
      <c r="C76" t="s">
        <v>28</v>
      </c>
      <c r="D76">
        <v>3.2439024390000002</v>
      </c>
      <c r="E76">
        <v>0.53497656131861504</v>
      </c>
      <c r="F76">
        <v>50.4</v>
      </c>
      <c r="G76">
        <v>0.90100000000000002</v>
      </c>
      <c r="H76">
        <v>0.54900000000000004</v>
      </c>
      <c r="I76">
        <v>0.39500000000000002</v>
      </c>
      <c r="J76">
        <v>0.48899999999999999</v>
      </c>
      <c r="K76">
        <v>0.506329113924051</v>
      </c>
      <c r="L76">
        <v>0</v>
      </c>
    </row>
    <row r="77" spans="1:12" hidden="1" x14ac:dyDescent="0.35">
      <c r="A77" t="s">
        <v>46</v>
      </c>
      <c r="B77">
        <v>12</v>
      </c>
      <c r="C77" t="s">
        <v>26</v>
      </c>
      <c r="D77">
        <v>3.097560976</v>
      </c>
      <c r="E77">
        <v>0.59398247035427598</v>
      </c>
      <c r="F77">
        <v>47.1</v>
      </c>
      <c r="G77">
        <v>0.90900000000000003</v>
      </c>
      <c r="H77">
        <v>0.5</v>
      </c>
      <c r="I77">
        <v>0.184</v>
      </c>
      <c r="J77">
        <v>0.78700000000000003</v>
      </c>
      <c r="K77">
        <v>0.379746835443038</v>
      </c>
      <c r="L77">
        <v>0</v>
      </c>
    </row>
    <row r="78" spans="1:12" hidden="1" x14ac:dyDescent="0.35">
      <c r="A78" t="s">
        <v>46</v>
      </c>
      <c r="B78">
        <v>13</v>
      </c>
      <c r="C78" t="s">
        <v>19</v>
      </c>
      <c r="D78">
        <v>3.5121951220000001</v>
      </c>
      <c r="E78">
        <v>0.53778374277878305</v>
      </c>
      <c r="F78">
        <v>49.8</v>
      </c>
      <c r="G78">
        <v>0.89</v>
      </c>
      <c r="H78">
        <v>0.72599999999999998</v>
      </c>
      <c r="I78">
        <v>0.57099999999999995</v>
      </c>
      <c r="J78">
        <v>0.95299999999999996</v>
      </c>
      <c r="K78">
        <v>0.670886075949367</v>
      </c>
      <c r="L78">
        <v>0</v>
      </c>
    </row>
    <row r="79" spans="1:12" hidden="1" x14ac:dyDescent="0.35">
      <c r="A79" t="s">
        <v>46</v>
      </c>
      <c r="B79">
        <v>14</v>
      </c>
      <c r="C79" t="s">
        <v>29</v>
      </c>
      <c r="D79">
        <v>3.207317073</v>
      </c>
      <c r="E79">
        <v>0.53946403781060404</v>
      </c>
      <c r="F79">
        <v>50.5</v>
      </c>
      <c r="G79">
        <v>0.90200000000000002</v>
      </c>
      <c r="H79">
        <v>0.56100000000000005</v>
      </c>
      <c r="I79">
        <v>0.38800000000000001</v>
      </c>
      <c r="J79">
        <v>0.52700000000000002</v>
      </c>
      <c r="K79">
        <v>0.215189873417722</v>
      </c>
      <c r="L79">
        <v>0</v>
      </c>
    </row>
    <row r="80" spans="1:12" hidden="1" x14ac:dyDescent="0.35">
      <c r="A80" t="s">
        <v>46</v>
      </c>
      <c r="B80">
        <v>15</v>
      </c>
      <c r="C80" t="s">
        <v>32</v>
      </c>
      <c r="D80">
        <v>2.9878048779999999</v>
      </c>
      <c r="E80">
        <v>0.47417232144973098</v>
      </c>
      <c r="F80">
        <v>49.3</v>
      </c>
      <c r="G80">
        <v>0.90400000000000003</v>
      </c>
      <c r="H80">
        <v>0.41499999999999998</v>
      </c>
      <c r="I80">
        <v>0.497</v>
      </c>
      <c r="J80">
        <v>0.26100000000000001</v>
      </c>
      <c r="K80">
        <v>0.177215189873418</v>
      </c>
      <c r="L80">
        <v>0</v>
      </c>
    </row>
    <row r="81" spans="1:12" hidden="1" x14ac:dyDescent="0.35">
      <c r="A81" t="s">
        <v>46</v>
      </c>
      <c r="B81">
        <v>16</v>
      </c>
      <c r="C81" t="s">
        <v>21</v>
      </c>
      <c r="D81">
        <v>2.8536585369999998</v>
      </c>
      <c r="E81">
        <v>0.47097884052984701</v>
      </c>
      <c r="F81">
        <v>47.9</v>
      </c>
      <c r="G81">
        <v>0.90600000000000003</v>
      </c>
      <c r="H81">
        <v>0.378</v>
      </c>
      <c r="I81">
        <v>0.45600000000000002</v>
      </c>
      <c r="J81">
        <v>0.42399999999999999</v>
      </c>
      <c r="K81">
        <v>0.215189873417722</v>
      </c>
      <c r="L81">
        <v>0</v>
      </c>
    </row>
    <row r="82" spans="1:12" hidden="1" x14ac:dyDescent="0.35">
      <c r="A82" t="s">
        <v>46</v>
      </c>
      <c r="B82">
        <v>17</v>
      </c>
      <c r="C82" t="s">
        <v>25</v>
      </c>
      <c r="D82">
        <v>2.6341463410000001</v>
      </c>
      <c r="E82">
        <v>0.42352941176470599</v>
      </c>
      <c r="F82">
        <v>51.5</v>
      </c>
      <c r="G82">
        <v>0.89900000000000002</v>
      </c>
      <c r="H82">
        <v>0.29299999999999998</v>
      </c>
      <c r="I82">
        <v>0.44900000000000001</v>
      </c>
      <c r="J82">
        <v>0.52700000000000002</v>
      </c>
      <c r="K82">
        <v>0.253164556962025</v>
      </c>
      <c r="L82">
        <v>0</v>
      </c>
    </row>
    <row r="83" spans="1:12" hidden="1" x14ac:dyDescent="0.35">
      <c r="A83" t="s">
        <v>46</v>
      </c>
      <c r="B83">
        <v>18</v>
      </c>
      <c r="C83" t="s">
        <v>37</v>
      </c>
      <c r="D83">
        <v>3.3536585369999998</v>
      </c>
      <c r="E83">
        <v>0.503649586424604</v>
      </c>
      <c r="F83">
        <v>51</v>
      </c>
      <c r="G83">
        <v>0.89700000000000002</v>
      </c>
      <c r="H83">
        <v>0.628</v>
      </c>
      <c r="I83">
        <v>0.57799999999999996</v>
      </c>
      <c r="J83">
        <v>0.63300000000000001</v>
      </c>
      <c r="K83">
        <v>0.379746835443038</v>
      </c>
      <c r="L83">
        <v>0</v>
      </c>
    </row>
    <row r="84" spans="1:12" hidden="1" x14ac:dyDescent="0.35">
      <c r="A84" t="s">
        <v>46</v>
      </c>
      <c r="B84">
        <v>19</v>
      </c>
      <c r="C84" t="s">
        <v>24</v>
      </c>
      <c r="D84">
        <v>3.085365854</v>
      </c>
      <c r="E84">
        <v>0.50997904599523602</v>
      </c>
      <c r="F84">
        <v>50.8</v>
      </c>
      <c r="G84">
        <v>0.9</v>
      </c>
      <c r="H84">
        <v>0.45100000000000001</v>
      </c>
      <c r="I84">
        <v>0.374</v>
      </c>
      <c r="J84">
        <v>0.40100000000000002</v>
      </c>
      <c r="K84">
        <v>0.215189873417722</v>
      </c>
      <c r="L84">
        <v>0</v>
      </c>
    </row>
    <row r="85" spans="1:12" hidden="1" x14ac:dyDescent="0.35">
      <c r="A85" t="s">
        <v>46</v>
      </c>
      <c r="B85">
        <v>20</v>
      </c>
      <c r="C85" t="s">
        <v>17</v>
      </c>
      <c r="D85">
        <v>3.0243902440000001</v>
      </c>
      <c r="E85">
        <v>0.47639112653364701</v>
      </c>
      <c r="F85">
        <v>46.6</v>
      </c>
      <c r="G85">
        <v>0.89300000000000002</v>
      </c>
      <c r="H85">
        <v>0.46300000000000002</v>
      </c>
      <c r="I85">
        <v>0.53100000000000003</v>
      </c>
      <c r="J85">
        <v>0.44600000000000001</v>
      </c>
      <c r="K85">
        <v>0.721518987341772</v>
      </c>
      <c r="L85">
        <v>0</v>
      </c>
    </row>
    <row r="86" spans="1:12" hidden="1" x14ac:dyDescent="0.35">
      <c r="A86" t="s">
        <v>46</v>
      </c>
      <c r="B86">
        <v>21</v>
      </c>
      <c r="C86" t="s">
        <v>41</v>
      </c>
      <c r="D86">
        <v>2.8170731710000001</v>
      </c>
      <c r="E86">
        <v>0.44495309568480301</v>
      </c>
      <c r="F86">
        <v>47.4</v>
      </c>
      <c r="G86">
        <v>0.88400000000000001</v>
      </c>
      <c r="H86">
        <v>0.372</v>
      </c>
      <c r="I86">
        <v>0.503</v>
      </c>
      <c r="J86">
        <v>0.39</v>
      </c>
      <c r="K86">
        <v>0.556962025316456</v>
      </c>
      <c r="L86">
        <v>0</v>
      </c>
    </row>
    <row r="87" spans="1:12" hidden="1" x14ac:dyDescent="0.35">
      <c r="A87" t="s">
        <v>46</v>
      </c>
      <c r="B87">
        <v>22</v>
      </c>
      <c r="C87" t="s">
        <v>36</v>
      </c>
      <c r="D87">
        <v>2.9756097559999999</v>
      </c>
      <c r="E87">
        <v>0.50205337943247497</v>
      </c>
      <c r="F87">
        <v>52.1</v>
      </c>
      <c r="G87">
        <v>0.89900000000000002</v>
      </c>
      <c r="H87">
        <v>0.45700000000000002</v>
      </c>
      <c r="I87">
        <v>0.36099999999999999</v>
      </c>
      <c r="J87">
        <v>0.41899999999999998</v>
      </c>
      <c r="K87">
        <v>0.518987341772152</v>
      </c>
      <c r="L87">
        <v>0</v>
      </c>
    </row>
    <row r="88" spans="1:12" hidden="1" x14ac:dyDescent="0.35">
      <c r="A88" t="s">
        <v>46</v>
      </c>
      <c r="B88">
        <v>23</v>
      </c>
      <c r="C88" t="s">
        <v>40</v>
      </c>
      <c r="D88">
        <v>3.2195121950000001</v>
      </c>
      <c r="E88">
        <v>0.46883765984783798</v>
      </c>
      <c r="F88">
        <v>49</v>
      </c>
      <c r="G88">
        <v>0.88600000000000001</v>
      </c>
      <c r="H88">
        <v>0.54900000000000004</v>
      </c>
      <c r="I88">
        <v>0.59899999999999998</v>
      </c>
      <c r="J88">
        <v>0.64800000000000002</v>
      </c>
      <c r="K88">
        <v>0.430379746835443</v>
      </c>
      <c r="L88">
        <v>0</v>
      </c>
    </row>
    <row r="89" spans="1:12" hidden="1" x14ac:dyDescent="0.35">
      <c r="A89" t="s">
        <v>46</v>
      </c>
      <c r="B89">
        <v>24</v>
      </c>
      <c r="C89" t="s">
        <v>42</v>
      </c>
      <c r="D89">
        <v>2.6097560980000001</v>
      </c>
      <c r="E89">
        <v>0.45970688616743599</v>
      </c>
      <c r="F89">
        <v>52.1</v>
      </c>
      <c r="G89">
        <v>0.90300000000000002</v>
      </c>
      <c r="H89">
        <v>0.311</v>
      </c>
      <c r="I89">
        <v>0.32700000000000001</v>
      </c>
      <c r="J89">
        <v>0.52400000000000002</v>
      </c>
      <c r="K89">
        <v>0.291139240506329</v>
      </c>
      <c r="L89">
        <v>0</v>
      </c>
    </row>
    <row r="90" spans="1:12" hidden="1" x14ac:dyDescent="0.35">
      <c r="A90" t="s">
        <v>46</v>
      </c>
      <c r="B90">
        <v>25</v>
      </c>
      <c r="C90" t="s">
        <v>18</v>
      </c>
      <c r="D90">
        <v>3.085365854</v>
      </c>
      <c r="E90">
        <v>0.47309642418956699</v>
      </c>
      <c r="F90">
        <v>52</v>
      </c>
      <c r="G90">
        <v>0.89</v>
      </c>
      <c r="H90">
        <v>0.54900000000000004</v>
      </c>
      <c r="I90">
        <v>0.57799999999999996</v>
      </c>
      <c r="J90">
        <v>0.496</v>
      </c>
      <c r="K90">
        <v>0.468354430379747</v>
      </c>
      <c r="L90">
        <v>0</v>
      </c>
    </row>
    <row r="91" spans="1:12" hidden="1" x14ac:dyDescent="0.35">
      <c r="A91" t="s">
        <v>46</v>
      </c>
      <c r="B91">
        <v>26</v>
      </c>
      <c r="C91" t="s">
        <v>38</v>
      </c>
      <c r="D91">
        <v>3.0487804879999998</v>
      </c>
      <c r="E91">
        <v>0.44181788620185097</v>
      </c>
      <c r="F91">
        <v>51.7</v>
      </c>
      <c r="G91">
        <v>0.88400000000000001</v>
      </c>
      <c r="H91">
        <v>0.50600000000000001</v>
      </c>
      <c r="I91">
        <v>0.64600000000000002</v>
      </c>
      <c r="J91">
        <v>0.30499999999999999</v>
      </c>
      <c r="K91">
        <v>0.59493670886076</v>
      </c>
      <c r="L91">
        <v>0</v>
      </c>
    </row>
    <row r="92" spans="1:12" hidden="1" x14ac:dyDescent="0.35">
      <c r="A92" t="s">
        <v>46</v>
      </c>
      <c r="B92">
        <v>27</v>
      </c>
      <c r="C92" t="s">
        <v>43</v>
      </c>
      <c r="D92">
        <v>3.097560976</v>
      </c>
      <c r="E92">
        <v>0.46217548283569299</v>
      </c>
      <c r="F92">
        <v>51</v>
      </c>
      <c r="G92">
        <v>0.89500000000000002</v>
      </c>
      <c r="H92">
        <v>0.48199999999999998</v>
      </c>
      <c r="I92">
        <v>0.59199999999999997</v>
      </c>
      <c r="J92">
        <v>0.48299999999999998</v>
      </c>
      <c r="K92">
        <v>0.734177215189873</v>
      </c>
      <c r="L92">
        <v>0</v>
      </c>
    </row>
    <row r="93" spans="1:12" hidden="1" x14ac:dyDescent="0.35">
      <c r="A93" t="s">
        <v>46</v>
      </c>
      <c r="B93">
        <v>28</v>
      </c>
      <c r="C93" t="s">
        <v>44</v>
      </c>
      <c r="D93">
        <v>2.8292682930000002</v>
      </c>
      <c r="E93">
        <v>0.40534698949429498</v>
      </c>
      <c r="F93">
        <v>45.5</v>
      </c>
      <c r="G93">
        <v>0.89700000000000002</v>
      </c>
      <c r="H93">
        <v>0.36</v>
      </c>
      <c r="I93">
        <v>0.66</v>
      </c>
      <c r="J93">
        <v>0.33500000000000002</v>
      </c>
      <c r="K93">
        <v>0.569620253164557</v>
      </c>
      <c r="L93">
        <v>0</v>
      </c>
    </row>
    <row r="94" spans="1:12" hidden="1" x14ac:dyDescent="0.35">
      <c r="A94" t="s">
        <v>46</v>
      </c>
      <c r="B94">
        <v>29</v>
      </c>
      <c r="C94" t="s">
        <v>33</v>
      </c>
      <c r="D94">
        <v>2.8536585369999998</v>
      </c>
      <c r="E94">
        <v>0.38141543605461098</v>
      </c>
      <c r="F94">
        <v>48.6</v>
      </c>
      <c r="G94">
        <v>0.89400000000000002</v>
      </c>
      <c r="H94">
        <v>0.40200000000000002</v>
      </c>
      <c r="I94">
        <v>0.78200000000000003</v>
      </c>
      <c r="J94">
        <v>0.24399999999999999</v>
      </c>
      <c r="K94">
        <v>0.316455696202532</v>
      </c>
      <c r="L94">
        <v>0</v>
      </c>
    </row>
    <row r="95" spans="1:12" hidden="1" x14ac:dyDescent="0.35">
      <c r="A95" t="s">
        <v>46</v>
      </c>
      <c r="B95">
        <v>30</v>
      </c>
      <c r="C95" t="s">
        <v>35</v>
      </c>
      <c r="D95">
        <v>2.4756097559999999</v>
      </c>
      <c r="E95">
        <v>0.32433219474570701</v>
      </c>
      <c r="F95">
        <v>44.4</v>
      </c>
      <c r="G95">
        <v>0.89</v>
      </c>
      <c r="H95">
        <v>0.152</v>
      </c>
      <c r="I95">
        <v>0.78900000000000003</v>
      </c>
      <c r="J95">
        <v>0.222</v>
      </c>
      <c r="K95">
        <v>0.987341772151899</v>
      </c>
      <c r="L95">
        <v>0</v>
      </c>
    </row>
    <row r="96" spans="1:12" hidden="1" x14ac:dyDescent="0.35">
      <c r="A96" t="s">
        <v>46</v>
      </c>
      <c r="B96">
        <v>31</v>
      </c>
      <c r="C96" t="s">
        <v>39</v>
      </c>
      <c r="D96">
        <v>2.1707317069999998</v>
      </c>
      <c r="E96">
        <v>0.27502278546938103</v>
      </c>
      <c r="F96">
        <v>46.3</v>
      </c>
      <c r="G96">
        <v>0.89200000000000002</v>
      </c>
      <c r="H96">
        <v>0</v>
      </c>
      <c r="I96">
        <v>0.68700000000000006</v>
      </c>
      <c r="J96">
        <v>0.27900000000000003</v>
      </c>
      <c r="K96">
        <v>0.379746835443038</v>
      </c>
      <c r="L96">
        <v>0</v>
      </c>
    </row>
    <row r="97" spans="1:12" hidden="1" x14ac:dyDescent="0.35">
      <c r="A97" t="s">
        <v>46</v>
      </c>
      <c r="B97">
        <v>32</v>
      </c>
      <c r="C97" t="s">
        <v>34</v>
      </c>
      <c r="D97">
        <v>2.195121951</v>
      </c>
      <c r="E97">
        <v>0.23363812051111901</v>
      </c>
      <c r="F97">
        <v>50.7</v>
      </c>
      <c r="G97">
        <v>0.88700000000000001</v>
      </c>
      <c r="H97">
        <v>5.5E-2</v>
      </c>
      <c r="I97">
        <v>0.92500000000000004</v>
      </c>
      <c r="J97">
        <v>0.39</v>
      </c>
      <c r="K97">
        <v>0.481012658227848</v>
      </c>
      <c r="L97">
        <v>0</v>
      </c>
    </row>
    <row r="98" spans="1:12" hidden="1" x14ac:dyDescent="0.35">
      <c r="A98" t="s">
        <v>47</v>
      </c>
      <c r="B98">
        <v>1</v>
      </c>
      <c r="C98" t="s">
        <v>31</v>
      </c>
      <c r="D98">
        <v>3.452054795</v>
      </c>
      <c r="E98">
        <v>0.68471615720524004</v>
      </c>
      <c r="F98">
        <v>52.9</v>
      </c>
      <c r="G98">
        <v>0.91400000000000003</v>
      </c>
      <c r="H98">
        <v>0.72599999999999998</v>
      </c>
      <c r="I98">
        <v>6.0999999999999999E-2</v>
      </c>
      <c r="J98">
        <v>0.86599999999999999</v>
      </c>
      <c r="K98">
        <v>0.240506329113924</v>
      </c>
    </row>
    <row r="99" spans="1:12" hidden="1" x14ac:dyDescent="0.35">
      <c r="A99" t="s">
        <v>47</v>
      </c>
      <c r="B99">
        <v>2</v>
      </c>
      <c r="C99" t="s">
        <v>25</v>
      </c>
      <c r="D99">
        <v>3.611111111</v>
      </c>
      <c r="E99">
        <v>0.66388411490302002</v>
      </c>
      <c r="F99">
        <v>51.8</v>
      </c>
      <c r="G99">
        <v>0.90500000000000003</v>
      </c>
      <c r="H99">
        <v>0.76800000000000002</v>
      </c>
      <c r="I99">
        <v>0.17699999999999999</v>
      </c>
      <c r="J99">
        <v>0.68700000000000006</v>
      </c>
      <c r="K99">
        <v>0.329113924050633</v>
      </c>
    </row>
    <row r="100" spans="1:12" hidden="1" x14ac:dyDescent="0.35">
      <c r="A100" t="s">
        <v>47</v>
      </c>
      <c r="B100">
        <v>3</v>
      </c>
      <c r="C100" t="s">
        <v>27</v>
      </c>
      <c r="D100">
        <v>3.388888889</v>
      </c>
      <c r="E100">
        <v>0.63497616279689895</v>
      </c>
      <c r="F100">
        <v>48.6</v>
      </c>
      <c r="G100">
        <v>0.90900000000000003</v>
      </c>
      <c r="H100">
        <v>0.628</v>
      </c>
      <c r="I100">
        <v>0.184</v>
      </c>
      <c r="J100">
        <v>0.76900000000000002</v>
      </c>
      <c r="K100">
        <v>0.151898734177215</v>
      </c>
    </row>
    <row r="101" spans="1:12" hidden="1" x14ac:dyDescent="0.35">
      <c r="A101" t="s">
        <v>47</v>
      </c>
      <c r="B101">
        <v>4</v>
      </c>
      <c r="C101" t="s">
        <v>29</v>
      </c>
      <c r="D101">
        <v>3.4166666669999999</v>
      </c>
      <c r="E101">
        <v>0.62389558439951798</v>
      </c>
      <c r="F101">
        <v>47.2</v>
      </c>
      <c r="G101">
        <v>0.9</v>
      </c>
      <c r="H101">
        <v>0.72</v>
      </c>
      <c r="I101">
        <v>0.29899999999999999</v>
      </c>
      <c r="J101">
        <v>0.76100000000000001</v>
      </c>
      <c r="K101">
        <v>0</v>
      </c>
    </row>
    <row r="102" spans="1:12" hidden="1" x14ac:dyDescent="0.35">
      <c r="A102" t="s">
        <v>47</v>
      </c>
      <c r="B102">
        <v>5</v>
      </c>
      <c r="C102" t="s">
        <v>14</v>
      </c>
      <c r="D102">
        <v>3.3698630139999999</v>
      </c>
      <c r="E102">
        <v>0.59252731758900201</v>
      </c>
      <c r="F102">
        <v>46.1</v>
      </c>
      <c r="G102">
        <v>0.89200000000000002</v>
      </c>
      <c r="H102">
        <v>0.67700000000000005</v>
      </c>
      <c r="I102">
        <v>0.39500000000000002</v>
      </c>
      <c r="J102">
        <v>0.70699999999999996</v>
      </c>
      <c r="K102">
        <v>0.139240506329114</v>
      </c>
    </row>
    <row r="103" spans="1:12" hidden="1" x14ac:dyDescent="0.35">
      <c r="A103" t="s">
        <v>47</v>
      </c>
      <c r="B103">
        <v>6</v>
      </c>
      <c r="C103" t="s">
        <v>15</v>
      </c>
      <c r="D103">
        <v>3.2222222220000001</v>
      </c>
      <c r="E103">
        <v>0.59854988657088204</v>
      </c>
      <c r="F103">
        <v>45.9</v>
      </c>
      <c r="G103">
        <v>0.89400000000000002</v>
      </c>
      <c r="H103">
        <v>0.58499999999999996</v>
      </c>
      <c r="I103">
        <v>0.27900000000000003</v>
      </c>
      <c r="J103">
        <v>0.64800000000000002</v>
      </c>
      <c r="K103">
        <v>0.164556962025316</v>
      </c>
    </row>
    <row r="104" spans="1:12" hidden="1" x14ac:dyDescent="0.35">
      <c r="A104" t="s">
        <v>47</v>
      </c>
      <c r="B104">
        <v>7</v>
      </c>
      <c r="C104" t="s">
        <v>13</v>
      </c>
      <c r="D104">
        <v>3.138888889</v>
      </c>
      <c r="E104">
        <v>0.57575074398052095</v>
      </c>
      <c r="F104">
        <v>49.7</v>
      </c>
      <c r="G104">
        <v>0.89800000000000002</v>
      </c>
      <c r="H104">
        <v>0.53700000000000003</v>
      </c>
      <c r="I104">
        <v>0.224</v>
      </c>
      <c r="J104">
        <v>0.72299999999999998</v>
      </c>
      <c r="K104">
        <v>0.518987341772152</v>
      </c>
    </row>
    <row r="105" spans="1:12" hidden="1" x14ac:dyDescent="0.35">
      <c r="A105" t="s">
        <v>47</v>
      </c>
      <c r="B105">
        <v>8</v>
      </c>
      <c r="C105" t="s">
        <v>16</v>
      </c>
      <c r="D105">
        <v>3.263888889</v>
      </c>
      <c r="E105">
        <v>0.54666851446728904</v>
      </c>
      <c r="F105">
        <v>50.9</v>
      </c>
      <c r="G105">
        <v>0.89800000000000002</v>
      </c>
      <c r="H105">
        <v>0.64</v>
      </c>
      <c r="I105">
        <v>0.435</v>
      </c>
      <c r="J105">
        <v>0.7</v>
      </c>
      <c r="K105">
        <v>0.278481012658228</v>
      </c>
    </row>
    <row r="106" spans="1:12" hidden="1" x14ac:dyDescent="0.35">
      <c r="A106" t="s">
        <v>47</v>
      </c>
      <c r="B106">
        <v>9</v>
      </c>
      <c r="C106" t="s">
        <v>19</v>
      </c>
      <c r="D106">
        <v>3.5694444440000002</v>
      </c>
      <c r="E106">
        <v>0.64659468031992495</v>
      </c>
      <c r="F106">
        <v>51.6</v>
      </c>
      <c r="G106">
        <v>0.90600000000000003</v>
      </c>
      <c r="H106">
        <v>0.81699999999999995</v>
      </c>
      <c r="I106">
        <v>0.28599999999999998</v>
      </c>
      <c r="J106">
        <v>0.82699999999999996</v>
      </c>
      <c r="K106">
        <v>0.316455696202532</v>
      </c>
    </row>
    <row r="107" spans="1:12" hidden="1" x14ac:dyDescent="0.35">
      <c r="A107" t="s">
        <v>47</v>
      </c>
      <c r="B107">
        <v>10</v>
      </c>
      <c r="C107" t="s">
        <v>26</v>
      </c>
      <c r="D107">
        <v>2.8873239439999998</v>
      </c>
      <c r="E107">
        <v>0.567399346528772</v>
      </c>
      <c r="F107">
        <v>51.1</v>
      </c>
      <c r="G107">
        <v>0.90100000000000002</v>
      </c>
      <c r="H107">
        <v>0.439</v>
      </c>
      <c r="I107">
        <v>0.19</v>
      </c>
      <c r="J107">
        <v>0.46</v>
      </c>
      <c r="K107">
        <v>0.265822784810127</v>
      </c>
    </row>
    <row r="108" spans="1:12" hidden="1" x14ac:dyDescent="0.35">
      <c r="A108" t="s">
        <v>47</v>
      </c>
      <c r="B108">
        <v>11</v>
      </c>
      <c r="C108" t="s">
        <v>17</v>
      </c>
      <c r="D108">
        <v>2.6986301369999999</v>
      </c>
      <c r="E108">
        <v>0.48254895865713399</v>
      </c>
      <c r="F108">
        <v>51</v>
      </c>
      <c r="G108">
        <v>0.90600000000000003</v>
      </c>
      <c r="H108">
        <v>0.33500000000000002</v>
      </c>
      <c r="I108">
        <v>0.29899999999999999</v>
      </c>
      <c r="J108">
        <v>0.28000000000000003</v>
      </c>
      <c r="K108">
        <v>0.240506329113924</v>
      </c>
    </row>
    <row r="109" spans="1:12" hidden="1" x14ac:dyDescent="0.35">
      <c r="A109" t="s">
        <v>47</v>
      </c>
      <c r="B109">
        <v>12</v>
      </c>
      <c r="C109" t="s">
        <v>23</v>
      </c>
      <c r="D109">
        <v>3.236111111</v>
      </c>
      <c r="E109">
        <v>0.54708615077645495</v>
      </c>
      <c r="F109">
        <v>53.4</v>
      </c>
      <c r="G109">
        <v>0.89200000000000002</v>
      </c>
      <c r="H109">
        <v>0.67700000000000005</v>
      </c>
      <c r="I109">
        <v>0.42199999999999999</v>
      </c>
      <c r="J109">
        <v>0.60799999999999998</v>
      </c>
      <c r="K109">
        <v>0.151898734177215</v>
      </c>
    </row>
    <row r="110" spans="1:12" hidden="1" x14ac:dyDescent="0.35">
      <c r="A110" t="s">
        <v>47</v>
      </c>
      <c r="B110">
        <v>13</v>
      </c>
      <c r="C110" t="s">
        <v>21</v>
      </c>
      <c r="D110">
        <v>3.013513514</v>
      </c>
      <c r="E110">
        <v>0.52999605665625804</v>
      </c>
      <c r="F110">
        <v>50.9</v>
      </c>
      <c r="G110">
        <v>0.89700000000000002</v>
      </c>
      <c r="H110">
        <v>0.54900000000000004</v>
      </c>
      <c r="I110">
        <v>0.34699999999999998</v>
      </c>
      <c r="J110">
        <v>0.34499999999999997</v>
      </c>
      <c r="K110">
        <v>0.253164556962025</v>
      </c>
    </row>
    <row r="111" spans="1:12" hidden="1" x14ac:dyDescent="0.35">
      <c r="A111" t="s">
        <v>47</v>
      </c>
      <c r="B111">
        <v>14</v>
      </c>
      <c r="C111" t="s">
        <v>40</v>
      </c>
      <c r="D111">
        <v>2.9459459460000001</v>
      </c>
      <c r="E111">
        <v>0.55551789033185694</v>
      </c>
      <c r="F111">
        <v>51.5</v>
      </c>
      <c r="G111">
        <v>0.9</v>
      </c>
      <c r="H111">
        <v>0.49399999999999999</v>
      </c>
      <c r="I111">
        <v>0.23100000000000001</v>
      </c>
      <c r="J111">
        <v>0.871</v>
      </c>
      <c r="K111">
        <v>0.329113924050633</v>
      </c>
    </row>
    <row r="112" spans="1:12" hidden="1" x14ac:dyDescent="0.35">
      <c r="A112" t="s">
        <v>47</v>
      </c>
      <c r="B112">
        <v>15</v>
      </c>
      <c r="C112" t="s">
        <v>38</v>
      </c>
      <c r="D112">
        <v>2.9154929580000002</v>
      </c>
      <c r="E112">
        <v>0.50729888119339395</v>
      </c>
      <c r="F112">
        <v>48.8</v>
      </c>
      <c r="G112">
        <v>0.89900000000000002</v>
      </c>
      <c r="H112">
        <v>0.433</v>
      </c>
      <c r="I112">
        <v>0.34</v>
      </c>
      <c r="J112">
        <v>0.58599999999999997</v>
      </c>
      <c r="K112">
        <v>0.379746835443038</v>
      </c>
    </row>
    <row r="113" spans="1:11" hidden="1" x14ac:dyDescent="0.35">
      <c r="A113" t="s">
        <v>47</v>
      </c>
      <c r="B113">
        <v>16</v>
      </c>
      <c r="C113" t="s">
        <v>30</v>
      </c>
      <c r="D113">
        <v>2.8630136990000001</v>
      </c>
      <c r="E113">
        <v>0.46539949071459802</v>
      </c>
      <c r="F113">
        <v>53.8</v>
      </c>
      <c r="G113">
        <v>0.88500000000000001</v>
      </c>
      <c r="H113">
        <v>0.39</v>
      </c>
      <c r="I113">
        <v>0.42899999999999999</v>
      </c>
      <c r="J113">
        <v>0.72099999999999997</v>
      </c>
      <c r="K113">
        <v>0.468354430379747</v>
      </c>
    </row>
    <row r="114" spans="1:11" hidden="1" x14ac:dyDescent="0.35">
      <c r="A114" t="s">
        <v>47</v>
      </c>
      <c r="B114">
        <v>17</v>
      </c>
      <c r="C114" t="s">
        <v>18</v>
      </c>
      <c r="D114">
        <v>2.6056338029999999</v>
      </c>
      <c r="E114">
        <v>0.43931147793494701</v>
      </c>
      <c r="F114">
        <v>49.6</v>
      </c>
      <c r="G114">
        <v>0.89800000000000002</v>
      </c>
      <c r="H114">
        <v>0.311</v>
      </c>
      <c r="I114">
        <v>0.442</v>
      </c>
      <c r="J114">
        <v>0.40699999999999997</v>
      </c>
      <c r="K114">
        <v>0.544303797468354</v>
      </c>
    </row>
    <row r="115" spans="1:11" hidden="1" x14ac:dyDescent="0.35">
      <c r="A115" t="s">
        <v>47</v>
      </c>
      <c r="B115">
        <v>18</v>
      </c>
      <c r="C115" t="s">
        <v>48</v>
      </c>
      <c r="D115">
        <v>2.780821918</v>
      </c>
      <c r="E115">
        <v>0.45315489674283599</v>
      </c>
      <c r="F115">
        <v>47.6</v>
      </c>
      <c r="G115">
        <v>0.89</v>
      </c>
      <c r="H115">
        <v>0.39</v>
      </c>
      <c r="I115">
        <v>0.497</v>
      </c>
      <c r="J115">
        <v>0.61299999999999999</v>
      </c>
      <c r="K115">
        <v>0.481012658227848</v>
      </c>
    </row>
    <row r="116" spans="1:11" hidden="1" x14ac:dyDescent="0.35">
      <c r="A116" t="s">
        <v>47</v>
      </c>
      <c r="B116">
        <v>19</v>
      </c>
      <c r="C116" t="s">
        <v>44</v>
      </c>
      <c r="D116">
        <v>2.9722222220000001</v>
      </c>
      <c r="E116">
        <v>0.44086756452342701</v>
      </c>
      <c r="F116">
        <v>52</v>
      </c>
      <c r="G116">
        <v>0.88500000000000001</v>
      </c>
      <c r="H116">
        <v>0.47599999999999998</v>
      </c>
      <c r="I116">
        <v>0.61899999999999999</v>
      </c>
      <c r="J116">
        <v>0.57899999999999996</v>
      </c>
      <c r="K116">
        <v>0.455696202531646</v>
      </c>
    </row>
    <row r="117" spans="1:11" hidden="1" x14ac:dyDescent="0.35">
      <c r="A117" t="s">
        <v>47</v>
      </c>
      <c r="B117">
        <v>20</v>
      </c>
      <c r="C117" t="s">
        <v>20</v>
      </c>
      <c r="D117">
        <v>2.9726027400000001</v>
      </c>
      <c r="E117">
        <v>0.49086834149900999</v>
      </c>
      <c r="F117">
        <v>49.7</v>
      </c>
      <c r="G117">
        <v>0.9</v>
      </c>
      <c r="H117">
        <v>0.42099999999999999</v>
      </c>
      <c r="I117">
        <v>0.40100000000000002</v>
      </c>
      <c r="J117">
        <v>0.54400000000000004</v>
      </c>
      <c r="K117">
        <v>0.367088607594937</v>
      </c>
    </row>
    <row r="118" spans="1:11" hidden="1" x14ac:dyDescent="0.35">
      <c r="A118" t="s">
        <v>47</v>
      </c>
      <c r="B118">
        <v>21</v>
      </c>
      <c r="C118" t="s">
        <v>33</v>
      </c>
      <c r="D118">
        <v>3.1830985919999999</v>
      </c>
      <c r="E118">
        <v>0.47415521722985499</v>
      </c>
      <c r="F118">
        <v>52.6</v>
      </c>
      <c r="G118">
        <v>0.88700000000000001</v>
      </c>
      <c r="H118">
        <v>0.65200000000000002</v>
      </c>
      <c r="I118">
        <v>0.66</v>
      </c>
      <c r="J118">
        <v>0.32800000000000001</v>
      </c>
      <c r="K118">
        <v>0.30379746835443</v>
      </c>
    </row>
    <row r="119" spans="1:11" hidden="1" x14ac:dyDescent="0.35">
      <c r="A119" t="s">
        <v>47</v>
      </c>
      <c r="B119">
        <v>22</v>
      </c>
      <c r="C119" t="s">
        <v>32</v>
      </c>
      <c r="D119">
        <v>2.7183098590000001</v>
      </c>
      <c r="E119">
        <v>0.45318944435657499</v>
      </c>
      <c r="F119">
        <v>48.4</v>
      </c>
      <c r="G119">
        <v>0.89600000000000002</v>
      </c>
      <c r="H119">
        <v>0.39</v>
      </c>
      <c r="I119">
        <v>0.45600000000000002</v>
      </c>
      <c r="J119">
        <v>0</v>
      </c>
      <c r="K119">
        <v>1.26582278481012E-2</v>
      </c>
    </row>
    <row r="120" spans="1:11" hidden="1" x14ac:dyDescent="0.35">
      <c r="A120" t="s">
        <v>47</v>
      </c>
      <c r="B120">
        <v>23</v>
      </c>
      <c r="C120" t="s">
        <v>37</v>
      </c>
      <c r="D120">
        <v>2.8472222220000001</v>
      </c>
      <c r="E120">
        <v>0.440578281928166</v>
      </c>
      <c r="F120">
        <v>49</v>
      </c>
      <c r="G120">
        <v>0.88800000000000001</v>
      </c>
      <c r="H120">
        <v>0.42699999999999999</v>
      </c>
      <c r="I120">
        <v>0.55100000000000005</v>
      </c>
      <c r="J120">
        <v>0.45800000000000002</v>
      </c>
      <c r="K120">
        <v>0.151898734177215</v>
      </c>
    </row>
    <row r="121" spans="1:11" hidden="1" x14ac:dyDescent="0.35">
      <c r="A121" t="s">
        <v>47</v>
      </c>
      <c r="B121">
        <v>24</v>
      </c>
      <c r="C121" t="s">
        <v>35</v>
      </c>
      <c r="D121">
        <v>2.7222222220000001</v>
      </c>
      <c r="E121">
        <v>0.43144169539874899</v>
      </c>
      <c r="F121">
        <v>51.7</v>
      </c>
      <c r="G121">
        <v>0.90300000000000002</v>
      </c>
      <c r="H121">
        <v>0.35399999999999998</v>
      </c>
      <c r="I121">
        <v>0.46300000000000002</v>
      </c>
      <c r="J121">
        <v>3.3000000000000002E-2</v>
      </c>
      <c r="K121">
        <v>0.405063291139241</v>
      </c>
    </row>
    <row r="122" spans="1:11" hidden="1" x14ac:dyDescent="0.35">
      <c r="A122" t="s">
        <v>47</v>
      </c>
      <c r="B122">
        <v>25</v>
      </c>
      <c r="C122" t="s">
        <v>22</v>
      </c>
      <c r="D122">
        <v>2.6301369860000001</v>
      </c>
      <c r="E122">
        <v>0.38826689135815501</v>
      </c>
      <c r="F122">
        <v>50.6</v>
      </c>
      <c r="G122">
        <v>0.88500000000000001</v>
      </c>
      <c r="H122">
        <v>0.317</v>
      </c>
      <c r="I122">
        <v>0.59899999999999998</v>
      </c>
      <c r="J122">
        <v>0.246</v>
      </c>
      <c r="K122">
        <v>0.569620253164557</v>
      </c>
    </row>
    <row r="123" spans="1:11" hidden="1" x14ac:dyDescent="0.35">
      <c r="A123" t="s">
        <v>47</v>
      </c>
      <c r="B123">
        <v>26</v>
      </c>
      <c r="C123" t="s">
        <v>24</v>
      </c>
      <c r="D123">
        <v>2.9189189189999998</v>
      </c>
      <c r="E123">
        <v>0.39378798109385499</v>
      </c>
      <c r="F123">
        <v>49.8</v>
      </c>
      <c r="G123">
        <v>0.88100000000000001</v>
      </c>
      <c r="H123">
        <v>0.47</v>
      </c>
      <c r="I123">
        <v>0.80300000000000005</v>
      </c>
      <c r="J123">
        <v>0.59799999999999998</v>
      </c>
      <c r="K123">
        <v>0.164556962025316</v>
      </c>
    </row>
    <row r="124" spans="1:11" hidden="1" x14ac:dyDescent="0.35">
      <c r="A124" t="s">
        <v>47</v>
      </c>
      <c r="B124">
        <v>27</v>
      </c>
      <c r="C124" t="s">
        <v>42</v>
      </c>
      <c r="D124">
        <v>3.0273972599999999</v>
      </c>
      <c r="E124">
        <v>0.471451876019576</v>
      </c>
      <c r="F124">
        <v>47.2</v>
      </c>
      <c r="G124">
        <v>0.88900000000000001</v>
      </c>
      <c r="H124">
        <v>0.47</v>
      </c>
      <c r="I124">
        <v>0.55100000000000005</v>
      </c>
      <c r="J124">
        <v>0.42299999999999999</v>
      </c>
      <c r="K124">
        <v>0.113924050632911</v>
      </c>
    </row>
    <row r="125" spans="1:11" hidden="1" x14ac:dyDescent="0.35">
      <c r="A125" t="s">
        <v>47</v>
      </c>
      <c r="B125">
        <v>28</v>
      </c>
      <c r="C125" t="s">
        <v>41</v>
      </c>
      <c r="D125">
        <v>2.7432432430000002</v>
      </c>
      <c r="E125">
        <v>0.38790782611969798</v>
      </c>
      <c r="F125">
        <v>51.2</v>
      </c>
      <c r="G125">
        <v>0.871</v>
      </c>
      <c r="H125">
        <v>0.33500000000000002</v>
      </c>
      <c r="I125">
        <v>0.63300000000000001</v>
      </c>
      <c r="J125">
        <v>0.25</v>
      </c>
      <c r="K125">
        <v>0.227848101265823</v>
      </c>
    </row>
    <row r="126" spans="1:11" hidden="1" x14ac:dyDescent="0.35">
      <c r="A126" t="s">
        <v>47</v>
      </c>
      <c r="B126">
        <v>29</v>
      </c>
      <c r="C126" t="s">
        <v>36</v>
      </c>
      <c r="D126">
        <v>3.1549295769999999</v>
      </c>
      <c r="E126">
        <v>0.44928366762177702</v>
      </c>
      <c r="F126">
        <v>49.4</v>
      </c>
      <c r="G126">
        <v>0.879</v>
      </c>
      <c r="H126">
        <v>0.60399999999999998</v>
      </c>
      <c r="I126">
        <v>0.76200000000000001</v>
      </c>
      <c r="J126">
        <v>0.34499999999999997</v>
      </c>
      <c r="K126">
        <v>0.645569620253165</v>
      </c>
    </row>
    <row r="127" spans="1:11" hidden="1" x14ac:dyDescent="0.35">
      <c r="A127" t="s">
        <v>47</v>
      </c>
      <c r="B127">
        <v>30</v>
      </c>
      <c r="C127" t="s">
        <v>28</v>
      </c>
      <c r="D127">
        <v>2.5416666669999999</v>
      </c>
      <c r="E127">
        <v>0.38355113213381697</v>
      </c>
      <c r="F127">
        <v>51.7</v>
      </c>
      <c r="G127">
        <v>0.88700000000000001</v>
      </c>
      <c r="H127">
        <v>0.27400000000000002</v>
      </c>
      <c r="I127">
        <v>0.57099999999999995</v>
      </c>
      <c r="J127">
        <v>0.627</v>
      </c>
      <c r="K127">
        <v>0.556962025316456</v>
      </c>
    </row>
    <row r="128" spans="1:11" hidden="1" x14ac:dyDescent="0.35">
      <c r="A128" t="s">
        <v>47</v>
      </c>
      <c r="B128">
        <v>31</v>
      </c>
      <c r="C128" t="s">
        <v>39</v>
      </c>
      <c r="D128">
        <v>2.7123287669999998</v>
      </c>
      <c r="E128">
        <v>0.36351160893108803</v>
      </c>
      <c r="F128">
        <v>51.6</v>
      </c>
      <c r="G128">
        <v>0.88500000000000001</v>
      </c>
      <c r="H128">
        <v>0.35399999999999998</v>
      </c>
      <c r="I128">
        <v>0.748</v>
      </c>
      <c r="J128">
        <v>0.754</v>
      </c>
      <c r="K128">
        <v>0.392405063291139</v>
      </c>
    </row>
    <row r="129" spans="1:11" hidden="1" x14ac:dyDescent="0.35">
      <c r="A129" t="s">
        <v>47</v>
      </c>
      <c r="B129">
        <v>32</v>
      </c>
      <c r="C129" t="s">
        <v>34</v>
      </c>
      <c r="D129">
        <v>2.6197183100000001</v>
      </c>
      <c r="E129">
        <v>0.33852596970527199</v>
      </c>
      <c r="F129">
        <v>50.5</v>
      </c>
      <c r="G129">
        <v>0.88400000000000001</v>
      </c>
      <c r="H129">
        <v>0.27400000000000002</v>
      </c>
      <c r="I129">
        <v>0.748</v>
      </c>
      <c r="J129">
        <v>0.32500000000000001</v>
      </c>
      <c r="K129">
        <v>0.367088607594937</v>
      </c>
    </row>
  </sheetData>
  <conditionalFormatting sqref="D3:D7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7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7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7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7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7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7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7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DF418-B940-48DF-87C5-A878EF87FA3D}">
  <dimension ref="A1:S17"/>
  <sheetViews>
    <sheetView tabSelected="1" topLeftCell="H1" zoomScale="90" zoomScaleNormal="90" workbookViewId="0">
      <selection activeCell="L15" sqref="L15"/>
    </sheetView>
  </sheetViews>
  <sheetFormatPr defaultRowHeight="14.5" x14ac:dyDescent="0.35"/>
  <cols>
    <col min="1" max="1" width="7.453125" customWidth="1"/>
    <col min="2" max="2" width="14.54296875" customWidth="1"/>
    <col min="3" max="3" width="18.26953125" bestFit="1" customWidth="1"/>
    <col min="4" max="4" width="10.26953125" customWidth="1"/>
    <col min="5" max="5" width="11.7265625" customWidth="1"/>
    <col min="6" max="6" width="16.81640625" customWidth="1"/>
    <col min="7" max="7" width="5.1796875" customWidth="1"/>
    <col min="8" max="8" width="17.54296875" customWidth="1"/>
    <col min="9" max="9" width="13" customWidth="1"/>
    <col min="10" max="10" width="25" customWidth="1"/>
    <col min="11" max="11" width="17.7265625" customWidth="1"/>
    <col min="12" max="12" width="14.453125" customWidth="1"/>
    <col min="13" max="13" width="22.54296875" customWidth="1"/>
    <col min="14" max="14" width="17.81640625" bestFit="1" customWidth="1"/>
    <col min="15" max="15" width="10" bestFit="1" customWidth="1"/>
    <col min="16" max="16" width="14.7265625" bestFit="1" customWidth="1"/>
    <col min="17" max="17" width="12.54296875" customWidth="1"/>
    <col min="18" max="18" width="13.453125" customWidth="1"/>
    <col min="19" max="19" width="13.54296875" customWidth="1"/>
    <col min="20" max="20" width="17.54296875" customWidth="1"/>
  </cols>
  <sheetData>
    <row r="1" spans="1:19" ht="15" thickBot="1" x14ac:dyDescent="0.4">
      <c r="A1" s="16" t="s">
        <v>1</v>
      </c>
      <c r="B1" s="16" t="s">
        <v>50</v>
      </c>
      <c r="C1" s="17" t="s">
        <v>2</v>
      </c>
      <c r="D1" s="16" t="s">
        <v>3</v>
      </c>
      <c r="E1" s="16" t="s">
        <v>4</v>
      </c>
      <c r="F1" s="16" t="s">
        <v>49</v>
      </c>
      <c r="G1" s="16" t="s">
        <v>51</v>
      </c>
      <c r="H1" s="16" t="s">
        <v>52</v>
      </c>
      <c r="I1" s="16" t="s">
        <v>53</v>
      </c>
      <c r="J1" s="16" t="s">
        <v>54</v>
      </c>
      <c r="K1" s="16" t="s">
        <v>55</v>
      </c>
      <c r="L1" s="16" t="s">
        <v>56</v>
      </c>
      <c r="M1" s="16" t="s">
        <v>57</v>
      </c>
      <c r="N1" s="16" t="s">
        <v>58</v>
      </c>
      <c r="O1" s="16" t="s">
        <v>59</v>
      </c>
      <c r="P1" s="16" t="s">
        <v>60</v>
      </c>
      <c r="Q1" s="16" t="s">
        <v>61</v>
      </c>
      <c r="R1" s="16" t="s">
        <v>62</v>
      </c>
      <c r="S1" s="16" t="s">
        <v>63</v>
      </c>
    </row>
    <row r="2" spans="1:19" x14ac:dyDescent="0.35">
      <c r="A2" s="12">
        <v>2</v>
      </c>
      <c r="B2" s="12" t="s">
        <v>64</v>
      </c>
      <c r="C2" s="11" t="s">
        <v>25</v>
      </c>
      <c r="D2" s="13">
        <v>3.4878048779999999</v>
      </c>
      <c r="E2" s="14">
        <v>0.60934019681607898</v>
      </c>
      <c r="F2" s="15">
        <v>9.0260833333333323</v>
      </c>
      <c r="G2" s="2"/>
      <c r="H2" s="24" t="s">
        <v>65</v>
      </c>
      <c r="I2" s="19">
        <v>3.2560975609999998</v>
      </c>
      <c r="J2" s="22">
        <f>Table6[[#This Row],[GPG]]-I3</f>
        <v>0.3048780489999996</v>
      </c>
      <c r="K2" s="27" t="s">
        <v>65</v>
      </c>
      <c r="L2" s="28">
        <v>3.26</v>
      </c>
      <c r="M2" s="29">
        <f>Table6[[#This Row],[GPG2]]-L3</f>
        <v>-0.30000000000000027</v>
      </c>
      <c r="N2" s="34" t="s">
        <v>66</v>
      </c>
      <c r="O2" s="28">
        <v>3.35</v>
      </c>
      <c r="P2" s="29">
        <f>Table6[[#This Row],[GPG3]]-O3</f>
        <v>1.0000000000000231E-2</v>
      </c>
      <c r="Q2" s="27" t="s">
        <v>66</v>
      </c>
      <c r="R2" s="28">
        <v>3.35</v>
      </c>
      <c r="S2" s="29">
        <f>Table6[[#This Row],[GPG4]]-R3</f>
        <v>-0.20999999999999996</v>
      </c>
    </row>
    <row r="3" spans="1:19" ht="15" thickBot="1" x14ac:dyDescent="0.4">
      <c r="A3" s="12">
        <v>4</v>
      </c>
      <c r="B3" s="12" t="s">
        <v>64</v>
      </c>
      <c r="C3" s="11" t="s">
        <v>16</v>
      </c>
      <c r="D3" s="13">
        <v>3.2560975609999998</v>
      </c>
      <c r="E3" s="14">
        <v>0.57616584498504797</v>
      </c>
      <c r="F3" s="15">
        <v>8.4611666666666654</v>
      </c>
      <c r="G3" s="2"/>
      <c r="H3" s="20" t="s">
        <v>67</v>
      </c>
      <c r="I3" s="21">
        <v>2.9512195120000002</v>
      </c>
      <c r="J3" s="23">
        <f>Table6[[#This Row],[GPG]]-I2</f>
        <v>-0.3048780489999996</v>
      </c>
      <c r="K3" s="33" t="s">
        <v>68</v>
      </c>
      <c r="L3" s="31">
        <v>3.56</v>
      </c>
      <c r="M3" s="32">
        <f>Table6[[#This Row],[GPG2]]-L2</f>
        <v>0.30000000000000027</v>
      </c>
      <c r="N3" s="30" t="s">
        <v>69</v>
      </c>
      <c r="O3" s="31">
        <v>3.34</v>
      </c>
      <c r="P3" s="32">
        <f>Table6[[#This Row],[GPG3]]-O2</f>
        <v>-1.0000000000000231E-2</v>
      </c>
      <c r="Q3" s="33" t="s">
        <v>68</v>
      </c>
      <c r="R3" s="31">
        <v>3.56</v>
      </c>
      <c r="S3" s="32">
        <f>Table6[[#This Row],[GPG4]]-R2</f>
        <v>0.20999999999999996</v>
      </c>
    </row>
    <row r="4" spans="1:19" x14ac:dyDescent="0.35">
      <c r="A4" s="12">
        <v>7</v>
      </c>
      <c r="B4" s="12" t="s">
        <v>64</v>
      </c>
      <c r="C4" s="11" t="s">
        <v>19</v>
      </c>
      <c r="D4" s="13">
        <v>3.5609756099999998</v>
      </c>
      <c r="E4" s="14">
        <v>0.64633110976349295</v>
      </c>
      <c r="F4" s="15">
        <v>9.0064166666666683</v>
      </c>
      <c r="G4" s="2"/>
      <c r="H4" s="24" t="s">
        <v>68</v>
      </c>
      <c r="I4" s="19">
        <v>3.5609756099999998</v>
      </c>
      <c r="J4" s="22">
        <f>Table6[[#This Row],[GPG]]-I5</f>
        <v>0.56097560999999985</v>
      </c>
      <c r="K4" s="34" t="s">
        <v>70</v>
      </c>
      <c r="L4" s="28">
        <v>3.49</v>
      </c>
      <c r="M4" s="29">
        <f>Table6[[#This Row],[GPG2]]-L5</f>
        <v>0.25</v>
      </c>
      <c r="N4" s="27" t="s">
        <v>70</v>
      </c>
      <c r="O4" s="28">
        <v>3.49</v>
      </c>
      <c r="P4" s="29">
        <f>Table6[[#This Row],[GPG3]]-O5</f>
        <v>-6.999999999999984E-2</v>
      </c>
      <c r="Q4" s="1"/>
      <c r="R4" s="1"/>
      <c r="S4" s="1"/>
    </row>
    <row r="5" spans="1:19" ht="15" thickBot="1" x14ac:dyDescent="0.4">
      <c r="A5" s="12">
        <v>10</v>
      </c>
      <c r="B5" s="12" t="s">
        <v>64</v>
      </c>
      <c r="C5" s="11" t="s">
        <v>15</v>
      </c>
      <c r="D5" s="13">
        <v>3.2439024390000002</v>
      </c>
      <c r="E5" s="14">
        <v>0.57220029759979296</v>
      </c>
      <c r="F5" s="15">
        <v>10.388583333333333</v>
      </c>
      <c r="G5" s="2"/>
      <c r="H5" s="20" t="s">
        <v>71</v>
      </c>
      <c r="I5" s="21">
        <v>3</v>
      </c>
      <c r="J5" s="23">
        <f>Table6[[#This Row],[GPG]]-I4</f>
        <v>-0.56097560999999985</v>
      </c>
      <c r="K5" s="30" t="s">
        <v>72</v>
      </c>
      <c r="L5" s="31">
        <v>3.24</v>
      </c>
      <c r="M5" s="32">
        <f>Table6[[#This Row],[GPG2]]-L4</f>
        <v>-0.25</v>
      </c>
      <c r="N5" s="33" t="s">
        <v>68</v>
      </c>
      <c r="O5" s="31">
        <v>3.56</v>
      </c>
      <c r="P5" s="32">
        <f>Table6[[#This Row],[GPG3]]-O4</f>
        <v>6.999999999999984E-2</v>
      </c>
      <c r="Q5" s="1"/>
      <c r="R5" s="1"/>
      <c r="S5" s="1"/>
    </row>
    <row r="6" spans="1:19" x14ac:dyDescent="0.35">
      <c r="A6" s="12">
        <v>11</v>
      </c>
      <c r="B6" s="12" t="s">
        <v>64</v>
      </c>
      <c r="C6" s="11" t="s">
        <v>13</v>
      </c>
      <c r="D6" s="13">
        <v>3</v>
      </c>
      <c r="E6" s="14">
        <v>0.54892285364415605</v>
      </c>
      <c r="F6" s="15">
        <v>9.8260000000000023</v>
      </c>
      <c r="G6" s="2"/>
      <c r="H6" s="24" t="s">
        <v>70</v>
      </c>
      <c r="I6" s="19">
        <v>3.4878048779999999</v>
      </c>
      <c r="J6" s="22">
        <f>Table6[[#This Row],[GPG]]-I7</f>
        <v>0.52439024400000012</v>
      </c>
      <c r="K6" s="34" t="s">
        <v>66</v>
      </c>
      <c r="L6" s="28">
        <v>3.35</v>
      </c>
      <c r="M6" s="29">
        <f>Table6[[#This Row],[GPG2]]-L7</f>
        <v>0</v>
      </c>
      <c r="N6" s="1"/>
      <c r="O6" s="1"/>
      <c r="P6" s="1"/>
      <c r="Q6" s="1"/>
      <c r="R6" s="1"/>
      <c r="S6" s="1"/>
    </row>
    <row r="7" spans="1:19" ht="15" thickBot="1" x14ac:dyDescent="0.4">
      <c r="A7" s="12">
        <v>13</v>
      </c>
      <c r="B7" s="12" t="s">
        <v>64</v>
      </c>
      <c r="C7" s="11" t="s">
        <v>38</v>
      </c>
      <c r="D7" s="13">
        <v>2.9512195120000002</v>
      </c>
      <c r="E7" s="14">
        <v>0.52108766060433498</v>
      </c>
      <c r="F7" s="15">
        <v>8.8750833333333343</v>
      </c>
      <c r="G7" s="2"/>
      <c r="H7" s="20" t="s">
        <v>73</v>
      </c>
      <c r="I7" s="21">
        <v>2.9634146339999998</v>
      </c>
      <c r="J7" s="23">
        <f>Table6[[#This Row],[GPG]]-I6</f>
        <v>-0.52439024400000012</v>
      </c>
      <c r="K7" s="30" t="s">
        <v>74</v>
      </c>
      <c r="L7" s="31">
        <v>3.35</v>
      </c>
      <c r="M7" s="32">
        <f>Table6[[#This Row],[GPG2]]-L6</f>
        <v>0</v>
      </c>
      <c r="N7" s="1"/>
      <c r="O7" s="1"/>
      <c r="P7" s="1"/>
      <c r="Q7" s="1"/>
      <c r="R7" s="1"/>
      <c r="S7" s="1"/>
    </row>
    <row r="8" spans="1:19" x14ac:dyDescent="0.35">
      <c r="A8" s="12">
        <v>16</v>
      </c>
      <c r="B8" s="12" t="s">
        <v>64</v>
      </c>
      <c r="C8" s="11" t="s">
        <v>44</v>
      </c>
      <c r="D8" s="13">
        <v>2.9634146339999998</v>
      </c>
      <c r="E8" s="14">
        <v>0.46433121019108298</v>
      </c>
      <c r="F8" s="15">
        <v>8.5009166666666669</v>
      </c>
      <c r="G8" s="2"/>
      <c r="H8" s="24" t="s">
        <v>72</v>
      </c>
      <c r="I8" s="19">
        <v>3.2439024390000002</v>
      </c>
      <c r="J8" s="22">
        <f>Table6[[#This Row],[GPG]]-I9</f>
        <v>0.3170731710000001</v>
      </c>
      <c r="K8" s="34" t="s">
        <v>69</v>
      </c>
      <c r="L8" s="28">
        <v>3.34</v>
      </c>
      <c r="M8" s="29">
        <f>Table6[[#This Row],[GPG2]]-L9</f>
        <v>0.17999999999999972</v>
      </c>
      <c r="N8" s="1"/>
      <c r="O8" s="1"/>
      <c r="P8" s="1"/>
      <c r="Q8" s="1"/>
      <c r="R8" s="1"/>
      <c r="S8" s="1"/>
    </row>
    <row r="9" spans="1:19" ht="15" thickBot="1" x14ac:dyDescent="0.4">
      <c r="A9" s="12">
        <v>17</v>
      </c>
      <c r="B9" s="12" t="s">
        <v>64</v>
      </c>
      <c r="C9" s="11" t="s">
        <v>40</v>
      </c>
      <c r="D9" s="13">
        <v>2.9268292680000001</v>
      </c>
      <c r="E9" s="14">
        <v>0.543396226415094</v>
      </c>
      <c r="F9" s="15">
        <v>9.129666666666667</v>
      </c>
      <c r="G9" s="2"/>
      <c r="H9" s="20" t="s">
        <v>75</v>
      </c>
      <c r="I9" s="21">
        <v>2.9268292680000001</v>
      </c>
      <c r="J9" s="23">
        <f>Table6[[#This Row],[GPG]]-I8</f>
        <v>-0.3170731710000001</v>
      </c>
      <c r="K9" s="30" t="s">
        <v>76</v>
      </c>
      <c r="L9" s="31">
        <v>3.16</v>
      </c>
      <c r="M9" s="32">
        <f>Table6[[#This Row],[GPG2]]-L8</f>
        <v>-0.17999999999999972</v>
      </c>
      <c r="N9" s="1"/>
      <c r="O9" s="1"/>
      <c r="P9" s="1"/>
      <c r="Q9" s="1"/>
      <c r="R9" s="1"/>
      <c r="S9" s="1"/>
    </row>
    <row r="10" spans="1:19" x14ac:dyDescent="0.35">
      <c r="A10" s="12">
        <v>1</v>
      </c>
      <c r="B10" s="12" t="s">
        <v>77</v>
      </c>
      <c r="C10" s="11" t="s">
        <v>31</v>
      </c>
      <c r="D10" s="13">
        <v>3.3536585369999998</v>
      </c>
      <c r="E10" s="14">
        <v>0.67688520921906503</v>
      </c>
      <c r="F10" s="15">
        <v>8.8801666666666659</v>
      </c>
      <c r="G10" s="2"/>
      <c r="H10" s="24" t="s">
        <v>66</v>
      </c>
      <c r="I10" s="19">
        <v>3.3536585369999998</v>
      </c>
      <c r="J10" s="22">
        <f>Table6[[#This Row],[GPG]]-I11</f>
        <v>0.30487804900000004</v>
      </c>
      <c r="K10" s="1"/>
      <c r="L10" s="1"/>
      <c r="M10" s="1"/>
      <c r="N10" s="1"/>
      <c r="O10" s="1"/>
      <c r="P10" s="1"/>
      <c r="Q10" s="1"/>
      <c r="R10" s="1"/>
      <c r="S10" s="1"/>
    </row>
    <row r="11" spans="1:19" ht="15" thickBot="1" x14ac:dyDescent="0.4">
      <c r="A11" s="12">
        <v>3</v>
      </c>
      <c r="B11" s="12" t="s">
        <v>77</v>
      </c>
      <c r="C11" s="11" t="s">
        <v>29</v>
      </c>
      <c r="D11" s="13">
        <v>3.3414634150000002</v>
      </c>
      <c r="E11" s="14">
        <v>0.62111986233370797</v>
      </c>
      <c r="F11" s="15">
        <v>9.0306666666666668</v>
      </c>
      <c r="G11" s="2"/>
      <c r="H11" s="20" t="s">
        <v>78</v>
      </c>
      <c r="I11" s="21">
        <v>3.0487804879999998</v>
      </c>
      <c r="J11" s="23">
        <f>Table6[[#This Row],[GPG]]-I10</f>
        <v>-0.30487804900000004</v>
      </c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5">
      <c r="A12" s="12">
        <v>5</v>
      </c>
      <c r="B12" s="12" t="s">
        <v>77</v>
      </c>
      <c r="C12" s="11" t="s">
        <v>27</v>
      </c>
      <c r="D12" s="13">
        <v>3.3536585369999998</v>
      </c>
      <c r="E12" s="14">
        <v>0.60544076087391596</v>
      </c>
      <c r="F12" s="15">
        <v>8.7841666666666658</v>
      </c>
      <c r="G12" s="2"/>
      <c r="H12" s="24" t="s">
        <v>74</v>
      </c>
      <c r="I12" s="19">
        <v>3.3536585369999998</v>
      </c>
      <c r="J12" s="22">
        <f>Table6[[#This Row],[GPG]]-I13</f>
        <v>2.4390243999999672E-2</v>
      </c>
      <c r="K12" s="1"/>
      <c r="L12" s="1"/>
      <c r="M12" s="1"/>
      <c r="N12" s="1"/>
      <c r="O12" s="1"/>
      <c r="P12" s="1"/>
      <c r="Q12" s="1"/>
      <c r="R12" s="1"/>
      <c r="S12" s="1"/>
    </row>
    <row r="13" spans="1:19" ht="15" thickBot="1" x14ac:dyDescent="0.4">
      <c r="A13" s="12">
        <v>6</v>
      </c>
      <c r="B13" s="12" t="s">
        <v>77</v>
      </c>
      <c r="C13" s="11" t="s">
        <v>26</v>
      </c>
      <c r="D13" s="13">
        <v>3.0365853660000002</v>
      </c>
      <c r="E13" s="14">
        <v>0.60072667377192102</v>
      </c>
      <c r="F13" s="15">
        <v>9.3406666666666656</v>
      </c>
      <c r="G13" s="2"/>
      <c r="H13" s="20" t="s">
        <v>79</v>
      </c>
      <c r="I13" s="21">
        <v>3.3292682930000002</v>
      </c>
      <c r="J13" s="23">
        <f>Table6[[#This Row],[GPG]]-I12</f>
        <v>-2.4390243999999672E-2</v>
      </c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5">
      <c r="A14" s="12">
        <v>8</v>
      </c>
      <c r="B14" s="12" t="s">
        <v>77</v>
      </c>
      <c r="C14" s="11" t="s">
        <v>14</v>
      </c>
      <c r="D14" s="13">
        <v>3.3292682930000002</v>
      </c>
      <c r="E14" s="14">
        <v>0.582758620689655</v>
      </c>
      <c r="F14" s="15">
        <v>9.570666666666666</v>
      </c>
      <c r="G14" s="2"/>
      <c r="H14" s="24" t="s">
        <v>69</v>
      </c>
      <c r="I14" s="19">
        <v>3.3414634150000002</v>
      </c>
      <c r="J14" s="22">
        <f>Table6[[#This Row],[GPG]]-I15</f>
        <v>0.59756097600000002</v>
      </c>
      <c r="K14" s="1"/>
      <c r="L14" s="1"/>
      <c r="M14" s="1"/>
      <c r="N14" s="1"/>
      <c r="O14" s="1"/>
      <c r="P14" s="1"/>
      <c r="Q14" s="1"/>
      <c r="R14" s="1"/>
      <c r="S14" s="1"/>
    </row>
    <row r="15" spans="1:19" ht="15" thickBot="1" x14ac:dyDescent="0.4">
      <c r="A15" s="12">
        <v>9</v>
      </c>
      <c r="B15" s="12" t="s">
        <v>77</v>
      </c>
      <c r="C15" s="11" t="s">
        <v>23</v>
      </c>
      <c r="D15" s="13">
        <v>3.1585365849999998</v>
      </c>
      <c r="E15" s="14">
        <v>0.54846859516295199</v>
      </c>
      <c r="F15" s="15">
        <v>9.5307499999999994</v>
      </c>
      <c r="G15" s="2"/>
      <c r="H15" s="20" t="s">
        <v>80</v>
      </c>
      <c r="I15" s="21">
        <v>2.7439024390000002</v>
      </c>
      <c r="J15" s="23">
        <f>Table6[[#This Row],[GPG]]-I14</f>
        <v>-0.59756097600000002</v>
      </c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5">
      <c r="A16" s="12">
        <v>12</v>
      </c>
      <c r="B16" s="12" t="s">
        <v>77</v>
      </c>
      <c r="C16" s="11" t="s">
        <v>17</v>
      </c>
      <c r="D16" s="13">
        <v>2.7439024390000002</v>
      </c>
      <c r="E16" s="14">
        <v>0.47615240639196399</v>
      </c>
      <c r="F16" s="15">
        <v>8.4121666666666659</v>
      </c>
      <c r="G16" s="2"/>
      <c r="H16" s="18" t="s">
        <v>81</v>
      </c>
      <c r="I16" s="19">
        <v>3.0365853660000002</v>
      </c>
      <c r="J16" s="22">
        <f>Table6[[#This Row],[GPG]]-I17</f>
        <v>-0.12195121899999961</v>
      </c>
      <c r="K16" s="1"/>
      <c r="L16" s="1"/>
      <c r="M16" s="1"/>
      <c r="N16" s="1"/>
      <c r="O16" s="1"/>
      <c r="P16" s="1"/>
      <c r="Q16" s="1"/>
      <c r="R16" s="1"/>
      <c r="S16" s="1"/>
    </row>
    <row r="17" spans="1:19" ht="15" thickBot="1" x14ac:dyDescent="0.4">
      <c r="A17" s="12">
        <v>15</v>
      </c>
      <c r="B17" s="12" t="s">
        <v>77</v>
      </c>
      <c r="C17" s="11" t="s">
        <v>21</v>
      </c>
      <c r="D17" s="13">
        <v>3.0487804879999998</v>
      </c>
      <c r="E17" s="14">
        <v>0.53943950078110803</v>
      </c>
      <c r="F17" s="15">
        <v>8.5794166666666651</v>
      </c>
      <c r="G17" s="2"/>
      <c r="H17" s="25" t="s">
        <v>76</v>
      </c>
      <c r="I17" s="21">
        <v>3.1585365849999998</v>
      </c>
      <c r="J17" s="23">
        <f>Table6[[#This Row],[GPG]]-I16</f>
        <v>0.12195121899999961</v>
      </c>
      <c r="K17" s="1"/>
      <c r="L17" s="1"/>
      <c r="M17" s="1"/>
      <c r="N17" s="1"/>
      <c r="O17" s="1"/>
      <c r="P17" s="1"/>
      <c r="Q17" s="1"/>
      <c r="R17" s="1"/>
      <c r="S17" s="1"/>
    </row>
  </sheetData>
  <conditionalFormatting sqref="D2:D17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7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G17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3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5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:I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8:I9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:I1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:I1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:I1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6:I1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{5A4E2249-BC55-4950-8A92-FA354AAE145B}</x14:id>
        </ext>
      </extLst>
    </cfRule>
  </conditionalFormatting>
  <conditionalFormatting sqref="L2:L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:L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8:L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{B8AB120C-C7C4-41E9-BF2F-00A486A12454}</x14:id>
        </ext>
      </extLst>
    </cfRule>
  </conditionalFormatting>
  <conditionalFormatting sqref="M6:M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{FF520F7D-8D60-4817-82D0-F6F19CC27A69}</x14:id>
        </ext>
      </extLst>
    </cfRule>
  </conditionalFormatting>
  <conditionalFormatting sqref="O2:O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{B746BF42-637C-45D5-AE0F-6C6C633AB8E1}</x14:id>
        </ext>
      </extLst>
    </cfRule>
  </conditionalFormatting>
  <conditionalFormatting sqref="S2:S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{362F77D8-CDE7-4D0E-9D7A-E454E7D02224}</x14:id>
        </ext>
      </extLst>
    </cfRule>
  </conditionalFormatting>
  <pageMargins left="0.7" right="0.7" top="0.75" bottom="0.75" header="0.3" footer="0.3"/>
  <ignoredErrors>
    <ignoredError sqref="J3 J5 J7 J9 J11 J13 J15 J17 M3 M5 M7 M9 P3 P5 S3" calculatedColumn="1"/>
  </ignoredErrors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4E2249-BC55-4950-8A92-FA354AAE14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J2:J17</xm:sqref>
        </x14:conditionalFormatting>
        <x14:conditionalFormatting xmlns:xm="http://schemas.microsoft.com/office/excel/2006/main">
          <x14:cfRule type="dataBar" id="{B8AB120C-C7C4-41E9-BF2F-00A486A124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M2:M5</xm:sqref>
        </x14:conditionalFormatting>
        <x14:conditionalFormatting xmlns:xm="http://schemas.microsoft.com/office/excel/2006/main">
          <x14:cfRule type="dataBar" id="{FF520F7D-8D60-4817-82D0-F6F19CC27A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M6:M9</xm:sqref>
        </x14:conditionalFormatting>
        <x14:conditionalFormatting xmlns:xm="http://schemas.microsoft.com/office/excel/2006/main">
          <x14:cfRule type="dataBar" id="{B746BF42-637C-45D5-AE0F-6C6C633AB8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P2:P5</xm:sqref>
        </x14:conditionalFormatting>
        <x14:conditionalFormatting xmlns:xm="http://schemas.microsoft.com/office/excel/2006/main">
          <x14:cfRule type="dataBar" id="{362F77D8-CDE7-4D0E-9D7A-E454E7D022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S2:S3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6961-2446-43C1-9928-4E9ACFE7B175}">
  <dimension ref="A1:D5"/>
  <sheetViews>
    <sheetView workbookViewId="0">
      <selection activeCell="D15" sqref="D15"/>
    </sheetView>
  </sheetViews>
  <sheetFormatPr defaultRowHeight="14.5" x14ac:dyDescent="0.35"/>
  <cols>
    <col min="1" max="1" width="15.7265625" customWidth="1"/>
    <col min="2" max="2" width="23.81640625" style="1" customWidth="1"/>
    <col min="3" max="3" width="14.54296875" style="1" customWidth="1"/>
    <col min="4" max="4" width="14.7265625" customWidth="1"/>
  </cols>
  <sheetData>
    <row r="1" spans="1:4" x14ac:dyDescent="0.35">
      <c r="A1" t="s">
        <v>0</v>
      </c>
      <c r="B1" s="1" t="s">
        <v>82</v>
      </c>
      <c r="C1" s="1" t="s">
        <v>83</v>
      </c>
      <c r="D1" t="s">
        <v>84</v>
      </c>
    </row>
    <row r="2" spans="1:4" x14ac:dyDescent="0.35">
      <c r="A2" t="s">
        <v>12</v>
      </c>
      <c r="B2" s="1">
        <v>3.11</v>
      </c>
      <c r="C2" s="1">
        <v>2.69</v>
      </c>
      <c r="D2" s="26">
        <f>Table7[[#This Row],[PLAYOFF]]/Table7[[#This Row],[REGULAR_SEASON]]</f>
        <v>0.864951768488746</v>
      </c>
    </row>
    <row r="3" spans="1:4" x14ac:dyDescent="0.35">
      <c r="A3" t="s">
        <v>45</v>
      </c>
      <c r="B3" s="1">
        <v>3.14</v>
      </c>
      <c r="C3" s="1">
        <v>3.06</v>
      </c>
      <c r="D3" s="26">
        <f>Table7[[#This Row],[PLAYOFF]]/Table7[[#This Row],[REGULAR_SEASON]]</f>
        <v>0.97452229299363058</v>
      </c>
    </row>
    <row r="4" spans="1:4" x14ac:dyDescent="0.35">
      <c r="A4" t="s">
        <v>46</v>
      </c>
      <c r="B4" s="1">
        <v>3.08</v>
      </c>
      <c r="C4" s="1">
        <v>3.03</v>
      </c>
      <c r="D4" s="26">
        <f>Table7[[#This Row],[PLAYOFF]]/Table7[[#This Row],[REGULAR_SEASON]]</f>
        <v>0.98376623376623373</v>
      </c>
    </row>
    <row r="5" spans="1:4" x14ac:dyDescent="0.35">
      <c r="A5" t="s">
        <v>47</v>
      </c>
      <c r="B5" s="1">
        <v>3.01</v>
      </c>
      <c r="D5">
        <f>Table7[[#This Row],[PLAYOFF]]/Table7[[#This Row],[REGULAR_SEASON]]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62462-3735-4A1B-BEDE-CF437ED925C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901A8-CC19-470F-8E6B-4965141C1316}">
  <dimension ref="A1:L129"/>
  <sheetViews>
    <sheetView topLeftCell="A86" zoomScale="80" zoomScaleNormal="80" workbookViewId="0">
      <selection activeCell="E100" sqref="E100"/>
    </sheetView>
  </sheetViews>
  <sheetFormatPr defaultRowHeight="14.5" x14ac:dyDescent="0.35"/>
  <cols>
    <col min="1" max="1" width="11.453125" customWidth="1"/>
    <col min="2" max="2" width="7.54296875" style="1" bestFit="1" customWidth="1"/>
    <col min="3" max="3" width="19.54296875" bestFit="1" customWidth="1"/>
    <col min="4" max="4" width="5.54296875" style="1" bestFit="1" customWidth="1"/>
    <col min="5" max="5" width="9.81640625" style="1" bestFit="1" customWidth="1"/>
    <col min="6" max="6" width="17.54296875" style="1" bestFit="1" customWidth="1"/>
    <col min="7" max="7" width="13.26953125" style="1" bestFit="1" customWidth="1"/>
    <col min="8" max="9" width="8.54296875" style="1" bestFit="1" customWidth="1"/>
    <col min="10" max="11" width="11.81640625" style="1" bestFit="1" customWidth="1"/>
    <col min="12" max="12" width="21.453125" bestFit="1" customWidth="1"/>
  </cols>
  <sheetData>
    <row r="1" spans="1:12" x14ac:dyDescent="0.35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 x14ac:dyDescent="0.35">
      <c r="A2" t="s">
        <v>12</v>
      </c>
      <c r="B2" s="1">
        <v>1</v>
      </c>
      <c r="C2" t="s">
        <v>13</v>
      </c>
      <c r="D2" s="3">
        <v>4.1097560980000001</v>
      </c>
      <c r="E2" s="2">
        <v>0.65977470909122604</v>
      </c>
      <c r="F2" s="3">
        <v>47.6</v>
      </c>
      <c r="G2" s="2">
        <v>0.90400000000000003</v>
      </c>
      <c r="H2" s="2">
        <v>1</v>
      </c>
      <c r="I2" s="2">
        <v>0.41499999999999998</v>
      </c>
      <c r="J2" s="2">
        <v>0.67800000000000005</v>
      </c>
      <c r="K2" s="2">
        <v>0.556962025316456</v>
      </c>
      <c r="L2" s="1">
        <v>0</v>
      </c>
    </row>
    <row r="3" spans="1:12" x14ac:dyDescent="0.35">
      <c r="A3" t="s">
        <v>12</v>
      </c>
      <c r="B3" s="1">
        <v>2</v>
      </c>
      <c r="C3" t="s">
        <v>14</v>
      </c>
      <c r="D3" s="3">
        <v>3.7560975609999998</v>
      </c>
      <c r="E3" s="2">
        <v>0.63800710211987499</v>
      </c>
      <c r="F3" s="3">
        <v>42.6</v>
      </c>
      <c r="G3" s="2">
        <v>0.91200000000000003</v>
      </c>
      <c r="H3" s="2">
        <v>0.80500000000000005</v>
      </c>
      <c r="I3" s="2">
        <v>0.42899999999999999</v>
      </c>
      <c r="J3" s="2">
        <v>0.66700000000000004</v>
      </c>
      <c r="K3" s="2">
        <v>0.417721518987342</v>
      </c>
      <c r="L3" s="1">
        <v>1</v>
      </c>
    </row>
    <row r="4" spans="1:12" x14ac:dyDescent="0.35">
      <c r="A4" t="s">
        <v>12</v>
      </c>
      <c r="B4" s="1">
        <v>3</v>
      </c>
      <c r="C4" t="s">
        <v>15</v>
      </c>
      <c r="D4" s="3">
        <v>3.3780487799999999</v>
      </c>
      <c r="E4" s="2">
        <v>0.65732594299617098</v>
      </c>
      <c r="F4" s="3">
        <v>46.9</v>
      </c>
      <c r="G4" s="2">
        <v>0.91300000000000003</v>
      </c>
      <c r="H4" s="2">
        <v>0.60399999999999998</v>
      </c>
      <c r="I4" s="2">
        <v>0.109</v>
      </c>
      <c r="J4" s="2">
        <v>0.88600000000000001</v>
      </c>
      <c r="K4" s="2">
        <v>0.443037974683544</v>
      </c>
      <c r="L4" s="1">
        <v>0</v>
      </c>
    </row>
    <row r="5" spans="1:12" x14ac:dyDescent="0.35">
      <c r="A5" t="s">
        <v>12</v>
      </c>
      <c r="B5" s="1">
        <v>4</v>
      </c>
      <c r="C5" t="s">
        <v>16</v>
      </c>
      <c r="D5" s="3">
        <v>3.804878049</v>
      </c>
      <c r="E5" s="2">
        <v>0.60519247985675895</v>
      </c>
      <c r="F5" s="3">
        <v>46.4</v>
      </c>
      <c r="G5" s="2">
        <v>0.9</v>
      </c>
      <c r="H5" s="2">
        <v>0.81100000000000005</v>
      </c>
      <c r="I5" s="2">
        <v>0.44900000000000001</v>
      </c>
      <c r="J5" s="2">
        <v>0.86199999999999999</v>
      </c>
      <c r="K5" s="2">
        <v>0.367088607594937</v>
      </c>
      <c r="L5" s="1">
        <v>0</v>
      </c>
    </row>
    <row r="6" spans="1:12" x14ac:dyDescent="0.35">
      <c r="A6" t="s">
        <v>12</v>
      </c>
      <c r="B6" s="1">
        <v>5</v>
      </c>
      <c r="C6" t="s">
        <v>17</v>
      </c>
      <c r="D6" s="3">
        <v>3.7195121950000001</v>
      </c>
      <c r="E6" s="2">
        <v>0.60006063499025997</v>
      </c>
      <c r="F6" s="3">
        <v>43.9</v>
      </c>
      <c r="G6" s="2">
        <v>0.90300000000000002</v>
      </c>
      <c r="H6" s="2">
        <v>0.78</v>
      </c>
      <c r="I6" s="2">
        <v>0.49</v>
      </c>
      <c r="J6" s="2">
        <v>0.42699999999999999</v>
      </c>
      <c r="K6" s="2">
        <v>0.645569620253165</v>
      </c>
      <c r="L6" s="1">
        <v>0</v>
      </c>
    </row>
    <row r="7" spans="1:12" x14ac:dyDescent="0.35">
      <c r="A7" t="s">
        <v>12</v>
      </c>
      <c r="B7" s="1">
        <v>6</v>
      </c>
      <c r="C7" t="s">
        <v>18</v>
      </c>
      <c r="D7" s="3">
        <v>3.5487804879999998</v>
      </c>
      <c r="E7" s="2">
        <v>0.66616581574455003</v>
      </c>
      <c r="F7" s="3">
        <v>45</v>
      </c>
      <c r="G7" s="2">
        <v>0.91300000000000003</v>
      </c>
      <c r="H7" s="2">
        <v>0.70099999999999996</v>
      </c>
      <c r="I7" s="2">
        <v>0.184</v>
      </c>
      <c r="J7" s="2">
        <v>0.75</v>
      </c>
      <c r="K7" s="2">
        <v>0.430379746835443</v>
      </c>
      <c r="L7" s="1">
        <v>0</v>
      </c>
    </row>
    <row r="8" spans="1:12" x14ac:dyDescent="0.35">
      <c r="A8" t="s">
        <v>12</v>
      </c>
      <c r="B8" s="1">
        <v>7</v>
      </c>
      <c r="C8" t="s">
        <v>19</v>
      </c>
      <c r="D8" s="3">
        <v>3.4756097559999999</v>
      </c>
      <c r="E8" s="2">
        <v>0.60975609756097604</v>
      </c>
      <c r="F8" s="3">
        <v>49</v>
      </c>
      <c r="G8" s="2">
        <v>0.90700000000000003</v>
      </c>
      <c r="H8" s="2">
        <v>0.67700000000000005</v>
      </c>
      <c r="I8" s="2">
        <v>0.30599999999999999</v>
      </c>
      <c r="J8" s="2">
        <v>0.69599999999999995</v>
      </c>
      <c r="K8" s="2">
        <v>0.670886075949367</v>
      </c>
      <c r="L8" s="1">
        <v>0</v>
      </c>
    </row>
    <row r="9" spans="1:12" x14ac:dyDescent="0.35">
      <c r="A9" t="s">
        <v>12</v>
      </c>
      <c r="B9" s="1">
        <v>8</v>
      </c>
      <c r="C9" t="s">
        <v>20</v>
      </c>
      <c r="D9" s="3">
        <v>3.0487804879999998</v>
      </c>
      <c r="E9" s="2">
        <v>0.60029198202005496</v>
      </c>
      <c r="F9" s="3">
        <v>54.5</v>
      </c>
      <c r="G9" s="2">
        <v>0.91900000000000004</v>
      </c>
      <c r="H9" s="2">
        <v>0.53</v>
      </c>
      <c r="I9" s="2">
        <v>8.7999999999999995E-2</v>
      </c>
      <c r="J9" s="2">
        <v>0.8</v>
      </c>
      <c r="K9" s="2">
        <v>0.316455696202532</v>
      </c>
      <c r="L9" s="1">
        <v>0</v>
      </c>
    </row>
    <row r="10" spans="1:12" x14ac:dyDescent="0.35">
      <c r="A10" t="s">
        <v>12</v>
      </c>
      <c r="B10" s="1">
        <v>9</v>
      </c>
      <c r="C10" t="s">
        <v>21</v>
      </c>
      <c r="D10" s="3">
        <v>3.7682926829999999</v>
      </c>
      <c r="E10" s="2">
        <v>0.62568642612809799</v>
      </c>
      <c r="F10" s="3">
        <v>51.5</v>
      </c>
      <c r="G10" s="2">
        <v>0.90800000000000003</v>
      </c>
      <c r="H10" s="2">
        <v>0.86599999999999999</v>
      </c>
      <c r="I10" s="2">
        <v>0.35399999999999998</v>
      </c>
      <c r="J10" s="2">
        <v>0.92200000000000004</v>
      </c>
      <c r="K10" s="2">
        <v>0.227848101265823</v>
      </c>
      <c r="L10" s="1">
        <v>0</v>
      </c>
    </row>
    <row r="11" spans="1:12" x14ac:dyDescent="0.35">
      <c r="A11" t="s">
        <v>12</v>
      </c>
      <c r="B11" s="1">
        <v>10</v>
      </c>
      <c r="C11" t="s">
        <v>22</v>
      </c>
      <c r="D11" s="3">
        <v>3.085365854</v>
      </c>
      <c r="E11" s="2">
        <v>0.57390189450655904</v>
      </c>
      <c r="F11" s="3">
        <v>47.7</v>
      </c>
      <c r="G11" s="2">
        <v>0.90700000000000003</v>
      </c>
      <c r="H11" s="2">
        <v>0.5</v>
      </c>
      <c r="I11" s="2">
        <v>0.218</v>
      </c>
      <c r="J11" s="2">
        <v>0.627</v>
      </c>
      <c r="K11" s="2">
        <v>0.531645569620253</v>
      </c>
      <c r="L11" s="1">
        <v>0</v>
      </c>
    </row>
    <row r="12" spans="1:12" x14ac:dyDescent="0.35">
      <c r="A12" t="s">
        <v>12</v>
      </c>
      <c r="B12" s="1">
        <v>11</v>
      </c>
      <c r="C12" t="s">
        <v>23</v>
      </c>
      <c r="D12" s="3">
        <v>3.4756097559999999</v>
      </c>
      <c r="E12" s="2">
        <v>0.56317862243978201</v>
      </c>
      <c r="F12" s="3">
        <v>48.6</v>
      </c>
      <c r="G12" s="2">
        <v>0.90500000000000003</v>
      </c>
      <c r="H12" s="2">
        <v>0.628</v>
      </c>
      <c r="I12" s="2">
        <v>0.40100000000000002</v>
      </c>
      <c r="J12" s="2">
        <v>0.72499999999999998</v>
      </c>
      <c r="K12" s="2">
        <v>0.30379746835443</v>
      </c>
      <c r="L12" s="1">
        <v>0</v>
      </c>
    </row>
    <row r="13" spans="1:12" x14ac:dyDescent="0.35">
      <c r="A13" t="s">
        <v>12</v>
      </c>
      <c r="B13" s="1">
        <v>12</v>
      </c>
      <c r="C13" t="s">
        <v>24</v>
      </c>
      <c r="D13" s="3">
        <v>3.2804878049999999</v>
      </c>
      <c r="E13" s="2">
        <v>0.59485387808787904</v>
      </c>
      <c r="F13" s="3">
        <v>48.5</v>
      </c>
      <c r="G13" s="2">
        <v>0.91400000000000003</v>
      </c>
      <c r="H13" s="2">
        <v>0.57899999999999996</v>
      </c>
      <c r="I13" s="2">
        <v>0.27900000000000003</v>
      </c>
      <c r="J13" s="2">
        <v>0.69899999999999995</v>
      </c>
      <c r="K13" s="2">
        <v>0.151898734177215</v>
      </c>
      <c r="L13" s="1">
        <v>0</v>
      </c>
    </row>
    <row r="14" spans="1:12" x14ac:dyDescent="0.35">
      <c r="A14" t="s">
        <v>12</v>
      </c>
      <c r="B14" s="1">
        <v>13</v>
      </c>
      <c r="C14" t="s">
        <v>25</v>
      </c>
      <c r="D14" s="3">
        <v>3.292682927</v>
      </c>
      <c r="E14" s="2">
        <v>0.55452443254427097</v>
      </c>
      <c r="F14" s="3">
        <v>51.4</v>
      </c>
      <c r="G14" s="2">
        <v>0.89800000000000002</v>
      </c>
      <c r="H14" s="2">
        <v>0.64</v>
      </c>
      <c r="I14" s="2">
        <v>0.44900000000000001</v>
      </c>
      <c r="J14" s="2">
        <v>0.51300000000000001</v>
      </c>
      <c r="K14" s="2">
        <v>0.253164556962025</v>
      </c>
      <c r="L14" s="1">
        <v>0</v>
      </c>
    </row>
    <row r="15" spans="1:12" x14ac:dyDescent="0.35">
      <c r="A15" t="s">
        <v>12</v>
      </c>
      <c r="B15" s="1">
        <v>14</v>
      </c>
      <c r="C15" t="s">
        <v>26</v>
      </c>
      <c r="D15" s="3">
        <v>2.8658536589999999</v>
      </c>
      <c r="E15" s="2">
        <v>0.50642371777824602</v>
      </c>
      <c r="F15" s="3">
        <v>51.2</v>
      </c>
      <c r="G15" s="2">
        <v>0.90100000000000002</v>
      </c>
      <c r="H15" s="2">
        <v>0.39</v>
      </c>
      <c r="I15" s="2">
        <v>0.32</v>
      </c>
      <c r="J15" s="2">
        <v>0.29299999999999998</v>
      </c>
      <c r="K15" s="2">
        <v>0.253164556962025</v>
      </c>
      <c r="L15" s="1">
        <v>0</v>
      </c>
    </row>
    <row r="16" spans="1:12" x14ac:dyDescent="0.35">
      <c r="A16" t="s">
        <v>12</v>
      </c>
      <c r="B16" s="1">
        <v>15</v>
      </c>
      <c r="C16" t="s">
        <v>27</v>
      </c>
      <c r="D16" s="3">
        <v>2.8414634150000002</v>
      </c>
      <c r="E16" s="2">
        <v>0.47695146057544502</v>
      </c>
      <c r="F16" s="3">
        <v>50.8</v>
      </c>
      <c r="G16" s="2">
        <v>0.90400000000000003</v>
      </c>
      <c r="H16" s="2">
        <v>0.32900000000000001</v>
      </c>
      <c r="I16" s="2">
        <v>0.374</v>
      </c>
      <c r="J16" s="2">
        <v>0.59</v>
      </c>
      <c r="K16" s="2">
        <v>0.126582278481013</v>
      </c>
      <c r="L16" s="1">
        <v>0</v>
      </c>
    </row>
    <row r="17" spans="1:12" x14ac:dyDescent="0.35">
      <c r="A17" t="s">
        <v>12</v>
      </c>
      <c r="B17" s="1">
        <v>16</v>
      </c>
      <c r="C17" t="s">
        <v>28</v>
      </c>
      <c r="D17" s="3">
        <v>3.195121951</v>
      </c>
      <c r="E17" s="2">
        <v>0.52342463246507698</v>
      </c>
      <c r="F17" s="3">
        <v>55.7</v>
      </c>
      <c r="G17" s="2">
        <v>0.90600000000000003</v>
      </c>
      <c r="H17" s="2">
        <v>0.59799999999999998</v>
      </c>
      <c r="I17" s="2">
        <v>0.41499999999999998</v>
      </c>
      <c r="J17" s="2">
        <v>0.66700000000000004</v>
      </c>
      <c r="K17" s="2">
        <v>0.873417721518987</v>
      </c>
      <c r="L17" s="1">
        <v>0</v>
      </c>
    </row>
    <row r="18" spans="1:12" x14ac:dyDescent="0.35">
      <c r="A18" t="s">
        <v>12</v>
      </c>
      <c r="B18" s="1">
        <v>17</v>
      </c>
      <c r="C18" t="s">
        <v>29</v>
      </c>
      <c r="D18" s="3">
        <v>3.195121951</v>
      </c>
      <c r="E18" s="2">
        <v>0.53552816352004995</v>
      </c>
      <c r="F18" s="3">
        <v>57.2</v>
      </c>
      <c r="G18" s="2">
        <v>0.90100000000000002</v>
      </c>
      <c r="H18" s="2">
        <v>0.59099999999999997</v>
      </c>
      <c r="I18" s="2">
        <v>0.38100000000000001</v>
      </c>
      <c r="J18" s="2">
        <v>0.39700000000000002</v>
      </c>
      <c r="K18" s="2">
        <v>0.240506329113924</v>
      </c>
      <c r="L18" s="1">
        <v>0</v>
      </c>
    </row>
    <row r="19" spans="1:12" x14ac:dyDescent="0.35">
      <c r="A19" t="s">
        <v>12</v>
      </c>
      <c r="B19" s="1">
        <v>18</v>
      </c>
      <c r="C19" t="s">
        <v>30</v>
      </c>
      <c r="D19" s="3">
        <v>3</v>
      </c>
      <c r="E19" s="2">
        <v>0.53141547459100602</v>
      </c>
      <c r="F19" s="3">
        <v>51.7</v>
      </c>
      <c r="G19" s="2">
        <v>0.91200000000000003</v>
      </c>
      <c r="H19" s="2">
        <v>0.46300000000000002</v>
      </c>
      <c r="I19" s="2">
        <v>0.313</v>
      </c>
      <c r="J19" s="2">
        <v>0.48499999999999999</v>
      </c>
      <c r="K19" s="2">
        <v>0.291139240506329</v>
      </c>
      <c r="L19" s="1">
        <v>0</v>
      </c>
    </row>
    <row r="20" spans="1:12" x14ac:dyDescent="0.35">
      <c r="A20" t="s">
        <v>12</v>
      </c>
      <c r="B20" s="1">
        <v>19</v>
      </c>
      <c r="C20" t="s">
        <v>31</v>
      </c>
      <c r="D20" s="3">
        <v>3.0487804879999998</v>
      </c>
      <c r="E20" s="2">
        <v>0.49403599743891702</v>
      </c>
      <c r="F20" s="3">
        <v>52.3</v>
      </c>
      <c r="G20" s="2">
        <v>0.90700000000000003</v>
      </c>
      <c r="H20" s="2">
        <v>0.433</v>
      </c>
      <c r="I20" s="2">
        <v>0.42199999999999999</v>
      </c>
      <c r="J20" s="2">
        <v>0.40500000000000003</v>
      </c>
      <c r="K20" s="2">
        <v>0.392405063291139</v>
      </c>
      <c r="L20" s="1">
        <v>0</v>
      </c>
    </row>
    <row r="21" spans="1:12" x14ac:dyDescent="0.35">
      <c r="A21" t="s">
        <v>12</v>
      </c>
      <c r="B21" s="1">
        <v>20</v>
      </c>
      <c r="C21" t="s">
        <v>32</v>
      </c>
      <c r="D21" s="3">
        <v>2.792682927</v>
      </c>
      <c r="E21" s="2">
        <v>0.49565225610101898</v>
      </c>
      <c r="F21" s="3">
        <v>56.3</v>
      </c>
      <c r="G21" s="2">
        <v>0.91300000000000003</v>
      </c>
      <c r="H21" s="2">
        <v>0.38400000000000001</v>
      </c>
      <c r="I21" s="2">
        <v>0.29899999999999999</v>
      </c>
      <c r="J21" s="2">
        <v>0.75800000000000001</v>
      </c>
      <c r="K21" s="2">
        <v>0.405063291139241</v>
      </c>
      <c r="L21" s="1">
        <v>0</v>
      </c>
    </row>
    <row r="22" spans="1:12" x14ac:dyDescent="0.35">
      <c r="A22" t="s">
        <v>12</v>
      </c>
      <c r="B22" s="1">
        <v>21</v>
      </c>
      <c r="C22" t="s">
        <v>33</v>
      </c>
      <c r="D22" s="3">
        <v>3.1463414630000002</v>
      </c>
      <c r="E22" s="2">
        <v>0.43007501308367702</v>
      </c>
      <c r="F22" s="3">
        <v>60.2</v>
      </c>
      <c r="G22" s="2">
        <v>0.89700000000000002</v>
      </c>
      <c r="H22" s="2">
        <v>0.57299999999999995</v>
      </c>
      <c r="I22" s="2">
        <v>0.71399999999999997</v>
      </c>
      <c r="J22" s="2">
        <v>0.44500000000000001</v>
      </c>
      <c r="K22" s="2">
        <v>0.253164556962025</v>
      </c>
      <c r="L22" s="1">
        <v>0</v>
      </c>
    </row>
    <row r="23" spans="1:12" x14ac:dyDescent="0.35">
      <c r="A23" t="s">
        <v>12</v>
      </c>
      <c r="B23" s="1">
        <v>22</v>
      </c>
      <c r="C23" t="s">
        <v>34</v>
      </c>
      <c r="D23" s="3">
        <v>2.5731707319999999</v>
      </c>
      <c r="E23" s="2">
        <v>0.39524333729869898</v>
      </c>
      <c r="F23" s="3">
        <v>60.1</v>
      </c>
      <c r="G23" s="2">
        <v>0.9</v>
      </c>
      <c r="H23" s="2">
        <v>0.25600000000000001</v>
      </c>
      <c r="I23" s="2">
        <v>0.48299999999999998</v>
      </c>
      <c r="J23" s="2">
        <v>0.68500000000000005</v>
      </c>
      <c r="K23" s="2">
        <v>0.392405063291139</v>
      </c>
      <c r="L23" s="1">
        <v>0</v>
      </c>
    </row>
    <row r="24" spans="1:12" x14ac:dyDescent="0.35">
      <c r="A24" t="s">
        <v>12</v>
      </c>
      <c r="B24" s="1">
        <v>23</v>
      </c>
      <c r="C24" t="s">
        <v>35</v>
      </c>
      <c r="D24" s="3">
        <v>2.7804878049999999</v>
      </c>
      <c r="E24" s="2">
        <v>0.42352941176470599</v>
      </c>
      <c r="F24" s="3">
        <v>59.8</v>
      </c>
      <c r="G24" s="2">
        <v>0.90200000000000002</v>
      </c>
      <c r="H24" s="2">
        <v>0.34100000000000003</v>
      </c>
      <c r="I24" s="2">
        <v>0.49</v>
      </c>
      <c r="J24" s="2">
        <v>0.63500000000000001</v>
      </c>
      <c r="K24" s="2">
        <v>0.455696202531646</v>
      </c>
      <c r="L24" s="1">
        <v>0</v>
      </c>
    </row>
    <row r="25" spans="1:12" x14ac:dyDescent="0.35">
      <c r="A25" t="s">
        <v>12</v>
      </c>
      <c r="B25" s="1">
        <v>24</v>
      </c>
      <c r="C25" t="s">
        <v>36</v>
      </c>
      <c r="D25" s="3">
        <v>2.792682927</v>
      </c>
      <c r="E25" s="2">
        <v>0.38899933239373902</v>
      </c>
      <c r="F25" s="3">
        <v>46</v>
      </c>
      <c r="G25" s="2">
        <v>0.89400000000000002</v>
      </c>
      <c r="H25" s="2">
        <v>0.34100000000000003</v>
      </c>
      <c r="I25" s="2">
        <v>0.70099999999999996</v>
      </c>
      <c r="J25" s="2">
        <v>0.45800000000000002</v>
      </c>
      <c r="K25" s="2">
        <v>0.30379746835443</v>
      </c>
      <c r="L25" s="1">
        <v>0</v>
      </c>
    </row>
    <row r="26" spans="1:12" x14ac:dyDescent="0.35">
      <c r="A26" t="s">
        <v>12</v>
      </c>
      <c r="B26" s="1">
        <v>25</v>
      </c>
      <c r="C26" t="s">
        <v>37</v>
      </c>
      <c r="D26" s="3">
        <v>2.7682926829999999</v>
      </c>
      <c r="E26" s="2">
        <v>0.34904388704116401</v>
      </c>
      <c r="F26" s="3">
        <v>43.9</v>
      </c>
      <c r="G26" s="2">
        <v>0.88800000000000001</v>
      </c>
      <c r="H26" s="2">
        <v>0.32300000000000001</v>
      </c>
      <c r="I26" s="2">
        <v>0.89800000000000002</v>
      </c>
      <c r="J26" s="2">
        <v>0.2</v>
      </c>
      <c r="K26" s="2">
        <v>0.405063291139241</v>
      </c>
      <c r="L26" s="1">
        <v>0</v>
      </c>
    </row>
    <row r="27" spans="1:12" x14ac:dyDescent="0.35">
      <c r="A27" t="s">
        <v>12</v>
      </c>
      <c r="B27" s="1">
        <v>26</v>
      </c>
      <c r="C27" t="s">
        <v>38</v>
      </c>
      <c r="D27" s="3">
        <v>2.7317073170000001</v>
      </c>
      <c r="E27" s="2">
        <v>0.41857981847303799</v>
      </c>
      <c r="F27" s="3">
        <v>44.3</v>
      </c>
      <c r="G27" s="2">
        <v>0.90400000000000003</v>
      </c>
      <c r="H27" s="2">
        <v>0.29299999999999998</v>
      </c>
      <c r="I27" s="2">
        <v>0.57099999999999995</v>
      </c>
      <c r="J27" s="2">
        <v>0.53</v>
      </c>
      <c r="K27" s="2">
        <v>0.544303797468354</v>
      </c>
      <c r="L27" s="1">
        <v>0</v>
      </c>
    </row>
    <row r="28" spans="1:12" x14ac:dyDescent="0.35">
      <c r="A28" t="s">
        <v>12</v>
      </c>
      <c r="B28" s="1">
        <v>27</v>
      </c>
      <c r="C28" t="s">
        <v>39</v>
      </c>
      <c r="D28" s="3">
        <v>2.597560976</v>
      </c>
      <c r="E28" s="2">
        <v>0.35199782760493398</v>
      </c>
      <c r="F28" s="3">
        <v>44.8</v>
      </c>
      <c r="G28" s="2">
        <v>0.89300000000000002</v>
      </c>
      <c r="H28" s="2">
        <v>0.20100000000000001</v>
      </c>
      <c r="I28" s="2">
        <v>0.70099999999999996</v>
      </c>
      <c r="J28" s="2">
        <v>0.38300000000000001</v>
      </c>
      <c r="K28" s="2">
        <v>0.278481012658228</v>
      </c>
      <c r="L28" s="1">
        <v>0</v>
      </c>
    </row>
    <row r="29" spans="1:12" x14ac:dyDescent="0.35">
      <c r="A29" t="s">
        <v>12</v>
      </c>
      <c r="B29" s="1">
        <v>28</v>
      </c>
      <c r="C29" t="s">
        <v>40</v>
      </c>
      <c r="D29" s="3">
        <v>2.9878048779999999</v>
      </c>
      <c r="E29" s="2">
        <v>0.39691461293799501</v>
      </c>
      <c r="F29" s="3">
        <v>53</v>
      </c>
      <c r="G29" s="2">
        <v>0.88100000000000001</v>
      </c>
      <c r="H29" s="2">
        <v>0.48199999999999998</v>
      </c>
      <c r="I29" s="2">
        <v>0.78900000000000003</v>
      </c>
      <c r="J29" s="2">
        <v>0.39500000000000002</v>
      </c>
      <c r="K29" s="2">
        <v>0.30379746835443</v>
      </c>
      <c r="L29" s="1">
        <v>0</v>
      </c>
    </row>
    <row r="30" spans="1:12" x14ac:dyDescent="0.35">
      <c r="A30" t="s">
        <v>12</v>
      </c>
      <c r="B30" s="1">
        <v>29</v>
      </c>
      <c r="C30" t="s">
        <v>41</v>
      </c>
      <c r="D30" s="3">
        <v>2.5609756099999998</v>
      </c>
      <c r="E30" s="2">
        <v>0.337837837837838</v>
      </c>
      <c r="F30" s="3">
        <v>52.4</v>
      </c>
      <c r="G30" s="2">
        <v>0.89400000000000002</v>
      </c>
      <c r="H30" s="2">
        <v>0.27400000000000002</v>
      </c>
      <c r="I30" s="2">
        <v>0.73499999999999999</v>
      </c>
      <c r="J30" s="2">
        <v>0.13900000000000001</v>
      </c>
      <c r="K30" s="2">
        <v>0.417721518987342</v>
      </c>
      <c r="L30" s="1">
        <v>0</v>
      </c>
    </row>
    <row r="31" spans="1:12" x14ac:dyDescent="0.35">
      <c r="A31" t="s">
        <v>12</v>
      </c>
      <c r="B31" s="1">
        <v>30</v>
      </c>
      <c r="C31" t="s">
        <v>42</v>
      </c>
      <c r="D31" s="3">
        <v>2.597560976</v>
      </c>
      <c r="E31" s="2">
        <v>0.36</v>
      </c>
      <c r="F31" s="3">
        <v>53.2</v>
      </c>
      <c r="G31" s="2">
        <v>0.88</v>
      </c>
      <c r="H31" s="2">
        <v>0.28699999999999998</v>
      </c>
      <c r="I31" s="2">
        <v>0.65300000000000002</v>
      </c>
      <c r="J31" s="2">
        <v>0.17799999999999999</v>
      </c>
      <c r="K31" s="2">
        <v>0.354430379746835</v>
      </c>
      <c r="L31" s="1">
        <v>0</v>
      </c>
    </row>
    <row r="32" spans="1:12" x14ac:dyDescent="0.35">
      <c r="A32" t="s">
        <v>12</v>
      </c>
      <c r="B32" s="1">
        <v>31</v>
      </c>
      <c r="C32" t="s">
        <v>43</v>
      </c>
      <c r="D32" s="3">
        <v>2.5121951220000001</v>
      </c>
      <c r="E32" s="2">
        <v>0.30769230769230799</v>
      </c>
      <c r="F32" s="3">
        <v>54.8</v>
      </c>
      <c r="G32" s="2">
        <v>0.89400000000000002</v>
      </c>
      <c r="H32" s="2">
        <v>0.21299999999999999</v>
      </c>
      <c r="I32" s="2">
        <v>0.78200000000000003</v>
      </c>
      <c r="J32" s="2">
        <v>0.158</v>
      </c>
      <c r="K32" s="2">
        <v>0.569620253164557</v>
      </c>
      <c r="L32" s="1">
        <v>0</v>
      </c>
    </row>
    <row r="33" spans="1:12" x14ac:dyDescent="0.35">
      <c r="A33" t="s">
        <v>12</v>
      </c>
      <c r="B33" s="1">
        <v>32</v>
      </c>
      <c r="C33" t="s">
        <v>44</v>
      </c>
      <c r="D33" s="3">
        <v>2.6585365849999998</v>
      </c>
      <c r="E33" s="2">
        <v>0.32107990514346701</v>
      </c>
      <c r="F33" s="3">
        <v>47.9</v>
      </c>
      <c r="G33" s="2">
        <v>0.88800000000000001</v>
      </c>
      <c r="H33" s="2">
        <v>0.28000000000000003</v>
      </c>
      <c r="I33" s="2">
        <v>0.95199999999999996</v>
      </c>
      <c r="J33" s="2">
        <v>0.17199999999999999</v>
      </c>
      <c r="K33" s="2">
        <v>0.569620253164557</v>
      </c>
      <c r="L33" s="1">
        <v>0</v>
      </c>
    </row>
    <row r="34" spans="1:12" x14ac:dyDescent="0.35">
      <c r="A34" t="s">
        <v>45</v>
      </c>
      <c r="B34" s="1">
        <v>1</v>
      </c>
      <c r="C34" t="s">
        <v>22</v>
      </c>
      <c r="D34" s="3">
        <v>3.6707317069999998</v>
      </c>
      <c r="E34" s="2">
        <v>0.74953051448993602</v>
      </c>
      <c r="F34" s="3">
        <v>45</v>
      </c>
      <c r="G34" s="2">
        <v>0.92900000000000005</v>
      </c>
      <c r="H34" s="2">
        <v>0.77400000000000002</v>
      </c>
      <c r="I34" s="2">
        <v>0</v>
      </c>
      <c r="J34" s="2">
        <v>0.86799999999999999</v>
      </c>
      <c r="K34" s="2">
        <v>0.607594936708861</v>
      </c>
      <c r="L34" s="1">
        <v>0</v>
      </c>
    </row>
    <row r="35" spans="1:12" x14ac:dyDescent="0.35">
      <c r="A35" t="s">
        <v>45</v>
      </c>
      <c r="B35" s="1">
        <v>2</v>
      </c>
      <c r="C35" t="s">
        <v>15</v>
      </c>
      <c r="D35" s="3">
        <v>3.195121951</v>
      </c>
      <c r="E35" s="2">
        <v>0.60884836443624502</v>
      </c>
      <c r="F35" s="3">
        <v>48.3</v>
      </c>
      <c r="G35" s="2">
        <v>0.90200000000000002</v>
      </c>
      <c r="H35" s="2">
        <v>0.54900000000000004</v>
      </c>
      <c r="I35" s="2">
        <v>0.21099999999999999</v>
      </c>
      <c r="J35" s="2">
        <v>0.68400000000000005</v>
      </c>
      <c r="K35" s="2">
        <v>0.227848101265823</v>
      </c>
      <c r="L35" s="1">
        <v>0</v>
      </c>
    </row>
    <row r="36" spans="1:12" x14ac:dyDescent="0.35">
      <c r="A36" t="s">
        <v>45</v>
      </c>
      <c r="B36" s="1">
        <v>3</v>
      </c>
      <c r="C36" t="s">
        <v>40</v>
      </c>
      <c r="D36" s="3">
        <v>3.5243902440000001</v>
      </c>
      <c r="E36" s="2">
        <v>0.62889951432551505</v>
      </c>
      <c r="F36" s="3">
        <v>49</v>
      </c>
      <c r="G36" s="2">
        <v>0.90400000000000003</v>
      </c>
      <c r="H36" s="2">
        <v>0.68300000000000005</v>
      </c>
      <c r="I36" s="2">
        <v>0.23100000000000001</v>
      </c>
      <c r="J36" s="2">
        <v>0.69599999999999995</v>
      </c>
      <c r="K36" s="2">
        <v>0.253164556962025</v>
      </c>
      <c r="L36" s="1">
        <v>0</v>
      </c>
    </row>
    <row r="37" spans="1:12" x14ac:dyDescent="0.35">
      <c r="A37" t="s">
        <v>45</v>
      </c>
      <c r="B37" s="1">
        <v>4</v>
      </c>
      <c r="C37" t="s">
        <v>29</v>
      </c>
      <c r="D37" s="3">
        <v>3.2560975609999998</v>
      </c>
      <c r="E37" s="2">
        <v>0.58474826517053002</v>
      </c>
      <c r="F37" s="3">
        <v>48.9</v>
      </c>
      <c r="G37" s="2">
        <v>0.91100000000000003</v>
      </c>
      <c r="H37" s="2">
        <v>0.59099999999999997</v>
      </c>
      <c r="I37" s="2">
        <v>0.27900000000000003</v>
      </c>
      <c r="J37" s="2">
        <v>0.46300000000000002</v>
      </c>
      <c r="K37" s="2">
        <v>0.189873417721519</v>
      </c>
      <c r="L37" s="1">
        <v>1</v>
      </c>
    </row>
    <row r="38" spans="1:12" x14ac:dyDescent="0.35">
      <c r="A38" t="s">
        <v>45</v>
      </c>
      <c r="B38" s="1">
        <v>5</v>
      </c>
      <c r="C38" t="s">
        <v>16</v>
      </c>
      <c r="D38" s="3">
        <v>3.3902439019999999</v>
      </c>
      <c r="E38" s="2">
        <v>0.61490722765029804</v>
      </c>
      <c r="F38" s="3">
        <v>51.6</v>
      </c>
      <c r="G38" s="2">
        <v>0.90900000000000003</v>
      </c>
      <c r="H38" s="2">
        <v>0.67100000000000004</v>
      </c>
      <c r="I38" s="2">
        <v>0.23100000000000001</v>
      </c>
      <c r="J38" s="2">
        <v>0.81200000000000006</v>
      </c>
      <c r="K38" s="2">
        <v>0.341772151898734</v>
      </c>
      <c r="L38" s="1">
        <v>0</v>
      </c>
    </row>
    <row r="39" spans="1:12" x14ac:dyDescent="0.35">
      <c r="A39" t="s">
        <v>45</v>
      </c>
      <c r="B39" s="1">
        <v>6</v>
      </c>
      <c r="C39" t="s">
        <v>14</v>
      </c>
      <c r="D39" s="3">
        <v>3.3414634150000002</v>
      </c>
      <c r="E39" s="2">
        <v>0.60154641240334905</v>
      </c>
      <c r="F39" s="3">
        <v>53.7</v>
      </c>
      <c r="G39" s="2">
        <v>0.91200000000000003</v>
      </c>
      <c r="H39" s="2">
        <v>0.64600000000000002</v>
      </c>
      <c r="I39" s="2">
        <v>0.23100000000000001</v>
      </c>
      <c r="J39" s="2">
        <v>0.66300000000000003</v>
      </c>
      <c r="K39" s="2">
        <v>0.316455696202532</v>
      </c>
      <c r="L39" s="1">
        <v>0</v>
      </c>
    </row>
    <row r="40" spans="1:12" x14ac:dyDescent="0.35">
      <c r="A40" t="s">
        <v>45</v>
      </c>
      <c r="B40" s="1">
        <v>7</v>
      </c>
      <c r="C40" t="s">
        <v>23</v>
      </c>
      <c r="D40" s="3">
        <v>3.9634146339999998</v>
      </c>
      <c r="E40" s="2">
        <v>0.61710903768966097</v>
      </c>
      <c r="F40" s="3">
        <v>50.6</v>
      </c>
      <c r="G40" s="2">
        <v>0.9</v>
      </c>
      <c r="H40" s="2">
        <v>0.90900000000000003</v>
      </c>
      <c r="I40" s="2">
        <v>0.42899999999999999</v>
      </c>
      <c r="J40" s="2">
        <v>0.86199999999999999</v>
      </c>
      <c r="K40" s="2">
        <v>0.367088607594937</v>
      </c>
      <c r="L40" s="1">
        <v>0</v>
      </c>
    </row>
    <row r="41" spans="1:12" x14ac:dyDescent="0.35">
      <c r="A41" t="s">
        <v>45</v>
      </c>
      <c r="B41" s="1">
        <v>8</v>
      </c>
      <c r="C41" t="s">
        <v>27</v>
      </c>
      <c r="D41" s="3">
        <v>3.4268292680000001</v>
      </c>
      <c r="E41" s="2">
        <v>0.63074944482609896</v>
      </c>
      <c r="F41" s="3">
        <v>46</v>
      </c>
      <c r="G41" s="2">
        <v>0.91200000000000003</v>
      </c>
      <c r="H41" s="2">
        <v>0.67100000000000004</v>
      </c>
      <c r="I41" s="2">
        <v>0.26500000000000001</v>
      </c>
      <c r="J41" s="2">
        <v>0.83299999999999996</v>
      </c>
      <c r="K41" s="2">
        <v>0.265822784810127</v>
      </c>
      <c r="L41" s="1">
        <v>0</v>
      </c>
    </row>
    <row r="42" spans="1:12" x14ac:dyDescent="0.35">
      <c r="A42" t="s">
        <v>45</v>
      </c>
      <c r="B42" s="1">
        <v>9</v>
      </c>
      <c r="C42" t="s">
        <v>20</v>
      </c>
      <c r="D42" s="3">
        <v>3.3292682930000002</v>
      </c>
      <c r="E42" s="2">
        <v>0.61500185666542895</v>
      </c>
      <c r="F42" s="3">
        <v>46.1</v>
      </c>
      <c r="G42" s="2">
        <v>0.91</v>
      </c>
      <c r="H42" s="2">
        <v>0.59799999999999998</v>
      </c>
      <c r="I42" s="2">
        <v>0.20399999999999999</v>
      </c>
      <c r="J42" s="2">
        <v>0.72199999999999998</v>
      </c>
      <c r="K42" s="2">
        <v>0.240506329113924</v>
      </c>
      <c r="L42" s="1">
        <v>0</v>
      </c>
    </row>
    <row r="43" spans="1:12" x14ac:dyDescent="0.35">
      <c r="A43" t="s">
        <v>45</v>
      </c>
      <c r="B43" s="1">
        <v>10</v>
      </c>
      <c r="C43" t="s">
        <v>26</v>
      </c>
      <c r="D43" s="3">
        <v>3.3414634150000002</v>
      </c>
      <c r="E43" s="2">
        <v>0.53782451716430701</v>
      </c>
      <c r="F43" s="3">
        <v>46.5</v>
      </c>
      <c r="G43" s="2">
        <v>0.88900000000000001</v>
      </c>
      <c r="H43" s="2">
        <v>0.59799999999999998</v>
      </c>
      <c r="I43" s="2">
        <v>0.47599999999999998</v>
      </c>
      <c r="J43" s="2">
        <v>0.57999999999999996</v>
      </c>
      <c r="K43" s="2">
        <v>0.367088607594937</v>
      </c>
      <c r="L43" s="1">
        <v>0</v>
      </c>
    </row>
    <row r="44" spans="1:12" x14ac:dyDescent="0.35">
      <c r="A44" t="s">
        <v>45</v>
      </c>
      <c r="B44" s="1">
        <v>11</v>
      </c>
      <c r="C44" t="s">
        <v>17</v>
      </c>
      <c r="D44" s="3">
        <v>2.914634146</v>
      </c>
      <c r="E44" s="2">
        <v>0.54358500980186897</v>
      </c>
      <c r="F44" s="3">
        <v>48.6</v>
      </c>
      <c r="G44" s="2">
        <v>0.91400000000000003</v>
      </c>
      <c r="H44" s="2">
        <v>0.372</v>
      </c>
      <c r="I44" s="2">
        <v>0.19</v>
      </c>
      <c r="J44" s="2">
        <v>0.66</v>
      </c>
      <c r="K44" s="2">
        <v>0.708860759493671</v>
      </c>
      <c r="L44" s="1">
        <v>0</v>
      </c>
    </row>
    <row r="45" spans="1:12" x14ac:dyDescent="0.35">
      <c r="A45" t="s">
        <v>45</v>
      </c>
      <c r="B45" s="1">
        <v>12</v>
      </c>
      <c r="C45" t="s">
        <v>42</v>
      </c>
      <c r="D45" s="3">
        <v>3.5243902440000001</v>
      </c>
      <c r="E45" s="2">
        <v>0.56807345689508604</v>
      </c>
      <c r="F45" s="3">
        <v>52.5</v>
      </c>
      <c r="G45" s="2">
        <v>0.88600000000000001</v>
      </c>
      <c r="H45" s="2">
        <v>0.75</v>
      </c>
      <c r="I45" s="2">
        <v>0.46899999999999997</v>
      </c>
      <c r="J45" s="2">
        <v>0.41899999999999998</v>
      </c>
      <c r="K45" s="2">
        <v>0.354430379746835</v>
      </c>
      <c r="L45" s="1">
        <v>0</v>
      </c>
    </row>
    <row r="46" spans="1:12" x14ac:dyDescent="0.35">
      <c r="A46" t="s">
        <v>45</v>
      </c>
      <c r="B46" s="1">
        <v>13</v>
      </c>
      <c r="C46" t="s">
        <v>19</v>
      </c>
      <c r="D46" s="3">
        <v>3.414634146</v>
      </c>
      <c r="E46" s="2">
        <v>0.55248618784530401</v>
      </c>
      <c r="F46" s="3">
        <v>52.2</v>
      </c>
      <c r="G46" s="2">
        <v>0.90200000000000002</v>
      </c>
      <c r="H46" s="2">
        <v>0.71299999999999997</v>
      </c>
      <c r="I46" s="2">
        <v>0.45600000000000002</v>
      </c>
      <c r="J46" s="2">
        <v>0.71499999999999997</v>
      </c>
      <c r="K46" s="2">
        <v>0.810126582278481</v>
      </c>
      <c r="L46" s="1">
        <v>0</v>
      </c>
    </row>
    <row r="47" spans="1:12" x14ac:dyDescent="0.35">
      <c r="A47" t="s">
        <v>45</v>
      </c>
      <c r="B47" s="1">
        <v>14</v>
      </c>
      <c r="C47" t="s">
        <v>31</v>
      </c>
      <c r="D47" s="3">
        <v>3</v>
      </c>
      <c r="E47" s="2">
        <v>0.54670617569472002</v>
      </c>
      <c r="F47" s="3">
        <v>55.6</v>
      </c>
      <c r="G47" s="2">
        <v>0.91</v>
      </c>
      <c r="H47" s="2">
        <v>0.51800000000000002</v>
      </c>
      <c r="I47" s="2">
        <v>0.245</v>
      </c>
      <c r="J47" s="2">
        <v>0.59899999999999998</v>
      </c>
      <c r="K47" s="2">
        <v>0.354430379746835</v>
      </c>
      <c r="L47" s="1">
        <v>0</v>
      </c>
    </row>
    <row r="48" spans="1:12" x14ac:dyDescent="0.35">
      <c r="A48" t="s">
        <v>45</v>
      </c>
      <c r="B48" s="1">
        <v>15</v>
      </c>
      <c r="C48" t="s">
        <v>18</v>
      </c>
      <c r="D48" s="3">
        <v>3.1463414630000002</v>
      </c>
      <c r="E48" s="2">
        <v>0.52177184827510503</v>
      </c>
      <c r="F48" s="3">
        <v>54.5</v>
      </c>
      <c r="G48" s="2">
        <v>0.89</v>
      </c>
      <c r="H48" s="2">
        <v>0.53700000000000003</v>
      </c>
      <c r="I48" s="2">
        <v>0.38100000000000001</v>
      </c>
      <c r="J48" s="2">
        <v>0.625</v>
      </c>
      <c r="K48" s="2">
        <v>0.443037974683544</v>
      </c>
      <c r="L48" s="1">
        <v>0</v>
      </c>
    </row>
    <row r="49" spans="1:12" x14ac:dyDescent="0.35">
      <c r="A49" t="s">
        <v>45</v>
      </c>
      <c r="B49" s="1">
        <v>16</v>
      </c>
      <c r="C49" t="s">
        <v>32</v>
      </c>
      <c r="D49" s="3">
        <v>2.9512195120000002</v>
      </c>
      <c r="E49" s="2">
        <v>0.55430513094753597</v>
      </c>
      <c r="F49" s="3">
        <v>56.6</v>
      </c>
      <c r="G49" s="2">
        <v>0.91500000000000004</v>
      </c>
      <c r="H49" s="2">
        <v>0.53</v>
      </c>
      <c r="I49" s="2">
        <v>0.224</v>
      </c>
      <c r="J49" s="2">
        <v>0.47099999999999997</v>
      </c>
      <c r="K49" s="2">
        <v>0.291139240506329</v>
      </c>
      <c r="L49" s="1">
        <v>0</v>
      </c>
    </row>
    <row r="50" spans="1:12" x14ac:dyDescent="0.35">
      <c r="A50" t="s">
        <v>45</v>
      </c>
      <c r="B50" s="1">
        <v>17</v>
      </c>
      <c r="C50" t="s">
        <v>13</v>
      </c>
      <c r="D50" s="3">
        <v>3.5121951220000001</v>
      </c>
      <c r="E50" s="2">
        <v>0.52854812398042395</v>
      </c>
      <c r="F50" s="3">
        <v>54.3</v>
      </c>
      <c r="G50" s="2">
        <v>0.89600000000000002</v>
      </c>
      <c r="H50" s="2">
        <v>0.76800000000000002</v>
      </c>
      <c r="I50" s="2">
        <v>0.60499999999999998</v>
      </c>
      <c r="J50" s="2">
        <v>0.499</v>
      </c>
      <c r="K50" s="2">
        <v>0.822784810126582</v>
      </c>
      <c r="L50" s="1">
        <v>0</v>
      </c>
    </row>
    <row r="51" spans="1:12" x14ac:dyDescent="0.35">
      <c r="A51" t="s">
        <v>45</v>
      </c>
      <c r="B51" s="1">
        <v>18</v>
      </c>
      <c r="C51" t="s">
        <v>28</v>
      </c>
      <c r="D51" s="3">
        <v>2.7195121950000001</v>
      </c>
      <c r="E51" s="2">
        <v>0.47170026084894501</v>
      </c>
      <c r="F51" s="3">
        <v>56.2</v>
      </c>
      <c r="G51" s="2">
        <v>0.91400000000000003</v>
      </c>
      <c r="H51" s="2">
        <v>0.317</v>
      </c>
      <c r="I51" s="2">
        <v>0.30599999999999999</v>
      </c>
      <c r="J51" s="2">
        <v>0.54600000000000004</v>
      </c>
      <c r="K51" s="2">
        <v>0.493670886075949</v>
      </c>
      <c r="L51" s="1">
        <v>0</v>
      </c>
    </row>
    <row r="52" spans="1:12" x14ac:dyDescent="0.35">
      <c r="A52" t="s">
        <v>45</v>
      </c>
      <c r="B52" s="1">
        <v>19</v>
      </c>
      <c r="C52" t="s">
        <v>36</v>
      </c>
      <c r="D52" s="3">
        <v>3.5731707319999999</v>
      </c>
      <c r="E52" s="2">
        <v>0.49322065058773501</v>
      </c>
      <c r="F52" s="3">
        <v>55.4</v>
      </c>
      <c r="G52" s="2">
        <v>0.89</v>
      </c>
      <c r="H52" s="2">
        <v>0.72599999999999998</v>
      </c>
      <c r="I52" s="2">
        <v>0.68</v>
      </c>
      <c r="J52" s="2">
        <v>0.41899999999999998</v>
      </c>
      <c r="K52" s="2">
        <v>0.215189873417722</v>
      </c>
      <c r="L52" s="1">
        <v>0</v>
      </c>
    </row>
    <row r="53" spans="1:12" x14ac:dyDescent="0.35">
      <c r="A53" t="s">
        <v>45</v>
      </c>
      <c r="B53" s="1">
        <v>20</v>
      </c>
      <c r="C53" t="s">
        <v>24</v>
      </c>
      <c r="D53" s="3">
        <v>3.1829268289999999</v>
      </c>
      <c r="E53" s="2">
        <v>0.49618326170879201</v>
      </c>
      <c r="F53" s="3">
        <v>54.1</v>
      </c>
      <c r="G53" s="2">
        <v>0.90200000000000002</v>
      </c>
      <c r="H53" s="2">
        <v>0.56699999999999995</v>
      </c>
      <c r="I53" s="2">
        <v>0.51700000000000002</v>
      </c>
      <c r="J53" s="2">
        <v>0.56899999999999995</v>
      </c>
      <c r="K53" s="2">
        <v>0.367088607594937</v>
      </c>
      <c r="L53" s="1">
        <v>0</v>
      </c>
    </row>
    <row r="54" spans="1:12" x14ac:dyDescent="0.35">
      <c r="A54" t="s">
        <v>45</v>
      </c>
      <c r="B54" s="1">
        <v>21</v>
      </c>
      <c r="C54" t="s">
        <v>38</v>
      </c>
      <c r="D54" s="3">
        <v>3.1585365849999998</v>
      </c>
      <c r="E54" s="2">
        <v>0.47921503632635898</v>
      </c>
      <c r="F54" s="3">
        <v>52.3</v>
      </c>
      <c r="G54" s="2">
        <v>0.89500000000000002</v>
      </c>
      <c r="H54" s="2">
        <v>0.56100000000000005</v>
      </c>
      <c r="I54" s="2">
        <v>0.55800000000000005</v>
      </c>
      <c r="J54" s="2">
        <v>0.66500000000000004</v>
      </c>
      <c r="K54" s="2">
        <v>0.848101265822785</v>
      </c>
      <c r="L54" s="1">
        <v>0</v>
      </c>
    </row>
    <row r="55" spans="1:12" x14ac:dyDescent="0.35">
      <c r="A55" t="s">
        <v>45</v>
      </c>
      <c r="B55" s="1">
        <v>22</v>
      </c>
      <c r="C55" t="s">
        <v>30</v>
      </c>
      <c r="D55" s="3">
        <v>3.292682927</v>
      </c>
      <c r="E55" s="2">
        <v>0.45416033292631303</v>
      </c>
      <c r="F55" s="3">
        <v>54.4</v>
      </c>
      <c r="G55" s="2">
        <v>0.88300000000000001</v>
      </c>
      <c r="H55" s="2">
        <v>0.60399999999999998</v>
      </c>
      <c r="I55" s="2">
        <v>0.70099999999999996</v>
      </c>
      <c r="J55" s="2">
        <v>0.34599999999999997</v>
      </c>
      <c r="K55" s="2">
        <v>0.417721518987342</v>
      </c>
      <c r="L55" s="1">
        <v>0</v>
      </c>
    </row>
    <row r="56" spans="1:12" x14ac:dyDescent="0.35">
      <c r="A56" t="s">
        <v>45</v>
      </c>
      <c r="B56" s="1">
        <v>23</v>
      </c>
      <c r="C56" t="s">
        <v>21</v>
      </c>
      <c r="D56" s="3">
        <v>3.1707317069999998</v>
      </c>
      <c r="E56" s="2">
        <v>0.43221400987186998</v>
      </c>
      <c r="F56" s="3">
        <v>53.8</v>
      </c>
      <c r="G56" s="2">
        <v>0.88800000000000001</v>
      </c>
      <c r="H56" s="2">
        <v>0.49399999999999999</v>
      </c>
      <c r="I56" s="2">
        <v>0.69399999999999995</v>
      </c>
      <c r="J56" s="2">
        <v>0.255</v>
      </c>
      <c r="K56" s="2">
        <v>0.265822784810127</v>
      </c>
      <c r="L56" s="1">
        <v>0</v>
      </c>
    </row>
    <row r="57" spans="1:12" x14ac:dyDescent="0.35">
      <c r="A57" t="s">
        <v>45</v>
      </c>
      <c r="B57" s="1">
        <v>24</v>
      </c>
      <c r="C57" t="s">
        <v>25</v>
      </c>
      <c r="D57" s="3">
        <v>3.085365854</v>
      </c>
      <c r="E57" s="2">
        <v>0.484439567093014</v>
      </c>
      <c r="F57" s="3">
        <v>51.3</v>
      </c>
      <c r="G57" s="2">
        <v>0.89800000000000002</v>
      </c>
      <c r="H57" s="2">
        <v>0.51800000000000002</v>
      </c>
      <c r="I57" s="2">
        <v>0.49</v>
      </c>
      <c r="J57" s="2">
        <v>0.64700000000000002</v>
      </c>
      <c r="K57" s="2">
        <v>0.379746835443038</v>
      </c>
      <c r="L57" s="1">
        <v>0</v>
      </c>
    </row>
    <row r="58" spans="1:12" x14ac:dyDescent="0.35">
      <c r="A58" t="s">
        <v>45</v>
      </c>
      <c r="B58" s="1">
        <v>25</v>
      </c>
      <c r="C58" t="s">
        <v>37</v>
      </c>
      <c r="D58" s="3">
        <v>2.8902439019999999</v>
      </c>
      <c r="E58" s="2">
        <v>0.42618783859659798</v>
      </c>
      <c r="F58" s="3">
        <v>49.6</v>
      </c>
      <c r="G58" s="2">
        <v>0.89</v>
      </c>
      <c r="H58" s="2">
        <v>0.40200000000000002</v>
      </c>
      <c r="I58" s="2">
        <v>0.60499999999999998</v>
      </c>
      <c r="J58" s="2">
        <v>0.52100000000000002</v>
      </c>
      <c r="K58" s="2">
        <v>0.30379746835443</v>
      </c>
      <c r="L58" s="1">
        <v>0</v>
      </c>
    </row>
    <row r="59" spans="1:12" x14ac:dyDescent="0.35">
      <c r="A59" t="s">
        <v>45</v>
      </c>
      <c r="B59" s="1">
        <v>26</v>
      </c>
      <c r="C59" t="s">
        <v>41</v>
      </c>
      <c r="D59" s="3">
        <v>2.6829268289999999</v>
      </c>
      <c r="E59" s="2">
        <v>0.38851785255587001</v>
      </c>
      <c r="F59" s="3">
        <v>50.3</v>
      </c>
      <c r="G59" s="2">
        <v>0.89300000000000002</v>
      </c>
      <c r="H59" s="2">
        <v>0.28000000000000003</v>
      </c>
      <c r="I59" s="2">
        <v>0.57799999999999996</v>
      </c>
      <c r="J59" s="2">
        <v>0.20599999999999999</v>
      </c>
      <c r="K59" s="2">
        <v>0.59493670886076</v>
      </c>
      <c r="L59" s="1">
        <v>0</v>
      </c>
    </row>
    <row r="60" spans="1:12" x14ac:dyDescent="0.35">
      <c r="A60" t="s">
        <v>45</v>
      </c>
      <c r="B60" s="1">
        <v>27</v>
      </c>
      <c r="C60" t="s">
        <v>43</v>
      </c>
      <c r="D60" s="3">
        <v>2.7439024390000002</v>
      </c>
      <c r="E60" s="2">
        <v>0.36778060297856902</v>
      </c>
      <c r="F60" s="3">
        <v>48</v>
      </c>
      <c r="G60" s="2">
        <v>0.89700000000000002</v>
      </c>
      <c r="H60" s="2">
        <v>0.28699999999999998</v>
      </c>
      <c r="I60" s="2">
        <v>0.70099999999999996</v>
      </c>
      <c r="J60" s="2">
        <v>0.318</v>
      </c>
      <c r="K60" s="2">
        <v>0.784810126582279</v>
      </c>
      <c r="L60" s="1">
        <v>0</v>
      </c>
    </row>
    <row r="61" spans="1:12" x14ac:dyDescent="0.35">
      <c r="A61" t="s">
        <v>45</v>
      </c>
      <c r="B61" s="1">
        <v>28</v>
      </c>
      <c r="C61" t="s">
        <v>44</v>
      </c>
      <c r="D61" s="3">
        <v>2.7682926829999999</v>
      </c>
      <c r="E61" s="2">
        <v>0.356468862847102</v>
      </c>
      <c r="F61" s="3">
        <v>47</v>
      </c>
      <c r="G61" s="2">
        <v>0.88900000000000001</v>
      </c>
      <c r="H61" s="2">
        <v>0.34100000000000003</v>
      </c>
      <c r="I61" s="2">
        <v>0.85</v>
      </c>
      <c r="J61" s="2">
        <v>0.157</v>
      </c>
      <c r="K61" s="2">
        <v>0.746835443037975</v>
      </c>
      <c r="L61" s="1">
        <v>0</v>
      </c>
    </row>
    <row r="62" spans="1:12" x14ac:dyDescent="0.35">
      <c r="A62" t="s">
        <v>45</v>
      </c>
      <c r="B62" s="1">
        <v>29</v>
      </c>
      <c r="C62" t="s">
        <v>34</v>
      </c>
      <c r="D62" s="3">
        <v>2.8414634150000002</v>
      </c>
      <c r="E62" s="2">
        <v>0.353642013106297</v>
      </c>
      <c r="F62" s="3">
        <v>45.4</v>
      </c>
      <c r="G62" s="2">
        <v>0.88100000000000001</v>
      </c>
      <c r="H62" s="2">
        <v>0.36</v>
      </c>
      <c r="I62" s="2">
        <v>0.91800000000000004</v>
      </c>
      <c r="J62" s="2">
        <v>0.56799999999999995</v>
      </c>
      <c r="K62" s="2">
        <v>0.291139240506329</v>
      </c>
      <c r="L62" s="1">
        <v>0</v>
      </c>
    </row>
    <row r="63" spans="1:12" x14ac:dyDescent="0.35">
      <c r="A63" t="s">
        <v>45</v>
      </c>
      <c r="B63" s="1">
        <v>30</v>
      </c>
      <c r="C63" t="s">
        <v>39</v>
      </c>
      <c r="D63" s="3">
        <v>2.4634146339999998</v>
      </c>
      <c r="E63" s="2">
        <v>0.31338274259821097</v>
      </c>
      <c r="F63" s="3">
        <v>46.3</v>
      </c>
      <c r="G63" s="2">
        <v>0.89200000000000002</v>
      </c>
      <c r="H63" s="2">
        <v>0.183</v>
      </c>
      <c r="I63" s="2">
        <v>0.76900000000000002</v>
      </c>
      <c r="J63" s="2">
        <v>0.28599999999999998</v>
      </c>
      <c r="K63" s="2">
        <v>0.367088607594937</v>
      </c>
      <c r="L63" s="1">
        <v>0</v>
      </c>
    </row>
    <row r="64" spans="1:12" x14ac:dyDescent="0.35">
      <c r="A64" t="s">
        <v>45</v>
      </c>
      <c r="B64" s="1">
        <v>31</v>
      </c>
      <c r="C64" t="s">
        <v>33</v>
      </c>
      <c r="D64" s="3">
        <v>2.597560976</v>
      </c>
      <c r="E64" s="2">
        <v>0.29535186511294798</v>
      </c>
      <c r="F64" s="3">
        <v>48.5</v>
      </c>
      <c r="G64" s="2">
        <v>0.88700000000000001</v>
      </c>
      <c r="H64" s="2">
        <v>0.22600000000000001</v>
      </c>
      <c r="I64" s="2">
        <v>0.93899999999999995</v>
      </c>
      <c r="J64" s="2">
        <v>0.315</v>
      </c>
      <c r="K64" s="2">
        <v>0.291139240506329</v>
      </c>
      <c r="L64" s="1">
        <v>0</v>
      </c>
    </row>
    <row r="65" spans="1:12" x14ac:dyDescent="0.35">
      <c r="A65" t="s">
        <v>45</v>
      </c>
      <c r="B65" s="1">
        <v>32</v>
      </c>
      <c r="C65" t="s">
        <v>35</v>
      </c>
      <c r="D65" s="3">
        <v>2.5121951220000001</v>
      </c>
      <c r="E65" s="2">
        <v>0.27438074239789001</v>
      </c>
      <c r="F65" s="3">
        <v>49.5</v>
      </c>
      <c r="G65" s="2">
        <v>0.89600000000000002</v>
      </c>
      <c r="H65" s="2">
        <v>0.20699999999999999</v>
      </c>
      <c r="I65" s="2">
        <v>1</v>
      </c>
      <c r="J65" s="2">
        <v>0.124</v>
      </c>
      <c r="K65" s="2">
        <v>0.708860759493671</v>
      </c>
      <c r="L65" s="1">
        <v>0</v>
      </c>
    </row>
    <row r="66" spans="1:12" x14ac:dyDescent="0.35">
      <c r="A66" t="s">
        <v>46</v>
      </c>
      <c r="B66" s="1">
        <v>1</v>
      </c>
      <c r="C66" t="s">
        <v>20</v>
      </c>
      <c r="D66" s="3">
        <v>3.3902439019999999</v>
      </c>
      <c r="E66" s="2">
        <v>0.60208787784356499</v>
      </c>
      <c r="F66" s="3">
        <v>47.1</v>
      </c>
      <c r="G66" s="2">
        <v>0.90700000000000003</v>
      </c>
      <c r="H66" s="2">
        <v>0.65200000000000002</v>
      </c>
      <c r="I66" s="2">
        <v>0.313</v>
      </c>
      <c r="J66" s="2">
        <v>0.91600000000000004</v>
      </c>
      <c r="K66" s="2">
        <v>0.468354430379747</v>
      </c>
      <c r="L66" s="1">
        <v>0</v>
      </c>
    </row>
    <row r="67" spans="1:12" x14ac:dyDescent="0.35">
      <c r="A67" t="s">
        <v>46</v>
      </c>
      <c r="B67" s="1">
        <v>2</v>
      </c>
      <c r="C67" t="s">
        <v>27</v>
      </c>
      <c r="D67" s="3">
        <v>3.585365854</v>
      </c>
      <c r="E67" s="2">
        <v>0.61625552545273099</v>
      </c>
      <c r="F67" s="3">
        <v>51.8</v>
      </c>
      <c r="G67" s="2">
        <v>0.90100000000000002</v>
      </c>
      <c r="H67" s="2">
        <v>0.76200000000000001</v>
      </c>
      <c r="I67" s="2">
        <v>0.313</v>
      </c>
      <c r="J67" s="2">
        <v>0.754</v>
      </c>
      <c r="K67" s="2">
        <v>0.139240506329114</v>
      </c>
      <c r="L67" s="1">
        <v>0</v>
      </c>
    </row>
    <row r="68" spans="1:12" x14ac:dyDescent="0.35">
      <c r="A68" t="s">
        <v>46</v>
      </c>
      <c r="B68" s="1">
        <v>3</v>
      </c>
      <c r="C68" t="s">
        <v>15</v>
      </c>
      <c r="D68" s="3">
        <v>3.3780487799999999</v>
      </c>
      <c r="E68" s="2">
        <v>0.63281649484536096</v>
      </c>
      <c r="F68" s="3">
        <v>51.4</v>
      </c>
      <c r="G68" s="2">
        <v>0.9</v>
      </c>
      <c r="H68" s="2">
        <v>0.61599999999999999</v>
      </c>
      <c r="I68" s="2">
        <v>0.13600000000000001</v>
      </c>
      <c r="J68" s="2">
        <v>1</v>
      </c>
      <c r="K68" s="2">
        <v>0.354430379746835</v>
      </c>
      <c r="L68" s="1">
        <v>0</v>
      </c>
    </row>
    <row r="69" spans="1:12" x14ac:dyDescent="0.35">
      <c r="A69" t="s">
        <v>46</v>
      </c>
      <c r="B69" s="1">
        <v>4</v>
      </c>
      <c r="C69" t="s">
        <v>31</v>
      </c>
      <c r="D69" s="3">
        <v>3.1585365849999998</v>
      </c>
      <c r="E69" s="2">
        <v>0.63114268241049998</v>
      </c>
      <c r="F69" s="3">
        <v>50.4</v>
      </c>
      <c r="G69" s="2">
        <v>0.91800000000000004</v>
      </c>
      <c r="H69" s="2">
        <v>0.56100000000000005</v>
      </c>
      <c r="I69" s="2">
        <v>0.109</v>
      </c>
      <c r="J69" s="2">
        <v>0.4</v>
      </c>
      <c r="K69" s="2">
        <v>0.316455696202532</v>
      </c>
      <c r="L69" s="1">
        <v>0</v>
      </c>
    </row>
    <row r="70" spans="1:12" x14ac:dyDescent="0.35">
      <c r="A70" t="s">
        <v>46</v>
      </c>
      <c r="B70" s="1">
        <v>5</v>
      </c>
      <c r="C70" t="s">
        <v>13</v>
      </c>
      <c r="D70" s="3">
        <v>3.2317073170000001</v>
      </c>
      <c r="E70" s="2">
        <v>0.64174030650010505</v>
      </c>
      <c r="F70" s="3">
        <v>53.8</v>
      </c>
      <c r="G70" s="2">
        <v>0.91300000000000003</v>
      </c>
      <c r="H70" s="2">
        <v>0.622</v>
      </c>
      <c r="I70" s="2">
        <v>6.8000000000000005E-2</v>
      </c>
      <c r="J70" s="2">
        <v>0.747</v>
      </c>
      <c r="K70" s="2">
        <v>1</v>
      </c>
      <c r="L70" s="1">
        <v>1</v>
      </c>
    </row>
    <row r="71" spans="1:12" x14ac:dyDescent="0.35">
      <c r="A71" t="s">
        <v>46</v>
      </c>
      <c r="B71" s="1">
        <v>6</v>
      </c>
      <c r="C71" t="s">
        <v>22</v>
      </c>
      <c r="D71" s="3">
        <v>3.207317073</v>
      </c>
      <c r="E71" s="2">
        <v>0.58612829421235502</v>
      </c>
      <c r="F71" s="3">
        <v>52.6</v>
      </c>
      <c r="G71" s="2">
        <v>0.91200000000000003</v>
      </c>
      <c r="H71" s="2">
        <v>0.57299999999999995</v>
      </c>
      <c r="I71" s="2">
        <v>0.252</v>
      </c>
      <c r="J71" s="2">
        <v>0.70199999999999996</v>
      </c>
      <c r="K71" s="2">
        <v>0.481012658227848</v>
      </c>
      <c r="L71" s="1">
        <v>0</v>
      </c>
    </row>
    <row r="72" spans="1:12" x14ac:dyDescent="0.35">
      <c r="A72" t="s">
        <v>46</v>
      </c>
      <c r="B72" s="1">
        <v>7</v>
      </c>
      <c r="C72" t="s">
        <v>30</v>
      </c>
      <c r="D72" s="3">
        <v>3.402439024</v>
      </c>
      <c r="E72" s="2">
        <v>0.61445982854707104</v>
      </c>
      <c r="F72" s="3">
        <v>51.4</v>
      </c>
      <c r="G72" s="2">
        <v>0.90600000000000003</v>
      </c>
      <c r="H72" s="2">
        <v>0.628</v>
      </c>
      <c r="I72" s="2">
        <v>0.19700000000000001</v>
      </c>
      <c r="J72" s="2">
        <v>0.6</v>
      </c>
      <c r="K72" s="2">
        <v>0.493670886075949</v>
      </c>
      <c r="L72" s="1">
        <v>0</v>
      </c>
    </row>
    <row r="73" spans="1:12" x14ac:dyDescent="0.35">
      <c r="A73" t="s">
        <v>46</v>
      </c>
      <c r="B73" s="1">
        <v>8</v>
      </c>
      <c r="C73" t="s">
        <v>14</v>
      </c>
      <c r="D73" s="3">
        <v>3.6829268289999999</v>
      </c>
      <c r="E73" s="2">
        <v>0.58952348941231203</v>
      </c>
      <c r="F73" s="3">
        <v>46</v>
      </c>
      <c r="G73" s="2">
        <v>0.89700000000000002</v>
      </c>
      <c r="H73" s="2">
        <v>0.79900000000000004</v>
      </c>
      <c r="I73" s="2">
        <v>0.497</v>
      </c>
      <c r="J73" s="2">
        <v>0.69199999999999995</v>
      </c>
      <c r="K73" s="2">
        <v>0.405063291139241</v>
      </c>
      <c r="L73" s="1">
        <v>0</v>
      </c>
    </row>
    <row r="74" spans="1:12" x14ac:dyDescent="0.35">
      <c r="A74" t="s">
        <v>46</v>
      </c>
      <c r="B74" s="1">
        <v>9</v>
      </c>
      <c r="C74" t="s">
        <v>23</v>
      </c>
      <c r="D74" s="3">
        <v>3.5609756099999998</v>
      </c>
      <c r="E74" s="2">
        <v>0.60488081725312104</v>
      </c>
      <c r="F74" s="3">
        <v>49.8</v>
      </c>
      <c r="G74" s="2">
        <v>0.89800000000000002</v>
      </c>
      <c r="H74" s="2">
        <v>0.76200000000000001</v>
      </c>
      <c r="I74" s="2">
        <v>0.36699999999999999</v>
      </c>
      <c r="J74" s="2">
        <v>0.74099999999999999</v>
      </c>
      <c r="K74" s="2">
        <v>0.481012658227848</v>
      </c>
      <c r="L74" s="1">
        <v>0</v>
      </c>
    </row>
    <row r="75" spans="1:12" x14ac:dyDescent="0.35">
      <c r="A75" t="s">
        <v>46</v>
      </c>
      <c r="B75" s="1">
        <v>10</v>
      </c>
      <c r="C75" t="s">
        <v>16</v>
      </c>
      <c r="D75" s="3">
        <v>3.6341463410000001</v>
      </c>
      <c r="E75" s="2">
        <v>0.56590090807710702</v>
      </c>
      <c r="F75" s="3">
        <v>47.5</v>
      </c>
      <c r="G75" s="2">
        <v>0.89300000000000002</v>
      </c>
      <c r="H75" s="2">
        <v>0.77400000000000002</v>
      </c>
      <c r="I75" s="2">
        <v>0.52400000000000002</v>
      </c>
      <c r="J75" s="2">
        <v>0.56999999999999995</v>
      </c>
      <c r="K75" s="2">
        <v>0.531645569620253</v>
      </c>
      <c r="L75" s="1">
        <v>0</v>
      </c>
    </row>
    <row r="76" spans="1:12" x14ac:dyDescent="0.35">
      <c r="A76" t="s">
        <v>46</v>
      </c>
      <c r="B76" s="1">
        <v>11</v>
      </c>
      <c r="C76" t="s">
        <v>28</v>
      </c>
      <c r="D76" s="3">
        <v>3.2439024390000002</v>
      </c>
      <c r="E76" s="2">
        <v>0.53497656131861504</v>
      </c>
      <c r="F76" s="3">
        <v>50.4</v>
      </c>
      <c r="G76" s="2">
        <v>0.90100000000000002</v>
      </c>
      <c r="H76" s="2">
        <v>0.54900000000000004</v>
      </c>
      <c r="I76" s="2">
        <v>0.39500000000000002</v>
      </c>
      <c r="J76" s="2">
        <v>0.48899999999999999</v>
      </c>
      <c r="K76" s="2">
        <v>0.506329113924051</v>
      </c>
      <c r="L76" s="1">
        <v>0</v>
      </c>
    </row>
    <row r="77" spans="1:12" x14ac:dyDescent="0.35">
      <c r="A77" t="s">
        <v>46</v>
      </c>
      <c r="B77" s="1">
        <v>12</v>
      </c>
      <c r="C77" t="s">
        <v>26</v>
      </c>
      <c r="D77" s="3">
        <v>3.097560976</v>
      </c>
      <c r="E77" s="2">
        <v>0.59398247035427598</v>
      </c>
      <c r="F77" s="3">
        <v>47.1</v>
      </c>
      <c r="G77" s="2">
        <v>0.90900000000000003</v>
      </c>
      <c r="H77" s="2">
        <v>0.5</v>
      </c>
      <c r="I77" s="2">
        <v>0.184</v>
      </c>
      <c r="J77" s="2">
        <v>0.78700000000000003</v>
      </c>
      <c r="K77" s="2">
        <v>0.379746835443038</v>
      </c>
      <c r="L77" s="1">
        <v>0</v>
      </c>
    </row>
    <row r="78" spans="1:12" x14ac:dyDescent="0.35">
      <c r="A78" t="s">
        <v>46</v>
      </c>
      <c r="B78" s="1">
        <v>13</v>
      </c>
      <c r="C78" t="s">
        <v>19</v>
      </c>
      <c r="D78" s="3">
        <v>3.5121951220000001</v>
      </c>
      <c r="E78" s="2">
        <v>0.53778374277878305</v>
      </c>
      <c r="F78" s="3">
        <v>49.8</v>
      </c>
      <c r="G78" s="2">
        <v>0.89</v>
      </c>
      <c r="H78" s="2">
        <v>0.72599999999999998</v>
      </c>
      <c r="I78" s="2">
        <v>0.57099999999999995</v>
      </c>
      <c r="J78" s="2">
        <v>0.95299999999999996</v>
      </c>
      <c r="K78" s="2">
        <v>0.670886075949367</v>
      </c>
      <c r="L78" s="1">
        <v>0</v>
      </c>
    </row>
    <row r="79" spans="1:12" x14ac:dyDescent="0.35">
      <c r="A79" t="s">
        <v>46</v>
      </c>
      <c r="B79" s="1">
        <v>14</v>
      </c>
      <c r="C79" t="s">
        <v>29</v>
      </c>
      <c r="D79" s="3">
        <v>3.207317073</v>
      </c>
      <c r="E79" s="2">
        <v>0.53946403781060404</v>
      </c>
      <c r="F79" s="3">
        <v>50.5</v>
      </c>
      <c r="G79" s="2">
        <v>0.90200000000000002</v>
      </c>
      <c r="H79" s="2">
        <v>0.56100000000000005</v>
      </c>
      <c r="I79" s="2">
        <v>0.38800000000000001</v>
      </c>
      <c r="J79" s="2">
        <v>0.52700000000000002</v>
      </c>
      <c r="K79" s="2">
        <v>0.215189873417722</v>
      </c>
      <c r="L79" s="1">
        <v>0</v>
      </c>
    </row>
    <row r="80" spans="1:12" x14ac:dyDescent="0.35">
      <c r="A80" t="s">
        <v>46</v>
      </c>
      <c r="B80" s="1">
        <v>15</v>
      </c>
      <c r="C80" t="s">
        <v>32</v>
      </c>
      <c r="D80" s="3">
        <v>2.9878048779999999</v>
      </c>
      <c r="E80" s="2">
        <v>0.47417232144973098</v>
      </c>
      <c r="F80" s="3">
        <v>49.3</v>
      </c>
      <c r="G80" s="2">
        <v>0.90400000000000003</v>
      </c>
      <c r="H80" s="2">
        <v>0.41499999999999998</v>
      </c>
      <c r="I80" s="2">
        <v>0.497</v>
      </c>
      <c r="J80" s="2">
        <v>0.26100000000000001</v>
      </c>
      <c r="K80" s="2">
        <v>0.177215189873418</v>
      </c>
      <c r="L80" s="1">
        <v>0</v>
      </c>
    </row>
    <row r="81" spans="1:12" x14ac:dyDescent="0.35">
      <c r="A81" t="s">
        <v>46</v>
      </c>
      <c r="B81" s="1">
        <v>16</v>
      </c>
      <c r="C81" t="s">
        <v>21</v>
      </c>
      <c r="D81" s="3">
        <v>2.8536585369999998</v>
      </c>
      <c r="E81" s="2">
        <v>0.47097884052984701</v>
      </c>
      <c r="F81" s="3">
        <v>47.9</v>
      </c>
      <c r="G81" s="2">
        <v>0.90600000000000003</v>
      </c>
      <c r="H81" s="2">
        <v>0.378</v>
      </c>
      <c r="I81" s="2">
        <v>0.45600000000000002</v>
      </c>
      <c r="J81" s="2">
        <v>0.42399999999999999</v>
      </c>
      <c r="K81" s="2">
        <v>0.215189873417722</v>
      </c>
      <c r="L81" s="1">
        <v>0</v>
      </c>
    </row>
    <row r="82" spans="1:12" x14ac:dyDescent="0.35">
      <c r="A82" t="s">
        <v>46</v>
      </c>
      <c r="B82" s="1">
        <v>17</v>
      </c>
      <c r="C82" t="s">
        <v>25</v>
      </c>
      <c r="D82" s="3">
        <v>2.6341463410000001</v>
      </c>
      <c r="E82" s="2">
        <v>0.42352941176470599</v>
      </c>
      <c r="F82" s="3">
        <v>51.5</v>
      </c>
      <c r="G82" s="2">
        <v>0.89900000000000002</v>
      </c>
      <c r="H82" s="2">
        <v>0.29299999999999998</v>
      </c>
      <c r="I82" s="2">
        <v>0.44900000000000001</v>
      </c>
      <c r="J82" s="2">
        <v>0.52700000000000002</v>
      </c>
      <c r="K82" s="2">
        <v>0.253164556962025</v>
      </c>
      <c r="L82" s="1">
        <v>0</v>
      </c>
    </row>
    <row r="83" spans="1:12" x14ac:dyDescent="0.35">
      <c r="A83" t="s">
        <v>46</v>
      </c>
      <c r="B83" s="1">
        <v>18</v>
      </c>
      <c r="C83" t="s">
        <v>37</v>
      </c>
      <c r="D83" s="3">
        <v>3.3536585369999998</v>
      </c>
      <c r="E83" s="2">
        <v>0.503649586424604</v>
      </c>
      <c r="F83" s="3">
        <v>51</v>
      </c>
      <c r="G83" s="2">
        <v>0.89700000000000002</v>
      </c>
      <c r="H83" s="2">
        <v>0.628</v>
      </c>
      <c r="I83" s="2">
        <v>0.57799999999999996</v>
      </c>
      <c r="J83" s="2">
        <v>0.63300000000000001</v>
      </c>
      <c r="K83" s="2">
        <v>0.379746835443038</v>
      </c>
      <c r="L83" s="1">
        <v>0</v>
      </c>
    </row>
    <row r="84" spans="1:12" x14ac:dyDescent="0.35">
      <c r="A84" t="s">
        <v>46</v>
      </c>
      <c r="B84" s="1">
        <v>19</v>
      </c>
      <c r="C84" t="s">
        <v>24</v>
      </c>
      <c r="D84" s="3">
        <v>3.085365854</v>
      </c>
      <c r="E84" s="2">
        <v>0.50997904599523602</v>
      </c>
      <c r="F84" s="3">
        <v>50.8</v>
      </c>
      <c r="G84" s="2">
        <v>0.9</v>
      </c>
      <c r="H84" s="2">
        <v>0.45100000000000001</v>
      </c>
      <c r="I84" s="2">
        <v>0.374</v>
      </c>
      <c r="J84" s="2">
        <v>0.40100000000000002</v>
      </c>
      <c r="K84" s="2">
        <v>0.215189873417722</v>
      </c>
      <c r="L84" s="1">
        <v>0</v>
      </c>
    </row>
    <row r="85" spans="1:12" x14ac:dyDescent="0.35">
      <c r="A85" t="s">
        <v>46</v>
      </c>
      <c r="B85" s="1">
        <v>20</v>
      </c>
      <c r="C85" t="s">
        <v>17</v>
      </c>
      <c r="D85" s="3">
        <v>3.0243902440000001</v>
      </c>
      <c r="E85" s="2">
        <v>0.47639112653364701</v>
      </c>
      <c r="F85" s="3">
        <v>46.6</v>
      </c>
      <c r="G85" s="2">
        <v>0.89300000000000002</v>
      </c>
      <c r="H85" s="2">
        <v>0.46300000000000002</v>
      </c>
      <c r="I85" s="2">
        <v>0.53100000000000003</v>
      </c>
      <c r="J85" s="2">
        <v>0.44600000000000001</v>
      </c>
      <c r="K85" s="2">
        <v>0.721518987341772</v>
      </c>
      <c r="L85" s="1">
        <v>0</v>
      </c>
    </row>
    <row r="86" spans="1:12" x14ac:dyDescent="0.35">
      <c r="A86" t="s">
        <v>46</v>
      </c>
      <c r="B86" s="1">
        <v>21</v>
      </c>
      <c r="C86" t="s">
        <v>41</v>
      </c>
      <c r="D86" s="3">
        <v>2.8170731710000001</v>
      </c>
      <c r="E86" s="2">
        <v>0.44495309568480301</v>
      </c>
      <c r="F86" s="3">
        <v>47.4</v>
      </c>
      <c r="G86" s="2">
        <v>0.88400000000000001</v>
      </c>
      <c r="H86" s="2">
        <v>0.372</v>
      </c>
      <c r="I86" s="2">
        <v>0.503</v>
      </c>
      <c r="J86" s="2">
        <v>0.39</v>
      </c>
      <c r="K86" s="2">
        <v>0.556962025316456</v>
      </c>
      <c r="L86" s="1">
        <v>0</v>
      </c>
    </row>
    <row r="87" spans="1:12" x14ac:dyDescent="0.35">
      <c r="A87" t="s">
        <v>46</v>
      </c>
      <c r="B87" s="1">
        <v>22</v>
      </c>
      <c r="C87" t="s">
        <v>36</v>
      </c>
      <c r="D87" s="3">
        <v>2.9756097559999999</v>
      </c>
      <c r="E87" s="2">
        <v>0.50205337943247497</v>
      </c>
      <c r="F87" s="3">
        <v>52.1</v>
      </c>
      <c r="G87" s="2">
        <v>0.89900000000000002</v>
      </c>
      <c r="H87" s="2">
        <v>0.45700000000000002</v>
      </c>
      <c r="I87" s="2">
        <v>0.36099999999999999</v>
      </c>
      <c r="J87" s="2">
        <v>0.41899999999999998</v>
      </c>
      <c r="K87" s="2">
        <v>0.518987341772152</v>
      </c>
      <c r="L87" s="1">
        <v>0</v>
      </c>
    </row>
    <row r="88" spans="1:12" x14ac:dyDescent="0.35">
      <c r="A88" t="s">
        <v>46</v>
      </c>
      <c r="B88" s="1">
        <v>23</v>
      </c>
      <c r="C88" t="s">
        <v>40</v>
      </c>
      <c r="D88" s="3">
        <v>3.2195121950000001</v>
      </c>
      <c r="E88" s="2">
        <v>0.46883765984783798</v>
      </c>
      <c r="F88" s="3">
        <v>49</v>
      </c>
      <c r="G88" s="2">
        <v>0.88600000000000001</v>
      </c>
      <c r="H88" s="2">
        <v>0.54900000000000004</v>
      </c>
      <c r="I88" s="2">
        <v>0.59899999999999998</v>
      </c>
      <c r="J88" s="2">
        <v>0.64800000000000002</v>
      </c>
      <c r="K88" s="2">
        <v>0.430379746835443</v>
      </c>
      <c r="L88" s="1">
        <v>0</v>
      </c>
    </row>
    <row r="89" spans="1:12" x14ac:dyDescent="0.35">
      <c r="A89" t="s">
        <v>46</v>
      </c>
      <c r="B89" s="1">
        <v>24</v>
      </c>
      <c r="C89" t="s">
        <v>42</v>
      </c>
      <c r="D89" s="3">
        <v>2.6097560980000001</v>
      </c>
      <c r="E89" s="2">
        <v>0.45970688616743599</v>
      </c>
      <c r="F89" s="3">
        <v>52.1</v>
      </c>
      <c r="G89" s="2">
        <v>0.90300000000000002</v>
      </c>
      <c r="H89" s="2">
        <v>0.311</v>
      </c>
      <c r="I89" s="2">
        <v>0.32700000000000001</v>
      </c>
      <c r="J89" s="2">
        <v>0.52400000000000002</v>
      </c>
      <c r="K89" s="2">
        <v>0.291139240506329</v>
      </c>
      <c r="L89" s="1">
        <v>0</v>
      </c>
    </row>
    <row r="90" spans="1:12" x14ac:dyDescent="0.35">
      <c r="A90" t="s">
        <v>46</v>
      </c>
      <c r="B90" s="1">
        <v>25</v>
      </c>
      <c r="C90" t="s">
        <v>18</v>
      </c>
      <c r="D90" s="3">
        <v>3.085365854</v>
      </c>
      <c r="E90" s="2">
        <v>0.47309642418956699</v>
      </c>
      <c r="F90" s="3">
        <v>52</v>
      </c>
      <c r="G90" s="2">
        <v>0.89</v>
      </c>
      <c r="H90" s="2">
        <v>0.54900000000000004</v>
      </c>
      <c r="I90" s="2">
        <v>0.57799999999999996</v>
      </c>
      <c r="J90" s="2">
        <v>0.496</v>
      </c>
      <c r="K90" s="2">
        <v>0.468354430379747</v>
      </c>
      <c r="L90" s="1">
        <v>0</v>
      </c>
    </row>
    <row r="91" spans="1:12" x14ac:dyDescent="0.35">
      <c r="A91" t="s">
        <v>46</v>
      </c>
      <c r="B91" s="1">
        <v>26</v>
      </c>
      <c r="C91" t="s">
        <v>38</v>
      </c>
      <c r="D91" s="3">
        <v>3.0487804879999998</v>
      </c>
      <c r="E91" s="2">
        <v>0.44181788620185097</v>
      </c>
      <c r="F91" s="3">
        <v>51.7</v>
      </c>
      <c r="G91" s="2">
        <v>0.88400000000000001</v>
      </c>
      <c r="H91" s="2">
        <v>0.50600000000000001</v>
      </c>
      <c r="I91" s="2">
        <v>0.64600000000000002</v>
      </c>
      <c r="J91" s="2">
        <v>0.30499999999999999</v>
      </c>
      <c r="K91" s="2">
        <v>0.59493670886076</v>
      </c>
      <c r="L91" s="1">
        <v>0</v>
      </c>
    </row>
    <row r="92" spans="1:12" x14ac:dyDescent="0.35">
      <c r="A92" t="s">
        <v>46</v>
      </c>
      <c r="B92" s="1">
        <v>27</v>
      </c>
      <c r="C92" t="s">
        <v>43</v>
      </c>
      <c r="D92" s="3">
        <v>3.097560976</v>
      </c>
      <c r="E92" s="2">
        <v>0.46217548283569299</v>
      </c>
      <c r="F92" s="3">
        <v>51</v>
      </c>
      <c r="G92" s="2">
        <v>0.89500000000000002</v>
      </c>
      <c r="H92" s="2">
        <v>0.48199999999999998</v>
      </c>
      <c r="I92" s="2">
        <v>0.59199999999999997</v>
      </c>
      <c r="J92" s="2">
        <v>0.48299999999999998</v>
      </c>
      <c r="K92" s="2">
        <v>0.734177215189873</v>
      </c>
      <c r="L92" s="1">
        <v>0</v>
      </c>
    </row>
    <row r="93" spans="1:12" x14ac:dyDescent="0.35">
      <c r="A93" t="s">
        <v>46</v>
      </c>
      <c r="B93" s="1">
        <v>28</v>
      </c>
      <c r="C93" t="s">
        <v>44</v>
      </c>
      <c r="D93" s="3">
        <v>2.8292682930000002</v>
      </c>
      <c r="E93" s="2">
        <v>0.40534698949429498</v>
      </c>
      <c r="F93" s="3">
        <v>45.5</v>
      </c>
      <c r="G93" s="2">
        <v>0.89700000000000002</v>
      </c>
      <c r="H93" s="2">
        <v>0.36</v>
      </c>
      <c r="I93" s="2">
        <v>0.66</v>
      </c>
      <c r="J93" s="2">
        <v>0.33500000000000002</v>
      </c>
      <c r="K93" s="2">
        <v>0.569620253164557</v>
      </c>
      <c r="L93" s="1">
        <v>0</v>
      </c>
    </row>
    <row r="94" spans="1:12" x14ac:dyDescent="0.35">
      <c r="A94" t="s">
        <v>46</v>
      </c>
      <c r="B94" s="1">
        <v>29</v>
      </c>
      <c r="C94" t="s">
        <v>33</v>
      </c>
      <c r="D94" s="3">
        <v>2.8536585369999998</v>
      </c>
      <c r="E94" s="2">
        <v>0.38141543605461098</v>
      </c>
      <c r="F94" s="3">
        <v>48.6</v>
      </c>
      <c r="G94" s="2">
        <v>0.89400000000000002</v>
      </c>
      <c r="H94" s="2">
        <v>0.40200000000000002</v>
      </c>
      <c r="I94" s="2">
        <v>0.78200000000000003</v>
      </c>
      <c r="J94" s="2">
        <v>0.24399999999999999</v>
      </c>
      <c r="K94" s="2">
        <v>0.316455696202532</v>
      </c>
      <c r="L94" s="1">
        <v>0</v>
      </c>
    </row>
    <row r="95" spans="1:12" x14ac:dyDescent="0.35">
      <c r="A95" t="s">
        <v>46</v>
      </c>
      <c r="B95" s="1">
        <v>30</v>
      </c>
      <c r="C95" t="s">
        <v>35</v>
      </c>
      <c r="D95" s="3">
        <v>2.4756097559999999</v>
      </c>
      <c r="E95" s="2">
        <v>0.32433219474570701</v>
      </c>
      <c r="F95" s="3">
        <v>44.4</v>
      </c>
      <c r="G95" s="2">
        <v>0.89</v>
      </c>
      <c r="H95" s="2">
        <v>0.152</v>
      </c>
      <c r="I95" s="2">
        <v>0.78900000000000003</v>
      </c>
      <c r="J95" s="2">
        <v>0.222</v>
      </c>
      <c r="K95" s="2">
        <v>0.987341772151899</v>
      </c>
      <c r="L95" s="1">
        <v>0</v>
      </c>
    </row>
    <row r="96" spans="1:12" x14ac:dyDescent="0.35">
      <c r="A96" t="s">
        <v>46</v>
      </c>
      <c r="B96" s="1">
        <v>31</v>
      </c>
      <c r="C96" t="s">
        <v>39</v>
      </c>
      <c r="D96" s="3">
        <v>2.1707317069999998</v>
      </c>
      <c r="E96" s="2">
        <v>0.27502278546938103</v>
      </c>
      <c r="F96" s="3">
        <v>46.3</v>
      </c>
      <c r="G96" s="2">
        <v>0.89200000000000002</v>
      </c>
      <c r="H96" s="2">
        <v>0</v>
      </c>
      <c r="I96" s="2">
        <v>0.68700000000000006</v>
      </c>
      <c r="J96" s="2">
        <v>0.27900000000000003</v>
      </c>
      <c r="K96" s="2">
        <v>0.379746835443038</v>
      </c>
      <c r="L96" s="1">
        <v>0</v>
      </c>
    </row>
    <row r="97" spans="1:12" x14ac:dyDescent="0.35">
      <c r="A97" t="s">
        <v>46</v>
      </c>
      <c r="B97" s="1">
        <v>32</v>
      </c>
      <c r="C97" t="s">
        <v>34</v>
      </c>
      <c r="D97" s="3">
        <v>2.195121951</v>
      </c>
      <c r="E97" s="2">
        <v>0.23363812051111901</v>
      </c>
      <c r="F97" s="3">
        <v>50.7</v>
      </c>
      <c r="G97" s="2">
        <v>0.88700000000000001</v>
      </c>
      <c r="H97" s="2">
        <v>5.5E-2</v>
      </c>
      <c r="I97" s="2">
        <v>0.92500000000000004</v>
      </c>
      <c r="J97" s="2">
        <v>0.39</v>
      </c>
      <c r="K97" s="2">
        <v>0.481012658227848</v>
      </c>
      <c r="L97" s="1">
        <v>0</v>
      </c>
    </row>
    <row r="98" spans="1:12" x14ac:dyDescent="0.35">
      <c r="A98" t="s">
        <v>47</v>
      </c>
      <c r="B98" s="1">
        <v>1</v>
      </c>
      <c r="C98" t="s">
        <v>31</v>
      </c>
      <c r="D98" s="3">
        <v>3.452054795</v>
      </c>
      <c r="E98" s="2">
        <v>0.68471615720524004</v>
      </c>
      <c r="F98" s="3">
        <v>52.9</v>
      </c>
      <c r="G98" s="2">
        <v>0.91400000000000003</v>
      </c>
      <c r="H98" s="2">
        <v>0.72599999999999998</v>
      </c>
      <c r="I98" s="2">
        <v>6.0999999999999999E-2</v>
      </c>
      <c r="J98" s="2">
        <v>0.86599999999999999</v>
      </c>
      <c r="K98" s="2">
        <v>0.240506329113924</v>
      </c>
      <c r="L98" s="1"/>
    </row>
    <row r="99" spans="1:12" x14ac:dyDescent="0.35">
      <c r="A99" t="s">
        <v>47</v>
      </c>
      <c r="B99" s="1">
        <v>2</v>
      </c>
      <c r="C99" t="s">
        <v>25</v>
      </c>
      <c r="D99" s="3">
        <v>3.611111111</v>
      </c>
      <c r="E99" s="2">
        <v>0.66388411490302002</v>
      </c>
      <c r="F99" s="3">
        <v>51.8</v>
      </c>
      <c r="G99" s="2">
        <v>0.90500000000000003</v>
      </c>
      <c r="H99" s="2">
        <v>0.76800000000000002</v>
      </c>
      <c r="I99" s="2">
        <v>0.17699999999999999</v>
      </c>
      <c r="J99" s="2">
        <v>0.68700000000000006</v>
      </c>
      <c r="K99" s="2">
        <v>0.329113924050633</v>
      </c>
      <c r="L99" s="1"/>
    </row>
    <row r="100" spans="1:12" x14ac:dyDescent="0.35">
      <c r="A100" t="s">
        <v>47</v>
      </c>
      <c r="B100" s="1">
        <v>3</v>
      </c>
      <c r="C100" t="s">
        <v>27</v>
      </c>
      <c r="D100" s="3">
        <v>3.388888889</v>
      </c>
      <c r="E100" s="2">
        <v>0.63497616279689895</v>
      </c>
      <c r="F100" s="3">
        <v>48.6</v>
      </c>
      <c r="G100" s="2">
        <v>0.90900000000000003</v>
      </c>
      <c r="H100" s="2">
        <v>0.628</v>
      </c>
      <c r="I100" s="2">
        <v>0.184</v>
      </c>
      <c r="J100" s="2">
        <v>0.76900000000000002</v>
      </c>
      <c r="K100" s="2">
        <v>0.151898734177215</v>
      </c>
      <c r="L100" s="1"/>
    </row>
    <row r="101" spans="1:12" x14ac:dyDescent="0.35">
      <c r="A101" t="s">
        <v>47</v>
      </c>
      <c r="B101" s="1">
        <v>4</v>
      </c>
      <c r="C101" t="s">
        <v>29</v>
      </c>
      <c r="D101" s="3">
        <v>3.4166666669999999</v>
      </c>
      <c r="E101" s="2">
        <v>0.62389558439951798</v>
      </c>
      <c r="F101" s="3">
        <v>47.2</v>
      </c>
      <c r="G101" s="2">
        <v>0.9</v>
      </c>
      <c r="H101" s="2">
        <v>0.72</v>
      </c>
      <c r="I101" s="2">
        <v>0.29899999999999999</v>
      </c>
      <c r="J101" s="2">
        <v>0.76100000000000001</v>
      </c>
      <c r="K101" s="2">
        <v>0</v>
      </c>
      <c r="L101" s="1"/>
    </row>
    <row r="102" spans="1:12" x14ac:dyDescent="0.35">
      <c r="A102" t="s">
        <v>47</v>
      </c>
      <c r="B102" s="1">
        <v>5</v>
      </c>
      <c r="C102" t="s">
        <v>14</v>
      </c>
      <c r="D102" s="3">
        <v>3.3698630139999999</v>
      </c>
      <c r="E102" s="2">
        <v>0.59252731758900201</v>
      </c>
      <c r="F102" s="3">
        <v>46.1</v>
      </c>
      <c r="G102" s="2">
        <v>0.89200000000000002</v>
      </c>
      <c r="H102" s="2">
        <v>0.67700000000000005</v>
      </c>
      <c r="I102" s="2">
        <v>0.39500000000000002</v>
      </c>
      <c r="J102" s="2">
        <v>0.70699999999999996</v>
      </c>
      <c r="K102" s="2">
        <v>0.139240506329114</v>
      </c>
      <c r="L102" s="1"/>
    </row>
    <row r="103" spans="1:12" x14ac:dyDescent="0.35">
      <c r="A103" t="s">
        <v>47</v>
      </c>
      <c r="B103" s="1">
        <v>6</v>
      </c>
      <c r="C103" t="s">
        <v>15</v>
      </c>
      <c r="D103" s="3">
        <v>3.2222222220000001</v>
      </c>
      <c r="E103" s="2">
        <v>0.59854988657088204</v>
      </c>
      <c r="F103" s="3">
        <v>45.9</v>
      </c>
      <c r="G103" s="2">
        <v>0.89400000000000002</v>
      </c>
      <c r="H103" s="2">
        <v>0.58499999999999996</v>
      </c>
      <c r="I103" s="2">
        <v>0.27900000000000003</v>
      </c>
      <c r="J103" s="2">
        <v>0.64800000000000002</v>
      </c>
      <c r="K103" s="2">
        <v>0.164556962025316</v>
      </c>
      <c r="L103" s="1"/>
    </row>
    <row r="104" spans="1:12" x14ac:dyDescent="0.35">
      <c r="A104" t="s">
        <v>47</v>
      </c>
      <c r="B104" s="1">
        <v>7</v>
      </c>
      <c r="C104" t="s">
        <v>13</v>
      </c>
      <c r="D104" s="3">
        <v>3.138888889</v>
      </c>
      <c r="E104" s="2">
        <v>0.57575074398052095</v>
      </c>
      <c r="F104" s="3">
        <v>49.7</v>
      </c>
      <c r="G104" s="2">
        <v>0.89800000000000002</v>
      </c>
      <c r="H104" s="2">
        <v>0.53700000000000003</v>
      </c>
      <c r="I104" s="2">
        <v>0.224</v>
      </c>
      <c r="J104" s="2">
        <v>0.72299999999999998</v>
      </c>
      <c r="K104" s="2">
        <v>0.518987341772152</v>
      </c>
      <c r="L104" s="1"/>
    </row>
    <row r="105" spans="1:12" x14ac:dyDescent="0.35">
      <c r="A105" t="s">
        <v>47</v>
      </c>
      <c r="B105" s="1">
        <v>8</v>
      </c>
      <c r="C105" t="s">
        <v>16</v>
      </c>
      <c r="D105" s="3">
        <v>3.263888889</v>
      </c>
      <c r="E105" s="2">
        <v>0.54666851446728904</v>
      </c>
      <c r="F105" s="3">
        <v>50.9</v>
      </c>
      <c r="G105" s="2">
        <v>0.89800000000000002</v>
      </c>
      <c r="H105" s="2">
        <v>0.64</v>
      </c>
      <c r="I105" s="2">
        <v>0.435</v>
      </c>
      <c r="J105" s="2">
        <v>0.7</v>
      </c>
      <c r="K105" s="2">
        <v>0.278481012658228</v>
      </c>
      <c r="L105" s="1"/>
    </row>
    <row r="106" spans="1:12" x14ac:dyDescent="0.35">
      <c r="A106" t="s">
        <v>47</v>
      </c>
      <c r="B106" s="1">
        <v>9</v>
      </c>
      <c r="C106" t="s">
        <v>19</v>
      </c>
      <c r="D106" s="3">
        <v>3.5694444440000002</v>
      </c>
      <c r="E106" s="2">
        <v>0.64659468031992495</v>
      </c>
      <c r="F106" s="3">
        <v>51.6</v>
      </c>
      <c r="G106" s="2">
        <v>0.90600000000000003</v>
      </c>
      <c r="H106" s="2">
        <v>0.81699999999999995</v>
      </c>
      <c r="I106" s="2">
        <v>0.28599999999999998</v>
      </c>
      <c r="J106" s="2">
        <v>0.82699999999999996</v>
      </c>
      <c r="K106" s="2">
        <v>0.316455696202532</v>
      </c>
      <c r="L106" s="1"/>
    </row>
    <row r="107" spans="1:12" x14ac:dyDescent="0.35">
      <c r="A107" t="s">
        <v>47</v>
      </c>
      <c r="B107" s="1">
        <v>10</v>
      </c>
      <c r="C107" t="s">
        <v>26</v>
      </c>
      <c r="D107" s="3">
        <v>2.8873239439999998</v>
      </c>
      <c r="E107" s="2">
        <v>0.567399346528772</v>
      </c>
      <c r="F107" s="3">
        <v>51.1</v>
      </c>
      <c r="G107" s="2">
        <v>0.90100000000000002</v>
      </c>
      <c r="H107" s="2">
        <v>0.439</v>
      </c>
      <c r="I107" s="2">
        <v>0.19</v>
      </c>
      <c r="J107" s="2">
        <v>0.46</v>
      </c>
      <c r="K107" s="2">
        <v>0.265822784810127</v>
      </c>
      <c r="L107" s="1"/>
    </row>
    <row r="108" spans="1:12" x14ac:dyDescent="0.35">
      <c r="A108" t="s">
        <v>47</v>
      </c>
      <c r="B108" s="1">
        <v>11</v>
      </c>
      <c r="C108" t="s">
        <v>17</v>
      </c>
      <c r="D108" s="3">
        <v>2.6986301369999999</v>
      </c>
      <c r="E108" s="2">
        <v>0.48254895865713399</v>
      </c>
      <c r="F108" s="3">
        <v>51</v>
      </c>
      <c r="G108" s="2">
        <v>0.90600000000000003</v>
      </c>
      <c r="H108" s="2">
        <v>0.33500000000000002</v>
      </c>
      <c r="I108" s="2">
        <v>0.29899999999999999</v>
      </c>
      <c r="J108" s="2">
        <v>0.28000000000000003</v>
      </c>
      <c r="K108" s="2">
        <v>0.240506329113924</v>
      </c>
      <c r="L108" s="1"/>
    </row>
    <row r="109" spans="1:12" x14ac:dyDescent="0.35">
      <c r="A109" t="s">
        <v>47</v>
      </c>
      <c r="B109" s="1">
        <v>12</v>
      </c>
      <c r="C109" t="s">
        <v>23</v>
      </c>
      <c r="D109" s="3">
        <v>3.236111111</v>
      </c>
      <c r="E109" s="2">
        <v>0.54708615077645495</v>
      </c>
      <c r="F109" s="3">
        <v>53.4</v>
      </c>
      <c r="G109" s="2">
        <v>0.89200000000000002</v>
      </c>
      <c r="H109" s="2">
        <v>0.67700000000000005</v>
      </c>
      <c r="I109" s="2">
        <v>0.42199999999999999</v>
      </c>
      <c r="J109" s="2">
        <v>0.60799999999999998</v>
      </c>
      <c r="K109" s="2">
        <v>0.151898734177215</v>
      </c>
      <c r="L109" s="1"/>
    </row>
    <row r="110" spans="1:12" x14ac:dyDescent="0.35">
      <c r="A110" t="s">
        <v>47</v>
      </c>
      <c r="B110" s="1">
        <v>13</v>
      </c>
      <c r="C110" t="s">
        <v>21</v>
      </c>
      <c r="D110" s="3">
        <v>3.013513514</v>
      </c>
      <c r="E110" s="2">
        <v>0.52999605665625804</v>
      </c>
      <c r="F110" s="3">
        <v>50.9</v>
      </c>
      <c r="G110" s="2">
        <v>0.89700000000000002</v>
      </c>
      <c r="H110" s="2">
        <v>0.54900000000000004</v>
      </c>
      <c r="I110" s="2">
        <v>0.34699999999999998</v>
      </c>
      <c r="J110" s="2">
        <v>0.34499999999999997</v>
      </c>
      <c r="K110" s="2">
        <v>0.253164556962025</v>
      </c>
      <c r="L110" s="1"/>
    </row>
    <row r="111" spans="1:12" x14ac:dyDescent="0.35">
      <c r="A111" t="s">
        <v>47</v>
      </c>
      <c r="B111" s="1">
        <v>14</v>
      </c>
      <c r="C111" t="s">
        <v>40</v>
      </c>
      <c r="D111" s="3">
        <v>2.9459459460000001</v>
      </c>
      <c r="E111" s="2">
        <v>0.55551789033185694</v>
      </c>
      <c r="F111" s="3">
        <v>51.5</v>
      </c>
      <c r="G111" s="2">
        <v>0.9</v>
      </c>
      <c r="H111" s="2">
        <v>0.49399999999999999</v>
      </c>
      <c r="I111" s="2">
        <v>0.23100000000000001</v>
      </c>
      <c r="J111" s="2">
        <v>0.871</v>
      </c>
      <c r="K111" s="2">
        <v>0.329113924050633</v>
      </c>
      <c r="L111" s="1"/>
    </row>
    <row r="112" spans="1:12" x14ac:dyDescent="0.35">
      <c r="A112" t="s">
        <v>47</v>
      </c>
      <c r="B112" s="1">
        <v>15</v>
      </c>
      <c r="C112" t="s">
        <v>38</v>
      </c>
      <c r="D112" s="3">
        <v>2.9154929580000002</v>
      </c>
      <c r="E112" s="2">
        <v>0.50729888119339395</v>
      </c>
      <c r="F112" s="3">
        <v>48.8</v>
      </c>
      <c r="G112" s="2">
        <v>0.89900000000000002</v>
      </c>
      <c r="H112" s="2">
        <v>0.433</v>
      </c>
      <c r="I112" s="2">
        <v>0.34</v>
      </c>
      <c r="J112" s="2">
        <v>0.58599999999999997</v>
      </c>
      <c r="K112" s="2">
        <v>0.379746835443038</v>
      </c>
      <c r="L112" s="1"/>
    </row>
    <row r="113" spans="1:12" x14ac:dyDescent="0.35">
      <c r="A113" t="s">
        <v>47</v>
      </c>
      <c r="B113" s="1">
        <v>16</v>
      </c>
      <c r="C113" t="s">
        <v>30</v>
      </c>
      <c r="D113" s="3">
        <v>2.8630136990000001</v>
      </c>
      <c r="E113" s="2">
        <v>0.46539949071459802</v>
      </c>
      <c r="F113" s="3">
        <v>53.8</v>
      </c>
      <c r="G113" s="2">
        <v>0.88500000000000001</v>
      </c>
      <c r="H113" s="2">
        <v>0.39</v>
      </c>
      <c r="I113" s="2">
        <v>0.42899999999999999</v>
      </c>
      <c r="J113" s="2">
        <v>0.72099999999999997</v>
      </c>
      <c r="K113" s="2">
        <v>0.468354430379747</v>
      </c>
      <c r="L113" s="1"/>
    </row>
    <row r="114" spans="1:12" x14ac:dyDescent="0.35">
      <c r="A114" t="s">
        <v>47</v>
      </c>
      <c r="B114" s="1">
        <v>17</v>
      </c>
      <c r="C114" t="s">
        <v>18</v>
      </c>
      <c r="D114" s="3">
        <v>2.6056338029999999</v>
      </c>
      <c r="E114" s="2">
        <v>0.43931147793494701</v>
      </c>
      <c r="F114" s="3">
        <v>49.6</v>
      </c>
      <c r="G114" s="2">
        <v>0.89800000000000002</v>
      </c>
      <c r="H114" s="2">
        <v>0.311</v>
      </c>
      <c r="I114" s="2">
        <v>0.442</v>
      </c>
      <c r="J114" s="2">
        <v>0.40699999999999997</v>
      </c>
      <c r="K114" s="2">
        <v>0.544303797468354</v>
      </c>
      <c r="L114" s="1"/>
    </row>
    <row r="115" spans="1:12" x14ac:dyDescent="0.35">
      <c r="A115" t="s">
        <v>47</v>
      </c>
      <c r="B115" s="1">
        <v>18</v>
      </c>
      <c r="C115" t="s">
        <v>48</v>
      </c>
      <c r="D115" s="3">
        <v>2.780821918</v>
      </c>
      <c r="E115" s="2">
        <v>0.45315489674283599</v>
      </c>
      <c r="F115" s="3">
        <v>47.6</v>
      </c>
      <c r="G115" s="2">
        <v>0.89</v>
      </c>
      <c r="H115" s="2">
        <v>0.39</v>
      </c>
      <c r="I115" s="2">
        <v>0.497</v>
      </c>
      <c r="J115" s="2">
        <v>0.61299999999999999</v>
      </c>
      <c r="K115" s="2">
        <v>0.481012658227848</v>
      </c>
      <c r="L115" s="1"/>
    </row>
    <row r="116" spans="1:12" x14ac:dyDescent="0.35">
      <c r="A116" t="s">
        <v>47</v>
      </c>
      <c r="B116" s="1">
        <v>19</v>
      </c>
      <c r="C116" t="s">
        <v>44</v>
      </c>
      <c r="D116" s="3">
        <v>2.9722222220000001</v>
      </c>
      <c r="E116" s="2">
        <v>0.44086756452342701</v>
      </c>
      <c r="F116" s="3">
        <v>52</v>
      </c>
      <c r="G116" s="2">
        <v>0.88500000000000001</v>
      </c>
      <c r="H116" s="2">
        <v>0.47599999999999998</v>
      </c>
      <c r="I116" s="2">
        <v>0.61899999999999999</v>
      </c>
      <c r="J116" s="2">
        <v>0.57899999999999996</v>
      </c>
      <c r="K116" s="2">
        <v>0.455696202531646</v>
      </c>
      <c r="L116" s="1"/>
    </row>
    <row r="117" spans="1:12" x14ac:dyDescent="0.35">
      <c r="A117" t="s">
        <v>47</v>
      </c>
      <c r="B117" s="1">
        <v>20</v>
      </c>
      <c r="C117" t="s">
        <v>20</v>
      </c>
      <c r="D117" s="3">
        <v>2.9726027400000001</v>
      </c>
      <c r="E117" s="2">
        <v>0.49086834149900999</v>
      </c>
      <c r="F117" s="3">
        <v>49.7</v>
      </c>
      <c r="G117" s="2">
        <v>0.9</v>
      </c>
      <c r="H117" s="2">
        <v>0.42099999999999999</v>
      </c>
      <c r="I117" s="2">
        <v>0.40100000000000002</v>
      </c>
      <c r="J117" s="2">
        <v>0.54400000000000004</v>
      </c>
      <c r="K117" s="2">
        <v>0.367088607594937</v>
      </c>
      <c r="L117" s="1"/>
    </row>
    <row r="118" spans="1:12" x14ac:dyDescent="0.35">
      <c r="A118" t="s">
        <v>47</v>
      </c>
      <c r="B118" s="1">
        <v>21</v>
      </c>
      <c r="C118" t="s">
        <v>33</v>
      </c>
      <c r="D118" s="3">
        <v>3.1830985919999999</v>
      </c>
      <c r="E118" s="2">
        <v>0.47415521722985499</v>
      </c>
      <c r="F118" s="3">
        <v>52.6</v>
      </c>
      <c r="G118" s="2">
        <v>0.88700000000000001</v>
      </c>
      <c r="H118" s="2">
        <v>0.65200000000000002</v>
      </c>
      <c r="I118" s="2">
        <v>0.66</v>
      </c>
      <c r="J118" s="2">
        <v>0.32800000000000001</v>
      </c>
      <c r="K118" s="2">
        <v>0.30379746835443</v>
      </c>
      <c r="L118" s="1"/>
    </row>
    <row r="119" spans="1:12" x14ac:dyDescent="0.35">
      <c r="A119" t="s">
        <v>47</v>
      </c>
      <c r="B119" s="1">
        <v>22</v>
      </c>
      <c r="C119" t="s">
        <v>32</v>
      </c>
      <c r="D119" s="3">
        <v>2.7183098590000001</v>
      </c>
      <c r="E119" s="2">
        <v>0.45318944435657499</v>
      </c>
      <c r="F119" s="3">
        <v>48.4</v>
      </c>
      <c r="G119" s="2">
        <v>0.89600000000000002</v>
      </c>
      <c r="H119" s="2">
        <v>0.39</v>
      </c>
      <c r="I119" s="2">
        <v>0.45600000000000002</v>
      </c>
      <c r="J119" s="2">
        <v>0</v>
      </c>
      <c r="K119" s="2">
        <v>1.26582278481012E-2</v>
      </c>
      <c r="L119" s="1"/>
    </row>
    <row r="120" spans="1:12" x14ac:dyDescent="0.35">
      <c r="A120" t="s">
        <v>47</v>
      </c>
      <c r="B120" s="1">
        <v>23</v>
      </c>
      <c r="C120" t="s">
        <v>37</v>
      </c>
      <c r="D120" s="3">
        <v>2.8472222220000001</v>
      </c>
      <c r="E120" s="2">
        <v>0.440578281928166</v>
      </c>
      <c r="F120" s="3">
        <v>49</v>
      </c>
      <c r="G120" s="2">
        <v>0.88800000000000001</v>
      </c>
      <c r="H120" s="2">
        <v>0.42699999999999999</v>
      </c>
      <c r="I120" s="2">
        <v>0.55100000000000005</v>
      </c>
      <c r="J120" s="2">
        <v>0.45800000000000002</v>
      </c>
      <c r="K120" s="2">
        <v>0.151898734177215</v>
      </c>
      <c r="L120" s="1"/>
    </row>
    <row r="121" spans="1:12" x14ac:dyDescent="0.35">
      <c r="A121" t="s">
        <v>47</v>
      </c>
      <c r="B121" s="1">
        <v>24</v>
      </c>
      <c r="C121" t="s">
        <v>35</v>
      </c>
      <c r="D121" s="3">
        <v>2.7222222220000001</v>
      </c>
      <c r="E121" s="2">
        <v>0.43144169539874899</v>
      </c>
      <c r="F121" s="3">
        <v>51.7</v>
      </c>
      <c r="G121" s="2">
        <v>0.90300000000000002</v>
      </c>
      <c r="H121" s="2">
        <v>0.35399999999999998</v>
      </c>
      <c r="I121" s="2">
        <v>0.46300000000000002</v>
      </c>
      <c r="J121" s="2">
        <v>3.3000000000000002E-2</v>
      </c>
      <c r="K121" s="2">
        <v>0.405063291139241</v>
      </c>
      <c r="L121" s="1"/>
    </row>
    <row r="122" spans="1:12" x14ac:dyDescent="0.35">
      <c r="A122" t="s">
        <v>47</v>
      </c>
      <c r="B122" s="1">
        <v>25</v>
      </c>
      <c r="C122" t="s">
        <v>22</v>
      </c>
      <c r="D122" s="3">
        <v>2.6301369860000001</v>
      </c>
      <c r="E122" s="2">
        <v>0.38826689135815501</v>
      </c>
      <c r="F122" s="3">
        <v>50.6</v>
      </c>
      <c r="G122" s="2">
        <v>0.88500000000000001</v>
      </c>
      <c r="H122" s="2">
        <v>0.317</v>
      </c>
      <c r="I122" s="2">
        <v>0.59899999999999998</v>
      </c>
      <c r="J122" s="2">
        <v>0.246</v>
      </c>
      <c r="K122" s="2">
        <v>0.569620253164557</v>
      </c>
      <c r="L122" s="1"/>
    </row>
    <row r="123" spans="1:12" x14ac:dyDescent="0.35">
      <c r="A123" t="s">
        <v>47</v>
      </c>
      <c r="B123" s="1">
        <v>26</v>
      </c>
      <c r="C123" t="s">
        <v>24</v>
      </c>
      <c r="D123" s="3">
        <v>2.9189189189999998</v>
      </c>
      <c r="E123" s="2">
        <v>0.39378798109385499</v>
      </c>
      <c r="F123" s="3">
        <v>49.8</v>
      </c>
      <c r="G123" s="2">
        <v>0.88100000000000001</v>
      </c>
      <c r="H123" s="2">
        <v>0.47</v>
      </c>
      <c r="I123" s="2">
        <v>0.80300000000000005</v>
      </c>
      <c r="J123" s="2">
        <v>0.59799999999999998</v>
      </c>
      <c r="K123" s="2">
        <v>0.164556962025316</v>
      </c>
      <c r="L123" s="1"/>
    </row>
    <row r="124" spans="1:12" x14ac:dyDescent="0.35">
      <c r="A124" t="s">
        <v>47</v>
      </c>
      <c r="B124" s="1">
        <v>27</v>
      </c>
      <c r="C124" t="s">
        <v>42</v>
      </c>
      <c r="D124" s="3">
        <v>3.0273972599999999</v>
      </c>
      <c r="E124" s="2">
        <v>0.471451876019576</v>
      </c>
      <c r="F124" s="3">
        <v>47.2</v>
      </c>
      <c r="G124" s="2">
        <v>0.88900000000000001</v>
      </c>
      <c r="H124" s="2">
        <v>0.47</v>
      </c>
      <c r="I124" s="2">
        <v>0.55100000000000005</v>
      </c>
      <c r="J124" s="2">
        <v>0.42299999999999999</v>
      </c>
      <c r="K124" s="2">
        <v>0.113924050632911</v>
      </c>
      <c r="L124" s="1"/>
    </row>
    <row r="125" spans="1:12" x14ac:dyDescent="0.35">
      <c r="A125" t="s">
        <v>47</v>
      </c>
      <c r="B125" s="1">
        <v>28</v>
      </c>
      <c r="C125" t="s">
        <v>41</v>
      </c>
      <c r="D125" s="3">
        <v>2.7432432430000002</v>
      </c>
      <c r="E125" s="2">
        <v>0.38790782611969798</v>
      </c>
      <c r="F125" s="3">
        <v>51.2</v>
      </c>
      <c r="G125" s="2">
        <v>0.871</v>
      </c>
      <c r="H125" s="2">
        <v>0.33500000000000002</v>
      </c>
      <c r="I125" s="2">
        <v>0.63300000000000001</v>
      </c>
      <c r="J125" s="2">
        <v>0.25</v>
      </c>
      <c r="K125" s="2">
        <v>0.227848101265823</v>
      </c>
      <c r="L125" s="1"/>
    </row>
    <row r="126" spans="1:12" x14ac:dyDescent="0.35">
      <c r="A126" t="s">
        <v>47</v>
      </c>
      <c r="B126" s="1">
        <v>29</v>
      </c>
      <c r="C126" t="s">
        <v>36</v>
      </c>
      <c r="D126" s="3">
        <v>3.1549295769999999</v>
      </c>
      <c r="E126" s="2">
        <v>0.44928366762177702</v>
      </c>
      <c r="F126" s="3">
        <v>49.4</v>
      </c>
      <c r="G126" s="2">
        <v>0.879</v>
      </c>
      <c r="H126" s="2">
        <v>0.60399999999999998</v>
      </c>
      <c r="I126" s="2">
        <v>0.76200000000000001</v>
      </c>
      <c r="J126" s="2">
        <v>0.34499999999999997</v>
      </c>
      <c r="K126" s="2">
        <v>0.645569620253165</v>
      </c>
      <c r="L126" s="1"/>
    </row>
    <row r="127" spans="1:12" x14ac:dyDescent="0.35">
      <c r="A127" t="s">
        <v>47</v>
      </c>
      <c r="B127" s="1">
        <v>30</v>
      </c>
      <c r="C127" t="s">
        <v>28</v>
      </c>
      <c r="D127" s="3">
        <v>2.5416666669999999</v>
      </c>
      <c r="E127" s="2">
        <v>0.38355113213381697</v>
      </c>
      <c r="F127" s="3">
        <v>51.7</v>
      </c>
      <c r="G127" s="2">
        <v>0.88700000000000001</v>
      </c>
      <c r="H127" s="2">
        <v>0.27400000000000002</v>
      </c>
      <c r="I127" s="2">
        <v>0.57099999999999995</v>
      </c>
      <c r="J127" s="2">
        <v>0.627</v>
      </c>
      <c r="K127" s="2">
        <v>0.556962025316456</v>
      </c>
      <c r="L127" s="1"/>
    </row>
    <row r="128" spans="1:12" x14ac:dyDescent="0.35">
      <c r="A128" t="s">
        <v>47</v>
      </c>
      <c r="B128" s="1">
        <v>31</v>
      </c>
      <c r="C128" t="s">
        <v>39</v>
      </c>
      <c r="D128" s="3">
        <v>2.7123287669999998</v>
      </c>
      <c r="E128" s="2">
        <v>0.36351160893108803</v>
      </c>
      <c r="F128" s="3">
        <v>51.6</v>
      </c>
      <c r="G128" s="2">
        <v>0.88500000000000001</v>
      </c>
      <c r="H128" s="2">
        <v>0.35399999999999998</v>
      </c>
      <c r="I128" s="2">
        <v>0.748</v>
      </c>
      <c r="J128" s="2">
        <v>0.754</v>
      </c>
      <c r="K128" s="2">
        <v>0.392405063291139</v>
      </c>
      <c r="L128" s="1"/>
    </row>
    <row r="129" spans="1:12" x14ac:dyDescent="0.35">
      <c r="A129" t="s">
        <v>47</v>
      </c>
      <c r="B129" s="1">
        <v>32</v>
      </c>
      <c r="C129" t="s">
        <v>34</v>
      </c>
      <c r="D129" s="3">
        <v>2.6197183100000001</v>
      </c>
      <c r="E129" s="2">
        <v>0.33852596970527199</v>
      </c>
      <c r="F129" s="3">
        <v>50.5</v>
      </c>
      <c r="G129" s="2">
        <v>0.88400000000000001</v>
      </c>
      <c r="H129" s="2">
        <v>0.27400000000000002</v>
      </c>
      <c r="I129" s="2">
        <v>0.748</v>
      </c>
      <c r="J129" s="2">
        <v>0.32500000000000001</v>
      </c>
      <c r="K129" s="2">
        <v>0.367088607594937</v>
      </c>
      <c r="L129" s="1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EE88-F6BF-4D2E-85B6-828B511AF09A}">
  <dimension ref="A1:L129"/>
  <sheetViews>
    <sheetView topLeftCell="A74" zoomScale="90" zoomScaleNormal="90" workbookViewId="0">
      <selection activeCell="F113" sqref="F113"/>
    </sheetView>
  </sheetViews>
  <sheetFormatPr defaultRowHeight="14.5" x14ac:dyDescent="0.35"/>
  <cols>
    <col min="1" max="1" width="10.7265625" bestFit="1" customWidth="1"/>
    <col min="2" max="2" width="10.453125" style="1" bestFit="1" customWidth="1"/>
    <col min="3" max="3" width="19.54296875" bestFit="1" customWidth="1"/>
    <col min="4" max="4" width="11.81640625" style="1" bestFit="1" customWidth="1"/>
    <col min="5" max="5" width="15.453125" style="1" bestFit="1" customWidth="1"/>
    <col min="6" max="6" width="23.453125" style="1" bestFit="1" customWidth="1"/>
    <col min="7" max="7" width="17.453125" style="1" bestFit="1" customWidth="1"/>
    <col min="8" max="9" width="13" style="1" bestFit="1" customWidth="1"/>
    <col min="10" max="10" width="16.1796875" style="1" bestFit="1" customWidth="1"/>
    <col min="11" max="11" width="16.26953125" style="1" bestFit="1" customWidth="1"/>
  </cols>
  <sheetData>
    <row r="1" spans="1:12" x14ac:dyDescent="0.35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49</v>
      </c>
    </row>
    <row r="2" spans="1:12" x14ac:dyDescent="0.35">
      <c r="A2" t="s">
        <v>12</v>
      </c>
      <c r="B2">
        <v>1</v>
      </c>
      <c r="C2" t="s">
        <v>13</v>
      </c>
      <c r="D2" s="1">
        <v>4.1097560980000001</v>
      </c>
      <c r="E2" s="1">
        <v>0.65977470909122604</v>
      </c>
      <c r="F2" s="1">
        <v>47.6</v>
      </c>
      <c r="G2" s="1">
        <v>0.90400000000000003</v>
      </c>
      <c r="H2" s="1">
        <v>1</v>
      </c>
      <c r="I2" s="1">
        <v>0.41499999999999998</v>
      </c>
      <c r="J2" s="1">
        <v>0.67800000000000005</v>
      </c>
      <c r="K2" s="1">
        <v>0.556962025316456</v>
      </c>
      <c r="L2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5.463396202531646</v>
      </c>
    </row>
    <row r="3" spans="1:12" x14ac:dyDescent="0.35">
      <c r="A3" t="s">
        <v>12</v>
      </c>
      <c r="B3">
        <v>2</v>
      </c>
      <c r="C3" t="s">
        <v>14</v>
      </c>
      <c r="D3" s="1">
        <v>3.7560975609999998</v>
      </c>
      <c r="E3" s="1">
        <v>0.63800710211987499</v>
      </c>
      <c r="F3" s="1">
        <v>42.6</v>
      </c>
      <c r="G3" s="1">
        <v>0.91200000000000003</v>
      </c>
      <c r="H3" s="1">
        <v>0.80500000000000005</v>
      </c>
      <c r="I3" s="1">
        <v>0.42899999999999999</v>
      </c>
      <c r="J3" s="1">
        <v>0.66700000000000004</v>
      </c>
      <c r="K3" s="1">
        <v>0.417721518987342</v>
      </c>
      <c r="L3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4.8850721518987354</v>
      </c>
    </row>
    <row r="4" spans="1:12" x14ac:dyDescent="0.35">
      <c r="A4" t="s">
        <v>12</v>
      </c>
      <c r="B4">
        <v>3</v>
      </c>
      <c r="C4" t="s">
        <v>15</v>
      </c>
      <c r="D4" s="1">
        <v>3.3780487799999999</v>
      </c>
      <c r="E4" s="1">
        <v>0.65732594299617098</v>
      </c>
      <c r="F4" s="1">
        <v>46.9</v>
      </c>
      <c r="G4" s="1">
        <v>0.91300000000000003</v>
      </c>
      <c r="H4" s="1">
        <v>0.60399999999999998</v>
      </c>
      <c r="I4" s="1">
        <v>0.109</v>
      </c>
      <c r="J4" s="1">
        <v>0.88600000000000001</v>
      </c>
      <c r="K4" s="1">
        <v>0.443037974683544</v>
      </c>
      <c r="L4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5.1944037974683548</v>
      </c>
    </row>
    <row r="5" spans="1:12" x14ac:dyDescent="0.35">
      <c r="A5" t="s">
        <v>12</v>
      </c>
      <c r="B5">
        <v>4</v>
      </c>
      <c r="C5" t="s">
        <v>16</v>
      </c>
      <c r="D5" s="1">
        <v>3.804878049</v>
      </c>
      <c r="E5" s="1">
        <v>0.60519247985675895</v>
      </c>
      <c r="F5" s="1">
        <v>46.4</v>
      </c>
      <c r="G5" s="1">
        <v>0.9</v>
      </c>
      <c r="H5" s="1">
        <v>0.81100000000000005</v>
      </c>
      <c r="I5" s="1">
        <v>0.44900000000000001</v>
      </c>
      <c r="J5" s="1">
        <v>0.86199999999999999</v>
      </c>
      <c r="K5" s="1">
        <v>0.367088607594937</v>
      </c>
      <c r="L5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5.2734588607594937</v>
      </c>
    </row>
    <row r="6" spans="1:12" x14ac:dyDescent="0.35">
      <c r="A6" t="s">
        <v>12</v>
      </c>
      <c r="B6">
        <v>5</v>
      </c>
      <c r="C6" t="s">
        <v>17</v>
      </c>
      <c r="D6" s="1">
        <v>3.7195121950000001</v>
      </c>
      <c r="E6" s="1">
        <v>0.60006063499025997</v>
      </c>
      <c r="F6" s="1">
        <v>43.9</v>
      </c>
      <c r="G6" s="1">
        <v>0.90300000000000002</v>
      </c>
      <c r="H6" s="1">
        <v>0.78</v>
      </c>
      <c r="I6" s="1">
        <v>0.49</v>
      </c>
      <c r="J6" s="1">
        <v>0.42699999999999999</v>
      </c>
      <c r="K6" s="1">
        <v>0.645569620253165</v>
      </c>
      <c r="L6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5.0275069620253161</v>
      </c>
    </row>
    <row r="7" spans="1:12" x14ac:dyDescent="0.35">
      <c r="A7" t="s">
        <v>12</v>
      </c>
      <c r="B7">
        <v>6</v>
      </c>
      <c r="C7" t="s">
        <v>18</v>
      </c>
      <c r="D7" s="1">
        <v>3.5487804879999998</v>
      </c>
      <c r="E7" s="1">
        <v>0.66616581574455003</v>
      </c>
      <c r="F7" s="1">
        <v>45</v>
      </c>
      <c r="G7" s="1">
        <v>0.91300000000000003</v>
      </c>
      <c r="H7" s="1">
        <v>0.70099999999999996</v>
      </c>
      <c r="I7" s="1">
        <v>0.184</v>
      </c>
      <c r="J7" s="1">
        <v>0.75</v>
      </c>
      <c r="K7" s="1">
        <v>0.430379746835443</v>
      </c>
      <c r="L7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5.0452879746835446</v>
      </c>
    </row>
    <row r="8" spans="1:12" x14ac:dyDescent="0.35">
      <c r="A8" t="s">
        <v>12</v>
      </c>
      <c r="B8">
        <v>7</v>
      </c>
      <c r="C8" t="s">
        <v>19</v>
      </c>
      <c r="D8" s="1">
        <v>3.4756097559999999</v>
      </c>
      <c r="E8" s="1">
        <v>0.60975609756097604</v>
      </c>
      <c r="F8" s="1">
        <v>49</v>
      </c>
      <c r="G8" s="1">
        <v>0.90700000000000003</v>
      </c>
      <c r="H8" s="1">
        <v>0.67700000000000005</v>
      </c>
      <c r="I8" s="1">
        <v>0.30599999999999999</v>
      </c>
      <c r="J8" s="1">
        <v>0.69599999999999995</v>
      </c>
      <c r="K8" s="1">
        <v>0.670886075949367</v>
      </c>
      <c r="L8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5.4814386075949377</v>
      </c>
    </row>
    <row r="9" spans="1:12" x14ac:dyDescent="0.35">
      <c r="A9" t="s">
        <v>12</v>
      </c>
      <c r="B9">
        <v>8</v>
      </c>
      <c r="C9" t="s">
        <v>20</v>
      </c>
      <c r="D9" s="1">
        <v>3.0487804879999998</v>
      </c>
      <c r="E9" s="1">
        <v>0.60029198202005496</v>
      </c>
      <c r="F9" s="1">
        <v>54.5</v>
      </c>
      <c r="G9" s="1">
        <v>0.91900000000000004</v>
      </c>
      <c r="H9" s="1">
        <v>0.53</v>
      </c>
      <c r="I9" s="1">
        <v>8.7999999999999995E-2</v>
      </c>
      <c r="J9" s="1">
        <v>0.8</v>
      </c>
      <c r="K9" s="1">
        <v>0.316455696202532</v>
      </c>
      <c r="L9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5.9085455696202533</v>
      </c>
    </row>
    <row r="10" spans="1:12" x14ac:dyDescent="0.35">
      <c r="A10" t="s">
        <v>12</v>
      </c>
      <c r="B10">
        <v>9</v>
      </c>
      <c r="C10" t="s">
        <v>21</v>
      </c>
      <c r="D10" s="1">
        <v>3.7682926829999999</v>
      </c>
      <c r="E10" s="1">
        <v>0.62568642612809799</v>
      </c>
      <c r="F10" s="1">
        <v>51.5</v>
      </c>
      <c r="G10" s="1">
        <v>0.90800000000000003</v>
      </c>
      <c r="H10" s="1">
        <v>0.86599999999999999</v>
      </c>
      <c r="I10" s="1">
        <v>0.35399999999999998</v>
      </c>
      <c r="J10" s="1">
        <v>0.92200000000000004</v>
      </c>
      <c r="K10" s="1">
        <v>0.227848101265823</v>
      </c>
      <c r="L10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5.7743848101265831</v>
      </c>
    </row>
    <row r="11" spans="1:12" x14ac:dyDescent="0.35">
      <c r="A11" t="s">
        <v>12</v>
      </c>
      <c r="B11">
        <v>10</v>
      </c>
      <c r="C11" t="s">
        <v>22</v>
      </c>
      <c r="D11" s="1">
        <v>3.085365854</v>
      </c>
      <c r="E11" s="1">
        <v>0.57390189450655904</v>
      </c>
      <c r="F11" s="1">
        <v>47.7</v>
      </c>
      <c r="G11" s="1">
        <v>0.90700000000000003</v>
      </c>
      <c r="H11" s="1">
        <v>0.5</v>
      </c>
      <c r="I11" s="1">
        <v>0.218</v>
      </c>
      <c r="J11" s="1">
        <v>0.627</v>
      </c>
      <c r="K11" s="1">
        <v>0.531645569620253</v>
      </c>
      <c r="L11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5.2545145569620253</v>
      </c>
    </row>
    <row r="12" spans="1:12" x14ac:dyDescent="0.35">
      <c r="A12" t="s">
        <v>12</v>
      </c>
      <c r="B12">
        <v>11</v>
      </c>
      <c r="C12" t="s">
        <v>23</v>
      </c>
      <c r="D12" s="1">
        <v>3.4756097559999999</v>
      </c>
      <c r="E12" s="1">
        <v>0.56317862243978201</v>
      </c>
      <c r="F12" s="1">
        <v>48.6</v>
      </c>
      <c r="G12" s="1">
        <v>0.90500000000000003</v>
      </c>
      <c r="H12" s="1">
        <v>0.628</v>
      </c>
      <c r="I12" s="1">
        <v>0.40100000000000002</v>
      </c>
      <c r="J12" s="1">
        <v>0.72499999999999998</v>
      </c>
      <c r="K12" s="1">
        <v>0.30379746835443</v>
      </c>
      <c r="L12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5.4076297468354433</v>
      </c>
    </row>
    <row r="13" spans="1:12" x14ac:dyDescent="0.35">
      <c r="A13" t="s">
        <v>12</v>
      </c>
      <c r="B13">
        <v>12</v>
      </c>
      <c r="C13" t="s">
        <v>24</v>
      </c>
      <c r="D13" s="1">
        <v>3.2804878049999999</v>
      </c>
      <c r="E13" s="1">
        <v>0.59485387808787904</v>
      </c>
      <c r="F13" s="1">
        <v>48.5</v>
      </c>
      <c r="G13" s="1">
        <v>0.91400000000000003</v>
      </c>
      <c r="H13" s="1">
        <v>0.57899999999999996</v>
      </c>
      <c r="I13" s="1">
        <v>0.27900000000000003</v>
      </c>
      <c r="J13" s="1">
        <v>0.69899999999999995</v>
      </c>
      <c r="K13" s="1">
        <v>0.151898734177215</v>
      </c>
      <c r="L13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5.3413898734177225</v>
      </c>
    </row>
    <row r="14" spans="1:12" x14ac:dyDescent="0.35">
      <c r="A14" t="s">
        <v>12</v>
      </c>
      <c r="B14">
        <v>13</v>
      </c>
      <c r="C14" t="s">
        <v>25</v>
      </c>
      <c r="D14" s="1">
        <v>3.292682927</v>
      </c>
      <c r="E14" s="1">
        <v>0.55452443254427097</v>
      </c>
      <c r="F14" s="1">
        <v>51.4</v>
      </c>
      <c r="G14" s="1">
        <v>0.89800000000000002</v>
      </c>
      <c r="H14" s="1">
        <v>0.64</v>
      </c>
      <c r="I14" s="1">
        <v>0.44900000000000001</v>
      </c>
      <c r="J14" s="1">
        <v>0.51300000000000001</v>
      </c>
      <c r="K14" s="1">
        <v>0.253164556962025</v>
      </c>
      <c r="L14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5.6843664556962032</v>
      </c>
    </row>
    <row r="15" spans="1:12" x14ac:dyDescent="0.35">
      <c r="A15" t="s">
        <v>12</v>
      </c>
      <c r="B15">
        <v>14</v>
      </c>
      <c r="C15" t="s">
        <v>26</v>
      </c>
      <c r="D15" s="1">
        <v>2.8658536589999999</v>
      </c>
      <c r="E15" s="1">
        <v>0.50642371777824602</v>
      </c>
      <c r="F15" s="1">
        <v>51.2</v>
      </c>
      <c r="G15" s="1">
        <v>0.90100000000000002</v>
      </c>
      <c r="H15" s="1">
        <v>0.39</v>
      </c>
      <c r="I15" s="1">
        <v>0.32</v>
      </c>
      <c r="J15" s="1">
        <v>0.29299999999999998</v>
      </c>
      <c r="K15" s="1">
        <v>0.253164556962025</v>
      </c>
      <c r="L15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5.5406664556962033</v>
      </c>
    </row>
    <row r="16" spans="1:12" x14ac:dyDescent="0.35">
      <c r="A16" t="s">
        <v>12</v>
      </c>
      <c r="B16">
        <v>15</v>
      </c>
      <c r="C16" t="s">
        <v>27</v>
      </c>
      <c r="D16" s="1">
        <v>2.8414634150000002</v>
      </c>
      <c r="E16" s="1">
        <v>0.47695146057544502</v>
      </c>
      <c r="F16" s="1">
        <v>50.8</v>
      </c>
      <c r="G16" s="1">
        <v>0.90400000000000003</v>
      </c>
      <c r="H16" s="1">
        <v>0.32900000000000001</v>
      </c>
      <c r="I16" s="1">
        <v>0.374</v>
      </c>
      <c r="J16" s="1">
        <v>0.59</v>
      </c>
      <c r="K16" s="1">
        <v>0.126582278481013</v>
      </c>
      <c r="L16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5.4929082278481003</v>
      </c>
    </row>
    <row r="17" spans="1:12" x14ac:dyDescent="0.35">
      <c r="A17" t="s">
        <v>12</v>
      </c>
      <c r="B17">
        <v>16</v>
      </c>
      <c r="C17" t="s">
        <v>28</v>
      </c>
      <c r="D17" s="1">
        <v>3.195121951</v>
      </c>
      <c r="E17" s="1">
        <v>0.52342463246507698</v>
      </c>
      <c r="F17" s="1">
        <v>55.7</v>
      </c>
      <c r="G17" s="1">
        <v>0.90600000000000003</v>
      </c>
      <c r="H17" s="1">
        <v>0.59799999999999998</v>
      </c>
      <c r="I17" s="1">
        <v>0.41499999999999998</v>
      </c>
      <c r="J17" s="1">
        <v>0.66700000000000004</v>
      </c>
      <c r="K17" s="1">
        <v>0.873417721518987</v>
      </c>
      <c r="L17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6.1641917721518995</v>
      </c>
    </row>
    <row r="18" spans="1:12" hidden="1" x14ac:dyDescent="0.35">
      <c r="A18" t="s">
        <v>12</v>
      </c>
      <c r="B18">
        <v>17</v>
      </c>
      <c r="C18" t="s">
        <v>29</v>
      </c>
      <c r="D18" s="1">
        <v>3.195121951</v>
      </c>
      <c r="E18" s="1">
        <v>0.53552816352004995</v>
      </c>
      <c r="F18" s="1">
        <v>57.2</v>
      </c>
      <c r="G18" s="1">
        <v>0.90100000000000002</v>
      </c>
      <c r="H18" s="1">
        <v>0.59099999999999997</v>
      </c>
      <c r="I18" s="1">
        <v>0.38100000000000001</v>
      </c>
      <c r="J18" s="1">
        <v>0.39700000000000002</v>
      </c>
      <c r="K18" s="1">
        <v>0.240506329113924</v>
      </c>
      <c r="L18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6.2271506329113935</v>
      </c>
    </row>
    <row r="19" spans="1:12" hidden="1" x14ac:dyDescent="0.35">
      <c r="A19" t="s">
        <v>12</v>
      </c>
      <c r="B19">
        <v>18</v>
      </c>
      <c r="C19" t="s">
        <v>30</v>
      </c>
      <c r="D19" s="1">
        <v>3</v>
      </c>
      <c r="E19" s="1">
        <v>0.53141547459100602</v>
      </c>
      <c r="F19" s="1">
        <v>51.7</v>
      </c>
      <c r="G19" s="1">
        <v>0.91200000000000003</v>
      </c>
      <c r="H19" s="1">
        <v>0.46300000000000002</v>
      </c>
      <c r="I19" s="1">
        <v>0.313</v>
      </c>
      <c r="J19" s="1">
        <v>0.48499999999999999</v>
      </c>
      <c r="K19" s="1">
        <v>0.291139240506329</v>
      </c>
      <c r="L19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5.6304139240506341</v>
      </c>
    </row>
    <row r="20" spans="1:12" hidden="1" x14ac:dyDescent="0.35">
      <c r="A20" t="s">
        <v>12</v>
      </c>
      <c r="B20">
        <v>19</v>
      </c>
      <c r="C20" t="s">
        <v>31</v>
      </c>
      <c r="D20" s="1">
        <v>3.0487804879999998</v>
      </c>
      <c r="E20" s="1">
        <v>0.49403599743891702</v>
      </c>
      <c r="F20" s="1">
        <v>52.3</v>
      </c>
      <c r="G20" s="1">
        <v>0.90700000000000003</v>
      </c>
      <c r="H20" s="1">
        <v>0.433</v>
      </c>
      <c r="I20" s="1">
        <v>0.42199999999999999</v>
      </c>
      <c r="J20" s="1">
        <v>0.40500000000000003</v>
      </c>
      <c r="K20" s="1">
        <v>0.392405063291139</v>
      </c>
      <c r="L20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5.7068405063291143</v>
      </c>
    </row>
    <row r="21" spans="1:12" hidden="1" x14ac:dyDescent="0.35">
      <c r="A21" t="s">
        <v>12</v>
      </c>
      <c r="B21">
        <v>20</v>
      </c>
      <c r="C21" t="s">
        <v>32</v>
      </c>
      <c r="D21" s="1">
        <v>2.792682927</v>
      </c>
      <c r="E21" s="1">
        <v>0.49565225610101898</v>
      </c>
      <c r="F21" s="1">
        <v>56.3</v>
      </c>
      <c r="G21" s="1">
        <v>0.91300000000000003</v>
      </c>
      <c r="H21" s="1">
        <v>0.38400000000000001</v>
      </c>
      <c r="I21" s="1">
        <v>0.29899999999999999</v>
      </c>
      <c r="J21" s="1">
        <v>0.75800000000000001</v>
      </c>
      <c r="K21" s="1">
        <v>0.405063291139241</v>
      </c>
      <c r="L21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6.085206329113924</v>
      </c>
    </row>
    <row r="22" spans="1:12" hidden="1" x14ac:dyDescent="0.35">
      <c r="A22" t="s">
        <v>12</v>
      </c>
      <c r="B22">
        <v>21</v>
      </c>
      <c r="C22" t="s">
        <v>33</v>
      </c>
      <c r="D22" s="1">
        <v>3.1463414630000002</v>
      </c>
      <c r="E22" s="1">
        <v>0.43007501308367702</v>
      </c>
      <c r="F22" s="1">
        <v>60.2</v>
      </c>
      <c r="G22" s="1">
        <v>0.89700000000000002</v>
      </c>
      <c r="H22" s="1">
        <v>0.57299999999999995</v>
      </c>
      <c r="I22" s="1">
        <v>0.71399999999999997</v>
      </c>
      <c r="J22" s="1">
        <v>0.44500000000000001</v>
      </c>
      <c r="K22" s="1">
        <v>0.253164556962025</v>
      </c>
      <c r="L22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6.5903164556962031</v>
      </c>
    </row>
    <row r="23" spans="1:12" hidden="1" x14ac:dyDescent="0.35">
      <c r="A23" t="s">
        <v>12</v>
      </c>
      <c r="B23">
        <v>22</v>
      </c>
      <c r="C23" t="s">
        <v>34</v>
      </c>
      <c r="D23" s="1">
        <v>2.5731707319999999</v>
      </c>
      <c r="E23" s="1">
        <v>0.39524333729869898</v>
      </c>
      <c r="F23" s="1">
        <v>60.1</v>
      </c>
      <c r="G23" s="1">
        <v>0.9</v>
      </c>
      <c r="H23" s="1">
        <v>0.25600000000000001</v>
      </c>
      <c r="I23" s="1">
        <v>0.48299999999999998</v>
      </c>
      <c r="J23" s="1">
        <v>0.68500000000000005</v>
      </c>
      <c r="K23" s="1">
        <v>0.392405063291139</v>
      </c>
      <c r="L23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6.4496905063291141</v>
      </c>
    </row>
    <row r="24" spans="1:12" hidden="1" x14ac:dyDescent="0.35">
      <c r="A24" t="s">
        <v>12</v>
      </c>
      <c r="B24">
        <v>23</v>
      </c>
      <c r="C24" t="s">
        <v>35</v>
      </c>
      <c r="D24" s="1">
        <v>2.7804878049999999</v>
      </c>
      <c r="E24" s="1">
        <v>0.42352941176470599</v>
      </c>
      <c r="F24" s="1">
        <v>59.8</v>
      </c>
      <c r="G24" s="1">
        <v>0.90200000000000002</v>
      </c>
      <c r="H24" s="1">
        <v>0.34100000000000003</v>
      </c>
      <c r="I24" s="1">
        <v>0.49</v>
      </c>
      <c r="J24" s="1">
        <v>0.63500000000000001</v>
      </c>
      <c r="K24" s="1">
        <v>0.455696202531646</v>
      </c>
      <c r="L24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6.4550696202531643</v>
      </c>
    </row>
    <row r="25" spans="1:12" hidden="1" x14ac:dyDescent="0.35">
      <c r="A25" t="s">
        <v>12</v>
      </c>
      <c r="B25">
        <v>24</v>
      </c>
      <c r="C25" t="s">
        <v>36</v>
      </c>
      <c r="D25" s="1">
        <v>2.792682927</v>
      </c>
      <c r="E25" s="1">
        <v>0.38899933239373902</v>
      </c>
      <c r="F25" s="1">
        <v>46</v>
      </c>
      <c r="G25" s="1">
        <v>0.89400000000000002</v>
      </c>
      <c r="H25" s="1">
        <v>0.34100000000000003</v>
      </c>
      <c r="I25" s="1">
        <v>0.70099999999999996</v>
      </c>
      <c r="J25" s="1">
        <v>0.45800000000000002</v>
      </c>
      <c r="K25" s="1">
        <v>0.30379746835443</v>
      </c>
      <c r="L25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5.0916297468354434</v>
      </c>
    </row>
    <row r="26" spans="1:12" hidden="1" x14ac:dyDescent="0.35">
      <c r="A26" t="s">
        <v>12</v>
      </c>
      <c r="B26">
        <v>25</v>
      </c>
      <c r="C26" t="s">
        <v>37</v>
      </c>
      <c r="D26" s="1">
        <v>2.7682926829999999</v>
      </c>
      <c r="E26" s="1">
        <v>0.34904388704116401</v>
      </c>
      <c r="F26" s="1">
        <v>43.9</v>
      </c>
      <c r="G26" s="1">
        <v>0.88800000000000001</v>
      </c>
      <c r="H26" s="1">
        <v>0.32300000000000001</v>
      </c>
      <c r="I26" s="1">
        <v>0.89800000000000002</v>
      </c>
      <c r="J26" s="1">
        <v>0.2</v>
      </c>
      <c r="K26" s="1">
        <v>0.405063291139241</v>
      </c>
      <c r="L26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4.9107563291139238</v>
      </c>
    </row>
    <row r="27" spans="1:12" hidden="1" x14ac:dyDescent="0.35">
      <c r="A27" t="s">
        <v>12</v>
      </c>
      <c r="B27">
        <v>26</v>
      </c>
      <c r="C27" t="s">
        <v>38</v>
      </c>
      <c r="D27" s="1">
        <v>2.7317073170000001</v>
      </c>
      <c r="E27" s="1">
        <v>0.41857981847303799</v>
      </c>
      <c r="F27" s="1">
        <v>44.3</v>
      </c>
      <c r="G27" s="1">
        <v>0.90400000000000003</v>
      </c>
      <c r="H27" s="1">
        <v>0.29299999999999998</v>
      </c>
      <c r="I27" s="1">
        <v>0.57099999999999995</v>
      </c>
      <c r="J27" s="1">
        <v>0.53</v>
      </c>
      <c r="K27" s="1">
        <v>0.544303797468354</v>
      </c>
      <c r="L27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4.9084803797468357</v>
      </c>
    </row>
    <row r="28" spans="1:12" hidden="1" x14ac:dyDescent="0.35">
      <c r="A28" t="s">
        <v>12</v>
      </c>
      <c r="B28">
        <v>27</v>
      </c>
      <c r="C28" t="s">
        <v>39</v>
      </c>
      <c r="D28" s="1">
        <v>2.597560976</v>
      </c>
      <c r="E28" s="1">
        <v>0.35199782760493398</v>
      </c>
      <c r="F28" s="1">
        <v>44.8</v>
      </c>
      <c r="G28" s="1">
        <v>0.89300000000000002</v>
      </c>
      <c r="H28" s="1">
        <v>0.20100000000000001</v>
      </c>
      <c r="I28" s="1">
        <v>0.70099999999999996</v>
      </c>
      <c r="J28" s="1">
        <v>0.38300000000000001</v>
      </c>
      <c r="K28" s="1">
        <v>0.278481012658228</v>
      </c>
      <c r="L28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4.916148101265823</v>
      </c>
    </row>
    <row r="29" spans="1:12" hidden="1" x14ac:dyDescent="0.35">
      <c r="A29" t="s">
        <v>12</v>
      </c>
      <c r="B29">
        <v>28</v>
      </c>
      <c r="C29" t="s">
        <v>40</v>
      </c>
      <c r="D29" s="1">
        <v>2.9878048779999999</v>
      </c>
      <c r="E29" s="1">
        <v>0.39691461293799501</v>
      </c>
      <c r="F29" s="1">
        <v>53</v>
      </c>
      <c r="G29" s="1">
        <v>0.88100000000000001</v>
      </c>
      <c r="H29" s="1">
        <v>0.48199999999999998</v>
      </c>
      <c r="I29" s="1">
        <v>0.78900000000000003</v>
      </c>
      <c r="J29" s="1">
        <v>0.39500000000000002</v>
      </c>
      <c r="K29" s="1">
        <v>0.30379746835443</v>
      </c>
      <c r="L29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5.852829746835444</v>
      </c>
    </row>
    <row r="30" spans="1:12" hidden="1" x14ac:dyDescent="0.35">
      <c r="A30" t="s">
        <v>12</v>
      </c>
      <c r="B30">
        <v>29</v>
      </c>
      <c r="C30" t="s">
        <v>41</v>
      </c>
      <c r="D30" s="1">
        <v>2.5609756099999998</v>
      </c>
      <c r="E30" s="1">
        <v>0.337837837837838</v>
      </c>
      <c r="F30" s="1">
        <v>52.4</v>
      </c>
      <c r="G30" s="1">
        <v>0.89400000000000002</v>
      </c>
      <c r="H30" s="1">
        <v>0.27400000000000002</v>
      </c>
      <c r="I30" s="1">
        <v>0.73499999999999999</v>
      </c>
      <c r="J30" s="1">
        <v>0.13900000000000001</v>
      </c>
      <c r="K30" s="1">
        <v>0.417721518987342</v>
      </c>
      <c r="L30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5.7104221518987348</v>
      </c>
    </row>
    <row r="31" spans="1:12" hidden="1" x14ac:dyDescent="0.35">
      <c r="A31" t="s">
        <v>12</v>
      </c>
      <c r="B31">
        <v>30</v>
      </c>
      <c r="C31" t="s">
        <v>42</v>
      </c>
      <c r="D31" s="1">
        <v>2.597560976</v>
      </c>
      <c r="E31" s="1">
        <v>0.36</v>
      </c>
      <c r="F31" s="1">
        <v>53.2</v>
      </c>
      <c r="G31" s="1">
        <v>0.88</v>
      </c>
      <c r="H31" s="1">
        <v>0.28699999999999998</v>
      </c>
      <c r="I31" s="1">
        <v>0.65300000000000002</v>
      </c>
      <c r="J31" s="1">
        <v>0.17799999999999999</v>
      </c>
      <c r="K31" s="1">
        <v>0.354430379746835</v>
      </c>
      <c r="L31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5.7713930379746845</v>
      </c>
    </row>
    <row r="32" spans="1:12" hidden="1" x14ac:dyDescent="0.35">
      <c r="A32" t="s">
        <v>12</v>
      </c>
      <c r="B32">
        <v>31</v>
      </c>
      <c r="C32" t="s">
        <v>43</v>
      </c>
      <c r="D32" s="1">
        <v>2.5121951220000001</v>
      </c>
      <c r="E32" s="1">
        <v>0.30769230769230799</v>
      </c>
      <c r="F32" s="1">
        <v>54.8</v>
      </c>
      <c r="G32" s="1">
        <v>0.89400000000000002</v>
      </c>
      <c r="H32" s="1">
        <v>0.21299999999999999</v>
      </c>
      <c r="I32" s="1">
        <v>0.78200000000000003</v>
      </c>
      <c r="J32" s="1">
        <v>0.158</v>
      </c>
      <c r="K32" s="1">
        <v>0.569620253164557</v>
      </c>
      <c r="L32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5.9546120253164565</v>
      </c>
    </row>
    <row r="33" spans="1:12" hidden="1" x14ac:dyDescent="0.35">
      <c r="A33" t="s">
        <v>12</v>
      </c>
      <c r="B33">
        <v>32</v>
      </c>
      <c r="C33" t="s">
        <v>44</v>
      </c>
      <c r="D33" s="1">
        <v>2.6585365849999998</v>
      </c>
      <c r="E33" s="1">
        <v>0.32107990514346701</v>
      </c>
      <c r="F33" s="1">
        <v>47.9</v>
      </c>
      <c r="G33" s="1">
        <v>0.88800000000000001</v>
      </c>
      <c r="H33" s="1">
        <v>0.28000000000000003</v>
      </c>
      <c r="I33" s="1">
        <v>0.95199999999999996</v>
      </c>
      <c r="J33" s="1">
        <v>0.17199999999999999</v>
      </c>
      <c r="K33" s="1">
        <v>0.569620253164557</v>
      </c>
      <c r="L33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5.3215620253164566</v>
      </c>
    </row>
    <row r="34" spans="1:12" x14ac:dyDescent="0.35">
      <c r="A34" t="s">
        <v>45</v>
      </c>
      <c r="B34">
        <v>1</v>
      </c>
      <c r="C34" t="s">
        <v>22</v>
      </c>
      <c r="D34" s="1">
        <v>3.6707317069999998</v>
      </c>
      <c r="E34" s="1">
        <v>0.74953051448993602</v>
      </c>
      <c r="F34" s="1">
        <v>45</v>
      </c>
      <c r="G34" s="1">
        <v>0.92900000000000005</v>
      </c>
      <c r="H34" s="1">
        <v>0.77400000000000002</v>
      </c>
      <c r="I34" s="1">
        <v>0</v>
      </c>
      <c r="J34" s="1">
        <v>0.86799999999999999</v>
      </c>
      <c r="K34" s="1">
        <v>0.607594936708861</v>
      </c>
      <c r="L34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5.0608594936708871</v>
      </c>
    </row>
    <row r="35" spans="1:12" x14ac:dyDescent="0.35">
      <c r="A35" t="s">
        <v>45</v>
      </c>
      <c r="B35">
        <v>2</v>
      </c>
      <c r="C35" t="s">
        <v>15</v>
      </c>
      <c r="D35" s="1">
        <v>3.195121951</v>
      </c>
      <c r="E35" s="1">
        <v>0.60884836443624502</v>
      </c>
      <c r="F35" s="1">
        <v>48.3</v>
      </c>
      <c r="G35" s="1">
        <v>0.90200000000000002</v>
      </c>
      <c r="H35" s="1">
        <v>0.54900000000000004</v>
      </c>
      <c r="I35" s="1">
        <v>0.21099999999999999</v>
      </c>
      <c r="J35" s="1">
        <v>0.68400000000000005</v>
      </c>
      <c r="K35" s="1">
        <v>0.227848101265823</v>
      </c>
      <c r="L35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5.3017348101265824</v>
      </c>
    </row>
    <row r="36" spans="1:12" x14ac:dyDescent="0.35">
      <c r="A36" t="s">
        <v>45</v>
      </c>
      <c r="B36">
        <v>3</v>
      </c>
      <c r="C36" t="s">
        <v>40</v>
      </c>
      <c r="D36" s="1">
        <v>3.5243902440000001</v>
      </c>
      <c r="E36" s="1">
        <v>0.62889951432551505</v>
      </c>
      <c r="F36" s="1">
        <v>49</v>
      </c>
      <c r="G36" s="1">
        <v>0.90400000000000003</v>
      </c>
      <c r="H36" s="1">
        <v>0.68300000000000005</v>
      </c>
      <c r="I36" s="1">
        <v>0.23100000000000001</v>
      </c>
      <c r="J36" s="1">
        <v>0.69599999999999995</v>
      </c>
      <c r="K36" s="1">
        <v>0.253164556962025</v>
      </c>
      <c r="L36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5.4261664556962019</v>
      </c>
    </row>
    <row r="37" spans="1:12" x14ac:dyDescent="0.35">
      <c r="A37" t="s">
        <v>45</v>
      </c>
      <c r="B37">
        <v>4</v>
      </c>
      <c r="C37" t="s">
        <v>29</v>
      </c>
      <c r="D37" s="1">
        <v>3.2560975609999998</v>
      </c>
      <c r="E37" s="1">
        <v>0.58474826517053002</v>
      </c>
      <c r="F37" s="1">
        <v>48.9</v>
      </c>
      <c r="G37" s="1">
        <v>0.91100000000000003</v>
      </c>
      <c r="H37" s="1">
        <v>0.59099999999999997</v>
      </c>
      <c r="I37" s="1">
        <v>0.27900000000000003</v>
      </c>
      <c r="J37" s="1">
        <v>0.46300000000000002</v>
      </c>
      <c r="K37" s="1">
        <v>0.189873417721519</v>
      </c>
      <c r="L37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5.3769873417721525</v>
      </c>
    </row>
    <row r="38" spans="1:12" x14ac:dyDescent="0.35">
      <c r="A38" t="s">
        <v>45</v>
      </c>
      <c r="B38">
        <v>5</v>
      </c>
      <c r="C38" t="s">
        <v>16</v>
      </c>
      <c r="D38" s="1">
        <v>3.3902439019999999</v>
      </c>
      <c r="E38" s="1">
        <v>0.61490722765029804</v>
      </c>
      <c r="F38" s="1">
        <v>51.6</v>
      </c>
      <c r="G38" s="1">
        <v>0.90900000000000003</v>
      </c>
      <c r="H38" s="1">
        <v>0.67100000000000004</v>
      </c>
      <c r="I38" s="1">
        <v>0.23100000000000001</v>
      </c>
      <c r="J38" s="1">
        <v>0.81200000000000006</v>
      </c>
      <c r="K38" s="1">
        <v>0.341772151898734</v>
      </c>
      <c r="L38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5.6976272151898737</v>
      </c>
    </row>
    <row r="39" spans="1:12" x14ac:dyDescent="0.35">
      <c r="A39" t="s">
        <v>45</v>
      </c>
      <c r="B39">
        <v>6</v>
      </c>
      <c r="C39" t="s">
        <v>14</v>
      </c>
      <c r="D39" s="1">
        <v>3.3414634150000002</v>
      </c>
      <c r="E39" s="1">
        <v>0.60154641240334905</v>
      </c>
      <c r="F39" s="1">
        <v>53.7</v>
      </c>
      <c r="G39" s="1">
        <v>0.91200000000000003</v>
      </c>
      <c r="H39" s="1">
        <v>0.64600000000000002</v>
      </c>
      <c r="I39" s="1">
        <v>0.23100000000000001</v>
      </c>
      <c r="J39" s="1">
        <v>0.66300000000000003</v>
      </c>
      <c r="K39" s="1">
        <v>0.316455696202532</v>
      </c>
      <c r="L39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5.8894955696202542</v>
      </c>
    </row>
    <row r="40" spans="1:12" x14ac:dyDescent="0.35">
      <c r="A40" t="s">
        <v>45</v>
      </c>
      <c r="B40">
        <v>7</v>
      </c>
      <c r="C40" t="s">
        <v>23</v>
      </c>
      <c r="D40" s="1">
        <v>3.9634146339999998</v>
      </c>
      <c r="E40" s="1">
        <v>0.61710903768966097</v>
      </c>
      <c r="F40" s="1">
        <v>50.6</v>
      </c>
      <c r="G40" s="1">
        <v>0.9</v>
      </c>
      <c r="H40" s="1">
        <v>0.90900000000000003</v>
      </c>
      <c r="I40" s="1">
        <v>0.42899999999999999</v>
      </c>
      <c r="J40" s="1">
        <v>0.86199999999999999</v>
      </c>
      <c r="K40" s="1">
        <v>0.367088607594937</v>
      </c>
      <c r="L40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5.723758860759494</v>
      </c>
    </row>
    <row r="41" spans="1:12" x14ac:dyDescent="0.35">
      <c r="A41" t="s">
        <v>45</v>
      </c>
      <c r="B41">
        <v>8</v>
      </c>
      <c r="C41" t="s">
        <v>27</v>
      </c>
      <c r="D41" s="1">
        <v>3.4268292680000001</v>
      </c>
      <c r="E41" s="1">
        <v>0.63074944482609896</v>
      </c>
      <c r="F41" s="1">
        <v>46</v>
      </c>
      <c r="G41" s="1">
        <v>0.91200000000000003</v>
      </c>
      <c r="H41" s="1">
        <v>0.67100000000000004</v>
      </c>
      <c r="I41" s="1">
        <v>0.26500000000000001</v>
      </c>
      <c r="J41" s="1">
        <v>0.83299999999999996</v>
      </c>
      <c r="K41" s="1">
        <v>0.265822784810127</v>
      </c>
      <c r="L41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5.1384822784810131</v>
      </c>
    </row>
    <row r="42" spans="1:12" x14ac:dyDescent="0.35">
      <c r="A42" t="s">
        <v>45</v>
      </c>
      <c r="B42">
        <v>9</v>
      </c>
      <c r="C42" t="s">
        <v>20</v>
      </c>
      <c r="D42" s="1">
        <v>3.3292682930000002</v>
      </c>
      <c r="E42" s="1">
        <v>0.61500185666542895</v>
      </c>
      <c r="F42" s="1">
        <v>46.1</v>
      </c>
      <c r="G42" s="1">
        <v>0.91</v>
      </c>
      <c r="H42" s="1">
        <v>0.59799999999999998</v>
      </c>
      <c r="I42" s="1">
        <v>0.20399999999999999</v>
      </c>
      <c r="J42" s="1">
        <v>0.72199999999999998</v>
      </c>
      <c r="K42" s="1">
        <v>0.240506329113924</v>
      </c>
      <c r="L42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5.1022506329113932</v>
      </c>
    </row>
    <row r="43" spans="1:12" x14ac:dyDescent="0.35">
      <c r="A43" t="s">
        <v>45</v>
      </c>
      <c r="B43">
        <v>10</v>
      </c>
      <c r="C43" t="s">
        <v>26</v>
      </c>
      <c r="D43" s="1">
        <v>3.3414634150000002</v>
      </c>
      <c r="E43" s="1">
        <v>0.53782451716430701</v>
      </c>
      <c r="F43" s="1">
        <v>46.5</v>
      </c>
      <c r="G43" s="1">
        <v>0.88900000000000001</v>
      </c>
      <c r="H43" s="1">
        <v>0.59799999999999998</v>
      </c>
      <c r="I43" s="1">
        <v>0.47599999999999998</v>
      </c>
      <c r="J43" s="1">
        <v>0.57999999999999996</v>
      </c>
      <c r="K43" s="1">
        <v>0.367088607594937</v>
      </c>
      <c r="L43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5.1980088607594945</v>
      </c>
    </row>
    <row r="44" spans="1:12" x14ac:dyDescent="0.35">
      <c r="A44" t="s">
        <v>45</v>
      </c>
      <c r="B44">
        <v>11</v>
      </c>
      <c r="C44" t="s">
        <v>17</v>
      </c>
      <c r="D44" s="1">
        <v>2.914634146</v>
      </c>
      <c r="E44" s="1">
        <v>0.54358500980186897</v>
      </c>
      <c r="F44" s="1">
        <v>48.6</v>
      </c>
      <c r="G44" s="1">
        <v>0.91400000000000003</v>
      </c>
      <c r="H44" s="1">
        <v>0.372</v>
      </c>
      <c r="I44" s="1">
        <v>0.19</v>
      </c>
      <c r="J44" s="1">
        <v>0.66</v>
      </c>
      <c r="K44" s="1">
        <v>0.708860759493671</v>
      </c>
      <c r="L44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5.314886075949369</v>
      </c>
    </row>
    <row r="45" spans="1:12" x14ac:dyDescent="0.35">
      <c r="A45" t="s">
        <v>45</v>
      </c>
      <c r="B45">
        <v>12</v>
      </c>
      <c r="C45" t="s">
        <v>42</v>
      </c>
      <c r="D45" s="1">
        <v>3.5243902440000001</v>
      </c>
      <c r="E45" s="1">
        <v>0.56807345689508604</v>
      </c>
      <c r="F45" s="1">
        <v>52.5</v>
      </c>
      <c r="G45" s="1">
        <v>0.88600000000000001</v>
      </c>
      <c r="H45" s="1">
        <v>0.75</v>
      </c>
      <c r="I45" s="1">
        <v>0.46899999999999997</v>
      </c>
      <c r="J45" s="1">
        <v>0.41899999999999998</v>
      </c>
      <c r="K45" s="1">
        <v>0.354430379746835</v>
      </c>
      <c r="L45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5.8398930379746838</v>
      </c>
    </row>
    <row r="46" spans="1:12" x14ac:dyDescent="0.35">
      <c r="A46" t="s">
        <v>45</v>
      </c>
      <c r="B46">
        <v>13</v>
      </c>
      <c r="C46" t="s">
        <v>19</v>
      </c>
      <c r="D46" s="1">
        <v>3.414634146</v>
      </c>
      <c r="E46" s="1">
        <v>0.55248618784530401</v>
      </c>
      <c r="F46" s="1">
        <v>52.2</v>
      </c>
      <c r="G46" s="1">
        <v>0.90200000000000002</v>
      </c>
      <c r="H46" s="1">
        <v>0.71299999999999997</v>
      </c>
      <c r="I46" s="1">
        <v>0.45600000000000002</v>
      </c>
      <c r="J46" s="1">
        <v>0.71499999999999997</v>
      </c>
      <c r="K46" s="1">
        <v>0.810126582278481</v>
      </c>
      <c r="L46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5.8579126582278489</v>
      </c>
    </row>
    <row r="47" spans="1:12" x14ac:dyDescent="0.35">
      <c r="A47" t="s">
        <v>45</v>
      </c>
      <c r="B47">
        <v>14</v>
      </c>
      <c r="C47" t="s">
        <v>31</v>
      </c>
      <c r="D47" s="1">
        <v>3</v>
      </c>
      <c r="E47" s="1">
        <v>0.54670617569472002</v>
      </c>
      <c r="F47" s="1">
        <v>55.6</v>
      </c>
      <c r="G47" s="1">
        <v>0.91</v>
      </c>
      <c r="H47" s="1">
        <v>0.51800000000000002</v>
      </c>
      <c r="I47" s="1">
        <v>0.245</v>
      </c>
      <c r="J47" s="1">
        <v>0.59899999999999998</v>
      </c>
      <c r="K47" s="1">
        <v>0.354430379746835</v>
      </c>
      <c r="L47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6.0376930379746856</v>
      </c>
    </row>
    <row r="48" spans="1:12" x14ac:dyDescent="0.35">
      <c r="A48" t="s">
        <v>45</v>
      </c>
      <c r="B48">
        <v>15</v>
      </c>
      <c r="C48" t="s">
        <v>18</v>
      </c>
      <c r="D48" s="1">
        <v>3.1463414630000002</v>
      </c>
      <c r="E48" s="1">
        <v>0.52177184827510503</v>
      </c>
      <c r="F48" s="1">
        <v>54.5</v>
      </c>
      <c r="G48" s="1">
        <v>0.89</v>
      </c>
      <c r="H48" s="1">
        <v>0.53700000000000003</v>
      </c>
      <c r="I48" s="1">
        <v>0.38100000000000001</v>
      </c>
      <c r="J48" s="1">
        <v>0.625</v>
      </c>
      <c r="K48" s="1">
        <v>0.443037974683544</v>
      </c>
      <c r="L48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5.9677037974683547</v>
      </c>
    </row>
    <row r="49" spans="1:12" x14ac:dyDescent="0.35">
      <c r="A49" t="s">
        <v>45</v>
      </c>
      <c r="B49">
        <v>16</v>
      </c>
      <c r="C49" t="s">
        <v>32</v>
      </c>
      <c r="D49" s="1">
        <v>2.9512195120000002</v>
      </c>
      <c r="E49" s="1">
        <v>0.55430513094753597</v>
      </c>
      <c r="F49" s="1">
        <v>56.6</v>
      </c>
      <c r="G49" s="1">
        <v>0.91500000000000004</v>
      </c>
      <c r="H49" s="1">
        <v>0.53</v>
      </c>
      <c r="I49" s="1">
        <v>0.224</v>
      </c>
      <c r="J49" s="1">
        <v>0.47099999999999997</v>
      </c>
      <c r="K49" s="1">
        <v>0.291139240506329</v>
      </c>
      <c r="L49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6.1259639240506338</v>
      </c>
    </row>
    <row r="50" spans="1:12" hidden="1" x14ac:dyDescent="0.35">
      <c r="A50" t="s">
        <v>45</v>
      </c>
      <c r="B50">
        <v>17</v>
      </c>
      <c r="C50" t="s">
        <v>13</v>
      </c>
      <c r="D50" s="1">
        <v>3.5121951220000001</v>
      </c>
      <c r="E50" s="1">
        <v>0.52854812398042395</v>
      </c>
      <c r="F50" s="1">
        <v>54.3</v>
      </c>
      <c r="G50" s="1">
        <v>0.89600000000000002</v>
      </c>
      <c r="H50" s="1">
        <v>0.76800000000000002</v>
      </c>
      <c r="I50" s="1">
        <v>0.60499999999999998</v>
      </c>
      <c r="J50" s="1">
        <v>0.499</v>
      </c>
      <c r="K50" s="1">
        <v>0.822784810126582</v>
      </c>
      <c r="L50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6.1062284810126561</v>
      </c>
    </row>
    <row r="51" spans="1:12" hidden="1" x14ac:dyDescent="0.35">
      <c r="A51" t="s">
        <v>45</v>
      </c>
      <c r="B51">
        <v>18</v>
      </c>
      <c r="C51" t="s">
        <v>28</v>
      </c>
      <c r="D51" s="1">
        <v>2.7195121950000001</v>
      </c>
      <c r="E51" s="1">
        <v>0.47170026084894501</v>
      </c>
      <c r="F51" s="1">
        <v>56.2</v>
      </c>
      <c r="G51" s="1">
        <v>0.91400000000000003</v>
      </c>
      <c r="H51" s="1">
        <v>0.317</v>
      </c>
      <c r="I51" s="1">
        <v>0.30599999999999999</v>
      </c>
      <c r="J51" s="1">
        <v>0.54600000000000004</v>
      </c>
      <c r="K51" s="1">
        <v>0.493670886075949</v>
      </c>
      <c r="L51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6.0516170886075971</v>
      </c>
    </row>
    <row r="52" spans="1:12" hidden="1" x14ac:dyDescent="0.35">
      <c r="A52" t="s">
        <v>45</v>
      </c>
      <c r="B52">
        <v>19</v>
      </c>
      <c r="C52" t="s">
        <v>36</v>
      </c>
      <c r="D52" s="1">
        <v>3.5731707319999999</v>
      </c>
      <c r="E52" s="1">
        <v>0.49322065058773501</v>
      </c>
      <c r="F52" s="1">
        <v>55.4</v>
      </c>
      <c r="G52" s="1">
        <v>0.89</v>
      </c>
      <c r="H52" s="1">
        <v>0.72599999999999998</v>
      </c>
      <c r="I52" s="1">
        <v>0.68</v>
      </c>
      <c r="J52" s="1">
        <v>0.41899999999999998</v>
      </c>
      <c r="K52" s="1">
        <v>0.215189873417722</v>
      </c>
      <c r="L52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6.1505689873417726</v>
      </c>
    </row>
    <row r="53" spans="1:12" hidden="1" x14ac:dyDescent="0.35">
      <c r="A53" t="s">
        <v>45</v>
      </c>
      <c r="B53">
        <v>20</v>
      </c>
      <c r="C53" t="s">
        <v>24</v>
      </c>
      <c r="D53" s="1">
        <v>3.1829268289999999</v>
      </c>
      <c r="E53" s="1">
        <v>0.49618326170879201</v>
      </c>
      <c r="F53" s="1">
        <v>54.1</v>
      </c>
      <c r="G53" s="1">
        <v>0.90200000000000002</v>
      </c>
      <c r="H53" s="1">
        <v>0.56699999999999995</v>
      </c>
      <c r="I53" s="1">
        <v>0.51700000000000002</v>
      </c>
      <c r="J53" s="1">
        <v>0.56899999999999995</v>
      </c>
      <c r="K53" s="1">
        <v>0.367088607594937</v>
      </c>
      <c r="L53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5.9574088607594939</v>
      </c>
    </row>
    <row r="54" spans="1:12" hidden="1" x14ac:dyDescent="0.35">
      <c r="A54" t="s">
        <v>45</v>
      </c>
      <c r="B54">
        <v>21</v>
      </c>
      <c r="C54" t="s">
        <v>38</v>
      </c>
      <c r="D54" s="1">
        <v>3.1585365849999998</v>
      </c>
      <c r="E54" s="1">
        <v>0.47921503632635898</v>
      </c>
      <c r="F54" s="1">
        <v>52.3</v>
      </c>
      <c r="G54" s="1">
        <v>0.89500000000000002</v>
      </c>
      <c r="H54" s="1">
        <v>0.56100000000000005</v>
      </c>
      <c r="I54" s="1">
        <v>0.55800000000000005</v>
      </c>
      <c r="J54" s="1">
        <v>0.66500000000000004</v>
      </c>
      <c r="K54" s="1">
        <v>0.848101265822785</v>
      </c>
      <c r="L54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5.8350101265822794</v>
      </c>
    </row>
    <row r="55" spans="1:12" hidden="1" x14ac:dyDescent="0.35">
      <c r="A55" t="s">
        <v>45</v>
      </c>
      <c r="B55">
        <v>22</v>
      </c>
      <c r="C55" t="s">
        <v>30</v>
      </c>
      <c r="D55" s="1">
        <v>3.292682927</v>
      </c>
      <c r="E55" s="1">
        <v>0.45416033292631303</v>
      </c>
      <c r="F55" s="1">
        <v>54.4</v>
      </c>
      <c r="G55" s="1">
        <v>0.88300000000000001</v>
      </c>
      <c r="H55" s="1">
        <v>0.60399999999999998</v>
      </c>
      <c r="I55" s="1">
        <v>0.70099999999999996</v>
      </c>
      <c r="J55" s="1">
        <v>0.34599999999999997</v>
      </c>
      <c r="K55" s="1">
        <v>0.417721518987342</v>
      </c>
      <c r="L55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6.0272721518987344</v>
      </c>
    </row>
    <row r="56" spans="1:12" hidden="1" x14ac:dyDescent="0.35">
      <c r="A56" t="s">
        <v>45</v>
      </c>
      <c r="B56">
        <v>23</v>
      </c>
      <c r="C56" t="s">
        <v>21</v>
      </c>
      <c r="D56" s="1">
        <v>3.1707317069999998</v>
      </c>
      <c r="E56" s="1">
        <v>0.43221400987186998</v>
      </c>
      <c r="F56" s="1">
        <v>53.8</v>
      </c>
      <c r="G56" s="1">
        <v>0.88800000000000001</v>
      </c>
      <c r="H56" s="1">
        <v>0.49399999999999999</v>
      </c>
      <c r="I56" s="1">
        <v>0.69399999999999995</v>
      </c>
      <c r="J56" s="1">
        <v>0.255</v>
      </c>
      <c r="K56" s="1">
        <v>0.265822784810127</v>
      </c>
      <c r="L56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5.9086322784810124</v>
      </c>
    </row>
    <row r="57" spans="1:12" hidden="1" x14ac:dyDescent="0.35">
      <c r="A57" t="s">
        <v>45</v>
      </c>
      <c r="B57">
        <v>24</v>
      </c>
      <c r="C57" t="s">
        <v>25</v>
      </c>
      <c r="D57" s="1">
        <v>3.085365854</v>
      </c>
      <c r="E57" s="1">
        <v>0.484439567093014</v>
      </c>
      <c r="F57" s="1">
        <v>51.3</v>
      </c>
      <c r="G57" s="1">
        <v>0.89800000000000002</v>
      </c>
      <c r="H57" s="1">
        <v>0.51800000000000002</v>
      </c>
      <c r="I57" s="1">
        <v>0.49</v>
      </c>
      <c r="J57" s="1">
        <v>0.64700000000000002</v>
      </c>
      <c r="K57" s="1">
        <v>0.379746835443038</v>
      </c>
      <c r="L57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5.6592246835443039</v>
      </c>
    </row>
    <row r="58" spans="1:12" hidden="1" x14ac:dyDescent="0.35">
      <c r="A58" t="s">
        <v>45</v>
      </c>
      <c r="B58">
        <v>25</v>
      </c>
      <c r="C58" t="s">
        <v>37</v>
      </c>
      <c r="D58" s="1">
        <v>2.8902439019999999</v>
      </c>
      <c r="E58" s="1">
        <v>0.42618783859659798</v>
      </c>
      <c r="F58" s="1">
        <v>49.6</v>
      </c>
      <c r="G58" s="1">
        <v>0.89</v>
      </c>
      <c r="H58" s="1">
        <v>0.40200000000000002</v>
      </c>
      <c r="I58" s="1">
        <v>0.60499999999999998</v>
      </c>
      <c r="J58" s="1">
        <v>0.52100000000000002</v>
      </c>
      <c r="K58" s="1">
        <v>0.30379746835443</v>
      </c>
      <c r="L58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5.4561297468354439</v>
      </c>
    </row>
    <row r="59" spans="1:12" hidden="1" x14ac:dyDescent="0.35">
      <c r="A59" t="s">
        <v>45</v>
      </c>
      <c r="B59">
        <v>26</v>
      </c>
      <c r="C59" t="s">
        <v>41</v>
      </c>
      <c r="D59" s="1">
        <v>2.6829268289999999</v>
      </c>
      <c r="E59" s="1">
        <v>0.38851785255587001</v>
      </c>
      <c r="F59" s="1">
        <v>50.3</v>
      </c>
      <c r="G59" s="1">
        <v>0.89300000000000002</v>
      </c>
      <c r="H59" s="1">
        <v>0.28000000000000003</v>
      </c>
      <c r="I59" s="1">
        <v>0.57799999999999996</v>
      </c>
      <c r="J59" s="1">
        <v>0.20599999999999999</v>
      </c>
      <c r="K59" s="1">
        <v>0.59493670886076</v>
      </c>
      <c r="L59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5.4919936708860764</v>
      </c>
    </row>
    <row r="60" spans="1:12" hidden="1" x14ac:dyDescent="0.35">
      <c r="A60" t="s">
        <v>45</v>
      </c>
      <c r="B60">
        <v>27</v>
      </c>
      <c r="C60" t="s">
        <v>43</v>
      </c>
      <c r="D60" s="1">
        <v>2.7439024390000002</v>
      </c>
      <c r="E60" s="1">
        <v>0.36778060297856902</v>
      </c>
      <c r="F60" s="1">
        <v>48</v>
      </c>
      <c r="G60" s="1">
        <v>0.89700000000000002</v>
      </c>
      <c r="H60" s="1">
        <v>0.28699999999999998</v>
      </c>
      <c r="I60" s="1">
        <v>0.70099999999999996</v>
      </c>
      <c r="J60" s="1">
        <v>0.318</v>
      </c>
      <c r="K60" s="1">
        <v>0.784810126582279</v>
      </c>
      <c r="L60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5.3144310126582299</v>
      </c>
    </row>
    <row r="61" spans="1:12" hidden="1" x14ac:dyDescent="0.35">
      <c r="A61" t="s">
        <v>45</v>
      </c>
      <c r="B61">
        <v>28</v>
      </c>
      <c r="C61" t="s">
        <v>44</v>
      </c>
      <c r="D61" s="1">
        <v>2.7682926829999999</v>
      </c>
      <c r="E61" s="1">
        <v>0.356468862847102</v>
      </c>
      <c r="F61" s="1">
        <v>47</v>
      </c>
      <c r="G61" s="1">
        <v>0.88900000000000001</v>
      </c>
      <c r="H61" s="1">
        <v>0.34100000000000003</v>
      </c>
      <c r="I61" s="1">
        <v>0.85</v>
      </c>
      <c r="J61" s="1">
        <v>0.157</v>
      </c>
      <c r="K61" s="1">
        <v>0.746835443037975</v>
      </c>
      <c r="L61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5.2496835443037986</v>
      </c>
    </row>
    <row r="62" spans="1:12" hidden="1" x14ac:dyDescent="0.35">
      <c r="A62" t="s">
        <v>45</v>
      </c>
      <c r="B62">
        <v>29</v>
      </c>
      <c r="C62" t="s">
        <v>34</v>
      </c>
      <c r="D62" s="1">
        <v>2.8414634150000002</v>
      </c>
      <c r="E62" s="1">
        <v>0.353642013106297</v>
      </c>
      <c r="F62" s="1">
        <v>45.4</v>
      </c>
      <c r="G62" s="1">
        <v>0.88100000000000001</v>
      </c>
      <c r="H62" s="1">
        <v>0.36</v>
      </c>
      <c r="I62" s="1">
        <v>0.91800000000000004</v>
      </c>
      <c r="J62" s="1">
        <v>0.56799999999999995</v>
      </c>
      <c r="K62" s="1">
        <v>0.291139240506329</v>
      </c>
      <c r="L62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5.0833139240506338</v>
      </c>
    </row>
    <row r="63" spans="1:12" hidden="1" x14ac:dyDescent="0.35">
      <c r="A63" t="s">
        <v>45</v>
      </c>
      <c r="B63">
        <v>30</v>
      </c>
      <c r="C63" t="s">
        <v>39</v>
      </c>
      <c r="D63" s="1">
        <v>2.4634146339999998</v>
      </c>
      <c r="E63" s="1">
        <v>0.31338274259821097</v>
      </c>
      <c r="F63" s="1">
        <v>46.3</v>
      </c>
      <c r="G63" s="1">
        <v>0.89200000000000002</v>
      </c>
      <c r="H63" s="1">
        <v>0.183</v>
      </c>
      <c r="I63" s="1">
        <v>0.76900000000000002</v>
      </c>
      <c r="J63" s="1">
        <v>0.28599999999999998</v>
      </c>
      <c r="K63" s="1">
        <v>0.367088607594937</v>
      </c>
      <c r="L63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5.0772588607594944</v>
      </c>
    </row>
    <row r="64" spans="1:12" hidden="1" x14ac:dyDescent="0.35">
      <c r="A64" t="s">
        <v>45</v>
      </c>
      <c r="B64">
        <v>31</v>
      </c>
      <c r="C64" t="s">
        <v>33</v>
      </c>
      <c r="D64" s="1">
        <v>2.597560976</v>
      </c>
      <c r="E64" s="1">
        <v>0.29535186511294798</v>
      </c>
      <c r="F64" s="1">
        <v>48.5</v>
      </c>
      <c r="G64" s="1">
        <v>0.88700000000000001</v>
      </c>
      <c r="H64" s="1">
        <v>0.22600000000000001</v>
      </c>
      <c r="I64" s="1">
        <v>0.93899999999999995</v>
      </c>
      <c r="J64" s="1">
        <v>0.315</v>
      </c>
      <c r="K64" s="1">
        <v>0.291139240506329</v>
      </c>
      <c r="L64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5.3391639240506334</v>
      </c>
    </row>
    <row r="65" spans="1:12" hidden="1" x14ac:dyDescent="0.35">
      <c r="A65" t="s">
        <v>45</v>
      </c>
      <c r="B65">
        <v>32</v>
      </c>
      <c r="C65" t="s">
        <v>35</v>
      </c>
      <c r="D65" s="1">
        <v>2.5121951220000001</v>
      </c>
      <c r="E65" s="1">
        <v>0.27438074239789001</v>
      </c>
      <c r="F65" s="1">
        <v>49.5</v>
      </c>
      <c r="G65" s="1">
        <v>0.89600000000000002</v>
      </c>
      <c r="H65" s="1">
        <v>0.20699999999999999</v>
      </c>
      <c r="I65" s="1">
        <v>1</v>
      </c>
      <c r="J65" s="1">
        <v>0.124</v>
      </c>
      <c r="K65" s="1">
        <v>0.708860759493671</v>
      </c>
      <c r="L65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5.4787360759493673</v>
      </c>
    </row>
    <row r="66" spans="1:12" x14ac:dyDescent="0.35">
      <c r="A66" t="s">
        <v>46</v>
      </c>
      <c r="B66">
        <v>1</v>
      </c>
      <c r="C66" t="s">
        <v>20</v>
      </c>
      <c r="D66" s="1">
        <v>3.3902439019999999</v>
      </c>
      <c r="E66" s="1">
        <v>0.60208787784356499</v>
      </c>
      <c r="F66" s="1">
        <v>47.1</v>
      </c>
      <c r="G66" s="1">
        <v>0.90700000000000003</v>
      </c>
      <c r="H66" s="1">
        <v>0.65200000000000002</v>
      </c>
      <c r="I66" s="1">
        <v>0.313</v>
      </c>
      <c r="J66" s="1">
        <v>0.91600000000000004</v>
      </c>
      <c r="K66" s="1">
        <v>0.468354430379747</v>
      </c>
      <c r="L66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5.2748354430379747</v>
      </c>
    </row>
    <row r="67" spans="1:12" x14ac:dyDescent="0.35">
      <c r="A67" t="s">
        <v>46</v>
      </c>
      <c r="B67">
        <v>2</v>
      </c>
      <c r="C67" t="s">
        <v>27</v>
      </c>
      <c r="D67" s="1">
        <v>3.585365854</v>
      </c>
      <c r="E67" s="1">
        <v>0.61625552545273099</v>
      </c>
      <c r="F67" s="1">
        <v>51.8</v>
      </c>
      <c r="G67" s="1">
        <v>0.90100000000000002</v>
      </c>
      <c r="H67" s="1">
        <v>0.76200000000000001</v>
      </c>
      <c r="I67" s="1">
        <v>0.313</v>
      </c>
      <c r="J67" s="1">
        <v>0.754</v>
      </c>
      <c r="K67" s="1">
        <v>0.139240506329114</v>
      </c>
      <c r="L67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5.7411240506329113</v>
      </c>
    </row>
    <row r="68" spans="1:12" x14ac:dyDescent="0.35">
      <c r="A68" t="s">
        <v>46</v>
      </c>
      <c r="B68">
        <v>3</v>
      </c>
      <c r="C68" t="s">
        <v>15</v>
      </c>
      <c r="D68" s="1">
        <v>3.3780487799999999</v>
      </c>
      <c r="E68" s="1">
        <v>0.63281649484536096</v>
      </c>
      <c r="F68" s="1">
        <v>51.4</v>
      </c>
      <c r="G68" s="1">
        <v>0.9</v>
      </c>
      <c r="H68" s="1">
        <v>0.61599999999999999</v>
      </c>
      <c r="I68" s="1">
        <v>0.13600000000000001</v>
      </c>
      <c r="J68" s="1">
        <v>1</v>
      </c>
      <c r="K68" s="1">
        <v>0.354430379746835</v>
      </c>
      <c r="L68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5.6482430379746837</v>
      </c>
    </row>
    <row r="69" spans="1:12" x14ac:dyDescent="0.35">
      <c r="A69" t="s">
        <v>46</v>
      </c>
      <c r="B69">
        <v>4</v>
      </c>
      <c r="C69" t="s">
        <v>31</v>
      </c>
      <c r="D69" s="1">
        <v>3.1585365849999998</v>
      </c>
      <c r="E69" s="1">
        <v>0.63114268241049998</v>
      </c>
      <c r="F69" s="1">
        <v>50.4</v>
      </c>
      <c r="G69" s="1">
        <v>0.91800000000000004</v>
      </c>
      <c r="H69" s="1">
        <v>0.56100000000000005</v>
      </c>
      <c r="I69" s="1">
        <v>0.109</v>
      </c>
      <c r="J69" s="1">
        <v>0.4</v>
      </c>
      <c r="K69" s="1">
        <v>0.316455696202532</v>
      </c>
      <c r="L69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5.4933955696202528</v>
      </c>
    </row>
    <row r="70" spans="1:12" x14ac:dyDescent="0.35">
      <c r="A70" t="s">
        <v>46</v>
      </c>
      <c r="B70">
        <v>5</v>
      </c>
      <c r="C70" t="s">
        <v>13</v>
      </c>
      <c r="D70" s="1">
        <v>3.2317073170000001</v>
      </c>
      <c r="E70" s="1">
        <v>0.64174030650010505</v>
      </c>
      <c r="F70" s="1">
        <v>53.8</v>
      </c>
      <c r="G70" s="1">
        <v>0.91300000000000003</v>
      </c>
      <c r="H70" s="1">
        <v>0.622</v>
      </c>
      <c r="I70" s="1">
        <v>6.8000000000000005E-2</v>
      </c>
      <c r="J70" s="1">
        <v>0.747</v>
      </c>
      <c r="K70" s="1">
        <v>1</v>
      </c>
      <c r="L70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5.9312499999999995</v>
      </c>
    </row>
    <row r="71" spans="1:12" x14ac:dyDescent="0.35">
      <c r="A71" t="s">
        <v>46</v>
      </c>
      <c r="B71">
        <v>6</v>
      </c>
      <c r="C71" t="s">
        <v>22</v>
      </c>
      <c r="D71" s="1">
        <v>3.207317073</v>
      </c>
      <c r="E71" s="1">
        <v>0.58612829421235502</v>
      </c>
      <c r="F71" s="1">
        <v>52.6</v>
      </c>
      <c r="G71" s="1">
        <v>0.91200000000000003</v>
      </c>
      <c r="H71" s="1">
        <v>0.57299999999999995</v>
      </c>
      <c r="I71" s="1">
        <v>0.252</v>
      </c>
      <c r="J71" s="1">
        <v>0.70199999999999996</v>
      </c>
      <c r="K71" s="1">
        <v>0.481012658227848</v>
      </c>
      <c r="L71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5.7765512658227856</v>
      </c>
    </row>
    <row r="72" spans="1:12" x14ac:dyDescent="0.35">
      <c r="A72" t="s">
        <v>46</v>
      </c>
      <c r="B72">
        <v>7</v>
      </c>
      <c r="C72" t="s">
        <v>30</v>
      </c>
      <c r="D72" s="1">
        <v>3.402439024</v>
      </c>
      <c r="E72" s="1">
        <v>0.61445982854707104</v>
      </c>
      <c r="F72" s="1">
        <v>51.4</v>
      </c>
      <c r="G72" s="1">
        <v>0.90600000000000003</v>
      </c>
      <c r="H72" s="1">
        <v>0.628</v>
      </c>
      <c r="I72" s="1">
        <v>0.19700000000000001</v>
      </c>
      <c r="J72" s="1">
        <v>0.6</v>
      </c>
      <c r="K72" s="1">
        <v>0.493670886075949</v>
      </c>
      <c r="L72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5.6597670886075964</v>
      </c>
    </row>
    <row r="73" spans="1:12" x14ac:dyDescent="0.35">
      <c r="A73" t="s">
        <v>46</v>
      </c>
      <c r="B73">
        <v>8</v>
      </c>
      <c r="C73" t="s">
        <v>14</v>
      </c>
      <c r="D73" s="1">
        <v>3.6829268289999999</v>
      </c>
      <c r="E73" s="1">
        <v>0.58952348941231203</v>
      </c>
      <c r="F73" s="1">
        <v>46</v>
      </c>
      <c r="G73" s="1">
        <v>0.89700000000000002</v>
      </c>
      <c r="H73" s="1">
        <v>0.79900000000000004</v>
      </c>
      <c r="I73" s="1">
        <v>0.497</v>
      </c>
      <c r="J73" s="1">
        <v>0.69199999999999995</v>
      </c>
      <c r="K73" s="1">
        <v>0.405063291139241</v>
      </c>
      <c r="L73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5.2335563291139255</v>
      </c>
    </row>
    <row r="74" spans="1:12" x14ac:dyDescent="0.35">
      <c r="A74" t="s">
        <v>46</v>
      </c>
      <c r="B74">
        <v>9</v>
      </c>
      <c r="C74" t="s">
        <v>23</v>
      </c>
      <c r="D74" s="1">
        <v>3.5609756099999998</v>
      </c>
      <c r="E74" s="1">
        <v>0.60488081725312104</v>
      </c>
      <c r="F74" s="1">
        <v>49.8</v>
      </c>
      <c r="G74" s="1">
        <v>0.89800000000000002</v>
      </c>
      <c r="H74" s="1">
        <v>0.76200000000000001</v>
      </c>
      <c r="I74" s="1">
        <v>0.36699999999999999</v>
      </c>
      <c r="J74" s="1">
        <v>0.74099999999999999</v>
      </c>
      <c r="K74" s="1">
        <v>0.481012658227848</v>
      </c>
      <c r="L74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5.5848512658227856</v>
      </c>
    </row>
    <row r="75" spans="1:12" x14ac:dyDescent="0.35">
      <c r="A75" t="s">
        <v>46</v>
      </c>
      <c r="B75">
        <v>10</v>
      </c>
      <c r="C75" t="s">
        <v>16</v>
      </c>
      <c r="D75" s="1">
        <v>3.6341463410000001</v>
      </c>
      <c r="E75" s="1">
        <v>0.56590090807710702</v>
      </c>
      <c r="F75" s="1">
        <v>47.5</v>
      </c>
      <c r="G75" s="1">
        <v>0.89300000000000002</v>
      </c>
      <c r="H75" s="1">
        <v>0.77400000000000002</v>
      </c>
      <c r="I75" s="1">
        <v>0.52400000000000002</v>
      </c>
      <c r="J75" s="1">
        <v>0.56999999999999995</v>
      </c>
      <c r="K75" s="1">
        <v>0.531645569620253</v>
      </c>
      <c r="L75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5.3859645569620263</v>
      </c>
    </row>
    <row r="76" spans="1:12" x14ac:dyDescent="0.35">
      <c r="A76" t="s">
        <v>46</v>
      </c>
      <c r="B76">
        <v>11</v>
      </c>
      <c r="C76" t="s">
        <v>28</v>
      </c>
      <c r="D76" s="1">
        <v>3.2439024390000002</v>
      </c>
      <c r="E76" s="1">
        <v>0.53497656131861504</v>
      </c>
      <c r="F76" s="1">
        <v>50.4</v>
      </c>
      <c r="G76" s="1">
        <v>0.90100000000000002</v>
      </c>
      <c r="H76" s="1">
        <v>0.54900000000000004</v>
      </c>
      <c r="I76" s="1">
        <v>0.39500000000000002</v>
      </c>
      <c r="J76" s="1">
        <v>0.48899999999999999</v>
      </c>
      <c r="K76" s="1">
        <v>0.506329113924051</v>
      </c>
      <c r="L76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5.5664329113924049</v>
      </c>
    </row>
    <row r="77" spans="1:12" x14ac:dyDescent="0.35">
      <c r="A77" t="s">
        <v>46</v>
      </c>
      <c r="B77">
        <v>12</v>
      </c>
      <c r="C77" t="s">
        <v>26</v>
      </c>
      <c r="D77" s="1">
        <v>3.097560976</v>
      </c>
      <c r="E77" s="1">
        <v>0.59398247035427598</v>
      </c>
      <c r="F77" s="1">
        <v>47.1</v>
      </c>
      <c r="G77" s="1">
        <v>0.90900000000000003</v>
      </c>
      <c r="H77" s="1">
        <v>0.5</v>
      </c>
      <c r="I77" s="1">
        <v>0.184</v>
      </c>
      <c r="J77" s="1">
        <v>0.78700000000000003</v>
      </c>
      <c r="K77" s="1">
        <v>0.379746835443038</v>
      </c>
      <c r="L77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5.1809246835443039</v>
      </c>
    </row>
    <row r="78" spans="1:12" x14ac:dyDescent="0.35">
      <c r="A78" t="s">
        <v>46</v>
      </c>
      <c r="B78">
        <v>13</v>
      </c>
      <c r="C78" t="s">
        <v>19</v>
      </c>
      <c r="D78" s="1">
        <v>3.5121951220000001</v>
      </c>
      <c r="E78" s="1">
        <v>0.53778374277878305</v>
      </c>
      <c r="F78" s="1">
        <v>49.8</v>
      </c>
      <c r="G78" s="1">
        <v>0.89</v>
      </c>
      <c r="H78" s="1">
        <v>0.72599999999999998</v>
      </c>
      <c r="I78" s="1">
        <v>0.57099999999999995</v>
      </c>
      <c r="J78" s="1">
        <v>0.95299999999999996</v>
      </c>
      <c r="K78" s="1">
        <v>0.670886075949367</v>
      </c>
      <c r="L78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5.6410386075949379</v>
      </c>
    </row>
    <row r="79" spans="1:12" x14ac:dyDescent="0.35">
      <c r="A79" t="s">
        <v>46</v>
      </c>
      <c r="B79">
        <v>14</v>
      </c>
      <c r="C79" t="s">
        <v>29</v>
      </c>
      <c r="D79" s="1">
        <v>3.207317073</v>
      </c>
      <c r="E79" s="1">
        <v>0.53946403781060404</v>
      </c>
      <c r="F79" s="1">
        <v>50.5</v>
      </c>
      <c r="G79" s="1">
        <v>0.90200000000000002</v>
      </c>
      <c r="H79" s="1">
        <v>0.56100000000000005</v>
      </c>
      <c r="I79" s="1">
        <v>0.38800000000000001</v>
      </c>
      <c r="J79" s="1">
        <v>0.52700000000000002</v>
      </c>
      <c r="K79" s="1">
        <v>0.215189873417722</v>
      </c>
      <c r="L79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5.5522189873417727</v>
      </c>
    </row>
    <row r="80" spans="1:12" x14ac:dyDescent="0.35">
      <c r="A80" t="s">
        <v>46</v>
      </c>
      <c r="B80">
        <v>15</v>
      </c>
      <c r="C80" t="s">
        <v>32</v>
      </c>
      <c r="D80" s="1">
        <v>2.9878048779999999</v>
      </c>
      <c r="E80" s="1">
        <v>0.47417232144973098</v>
      </c>
      <c r="F80" s="1">
        <v>49.3</v>
      </c>
      <c r="G80" s="1">
        <v>0.90400000000000003</v>
      </c>
      <c r="H80" s="1">
        <v>0.41499999999999998</v>
      </c>
      <c r="I80" s="1">
        <v>0.497</v>
      </c>
      <c r="J80" s="1">
        <v>0.26100000000000001</v>
      </c>
      <c r="K80" s="1">
        <v>0.177215189873418</v>
      </c>
      <c r="L80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5.386221518987341</v>
      </c>
    </row>
    <row r="81" spans="1:12" x14ac:dyDescent="0.35">
      <c r="A81" t="s">
        <v>46</v>
      </c>
      <c r="B81">
        <v>16</v>
      </c>
      <c r="C81" t="s">
        <v>21</v>
      </c>
      <c r="D81" s="1">
        <v>2.8536585369999998</v>
      </c>
      <c r="E81" s="1">
        <v>0.47097884052984701</v>
      </c>
      <c r="F81" s="1">
        <v>47.9</v>
      </c>
      <c r="G81" s="1">
        <v>0.90600000000000003</v>
      </c>
      <c r="H81" s="1">
        <v>0.378</v>
      </c>
      <c r="I81" s="1">
        <v>0.45600000000000002</v>
      </c>
      <c r="J81" s="1">
        <v>0.42399999999999999</v>
      </c>
      <c r="K81" s="1">
        <v>0.215189873417722</v>
      </c>
      <c r="L81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5.2374189873417718</v>
      </c>
    </row>
    <row r="82" spans="1:12" hidden="1" x14ac:dyDescent="0.35">
      <c r="A82" t="s">
        <v>46</v>
      </c>
      <c r="B82">
        <v>17</v>
      </c>
      <c r="C82" t="s">
        <v>25</v>
      </c>
      <c r="D82" s="1">
        <v>2.6341463410000001</v>
      </c>
      <c r="E82" s="1">
        <v>0.42352941176470599</v>
      </c>
      <c r="F82" s="1">
        <v>51.5</v>
      </c>
      <c r="G82" s="1">
        <v>0.89900000000000002</v>
      </c>
      <c r="H82" s="1">
        <v>0.29299999999999998</v>
      </c>
      <c r="I82" s="1">
        <v>0.44900000000000001</v>
      </c>
      <c r="J82" s="1">
        <v>0.52700000000000002</v>
      </c>
      <c r="K82" s="1">
        <v>0.253164556962025</v>
      </c>
      <c r="L82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5.5738164556962033</v>
      </c>
    </row>
    <row r="83" spans="1:12" hidden="1" x14ac:dyDescent="0.35">
      <c r="A83" t="s">
        <v>46</v>
      </c>
      <c r="B83">
        <v>18</v>
      </c>
      <c r="C83" t="s">
        <v>37</v>
      </c>
      <c r="D83" s="1">
        <v>3.3536585369999998</v>
      </c>
      <c r="E83" s="1">
        <v>0.503649586424604</v>
      </c>
      <c r="F83" s="1">
        <v>51</v>
      </c>
      <c r="G83" s="1">
        <v>0.89700000000000002</v>
      </c>
      <c r="H83" s="1">
        <v>0.628</v>
      </c>
      <c r="I83" s="1">
        <v>0.57799999999999996</v>
      </c>
      <c r="J83" s="1">
        <v>0.63300000000000001</v>
      </c>
      <c r="K83" s="1">
        <v>0.379746835443038</v>
      </c>
      <c r="L83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5.6844246835443046</v>
      </c>
    </row>
    <row r="84" spans="1:12" hidden="1" x14ac:dyDescent="0.35">
      <c r="A84" t="s">
        <v>46</v>
      </c>
      <c r="B84">
        <v>19</v>
      </c>
      <c r="C84" t="s">
        <v>24</v>
      </c>
      <c r="D84" s="1">
        <v>3.085365854</v>
      </c>
      <c r="E84" s="1">
        <v>0.50997904599523602</v>
      </c>
      <c r="F84" s="1">
        <v>50.8</v>
      </c>
      <c r="G84" s="1">
        <v>0.9</v>
      </c>
      <c r="H84" s="1">
        <v>0.45100000000000001</v>
      </c>
      <c r="I84" s="1">
        <v>0.374</v>
      </c>
      <c r="J84" s="1">
        <v>0.40100000000000002</v>
      </c>
      <c r="K84" s="1">
        <v>0.215189873417722</v>
      </c>
      <c r="L84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5.534218987341772</v>
      </c>
    </row>
    <row r="85" spans="1:12" hidden="1" x14ac:dyDescent="0.35">
      <c r="A85" t="s">
        <v>46</v>
      </c>
      <c r="B85">
        <v>20</v>
      </c>
      <c r="C85" t="s">
        <v>17</v>
      </c>
      <c r="D85" s="1">
        <v>3.0243902440000001</v>
      </c>
      <c r="E85" s="1">
        <v>0.47639112653364701</v>
      </c>
      <c r="F85" s="1">
        <v>46.6</v>
      </c>
      <c r="G85" s="1">
        <v>0.89300000000000002</v>
      </c>
      <c r="H85" s="1">
        <v>0.46300000000000002</v>
      </c>
      <c r="I85" s="1">
        <v>0.53100000000000003</v>
      </c>
      <c r="J85" s="1">
        <v>0.44600000000000001</v>
      </c>
      <c r="K85" s="1">
        <v>0.721518987341772</v>
      </c>
      <c r="L85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5.2013018987341786</v>
      </c>
    </row>
    <row r="86" spans="1:12" hidden="1" x14ac:dyDescent="0.35">
      <c r="A86" t="s">
        <v>46</v>
      </c>
      <c r="B86">
        <v>21</v>
      </c>
      <c r="C86" t="s">
        <v>41</v>
      </c>
      <c r="D86" s="1">
        <v>2.8170731710000001</v>
      </c>
      <c r="E86" s="1">
        <v>0.44495309568480301</v>
      </c>
      <c r="F86" s="1">
        <v>47.4</v>
      </c>
      <c r="G86" s="1">
        <v>0.88400000000000001</v>
      </c>
      <c r="H86" s="1">
        <v>0.372</v>
      </c>
      <c r="I86" s="1">
        <v>0.503</v>
      </c>
      <c r="J86" s="1">
        <v>0.39</v>
      </c>
      <c r="K86" s="1">
        <v>0.556962025316456</v>
      </c>
      <c r="L86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5.2227962025316463</v>
      </c>
    </row>
    <row r="87" spans="1:12" hidden="1" x14ac:dyDescent="0.35">
      <c r="A87" t="s">
        <v>46</v>
      </c>
      <c r="B87">
        <v>22</v>
      </c>
      <c r="C87" t="s">
        <v>36</v>
      </c>
      <c r="D87" s="1">
        <v>2.9756097559999999</v>
      </c>
      <c r="E87" s="1">
        <v>0.50205337943247497</v>
      </c>
      <c r="F87" s="1">
        <v>52.1</v>
      </c>
      <c r="G87" s="1">
        <v>0.89900000000000002</v>
      </c>
      <c r="H87" s="1">
        <v>0.45700000000000002</v>
      </c>
      <c r="I87" s="1">
        <v>0.36099999999999999</v>
      </c>
      <c r="J87" s="1">
        <v>0.41899999999999998</v>
      </c>
      <c r="K87" s="1">
        <v>0.518987341772152</v>
      </c>
      <c r="L87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5.6947987341772164</v>
      </c>
    </row>
    <row r="88" spans="1:12" hidden="1" x14ac:dyDescent="0.35">
      <c r="A88" t="s">
        <v>46</v>
      </c>
      <c r="B88">
        <v>23</v>
      </c>
      <c r="C88" t="s">
        <v>40</v>
      </c>
      <c r="D88" s="1">
        <v>3.2195121950000001</v>
      </c>
      <c r="E88" s="1">
        <v>0.46883765984783798</v>
      </c>
      <c r="F88" s="1">
        <v>49</v>
      </c>
      <c r="G88" s="1">
        <v>0.88600000000000001</v>
      </c>
      <c r="H88" s="1">
        <v>0.54900000000000004</v>
      </c>
      <c r="I88" s="1">
        <v>0.59899999999999998</v>
      </c>
      <c r="J88" s="1">
        <v>0.64800000000000002</v>
      </c>
      <c r="K88" s="1">
        <v>0.430379746835443</v>
      </c>
      <c r="L88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5.4645879746835444</v>
      </c>
    </row>
    <row r="89" spans="1:12" hidden="1" x14ac:dyDescent="0.35">
      <c r="A89" t="s">
        <v>46</v>
      </c>
      <c r="B89">
        <v>24</v>
      </c>
      <c r="C89" t="s">
        <v>42</v>
      </c>
      <c r="D89" s="1">
        <v>2.6097560980000001</v>
      </c>
      <c r="E89" s="1">
        <v>0.45970688616743599</v>
      </c>
      <c r="F89" s="1">
        <v>52.1</v>
      </c>
      <c r="G89" s="1">
        <v>0.90300000000000002</v>
      </c>
      <c r="H89" s="1">
        <v>0.311</v>
      </c>
      <c r="I89" s="1">
        <v>0.32700000000000001</v>
      </c>
      <c r="J89" s="1">
        <v>0.52400000000000002</v>
      </c>
      <c r="K89" s="1">
        <v>0.291139240506329</v>
      </c>
      <c r="L89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5.6201639240506349</v>
      </c>
    </row>
    <row r="90" spans="1:12" hidden="1" x14ac:dyDescent="0.35">
      <c r="A90" t="s">
        <v>46</v>
      </c>
      <c r="B90">
        <v>25</v>
      </c>
      <c r="C90" t="s">
        <v>18</v>
      </c>
      <c r="D90" s="1">
        <v>3.085365854</v>
      </c>
      <c r="E90" s="1">
        <v>0.47309642418956699</v>
      </c>
      <c r="F90" s="1">
        <v>52</v>
      </c>
      <c r="G90" s="1">
        <v>0.89</v>
      </c>
      <c r="H90" s="1">
        <v>0.54900000000000004</v>
      </c>
      <c r="I90" s="1">
        <v>0.57799999999999996</v>
      </c>
      <c r="J90" s="1">
        <v>0.496</v>
      </c>
      <c r="K90" s="1">
        <v>0.468354430379747</v>
      </c>
      <c r="L90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5.7573854430379745</v>
      </c>
    </row>
    <row r="91" spans="1:12" hidden="1" x14ac:dyDescent="0.35">
      <c r="A91" t="s">
        <v>46</v>
      </c>
      <c r="B91">
        <v>26</v>
      </c>
      <c r="C91" t="s">
        <v>38</v>
      </c>
      <c r="D91" s="1">
        <v>3.0487804879999998</v>
      </c>
      <c r="E91" s="1">
        <v>0.44181788620185097</v>
      </c>
      <c r="F91" s="1">
        <v>51.7</v>
      </c>
      <c r="G91" s="1">
        <v>0.88400000000000001</v>
      </c>
      <c r="H91" s="1">
        <v>0.50600000000000001</v>
      </c>
      <c r="I91" s="1">
        <v>0.64600000000000002</v>
      </c>
      <c r="J91" s="1">
        <v>0.30499999999999999</v>
      </c>
      <c r="K91" s="1">
        <v>0.59493670886076</v>
      </c>
      <c r="L91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5.7278436708860774</v>
      </c>
    </row>
    <row r="92" spans="1:12" hidden="1" x14ac:dyDescent="0.35">
      <c r="A92" t="s">
        <v>46</v>
      </c>
      <c r="B92">
        <v>27</v>
      </c>
      <c r="C92" t="s">
        <v>43</v>
      </c>
      <c r="D92" s="1">
        <v>3.097560976</v>
      </c>
      <c r="E92" s="1">
        <v>0.46217548283569299</v>
      </c>
      <c r="F92" s="1">
        <v>51</v>
      </c>
      <c r="G92" s="1">
        <v>0.89500000000000002</v>
      </c>
      <c r="H92" s="1">
        <v>0.48199999999999998</v>
      </c>
      <c r="I92" s="1">
        <v>0.59199999999999997</v>
      </c>
      <c r="J92" s="1">
        <v>0.48299999999999998</v>
      </c>
      <c r="K92" s="1">
        <v>0.734177215189873</v>
      </c>
      <c r="L92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5.6636677215189888</v>
      </c>
    </row>
    <row r="93" spans="1:12" hidden="1" x14ac:dyDescent="0.35">
      <c r="A93" t="s">
        <v>46</v>
      </c>
      <c r="B93">
        <v>28</v>
      </c>
      <c r="C93" t="s">
        <v>44</v>
      </c>
      <c r="D93" s="1">
        <v>2.8292682930000002</v>
      </c>
      <c r="E93" s="1">
        <v>0.40534698949429498</v>
      </c>
      <c r="F93" s="1">
        <v>45.5</v>
      </c>
      <c r="G93" s="1">
        <v>0.89700000000000002</v>
      </c>
      <c r="H93" s="1">
        <v>0.36</v>
      </c>
      <c r="I93" s="1">
        <v>0.66</v>
      </c>
      <c r="J93" s="1">
        <v>0.33500000000000002</v>
      </c>
      <c r="K93" s="1">
        <v>0.569620253164557</v>
      </c>
      <c r="L93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5.0611120253164561</v>
      </c>
    </row>
    <row r="94" spans="1:12" hidden="1" x14ac:dyDescent="0.35">
      <c r="A94" t="s">
        <v>46</v>
      </c>
      <c r="B94">
        <v>29</v>
      </c>
      <c r="C94" t="s">
        <v>33</v>
      </c>
      <c r="D94" s="1">
        <v>2.8536585369999998</v>
      </c>
      <c r="E94" s="1">
        <v>0.38141543605461098</v>
      </c>
      <c r="F94" s="1">
        <v>48.6</v>
      </c>
      <c r="G94" s="1">
        <v>0.89400000000000002</v>
      </c>
      <c r="H94" s="1">
        <v>0.40200000000000002</v>
      </c>
      <c r="I94" s="1">
        <v>0.78200000000000003</v>
      </c>
      <c r="J94" s="1">
        <v>0.24399999999999999</v>
      </c>
      <c r="K94" s="1">
        <v>0.316455696202532</v>
      </c>
      <c r="L94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5.379745569620253</v>
      </c>
    </row>
    <row r="95" spans="1:12" hidden="1" x14ac:dyDescent="0.35">
      <c r="A95" t="s">
        <v>46</v>
      </c>
      <c r="B95">
        <v>30</v>
      </c>
      <c r="C95" t="s">
        <v>35</v>
      </c>
      <c r="D95" s="1">
        <v>2.4756097559999999</v>
      </c>
      <c r="E95" s="1">
        <v>0.32433219474570701</v>
      </c>
      <c r="F95" s="1">
        <v>44.4</v>
      </c>
      <c r="G95" s="1">
        <v>0.89</v>
      </c>
      <c r="H95" s="1">
        <v>0.152</v>
      </c>
      <c r="I95" s="1">
        <v>0.78900000000000003</v>
      </c>
      <c r="J95" s="1">
        <v>0.222</v>
      </c>
      <c r="K95" s="1">
        <v>0.987341772151899</v>
      </c>
      <c r="L95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4.93883417721519</v>
      </c>
    </row>
    <row r="96" spans="1:12" hidden="1" x14ac:dyDescent="0.35">
      <c r="A96" t="s">
        <v>46</v>
      </c>
      <c r="B96">
        <v>31</v>
      </c>
      <c r="C96" t="s">
        <v>39</v>
      </c>
      <c r="D96" s="1">
        <v>2.1707317069999998</v>
      </c>
      <c r="E96" s="1">
        <v>0.27502278546938103</v>
      </c>
      <c r="F96" s="1">
        <v>46.3</v>
      </c>
      <c r="G96" s="1">
        <v>0.89200000000000002</v>
      </c>
      <c r="H96" s="1">
        <v>0</v>
      </c>
      <c r="I96" s="1">
        <v>0.68700000000000006</v>
      </c>
      <c r="J96" s="1">
        <v>0.27900000000000003</v>
      </c>
      <c r="K96" s="1">
        <v>0.379746835443038</v>
      </c>
      <c r="L96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4.9977246835443045</v>
      </c>
    </row>
    <row r="97" spans="1:12" hidden="1" x14ac:dyDescent="0.35">
      <c r="A97" t="s">
        <v>46</v>
      </c>
      <c r="B97">
        <v>32</v>
      </c>
      <c r="C97" t="s">
        <v>34</v>
      </c>
      <c r="D97" s="1">
        <v>2.195121951</v>
      </c>
      <c r="E97" s="1">
        <v>0.23363812051111901</v>
      </c>
      <c r="F97" s="1">
        <v>50.7</v>
      </c>
      <c r="G97" s="1">
        <v>0.88700000000000001</v>
      </c>
      <c r="H97" s="1">
        <v>5.5E-2</v>
      </c>
      <c r="I97" s="1">
        <v>0.92500000000000004</v>
      </c>
      <c r="J97" s="1">
        <v>0.39</v>
      </c>
      <c r="K97" s="1">
        <v>0.481012658227848</v>
      </c>
      <c r="L97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5.5192512658227857</v>
      </c>
    </row>
    <row r="98" spans="1:12" x14ac:dyDescent="0.35">
      <c r="A98" t="s">
        <v>47</v>
      </c>
      <c r="B98" s="1">
        <v>1</v>
      </c>
      <c r="C98" t="s">
        <v>31</v>
      </c>
      <c r="D98" s="3">
        <v>3.452054795</v>
      </c>
      <c r="E98" s="2">
        <v>0.68471615720524004</v>
      </c>
      <c r="F98" s="3">
        <v>52.9</v>
      </c>
      <c r="G98" s="2">
        <v>0.91400000000000003</v>
      </c>
      <c r="H98" s="2">
        <v>0.72599999999999998</v>
      </c>
      <c r="I98" s="2">
        <v>6.0999999999999999E-2</v>
      </c>
      <c r="J98" s="2">
        <v>0.86599999999999999</v>
      </c>
      <c r="K98" s="2">
        <v>0.240506329113924</v>
      </c>
      <c r="L98" s="3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5.8064506329113934</v>
      </c>
    </row>
    <row r="99" spans="1:12" x14ac:dyDescent="0.35">
      <c r="A99" t="s">
        <v>47</v>
      </c>
      <c r="B99" s="1">
        <v>2</v>
      </c>
      <c r="C99" t="s">
        <v>25</v>
      </c>
      <c r="D99" s="3">
        <v>3.611111111</v>
      </c>
      <c r="E99" s="2">
        <v>0.66388411490302002</v>
      </c>
      <c r="F99" s="3">
        <v>51.8</v>
      </c>
      <c r="G99" s="2">
        <v>0.90500000000000003</v>
      </c>
      <c r="H99" s="2">
        <v>0.76800000000000002</v>
      </c>
      <c r="I99" s="2">
        <v>0.17699999999999999</v>
      </c>
      <c r="J99" s="2">
        <v>0.68700000000000006</v>
      </c>
      <c r="K99" s="2">
        <v>0.329113924050633</v>
      </c>
      <c r="L99" s="3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5.7324613924050629</v>
      </c>
    </row>
    <row r="100" spans="1:12" x14ac:dyDescent="0.35">
      <c r="A100" t="s">
        <v>47</v>
      </c>
      <c r="B100" s="1">
        <v>3</v>
      </c>
      <c r="C100" t="s">
        <v>27</v>
      </c>
      <c r="D100" s="3">
        <v>3.388888889</v>
      </c>
      <c r="E100" s="2">
        <v>0.63497616279689895</v>
      </c>
      <c r="F100" s="3">
        <v>48.6</v>
      </c>
      <c r="G100" s="2">
        <v>0.90900000000000003</v>
      </c>
      <c r="H100" s="2">
        <v>0.628</v>
      </c>
      <c r="I100" s="2">
        <v>0.184</v>
      </c>
      <c r="J100" s="2">
        <v>0.76900000000000002</v>
      </c>
      <c r="K100" s="2">
        <v>0.151898734177215</v>
      </c>
      <c r="L100" s="3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5.3520398734177226</v>
      </c>
    </row>
    <row r="101" spans="1:12" x14ac:dyDescent="0.35">
      <c r="A101" t="s">
        <v>47</v>
      </c>
      <c r="B101" s="1">
        <v>4</v>
      </c>
      <c r="C101" t="s">
        <v>29</v>
      </c>
      <c r="D101" s="3">
        <v>3.4166666669999999</v>
      </c>
      <c r="E101" s="2">
        <v>0.62389558439951798</v>
      </c>
      <c r="F101" s="3">
        <v>47.2</v>
      </c>
      <c r="G101" s="2">
        <v>0.9</v>
      </c>
      <c r="H101" s="2">
        <v>0.72</v>
      </c>
      <c r="I101" s="2">
        <v>0.29899999999999999</v>
      </c>
      <c r="J101" s="2">
        <v>0.76100000000000001</v>
      </c>
      <c r="K101" s="2">
        <v>0</v>
      </c>
      <c r="L101" s="3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5.2498500000000003</v>
      </c>
    </row>
    <row r="102" spans="1:12" x14ac:dyDescent="0.35">
      <c r="A102" t="s">
        <v>47</v>
      </c>
      <c r="B102" s="1">
        <v>5</v>
      </c>
      <c r="C102" t="s">
        <v>14</v>
      </c>
      <c r="D102" s="3">
        <v>3.3698630139999999</v>
      </c>
      <c r="E102" s="2">
        <v>0.59252731758900201</v>
      </c>
      <c r="F102" s="3">
        <v>46.1</v>
      </c>
      <c r="G102" s="2">
        <v>0.89200000000000002</v>
      </c>
      <c r="H102" s="2">
        <v>0.67700000000000005</v>
      </c>
      <c r="I102" s="2">
        <v>0.39500000000000002</v>
      </c>
      <c r="J102" s="2">
        <v>0.70699999999999996</v>
      </c>
      <c r="K102" s="2">
        <v>0.139240506329114</v>
      </c>
      <c r="L102" s="3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5.1536240506329118</v>
      </c>
    </row>
    <row r="103" spans="1:12" x14ac:dyDescent="0.35">
      <c r="A103" t="s">
        <v>47</v>
      </c>
      <c r="B103" s="1">
        <v>6</v>
      </c>
      <c r="C103" t="s">
        <v>15</v>
      </c>
      <c r="D103" s="3">
        <v>3.2222222220000001</v>
      </c>
      <c r="E103" s="2">
        <v>0.59854988657088204</v>
      </c>
      <c r="F103" s="3">
        <v>45.9</v>
      </c>
      <c r="G103" s="2">
        <v>0.89400000000000002</v>
      </c>
      <c r="H103" s="2">
        <v>0.58499999999999996</v>
      </c>
      <c r="I103" s="2">
        <v>0.27900000000000003</v>
      </c>
      <c r="J103" s="2">
        <v>0.64800000000000002</v>
      </c>
      <c r="K103" s="2">
        <v>0.164556962025316</v>
      </c>
      <c r="L103" s="3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5.0782056962025308</v>
      </c>
    </row>
    <row r="104" spans="1:12" x14ac:dyDescent="0.35">
      <c r="A104" t="s">
        <v>47</v>
      </c>
      <c r="B104" s="1">
        <v>7</v>
      </c>
      <c r="C104" t="s">
        <v>13</v>
      </c>
      <c r="D104" s="3">
        <v>3.138888889</v>
      </c>
      <c r="E104" s="2">
        <v>0.57575074398052095</v>
      </c>
      <c r="F104" s="3">
        <v>49.7</v>
      </c>
      <c r="G104" s="2">
        <v>0.89800000000000002</v>
      </c>
      <c r="H104" s="2">
        <v>0.53700000000000003</v>
      </c>
      <c r="I104" s="2">
        <v>0.224</v>
      </c>
      <c r="J104" s="2">
        <v>0.72299999999999998</v>
      </c>
      <c r="K104" s="2">
        <v>0.518987341772152</v>
      </c>
      <c r="L104" s="3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5.4703987341772162</v>
      </c>
    </row>
    <row r="105" spans="1:12" x14ac:dyDescent="0.35">
      <c r="A105" t="s">
        <v>47</v>
      </c>
      <c r="B105" s="1">
        <v>8</v>
      </c>
      <c r="C105" t="s">
        <v>16</v>
      </c>
      <c r="D105" s="3">
        <v>3.263888889</v>
      </c>
      <c r="E105" s="2">
        <v>0.54666851446728904</v>
      </c>
      <c r="F105" s="3">
        <v>50.9</v>
      </c>
      <c r="G105" s="2">
        <v>0.89800000000000002</v>
      </c>
      <c r="H105" s="2">
        <v>0.64</v>
      </c>
      <c r="I105" s="2">
        <v>0.435</v>
      </c>
      <c r="J105" s="2">
        <v>0.7</v>
      </c>
      <c r="K105" s="2">
        <v>0.278481012658228</v>
      </c>
      <c r="L105" s="3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5.6434481012658226</v>
      </c>
    </row>
    <row r="106" spans="1:12" x14ac:dyDescent="0.35">
      <c r="A106" t="s">
        <v>47</v>
      </c>
      <c r="B106" s="1">
        <v>9</v>
      </c>
      <c r="C106" t="s">
        <v>19</v>
      </c>
      <c r="D106" s="3">
        <v>3.5694444440000002</v>
      </c>
      <c r="E106" s="2">
        <v>0.64659468031992495</v>
      </c>
      <c r="F106" s="3">
        <v>51.6</v>
      </c>
      <c r="G106" s="2">
        <v>0.90600000000000003</v>
      </c>
      <c r="H106" s="2">
        <v>0.81699999999999995</v>
      </c>
      <c r="I106" s="2">
        <v>0.28599999999999998</v>
      </c>
      <c r="J106" s="2">
        <v>0.82699999999999996</v>
      </c>
      <c r="K106" s="2">
        <v>0.316455696202532</v>
      </c>
      <c r="L106" s="3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5.7573455696202531</v>
      </c>
    </row>
    <row r="107" spans="1:12" x14ac:dyDescent="0.35">
      <c r="A107" t="s">
        <v>47</v>
      </c>
      <c r="B107" s="1">
        <v>10</v>
      </c>
      <c r="C107" t="s">
        <v>26</v>
      </c>
      <c r="D107" s="3">
        <v>2.8873239439999998</v>
      </c>
      <c r="E107" s="2">
        <v>0.567399346528772</v>
      </c>
      <c r="F107" s="3">
        <v>51.1</v>
      </c>
      <c r="G107" s="2">
        <v>0.90100000000000002</v>
      </c>
      <c r="H107" s="2">
        <v>0.439</v>
      </c>
      <c r="I107" s="2">
        <v>0.19</v>
      </c>
      <c r="J107" s="2">
        <v>0.46</v>
      </c>
      <c r="K107" s="2">
        <v>0.265822784810127</v>
      </c>
      <c r="L107" s="3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5.531432278481013</v>
      </c>
    </row>
    <row r="108" spans="1:12" x14ac:dyDescent="0.35">
      <c r="A108" t="s">
        <v>47</v>
      </c>
      <c r="B108" s="1">
        <v>11</v>
      </c>
      <c r="C108" t="s">
        <v>17</v>
      </c>
      <c r="D108" s="3">
        <v>2.6986301369999999</v>
      </c>
      <c r="E108" s="2">
        <v>0.48254895865713399</v>
      </c>
      <c r="F108" s="3">
        <v>51</v>
      </c>
      <c r="G108" s="2">
        <v>0.90600000000000003</v>
      </c>
      <c r="H108" s="2">
        <v>0.33500000000000002</v>
      </c>
      <c r="I108" s="2">
        <v>0.29899999999999999</v>
      </c>
      <c r="J108" s="2">
        <v>0.28000000000000003</v>
      </c>
      <c r="K108" s="2">
        <v>0.240506329113924</v>
      </c>
      <c r="L108" s="3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5.4963006329113933</v>
      </c>
    </row>
    <row r="109" spans="1:12" x14ac:dyDescent="0.35">
      <c r="A109" t="s">
        <v>47</v>
      </c>
      <c r="B109" s="1">
        <v>12</v>
      </c>
      <c r="C109" t="s">
        <v>23</v>
      </c>
      <c r="D109" s="3">
        <v>3.236111111</v>
      </c>
      <c r="E109" s="2">
        <v>0.54708615077645495</v>
      </c>
      <c r="F109" s="3">
        <v>53.4</v>
      </c>
      <c r="G109" s="2">
        <v>0.89200000000000002</v>
      </c>
      <c r="H109" s="2">
        <v>0.67700000000000005</v>
      </c>
      <c r="I109" s="2">
        <v>0.42199999999999999</v>
      </c>
      <c r="J109" s="2">
        <v>0.60799999999999998</v>
      </c>
      <c r="K109" s="2">
        <v>0.151898734177215</v>
      </c>
      <c r="L109" s="3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5.8853398734177214</v>
      </c>
    </row>
    <row r="110" spans="1:12" x14ac:dyDescent="0.35">
      <c r="A110" t="s">
        <v>47</v>
      </c>
      <c r="B110" s="1">
        <v>13</v>
      </c>
      <c r="C110" t="s">
        <v>21</v>
      </c>
      <c r="D110" s="3">
        <v>3.013513514</v>
      </c>
      <c r="E110" s="2">
        <v>0.52999605665625804</v>
      </c>
      <c r="F110" s="3">
        <v>50.9</v>
      </c>
      <c r="G110" s="2">
        <v>0.89700000000000002</v>
      </c>
      <c r="H110" s="2">
        <v>0.54900000000000004</v>
      </c>
      <c r="I110" s="2">
        <v>0.34699999999999998</v>
      </c>
      <c r="J110" s="2">
        <v>0.34499999999999997</v>
      </c>
      <c r="K110" s="2">
        <v>0.253164556962025</v>
      </c>
      <c r="L110" s="3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5.5735164556962022</v>
      </c>
    </row>
    <row r="111" spans="1:12" x14ac:dyDescent="0.35">
      <c r="A111" t="s">
        <v>47</v>
      </c>
      <c r="B111" s="1">
        <v>14</v>
      </c>
      <c r="C111" t="s">
        <v>40</v>
      </c>
      <c r="D111" s="3">
        <v>2.9459459460000001</v>
      </c>
      <c r="E111" s="2">
        <v>0.55551789033185694</v>
      </c>
      <c r="F111" s="3">
        <v>51.5</v>
      </c>
      <c r="G111" s="2">
        <v>0.9</v>
      </c>
      <c r="H111" s="2">
        <v>0.49399999999999999</v>
      </c>
      <c r="I111" s="2">
        <v>0.23100000000000001</v>
      </c>
      <c r="J111" s="2">
        <v>0.871</v>
      </c>
      <c r="K111" s="2">
        <v>0.329113924050633</v>
      </c>
      <c r="L111" s="3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5.6255613924050634</v>
      </c>
    </row>
    <row r="112" spans="1:12" x14ac:dyDescent="0.35">
      <c r="A112" t="s">
        <v>47</v>
      </c>
      <c r="B112" s="1">
        <v>15</v>
      </c>
      <c r="C112" t="s">
        <v>38</v>
      </c>
      <c r="D112" s="3">
        <v>2.9154929580000002</v>
      </c>
      <c r="E112" s="2">
        <v>0.50729888119339395</v>
      </c>
      <c r="F112" s="3">
        <v>48.8</v>
      </c>
      <c r="G112" s="2">
        <v>0.89900000000000002</v>
      </c>
      <c r="H112" s="2">
        <v>0.433</v>
      </c>
      <c r="I112" s="2">
        <v>0.34</v>
      </c>
      <c r="J112" s="2">
        <v>0.58599999999999997</v>
      </c>
      <c r="K112" s="2">
        <v>0.379746835443038</v>
      </c>
      <c r="L112" s="3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5.3466246835443041</v>
      </c>
    </row>
    <row r="113" spans="1:12" x14ac:dyDescent="0.35">
      <c r="A113" t="s">
        <v>47</v>
      </c>
      <c r="B113" s="1">
        <v>16</v>
      </c>
      <c r="C113" t="s">
        <v>30</v>
      </c>
      <c r="D113" s="3">
        <v>2.8630136990000001</v>
      </c>
      <c r="E113" s="2">
        <v>0.46539949071459802</v>
      </c>
      <c r="F113" s="3">
        <v>53.8</v>
      </c>
      <c r="G113" s="2">
        <v>0.88500000000000001</v>
      </c>
      <c r="H113" s="2">
        <v>0.39</v>
      </c>
      <c r="I113" s="2">
        <v>0.42899999999999999</v>
      </c>
      <c r="J113" s="2">
        <v>0.72099999999999997</v>
      </c>
      <c r="K113" s="2">
        <v>0.468354430379747</v>
      </c>
      <c r="L113" s="3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5.8621854430379745</v>
      </c>
    </row>
    <row r="114" spans="1:12" hidden="1" x14ac:dyDescent="0.35">
      <c r="A114" t="s">
        <v>47</v>
      </c>
      <c r="B114">
        <v>17</v>
      </c>
      <c r="C114" t="s">
        <v>18</v>
      </c>
      <c r="D114" s="1">
        <v>2.6056338029999999</v>
      </c>
      <c r="E114" s="1">
        <v>0.43931147793494701</v>
      </c>
      <c r="F114" s="1">
        <v>49.6</v>
      </c>
      <c r="G114" s="1">
        <v>0.89800000000000002</v>
      </c>
      <c r="H114" s="1">
        <v>0.311</v>
      </c>
      <c r="I114" s="1">
        <v>0.442</v>
      </c>
      <c r="J114" s="1">
        <v>0.40699999999999997</v>
      </c>
      <c r="K114" s="1">
        <v>0.544303797468354</v>
      </c>
      <c r="L114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5.4116303797468364</v>
      </c>
    </row>
    <row r="115" spans="1:12" hidden="1" x14ac:dyDescent="0.35">
      <c r="A115" t="s">
        <v>47</v>
      </c>
      <c r="B115">
        <v>18</v>
      </c>
      <c r="C115" t="s">
        <v>48</v>
      </c>
      <c r="D115" s="1">
        <v>2.780821918</v>
      </c>
      <c r="E115" s="1">
        <v>0.45315489674283599</v>
      </c>
      <c r="F115" s="1">
        <v>47.6</v>
      </c>
      <c r="G115" s="1">
        <v>0.89</v>
      </c>
      <c r="H115" s="1">
        <v>0.39</v>
      </c>
      <c r="I115" s="1">
        <v>0.497</v>
      </c>
      <c r="J115" s="1">
        <v>0.61299999999999999</v>
      </c>
      <c r="K115" s="1">
        <v>0.481012658227848</v>
      </c>
      <c r="L115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5.2526512658227853</v>
      </c>
    </row>
    <row r="116" spans="1:12" hidden="1" x14ac:dyDescent="0.35">
      <c r="A116" t="s">
        <v>47</v>
      </c>
      <c r="B116">
        <v>19</v>
      </c>
      <c r="C116" t="s">
        <v>44</v>
      </c>
      <c r="D116" s="1">
        <v>2.9722222220000001</v>
      </c>
      <c r="E116" s="1">
        <v>0.44086756452342701</v>
      </c>
      <c r="F116" s="1">
        <v>52</v>
      </c>
      <c r="G116" s="1">
        <v>0.88500000000000001</v>
      </c>
      <c r="H116" s="1">
        <v>0.47599999999999998</v>
      </c>
      <c r="I116" s="1">
        <v>0.61899999999999999</v>
      </c>
      <c r="J116" s="1">
        <v>0.57899999999999996</v>
      </c>
      <c r="K116" s="1">
        <v>0.455696202531646</v>
      </c>
      <c r="L116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5.7419196202531646</v>
      </c>
    </row>
    <row r="117" spans="1:12" hidden="1" x14ac:dyDescent="0.35">
      <c r="A117" t="s">
        <v>47</v>
      </c>
      <c r="B117">
        <v>20</v>
      </c>
      <c r="C117" t="s">
        <v>20</v>
      </c>
      <c r="D117" s="1">
        <v>2.9726027400000001</v>
      </c>
      <c r="E117" s="1">
        <v>0.49086834149900999</v>
      </c>
      <c r="F117" s="1">
        <v>49.7</v>
      </c>
      <c r="G117" s="1">
        <v>0.9</v>
      </c>
      <c r="H117" s="1">
        <v>0.42099999999999999</v>
      </c>
      <c r="I117" s="1">
        <v>0.40100000000000002</v>
      </c>
      <c r="J117" s="1">
        <v>0.54400000000000004</v>
      </c>
      <c r="K117" s="1">
        <v>0.367088607594937</v>
      </c>
      <c r="L117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5.4414588607594938</v>
      </c>
    </row>
    <row r="118" spans="1:12" hidden="1" x14ac:dyDescent="0.35">
      <c r="A118" t="s">
        <v>47</v>
      </c>
      <c r="B118">
        <v>21</v>
      </c>
      <c r="C118" t="s">
        <v>33</v>
      </c>
      <c r="D118" s="1">
        <v>3.1830985919999999</v>
      </c>
      <c r="E118" s="1">
        <v>0.47415521722985499</v>
      </c>
      <c r="F118" s="1">
        <v>52.6</v>
      </c>
      <c r="G118" s="1">
        <v>0.88700000000000001</v>
      </c>
      <c r="H118" s="1">
        <v>0.65200000000000002</v>
      </c>
      <c r="I118" s="1">
        <v>0.66</v>
      </c>
      <c r="J118" s="1">
        <v>0.32800000000000001</v>
      </c>
      <c r="K118" s="1">
        <v>0.30379746835443</v>
      </c>
      <c r="L118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5.8443797468354433</v>
      </c>
    </row>
    <row r="119" spans="1:12" hidden="1" x14ac:dyDescent="0.35">
      <c r="A119" t="s">
        <v>47</v>
      </c>
      <c r="B119">
        <v>22</v>
      </c>
      <c r="C119" t="s">
        <v>32</v>
      </c>
      <c r="D119" s="1">
        <v>2.7183098590000001</v>
      </c>
      <c r="E119" s="1">
        <v>0.45318944435657499</v>
      </c>
      <c r="F119" s="1">
        <v>48.4</v>
      </c>
      <c r="G119" s="1">
        <v>0.89600000000000002</v>
      </c>
      <c r="H119" s="1">
        <v>0.39</v>
      </c>
      <c r="I119" s="1">
        <v>0.45600000000000002</v>
      </c>
      <c r="J119" s="1">
        <v>0</v>
      </c>
      <c r="K119" s="1">
        <v>1.26582278481012E-2</v>
      </c>
      <c r="L119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5.2481658227848094</v>
      </c>
    </row>
    <row r="120" spans="1:12" hidden="1" x14ac:dyDescent="0.35">
      <c r="A120" t="s">
        <v>47</v>
      </c>
      <c r="B120">
        <v>23</v>
      </c>
      <c r="C120" t="s">
        <v>37</v>
      </c>
      <c r="D120" s="1">
        <v>2.8472222220000001</v>
      </c>
      <c r="E120" s="1">
        <v>0.440578281928166</v>
      </c>
      <c r="F120" s="1">
        <v>49</v>
      </c>
      <c r="G120" s="1">
        <v>0.88800000000000001</v>
      </c>
      <c r="H120" s="1">
        <v>0.42699999999999999</v>
      </c>
      <c r="I120" s="1">
        <v>0.55100000000000005</v>
      </c>
      <c r="J120" s="1">
        <v>0.45800000000000002</v>
      </c>
      <c r="K120" s="1">
        <v>0.151898734177215</v>
      </c>
      <c r="L120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5.3753398734177216</v>
      </c>
    </row>
    <row r="121" spans="1:12" hidden="1" x14ac:dyDescent="0.35">
      <c r="A121" t="s">
        <v>47</v>
      </c>
      <c r="B121">
        <v>24</v>
      </c>
      <c r="C121" t="s">
        <v>35</v>
      </c>
      <c r="D121" s="1">
        <v>2.7222222220000001</v>
      </c>
      <c r="E121" s="1">
        <v>0.43144169539874899</v>
      </c>
      <c r="F121" s="1">
        <v>51.7</v>
      </c>
      <c r="G121" s="1">
        <v>0.90300000000000002</v>
      </c>
      <c r="H121" s="1">
        <v>0.35399999999999998</v>
      </c>
      <c r="I121" s="1">
        <v>0.46300000000000002</v>
      </c>
      <c r="J121" s="1">
        <v>3.3000000000000002E-2</v>
      </c>
      <c r="K121" s="1">
        <v>0.405063291139241</v>
      </c>
      <c r="L121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5.6092563291139248</v>
      </c>
    </row>
    <row r="122" spans="1:12" hidden="1" x14ac:dyDescent="0.35">
      <c r="A122" t="s">
        <v>47</v>
      </c>
      <c r="B122">
        <v>25</v>
      </c>
      <c r="C122" t="s">
        <v>22</v>
      </c>
      <c r="D122" s="1">
        <v>2.6301369860000001</v>
      </c>
      <c r="E122" s="1">
        <v>0.38826689135815501</v>
      </c>
      <c r="F122" s="1">
        <v>50.6</v>
      </c>
      <c r="G122" s="1">
        <v>0.88500000000000001</v>
      </c>
      <c r="H122" s="1">
        <v>0.317</v>
      </c>
      <c r="I122" s="1">
        <v>0.59899999999999998</v>
      </c>
      <c r="J122" s="1">
        <v>0.246</v>
      </c>
      <c r="K122" s="1">
        <v>0.569620253164557</v>
      </c>
      <c r="L122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5.5370120253164554</v>
      </c>
    </row>
    <row r="123" spans="1:12" hidden="1" x14ac:dyDescent="0.35">
      <c r="A123" t="s">
        <v>47</v>
      </c>
      <c r="B123">
        <v>26</v>
      </c>
      <c r="C123" t="s">
        <v>24</v>
      </c>
      <c r="D123" s="1">
        <v>2.9189189189999998</v>
      </c>
      <c r="E123" s="1">
        <v>0.39378798109385499</v>
      </c>
      <c r="F123" s="1">
        <v>49.8</v>
      </c>
      <c r="G123" s="1">
        <v>0.88100000000000001</v>
      </c>
      <c r="H123" s="1">
        <v>0.47</v>
      </c>
      <c r="I123" s="1">
        <v>0.80300000000000005</v>
      </c>
      <c r="J123" s="1">
        <v>0.59799999999999998</v>
      </c>
      <c r="K123" s="1">
        <v>0.164556962025316</v>
      </c>
      <c r="L123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5.5276556962025314</v>
      </c>
    </row>
    <row r="124" spans="1:12" hidden="1" x14ac:dyDescent="0.35">
      <c r="A124" t="s">
        <v>47</v>
      </c>
      <c r="B124">
        <v>27</v>
      </c>
      <c r="C124" t="s">
        <v>42</v>
      </c>
      <c r="D124" s="1">
        <v>3.0273972599999999</v>
      </c>
      <c r="E124" s="1">
        <v>0.471451876019576</v>
      </c>
      <c r="F124" s="1">
        <v>47.2</v>
      </c>
      <c r="G124" s="1">
        <v>0.88900000000000001</v>
      </c>
      <c r="H124" s="1">
        <v>0.47</v>
      </c>
      <c r="I124" s="1">
        <v>0.55100000000000005</v>
      </c>
      <c r="J124" s="1">
        <v>0.42299999999999999</v>
      </c>
      <c r="K124" s="1">
        <v>0.113924050632911</v>
      </c>
      <c r="L124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5.2050424050632929</v>
      </c>
    </row>
    <row r="125" spans="1:12" hidden="1" x14ac:dyDescent="0.35">
      <c r="A125" t="s">
        <v>47</v>
      </c>
      <c r="B125">
        <v>28</v>
      </c>
      <c r="C125" t="s">
        <v>41</v>
      </c>
      <c r="D125" s="1">
        <v>2.7432432430000002</v>
      </c>
      <c r="E125" s="1">
        <v>0.38790782611969798</v>
      </c>
      <c r="F125" s="1">
        <v>51.2</v>
      </c>
      <c r="G125" s="1">
        <v>0.871</v>
      </c>
      <c r="H125" s="1">
        <v>0.33500000000000002</v>
      </c>
      <c r="I125" s="1">
        <v>0.63300000000000001</v>
      </c>
      <c r="J125" s="1">
        <v>0.25</v>
      </c>
      <c r="K125" s="1">
        <v>0.227848101265823</v>
      </c>
      <c r="L125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5.5733348101265836</v>
      </c>
    </row>
    <row r="126" spans="1:12" hidden="1" x14ac:dyDescent="0.35">
      <c r="A126" t="s">
        <v>47</v>
      </c>
      <c r="B126">
        <v>29</v>
      </c>
      <c r="C126" t="s">
        <v>36</v>
      </c>
      <c r="D126" s="1">
        <v>3.1549295769999999</v>
      </c>
      <c r="E126" s="1">
        <v>0.44928366762177702</v>
      </c>
      <c r="F126" s="1">
        <v>49.4</v>
      </c>
      <c r="G126" s="1">
        <v>0.879</v>
      </c>
      <c r="H126" s="1">
        <v>0.60399999999999998</v>
      </c>
      <c r="I126" s="1">
        <v>0.76200000000000001</v>
      </c>
      <c r="J126" s="1">
        <v>0.34499999999999997</v>
      </c>
      <c r="K126" s="1">
        <v>0.645569620253165</v>
      </c>
      <c r="L126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5.561406962025317</v>
      </c>
    </row>
    <row r="127" spans="1:12" hidden="1" x14ac:dyDescent="0.35">
      <c r="A127" t="s">
        <v>47</v>
      </c>
      <c r="B127">
        <v>30</v>
      </c>
      <c r="C127" t="s">
        <v>28</v>
      </c>
      <c r="D127" s="1">
        <v>2.5416666669999999</v>
      </c>
      <c r="E127" s="1">
        <v>0.38355113213381697</v>
      </c>
      <c r="F127" s="1">
        <v>51.7</v>
      </c>
      <c r="G127" s="1">
        <v>0.88700000000000001</v>
      </c>
      <c r="H127" s="1">
        <v>0.27400000000000002</v>
      </c>
      <c r="I127" s="1">
        <v>0.57099999999999995</v>
      </c>
      <c r="J127" s="1">
        <v>0.627</v>
      </c>
      <c r="K127" s="1">
        <v>0.556962025316456</v>
      </c>
      <c r="L127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5.6445462025316466</v>
      </c>
    </row>
    <row r="128" spans="1:12" hidden="1" x14ac:dyDescent="0.35">
      <c r="A128" t="s">
        <v>47</v>
      </c>
      <c r="B128">
        <v>31</v>
      </c>
      <c r="C128" t="s">
        <v>39</v>
      </c>
      <c r="D128" s="1">
        <v>2.7123287669999998</v>
      </c>
      <c r="E128" s="1">
        <v>0.36351160893108803</v>
      </c>
      <c r="F128" s="1">
        <v>51.6</v>
      </c>
      <c r="G128" s="1">
        <v>0.88500000000000001</v>
      </c>
      <c r="H128" s="1">
        <v>0.35399999999999998</v>
      </c>
      <c r="I128" s="1">
        <v>0.748</v>
      </c>
      <c r="J128" s="1">
        <v>0.754</v>
      </c>
      <c r="K128" s="1">
        <v>0.392405063291139</v>
      </c>
      <c r="L128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5.6874405063291142</v>
      </c>
    </row>
    <row r="129" spans="1:12" hidden="1" x14ac:dyDescent="0.35">
      <c r="A129" t="s">
        <v>47</v>
      </c>
      <c r="B129">
        <v>32</v>
      </c>
      <c r="C129" t="s">
        <v>34</v>
      </c>
      <c r="D129" s="1">
        <v>2.6197183100000001</v>
      </c>
      <c r="E129" s="1">
        <v>0.33852596970527199</v>
      </c>
      <c r="F129" s="1">
        <v>50.5</v>
      </c>
      <c r="G129" s="1">
        <v>0.88400000000000001</v>
      </c>
      <c r="H129" s="1">
        <v>0.27400000000000002</v>
      </c>
      <c r="I129" s="1">
        <v>0.748</v>
      </c>
      <c r="J129" s="1">
        <v>0.32500000000000001</v>
      </c>
      <c r="K129" s="1">
        <v>0.367088607594937</v>
      </c>
      <c r="L129" s="1">
        <f>(0.1 * Table16[[#This Row],[PUCK_POSSESSION]])+(0.2 * Table16[[#This Row],[GOALTENDING]]) + (0.35 * Table16[[#This Row],[OFFENSE]]) + (0.2 *Table16[[#This Row],[DEFENSE]]) + (0.05 * Table16[[#This Row],[SPEC_TEAMS]]) + (0.1 * Table16[[#This Row],[PHYSICALITY]])</f>
        <v>5.5252588607594957</v>
      </c>
    </row>
  </sheetData>
  <conditionalFormatting sqref="D98:D1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8:E11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98:F11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98:G1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8:H1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8:I1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8:J1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98:K1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8:L11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updated_stats</vt:lpstr>
      <vt:lpstr>avalanche</vt:lpstr>
      <vt:lpstr>golden_knights</vt:lpstr>
      <vt:lpstr>panthers</vt:lpstr>
      <vt:lpstr>2024_2025</vt:lpstr>
      <vt:lpstr>stanley_cup_winners</vt:lpstr>
      <vt:lpstr>new_bracket</vt:lpstr>
      <vt:lpstr>gfpg_analysis</vt:lpstr>
      <vt:lpstr>---</vt:lpstr>
      <vt:lpstr>old_stats_data</vt:lpstr>
      <vt:lpstr>old_2024_2025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Steven Fox</dc:creator>
  <cp:keywords/>
  <dc:description/>
  <cp:lastModifiedBy>Steven Fox</cp:lastModifiedBy>
  <cp:revision/>
  <dcterms:created xsi:type="dcterms:W3CDTF">2025-04-09T12:51:41Z</dcterms:created>
  <dcterms:modified xsi:type="dcterms:W3CDTF">2025-05-14T03:09:21Z</dcterms:modified>
  <cp:category/>
  <cp:contentStatus/>
</cp:coreProperties>
</file>