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orts_Analytics_Course\intro_to_sports_analytics\Module_3\Demos\Demo_3\"/>
    </mc:Choice>
  </mc:AlternateContent>
  <xr:revisionPtr revIDLastSave="0" documentId="13_ncr:1_{0A7F3722-5074-4D95-BA77-125C77FB7796}" xr6:coauthVersionLast="47" xr6:coauthVersionMax="47" xr10:uidLastSave="{00000000-0000-0000-0000-000000000000}"/>
  <bookViews>
    <workbookView xWindow="-110" yWindow="-110" windowWidth="19420" windowHeight="11500" xr2:uid="{C984938E-0D8A-440D-BB21-CBC31122D742}"/>
  </bookViews>
  <sheets>
    <sheet name="Salary_Data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E9" i="6"/>
  <c r="E8" i="6"/>
  <c r="E7" i="6"/>
  <c r="E3" i="6"/>
  <c r="E4" i="6" l="1"/>
  <c r="E2" i="6"/>
</calcChain>
</file>

<file path=xl/sharedStrings.xml><?xml version="1.0" encoding="utf-8"?>
<sst xmlns="http://schemas.openxmlformats.org/spreadsheetml/2006/main" count="19" uniqueCount="14">
  <si>
    <t>VALUE</t>
  </si>
  <si>
    <t>MEAN</t>
  </si>
  <si>
    <t>MEDIAN</t>
  </si>
  <si>
    <t>MODE</t>
  </si>
  <si>
    <t>NAME</t>
  </si>
  <si>
    <t>SALARY</t>
  </si>
  <si>
    <t>MEASURES</t>
  </si>
  <si>
    <t>Christian Rinaldo</t>
  </si>
  <si>
    <t>Jon Rahm</t>
  </si>
  <si>
    <t>Lonel Messi</t>
  </si>
  <si>
    <t>LeBron James</t>
  </si>
  <si>
    <t>Giannis Antetokounmpo</t>
  </si>
  <si>
    <t>Kylian Mbappe</t>
  </si>
  <si>
    <t>Bill 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</si>
</sst>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A19865-7733-4726-A04A-794BBD183EE4}" name="Table6" displayName="Table6" ref="A1:B8" totalsRowShown="0">
  <autoFilter ref="A1:B8" xr:uid="{41A19865-7733-4726-A04A-794BBD183EE4}"/>
  <tableColumns count="2">
    <tableColumn id="1" xr3:uid="{0B4FEDAD-89A3-423E-9079-C52E34131202}" name="NAME"/>
    <tableColumn id="2" xr3:uid="{36FD8AD3-9068-4D13-A515-E53DA4EB7561}" name="SALARY" dataCellStyle="Currency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1C2F86-CE54-4ECC-ACBB-DB39F185A9E4}" name="Table7" displayName="Table7" ref="D1:E4" totalsRowShown="0">
  <autoFilter ref="D1:E4" xr:uid="{051C2F86-CE54-4ECC-ACBB-DB39F185A9E4}"/>
  <tableColumns count="2">
    <tableColumn id="1" xr3:uid="{75194EB3-7F31-4A12-BBF9-DD4F3CE4966E}" name="MEASURES"/>
    <tableColumn id="2" xr3:uid="{F536BE3E-2856-4A9D-9F69-25E6C8CA2F2B}" name="VALUE" dataCellStyle="Currenc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DAB053-CC95-416F-996D-5B0FB40A2AB1}" name="Table79" displayName="Table79" ref="D6:E9" totalsRowShown="0">
  <autoFilter ref="D6:E9" xr:uid="{CDDAB053-CC95-416F-996D-5B0FB40A2AB1}"/>
  <tableColumns count="2">
    <tableColumn id="1" xr3:uid="{816C9FB7-1652-4BC2-923C-10BCFA305CE4}" name="MEASURES"/>
    <tableColumn id="2" xr3:uid="{E82DE58E-8A02-4126-B113-DEF352DE571C}" name="VALUE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0B4E-B752-4896-B4C1-312C97E9BA6E}">
  <dimension ref="A1:E9"/>
  <sheetViews>
    <sheetView tabSelected="1" workbookViewId="0">
      <selection activeCell="D13" sqref="D13"/>
    </sheetView>
  </sheetViews>
  <sheetFormatPr defaultRowHeight="14.5" x14ac:dyDescent="0.35"/>
  <cols>
    <col min="1" max="1" width="17.54296875" customWidth="1"/>
    <col min="2" max="2" width="20.08984375" customWidth="1"/>
    <col min="4" max="4" width="14.7265625" customWidth="1"/>
    <col min="5" max="5" width="15.81640625" bestFit="1" customWidth="1"/>
  </cols>
  <sheetData>
    <row r="1" spans="1:5" x14ac:dyDescent="0.35">
      <c r="A1" t="s">
        <v>4</v>
      </c>
      <c r="B1" t="s">
        <v>5</v>
      </c>
      <c r="D1" t="s">
        <v>6</v>
      </c>
      <c r="E1" t="s">
        <v>0</v>
      </c>
    </row>
    <row r="2" spans="1:5" x14ac:dyDescent="0.35">
      <c r="A2" t="s">
        <v>7</v>
      </c>
      <c r="B2" s="1">
        <v>260000000</v>
      </c>
      <c r="D2" t="s">
        <v>1</v>
      </c>
      <c r="E2" s="1">
        <f>AVERAGE(Table6[SALARY])</f>
        <v>708564285.71428573</v>
      </c>
    </row>
    <row r="3" spans="1:5" x14ac:dyDescent="0.35">
      <c r="A3" t="s">
        <v>8</v>
      </c>
      <c r="B3" s="1">
        <v>218000000</v>
      </c>
      <c r="D3" t="s">
        <v>2</v>
      </c>
      <c r="E3" s="1">
        <f>MEDIAN(Table6[SALARY])</f>
        <v>135000000</v>
      </c>
    </row>
    <row r="4" spans="1:5" x14ac:dyDescent="0.35">
      <c r="A4" t="s">
        <v>9</v>
      </c>
      <c r="B4" s="1">
        <v>135000000</v>
      </c>
      <c r="D4" t="s">
        <v>3</v>
      </c>
      <c r="E4" s="1">
        <f>MODE(Table6[SALARY])</f>
        <v>111000000</v>
      </c>
    </row>
    <row r="5" spans="1:5" x14ac:dyDescent="0.35">
      <c r="A5" t="s">
        <v>10</v>
      </c>
      <c r="B5" s="1">
        <v>128200000</v>
      </c>
    </row>
    <row r="6" spans="1:5" x14ac:dyDescent="0.35">
      <c r="A6" t="s">
        <v>11</v>
      </c>
      <c r="B6" s="1">
        <v>111000000</v>
      </c>
      <c r="D6" t="s">
        <v>6</v>
      </c>
      <c r="E6" t="s">
        <v>0</v>
      </c>
    </row>
    <row r="7" spans="1:5" x14ac:dyDescent="0.35">
      <c r="A7" t="s">
        <v>12</v>
      </c>
      <c r="B7" s="1">
        <v>111000000</v>
      </c>
      <c r="D7" t="s">
        <v>1</v>
      </c>
      <c r="E7" s="1">
        <f>AVERAGE(B2:B7)</f>
        <v>160533333.33333334</v>
      </c>
    </row>
    <row r="8" spans="1:5" x14ac:dyDescent="0.35">
      <c r="A8" t="s">
        <v>13</v>
      </c>
      <c r="B8" s="1">
        <f>10950000*365</f>
        <v>3996750000</v>
      </c>
      <c r="D8" t="s">
        <v>2</v>
      </c>
      <c r="E8" s="1">
        <f>MEDIAN(B2:B7)</f>
        <v>131600000</v>
      </c>
    </row>
    <row r="9" spans="1:5" x14ac:dyDescent="0.35">
      <c r="D9" t="s">
        <v>3</v>
      </c>
      <c r="E9" s="1">
        <f>MODE(B2:B7)</f>
        <v>111000000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2024-11-25T19:08:10Z</dcterms:created>
  <dcterms:modified xsi:type="dcterms:W3CDTF">2025-01-06T23:28:57Z</dcterms:modified>
</cp:coreProperties>
</file>