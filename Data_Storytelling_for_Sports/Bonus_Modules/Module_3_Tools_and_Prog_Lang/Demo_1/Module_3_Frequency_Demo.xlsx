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orts_Analytics_Course\intro_to_sports_analytics\Module_3\Demos\Demo_1\"/>
    </mc:Choice>
  </mc:AlternateContent>
  <xr:revisionPtr revIDLastSave="0" documentId="13_ncr:1_{07D10A69-3370-4D4F-B8CD-36117DE7231C}" xr6:coauthVersionLast="47" xr6:coauthVersionMax="47" xr10:uidLastSave="{00000000-0000-0000-0000-000000000000}"/>
  <bookViews>
    <workbookView xWindow="-110" yWindow="-110" windowWidth="19420" windowHeight="11500" activeTab="3" xr2:uid="{C984938E-0D8A-440D-BB21-CBC31122D742}"/>
  </bookViews>
  <sheets>
    <sheet name="All_Data" sheetId="1" r:id="rId1"/>
    <sheet name="Quartiles" sheetId="2" r:id="rId2"/>
    <sheet name="Pivot_Table" sheetId="3" r:id="rId3"/>
    <sheet name="Frequency" sheetId="4" r:id="rId4"/>
  </sheet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2" l="1"/>
  <c r="K10" i="2"/>
  <c r="K9" i="2"/>
  <c r="D3" i="4"/>
  <c r="D4" i="4" s="1"/>
  <c r="D5" i="4" s="1"/>
  <c r="C5" i="4"/>
  <c r="C4" i="4"/>
  <c r="C7" i="4" s="1"/>
  <c r="C3" i="4"/>
  <c r="C2" i="4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K7" i="2"/>
  <c r="K6" i="2"/>
  <c r="K5" i="2"/>
  <c r="K4" i="2"/>
  <c r="K3" i="2"/>
  <c r="K8" i="2" l="1"/>
</calcChain>
</file>

<file path=xl/sharedStrings.xml><?xml version="1.0" encoding="utf-8"?>
<sst xmlns="http://schemas.openxmlformats.org/spreadsheetml/2006/main" count="128" uniqueCount="86">
  <si>
    <t>GP</t>
  </si>
  <si>
    <t>W</t>
  </si>
  <si>
    <t>L</t>
  </si>
  <si>
    <t>OL</t>
  </si>
  <si>
    <t>PTS</t>
  </si>
  <si>
    <t>GF</t>
  </si>
  <si>
    <t>GA</t>
  </si>
  <si>
    <t>SOW</t>
  </si>
  <si>
    <t>SOL</t>
  </si>
  <si>
    <t>SRS</t>
  </si>
  <si>
    <t>SOS</t>
  </si>
  <si>
    <t>PP</t>
  </si>
  <si>
    <t>PPO</t>
  </si>
  <si>
    <t>PPA</t>
  </si>
  <si>
    <t>PPOA</t>
  </si>
  <si>
    <t>SH</t>
  </si>
  <si>
    <t>SHA</t>
  </si>
  <si>
    <t>S</t>
  </si>
  <si>
    <t>SA</t>
  </si>
  <si>
    <t>SO</t>
  </si>
  <si>
    <t>Winnipeg Jets</t>
  </si>
  <si>
    <t>Minnesota Wild</t>
  </si>
  <si>
    <t>New Jersey Devils</t>
  </si>
  <si>
    <t>Carolina Hurricanes</t>
  </si>
  <si>
    <t>Vegas Golden Knights</t>
  </si>
  <si>
    <t>Toronto Maple Leafs</t>
  </si>
  <si>
    <t>Washington Capitals</t>
  </si>
  <si>
    <t>Calgary Flames</t>
  </si>
  <si>
    <t>Dallas Stars</t>
  </si>
  <si>
    <t>Florida Panthers</t>
  </si>
  <si>
    <t>Los Angeles Kings</t>
  </si>
  <si>
    <t>New York Rangers</t>
  </si>
  <si>
    <t>Colorado Avalanche</t>
  </si>
  <si>
    <t>Edmonton Oilers</t>
  </si>
  <si>
    <t>Boston Bruins</t>
  </si>
  <si>
    <t>Vancouver Canucks</t>
  </si>
  <si>
    <t>Buffalo Sabres</t>
  </si>
  <si>
    <t>Tampa Bay Lightning</t>
  </si>
  <si>
    <t>New York Islanders</t>
  </si>
  <si>
    <t>Seattle Kraken</t>
  </si>
  <si>
    <t>Philadelphia Flyers</t>
  </si>
  <si>
    <t>Columbus Blue Jackets</t>
  </si>
  <si>
    <t>St. Louis Blues</t>
  </si>
  <si>
    <t>Utah Hockey Club</t>
  </si>
  <si>
    <t>Anaheim Ducks</t>
  </si>
  <si>
    <t>Pittsburgh Penguins</t>
  </si>
  <si>
    <t>Detroit Red Wings</t>
  </si>
  <si>
    <t>Nashville Predators</t>
  </si>
  <si>
    <t>Ottawa Senators</t>
  </si>
  <si>
    <t>San Jose Sharks</t>
  </si>
  <si>
    <t>Montreal Canadiens</t>
  </si>
  <si>
    <t>Chicago Blackhawks</t>
  </si>
  <si>
    <t>League Average</t>
  </si>
  <si>
    <t>TEAM</t>
  </si>
  <si>
    <t>RANK</t>
  </si>
  <si>
    <t>AVG_AGE</t>
  </si>
  <si>
    <t>PTS_PCT</t>
  </si>
  <si>
    <t>GF_G</t>
  </si>
  <si>
    <t>GA_G</t>
  </si>
  <si>
    <t>PP_PCT</t>
  </si>
  <si>
    <t>PK_PCT</t>
  </si>
  <si>
    <t>PIM_G</t>
  </si>
  <si>
    <t>OPIM_G</t>
  </si>
  <si>
    <t>S_PCT</t>
  </si>
  <si>
    <t>SAVE_PCT</t>
  </si>
  <si>
    <t>MIN</t>
  </si>
  <si>
    <t>MAX</t>
  </si>
  <si>
    <t>RANGE</t>
  </si>
  <si>
    <t>Q1</t>
  </si>
  <si>
    <t>Q2</t>
  </si>
  <si>
    <t>Q3</t>
  </si>
  <si>
    <t>Q4</t>
  </si>
  <si>
    <t>STATISTICS</t>
  </si>
  <si>
    <t>VALUE</t>
  </si>
  <si>
    <t>QUARTILE</t>
  </si>
  <si>
    <t>Row Labels</t>
  </si>
  <si>
    <t>Grand Total</t>
  </si>
  <si>
    <t>Count of QUARTILE</t>
  </si>
  <si>
    <t>QUARTILES</t>
  </si>
  <si>
    <t>FREQUENCY</t>
  </si>
  <si>
    <t>RELATIVE FREQUENCY</t>
  </si>
  <si>
    <t>CUMULATIVE FREQUENCY</t>
  </si>
  <si>
    <t>TOTALS</t>
  </si>
  <si>
    <t>MEAN</t>
  </si>
  <si>
    <t>MEDIAN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</si>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</sst>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Frequency!$D$1</c:f>
              <c:strCache>
                <c:ptCount val="1"/>
                <c:pt idx="0">
                  <c:v>CUMULATIVE FREQUENCY</c:v>
                </c:pt>
              </c:strCache>
            </c:strRef>
          </c:tx>
          <c:spPr>
            <a:ln w="28575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Frequency!$A$2:$A$5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Frequency!$D$2:$D$5</c:f>
              <c:numCache>
                <c:formatCode>General</c:formatCode>
                <c:ptCount val="4"/>
                <c:pt idx="0">
                  <c:v>10</c:v>
                </c:pt>
                <c:pt idx="1">
                  <c:v>18</c:v>
                </c:pt>
                <c:pt idx="2">
                  <c:v>26</c:v>
                </c:pt>
                <c:pt idx="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3D-4899-BFCE-D7655C744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29056"/>
        <c:axId val="1044084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Frequency!$B$1</c15:sqref>
                        </c15:formulaRef>
                      </c:ext>
                    </c:extLst>
                    <c:strCache>
                      <c:ptCount val="1"/>
                      <c:pt idx="0">
                        <c:v>FREQUENCY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Frequency!$A$2:$A$5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Frequency!$B$2:$B$5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10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F3D-4899-BFCE-D7655C744A0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Frequency!$C$1</c15:sqref>
                        </c15:formulaRef>
                      </c:ext>
                    </c:extLst>
                    <c:strCache>
                      <c:ptCount val="1"/>
                      <c:pt idx="0">
                        <c:v>RELATIVE FREQUENCY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Frequency!$A$2:$A$5</c15:sqref>
                        </c15:formulaRef>
                      </c:ext>
                    </c:extLst>
                    <c:strCache>
                      <c:ptCount val="4"/>
                      <c:pt idx="0">
                        <c:v>Q1</c:v>
                      </c:pt>
                      <c:pt idx="1">
                        <c:v>Q2</c:v>
                      </c:pt>
                      <c:pt idx="2">
                        <c:v>Q3</c:v>
                      </c:pt>
                      <c:pt idx="3">
                        <c:v>Q4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Frequency!$C$2:$C$5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0.30303030303030304</c:v>
                      </c:pt>
                      <c:pt idx="1">
                        <c:v>0.24242424242424243</c:v>
                      </c:pt>
                      <c:pt idx="2">
                        <c:v>0.24242424242424243</c:v>
                      </c:pt>
                      <c:pt idx="3">
                        <c:v>0.21212121212121213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F3D-4899-BFCE-D7655C744A01}"/>
                  </c:ext>
                </c:extLst>
              </c15:ser>
            </c15:filteredLineSeries>
          </c:ext>
        </c:extLst>
      </c:lineChart>
      <c:catAx>
        <c:axId val="10442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8416"/>
        <c:crosses val="autoZero"/>
        <c:auto val="1"/>
        <c:lblAlgn val="ctr"/>
        <c:lblOffset val="100"/>
        <c:noMultiLvlLbl val="0"/>
      </c:catAx>
      <c:valAx>
        <c:axId val="104408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442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Frequency!$B$1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Frequency!$A$2:$A$5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Frequency!$B$2:$B$5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3-4ADB-9C94-0CEBD6DFD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03057600"/>
        <c:axId val="103051360"/>
      </c:barChart>
      <c:lineChart>
        <c:grouping val="standard"/>
        <c:varyColors val="0"/>
        <c:ser>
          <c:idx val="1"/>
          <c:order val="1"/>
          <c:tx>
            <c:strRef>
              <c:f>Frequency!$C$1</c:f>
              <c:strCache>
                <c:ptCount val="1"/>
                <c:pt idx="0">
                  <c:v>RELATIVE FREQUENCY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Frequency!$A$2:$A$5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Frequency!$C$2:$C$5</c:f>
              <c:numCache>
                <c:formatCode>0.00%</c:formatCode>
                <c:ptCount val="4"/>
                <c:pt idx="0">
                  <c:v>0.30303030303030304</c:v>
                </c:pt>
                <c:pt idx="1">
                  <c:v>0.24242424242424243</c:v>
                </c:pt>
                <c:pt idx="2">
                  <c:v>0.24242424242424243</c:v>
                </c:pt>
                <c:pt idx="3">
                  <c:v>0.21212121212121213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73-4ADB-9C94-0CEBD6DFD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076320"/>
        <c:axId val="103055680"/>
      </c:lineChart>
      <c:catAx>
        <c:axId val="10305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51360"/>
        <c:crosses val="autoZero"/>
        <c:auto val="1"/>
        <c:lblAlgn val="ctr"/>
        <c:lblOffset val="100"/>
        <c:noMultiLvlLbl val="0"/>
      </c:catAx>
      <c:valAx>
        <c:axId val="103051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57600"/>
        <c:crosses val="autoZero"/>
        <c:crossBetween val="between"/>
      </c:valAx>
      <c:valAx>
        <c:axId val="10305568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76320"/>
        <c:crosses val="max"/>
        <c:crossBetween val="between"/>
      </c:valAx>
      <c:catAx>
        <c:axId val="1030763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3055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165100</xdr:colOff>
      <xdr:row>1</xdr:row>
      <xdr:rowOff>165100</xdr:rowOff>
    </xdr:from>
    <xdr:ext cx="3232150" cy="56188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00E3A3-4E5C-3E11-7A90-C012C9BA484A}"/>
            </a:ext>
          </a:extLst>
        </xdr:cNvPr>
        <xdr:cNvSpPr txBox="1"/>
      </xdr:nvSpPr>
      <xdr:spPr>
        <a:xfrm>
          <a:off x="3162300" y="349250"/>
          <a:ext cx="3232150" cy="56188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000" kern="1200"/>
            <a:t>=IF(B2&lt;=PERCENTILE.INC($B$2:$B$34, 0.25), "Q1",</a:t>
          </a:r>
        </a:p>
        <a:p>
          <a:r>
            <a:rPr lang="en-US" sz="1000" kern="1200"/>
            <a:t>IF(B2&lt;=PERCENTILE.INC($B$2:$B$34, 0.50), "Q2",</a:t>
          </a:r>
        </a:p>
        <a:p>
          <a:r>
            <a:rPr lang="en-US" sz="1000" kern="1200"/>
            <a:t>IF(B2&lt;=PERCENTILE.INC($B$2:$B$34, 0.75), "Q3", "Q4")))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1530349</xdr:colOff>
      <xdr:row>8</xdr:row>
      <xdr:rowOff>38100</xdr:rowOff>
    </xdr:from>
    <xdr:to>
      <xdr:col>10</xdr:col>
      <xdr:colOff>390524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EE1E2-F8DD-3CD5-23B3-733A8410A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850899</xdr:colOff>
      <xdr:row>8</xdr:row>
      <xdr:rowOff>31750</xdr:rowOff>
    </xdr:from>
    <xdr:to>
      <xdr:col>3</xdr:col>
      <xdr:colOff>1470024</xdr:colOff>
      <xdr:row>20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0E14DA-1AAE-D255-E6F1-C96848FD6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Fox" refreshedDate="45621.600134259257" createdVersion="8" refreshedVersion="8" minRefreshableVersion="3" recordCount="33" xr:uid="{11D21DC0-D644-4A7A-ADF8-7EEBAB5116B3}">
  <cacheSource type="worksheet">
    <worksheetSource name="Table1"/>
  </cacheSource>
  <cacheFields count="3">
    <cacheField name="TEAM" numFmtId="0">
      <sharedItems/>
    </cacheField>
    <cacheField name="GF" numFmtId="0">
      <sharedItems containsSemiMixedTypes="0" containsString="0" containsNumber="1" containsInteger="1" minValue="48" maxValue="85"/>
    </cacheField>
    <cacheField name="QUARTILE" numFmtId="0">
      <sharedItems count="4">
        <s v="Q4"/>
        <s v="Q3"/>
        <s v="Q2"/>
        <s v="Q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Winnipeg Jets"/>
    <n v="85"/>
    <x v="0"/>
  </r>
  <r>
    <s v="Vegas Golden Knights"/>
    <n v="81"/>
    <x v="0"/>
  </r>
  <r>
    <s v="Washington Capitals"/>
    <n v="81"/>
    <x v="0"/>
  </r>
  <r>
    <s v="New Jersey Devils"/>
    <n v="79"/>
    <x v="0"/>
  </r>
  <r>
    <s v="Carolina Hurricanes"/>
    <n v="78"/>
    <x v="0"/>
  </r>
  <r>
    <s v="Florida Panthers"/>
    <n v="73"/>
    <x v="0"/>
  </r>
  <r>
    <s v="Colorado Avalanche"/>
    <n v="73"/>
    <x v="0"/>
  </r>
  <r>
    <s v="Minnesota Wild"/>
    <n v="69"/>
    <x v="1"/>
  </r>
  <r>
    <s v="Columbus Blue Jackets"/>
    <n v="69"/>
    <x v="1"/>
  </r>
  <r>
    <s v="Buffalo Sabres"/>
    <n v="68"/>
    <x v="1"/>
  </r>
  <r>
    <s v="Tampa Bay Lightning"/>
    <n v="68"/>
    <x v="1"/>
  </r>
  <r>
    <s v="Dallas Stars"/>
    <n v="65"/>
    <x v="1"/>
  </r>
  <r>
    <s v="New York Rangers"/>
    <n v="65"/>
    <x v="1"/>
  </r>
  <r>
    <s v="Toronto Maple Leafs"/>
    <n v="64"/>
    <x v="1"/>
  </r>
  <r>
    <s v="Edmonton Oilers"/>
    <n v="64"/>
    <x v="1"/>
  </r>
  <r>
    <s v="Los Angeles Kings"/>
    <n v="63"/>
    <x v="2"/>
  </r>
  <r>
    <s v="League Average"/>
    <n v="63"/>
    <x v="2"/>
  </r>
  <r>
    <s v="Ottawa Senators"/>
    <n v="62"/>
    <x v="2"/>
  </r>
  <r>
    <s v="Vancouver Canucks"/>
    <n v="61"/>
    <x v="2"/>
  </r>
  <r>
    <s v="Seattle Kraken"/>
    <n v="58"/>
    <x v="2"/>
  </r>
  <r>
    <s v="Pittsburgh Penguins"/>
    <n v="58"/>
    <x v="2"/>
  </r>
  <r>
    <s v="Philadelphia Flyers"/>
    <n v="57"/>
    <x v="2"/>
  </r>
  <r>
    <s v="Utah Hockey Club"/>
    <n v="57"/>
    <x v="2"/>
  </r>
  <r>
    <s v="San Jose Sharks"/>
    <n v="56"/>
    <x v="3"/>
  </r>
  <r>
    <s v="Montreal Canadiens"/>
    <n v="56"/>
    <x v="3"/>
  </r>
  <r>
    <s v="Calgary Flames"/>
    <n v="55"/>
    <x v="3"/>
  </r>
  <r>
    <s v="New York Islanders"/>
    <n v="52"/>
    <x v="3"/>
  </r>
  <r>
    <s v="St. Louis Blues"/>
    <n v="52"/>
    <x v="3"/>
  </r>
  <r>
    <s v="Boston Bruins"/>
    <n v="51"/>
    <x v="3"/>
  </r>
  <r>
    <s v="Nashville Predators"/>
    <n v="50"/>
    <x v="3"/>
  </r>
  <r>
    <s v="Detroit Red Wings"/>
    <n v="49"/>
    <x v="3"/>
  </r>
  <r>
    <s v="Chicago Blackhawks"/>
    <n v="49"/>
    <x v="3"/>
  </r>
  <r>
    <s v="Anaheim Ducks"/>
    <n v="4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1B35A-FEF2-4510-B1DD-A1FD7D66BCD5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showAll="0"/>
    <pivotField showAll="0"/>
    <pivotField axis="axisRow" dataField="1" showAll="0">
      <items count="5">
        <item x="3"/>
        <item x="2"/>
        <item x="1"/>
        <item x="0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QUARTIL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9E7-0B70-47D3-9F62-F4C81EE062B0}" name="Table1" displayName="Table1" ref="A1:C34" totalsRowShown="0">
  <autoFilter ref="A1:C34" xr:uid="{EDEF49E7-0B70-47D3-9F62-F4C81EE062B0}"/>
  <sortState xmlns:xlrd2="http://schemas.microsoft.com/office/spreadsheetml/2017/richdata2" ref="A2:B34">
    <sortCondition descending="1" ref="B1:B34"/>
  </sortState>
  <tableColumns count="3">
    <tableColumn id="1" xr3:uid="{45FF24AC-C2EC-4C74-AA21-0F19E4F82ABC}" name="TEAM"/>
    <tableColumn id="2" xr3:uid="{FF2B7601-69FF-41B0-80AE-9EAF07885E3B}" name="GF" dataDxfId="6"/>
    <tableColumn id="3" xr3:uid="{446AF4A2-973C-456B-AFF5-68037981D6E6}" name="QUARTILE" dataDxfId="5">
      <calculatedColumnFormula>IF(B2&lt;=_xlfn.PERCENTILE.INC($B$2:$B$34, 0.25), "Q1",
IF(B2&lt;=_xlfn.PERCENTILE.INC($B$2:$B$34, 0.5), "Q2",
IF(B2&lt;=_xlfn.PERCENTILE.INC($B$2:$B$34, 0.75), "Q3", "Q4")))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0FBDEF-1B92-4783-8591-8CADB63756A2}" name="Table2" displayName="Table2" ref="J2:K11" totalsRowShown="0">
  <autoFilter ref="J2:K11" xr:uid="{3C0FBDEF-1B92-4783-8591-8CADB63756A2}"/>
  <tableColumns count="2">
    <tableColumn id="1" xr3:uid="{4B0AB8EE-5810-4CC3-BAE6-77952C1272FB}" name="STATISTICS"/>
    <tableColumn id="2" xr3:uid="{04CD9425-A0D4-447E-97CF-7FBC0FA2A601}" name="VALUE" dataDxfId="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198928-CCD5-421A-A2A5-02A76711995D}" name="Table3" displayName="Table3" ref="A1:D5" totalsRowShown="0">
  <autoFilter ref="A1:D5" xr:uid="{97198928-CCD5-421A-A2A5-02A76711995D}"/>
  <tableColumns count="4">
    <tableColumn id="1" xr3:uid="{893F0142-CBD3-46BC-BA77-811E2A050450}" name="QUARTILES" dataDxfId="3"/>
    <tableColumn id="2" xr3:uid="{9F7BB60B-C9E5-4E8B-AABD-0B63D49DAAFD}" name="FREQUENCY" dataDxfId="2"/>
    <tableColumn id="3" xr3:uid="{C931D7F3-021A-473B-B338-12490EDA9DB2}" name="RELATIVE FREQUENCY" dataDxfId="1" dataCellStyle="Percent"/>
    <tableColumn id="4" xr3:uid="{02560C9B-BB7F-42BE-A621-A2157C018C26}" name="CUMULATIVE FREQUENCY" dataDxfId="0">
      <calculatedColumnFormula>D1+B2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94BDE-2ED6-4650-8AEB-C653AEF1BE77}">
  <dimension ref="A1:AF34"/>
  <sheetViews>
    <sheetView workbookViewId="0">
      <selection activeCell="E12" sqref="E12"/>
    </sheetView>
  </sheetViews>
  <sheetFormatPr defaultRowHeight="14.5" x14ac:dyDescent="0.35"/>
  <cols>
    <col min="2" max="2" width="19.54296875" bestFit="1" customWidth="1"/>
  </cols>
  <sheetData>
    <row r="1" spans="1:32" x14ac:dyDescent="0.35">
      <c r="A1" t="s">
        <v>54</v>
      </c>
      <c r="B1" t="s">
        <v>53</v>
      </c>
      <c r="C1" t="s">
        <v>55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56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57</v>
      </c>
      <c r="Q1" t="s">
        <v>58</v>
      </c>
      <c r="R1" t="s">
        <v>11</v>
      </c>
      <c r="S1" t="s">
        <v>12</v>
      </c>
      <c r="T1" t="s">
        <v>59</v>
      </c>
      <c r="U1" t="s">
        <v>13</v>
      </c>
      <c r="V1" t="s">
        <v>14</v>
      </c>
      <c r="W1" t="s">
        <v>60</v>
      </c>
      <c r="X1" t="s">
        <v>15</v>
      </c>
      <c r="Y1" t="s">
        <v>16</v>
      </c>
      <c r="Z1" t="s">
        <v>61</v>
      </c>
      <c r="AA1" t="s">
        <v>62</v>
      </c>
      <c r="AB1" t="s">
        <v>17</v>
      </c>
      <c r="AC1" t="s">
        <v>63</v>
      </c>
      <c r="AD1" t="s">
        <v>18</v>
      </c>
      <c r="AE1" t="s">
        <v>64</v>
      </c>
      <c r="AF1" t="s">
        <v>19</v>
      </c>
    </row>
    <row r="2" spans="1:32" x14ac:dyDescent="0.35">
      <c r="A2">
        <v>1</v>
      </c>
      <c r="B2" t="s">
        <v>20</v>
      </c>
      <c r="C2">
        <v>29.3</v>
      </c>
      <c r="D2">
        <v>21</v>
      </c>
      <c r="E2">
        <v>17</v>
      </c>
      <c r="F2">
        <v>4</v>
      </c>
      <c r="G2">
        <v>0</v>
      </c>
      <c r="H2">
        <v>34</v>
      </c>
      <c r="I2">
        <v>0.81</v>
      </c>
      <c r="J2">
        <v>85</v>
      </c>
      <c r="K2">
        <v>51</v>
      </c>
      <c r="L2">
        <v>0</v>
      </c>
      <c r="M2">
        <v>0</v>
      </c>
      <c r="N2">
        <v>1.52</v>
      </c>
      <c r="O2">
        <v>-0.1</v>
      </c>
      <c r="P2">
        <v>4.05</v>
      </c>
      <c r="Q2">
        <v>2.4300000000000002</v>
      </c>
      <c r="R2">
        <v>21</v>
      </c>
      <c r="S2">
        <v>62</v>
      </c>
      <c r="T2">
        <v>33.869999999999997</v>
      </c>
      <c r="U2">
        <v>12</v>
      </c>
      <c r="V2">
        <v>54</v>
      </c>
      <c r="W2">
        <v>77.78</v>
      </c>
      <c r="X2">
        <v>3</v>
      </c>
      <c r="Y2">
        <v>1</v>
      </c>
      <c r="Z2">
        <v>8.6999999999999993</v>
      </c>
      <c r="AA2">
        <v>10.4</v>
      </c>
      <c r="AB2">
        <v>634</v>
      </c>
      <c r="AC2">
        <v>13.4</v>
      </c>
      <c r="AD2">
        <v>608</v>
      </c>
      <c r="AE2">
        <v>0.91600000000000004</v>
      </c>
      <c r="AF2">
        <v>3</v>
      </c>
    </row>
    <row r="3" spans="1:32" x14ac:dyDescent="0.35">
      <c r="A3">
        <v>2</v>
      </c>
      <c r="B3" t="s">
        <v>21</v>
      </c>
      <c r="C3">
        <v>28.9</v>
      </c>
      <c r="D3">
        <v>20</v>
      </c>
      <c r="E3">
        <v>13</v>
      </c>
      <c r="F3">
        <v>3</v>
      </c>
      <c r="G3">
        <v>4</v>
      </c>
      <c r="H3">
        <v>30</v>
      </c>
      <c r="I3">
        <v>0.75</v>
      </c>
      <c r="J3">
        <v>69</v>
      </c>
      <c r="K3">
        <v>48</v>
      </c>
      <c r="L3">
        <v>0</v>
      </c>
      <c r="M3">
        <v>2</v>
      </c>
      <c r="N3">
        <v>0.86</v>
      </c>
      <c r="O3">
        <v>-0.09</v>
      </c>
      <c r="P3">
        <v>3.45</v>
      </c>
      <c r="Q3">
        <v>2.4</v>
      </c>
      <c r="R3">
        <v>12</v>
      </c>
      <c r="S3">
        <v>59</v>
      </c>
      <c r="T3">
        <v>20.34</v>
      </c>
      <c r="U3">
        <v>12</v>
      </c>
      <c r="V3">
        <v>46</v>
      </c>
      <c r="W3">
        <v>73.91</v>
      </c>
      <c r="X3">
        <v>1</v>
      </c>
      <c r="Y3">
        <v>1</v>
      </c>
      <c r="Z3">
        <v>6.7</v>
      </c>
      <c r="AA3">
        <v>8.1</v>
      </c>
      <c r="AB3">
        <v>560</v>
      </c>
      <c r="AC3">
        <v>12.3</v>
      </c>
      <c r="AD3">
        <v>571</v>
      </c>
      <c r="AE3">
        <v>0.91600000000000004</v>
      </c>
      <c r="AF3">
        <v>1</v>
      </c>
    </row>
    <row r="4" spans="1:32" x14ac:dyDescent="0.35">
      <c r="A4">
        <v>3</v>
      </c>
      <c r="B4" t="s">
        <v>22</v>
      </c>
      <c r="C4">
        <v>29.3</v>
      </c>
      <c r="D4">
        <v>23</v>
      </c>
      <c r="E4">
        <v>14</v>
      </c>
      <c r="F4">
        <v>7</v>
      </c>
      <c r="G4">
        <v>2</v>
      </c>
      <c r="H4">
        <v>30</v>
      </c>
      <c r="I4">
        <v>0.65200000000000002</v>
      </c>
      <c r="J4">
        <v>79</v>
      </c>
      <c r="K4">
        <v>60</v>
      </c>
      <c r="L4">
        <v>0</v>
      </c>
      <c r="M4">
        <v>0</v>
      </c>
      <c r="N4">
        <v>1.02</v>
      </c>
      <c r="O4">
        <v>0.2</v>
      </c>
      <c r="P4">
        <v>3.43</v>
      </c>
      <c r="Q4">
        <v>2.61</v>
      </c>
      <c r="R4">
        <v>22</v>
      </c>
      <c r="S4">
        <v>71</v>
      </c>
      <c r="T4">
        <v>30.99</v>
      </c>
      <c r="U4">
        <v>11</v>
      </c>
      <c r="V4">
        <v>62</v>
      </c>
      <c r="W4">
        <v>82.26</v>
      </c>
      <c r="X4">
        <v>3</v>
      </c>
      <c r="Y4">
        <v>1</v>
      </c>
      <c r="Z4">
        <v>9.1999999999999993</v>
      </c>
      <c r="AA4">
        <v>9.5</v>
      </c>
      <c r="AB4">
        <v>685</v>
      </c>
      <c r="AC4">
        <v>11.5</v>
      </c>
      <c r="AD4">
        <v>626</v>
      </c>
      <c r="AE4">
        <v>0.90400000000000003</v>
      </c>
      <c r="AF4">
        <v>3</v>
      </c>
    </row>
    <row r="5" spans="1:32" x14ac:dyDescent="0.35">
      <c r="A5">
        <v>4</v>
      </c>
      <c r="B5" t="s">
        <v>23</v>
      </c>
      <c r="C5">
        <v>29.1</v>
      </c>
      <c r="D5">
        <v>20</v>
      </c>
      <c r="E5">
        <v>14</v>
      </c>
      <c r="F5">
        <v>5</v>
      </c>
      <c r="G5">
        <v>1</v>
      </c>
      <c r="H5">
        <v>29</v>
      </c>
      <c r="I5">
        <v>0.72499999999999998</v>
      </c>
      <c r="J5">
        <v>78</v>
      </c>
      <c r="K5">
        <v>50</v>
      </c>
      <c r="L5">
        <v>0</v>
      </c>
      <c r="M5">
        <v>1</v>
      </c>
      <c r="N5">
        <v>1.26</v>
      </c>
      <c r="O5">
        <v>-0.09</v>
      </c>
      <c r="P5">
        <v>3.9</v>
      </c>
      <c r="Q5">
        <v>2.5</v>
      </c>
      <c r="R5">
        <v>16</v>
      </c>
      <c r="S5">
        <v>66</v>
      </c>
      <c r="T5">
        <v>24.24</v>
      </c>
      <c r="U5">
        <v>12</v>
      </c>
      <c r="V5">
        <v>71</v>
      </c>
      <c r="W5">
        <v>83.1</v>
      </c>
      <c r="X5">
        <v>1</v>
      </c>
      <c r="Y5">
        <v>1</v>
      </c>
      <c r="Z5">
        <v>7.8</v>
      </c>
      <c r="AA5">
        <v>7.9</v>
      </c>
      <c r="AB5">
        <v>674</v>
      </c>
      <c r="AC5">
        <v>11.6</v>
      </c>
      <c r="AD5">
        <v>503</v>
      </c>
      <c r="AE5">
        <v>0.90100000000000002</v>
      </c>
      <c r="AF5">
        <v>1</v>
      </c>
    </row>
    <row r="6" spans="1:32" x14ac:dyDescent="0.35">
      <c r="A6">
        <v>5</v>
      </c>
      <c r="B6" t="s">
        <v>24</v>
      </c>
      <c r="C6">
        <v>28.7</v>
      </c>
      <c r="D6">
        <v>21</v>
      </c>
      <c r="E6">
        <v>13</v>
      </c>
      <c r="F6">
        <v>6</v>
      </c>
      <c r="G6">
        <v>2</v>
      </c>
      <c r="H6">
        <v>28</v>
      </c>
      <c r="I6">
        <v>0.66700000000000004</v>
      </c>
      <c r="J6">
        <v>81</v>
      </c>
      <c r="K6">
        <v>64</v>
      </c>
      <c r="L6">
        <v>0</v>
      </c>
      <c r="M6">
        <v>0</v>
      </c>
      <c r="N6">
        <v>0.85</v>
      </c>
      <c r="O6">
        <v>0.04</v>
      </c>
      <c r="P6">
        <v>3.86</v>
      </c>
      <c r="Q6">
        <v>3.05</v>
      </c>
      <c r="R6">
        <v>16</v>
      </c>
      <c r="S6">
        <v>54</v>
      </c>
      <c r="T6">
        <v>29.63</v>
      </c>
      <c r="U6">
        <v>11</v>
      </c>
      <c r="V6">
        <v>44</v>
      </c>
      <c r="W6">
        <v>75</v>
      </c>
      <c r="X6">
        <v>1</v>
      </c>
      <c r="Y6">
        <v>1</v>
      </c>
      <c r="Z6">
        <v>5.9</v>
      </c>
      <c r="AA6">
        <v>6.3</v>
      </c>
      <c r="AB6">
        <v>649</v>
      </c>
      <c r="AC6">
        <v>12.5</v>
      </c>
      <c r="AD6">
        <v>594</v>
      </c>
      <c r="AE6">
        <v>0.89200000000000002</v>
      </c>
      <c r="AF6">
        <v>1</v>
      </c>
    </row>
    <row r="7" spans="1:32" x14ac:dyDescent="0.35">
      <c r="A7">
        <v>6</v>
      </c>
      <c r="B7" t="s">
        <v>25</v>
      </c>
      <c r="C7">
        <v>29.2</v>
      </c>
      <c r="D7">
        <v>21</v>
      </c>
      <c r="E7">
        <v>13</v>
      </c>
      <c r="F7">
        <v>6</v>
      </c>
      <c r="G7">
        <v>2</v>
      </c>
      <c r="H7">
        <v>28</v>
      </c>
      <c r="I7">
        <v>0.66700000000000004</v>
      </c>
      <c r="J7">
        <v>64</v>
      </c>
      <c r="K7">
        <v>52</v>
      </c>
      <c r="L7">
        <v>0</v>
      </c>
      <c r="M7">
        <v>0</v>
      </c>
      <c r="N7">
        <v>0.52</v>
      </c>
      <c r="O7">
        <v>-0.05</v>
      </c>
      <c r="P7">
        <v>3.05</v>
      </c>
      <c r="Q7">
        <v>2.48</v>
      </c>
      <c r="R7">
        <v>14</v>
      </c>
      <c r="S7">
        <v>71</v>
      </c>
      <c r="T7">
        <v>19.72</v>
      </c>
      <c r="U7">
        <v>12</v>
      </c>
      <c r="V7">
        <v>73</v>
      </c>
      <c r="W7">
        <v>83.56</v>
      </c>
      <c r="X7">
        <v>1</v>
      </c>
      <c r="Y7">
        <v>0</v>
      </c>
      <c r="Z7">
        <v>9.4</v>
      </c>
      <c r="AA7">
        <v>8.6</v>
      </c>
      <c r="AB7">
        <v>634</v>
      </c>
      <c r="AC7">
        <v>10.1</v>
      </c>
      <c r="AD7">
        <v>600</v>
      </c>
      <c r="AE7">
        <v>0.91300000000000003</v>
      </c>
      <c r="AF7">
        <v>2</v>
      </c>
    </row>
    <row r="8" spans="1:32" x14ac:dyDescent="0.35">
      <c r="A8">
        <v>7</v>
      </c>
      <c r="B8" t="s">
        <v>26</v>
      </c>
      <c r="C8">
        <v>29.1</v>
      </c>
      <c r="D8">
        <v>20</v>
      </c>
      <c r="E8">
        <v>13</v>
      </c>
      <c r="F8">
        <v>6</v>
      </c>
      <c r="G8">
        <v>1</v>
      </c>
      <c r="H8">
        <v>27</v>
      </c>
      <c r="I8">
        <v>0.67500000000000004</v>
      </c>
      <c r="J8">
        <v>81</v>
      </c>
      <c r="K8">
        <v>55</v>
      </c>
      <c r="L8">
        <v>0</v>
      </c>
      <c r="M8">
        <v>0</v>
      </c>
      <c r="N8">
        <v>1.48</v>
      </c>
      <c r="O8">
        <v>0.18</v>
      </c>
      <c r="P8">
        <v>4.05</v>
      </c>
      <c r="Q8">
        <v>2.75</v>
      </c>
      <c r="R8">
        <v>10</v>
      </c>
      <c r="S8">
        <v>59</v>
      </c>
      <c r="T8">
        <v>16.95</v>
      </c>
      <c r="U8">
        <v>10</v>
      </c>
      <c r="V8">
        <v>65</v>
      </c>
      <c r="W8">
        <v>84.62</v>
      </c>
      <c r="X8">
        <v>2</v>
      </c>
      <c r="Y8">
        <v>1</v>
      </c>
      <c r="Z8">
        <v>9</v>
      </c>
      <c r="AA8">
        <v>8.4</v>
      </c>
      <c r="AB8">
        <v>573</v>
      </c>
      <c r="AC8">
        <v>14.1</v>
      </c>
      <c r="AD8">
        <v>570</v>
      </c>
      <c r="AE8">
        <v>0.90400000000000003</v>
      </c>
      <c r="AF8">
        <v>0</v>
      </c>
    </row>
    <row r="9" spans="1:32" x14ac:dyDescent="0.35">
      <c r="A9">
        <v>8</v>
      </c>
      <c r="B9" t="s">
        <v>27</v>
      </c>
      <c r="C9">
        <v>28.2</v>
      </c>
      <c r="D9">
        <v>21</v>
      </c>
      <c r="E9">
        <v>12</v>
      </c>
      <c r="F9">
        <v>6</v>
      </c>
      <c r="G9">
        <v>3</v>
      </c>
      <c r="H9">
        <v>27</v>
      </c>
      <c r="I9">
        <v>0.64300000000000002</v>
      </c>
      <c r="J9">
        <v>55</v>
      </c>
      <c r="K9">
        <v>56</v>
      </c>
      <c r="L9">
        <v>3</v>
      </c>
      <c r="M9">
        <v>1</v>
      </c>
      <c r="N9">
        <v>0.02</v>
      </c>
      <c r="O9">
        <v>-0.03</v>
      </c>
      <c r="P9">
        <v>2.62</v>
      </c>
      <c r="Q9">
        <v>2.67</v>
      </c>
      <c r="R9">
        <v>11</v>
      </c>
      <c r="S9">
        <v>60</v>
      </c>
      <c r="T9">
        <v>18.329999999999998</v>
      </c>
      <c r="U9">
        <v>15</v>
      </c>
      <c r="V9">
        <v>60</v>
      </c>
      <c r="W9">
        <v>75</v>
      </c>
      <c r="X9">
        <v>1</v>
      </c>
      <c r="Y9">
        <v>3</v>
      </c>
      <c r="Z9">
        <v>8.9</v>
      </c>
      <c r="AA9">
        <v>9.4</v>
      </c>
      <c r="AB9">
        <v>631</v>
      </c>
      <c r="AC9">
        <v>8.6999999999999993</v>
      </c>
      <c r="AD9">
        <v>632</v>
      </c>
      <c r="AE9">
        <v>0.91100000000000003</v>
      </c>
      <c r="AF9">
        <v>2</v>
      </c>
    </row>
    <row r="10" spans="1:32" x14ac:dyDescent="0.35">
      <c r="A10">
        <v>9</v>
      </c>
      <c r="B10" t="s">
        <v>28</v>
      </c>
      <c r="C10">
        <v>28.2</v>
      </c>
      <c r="D10">
        <v>19</v>
      </c>
      <c r="E10">
        <v>13</v>
      </c>
      <c r="F10">
        <v>6</v>
      </c>
      <c r="G10">
        <v>0</v>
      </c>
      <c r="H10">
        <v>26</v>
      </c>
      <c r="I10">
        <v>0.68400000000000005</v>
      </c>
      <c r="J10">
        <v>65</v>
      </c>
      <c r="K10">
        <v>44</v>
      </c>
      <c r="L10">
        <v>1</v>
      </c>
      <c r="M10">
        <v>0</v>
      </c>
      <c r="N10">
        <v>0.98</v>
      </c>
      <c r="O10">
        <v>-0.17</v>
      </c>
      <c r="P10">
        <v>3.42</v>
      </c>
      <c r="Q10">
        <v>2.3199999999999998</v>
      </c>
      <c r="R10">
        <v>10</v>
      </c>
      <c r="S10">
        <v>59</v>
      </c>
      <c r="T10">
        <v>16.95</v>
      </c>
      <c r="U10">
        <v>8</v>
      </c>
      <c r="V10">
        <v>56</v>
      </c>
      <c r="W10">
        <v>85.71</v>
      </c>
      <c r="X10">
        <v>1</v>
      </c>
      <c r="Y10">
        <v>2</v>
      </c>
      <c r="Z10">
        <v>8.1999999999999993</v>
      </c>
      <c r="AA10">
        <v>8.5</v>
      </c>
      <c r="AB10">
        <v>595</v>
      </c>
      <c r="AC10">
        <v>10.9</v>
      </c>
      <c r="AD10">
        <v>507</v>
      </c>
      <c r="AE10">
        <v>0.91300000000000003</v>
      </c>
      <c r="AF10">
        <v>2</v>
      </c>
    </row>
    <row r="11" spans="1:32" x14ac:dyDescent="0.35">
      <c r="A11">
        <v>10</v>
      </c>
      <c r="B11" t="s">
        <v>29</v>
      </c>
      <c r="C11">
        <v>29.1</v>
      </c>
      <c r="D11">
        <v>21</v>
      </c>
      <c r="E11">
        <v>12</v>
      </c>
      <c r="F11">
        <v>8</v>
      </c>
      <c r="G11">
        <v>1</v>
      </c>
      <c r="H11">
        <v>25</v>
      </c>
      <c r="I11">
        <v>0.59499999999999997</v>
      </c>
      <c r="J11">
        <v>73</v>
      </c>
      <c r="K11">
        <v>72</v>
      </c>
      <c r="L11">
        <v>1</v>
      </c>
      <c r="M11">
        <v>0</v>
      </c>
      <c r="N11">
        <v>0.33</v>
      </c>
      <c r="O11">
        <v>0.23</v>
      </c>
      <c r="P11">
        <v>3.48</v>
      </c>
      <c r="Q11">
        <v>3.43</v>
      </c>
      <c r="R11">
        <v>15</v>
      </c>
      <c r="S11">
        <v>65</v>
      </c>
      <c r="T11">
        <v>23.08</v>
      </c>
      <c r="U11">
        <v>11</v>
      </c>
      <c r="V11">
        <v>59</v>
      </c>
      <c r="W11">
        <v>81.36</v>
      </c>
      <c r="X11">
        <v>5</v>
      </c>
      <c r="Y11">
        <v>5</v>
      </c>
      <c r="Z11">
        <v>10.199999999999999</v>
      </c>
      <c r="AA11">
        <v>11.3</v>
      </c>
      <c r="AB11">
        <v>629</v>
      </c>
      <c r="AC11">
        <v>11.6</v>
      </c>
      <c r="AD11">
        <v>581</v>
      </c>
      <c r="AE11">
        <v>0.876</v>
      </c>
      <c r="AF11">
        <v>1</v>
      </c>
    </row>
    <row r="12" spans="1:32" x14ac:dyDescent="0.35">
      <c r="A12">
        <v>11</v>
      </c>
      <c r="B12" t="s">
        <v>30</v>
      </c>
      <c r="C12">
        <v>28.8</v>
      </c>
      <c r="D12">
        <v>21</v>
      </c>
      <c r="E12">
        <v>11</v>
      </c>
      <c r="F12">
        <v>7</v>
      </c>
      <c r="G12">
        <v>3</v>
      </c>
      <c r="H12">
        <v>25</v>
      </c>
      <c r="I12">
        <v>0.59499999999999997</v>
      </c>
      <c r="J12">
        <v>63</v>
      </c>
      <c r="K12">
        <v>56</v>
      </c>
      <c r="L12">
        <v>0</v>
      </c>
      <c r="M12">
        <v>1</v>
      </c>
      <c r="N12">
        <v>0.06</v>
      </c>
      <c r="O12">
        <v>-0.22</v>
      </c>
      <c r="P12">
        <v>3</v>
      </c>
      <c r="Q12">
        <v>2.67</v>
      </c>
      <c r="R12">
        <v>10</v>
      </c>
      <c r="S12">
        <v>64</v>
      </c>
      <c r="T12">
        <v>15.63</v>
      </c>
      <c r="U12">
        <v>14</v>
      </c>
      <c r="V12">
        <v>72</v>
      </c>
      <c r="W12">
        <v>80.56</v>
      </c>
      <c r="X12">
        <v>2</v>
      </c>
      <c r="Y12">
        <v>1</v>
      </c>
      <c r="Z12">
        <v>10.4</v>
      </c>
      <c r="AA12">
        <v>10</v>
      </c>
      <c r="AB12">
        <v>603</v>
      </c>
      <c r="AC12">
        <v>10.4</v>
      </c>
      <c r="AD12">
        <v>517</v>
      </c>
      <c r="AE12">
        <v>0.89200000000000002</v>
      </c>
      <c r="AF12">
        <v>1</v>
      </c>
    </row>
    <row r="13" spans="1:32" x14ac:dyDescent="0.35">
      <c r="A13">
        <v>12</v>
      </c>
      <c r="B13" t="s">
        <v>31</v>
      </c>
      <c r="C13">
        <v>28.7</v>
      </c>
      <c r="D13">
        <v>19</v>
      </c>
      <c r="E13">
        <v>12</v>
      </c>
      <c r="F13">
        <v>6</v>
      </c>
      <c r="G13">
        <v>1</v>
      </c>
      <c r="H13">
        <v>25</v>
      </c>
      <c r="I13">
        <v>0.65800000000000003</v>
      </c>
      <c r="J13">
        <v>65</v>
      </c>
      <c r="K13">
        <v>50</v>
      </c>
      <c r="L13">
        <v>0</v>
      </c>
      <c r="M13">
        <v>0</v>
      </c>
      <c r="N13">
        <v>0.56999999999999995</v>
      </c>
      <c r="O13">
        <v>-0.22</v>
      </c>
      <c r="P13">
        <v>3.42</v>
      </c>
      <c r="Q13">
        <v>2.63</v>
      </c>
      <c r="R13">
        <v>11</v>
      </c>
      <c r="S13">
        <v>49</v>
      </c>
      <c r="T13">
        <v>22.45</v>
      </c>
      <c r="U13">
        <v>7</v>
      </c>
      <c r="V13">
        <v>62</v>
      </c>
      <c r="W13">
        <v>88.71</v>
      </c>
      <c r="X13">
        <v>2</v>
      </c>
      <c r="Y13">
        <v>1</v>
      </c>
      <c r="Z13">
        <v>8.8000000000000007</v>
      </c>
      <c r="AA13">
        <v>8.1</v>
      </c>
      <c r="AB13">
        <v>584</v>
      </c>
      <c r="AC13">
        <v>11.1</v>
      </c>
      <c r="AD13">
        <v>620</v>
      </c>
      <c r="AE13">
        <v>0.91900000000000004</v>
      </c>
      <c r="AF13">
        <v>3</v>
      </c>
    </row>
    <row r="14" spans="1:32" x14ac:dyDescent="0.35">
      <c r="A14">
        <v>13</v>
      </c>
      <c r="B14" t="s">
        <v>32</v>
      </c>
      <c r="C14">
        <v>27.8</v>
      </c>
      <c r="D14">
        <v>21</v>
      </c>
      <c r="E14">
        <v>12</v>
      </c>
      <c r="F14">
        <v>9</v>
      </c>
      <c r="G14">
        <v>0</v>
      </c>
      <c r="H14">
        <v>24</v>
      </c>
      <c r="I14">
        <v>0.57099999999999995</v>
      </c>
      <c r="J14">
        <v>73</v>
      </c>
      <c r="K14">
        <v>75</v>
      </c>
      <c r="L14">
        <v>0</v>
      </c>
      <c r="M14">
        <v>0</v>
      </c>
      <c r="N14">
        <v>-0.01</v>
      </c>
      <c r="O14">
        <v>0.09</v>
      </c>
      <c r="P14">
        <v>3.48</v>
      </c>
      <c r="Q14">
        <v>3.57</v>
      </c>
      <c r="R14">
        <v>20</v>
      </c>
      <c r="S14">
        <v>66</v>
      </c>
      <c r="T14">
        <v>30.3</v>
      </c>
      <c r="U14">
        <v>14</v>
      </c>
      <c r="V14">
        <v>55</v>
      </c>
      <c r="W14">
        <v>74.55</v>
      </c>
      <c r="X14">
        <v>1</v>
      </c>
      <c r="Y14">
        <v>1</v>
      </c>
      <c r="Z14">
        <v>7.8</v>
      </c>
      <c r="AA14">
        <v>8.1999999999999993</v>
      </c>
      <c r="AB14">
        <v>624</v>
      </c>
      <c r="AC14">
        <v>11.7</v>
      </c>
      <c r="AD14">
        <v>538</v>
      </c>
      <c r="AE14">
        <v>0.86099999999999999</v>
      </c>
      <c r="AF14">
        <v>0</v>
      </c>
    </row>
    <row r="15" spans="1:32" x14ac:dyDescent="0.35">
      <c r="A15">
        <v>14</v>
      </c>
      <c r="B15" t="s">
        <v>33</v>
      </c>
      <c r="C15">
        <v>30.3</v>
      </c>
      <c r="D15">
        <v>22</v>
      </c>
      <c r="E15">
        <v>11</v>
      </c>
      <c r="F15">
        <v>9</v>
      </c>
      <c r="G15">
        <v>2</v>
      </c>
      <c r="H15">
        <v>24</v>
      </c>
      <c r="I15">
        <v>0.54500000000000004</v>
      </c>
      <c r="J15">
        <v>64</v>
      </c>
      <c r="K15">
        <v>69</v>
      </c>
      <c r="L15">
        <v>0</v>
      </c>
      <c r="M15">
        <v>0</v>
      </c>
      <c r="N15">
        <v>-0.21</v>
      </c>
      <c r="O15">
        <v>0.02</v>
      </c>
      <c r="P15">
        <v>2.91</v>
      </c>
      <c r="Q15">
        <v>3.14</v>
      </c>
      <c r="R15">
        <v>9</v>
      </c>
      <c r="S15">
        <v>57</v>
      </c>
      <c r="T15">
        <v>15.79</v>
      </c>
      <c r="U15">
        <v>16</v>
      </c>
      <c r="V15">
        <v>55</v>
      </c>
      <c r="W15">
        <v>70.91</v>
      </c>
      <c r="X15">
        <v>1</v>
      </c>
      <c r="Y15">
        <v>0</v>
      </c>
      <c r="Z15">
        <v>7.5</v>
      </c>
      <c r="AA15">
        <v>8.3000000000000007</v>
      </c>
      <c r="AB15">
        <v>732</v>
      </c>
      <c r="AC15">
        <v>8.6999999999999993</v>
      </c>
      <c r="AD15">
        <v>570</v>
      </c>
      <c r="AE15">
        <v>0.879</v>
      </c>
      <c r="AF15">
        <v>1</v>
      </c>
    </row>
    <row r="16" spans="1:32" x14ac:dyDescent="0.35">
      <c r="A16">
        <v>15</v>
      </c>
      <c r="B16" t="s">
        <v>34</v>
      </c>
      <c r="C16">
        <v>28.2</v>
      </c>
      <c r="D16">
        <v>22</v>
      </c>
      <c r="E16">
        <v>10</v>
      </c>
      <c r="F16">
        <v>9</v>
      </c>
      <c r="G16">
        <v>3</v>
      </c>
      <c r="H16">
        <v>23</v>
      </c>
      <c r="I16">
        <v>0.52300000000000002</v>
      </c>
      <c r="J16">
        <v>51</v>
      </c>
      <c r="K16">
        <v>70</v>
      </c>
      <c r="L16">
        <v>0</v>
      </c>
      <c r="M16">
        <v>0</v>
      </c>
      <c r="N16">
        <v>-0.92</v>
      </c>
      <c r="O16">
        <v>-0.05</v>
      </c>
      <c r="P16">
        <v>2.3199999999999998</v>
      </c>
      <c r="Q16">
        <v>3.18</v>
      </c>
      <c r="R16">
        <v>11</v>
      </c>
      <c r="S16">
        <v>86</v>
      </c>
      <c r="T16">
        <v>12.79</v>
      </c>
      <c r="U16">
        <v>19</v>
      </c>
      <c r="V16">
        <v>86</v>
      </c>
      <c r="W16">
        <v>77.91</v>
      </c>
      <c r="X16">
        <v>1</v>
      </c>
      <c r="Y16">
        <v>4</v>
      </c>
      <c r="Z16">
        <v>11.8</v>
      </c>
      <c r="AA16">
        <v>11.3</v>
      </c>
      <c r="AB16">
        <v>601</v>
      </c>
      <c r="AC16">
        <v>8.5</v>
      </c>
      <c r="AD16">
        <v>631</v>
      </c>
      <c r="AE16">
        <v>0.88900000000000001</v>
      </c>
      <c r="AF16">
        <v>3</v>
      </c>
    </row>
    <row r="17" spans="1:32" x14ac:dyDescent="0.35">
      <c r="A17">
        <v>16</v>
      </c>
      <c r="B17" t="s">
        <v>35</v>
      </c>
      <c r="C17">
        <v>28.1</v>
      </c>
      <c r="D17">
        <v>19</v>
      </c>
      <c r="E17">
        <v>10</v>
      </c>
      <c r="F17">
        <v>6</v>
      </c>
      <c r="G17">
        <v>3</v>
      </c>
      <c r="H17">
        <v>23</v>
      </c>
      <c r="I17">
        <v>0.60499999999999998</v>
      </c>
      <c r="J17">
        <v>61</v>
      </c>
      <c r="K17">
        <v>61</v>
      </c>
      <c r="L17">
        <v>0</v>
      </c>
      <c r="M17">
        <v>1</v>
      </c>
      <c r="N17">
        <v>-0.2</v>
      </c>
      <c r="O17">
        <v>-0.15</v>
      </c>
      <c r="P17">
        <v>3.21</v>
      </c>
      <c r="Q17">
        <v>3.21</v>
      </c>
      <c r="R17">
        <v>12</v>
      </c>
      <c r="S17">
        <v>59</v>
      </c>
      <c r="T17">
        <v>20.34</v>
      </c>
      <c r="U17">
        <v>12</v>
      </c>
      <c r="V17">
        <v>56</v>
      </c>
      <c r="W17">
        <v>78.569999999999993</v>
      </c>
      <c r="X17">
        <v>0</v>
      </c>
      <c r="Y17">
        <v>2</v>
      </c>
      <c r="Z17">
        <v>9.3000000000000007</v>
      </c>
      <c r="AA17">
        <v>9.9</v>
      </c>
      <c r="AB17">
        <v>524</v>
      </c>
      <c r="AC17">
        <v>11.6</v>
      </c>
      <c r="AD17">
        <v>528</v>
      </c>
      <c r="AE17">
        <v>0.88400000000000001</v>
      </c>
      <c r="AF17">
        <v>1</v>
      </c>
    </row>
    <row r="18" spans="1:32" x14ac:dyDescent="0.35">
      <c r="A18">
        <v>17</v>
      </c>
      <c r="B18" t="s">
        <v>36</v>
      </c>
      <c r="C18">
        <v>25.4</v>
      </c>
      <c r="D18">
        <v>21</v>
      </c>
      <c r="E18">
        <v>11</v>
      </c>
      <c r="F18">
        <v>9</v>
      </c>
      <c r="G18">
        <v>1</v>
      </c>
      <c r="H18">
        <v>23</v>
      </c>
      <c r="I18">
        <v>0.54800000000000004</v>
      </c>
      <c r="J18">
        <v>68</v>
      </c>
      <c r="K18">
        <v>65</v>
      </c>
      <c r="L18">
        <v>1</v>
      </c>
      <c r="M18">
        <v>0</v>
      </c>
      <c r="N18">
        <v>0</v>
      </c>
      <c r="O18">
        <v>-0.19</v>
      </c>
      <c r="P18">
        <v>3.24</v>
      </c>
      <c r="Q18">
        <v>3.1</v>
      </c>
      <c r="R18">
        <v>11</v>
      </c>
      <c r="S18">
        <v>63</v>
      </c>
      <c r="T18">
        <v>17.46</v>
      </c>
      <c r="U18">
        <v>14</v>
      </c>
      <c r="V18">
        <v>73</v>
      </c>
      <c r="W18">
        <v>80.819999999999993</v>
      </c>
      <c r="X18">
        <v>3</v>
      </c>
      <c r="Y18">
        <v>2</v>
      </c>
      <c r="Z18">
        <v>10.9</v>
      </c>
      <c r="AA18">
        <v>9</v>
      </c>
      <c r="AB18">
        <v>580</v>
      </c>
      <c r="AC18">
        <v>11.7</v>
      </c>
      <c r="AD18">
        <v>610</v>
      </c>
      <c r="AE18">
        <v>0.89300000000000002</v>
      </c>
      <c r="AF18">
        <v>1</v>
      </c>
    </row>
    <row r="19" spans="1:32" x14ac:dyDescent="0.35">
      <c r="A19">
        <v>18</v>
      </c>
      <c r="B19" t="s">
        <v>37</v>
      </c>
      <c r="C19">
        <v>29.2</v>
      </c>
      <c r="D19">
        <v>19</v>
      </c>
      <c r="E19">
        <v>10</v>
      </c>
      <c r="F19">
        <v>7</v>
      </c>
      <c r="G19">
        <v>2</v>
      </c>
      <c r="H19">
        <v>22</v>
      </c>
      <c r="I19">
        <v>0.57899999999999996</v>
      </c>
      <c r="J19">
        <v>68</v>
      </c>
      <c r="K19">
        <v>58</v>
      </c>
      <c r="L19">
        <v>0</v>
      </c>
      <c r="M19">
        <v>1</v>
      </c>
      <c r="N19">
        <v>0.91</v>
      </c>
      <c r="O19">
        <v>0.44</v>
      </c>
      <c r="P19">
        <v>3.58</v>
      </c>
      <c r="Q19">
        <v>3.05</v>
      </c>
      <c r="R19">
        <v>12</v>
      </c>
      <c r="S19">
        <v>59</v>
      </c>
      <c r="T19">
        <v>20.34</v>
      </c>
      <c r="U19">
        <v>14</v>
      </c>
      <c r="V19">
        <v>59</v>
      </c>
      <c r="W19">
        <v>76.27</v>
      </c>
      <c r="X19">
        <v>2</v>
      </c>
      <c r="Y19">
        <v>2</v>
      </c>
      <c r="Z19">
        <v>9.3000000000000007</v>
      </c>
      <c r="AA19">
        <v>9.5</v>
      </c>
      <c r="AB19">
        <v>525</v>
      </c>
      <c r="AC19">
        <v>13</v>
      </c>
      <c r="AD19">
        <v>540</v>
      </c>
      <c r="AE19">
        <v>0.89300000000000002</v>
      </c>
      <c r="AF19">
        <v>2</v>
      </c>
    </row>
    <row r="20" spans="1:32" x14ac:dyDescent="0.35">
      <c r="A20">
        <v>19</v>
      </c>
      <c r="B20" t="s">
        <v>38</v>
      </c>
      <c r="C20">
        <v>29.7</v>
      </c>
      <c r="D20">
        <v>21</v>
      </c>
      <c r="E20">
        <v>8</v>
      </c>
      <c r="F20">
        <v>8</v>
      </c>
      <c r="G20">
        <v>5</v>
      </c>
      <c r="H20">
        <v>21</v>
      </c>
      <c r="I20">
        <v>0.5</v>
      </c>
      <c r="J20">
        <v>52</v>
      </c>
      <c r="K20">
        <v>59</v>
      </c>
      <c r="L20">
        <v>2</v>
      </c>
      <c r="M20">
        <v>1</v>
      </c>
      <c r="N20">
        <v>-0.44</v>
      </c>
      <c r="O20">
        <v>-0.15</v>
      </c>
      <c r="P20">
        <v>2.48</v>
      </c>
      <c r="Q20">
        <v>2.81</v>
      </c>
      <c r="R20">
        <v>8</v>
      </c>
      <c r="S20">
        <v>60</v>
      </c>
      <c r="T20">
        <v>13.33</v>
      </c>
      <c r="U20">
        <v>14</v>
      </c>
      <c r="V20">
        <v>44</v>
      </c>
      <c r="W20">
        <v>68.180000000000007</v>
      </c>
      <c r="X20">
        <v>3</v>
      </c>
      <c r="Y20">
        <v>2</v>
      </c>
      <c r="Z20">
        <v>5.3</v>
      </c>
      <c r="AA20">
        <v>6.8</v>
      </c>
      <c r="AB20">
        <v>630</v>
      </c>
      <c r="AC20">
        <v>8.3000000000000007</v>
      </c>
      <c r="AD20">
        <v>620</v>
      </c>
      <c r="AE20">
        <v>0.90500000000000003</v>
      </c>
      <c r="AF20">
        <v>0</v>
      </c>
    </row>
    <row r="21" spans="1:32" x14ac:dyDescent="0.35">
      <c r="A21">
        <v>20</v>
      </c>
      <c r="B21" t="s">
        <v>39</v>
      </c>
      <c r="C21">
        <v>29</v>
      </c>
      <c r="D21">
        <v>21</v>
      </c>
      <c r="E21">
        <v>10</v>
      </c>
      <c r="F21">
        <v>10</v>
      </c>
      <c r="G21">
        <v>1</v>
      </c>
      <c r="H21">
        <v>21</v>
      </c>
      <c r="I21">
        <v>0.5</v>
      </c>
      <c r="J21">
        <v>58</v>
      </c>
      <c r="K21">
        <v>57</v>
      </c>
      <c r="L21">
        <v>1</v>
      </c>
      <c r="M21">
        <v>0</v>
      </c>
      <c r="N21">
        <v>0.13</v>
      </c>
      <c r="O21">
        <v>0.04</v>
      </c>
      <c r="P21">
        <v>2.76</v>
      </c>
      <c r="Q21">
        <v>2.71</v>
      </c>
      <c r="R21">
        <v>10</v>
      </c>
      <c r="S21">
        <v>64</v>
      </c>
      <c r="T21">
        <v>15.63</v>
      </c>
      <c r="U21">
        <v>12</v>
      </c>
      <c r="V21">
        <v>56</v>
      </c>
      <c r="W21">
        <v>78.569999999999993</v>
      </c>
      <c r="X21">
        <v>0</v>
      </c>
      <c r="Y21">
        <v>1</v>
      </c>
      <c r="Z21">
        <v>7.4</v>
      </c>
      <c r="AA21">
        <v>8.1</v>
      </c>
      <c r="AB21">
        <v>568</v>
      </c>
      <c r="AC21">
        <v>10.199999999999999</v>
      </c>
      <c r="AD21">
        <v>592</v>
      </c>
      <c r="AE21">
        <v>0.90400000000000003</v>
      </c>
      <c r="AF21">
        <v>1</v>
      </c>
    </row>
    <row r="22" spans="1:32" x14ac:dyDescent="0.35">
      <c r="A22">
        <v>21</v>
      </c>
      <c r="B22" t="s">
        <v>40</v>
      </c>
      <c r="C22">
        <v>26.8</v>
      </c>
      <c r="D22">
        <v>21</v>
      </c>
      <c r="E22">
        <v>9</v>
      </c>
      <c r="F22">
        <v>10</v>
      </c>
      <c r="G22">
        <v>2</v>
      </c>
      <c r="H22">
        <v>20</v>
      </c>
      <c r="I22">
        <v>0.47599999999999998</v>
      </c>
      <c r="J22">
        <v>57</v>
      </c>
      <c r="K22">
        <v>72</v>
      </c>
      <c r="L22">
        <v>3</v>
      </c>
      <c r="M22">
        <v>1</v>
      </c>
      <c r="N22">
        <v>-0.55000000000000004</v>
      </c>
      <c r="O22">
        <v>7.0000000000000007E-2</v>
      </c>
      <c r="P22">
        <v>2.71</v>
      </c>
      <c r="Q22">
        <v>3.43</v>
      </c>
      <c r="R22">
        <v>12</v>
      </c>
      <c r="S22">
        <v>68</v>
      </c>
      <c r="T22">
        <v>17.649999999999999</v>
      </c>
      <c r="U22">
        <v>9</v>
      </c>
      <c r="V22">
        <v>68</v>
      </c>
      <c r="W22">
        <v>86.76</v>
      </c>
      <c r="X22">
        <v>1</v>
      </c>
      <c r="Y22">
        <v>2</v>
      </c>
      <c r="Z22">
        <v>10.1</v>
      </c>
      <c r="AA22">
        <v>9.6999999999999993</v>
      </c>
      <c r="AB22">
        <v>568</v>
      </c>
      <c r="AC22">
        <v>10</v>
      </c>
      <c r="AD22">
        <v>600</v>
      </c>
      <c r="AE22">
        <v>0.88</v>
      </c>
      <c r="AF22">
        <v>1</v>
      </c>
    </row>
    <row r="23" spans="1:32" x14ac:dyDescent="0.35">
      <c r="A23">
        <v>22</v>
      </c>
      <c r="B23" t="s">
        <v>41</v>
      </c>
      <c r="C23">
        <v>27.5</v>
      </c>
      <c r="D23">
        <v>20</v>
      </c>
      <c r="E23">
        <v>9</v>
      </c>
      <c r="F23">
        <v>9</v>
      </c>
      <c r="G23">
        <v>2</v>
      </c>
      <c r="H23">
        <v>20</v>
      </c>
      <c r="I23">
        <v>0.5</v>
      </c>
      <c r="J23">
        <v>69</v>
      </c>
      <c r="K23">
        <v>72</v>
      </c>
      <c r="L23">
        <v>1</v>
      </c>
      <c r="M23">
        <v>0</v>
      </c>
      <c r="N23">
        <v>-0.02</v>
      </c>
      <c r="O23">
        <v>0.08</v>
      </c>
      <c r="P23">
        <v>3.45</v>
      </c>
      <c r="Q23">
        <v>3.6</v>
      </c>
      <c r="R23">
        <v>10</v>
      </c>
      <c r="S23">
        <v>55</v>
      </c>
      <c r="T23">
        <v>18.18</v>
      </c>
      <c r="U23">
        <v>14</v>
      </c>
      <c r="V23">
        <v>63</v>
      </c>
      <c r="W23">
        <v>77.78</v>
      </c>
      <c r="X23">
        <v>4</v>
      </c>
      <c r="Y23">
        <v>1</v>
      </c>
      <c r="Z23">
        <v>7.7</v>
      </c>
      <c r="AA23">
        <v>7.4</v>
      </c>
      <c r="AB23">
        <v>642</v>
      </c>
      <c r="AC23">
        <v>10.7</v>
      </c>
      <c r="AD23">
        <v>582</v>
      </c>
      <c r="AE23">
        <v>0.876</v>
      </c>
      <c r="AF23">
        <v>1</v>
      </c>
    </row>
    <row r="24" spans="1:32" x14ac:dyDescent="0.35">
      <c r="A24">
        <v>23</v>
      </c>
      <c r="B24" t="s">
        <v>42</v>
      </c>
      <c r="C24">
        <v>29.2</v>
      </c>
      <c r="D24">
        <v>22</v>
      </c>
      <c r="E24">
        <v>9</v>
      </c>
      <c r="F24">
        <v>12</v>
      </c>
      <c r="G24">
        <v>1</v>
      </c>
      <c r="H24">
        <v>19</v>
      </c>
      <c r="I24">
        <v>0.432</v>
      </c>
      <c r="J24">
        <v>52</v>
      </c>
      <c r="K24">
        <v>74</v>
      </c>
      <c r="L24">
        <v>1</v>
      </c>
      <c r="M24">
        <v>0</v>
      </c>
      <c r="N24">
        <v>-0.82</v>
      </c>
      <c r="O24">
        <v>0.14000000000000001</v>
      </c>
      <c r="P24">
        <v>2.36</v>
      </c>
      <c r="Q24">
        <v>3.36</v>
      </c>
      <c r="R24">
        <v>8</v>
      </c>
      <c r="S24">
        <v>48</v>
      </c>
      <c r="T24">
        <v>16.670000000000002</v>
      </c>
      <c r="U24">
        <v>14</v>
      </c>
      <c r="V24">
        <v>58</v>
      </c>
      <c r="W24">
        <v>75.86</v>
      </c>
      <c r="X24">
        <v>0</v>
      </c>
      <c r="Y24">
        <v>2</v>
      </c>
      <c r="Z24">
        <v>7.8</v>
      </c>
      <c r="AA24">
        <v>7</v>
      </c>
      <c r="AB24">
        <v>576</v>
      </c>
      <c r="AC24">
        <v>9</v>
      </c>
      <c r="AD24">
        <v>643</v>
      </c>
      <c r="AE24">
        <v>0.88500000000000001</v>
      </c>
      <c r="AF24">
        <v>1</v>
      </c>
    </row>
    <row r="25" spans="1:32" x14ac:dyDescent="0.35">
      <c r="A25">
        <v>24</v>
      </c>
      <c r="B25" t="s">
        <v>43</v>
      </c>
      <c r="C25">
        <v>26.9</v>
      </c>
      <c r="D25">
        <v>21</v>
      </c>
      <c r="E25">
        <v>8</v>
      </c>
      <c r="F25">
        <v>10</v>
      </c>
      <c r="G25">
        <v>3</v>
      </c>
      <c r="H25">
        <v>19</v>
      </c>
      <c r="I25">
        <v>0.45200000000000001</v>
      </c>
      <c r="J25">
        <v>57</v>
      </c>
      <c r="K25">
        <v>67</v>
      </c>
      <c r="L25">
        <v>0</v>
      </c>
      <c r="M25">
        <v>0</v>
      </c>
      <c r="N25">
        <v>-0.45</v>
      </c>
      <c r="O25">
        <v>0.03</v>
      </c>
      <c r="P25">
        <v>2.71</v>
      </c>
      <c r="Q25">
        <v>3.19</v>
      </c>
      <c r="R25">
        <v>11</v>
      </c>
      <c r="S25">
        <v>61</v>
      </c>
      <c r="T25">
        <v>18.03</v>
      </c>
      <c r="U25">
        <v>19</v>
      </c>
      <c r="V25">
        <v>81</v>
      </c>
      <c r="W25">
        <v>76.540000000000006</v>
      </c>
      <c r="X25">
        <v>0</v>
      </c>
      <c r="Y25">
        <v>1</v>
      </c>
      <c r="Z25">
        <v>12.7</v>
      </c>
      <c r="AA25">
        <v>11.1</v>
      </c>
      <c r="AB25">
        <v>549</v>
      </c>
      <c r="AC25">
        <v>10.4</v>
      </c>
      <c r="AD25">
        <v>619</v>
      </c>
      <c r="AE25">
        <v>0.89200000000000002</v>
      </c>
      <c r="AF25">
        <v>0</v>
      </c>
    </row>
    <row r="26" spans="1:32" x14ac:dyDescent="0.35">
      <c r="A26">
        <v>25</v>
      </c>
      <c r="B26" t="s">
        <v>44</v>
      </c>
      <c r="C26">
        <v>27.1</v>
      </c>
      <c r="D26">
        <v>19</v>
      </c>
      <c r="E26">
        <v>8</v>
      </c>
      <c r="F26">
        <v>8</v>
      </c>
      <c r="G26">
        <v>3</v>
      </c>
      <c r="H26">
        <v>19</v>
      </c>
      <c r="I26">
        <v>0.5</v>
      </c>
      <c r="J26">
        <v>48</v>
      </c>
      <c r="K26">
        <v>57</v>
      </c>
      <c r="L26">
        <v>0</v>
      </c>
      <c r="M26">
        <v>0</v>
      </c>
      <c r="N26">
        <v>-0.57999999999999996</v>
      </c>
      <c r="O26">
        <v>-0.1</v>
      </c>
      <c r="P26">
        <v>2.5299999999999998</v>
      </c>
      <c r="Q26">
        <v>3</v>
      </c>
      <c r="R26">
        <v>9</v>
      </c>
      <c r="S26">
        <v>61</v>
      </c>
      <c r="T26">
        <v>14.75</v>
      </c>
      <c r="U26">
        <v>15</v>
      </c>
      <c r="V26">
        <v>50</v>
      </c>
      <c r="W26">
        <v>70</v>
      </c>
      <c r="X26">
        <v>0</v>
      </c>
      <c r="Y26">
        <v>0</v>
      </c>
      <c r="Z26">
        <v>7.1</v>
      </c>
      <c r="AA26">
        <v>8.6999999999999993</v>
      </c>
      <c r="AB26">
        <v>519</v>
      </c>
      <c r="AC26">
        <v>9.1999999999999993</v>
      </c>
      <c r="AD26">
        <v>646</v>
      </c>
      <c r="AE26">
        <v>0.91200000000000003</v>
      </c>
      <c r="AF26">
        <v>1</v>
      </c>
    </row>
    <row r="27" spans="1:32" x14ac:dyDescent="0.35">
      <c r="A27">
        <v>26</v>
      </c>
      <c r="B27" t="s">
        <v>45</v>
      </c>
      <c r="C27">
        <v>30.7</v>
      </c>
      <c r="D27">
        <v>23</v>
      </c>
      <c r="E27">
        <v>7</v>
      </c>
      <c r="F27">
        <v>12</v>
      </c>
      <c r="G27">
        <v>4</v>
      </c>
      <c r="H27">
        <v>18</v>
      </c>
      <c r="I27">
        <v>0.39100000000000001</v>
      </c>
      <c r="J27">
        <v>58</v>
      </c>
      <c r="K27">
        <v>91</v>
      </c>
      <c r="L27">
        <v>1</v>
      </c>
      <c r="M27">
        <v>2</v>
      </c>
      <c r="N27">
        <v>-1.31</v>
      </c>
      <c r="O27">
        <v>0.17</v>
      </c>
      <c r="P27">
        <v>2.52</v>
      </c>
      <c r="Q27">
        <v>3.96</v>
      </c>
      <c r="R27">
        <v>13</v>
      </c>
      <c r="S27">
        <v>63</v>
      </c>
      <c r="T27">
        <v>20.63</v>
      </c>
      <c r="U27">
        <v>15</v>
      </c>
      <c r="V27">
        <v>70</v>
      </c>
      <c r="W27">
        <v>78.569999999999993</v>
      </c>
      <c r="X27">
        <v>1</v>
      </c>
      <c r="Y27">
        <v>1</v>
      </c>
      <c r="Z27">
        <v>7.5</v>
      </c>
      <c r="AA27">
        <v>7</v>
      </c>
      <c r="AB27">
        <v>691</v>
      </c>
      <c r="AC27">
        <v>8.4</v>
      </c>
      <c r="AD27">
        <v>751</v>
      </c>
      <c r="AE27">
        <v>0.879</v>
      </c>
      <c r="AF27">
        <v>0</v>
      </c>
    </row>
    <row r="28" spans="1:32" x14ac:dyDescent="0.35">
      <c r="A28">
        <v>27</v>
      </c>
      <c r="B28" t="s">
        <v>46</v>
      </c>
      <c r="C28">
        <v>29.4</v>
      </c>
      <c r="D28">
        <v>20</v>
      </c>
      <c r="E28">
        <v>8</v>
      </c>
      <c r="F28">
        <v>10</v>
      </c>
      <c r="G28">
        <v>2</v>
      </c>
      <c r="H28">
        <v>18</v>
      </c>
      <c r="I28">
        <v>0.45</v>
      </c>
      <c r="J28">
        <v>49</v>
      </c>
      <c r="K28">
        <v>63</v>
      </c>
      <c r="L28">
        <v>0</v>
      </c>
      <c r="M28">
        <v>0</v>
      </c>
      <c r="N28">
        <v>-0.88</v>
      </c>
      <c r="O28">
        <v>-0.18</v>
      </c>
      <c r="P28">
        <v>2.4500000000000002</v>
      </c>
      <c r="Q28">
        <v>3.15</v>
      </c>
      <c r="R28">
        <v>16</v>
      </c>
      <c r="S28">
        <v>57</v>
      </c>
      <c r="T28">
        <v>28.07</v>
      </c>
      <c r="U28">
        <v>18</v>
      </c>
      <c r="V28">
        <v>54</v>
      </c>
      <c r="W28">
        <v>66.67</v>
      </c>
      <c r="X28">
        <v>1</v>
      </c>
      <c r="Y28">
        <v>1</v>
      </c>
      <c r="Z28">
        <v>6.6</v>
      </c>
      <c r="AA28">
        <v>6.9</v>
      </c>
      <c r="AB28">
        <v>496</v>
      </c>
      <c r="AC28">
        <v>9.9</v>
      </c>
      <c r="AD28">
        <v>637</v>
      </c>
      <c r="AE28">
        <v>0.90100000000000002</v>
      </c>
      <c r="AF28">
        <v>2</v>
      </c>
    </row>
    <row r="29" spans="1:32" x14ac:dyDescent="0.35">
      <c r="A29">
        <v>28</v>
      </c>
      <c r="B29" t="s">
        <v>47</v>
      </c>
      <c r="C29">
        <v>30.4</v>
      </c>
      <c r="D29">
        <v>21</v>
      </c>
      <c r="E29">
        <v>7</v>
      </c>
      <c r="F29">
        <v>11</v>
      </c>
      <c r="G29">
        <v>3</v>
      </c>
      <c r="H29">
        <v>17</v>
      </c>
      <c r="I29">
        <v>0.40500000000000003</v>
      </c>
      <c r="J29">
        <v>50</v>
      </c>
      <c r="K29">
        <v>65</v>
      </c>
      <c r="L29">
        <v>0</v>
      </c>
      <c r="M29">
        <v>0</v>
      </c>
      <c r="N29">
        <v>-0.67</v>
      </c>
      <c r="O29">
        <v>0.04</v>
      </c>
      <c r="P29">
        <v>2.38</v>
      </c>
      <c r="Q29">
        <v>3.1</v>
      </c>
      <c r="R29">
        <v>15</v>
      </c>
      <c r="S29">
        <v>66</v>
      </c>
      <c r="T29">
        <v>22.73</v>
      </c>
      <c r="U29">
        <v>6</v>
      </c>
      <c r="V29">
        <v>72</v>
      </c>
      <c r="W29">
        <v>91.67</v>
      </c>
      <c r="X29">
        <v>1</v>
      </c>
      <c r="Y29">
        <v>0</v>
      </c>
      <c r="Z29">
        <v>10</v>
      </c>
      <c r="AA29">
        <v>9.5</v>
      </c>
      <c r="AB29">
        <v>629</v>
      </c>
      <c r="AC29">
        <v>7.9</v>
      </c>
      <c r="AD29">
        <v>625</v>
      </c>
      <c r="AE29">
        <v>0.89600000000000002</v>
      </c>
      <c r="AF29">
        <v>2</v>
      </c>
    </row>
    <row r="30" spans="1:32" x14ac:dyDescent="0.35">
      <c r="A30">
        <v>29</v>
      </c>
      <c r="B30" t="s">
        <v>48</v>
      </c>
      <c r="C30">
        <v>28.2</v>
      </c>
      <c r="D30">
        <v>20</v>
      </c>
      <c r="E30">
        <v>8</v>
      </c>
      <c r="F30">
        <v>11</v>
      </c>
      <c r="G30">
        <v>1</v>
      </c>
      <c r="H30">
        <v>17</v>
      </c>
      <c r="I30">
        <v>0.42499999999999999</v>
      </c>
      <c r="J30">
        <v>62</v>
      </c>
      <c r="K30">
        <v>65</v>
      </c>
      <c r="L30">
        <v>0</v>
      </c>
      <c r="M30">
        <v>0</v>
      </c>
      <c r="N30">
        <v>-0.06</v>
      </c>
      <c r="O30">
        <v>0.09</v>
      </c>
      <c r="P30">
        <v>3.1</v>
      </c>
      <c r="Q30">
        <v>3.25</v>
      </c>
      <c r="R30">
        <v>19</v>
      </c>
      <c r="S30">
        <v>66</v>
      </c>
      <c r="T30">
        <v>28.79</v>
      </c>
      <c r="U30">
        <v>13</v>
      </c>
      <c r="V30">
        <v>61</v>
      </c>
      <c r="W30">
        <v>78.69</v>
      </c>
      <c r="X30">
        <v>1</v>
      </c>
      <c r="Y30">
        <v>1</v>
      </c>
      <c r="Z30">
        <v>9.6</v>
      </c>
      <c r="AA30">
        <v>10.3</v>
      </c>
      <c r="AB30">
        <v>648</v>
      </c>
      <c r="AC30">
        <v>9.6</v>
      </c>
      <c r="AD30">
        <v>539</v>
      </c>
      <c r="AE30">
        <v>0.879</v>
      </c>
      <c r="AF30">
        <v>3</v>
      </c>
    </row>
    <row r="31" spans="1:32" x14ac:dyDescent="0.35">
      <c r="A31">
        <v>30</v>
      </c>
      <c r="B31" t="s">
        <v>49</v>
      </c>
      <c r="C31">
        <v>27.6</v>
      </c>
      <c r="D31">
        <v>23</v>
      </c>
      <c r="E31">
        <v>6</v>
      </c>
      <c r="F31">
        <v>12</v>
      </c>
      <c r="G31">
        <v>5</v>
      </c>
      <c r="H31">
        <v>17</v>
      </c>
      <c r="I31">
        <v>0.37</v>
      </c>
      <c r="J31">
        <v>56</v>
      </c>
      <c r="K31">
        <v>79</v>
      </c>
      <c r="L31">
        <v>0</v>
      </c>
      <c r="M31">
        <v>4</v>
      </c>
      <c r="N31">
        <v>-1.21</v>
      </c>
      <c r="O31">
        <v>-0.03</v>
      </c>
      <c r="P31">
        <v>2.4300000000000002</v>
      </c>
      <c r="Q31">
        <v>3.43</v>
      </c>
      <c r="R31">
        <v>12</v>
      </c>
      <c r="S31">
        <v>73</v>
      </c>
      <c r="T31">
        <v>16.440000000000001</v>
      </c>
      <c r="U31">
        <v>14</v>
      </c>
      <c r="V31">
        <v>77</v>
      </c>
      <c r="W31">
        <v>81.819999999999993</v>
      </c>
      <c r="X31">
        <v>2</v>
      </c>
      <c r="Y31">
        <v>2</v>
      </c>
      <c r="Z31">
        <v>8.6</v>
      </c>
      <c r="AA31">
        <v>8.1</v>
      </c>
      <c r="AB31">
        <v>636</v>
      </c>
      <c r="AC31">
        <v>8.8000000000000007</v>
      </c>
      <c r="AD31">
        <v>765</v>
      </c>
      <c r="AE31">
        <v>0.89700000000000002</v>
      </c>
      <c r="AF31">
        <v>1</v>
      </c>
    </row>
    <row r="32" spans="1:32" x14ac:dyDescent="0.35">
      <c r="A32">
        <v>31</v>
      </c>
      <c r="B32" t="s">
        <v>50</v>
      </c>
      <c r="C32">
        <v>26.4</v>
      </c>
      <c r="D32">
        <v>20</v>
      </c>
      <c r="E32">
        <v>7</v>
      </c>
      <c r="F32">
        <v>11</v>
      </c>
      <c r="G32">
        <v>2</v>
      </c>
      <c r="H32">
        <v>16</v>
      </c>
      <c r="I32">
        <v>0.4</v>
      </c>
      <c r="J32">
        <v>56</v>
      </c>
      <c r="K32">
        <v>76</v>
      </c>
      <c r="L32">
        <v>0</v>
      </c>
      <c r="M32">
        <v>1</v>
      </c>
      <c r="N32">
        <v>-1.03</v>
      </c>
      <c r="O32">
        <v>0.02</v>
      </c>
      <c r="P32">
        <v>2.8</v>
      </c>
      <c r="Q32">
        <v>3.8</v>
      </c>
      <c r="R32">
        <v>15</v>
      </c>
      <c r="S32">
        <v>67</v>
      </c>
      <c r="T32">
        <v>22.39</v>
      </c>
      <c r="U32">
        <v>12</v>
      </c>
      <c r="V32">
        <v>68</v>
      </c>
      <c r="W32">
        <v>82.35</v>
      </c>
      <c r="X32">
        <v>1</v>
      </c>
      <c r="Y32">
        <v>2</v>
      </c>
      <c r="Z32">
        <v>10</v>
      </c>
      <c r="AA32">
        <v>8.8000000000000007</v>
      </c>
      <c r="AB32">
        <v>483</v>
      </c>
      <c r="AC32">
        <v>11.6</v>
      </c>
      <c r="AD32">
        <v>602</v>
      </c>
      <c r="AE32">
        <v>0.874</v>
      </c>
      <c r="AF32">
        <v>2</v>
      </c>
    </row>
    <row r="33" spans="1:32" x14ac:dyDescent="0.35">
      <c r="A33">
        <v>32</v>
      </c>
      <c r="B33" t="s">
        <v>51</v>
      </c>
      <c r="C33">
        <v>29.2</v>
      </c>
      <c r="D33">
        <v>21</v>
      </c>
      <c r="E33">
        <v>7</v>
      </c>
      <c r="F33">
        <v>12</v>
      </c>
      <c r="G33">
        <v>2</v>
      </c>
      <c r="H33">
        <v>16</v>
      </c>
      <c r="I33">
        <v>0.38100000000000001</v>
      </c>
      <c r="J33">
        <v>49</v>
      </c>
      <c r="K33">
        <v>63</v>
      </c>
      <c r="L33">
        <v>1</v>
      </c>
      <c r="M33">
        <v>0</v>
      </c>
      <c r="N33">
        <v>-0.71</v>
      </c>
      <c r="O33">
        <v>-0.09</v>
      </c>
      <c r="P33">
        <v>2.33</v>
      </c>
      <c r="Q33">
        <v>3</v>
      </c>
      <c r="R33">
        <v>11</v>
      </c>
      <c r="S33">
        <v>53</v>
      </c>
      <c r="T33">
        <v>20.75</v>
      </c>
      <c r="U33">
        <v>13</v>
      </c>
      <c r="V33">
        <v>61</v>
      </c>
      <c r="W33">
        <v>78.69</v>
      </c>
      <c r="X33">
        <v>0</v>
      </c>
      <c r="Y33">
        <v>1</v>
      </c>
      <c r="Z33">
        <v>7.9</v>
      </c>
      <c r="AA33">
        <v>6.2</v>
      </c>
      <c r="AB33">
        <v>546</v>
      </c>
      <c r="AC33">
        <v>9</v>
      </c>
      <c r="AD33">
        <v>651</v>
      </c>
      <c r="AE33">
        <v>0.90300000000000002</v>
      </c>
      <c r="AF33">
        <v>0</v>
      </c>
    </row>
    <row r="34" spans="1:32" x14ac:dyDescent="0.35">
      <c r="B34" t="s">
        <v>52</v>
      </c>
      <c r="C34">
        <v>28.6</v>
      </c>
      <c r="D34">
        <v>21</v>
      </c>
      <c r="E34">
        <v>10</v>
      </c>
      <c r="F34">
        <v>8</v>
      </c>
      <c r="G34">
        <v>2</v>
      </c>
      <c r="H34">
        <v>23</v>
      </c>
      <c r="I34">
        <v>0.55000000000000004</v>
      </c>
      <c r="J34">
        <v>63</v>
      </c>
      <c r="K34">
        <v>63</v>
      </c>
      <c r="R34">
        <v>13</v>
      </c>
      <c r="S34">
        <v>62</v>
      </c>
      <c r="T34">
        <v>20.69</v>
      </c>
      <c r="U34">
        <v>13</v>
      </c>
      <c r="V34">
        <v>62</v>
      </c>
      <c r="W34">
        <v>79.31</v>
      </c>
      <c r="X34">
        <v>1</v>
      </c>
      <c r="Y34">
        <v>1</v>
      </c>
      <c r="Z34">
        <v>9.5</v>
      </c>
      <c r="AA34">
        <v>9.5</v>
      </c>
      <c r="AB34">
        <v>601</v>
      </c>
      <c r="AC34">
        <v>10.5</v>
      </c>
      <c r="AD34">
        <v>601</v>
      </c>
      <c r="AE34">
        <v>0.89500000000000002</v>
      </c>
      <c r="AF3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ECE9-6F39-4C59-86FD-018BCB0A1B41}">
  <dimension ref="A1:K34"/>
  <sheetViews>
    <sheetView workbookViewId="0">
      <selection activeCell="J17" sqref="J17"/>
    </sheetView>
  </sheetViews>
  <sheetFormatPr defaultRowHeight="14.5" x14ac:dyDescent="0.35"/>
  <cols>
    <col min="1" max="1" width="19.54296875" bestFit="1" customWidth="1"/>
    <col min="2" max="2" width="8.7265625" style="1"/>
    <col min="3" max="3" width="14.6328125" style="1" customWidth="1"/>
    <col min="10" max="10" width="11.81640625" customWidth="1"/>
    <col min="11" max="11" width="11.36328125" style="1" customWidth="1"/>
  </cols>
  <sheetData>
    <row r="1" spans="1:11" x14ac:dyDescent="0.35">
      <c r="A1" t="s">
        <v>53</v>
      </c>
      <c r="B1" s="1" t="s">
        <v>5</v>
      </c>
      <c r="C1" s="1" t="s">
        <v>74</v>
      </c>
    </row>
    <row r="2" spans="1:11" x14ac:dyDescent="0.35">
      <c r="A2" t="s">
        <v>20</v>
      </c>
      <c r="B2" s="1">
        <v>85</v>
      </c>
      <c r="C2" s="1" t="str">
        <f t="shared" ref="C2:C34" si="0">IF(B2&lt;=_xlfn.PERCENTILE.INC($B$2:$B$34, 0.25), "Q1",
IF(B2&lt;=_xlfn.PERCENTILE.INC($B$2:$B$34, 0.5), "Q2",
IF(B2&lt;=_xlfn.PERCENTILE.INC($B$2:$B$34, 0.75), "Q3", "Q4")))</f>
        <v>Q4</v>
      </c>
      <c r="J2" t="s">
        <v>72</v>
      </c>
      <c r="K2" s="1" t="s">
        <v>73</v>
      </c>
    </row>
    <row r="3" spans="1:11" x14ac:dyDescent="0.35">
      <c r="A3" t="s">
        <v>24</v>
      </c>
      <c r="B3" s="1">
        <v>81</v>
      </c>
      <c r="C3" s="1" t="str">
        <f t="shared" si="0"/>
        <v>Q4</v>
      </c>
      <c r="J3" t="s">
        <v>65</v>
      </c>
      <c r="K3" s="1">
        <f>MIN(Table1[GF])</f>
        <v>48</v>
      </c>
    </row>
    <row r="4" spans="1:11" x14ac:dyDescent="0.35">
      <c r="A4" t="s">
        <v>26</v>
      </c>
      <c r="B4" s="1">
        <v>81</v>
      </c>
      <c r="C4" s="1" t="str">
        <f t="shared" si="0"/>
        <v>Q4</v>
      </c>
      <c r="J4" t="s">
        <v>68</v>
      </c>
      <c r="K4" s="1">
        <f>_xlfn.QUARTILE.EXC(Table1[GF], 1)</f>
        <v>55.5</v>
      </c>
    </row>
    <row r="5" spans="1:11" x14ac:dyDescent="0.35">
      <c r="A5" t="s">
        <v>22</v>
      </c>
      <c r="B5" s="1">
        <v>79</v>
      </c>
      <c r="C5" s="1" t="str">
        <f t="shared" si="0"/>
        <v>Q4</v>
      </c>
      <c r="J5" t="s">
        <v>69</v>
      </c>
      <c r="K5" s="1">
        <f>_xlfn.QUARTILE.EXC(Table1[GF], 2)</f>
        <v>63</v>
      </c>
    </row>
    <row r="6" spans="1:11" x14ac:dyDescent="0.35">
      <c r="A6" t="s">
        <v>23</v>
      </c>
      <c r="B6" s="1">
        <v>78</v>
      </c>
      <c r="C6" s="1" t="str">
        <f t="shared" si="0"/>
        <v>Q4</v>
      </c>
      <c r="J6" t="s">
        <v>70</v>
      </c>
      <c r="K6" s="1">
        <f>_xlfn.QUARTILE.EXC(Table1[GF], 3)</f>
        <v>69</v>
      </c>
    </row>
    <row r="7" spans="1:11" x14ac:dyDescent="0.35">
      <c r="A7" t="s">
        <v>29</v>
      </c>
      <c r="B7" s="1">
        <v>73</v>
      </c>
      <c r="C7" s="1" t="str">
        <f t="shared" si="0"/>
        <v>Q4</v>
      </c>
      <c r="J7" t="s">
        <v>66</v>
      </c>
      <c r="K7" s="1">
        <f>MAX(Table1[GF])</f>
        <v>85</v>
      </c>
    </row>
    <row r="8" spans="1:11" x14ac:dyDescent="0.35">
      <c r="A8" t="s">
        <v>32</v>
      </c>
      <c r="B8" s="1">
        <v>73</v>
      </c>
      <c r="C8" s="1" t="str">
        <f t="shared" si="0"/>
        <v>Q4</v>
      </c>
      <c r="J8" t="s">
        <v>67</v>
      </c>
      <c r="K8" s="1">
        <f>K7-K3</f>
        <v>37</v>
      </c>
    </row>
    <row r="9" spans="1:11" x14ac:dyDescent="0.35">
      <c r="A9" t="s">
        <v>21</v>
      </c>
      <c r="B9" s="1">
        <v>69</v>
      </c>
      <c r="C9" s="1" t="str">
        <f t="shared" si="0"/>
        <v>Q3</v>
      </c>
      <c r="J9" t="s">
        <v>83</v>
      </c>
      <c r="K9" s="1">
        <f>AVERAGE(Table1[GF])</f>
        <v>63</v>
      </c>
    </row>
    <row r="10" spans="1:11" x14ac:dyDescent="0.35">
      <c r="A10" t="s">
        <v>41</v>
      </c>
      <c r="B10" s="1">
        <v>69</v>
      </c>
      <c r="C10" s="1" t="str">
        <f t="shared" si="0"/>
        <v>Q3</v>
      </c>
      <c r="J10" t="s">
        <v>84</v>
      </c>
      <c r="K10" s="1">
        <f>MEDIAN(Table1[GF])</f>
        <v>63</v>
      </c>
    </row>
    <row r="11" spans="1:11" x14ac:dyDescent="0.35">
      <c r="A11" t="s">
        <v>36</v>
      </c>
      <c r="B11" s="1">
        <v>68</v>
      </c>
      <c r="C11" s="1" t="str">
        <f t="shared" si="0"/>
        <v>Q3</v>
      </c>
      <c r="J11" t="s">
        <v>85</v>
      </c>
      <c r="K11" s="1">
        <f>MODE(Table1[GF])</f>
        <v>81</v>
      </c>
    </row>
    <row r="12" spans="1:11" x14ac:dyDescent="0.35">
      <c r="A12" t="s">
        <v>37</v>
      </c>
      <c r="B12" s="1">
        <v>68</v>
      </c>
      <c r="C12" s="1" t="str">
        <f t="shared" si="0"/>
        <v>Q3</v>
      </c>
    </row>
    <row r="13" spans="1:11" x14ac:dyDescent="0.35">
      <c r="A13" t="s">
        <v>28</v>
      </c>
      <c r="B13" s="1">
        <v>65</v>
      </c>
      <c r="C13" s="1" t="str">
        <f t="shared" si="0"/>
        <v>Q3</v>
      </c>
    </row>
    <row r="14" spans="1:11" x14ac:dyDescent="0.35">
      <c r="A14" t="s">
        <v>31</v>
      </c>
      <c r="B14" s="1">
        <v>65</v>
      </c>
      <c r="C14" s="1" t="str">
        <f t="shared" si="0"/>
        <v>Q3</v>
      </c>
    </row>
    <row r="15" spans="1:11" x14ac:dyDescent="0.35">
      <c r="A15" t="s">
        <v>25</v>
      </c>
      <c r="B15" s="1">
        <v>64</v>
      </c>
      <c r="C15" s="1" t="str">
        <f t="shared" si="0"/>
        <v>Q3</v>
      </c>
    </row>
    <row r="16" spans="1:11" x14ac:dyDescent="0.35">
      <c r="A16" t="s">
        <v>33</v>
      </c>
      <c r="B16" s="1">
        <v>64</v>
      </c>
      <c r="C16" s="1" t="str">
        <f t="shared" si="0"/>
        <v>Q3</v>
      </c>
    </row>
    <row r="17" spans="1:3" x14ac:dyDescent="0.35">
      <c r="A17" t="s">
        <v>30</v>
      </c>
      <c r="B17" s="1">
        <v>63</v>
      </c>
      <c r="C17" s="1" t="str">
        <f t="shared" si="0"/>
        <v>Q2</v>
      </c>
    </row>
    <row r="18" spans="1:3" x14ac:dyDescent="0.35">
      <c r="A18" t="s">
        <v>52</v>
      </c>
      <c r="B18" s="1">
        <v>63</v>
      </c>
      <c r="C18" s="1" t="str">
        <f t="shared" si="0"/>
        <v>Q2</v>
      </c>
    </row>
    <row r="19" spans="1:3" x14ac:dyDescent="0.35">
      <c r="A19" t="s">
        <v>48</v>
      </c>
      <c r="B19" s="1">
        <v>62</v>
      </c>
      <c r="C19" s="1" t="str">
        <f t="shared" si="0"/>
        <v>Q2</v>
      </c>
    </row>
    <row r="20" spans="1:3" x14ac:dyDescent="0.35">
      <c r="A20" t="s">
        <v>35</v>
      </c>
      <c r="B20" s="1">
        <v>61</v>
      </c>
      <c r="C20" s="1" t="str">
        <f t="shared" si="0"/>
        <v>Q2</v>
      </c>
    </row>
    <row r="21" spans="1:3" x14ac:dyDescent="0.35">
      <c r="A21" t="s">
        <v>39</v>
      </c>
      <c r="B21" s="1">
        <v>58</v>
      </c>
      <c r="C21" s="1" t="str">
        <f t="shared" si="0"/>
        <v>Q2</v>
      </c>
    </row>
    <row r="22" spans="1:3" x14ac:dyDescent="0.35">
      <c r="A22" t="s">
        <v>45</v>
      </c>
      <c r="B22" s="1">
        <v>58</v>
      </c>
      <c r="C22" s="1" t="str">
        <f t="shared" si="0"/>
        <v>Q2</v>
      </c>
    </row>
    <row r="23" spans="1:3" x14ac:dyDescent="0.35">
      <c r="A23" t="s">
        <v>40</v>
      </c>
      <c r="B23" s="1">
        <v>57</v>
      </c>
      <c r="C23" s="1" t="str">
        <f t="shared" si="0"/>
        <v>Q2</v>
      </c>
    </row>
    <row r="24" spans="1:3" x14ac:dyDescent="0.35">
      <c r="A24" t="s">
        <v>43</v>
      </c>
      <c r="B24" s="1">
        <v>57</v>
      </c>
      <c r="C24" s="1" t="str">
        <f t="shared" si="0"/>
        <v>Q2</v>
      </c>
    </row>
    <row r="25" spans="1:3" x14ac:dyDescent="0.35">
      <c r="A25" t="s">
        <v>49</v>
      </c>
      <c r="B25" s="1">
        <v>56</v>
      </c>
      <c r="C25" s="1" t="str">
        <f t="shared" si="0"/>
        <v>Q1</v>
      </c>
    </row>
    <row r="26" spans="1:3" x14ac:dyDescent="0.35">
      <c r="A26" t="s">
        <v>50</v>
      </c>
      <c r="B26" s="1">
        <v>56</v>
      </c>
      <c r="C26" s="1" t="str">
        <f t="shared" si="0"/>
        <v>Q1</v>
      </c>
    </row>
    <row r="27" spans="1:3" x14ac:dyDescent="0.35">
      <c r="A27" t="s">
        <v>27</v>
      </c>
      <c r="B27" s="1">
        <v>55</v>
      </c>
      <c r="C27" s="1" t="str">
        <f t="shared" si="0"/>
        <v>Q1</v>
      </c>
    </row>
    <row r="28" spans="1:3" x14ac:dyDescent="0.35">
      <c r="A28" t="s">
        <v>38</v>
      </c>
      <c r="B28" s="1">
        <v>52</v>
      </c>
      <c r="C28" s="1" t="str">
        <f t="shared" si="0"/>
        <v>Q1</v>
      </c>
    </row>
    <row r="29" spans="1:3" x14ac:dyDescent="0.35">
      <c r="A29" t="s">
        <v>42</v>
      </c>
      <c r="B29" s="1">
        <v>52</v>
      </c>
      <c r="C29" s="1" t="str">
        <f t="shared" si="0"/>
        <v>Q1</v>
      </c>
    </row>
    <row r="30" spans="1:3" x14ac:dyDescent="0.35">
      <c r="A30" t="s">
        <v>34</v>
      </c>
      <c r="B30" s="1">
        <v>51</v>
      </c>
      <c r="C30" s="1" t="str">
        <f t="shared" si="0"/>
        <v>Q1</v>
      </c>
    </row>
    <row r="31" spans="1:3" x14ac:dyDescent="0.35">
      <c r="A31" t="s">
        <v>47</v>
      </c>
      <c r="B31" s="1">
        <v>50</v>
      </c>
      <c r="C31" s="1" t="str">
        <f t="shared" si="0"/>
        <v>Q1</v>
      </c>
    </row>
    <row r="32" spans="1:3" x14ac:dyDescent="0.35">
      <c r="A32" t="s">
        <v>46</v>
      </c>
      <c r="B32" s="1">
        <v>49</v>
      </c>
      <c r="C32" s="1" t="str">
        <f t="shared" si="0"/>
        <v>Q1</v>
      </c>
    </row>
    <row r="33" spans="1:3" x14ac:dyDescent="0.35">
      <c r="A33" t="s">
        <v>51</v>
      </c>
      <c r="B33" s="1">
        <v>49</v>
      </c>
      <c r="C33" s="1" t="str">
        <f t="shared" si="0"/>
        <v>Q1</v>
      </c>
    </row>
    <row r="34" spans="1:3" x14ac:dyDescent="0.35">
      <c r="A34" t="s">
        <v>44</v>
      </c>
      <c r="B34" s="1">
        <v>48</v>
      </c>
      <c r="C34" s="1" t="str">
        <f t="shared" si="0"/>
        <v>Q1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3081-7883-4D50-B85F-2AFBF37AE223}">
  <dimension ref="A3:B8"/>
  <sheetViews>
    <sheetView workbookViewId="0">
      <selection activeCell="A3" sqref="A3:B8"/>
    </sheetView>
  </sheetViews>
  <sheetFormatPr defaultRowHeight="14.5" x14ac:dyDescent="0.35"/>
  <cols>
    <col min="1" max="1" width="12.453125" bestFit="1" customWidth="1"/>
    <col min="2" max="2" width="16.54296875" bestFit="1" customWidth="1"/>
  </cols>
  <sheetData>
    <row r="3" spans="1:2" x14ac:dyDescent="0.35">
      <c r="A3" s="2" t="s">
        <v>75</v>
      </c>
      <c r="B3" t="s">
        <v>77</v>
      </c>
    </row>
    <row r="4" spans="1:2" x14ac:dyDescent="0.35">
      <c r="A4" s="3" t="s">
        <v>68</v>
      </c>
      <c r="B4">
        <v>10</v>
      </c>
    </row>
    <row r="5" spans="1:2" x14ac:dyDescent="0.35">
      <c r="A5" s="3" t="s">
        <v>69</v>
      </c>
      <c r="B5">
        <v>8</v>
      </c>
    </row>
    <row r="6" spans="1:2" x14ac:dyDescent="0.35">
      <c r="A6" s="3" t="s">
        <v>70</v>
      </c>
      <c r="B6">
        <v>8</v>
      </c>
    </row>
    <row r="7" spans="1:2" x14ac:dyDescent="0.35">
      <c r="A7" s="3" t="s">
        <v>71</v>
      </c>
      <c r="B7">
        <v>7</v>
      </c>
    </row>
    <row r="8" spans="1:2" x14ac:dyDescent="0.35">
      <c r="A8" s="3" t="s">
        <v>76</v>
      </c>
      <c r="B8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FC5D-B8EC-4ED9-A273-A97E7164DB64}">
  <dimension ref="A1:D7"/>
  <sheetViews>
    <sheetView tabSelected="1" workbookViewId="0">
      <selection activeCell="N15" sqref="N15"/>
    </sheetView>
  </sheetViews>
  <sheetFormatPr defaultRowHeight="14.5" x14ac:dyDescent="0.35"/>
  <cols>
    <col min="1" max="1" width="15" style="1" customWidth="1"/>
    <col min="2" max="2" width="15.7265625" style="1" bestFit="1" customWidth="1"/>
    <col min="3" max="3" width="25.81640625" style="1" customWidth="1"/>
    <col min="4" max="4" width="24.1796875" style="1" customWidth="1"/>
  </cols>
  <sheetData>
    <row r="1" spans="1:4" x14ac:dyDescent="0.35">
      <c r="A1" s="1" t="s">
        <v>78</v>
      </c>
      <c r="B1" s="1" t="s">
        <v>79</v>
      </c>
      <c r="C1" s="1" t="s">
        <v>80</v>
      </c>
      <c r="D1" s="1" t="s">
        <v>81</v>
      </c>
    </row>
    <row r="2" spans="1:4" x14ac:dyDescent="0.35">
      <c r="A2" s="1" t="s">
        <v>68</v>
      </c>
      <c r="B2" s="1">
        <v>10</v>
      </c>
      <c r="C2" s="4">
        <f>B2/B7</f>
        <v>0.30303030303030304</v>
      </c>
      <c r="D2" s="1">
        <v>10</v>
      </c>
    </row>
    <row r="3" spans="1:4" x14ac:dyDescent="0.35">
      <c r="A3" s="1" t="s">
        <v>69</v>
      </c>
      <c r="B3" s="1">
        <v>8</v>
      </c>
      <c r="C3" s="4">
        <f>B3/B7</f>
        <v>0.24242424242424243</v>
      </c>
      <c r="D3" s="1">
        <f>D2+B3</f>
        <v>18</v>
      </c>
    </row>
    <row r="4" spans="1:4" x14ac:dyDescent="0.35">
      <c r="A4" s="1" t="s">
        <v>70</v>
      </c>
      <c r="B4" s="1">
        <v>8</v>
      </c>
      <c r="C4" s="4">
        <f>B4/B7</f>
        <v>0.24242424242424243</v>
      </c>
      <c r="D4" s="1">
        <f>D3+B4</f>
        <v>26</v>
      </c>
    </row>
    <row r="5" spans="1:4" x14ac:dyDescent="0.35">
      <c r="A5" s="1" t="s">
        <v>71</v>
      </c>
      <c r="B5" s="1">
        <v>7</v>
      </c>
      <c r="C5" s="4">
        <f>B5/B7</f>
        <v>0.21212121212121213</v>
      </c>
      <c r="D5" s="1">
        <f>D4+B5</f>
        <v>33</v>
      </c>
    </row>
    <row r="7" spans="1:4" x14ac:dyDescent="0.35">
      <c r="A7" s="1" t="s">
        <v>82</v>
      </c>
      <c r="B7" s="1">
        <v>33</v>
      </c>
      <c r="C7" s="5">
        <f>SUM(Table3[RELATIVE FREQUENCY])</f>
        <v>1</v>
      </c>
    </row>
  </sheetData>
  <pageMargins left="0.7" right="0.7" top="0.75" bottom="0.75" header="0.3" footer="0.3"/>
  <ignoredErrors>
    <ignoredError sqref="D2" calculatedColumn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All_Data</vt:lpstr>
      <vt:lpstr>Quartiles</vt:lpstr>
      <vt:lpstr>Pivot_Table</vt:lpstr>
      <vt:lpstr>Frequency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2024-11-25T19:08:10Z</dcterms:created>
  <dcterms:modified xsi:type="dcterms:W3CDTF">2025-01-06T23:23:09Z</dcterms:modified>
</cp:coreProperties>
</file>