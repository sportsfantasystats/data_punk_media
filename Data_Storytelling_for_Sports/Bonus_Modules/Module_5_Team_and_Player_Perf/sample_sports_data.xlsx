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Sports_Analytics_Course\intro_to_sports_analytics\Module_5\Demos\"/>
    </mc:Choice>
  </mc:AlternateContent>
  <xr:revisionPtr revIDLastSave="0" documentId="13_ncr:1_{EC2EAFF1-8F0B-444E-A159-518D96490DCD}" xr6:coauthVersionLast="47" xr6:coauthVersionMax="47" xr10:uidLastSave="{00000000-0000-0000-0000-000000000000}"/>
  <bookViews>
    <workbookView xWindow="-110" yWindow="-110" windowWidth="19420" windowHeight="11500" firstSheet="1" activeTab="3" xr2:uid="{A6F872D1-F4C3-4F3A-B798-65945D0BAA18}"/>
  </bookViews>
  <sheets>
    <sheet name="Sheet5" sheetId="11" r:id="rId1"/>
    <sheet name="Sheet6" sheetId="12" r:id="rId2"/>
    <sheet name="All_Stats" sheetId="1" r:id="rId3"/>
    <sheet name="Sheet7" sheetId="13" r:id="rId4"/>
    <sheet name="2021_2022" sheetId="3" r:id="rId5"/>
    <sheet name="2022_2023" sheetId="5" r:id="rId6"/>
    <sheet name="2023_2024" sheetId="6" r:id="rId7"/>
    <sheet name="2024_2025" sheetId="4" r:id="rId8"/>
  </sheets>
  <calcPr calcId="191028"/>
  <pivotCaches>
    <pivotCache cacheId="35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29" i="6" l="1"/>
  <c r="AC129" i="6"/>
  <c r="AA129" i="6"/>
  <c r="Y129" i="6"/>
  <c r="S129" i="6"/>
  <c r="Q129" i="6"/>
  <c r="N129" i="6"/>
  <c r="K129" i="6"/>
  <c r="H129" i="6"/>
  <c r="AE128" i="6"/>
  <c r="AC128" i="6"/>
  <c r="AA128" i="6"/>
  <c r="Y128" i="6"/>
  <c r="S128" i="6"/>
  <c r="Q128" i="6"/>
  <c r="N128" i="6"/>
  <c r="K128" i="6"/>
  <c r="H128" i="6"/>
  <c r="AE127" i="6"/>
  <c r="AC127" i="6"/>
  <c r="AA127" i="6"/>
  <c r="Y127" i="6"/>
  <c r="S127" i="6"/>
  <c r="Q127" i="6"/>
  <c r="N127" i="6"/>
  <c r="K127" i="6"/>
  <c r="H127" i="6"/>
  <c r="AE126" i="6"/>
  <c r="AC126" i="6"/>
  <c r="AA126" i="6"/>
  <c r="Y126" i="6"/>
  <c r="S126" i="6"/>
  <c r="Q126" i="6"/>
  <c r="N126" i="6"/>
  <c r="K126" i="6"/>
  <c r="H126" i="6"/>
  <c r="AE125" i="6"/>
  <c r="AC125" i="6"/>
  <c r="AA125" i="6"/>
  <c r="Y125" i="6"/>
  <c r="S125" i="6"/>
  <c r="Q125" i="6"/>
  <c r="N125" i="6"/>
  <c r="K125" i="6"/>
  <c r="H125" i="6"/>
  <c r="AE124" i="6"/>
  <c r="AC124" i="6"/>
  <c r="AA124" i="6"/>
  <c r="Y124" i="6"/>
  <c r="S124" i="6"/>
  <c r="Q124" i="6"/>
  <c r="N124" i="6"/>
  <c r="K124" i="6"/>
  <c r="H124" i="6"/>
  <c r="AE123" i="6"/>
  <c r="AC123" i="6"/>
  <c r="AA123" i="6"/>
  <c r="Y123" i="6"/>
  <c r="S123" i="6"/>
  <c r="Q123" i="6"/>
  <c r="N123" i="6"/>
  <c r="K123" i="6"/>
  <c r="H123" i="6"/>
  <c r="AE122" i="6"/>
  <c r="AC122" i="6"/>
  <c r="AA122" i="6"/>
  <c r="Y122" i="6"/>
  <c r="S122" i="6"/>
  <c r="Q122" i="6"/>
  <c r="N122" i="6"/>
  <c r="K122" i="6"/>
  <c r="H122" i="6"/>
  <c r="AE121" i="6"/>
  <c r="AC121" i="6"/>
  <c r="AA121" i="6"/>
  <c r="Y121" i="6"/>
  <c r="S121" i="6"/>
  <c r="Q121" i="6"/>
  <c r="N121" i="6"/>
  <c r="K121" i="6"/>
  <c r="H121" i="6"/>
  <c r="AE120" i="6"/>
  <c r="AC120" i="6"/>
  <c r="AA120" i="6"/>
  <c r="Y120" i="6"/>
  <c r="S120" i="6"/>
  <c r="Q120" i="6"/>
  <c r="N120" i="6"/>
  <c r="K120" i="6"/>
  <c r="H120" i="6"/>
  <c r="AE119" i="6"/>
  <c r="AC119" i="6"/>
  <c r="AA119" i="6"/>
  <c r="Y119" i="6"/>
  <c r="S119" i="6"/>
  <c r="Q119" i="6"/>
  <c r="N119" i="6"/>
  <c r="K119" i="6"/>
  <c r="H119" i="6"/>
  <c r="AE118" i="6"/>
  <c r="AC118" i="6"/>
  <c r="AA118" i="6"/>
  <c r="Y118" i="6"/>
  <c r="S118" i="6"/>
  <c r="Q118" i="6"/>
  <c r="N118" i="6"/>
  <c r="K118" i="6"/>
  <c r="H118" i="6"/>
  <c r="AE117" i="6"/>
  <c r="AC117" i="6"/>
  <c r="AA117" i="6"/>
  <c r="Y117" i="6"/>
  <c r="S117" i="6"/>
  <c r="Q117" i="6"/>
  <c r="N117" i="6"/>
  <c r="K117" i="6"/>
  <c r="H117" i="6"/>
  <c r="AE116" i="6"/>
  <c r="AC116" i="6"/>
  <c r="AA116" i="6"/>
  <c r="Y116" i="6"/>
  <c r="S116" i="6"/>
  <c r="Q116" i="6"/>
  <c r="N116" i="6"/>
  <c r="K116" i="6"/>
  <c r="H116" i="6"/>
  <c r="AE115" i="6"/>
  <c r="AC115" i="6"/>
  <c r="AA115" i="6"/>
  <c r="Y115" i="6"/>
  <c r="S115" i="6"/>
  <c r="Q115" i="6"/>
  <c r="N115" i="6"/>
  <c r="K115" i="6"/>
  <c r="H115" i="6"/>
  <c r="AE114" i="6"/>
  <c r="AC114" i="6"/>
  <c r="AA114" i="6"/>
  <c r="Y114" i="6"/>
  <c r="S114" i="6"/>
  <c r="Q114" i="6"/>
  <c r="N114" i="6"/>
  <c r="K114" i="6"/>
  <c r="H114" i="6"/>
  <c r="AE113" i="6"/>
  <c r="AC113" i="6"/>
  <c r="AA113" i="6"/>
  <c r="Y113" i="6"/>
  <c r="S113" i="6"/>
  <c r="Q113" i="6"/>
  <c r="N113" i="6"/>
  <c r="K113" i="6"/>
  <c r="H113" i="6"/>
  <c r="AE112" i="6"/>
  <c r="AC112" i="6"/>
  <c r="AA112" i="6"/>
  <c r="Y112" i="6"/>
  <c r="S112" i="6"/>
  <c r="Q112" i="6"/>
  <c r="N112" i="6"/>
  <c r="K112" i="6"/>
  <c r="H112" i="6"/>
  <c r="AE111" i="6"/>
  <c r="AC111" i="6"/>
  <c r="AA111" i="6"/>
  <c r="Y111" i="6"/>
  <c r="S111" i="6"/>
  <c r="Q111" i="6"/>
  <c r="N111" i="6"/>
  <c r="K111" i="6"/>
  <c r="H111" i="6"/>
  <c r="AE110" i="6"/>
  <c r="AC110" i="6"/>
  <c r="AA110" i="6"/>
  <c r="Y110" i="6"/>
  <c r="S110" i="6"/>
  <c r="Q110" i="6"/>
  <c r="N110" i="6"/>
  <c r="K110" i="6"/>
  <c r="H110" i="6"/>
  <c r="AE109" i="6"/>
  <c r="AC109" i="6"/>
  <c r="AA109" i="6"/>
  <c r="Y109" i="6"/>
  <c r="S109" i="6"/>
  <c r="Q109" i="6"/>
  <c r="N109" i="6"/>
  <c r="K109" i="6"/>
  <c r="H109" i="6"/>
  <c r="AE108" i="6"/>
  <c r="AC108" i="6"/>
  <c r="AA108" i="6"/>
  <c r="Y108" i="6"/>
  <c r="S108" i="6"/>
  <c r="Q108" i="6"/>
  <c r="N108" i="6"/>
  <c r="K108" i="6"/>
  <c r="H108" i="6"/>
  <c r="AE107" i="6"/>
  <c r="AC107" i="6"/>
  <c r="AA107" i="6"/>
  <c r="Y107" i="6"/>
  <c r="S107" i="6"/>
  <c r="Q107" i="6"/>
  <c r="N107" i="6"/>
  <c r="K107" i="6"/>
  <c r="H107" i="6"/>
  <c r="AE106" i="6"/>
  <c r="AC106" i="6"/>
  <c r="AA106" i="6"/>
  <c r="Y106" i="6"/>
  <c r="S106" i="6"/>
  <c r="Q106" i="6"/>
  <c r="N106" i="6"/>
  <c r="K106" i="6"/>
  <c r="H106" i="6"/>
  <c r="AE105" i="6"/>
  <c r="AC105" i="6"/>
  <c r="AA105" i="6"/>
  <c r="Y105" i="6"/>
  <c r="S105" i="6"/>
  <c r="Q105" i="6"/>
  <c r="N105" i="6"/>
  <c r="K105" i="6"/>
  <c r="H105" i="6"/>
  <c r="AE104" i="6"/>
  <c r="AC104" i="6"/>
  <c r="AA104" i="6"/>
  <c r="Y104" i="6"/>
  <c r="S104" i="6"/>
  <c r="Q104" i="6"/>
  <c r="N104" i="6"/>
  <c r="K104" i="6"/>
  <c r="H104" i="6"/>
  <c r="AE103" i="6"/>
  <c r="AC103" i="6"/>
  <c r="AA103" i="6"/>
  <c r="Y103" i="6"/>
  <c r="S103" i="6"/>
  <c r="Q103" i="6"/>
  <c r="N103" i="6"/>
  <c r="K103" i="6"/>
  <c r="H103" i="6"/>
  <c r="AE102" i="6"/>
  <c r="AC102" i="6"/>
  <c r="AA102" i="6"/>
  <c r="Y102" i="6"/>
  <c r="S102" i="6"/>
  <c r="Q102" i="6"/>
  <c r="N102" i="6"/>
  <c r="K102" i="6"/>
  <c r="H102" i="6"/>
  <c r="AE101" i="6"/>
  <c r="AC101" i="6"/>
  <c r="AA101" i="6"/>
  <c r="Y101" i="6"/>
  <c r="S101" i="6"/>
  <c r="Q101" i="6"/>
  <c r="N101" i="6"/>
  <c r="K101" i="6"/>
  <c r="H101" i="6"/>
  <c r="AE100" i="6"/>
  <c r="AC100" i="6"/>
  <c r="AA100" i="6"/>
  <c r="Y100" i="6"/>
  <c r="S100" i="6"/>
  <c r="Q100" i="6"/>
  <c r="N100" i="6"/>
  <c r="K100" i="6"/>
  <c r="H100" i="6"/>
  <c r="AE99" i="6"/>
  <c r="AC99" i="6"/>
  <c r="AA99" i="6"/>
  <c r="Y99" i="6"/>
  <c r="S99" i="6"/>
  <c r="Q99" i="6"/>
  <c r="N99" i="6"/>
  <c r="K99" i="6"/>
  <c r="H99" i="6"/>
  <c r="AE98" i="6"/>
  <c r="AC98" i="6"/>
  <c r="AA98" i="6"/>
  <c r="Y98" i="6"/>
  <c r="S98" i="6"/>
  <c r="Q98" i="6"/>
  <c r="N98" i="6"/>
  <c r="K98" i="6"/>
  <c r="H98" i="6"/>
  <c r="AE97" i="6"/>
  <c r="AC97" i="6"/>
  <c r="AA97" i="6"/>
  <c r="Y97" i="6"/>
  <c r="S97" i="6"/>
  <c r="Q97" i="6"/>
  <c r="N97" i="6"/>
  <c r="K97" i="6"/>
  <c r="H97" i="6"/>
  <c r="AE96" i="6"/>
  <c r="AC96" i="6"/>
  <c r="AA96" i="6"/>
  <c r="Y96" i="6"/>
  <c r="S96" i="6"/>
  <c r="Q96" i="6"/>
  <c r="N96" i="6"/>
  <c r="K96" i="6"/>
  <c r="H96" i="6"/>
  <c r="AE95" i="6"/>
  <c r="AC95" i="6"/>
  <c r="AA95" i="6"/>
  <c r="Y95" i="6"/>
  <c r="S95" i="6"/>
  <c r="Q95" i="6"/>
  <c r="N95" i="6"/>
  <c r="K95" i="6"/>
  <c r="H95" i="6"/>
  <c r="AE94" i="6"/>
  <c r="AC94" i="6"/>
  <c r="AA94" i="6"/>
  <c r="Y94" i="6"/>
  <c r="S94" i="6"/>
  <c r="Q94" i="6"/>
  <c r="N94" i="6"/>
  <c r="K94" i="6"/>
  <c r="H94" i="6"/>
  <c r="AE93" i="6"/>
  <c r="AC93" i="6"/>
  <c r="AA93" i="6"/>
  <c r="Y93" i="6"/>
  <c r="S93" i="6"/>
  <c r="Q93" i="6"/>
  <c r="N93" i="6"/>
  <c r="K93" i="6"/>
  <c r="H93" i="6"/>
  <c r="AE92" i="6"/>
  <c r="AC92" i="6"/>
  <c r="AA92" i="6"/>
  <c r="Y92" i="6"/>
  <c r="S92" i="6"/>
  <c r="Q92" i="6"/>
  <c r="N92" i="6"/>
  <c r="K92" i="6"/>
  <c r="H92" i="6"/>
  <c r="AE91" i="6"/>
  <c r="AC91" i="6"/>
  <c r="AA91" i="6"/>
  <c r="Y91" i="6"/>
  <c r="S91" i="6"/>
  <c r="Q91" i="6"/>
  <c r="N91" i="6"/>
  <c r="K91" i="6"/>
  <c r="H91" i="6"/>
  <c r="AE90" i="6"/>
  <c r="AC90" i="6"/>
  <c r="AA90" i="6"/>
  <c r="Y90" i="6"/>
  <c r="S90" i="6"/>
  <c r="Q90" i="6"/>
  <c r="N90" i="6"/>
  <c r="K90" i="6"/>
  <c r="H90" i="6"/>
  <c r="AE89" i="6"/>
  <c r="AC89" i="6"/>
  <c r="AA89" i="6"/>
  <c r="Y89" i="6"/>
  <c r="S89" i="6"/>
  <c r="Q89" i="6"/>
  <c r="N89" i="6"/>
  <c r="K89" i="6"/>
  <c r="H89" i="6"/>
  <c r="AE88" i="6"/>
  <c r="AC88" i="6"/>
  <c r="AA88" i="6"/>
  <c r="Y88" i="6"/>
  <c r="S88" i="6"/>
  <c r="Q88" i="6"/>
  <c r="N88" i="6"/>
  <c r="K88" i="6"/>
  <c r="H88" i="6"/>
  <c r="AE87" i="6"/>
  <c r="AC87" i="6"/>
  <c r="AA87" i="6"/>
  <c r="Y87" i="6"/>
  <c r="S87" i="6"/>
  <c r="Q87" i="6"/>
  <c r="N87" i="6"/>
  <c r="K87" i="6"/>
  <c r="H87" i="6"/>
  <c r="AE86" i="6"/>
  <c r="AC86" i="6"/>
  <c r="AA86" i="6"/>
  <c r="Y86" i="6"/>
  <c r="S86" i="6"/>
  <c r="Q86" i="6"/>
  <c r="N86" i="6"/>
  <c r="K86" i="6"/>
  <c r="H86" i="6"/>
  <c r="AE85" i="6"/>
  <c r="AC85" i="6"/>
  <c r="AA85" i="6"/>
  <c r="Y85" i="6"/>
  <c r="S85" i="6"/>
  <c r="Q85" i="6"/>
  <c r="N85" i="6"/>
  <c r="K85" i="6"/>
  <c r="H85" i="6"/>
  <c r="AE84" i="6"/>
  <c r="AC84" i="6"/>
  <c r="AA84" i="6"/>
  <c r="Y84" i="6"/>
  <c r="S84" i="6"/>
  <c r="Q84" i="6"/>
  <c r="N84" i="6"/>
  <c r="K84" i="6"/>
  <c r="H84" i="6"/>
  <c r="AE83" i="6"/>
  <c r="AC83" i="6"/>
  <c r="AA83" i="6"/>
  <c r="Y83" i="6"/>
  <c r="S83" i="6"/>
  <c r="Q83" i="6"/>
  <c r="N83" i="6"/>
  <c r="K83" i="6"/>
  <c r="H83" i="6"/>
  <c r="AE82" i="6"/>
  <c r="AC82" i="6"/>
  <c r="AA82" i="6"/>
  <c r="Y82" i="6"/>
  <c r="S82" i="6"/>
  <c r="Q82" i="6"/>
  <c r="N82" i="6"/>
  <c r="K82" i="6"/>
  <c r="H82" i="6"/>
  <c r="AE81" i="6"/>
  <c r="AC81" i="6"/>
  <c r="AA81" i="6"/>
  <c r="Y81" i="6"/>
  <c r="S81" i="6"/>
  <c r="Q81" i="6"/>
  <c r="N81" i="6"/>
  <c r="K81" i="6"/>
  <c r="H81" i="6"/>
  <c r="AE80" i="6"/>
  <c r="AC80" i="6"/>
  <c r="AA80" i="6"/>
  <c r="Y80" i="6"/>
  <c r="S80" i="6"/>
  <c r="Q80" i="6"/>
  <c r="N80" i="6"/>
  <c r="K80" i="6"/>
  <c r="H80" i="6"/>
  <c r="AE79" i="6"/>
  <c r="AC79" i="6"/>
  <c r="AA79" i="6"/>
  <c r="Y79" i="6"/>
  <c r="S79" i="6"/>
  <c r="Q79" i="6"/>
  <c r="N79" i="6"/>
  <c r="K79" i="6"/>
  <c r="H79" i="6"/>
  <c r="AE78" i="6"/>
  <c r="AC78" i="6"/>
  <c r="AA78" i="6"/>
  <c r="Y78" i="6"/>
  <c r="S78" i="6"/>
  <c r="Q78" i="6"/>
  <c r="N78" i="6"/>
  <c r="K78" i="6"/>
  <c r="H78" i="6"/>
  <c r="AE77" i="6"/>
  <c r="AC77" i="6"/>
  <c r="AA77" i="6"/>
  <c r="Y77" i="6"/>
  <c r="S77" i="6"/>
  <c r="Q77" i="6"/>
  <c r="N77" i="6"/>
  <c r="K77" i="6"/>
  <c r="H77" i="6"/>
  <c r="AE76" i="6"/>
  <c r="AC76" i="6"/>
  <c r="AA76" i="6"/>
  <c r="Y76" i="6"/>
  <c r="S76" i="6"/>
  <c r="Q76" i="6"/>
  <c r="N76" i="6"/>
  <c r="K76" i="6"/>
  <c r="H76" i="6"/>
  <c r="AE75" i="6"/>
  <c r="AC75" i="6"/>
  <c r="AA75" i="6"/>
  <c r="Y75" i="6"/>
  <c r="S75" i="6"/>
  <c r="Q75" i="6"/>
  <c r="N75" i="6"/>
  <c r="K75" i="6"/>
  <c r="H75" i="6"/>
  <c r="AE74" i="6"/>
  <c r="AC74" i="6"/>
  <c r="AA74" i="6"/>
  <c r="Y74" i="6"/>
  <c r="S74" i="6"/>
  <c r="Q74" i="6"/>
  <c r="N74" i="6"/>
  <c r="K74" i="6"/>
  <c r="H74" i="6"/>
  <c r="AE73" i="6"/>
  <c r="AC73" i="6"/>
  <c r="AA73" i="6"/>
  <c r="Y73" i="6"/>
  <c r="S73" i="6"/>
  <c r="Q73" i="6"/>
  <c r="N73" i="6"/>
  <c r="K73" i="6"/>
  <c r="H73" i="6"/>
  <c r="AE72" i="6"/>
  <c r="AC72" i="6"/>
  <c r="AA72" i="6"/>
  <c r="Y72" i="6"/>
  <c r="S72" i="6"/>
  <c r="Q72" i="6"/>
  <c r="N72" i="6"/>
  <c r="K72" i="6"/>
  <c r="H72" i="6"/>
  <c r="AE71" i="6"/>
  <c r="AC71" i="6"/>
  <c r="AA71" i="6"/>
  <c r="Y71" i="6"/>
  <c r="S71" i="6"/>
  <c r="Q71" i="6"/>
  <c r="N71" i="6"/>
  <c r="K71" i="6"/>
  <c r="H71" i="6"/>
  <c r="AE70" i="6"/>
  <c r="AC70" i="6"/>
  <c r="AA70" i="6"/>
  <c r="Y70" i="6"/>
  <c r="S70" i="6"/>
  <c r="Q70" i="6"/>
  <c r="N70" i="6"/>
  <c r="K70" i="6"/>
  <c r="H70" i="6"/>
  <c r="AE69" i="6"/>
  <c r="AC69" i="6"/>
  <c r="AA69" i="6"/>
  <c r="Y69" i="6"/>
  <c r="S69" i="6"/>
  <c r="Q69" i="6"/>
  <c r="N69" i="6"/>
  <c r="K69" i="6"/>
  <c r="H69" i="6"/>
  <c r="AE68" i="6"/>
  <c r="AC68" i="6"/>
  <c r="AA68" i="6"/>
  <c r="Y68" i="6"/>
  <c r="S68" i="6"/>
  <c r="Q68" i="6"/>
  <c r="N68" i="6"/>
  <c r="K68" i="6"/>
  <c r="H68" i="6"/>
  <c r="AE67" i="6"/>
  <c r="AC67" i="6"/>
  <c r="AA67" i="6"/>
  <c r="Y67" i="6"/>
  <c r="S67" i="6"/>
  <c r="Q67" i="6"/>
  <c r="N67" i="6"/>
  <c r="K67" i="6"/>
  <c r="H67" i="6"/>
  <c r="AE66" i="6"/>
  <c r="AC66" i="6"/>
  <c r="AA66" i="6"/>
  <c r="Y66" i="6"/>
  <c r="S66" i="6"/>
  <c r="Q66" i="6"/>
  <c r="N66" i="6"/>
  <c r="K66" i="6"/>
  <c r="H66" i="6"/>
  <c r="AE65" i="6"/>
  <c r="AC65" i="6"/>
  <c r="AA65" i="6"/>
  <c r="Y65" i="6"/>
  <c r="S65" i="6"/>
  <c r="Q65" i="6"/>
  <c r="N65" i="6"/>
  <c r="K65" i="6"/>
  <c r="H65" i="6"/>
  <c r="AE64" i="6"/>
  <c r="AC64" i="6"/>
  <c r="AA64" i="6"/>
  <c r="Y64" i="6"/>
  <c r="S64" i="6"/>
  <c r="Q64" i="6"/>
  <c r="N64" i="6"/>
  <c r="K64" i="6"/>
  <c r="H64" i="6"/>
  <c r="AE63" i="6"/>
  <c r="AC63" i="6"/>
  <c r="AA63" i="6"/>
  <c r="Y63" i="6"/>
  <c r="S63" i="6"/>
  <c r="Q63" i="6"/>
  <c r="N63" i="6"/>
  <c r="K63" i="6"/>
  <c r="H63" i="6"/>
  <c r="AE62" i="6"/>
  <c r="AC62" i="6"/>
  <c r="AA62" i="6"/>
  <c r="Y62" i="6"/>
  <c r="S62" i="6"/>
  <c r="Q62" i="6"/>
  <c r="N62" i="6"/>
  <c r="K62" i="6"/>
  <c r="H62" i="6"/>
  <c r="AE61" i="6"/>
  <c r="AC61" i="6"/>
  <c r="AA61" i="6"/>
  <c r="Y61" i="6"/>
  <c r="S61" i="6"/>
  <c r="Q61" i="6"/>
  <c r="N61" i="6"/>
  <c r="K61" i="6"/>
  <c r="H61" i="6"/>
  <c r="AE60" i="6"/>
  <c r="AC60" i="6"/>
  <c r="AA60" i="6"/>
  <c r="Y60" i="6"/>
  <c r="S60" i="6"/>
  <c r="Q60" i="6"/>
  <c r="N60" i="6"/>
  <c r="K60" i="6"/>
  <c r="H60" i="6"/>
  <c r="AE59" i="6"/>
  <c r="AC59" i="6"/>
  <c r="AA59" i="6"/>
  <c r="Y59" i="6"/>
  <c r="S59" i="6"/>
  <c r="Q59" i="6"/>
  <c r="N59" i="6"/>
  <c r="K59" i="6"/>
  <c r="H59" i="6"/>
  <c r="AE58" i="6"/>
  <c r="AC58" i="6"/>
  <c r="AA58" i="6"/>
  <c r="Y58" i="6"/>
  <c r="S58" i="6"/>
  <c r="Q58" i="6"/>
  <c r="N58" i="6"/>
  <c r="K58" i="6"/>
  <c r="H58" i="6"/>
  <c r="AE57" i="6"/>
  <c r="AC57" i="6"/>
  <c r="AA57" i="6"/>
  <c r="Y57" i="6"/>
  <c r="S57" i="6"/>
  <c r="Q57" i="6"/>
  <c r="N57" i="6"/>
  <c r="K57" i="6"/>
  <c r="H57" i="6"/>
  <c r="AE56" i="6"/>
  <c r="AC56" i="6"/>
  <c r="AA56" i="6"/>
  <c r="Y56" i="6"/>
  <c r="S56" i="6"/>
  <c r="Q56" i="6"/>
  <c r="N56" i="6"/>
  <c r="K56" i="6"/>
  <c r="H56" i="6"/>
  <c r="AE55" i="6"/>
  <c r="AC55" i="6"/>
  <c r="AA55" i="6"/>
  <c r="Y55" i="6"/>
  <c r="S55" i="6"/>
  <c r="Q55" i="6"/>
  <c r="N55" i="6"/>
  <c r="K55" i="6"/>
  <c r="H55" i="6"/>
  <c r="AE54" i="6"/>
  <c r="AC54" i="6"/>
  <c r="AA54" i="6"/>
  <c r="Y54" i="6"/>
  <c r="S54" i="6"/>
  <c r="Q54" i="6"/>
  <c r="N54" i="6"/>
  <c r="K54" i="6"/>
  <c r="H54" i="6"/>
  <c r="AE53" i="6"/>
  <c r="AC53" i="6"/>
  <c r="AA53" i="6"/>
  <c r="Y53" i="6"/>
  <c r="S53" i="6"/>
  <c r="Q53" i="6"/>
  <c r="N53" i="6"/>
  <c r="K53" i="6"/>
  <c r="H53" i="6"/>
  <c r="AE52" i="6"/>
  <c r="AC52" i="6"/>
  <c r="AA52" i="6"/>
  <c r="Y52" i="6"/>
  <c r="S52" i="6"/>
  <c r="Q52" i="6"/>
  <c r="N52" i="6"/>
  <c r="K52" i="6"/>
  <c r="H52" i="6"/>
  <c r="AE51" i="6"/>
  <c r="AC51" i="6"/>
  <c r="AA51" i="6"/>
  <c r="Y51" i="6"/>
  <c r="S51" i="6"/>
  <c r="Q51" i="6"/>
  <c r="N51" i="6"/>
  <c r="K51" i="6"/>
  <c r="H51" i="6"/>
  <c r="AE50" i="6"/>
  <c r="AC50" i="6"/>
  <c r="AA50" i="6"/>
  <c r="Y50" i="6"/>
  <c r="S50" i="6"/>
  <c r="Q50" i="6"/>
  <c r="N50" i="6"/>
  <c r="K50" i="6"/>
  <c r="H50" i="6"/>
  <c r="AE49" i="6"/>
  <c r="AC49" i="6"/>
  <c r="AA49" i="6"/>
  <c r="Y49" i="6"/>
  <c r="S49" i="6"/>
  <c r="Q49" i="6"/>
  <c r="N49" i="6"/>
  <c r="K49" i="6"/>
  <c r="H49" i="6"/>
  <c r="AE48" i="6"/>
  <c r="AC48" i="6"/>
  <c r="AA48" i="6"/>
  <c r="Y48" i="6"/>
  <c r="S48" i="6"/>
  <c r="Q48" i="6"/>
  <c r="N48" i="6"/>
  <c r="K48" i="6"/>
  <c r="H48" i="6"/>
  <c r="AE47" i="6"/>
  <c r="AC47" i="6"/>
  <c r="AA47" i="6"/>
  <c r="Y47" i="6"/>
  <c r="S47" i="6"/>
  <c r="Q47" i="6"/>
  <c r="N47" i="6"/>
  <c r="K47" i="6"/>
  <c r="H47" i="6"/>
  <c r="AE46" i="6"/>
  <c r="AC46" i="6"/>
  <c r="AA46" i="6"/>
  <c r="Y46" i="6"/>
  <c r="S46" i="6"/>
  <c r="Q46" i="6"/>
  <c r="N46" i="6"/>
  <c r="K46" i="6"/>
  <c r="H46" i="6"/>
  <c r="AE45" i="6"/>
  <c r="AC45" i="6"/>
  <c r="AA45" i="6"/>
  <c r="Y45" i="6"/>
  <c r="S45" i="6"/>
  <c r="Q45" i="6"/>
  <c r="N45" i="6"/>
  <c r="K45" i="6"/>
  <c r="H45" i="6"/>
  <c r="AE44" i="6"/>
  <c r="AC44" i="6"/>
  <c r="AA44" i="6"/>
  <c r="Y44" i="6"/>
  <c r="S44" i="6"/>
  <c r="Q44" i="6"/>
  <c r="N44" i="6"/>
  <c r="K44" i="6"/>
  <c r="H44" i="6"/>
  <c r="AE43" i="6"/>
  <c r="AC43" i="6"/>
  <c r="AA43" i="6"/>
  <c r="Y43" i="6"/>
  <c r="S43" i="6"/>
  <c r="Q43" i="6"/>
  <c r="N43" i="6"/>
  <c r="K43" i="6"/>
  <c r="H43" i="6"/>
  <c r="AE42" i="6"/>
  <c r="AC42" i="6"/>
  <c r="AA42" i="6"/>
  <c r="Y42" i="6"/>
  <c r="S42" i="6"/>
  <c r="Q42" i="6"/>
  <c r="N42" i="6"/>
  <c r="K42" i="6"/>
  <c r="H42" i="6"/>
  <c r="AE41" i="6"/>
  <c r="AC41" i="6"/>
  <c r="AA41" i="6"/>
  <c r="Y41" i="6"/>
  <c r="S41" i="6"/>
  <c r="Q41" i="6"/>
  <c r="N41" i="6"/>
  <c r="K41" i="6"/>
  <c r="H41" i="6"/>
  <c r="AE40" i="6"/>
  <c r="AC40" i="6"/>
  <c r="AA40" i="6"/>
  <c r="Y40" i="6"/>
  <c r="S40" i="6"/>
  <c r="Q40" i="6"/>
  <c r="N40" i="6"/>
  <c r="K40" i="6"/>
  <c r="H40" i="6"/>
  <c r="AE39" i="6"/>
  <c r="AC39" i="6"/>
  <c r="AA39" i="6"/>
  <c r="Y39" i="6"/>
  <c r="S39" i="6"/>
  <c r="Q39" i="6"/>
  <c r="N39" i="6"/>
  <c r="K39" i="6"/>
  <c r="H39" i="6"/>
  <c r="AE38" i="6"/>
  <c r="AC38" i="6"/>
  <c r="AA38" i="6"/>
  <c r="Y38" i="6"/>
  <c r="S38" i="6"/>
  <c r="Q38" i="6"/>
  <c r="N38" i="6"/>
  <c r="K38" i="6"/>
  <c r="H38" i="6"/>
  <c r="AE37" i="6"/>
  <c r="AC37" i="6"/>
  <c r="AA37" i="6"/>
  <c r="Y37" i="6"/>
  <c r="S37" i="6"/>
  <c r="Q37" i="6"/>
  <c r="N37" i="6"/>
  <c r="K37" i="6"/>
  <c r="H37" i="6"/>
  <c r="AE36" i="6"/>
  <c r="AC36" i="6"/>
  <c r="AA36" i="6"/>
  <c r="Y36" i="6"/>
  <c r="S36" i="6"/>
  <c r="Q36" i="6"/>
  <c r="N36" i="6"/>
  <c r="K36" i="6"/>
  <c r="H36" i="6"/>
  <c r="AE35" i="6"/>
  <c r="AC35" i="6"/>
  <c r="AA35" i="6"/>
  <c r="Y35" i="6"/>
  <c r="S35" i="6"/>
  <c r="Q35" i="6"/>
  <c r="N35" i="6"/>
  <c r="K35" i="6"/>
  <c r="H35" i="6"/>
  <c r="AE34" i="6"/>
  <c r="AC34" i="6"/>
  <c r="AA34" i="6"/>
  <c r="Y34" i="6"/>
  <c r="S34" i="6"/>
  <c r="Q34" i="6"/>
  <c r="N34" i="6"/>
  <c r="K34" i="6"/>
  <c r="H34" i="6"/>
  <c r="AE33" i="6"/>
  <c r="AC33" i="6"/>
  <c r="AA33" i="6"/>
  <c r="Y33" i="6"/>
  <c r="S33" i="6"/>
  <c r="Q33" i="6"/>
  <c r="N33" i="6"/>
  <c r="K33" i="6"/>
  <c r="H33" i="6"/>
  <c r="AE32" i="6"/>
  <c r="AC32" i="6"/>
  <c r="AA32" i="6"/>
  <c r="Y32" i="6"/>
  <c r="S32" i="6"/>
  <c r="Q32" i="6"/>
  <c r="N32" i="6"/>
  <c r="K32" i="6"/>
  <c r="H32" i="6"/>
  <c r="AE31" i="6"/>
  <c r="AC31" i="6"/>
  <c r="AA31" i="6"/>
  <c r="Y31" i="6"/>
  <c r="S31" i="6"/>
  <c r="Q31" i="6"/>
  <c r="N31" i="6"/>
  <c r="K31" i="6"/>
  <c r="H31" i="6"/>
  <c r="AE30" i="6"/>
  <c r="AC30" i="6"/>
  <c r="AA30" i="6"/>
  <c r="Y30" i="6"/>
  <c r="S30" i="6"/>
  <c r="Q30" i="6"/>
  <c r="N30" i="6"/>
  <c r="K30" i="6"/>
  <c r="H30" i="6"/>
  <c r="AE29" i="6"/>
  <c r="AC29" i="6"/>
  <c r="AA29" i="6"/>
  <c r="Y29" i="6"/>
  <c r="S29" i="6"/>
  <c r="Q29" i="6"/>
  <c r="N29" i="6"/>
  <c r="K29" i="6"/>
  <c r="H29" i="6"/>
  <c r="AE28" i="6"/>
  <c r="AC28" i="6"/>
  <c r="AA28" i="6"/>
  <c r="Y28" i="6"/>
  <c r="S28" i="6"/>
  <c r="Q28" i="6"/>
  <c r="N28" i="6"/>
  <c r="K28" i="6"/>
  <c r="H28" i="6"/>
  <c r="AE27" i="6"/>
  <c r="AC27" i="6"/>
  <c r="AA27" i="6"/>
  <c r="Y27" i="6"/>
  <c r="S27" i="6"/>
  <c r="Q27" i="6"/>
  <c r="N27" i="6"/>
  <c r="K27" i="6"/>
  <c r="H27" i="6"/>
  <c r="AE26" i="6"/>
  <c r="AC26" i="6"/>
  <c r="AA26" i="6"/>
  <c r="Y26" i="6"/>
  <c r="S26" i="6"/>
  <c r="Q26" i="6"/>
  <c r="N26" i="6"/>
  <c r="K26" i="6"/>
  <c r="H26" i="6"/>
  <c r="AE25" i="6"/>
  <c r="AC25" i="6"/>
  <c r="AA25" i="6"/>
  <c r="Y25" i="6"/>
  <c r="S25" i="6"/>
  <c r="Q25" i="6"/>
  <c r="N25" i="6"/>
  <c r="K25" i="6"/>
  <c r="H25" i="6"/>
  <c r="AE24" i="6"/>
  <c r="AC24" i="6"/>
  <c r="AA24" i="6"/>
  <c r="Y24" i="6"/>
  <c r="S24" i="6"/>
  <c r="Q24" i="6"/>
  <c r="N24" i="6"/>
  <c r="K24" i="6"/>
  <c r="H24" i="6"/>
  <c r="AE23" i="6"/>
  <c r="AC23" i="6"/>
  <c r="AA23" i="6"/>
  <c r="Y23" i="6"/>
  <c r="S23" i="6"/>
  <c r="Q23" i="6"/>
  <c r="N23" i="6"/>
  <c r="K23" i="6"/>
  <c r="H23" i="6"/>
  <c r="AE22" i="6"/>
  <c r="AC22" i="6"/>
  <c r="AA22" i="6"/>
  <c r="Y22" i="6"/>
  <c r="S22" i="6"/>
  <c r="Q22" i="6"/>
  <c r="N22" i="6"/>
  <c r="K22" i="6"/>
  <c r="H22" i="6"/>
  <c r="AE21" i="6"/>
  <c r="AC21" i="6"/>
  <c r="AA21" i="6"/>
  <c r="Y21" i="6"/>
  <c r="S21" i="6"/>
  <c r="Q21" i="6"/>
  <c r="N21" i="6"/>
  <c r="K21" i="6"/>
  <c r="H21" i="6"/>
  <c r="AE20" i="6"/>
  <c r="AC20" i="6"/>
  <c r="AA20" i="6"/>
  <c r="Y20" i="6"/>
  <c r="S20" i="6"/>
  <c r="Q20" i="6"/>
  <c r="N20" i="6"/>
  <c r="K20" i="6"/>
  <c r="H20" i="6"/>
  <c r="AE19" i="6"/>
  <c r="AC19" i="6"/>
  <c r="AA19" i="6"/>
  <c r="Y19" i="6"/>
  <c r="S19" i="6"/>
  <c r="Q19" i="6"/>
  <c r="N19" i="6"/>
  <c r="K19" i="6"/>
  <c r="H19" i="6"/>
  <c r="AE18" i="6"/>
  <c r="AC18" i="6"/>
  <c r="AA18" i="6"/>
  <c r="Y18" i="6"/>
  <c r="S18" i="6"/>
  <c r="Q18" i="6"/>
  <c r="N18" i="6"/>
  <c r="K18" i="6"/>
  <c r="H18" i="6"/>
  <c r="AE17" i="6"/>
  <c r="AC17" i="6"/>
  <c r="AA17" i="6"/>
  <c r="Y17" i="6"/>
  <c r="S17" i="6"/>
  <c r="Q17" i="6"/>
  <c r="N17" i="6"/>
  <c r="K17" i="6"/>
  <c r="H17" i="6"/>
  <c r="AE16" i="6"/>
  <c r="AC16" i="6"/>
  <c r="AA16" i="6"/>
  <c r="Y16" i="6"/>
  <c r="S16" i="6"/>
  <c r="Q16" i="6"/>
  <c r="N16" i="6"/>
  <c r="K16" i="6"/>
  <c r="H16" i="6"/>
  <c r="AE15" i="6"/>
  <c r="AC15" i="6"/>
  <c r="AA15" i="6"/>
  <c r="Y15" i="6"/>
  <c r="S15" i="6"/>
  <c r="Q15" i="6"/>
  <c r="N15" i="6"/>
  <c r="K15" i="6"/>
  <c r="H15" i="6"/>
  <c r="AE14" i="6"/>
  <c r="AC14" i="6"/>
  <c r="AA14" i="6"/>
  <c r="Y14" i="6"/>
  <c r="S14" i="6"/>
  <c r="Q14" i="6"/>
  <c r="N14" i="6"/>
  <c r="K14" i="6"/>
  <c r="H14" i="6"/>
  <c r="AE13" i="6"/>
  <c r="AC13" i="6"/>
  <c r="AA13" i="6"/>
  <c r="Y13" i="6"/>
  <c r="S13" i="6"/>
  <c r="Q13" i="6"/>
  <c r="N13" i="6"/>
  <c r="K13" i="6"/>
  <c r="H13" i="6"/>
  <c r="AE12" i="6"/>
  <c r="AC12" i="6"/>
  <c r="AA12" i="6"/>
  <c r="Y12" i="6"/>
  <c r="S12" i="6"/>
  <c r="Q12" i="6"/>
  <c r="N12" i="6"/>
  <c r="K12" i="6"/>
  <c r="H12" i="6"/>
  <c r="AE11" i="6"/>
  <c r="AC11" i="6"/>
  <c r="AA11" i="6"/>
  <c r="Y11" i="6"/>
  <c r="S11" i="6"/>
  <c r="Q11" i="6"/>
  <c r="N11" i="6"/>
  <c r="K11" i="6"/>
  <c r="H11" i="6"/>
  <c r="AE10" i="6"/>
  <c r="AC10" i="6"/>
  <c r="AA10" i="6"/>
  <c r="Y10" i="6"/>
  <c r="S10" i="6"/>
  <c r="Q10" i="6"/>
  <c r="N10" i="6"/>
  <c r="K10" i="6"/>
  <c r="H10" i="6"/>
  <c r="AE9" i="6"/>
  <c r="AC9" i="6"/>
  <c r="AA9" i="6"/>
  <c r="Y9" i="6"/>
  <c r="S9" i="6"/>
  <c r="Q9" i="6"/>
  <c r="N9" i="6"/>
  <c r="K9" i="6"/>
  <c r="H9" i="6"/>
  <c r="AE8" i="6"/>
  <c r="AC8" i="6"/>
  <c r="AA8" i="6"/>
  <c r="Y8" i="6"/>
  <c r="S8" i="6"/>
  <c r="Q8" i="6"/>
  <c r="N8" i="6"/>
  <c r="K8" i="6"/>
  <c r="H8" i="6"/>
  <c r="AE7" i="6"/>
  <c r="AC7" i="6"/>
  <c r="AA7" i="6"/>
  <c r="Y7" i="6"/>
  <c r="S7" i="6"/>
  <c r="Q7" i="6"/>
  <c r="N7" i="6"/>
  <c r="K7" i="6"/>
  <c r="H7" i="6"/>
  <c r="AE6" i="6"/>
  <c r="AC6" i="6"/>
  <c r="AA6" i="6"/>
  <c r="Y6" i="6"/>
  <c r="S6" i="6"/>
  <c r="Q6" i="6"/>
  <c r="N6" i="6"/>
  <c r="K6" i="6"/>
  <c r="H6" i="6"/>
  <c r="AE5" i="6"/>
  <c r="AC5" i="6"/>
  <c r="AA5" i="6"/>
  <c r="Y5" i="6"/>
  <c r="S5" i="6"/>
  <c r="Q5" i="6"/>
  <c r="N5" i="6"/>
  <c r="K5" i="6"/>
  <c r="H5" i="6"/>
  <c r="AE4" i="6"/>
  <c r="AC4" i="6"/>
  <c r="AA4" i="6"/>
  <c r="Y4" i="6"/>
  <c r="S4" i="6"/>
  <c r="Q4" i="6"/>
  <c r="N4" i="6"/>
  <c r="K4" i="6"/>
  <c r="H4" i="6"/>
  <c r="AE3" i="6"/>
  <c r="AC3" i="6"/>
  <c r="AA3" i="6"/>
  <c r="Y3" i="6"/>
  <c r="S3" i="6"/>
  <c r="Q3" i="6"/>
  <c r="N3" i="6"/>
  <c r="K3" i="6"/>
  <c r="H3" i="6"/>
  <c r="AE2" i="6"/>
  <c r="AC2" i="6"/>
  <c r="AA2" i="6"/>
  <c r="Y2" i="6"/>
  <c r="S2" i="6"/>
  <c r="Q2" i="6"/>
  <c r="N2" i="6"/>
  <c r="K2" i="6"/>
  <c r="H2" i="6"/>
  <c r="AE129" i="5"/>
  <c r="AC129" i="5"/>
  <c r="AA129" i="5"/>
  <c r="Y129" i="5"/>
  <c r="S129" i="5"/>
  <c r="Q129" i="5"/>
  <c r="N129" i="5"/>
  <c r="K129" i="5"/>
  <c r="H129" i="5"/>
  <c r="AE128" i="5"/>
  <c r="AC128" i="5"/>
  <c r="AA128" i="5"/>
  <c r="Y128" i="5"/>
  <c r="S128" i="5"/>
  <c r="Q128" i="5"/>
  <c r="N128" i="5"/>
  <c r="K128" i="5"/>
  <c r="H128" i="5"/>
  <c r="AE127" i="5"/>
  <c r="AC127" i="5"/>
  <c r="AA127" i="5"/>
  <c r="Y127" i="5"/>
  <c r="S127" i="5"/>
  <c r="Q127" i="5"/>
  <c r="N127" i="5"/>
  <c r="K127" i="5"/>
  <c r="H127" i="5"/>
  <c r="AE126" i="5"/>
  <c r="AC126" i="5"/>
  <c r="AA126" i="5"/>
  <c r="Y126" i="5"/>
  <c r="S126" i="5"/>
  <c r="Q126" i="5"/>
  <c r="N126" i="5"/>
  <c r="K126" i="5"/>
  <c r="H126" i="5"/>
  <c r="AE125" i="5"/>
  <c r="AC125" i="5"/>
  <c r="AA125" i="5"/>
  <c r="Y125" i="5"/>
  <c r="S125" i="5"/>
  <c r="Q125" i="5"/>
  <c r="N125" i="5"/>
  <c r="K125" i="5"/>
  <c r="H125" i="5"/>
  <c r="AE124" i="5"/>
  <c r="AC124" i="5"/>
  <c r="AA124" i="5"/>
  <c r="Y124" i="5"/>
  <c r="S124" i="5"/>
  <c r="Q124" i="5"/>
  <c r="N124" i="5"/>
  <c r="K124" i="5"/>
  <c r="H124" i="5"/>
  <c r="AE123" i="5"/>
  <c r="AC123" i="5"/>
  <c r="AA123" i="5"/>
  <c r="Y123" i="5"/>
  <c r="S123" i="5"/>
  <c r="Q123" i="5"/>
  <c r="N123" i="5"/>
  <c r="K123" i="5"/>
  <c r="H123" i="5"/>
  <c r="AE122" i="5"/>
  <c r="AC122" i="5"/>
  <c r="AA122" i="5"/>
  <c r="Y122" i="5"/>
  <c r="S122" i="5"/>
  <c r="Q122" i="5"/>
  <c r="N122" i="5"/>
  <c r="K122" i="5"/>
  <c r="H122" i="5"/>
  <c r="AE121" i="5"/>
  <c r="AC121" i="5"/>
  <c r="AA121" i="5"/>
  <c r="Y121" i="5"/>
  <c r="S121" i="5"/>
  <c r="Q121" i="5"/>
  <c r="N121" i="5"/>
  <c r="K121" i="5"/>
  <c r="H121" i="5"/>
  <c r="AE120" i="5"/>
  <c r="AC120" i="5"/>
  <c r="AA120" i="5"/>
  <c r="Y120" i="5"/>
  <c r="S120" i="5"/>
  <c r="Q120" i="5"/>
  <c r="N120" i="5"/>
  <c r="K120" i="5"/>
  <c r="H120" i="5"/>
  <c r="AE119" i="5"/>
  <c r="AC119" i="5"/>
  <c r="AA119" i="5"/>
  <c r="Y119" i="5"/>
  <c r="S119" i="5"/>
  <c r="Q119" i="5"/>
  <c r="N119" i="5"/>
  <c r="K119" i="5"/>
  <c r="H119" i="5"/>
  <c r="AE118" i="5"/>
  <c r="AC118" i="5"/>
  <c r="AA118" i="5"/>
  <c r="Y118" i="5"/>
  <c r="S118" i="5"/>
  <c r="Q118" i="5"/>
  <c r="N118" i="5"/>
  <c r="K118" i="5"/>
  <c r="H118" i="5"/>
  <c r="AE117" i="5"/>
  <c r="AC117" i="5"/>
  <c r="AA117" i="5"/>
  <c r="Y117" i="5"/>
  <c r="S117" i="5"/>
  <c r="Q117" i="5"/>
  <c r="N117" i="5"/>
  <c r="K117" i="5"/>
  <c r="H117" i="5"/>
  <c r="AE116" i="5"/>
  <c r="AC116" i="5"/>
  <c r="AA116" i="5"/>
  <c r="Y116" i="5"/>
  <c r="S116" i="5"/>
  <c r="Q116" i="5"/>
  <c r="N116" i="5"/>
  <c r="K116" i="5"/>
  <c r="H116" i="5"/>
  <c r="AE115" i="5"/>
  <c r="AC115" i="5"/>
  <c r="AA115" i="5"/>
  <c r="Y115" i="5"/>
  <c r="S115" i="5"/>
  <c r="Q115" i="5"/>
  <c r="N115" i="5"/>
  <c r="K115" i="5"/>
  <c r="H115" i="5"/>
  <c r="AE114" i="5"/>
  <c r="AC114" i="5"/>
  <c r="AA114" i="5"/>
  <c r="Y114" i="5"/>
  <c r="S114" i="5"/>
  <c r="Q114" i="5"/>
  <c r="N114" i="5"/>
  <c r="K114" i="5"/>
  <c r="H114" i="5"/>
  <c r="AE113" i="5"/>
  <c r="AC113" i="5"/>
  <c r="AA113" i="5"/>
  <c r="Y113" i="5"/>
  <c r="S113" i="5"/>
  <c r="Q113" i="5"/>
  <c r="N113" i="5"/>
  <c r="K113" i="5"/>
  <c r="H113" i="5"/>
  <c r="AE112" i="5"/>
  <c r="AC112" i="5"/>
  <c r="AA112" i="5"/>
  <c r="Y112" i="5"/>
  <c r="S112" i="5"/>
  <c r="Q112" i="5"/>
  <c r="N112" i="5"/>
  <c r="K112" i="5"/>
  <c r="H112" i="5"/>
  <c r="AE111" i="5"/>
  <c r="AC111" i="5"/>
  <c r="AA111" i="5"/>
  <c r="Y111" i="5"/>
  <c r="S111" i="5"/>
  <c r="Q111" i="5"/>
  <c r="N111" i="5"/>
  <c r="K111" i="5"/>
  <c r="H111" i="5"/>
  <c r="AE110" i="5"/>
  <c r="AC110" i="5"/>
  <c r="AA110" i="5"/>
  <c r="Y110" i="5"/>
  <c r="S110" i="5"/>
  <c r="Q110" i="5"/>
  <c r="N110" i="5"/>
  <c r="K110" i="5"/>
  <c r="H110" i="5"/>
  <c r="AE109" i="5"/>
  <c r="AC109" i="5"/>
  <c r="AA109" i="5"/>
  <c r="Y109" i="5"/>
  <c r="S109" i="5"/>
  <c r="Q109" i="5"/>
  <c r="N109" i="5"/>
  <c r="K109" i="5"/>
  <c r="H109" i="5"/>
  <c r="AE108" i="5"/>
  <c r="AC108" i="5"/>
  <c r="AA108" i="5"/>
  <c r="Y108" i="5"/>
  <c r="S108" i="5"/>
  <c r="Q108" i="5"/>
  <c r="N108" i="5"/>
  <c r="K108" i="5"/>
  <c r="H108" i="5"/>
  <c r="AE107" i="5"/>
  <c r="AC107" i="5"/>
  <c r="AA107" i="5"/>
  <c r="Y107" i="5"/>
  <c r="S107" i="5"/>
  <c r="Q107" i="5"/>
  <c r="N107" i="5"/>
  <c r="K107" i="5"/>
  <c r="H107" i="5"/>
  <c r="AE106" i="5"/>
  <c r="AC106" i="5"/>
  <c r="AA106" i="5"/>
  <c r="Y106" i="5"/>
  <c r="S106" i="5"/>
  <c r="Q106" i="5"/>
  <c r="N106" i="5"/>
  <c r="K106" i="5"/>
  <c r="H106" i="5"/>
  <c r="AE105" i="5"/>
  <c r="AC105" i="5"/>
  <c r="AA105" i="5"/>
  <c r="Y105" i="5"/>
  <c r="S105" i="5"/>
  <c r="Q105" i="5"/>
  <c r="N105" i="5"/>
  <c r="K105" i="5"/>
  <c r="H105" i="5"/>
  <c r="AE104" i="5"/>
  <c r="AC104" i="5"/>
  <c r="AA104" i="5"/>
  <c r="Y104" i="5"/>
  <c r="S104" i="5"/>
  <c r="Q104" i="5"/>
  <c r="N104" i="5"/>
  <c r="K104" i="5"/>
  <c r="H104" i="5"/>
  <c r="AE103" i="5"/>
  <c r="AC103" i="5"/>
  <c r="AA103" i="5"/>
  <c r="Y103" i="5"/>
  <c r="S103" i="5"/>
  <c r="Q103" i="5"/>
  <c r="N103" i="5"/>
  <c r="K103" i="5"/>
  <c r="H103" i="5"/>
  <c r="AE102" i="5"/>
  <c r="AC102" i="5"/>
  <c r="AA102" i="5"/>
  <c r="Y102" i="5"/>
  <c r="S102" i="5"/>
  <c r="Q102" i="5"/>
  <c r="N102" i="5"/>
  <c r="K102" i="5"/>
  <c r="H102" i="5"/>
  <c r="AE101" i="5"/>
  <c r="AC101" i="5"/>
  <c r="AA101" i="5"/>
  <c r="Y101" i="5"/>
  <c r="S101" i="5"/>
  <c r="Q101" i="5"/>
  <c r="N101" i="5"/>
  <c r="K101" i="5"/>
  <c r="H101" i="5"/>
  <c r="AE100" i="5"/>
  <c r="AC100" i="5"/>
  <c r="AA100" i="5"/>
  <c r="Y100" i="5"/>
  <c r="S100" i="5"/>
  <c r="Q100" i="5"/>
  <c r="N100" i="5"/>
  <c r="K100" i="5"/>
  <c r="H100" i="5"/>
  <c r="AE99" i="5"/>
  <c r="AC99" i="5"/>
  <c r="AA99" i="5"/>
  <c r="Y99" i="5"/>
  <c r="S99" i="5"/>
  <c r="Q99" i="5"/>
  <c r="N99" i="5"/>
  <c r="K99" i="5"/>
  <c r="H99" i="5"/>
  <c r="AE98" i="5"/>
  <c r="AC98" i="5"/>
  <c r="AA98" i="5"/>
  <c r="Y98" i="5"/>
  <c r="S98" i="5"/>
  <c r="Q98" i="5"/>
  <c r="N98" i="5"/>
  <c r="K98" i="5"/>
  <c r="H98" i="5"/>
  <c r="AE97" i="5"/>
  <c r="AC97" i="5"/>
  <c r="AA97" i="5"/>
  <c r="Y97" i="5"/>
  <c r="S97" i="5"/>
  <c r="Q97" i="5"/>
  <c r="N97" i="5"/>
  <c r="K97" i="5"/>
  <c r="H97" i="5"/>
  <c r="AE96" i="5"/>
  <c r="AC96" i="5"/>
  <c r="AA96" i="5"/>
  <c r="Y96" i="5"/>
  <c r="S96" i="5"/>
  <c r="Q96" i="5"/>
  <c r="N96" i="5"/>
  <c r="K96" i="5"/>
  <c r="H96" i="5"/>
  <c r="AE95" i="5"/>
  <c r="AC95" i="5"/>
  <c r="AA95" i="5"/>
  <c r="Y95" i="5"/>
  <c r="S95" i="5"/>
  <c r="Q95" i="5"/>
  <c r="N95" i="5"/>
  <c r="K95" i="5"/>
  <c r="H95" i="5"/>
  <c r="AE94" i="5"/>
  <c r="AC94" i="5"/>
  <c r="AA94" i="5"/>
  <c r="Y94" i="5"/>
  <c r="S94" i="5"/>
  <c r="Q94" i="5"/>
  <c r="N94" i="5"/>
  <c r="K94" i="5"/>
  <c r="H94" i="5"/>
  <c r="AE93" i="5"/>
  <c r="AC93" i="5"/>
  <c r="AA93" i="5"/>
  <c r="Y93" i="5"/>
  <c r="S93" i="5"/>
  <c r="Q93" i="5"/>
  <c r="N93" i="5"/>
  <c r="K93" i="5"/>
  <c r="H93" i="5"/>
  <c r="AE92" i="5"/>
  <c r="AC92" i="5"/>
  <c r="AA92" i="5"/>
  <c r="Y92" i="5"/>
  <c r="S92" i="5"/>
  <c r="Q92" i="5"/>
  <c r="N92" i="5"/>
  <c r="K92" i="5"/>
  <c r="H92" i="5"/>
  <c r="AE91" i="5"/>
  <c r="AC91" i="5"/>
  <c r="AA91" i="5"/>
  <c r="Y91" i="5"/>
  <c r="S91" i="5"/>
  <c r="Q91" i="5"/>
  <c r="N91" i="5"/>
  <c r="K91" i="5"/>
  <c r="H91" i="5"/>
  <c r="AE90" i="5"/>
  <c r="AC90" i="5"/>
  <c r="AA90" i="5"/>
  <c r="Y90" i="5"/>
  <c r="S90" i="5"/>
  <c r="Q90" i="5"/>
  <c r="N90" i="5"/>
  <c r="K90" i="5"/>
  <c r="H90" i="5"/>
  <c r="AE89" i="5"/>
  <c r="AC89" i="5"/>
  <c r="AA89" i="5"/>
  <c r="Y89" i="5"/>
  <c r="S89" i="5"/>
  <c r="Q89" i="5"/>
  <c r="N89" i="5"/>
  <c r="K89" i="5"/>
  <c r="H89" i="5"/>
  <c r="AE88" i="5"/>
  <c r="AC88" i="5"/>
  <c r="AA88" i="5"/>
  <c r="Y88" i="5"/>
  <c r="S88" i="5"/>
  <c r="Q88" i="5"/>
  <c r="N88" i="5"/>
  <c r="K88" i="5"/>
  <c r="H88" i="5"/>
  <c r="AE87" i="5"/>
  <c r="AC87" i="5"/>
  <c r="AA87" i="5"/>
  <c r="Y87" i="5"/>
  <c r="S87" i="5"/>
  <c r="Q87" i="5"/>
  <c r="N87" i="5"/>
  <c r="K87" i="5"/>
  <c r="H87" i="5"/>
  <c r="AE86" i="5"/>
  <c r="AC86" i="5"/>
  <c r="AA86" i="5"/>
  <c r="Y86" i="5"/>
  <c r="S86" i="5"/>
  <c r="Q86" i="5"/>
  <c r="N86" i="5"/>
  <c r="K86" i="5"/>
  <c r="H86" i="5"/>
  <c r="AE85" i="5"/>
  <c r="AC85" i="5"/>
  <c r="AA85" i="5"/>
  <c r="Y85" i="5"/>
  <c r="S85" i="5"/>
  <c r="Q85" i="5"/>
  <c r="N85" i="5"/>
  <c r="K85" i="5"/>
  <c r="H85" i="5"/>
  <c r="AE84" i="5"/>
  <c r="AC84" i="5"/>
  <c r="AA84" i="5"/>
  <c r="Y84" i="5"/>
  <c r="S84" i="5"/>
  <c r="Q84" i="5"/>
  <c r="N84" i="5"/>
  <c r="K84" i="5"/>
  <c r="H84" i="5"/>
  <c r="AE83" i="5"/>
  <c r="AC83" i="5"/>
  <c r="AA83" i="5"/>
  <c r="Y83" i="5"/>
  <c r="S83" i="5"/>
  <c r="Q83" i="5"/>
  <c r="N83" i="5"/>
  <c r="K83" i="5"/>
  <c r="H83" i="5"/>
  <c r="AE82" i="5"/>
  <c r="AC82" i="5"/>
  <c r="AA82" i="5"/>
  <c r="Y82" i="5"/>
  <c r="S82" i="5"/>
  <c r="Q82" i="5"/>
  <c r="N82" i="5"/>
  <c r="K82" i="5"/>
  <c r="H82" i="5"/>
  <c r="AE81" i="5"/>
  <c r="AC81" i="5"/>
  <c r="AA81" i="5"/>
  <c r="Y81" i="5"/>
  <c r="S81" i="5"/>
  <c r="Q81" i="5"/>
  <c r="N81" i="5"/>
  <c r="K81" i="5"/>
  <c r="H81" i="5"/>
  <c r="AE80" i="5"/>
  <c r="AC80" i="5"/>
  <c r="AA80" i="5"/>
  <c r="Y80" i="5"/>
  <c r="S80" i="5"/>
  <c r="Q80" i="5"/>
  <c r="N80" i="5"/>
  <c r="K80" i="5"/>
  <c r="H80" i="5"/>
  <c r="AE79" i="5"/>
  <c r="AC79" i="5"/>
  <c r="AA79" i="5"/>
  <c r="Y79" i="5"/>
  <c r="S79" i="5"/>
  <c r="Q79" i="5"/>
  <c r="N79" i="5"/>
  <c r="K79" i="5"/>
  <c r="H79" i="5"/>
  <c r="AE78" i="5"/>
  <c r="AC78" i="5"/>
  <c r="AA78" i="5"/>
  <c r="Y78" i="5"/>
  <c r="S78" i="5"/>
  <c r="Q78" i="5"/>
  <c r="N78" i="5"/>
  <c r="K78" i="5"/>
  <c r="H78" i="5"/>
  <c r="AE77" i="5"/>
  <c r="AC77" i="5"/>
  <c r="AA77" i="5"/>
  <c r="Y77" i="5"/>
  <c r="S77" i="5"/>
  <c r="Q77" i="5"/>
  <c r="N77" i="5"/>
  <c r="K77" i="5"/>
  <c r="H77" i="5"/>
  <c r="AE76" i="5"/>
  <c r="AC76" i="5"/>
  <c r="AA76" i="5"/>
  <c r="Y76" i="5"/>
  <c r="S76" i="5"/>
  <c r="Q76" i="5"/>
  <c r="N76" i="5"/>
  <c r="K76" i="5"/>
  <c r="H76" i="5"/>
  <c r="AE75" i="5"/>
  <c r="AC75" i="5"/>
  <c r="AA75" i="5"/>
  <c r="Y75" i="5"/>
  <c r="S75" i="5"/>
  <c r="Q75" i="5"/>
  <c r="N75" i="5"/>
  <c r="K75" i="5"/>
  <c r="H75" i="5"/>
  <c r="AE74" i="5"/>
  <c r="AC74" i="5"/>
  <c r="AA74" i="5"/>
  <c r="Y74" i="5"/>
  <c r="S74" i="5"/>
  <c r="Q74" i="5"/>
  <c r="N74" i="5"/>
  <c r="K74" i="5"/>
  <c r="H74" i="5"/>
  <c r="AE73" i="5"/>
  <c r="AC73" i="5"/>
  <c r="AA73" i="5"/>
  <c r="Y73" i="5"/>
  <c r="S73" i="5"/>
  <c r="Q73" i="5"/>
  <c r="N73" i="5"/>
  <c r="K73" i="5"/>
  <c r="H73" i="5"/>
  <c r="AE72" i="5"/>
  <c r="AC72" i="5"/>
  <c r="AA72" i="5"/>
  <c r="Y72" i="5"/>
  <c r="S72" i="5"/>
  <c r="Q72" i="5"/>
  <c r="N72" i="5"/>
  <c r="K72" i="5"/>
  <c r="H72" i="5"/>
  <c r="AE71" i="5"/>
  <c r="AC71" i="5"/>
  <c r="AA71" i="5"/>
  <c r="Y71" i="5"/>
  <c r="S71" i="5"/>
  <c r="Q71" i="5"/>
  <c r="N71" i="5"/>
  <c r="K71" i="5"/>
  <c r="H71" i="5"/>
  <c r="AE70" i="5"/>
  <c r="AC70" i="5"/>
  <c r="AA70" i="5"/>
  <c r="Y70" i="5"/>
  <c r="S70" i="5"/>
  <c r="Q70" i="5"/>
  <c r="N70" i="5"/>
  <c r="K70" i="5"/>
  <c r="H70" i="5"/>
  <c r="AE69" i="5"/>
  <c r="AC69" i="5"/>
  <c r="AA69" i="5"/>
  <c r="Y69" i="5"/>
  <c r="S69" i="5"/>
  <c r="Q69" i="5"/>
  <c r="N69" i="5"/>
  <c r="K69" i="5"/>
  <c r="H69" i="5"/>
  <c r="AE68" i="5"/>
  <c r="AC68" i="5"/>
  <c r="AA68" i="5"/>
  <c r="Y68" i="5"/>
  <c r="S68" i="5"/>
  <c r="Q68" i="5"/>
  <c r="N68" i="5"/>
  <c r="K68" i="5"/>
  <c r="H68" i="5"/>
  <c r="AE67" i="5"/>
  <c r="AC67" i="5"/>
  <c r="AA67" i="5"/>
  <c r="Y67" i="5"/>
  <c r="S67" i="5"/>
  <c r="Q67" i="5"/>
  <c r="N67" i="5"/>
  <c r="K67" i="5"/>
  <c r="H67" i="5"/>
  <c r="AE66" i="5"/>
  <c r="AC66" i="5"/>
  <c r="AA66" i="5"/>
  <c r="Y66" i="5"/>
  <c r="S66" i="5"/>
  <c r="Q66" i="5"/>
  <c r="N66" i="5"/>
  <c r="K66" i="5"/>
  <c r="H66" i="5"/>
  <c r="AE65" i="5"/>
  <c r="AC65" i="5"/>
  <c r="AA65" i="5"/>
  <c r="Y65" i="5"/>
  <c r="S65" i="5"/>
  <c r="Q65" i="5"/>
  <c r="N65" i="5"/>
  <c r="K65" i="5"/>
  <c r="H65" i="5"/>
  <c r="AE64" i="5"/>
  <c r="AC64" i="5"/>
  <c r="AA64" i="5"/>
  <c r="Y64" i="5"/>
  <c r="S64" i="5"/>
  <c r="Q64" i="5"/>
  <c r="N64" i="5"/>
  <c r="K64" i="5"/>
  <c r="H64" i="5"/>
  <c r="AE63" i="5"/>
  <c r="AC63" i="5"/>
  <c r="AA63" i="5"/>
  <c r="Y63" i="5"/>
  <c r="S63" i="5"/>
  <c r="Q63" i="5"/>
  <c r="N63" i="5"/>
  <c r="K63" i="5"/>
  <c r="H63" i="5"/>
  <c r="AE62" i="5"/>
  <c r="AC62" i="5"/>
  <c r="AA62" i="5"/>
  <c r="Y62" i="5"/>
  <c r="S62" i="5"/>
  <c r="Q62" i="5"/>
  <c r="N62" i="5"/>
  <c r="K62" i="5"/>
  <c r="H62" i="5"/>
  <c r="AE61" i="5"/>
  <c r="AC61" i="5"/>
  <c r="AA61" i="5"/>
  <c r="Y61" i="5"/>
  <c r="S61" i="5"/>
  <c r="Q61" i="5"/>
  <c r="N61" i="5"/>
  <c r="K61" i="5"/>
  <c r="H61" i="5"/>
  <c r="AE60" i="5"/>
  <c r="AC60" i="5"/>
  <c r="AA60" i="5"/>
  <c r="Y60" i="5"/>
  <c r="S60" i="5"/>
  <c r="Q60" i="5"/>
  <c r="N60" i="5"/>
  <c r="K60" i="5"/>
  <c r="H60" i="5"/>
  <c r="AE59" i="5"/>
  <c r="AC59" i="5"/>
  <c r="AA59" i="5"/>
  <c r="Y59" i="5"/>
  <c r="S59" i="5"/>
  <c r="Q59" i="5"/>
  <c r="N59" i="5"/>
  <c r="K59" i="5"/>
  <c r="H59" i="5"/>
  <c r="AE58" i="5"/>
  <c r="AC58" i="5"/>
  <c r="AA58" i="5"/>
  <c r="Y58" i="5"/>
  <c r="S58" i="5"/>
  <c r="Q58" i="5"/>
  <c r="N58" i="5"/>
  <c r="K58" i="5"/>
  <c r="H58" i="5"/>
  <c r="AE57" i="5"/>
  <c r="AC57" i="5"/>
  <c r="AA57" i="5"/>
  <c r="Y57" i="5"/>
  <c r="S57" i="5"/>
  <c r="Q57" i="5"/>
  <c r="N57" i="5"/>
  <c r="K57" i="5"/>
  <c r="H57" i="5"/>
  <c r="AE56" i="5"/>
  <c r="AC56" i="5"/>
  <c r="AA56" i="5"/>
  <c r="Y56" i="5"/>
  <c r="S56" i="5"/>
  <c r="Q56" i="5"/>
  <c r="N56" i="5"/>
  <c r="K56" i="5"/>
  <c r="H56" i="5"/>
  <c r="AE55" i="5"/>
  <c r="AC55" i="5"/>
  <c r="AA55" i="5"/>
  <c r="Y55" i="5"/>
  <c r="S55" i="5"/>
  <c r="Q55" i="5"/>
  <c r="N55" i="5"/>
  <c r="K55" i="5"/>
  <c r="H55" i="5"/>
  <c r="AE54" i="5"/>
  <c r="AC54" i="5"/>
  <c r="AA54" i="5"/>
  <c r="Y54" i="5"/>
  <c r="S54" i="5"/>
  <c r="Q54" i="5"/>
  <c r="N54" i="5"/>
  <c r="K54" i="5"/>
  <c r="H54" i="5"/>
  <c r="AE53" i="5"/>
  <c r="AC53" i="5"/>
  <c r="AA53" i="5"/>
  <c r="Y53" i="5"/>
  <c r="S53" i="5"/>
  <c r="Q53" i="5"/>
  <c r="N53" i="5"/>
  <c r="K53" i="5"/>
  <c r="H53" i="5"/>
  <c r="AE52" i="5"/>
  <c r="AC52" i="5"/>
  <c r="AA52" i="5"/>
  <c r="Y52" i="5"/>
  <c r="S52" i="5"/>
  <c r="Q52" i="5"/>
  <c r="N52" i="5"/>
  <c r="K52" i="5"/>
  <c r="H52" i="5"/>
  <c r="AE51" i="5"/>
  <c r="AC51" i="5"/>
  <c r="AA51" i="5"/>
  <c r="Y51" i="5"/>
  <c r="S51" i="5"/>
  <c r="Q51" i="5"/>
  <c r="N51" i="5"/>
  <c r="K51" i="5"/>
  <c r="H51" i="5"/>
  <c r="AE50" i="5"/>
  <c r="AC50" i="5"/>
  <c r="AA50" i="5"/>
  <c r="Y50" i="5"/>
  <c r="S50" i="5"/>
  <c r="Q50" i="5"/>
  <c r="N50" i="5"/>
  <c r="K50" i="5"/>
  <c r="H50" i="5"/>
  <c r="AE49" i="5"/>
  <c r="AC49" i="5"/>
  <c r="AA49" i="5"/>
  <c r="Y49" i="5"/>
  <c r="S49" i="5"/>
  <c r="Q49" i="5"/>
  <c r="N49" i="5"/>
  <c r="K49" i="5"/>
  <c r="H49" i="5"/>
  <c r="AE48" i="5"/>
  <c r="AC48" i="5"/>
  <c r="AA48" i="5"/>
  <c r="Y48" i="5"/>
  <c r="S48" i="5"/>
  <c r="Q48" i="5"/>
  <c r="N48" i="5"/>
  <c r="K48" i="5"/>
  <c r="H48" i="5"/>
  <c r="AE47" i="5"/>
  <c r="AC47" i="5"/>
  <c r="AA47" i="5"/>
  <c r="Y47" i="5"/>
  <c r="S47" i="5"/>
  <c r="Q47" i="5"/>
  <c r="N47" i="5"/>
  <c r="K47" i="5"/>
  <c r="H47" i="5"/>
  <c r="AE46" i="5"/>
  <c r="AC46" i="5"/>
  <c r="AA46" i="5"/>
  <c r="Y46" i="5"/>
  <c r="S46" i="5"/>
  <c r="Q46" i="5"/>
  <c r="N46" i="5"/>
  <c r="K46" i="5"/>
  <c r="H46" i="5"/>
  <c r="AE45" i="5"/>
  <c r="AC45" i="5"/>
  <c r="AA45" i="5"/>
  <c r="Y45" i="5"/>
  <c r="S45" i="5"/>
  <c r="Q45" i="5"/>
  <c r="N45" i="5"/>
  <c r="K45" i="5"/>
  <c r="H45" i="5"/>
  <c r="AE44" i="5"/>
  <c r="AC44" i="5"/>
  <c r="AA44" i="5"/>
  <c r="Y44" i="5"/>
  <c r="S44" i="5"/>
  <c r="Q44" i="5"/>
  <c r="N44" i="5"/>
  <c r="K44" i="5"/>
  <c r="H44" i="5"/>
  <c r="AE43" i="5"/>
  <c r="AC43" i="5"/>
  <c r="AA43" i="5"/>
  <c r="Y43" i="5"/>
  <c r="S43" i="5"/>
  <c r="Q43" i="5"/>
  <c r="N43" i="5"/>
  <c r="K43" i="5"/>
  <c r="H43" i="5"/>
  <c r="AE42" i="5"/>
  <c r="AC42" i="5"/>
  <c r="AA42" i="5"/>
  <c r="Y42" i="5"/>
  <c r="S42" i="5"/>
  <c r="Q42" i="5"/>
  <c r="N42" i="5"/>
  <c r="K42" i="5"/>
  <c r="H42" i="5"/>
  <c r="AE41" i="5"/>
  <c r="AC41" i="5"/>
  <c r="AA41" i="5"/>
  <c r="Y41" i="5"/>
  <c r="S41" i="5"/>
  <c r="Q41" i="5"/>
  <c r="N41" i="5"/>
  <c r="K41" i="5"/>
  <c r="H41" i="5"/>
  <c r="AE40" i="5"/>
  <c r="AC40" i="5"/>
  <c r="AA40" i="5"/>
  <c r="Y40" i="5"/>
  <c r="S40" i="5"/>
  <c r="Q40" i="5"/>
  <c r="N40" i="5"/>
  <c r="K40" i="5"/>
  <c r="H40" i="5"/>
  <c r="AE39" i="5"/>
  <c r="AC39" i="5"/>
  <c r="AA39" i="5"/>
  <c r="Y39" i="5"/>
  <c r="S39" i="5"/>
  <c r="Q39" i="5"/>
  <c r="N39" i="5"/>
  <c r="K39" i="5"/>
  <c r="H39" i="5"/>
  <c r="AE38" i="5"/>
  <c r="AC38" i="5"/>
  <c r="AA38" i="5"/>
  <c r="Y38" i="5"/>
  <c r="S38" i="5"/>
  <c r="Q38" i="5"/>
  <c r="N38" i="5"/>
  <c r="K38" i="5"/>
  <c r="H38" i="5"/>
  <c r="AE37" i="5"/>
  <c r="AC37" i="5"/>
  <c r="AA37" i="5"/>
  <c r="Y37" i="5"/>
  <c r="S37" i="5"/>
  <c r="Q37" i="5"/>
  <c r="N37" i="5"/>
  <c r="K37" i="5"/>
  <c r="H37" i="5"/>
  <c r="AE36" i="5"/>
  <c r="AC36" i="5"/>
  <c r="AA36" i="5"/>
  <c r="Y36" i="5"/>
  <c r="S36" i="5"/>
  <c r="Q36" i="5"/>
  <c r="N36" i="5"/>
  <c r="K36" i="5"/>
  <c r="H36" i="5"/>
  <c r="AE35" i="5"/>
  <c r="AC35" i="5"/>
  <c r="AA35" i="5"/>
  <c r="Y35" i="5"/>
  <c r="S35" i="5"/>
  <c r="Q35" i="5"/>
  <c r="N35" i="5"/>
  <c r="K35" i="5"/>
  <c r="H35" i="5"/>
  <c r="AE34" i="5"/>
  <c r="AC34" i="5"/>
  <c r="AA34" i="5"/>
  <c r="Y34" i="5"/>
  <c r="S34" i="5"/>
  <c r="Q34" i="5"/>
  <c r="N34" i="5"/>
  <c r="K34" i="5"/>
  <c r="H34" i="5"/>
  <c r="AE33" i="5"/>
  <c r="AC33" i="5"/>
  <c r="AA33" i="5"/>
  <c r="Y33" i="5"/>
  <c r="S33" i="5"/>
  <c r="Q33" i="5"/>
  <c r="N33" i="5"/>
  <c r="K33" i="5"/>
  <c r="H33" i="5"/>
  <c r="AE32" i="5"/>
  <c r="AC32" i="5"/>
  <c r="AA32" i="5"/>
  <c r="Y32" i="5"/>
  <c r="S32" i="5"/>
  <c r="Q32" i="5"/>
  <c r="N32" i="5"/>
  <c r="K32" i="5"/>
  <c r="H32" i="5"/>
  <c r="AE31" i="5"/>
  <c r="AC31" i="5"/>
  <c r="AA31" i="5"/>
  <c r="Y31" i="5"/>
  <c r="S31" i="5"/>
  <c r="Q31" i="5"/>
  <c r="N31" i="5"/>
  <c r="K31" i="5"/>
  <c r="H31" i="5"/>
  <c r="AE30" i="5"/>
  <c r="AC30" i="5"/>
  <c r="AA30" i="5"/>
  <c r="Y30" i="5"/>
  <c r="S30" i="5"/>
  <c r="Q30" i="5"/>
  <c r="N30" i="5"/>
  <c r="K30" i="5"/>
  <c r="H30" i="5"/>
  <c r="AE29" i="5"/>
  <c r="AC29" i="5"/>
  <c r="AA29" i="5"/>
  <c r="Y29" i="5"/>
  <c r="S29" i="5"/>
  <c r="Q29" i="5"/>
  <c r="N29" i="5"/>
  <c r="K29" i="5"/>
  <c r="H29" i="5"/>
  <c r="AE28" i="5"/>
  <c r="AC28" i="5"/>
  <c r="AA28" i="5"/>
  <c r="Y28" i="5"/>
  <c r="S28" i="5"/>
  <c r="Q28" i="5"/>
  <c r="N28" i="5"/>
  <c r="K28" i="5"/>
  <c r="H28" i="5"/>
  <c r="AE27" i="5"/>
  <c r="AC27" i="5"/>
  <c r="AA27" i="5"/>
  <c r="Y27" i="5"/>
  <c r="S27" i="5"/>
  <c r="Q27" i="5"/>
  <c r="N27" i="5"/>
  <c r="K27" i="5"/>
  <c r="H27" i="5"/>
  <c r="AE26" i="5"/>
  <c r="AC26" i="5"/>
  <c r="AA26" i="5"/>
  <c r="Y26" i="5"/>
  <c r="S26" i="5"/>
  <c r="Q26" i="5"/>
  <c r="N26" i="5"/>
  <c r="K26" i="5"/>
  <c r="H26" i="5"/>
  <c r="AE25" i="5"/>
  <c r="AC25" i="5"/>
  <c r="AA25" i="5"/>
  <c r="Y25" i="5"/>
  <c r="S25" i="5"/>
  <c r="Q25" i="5"/>
  <c r="N25" i="5"/>
  <c r="K25" i="5"/>
  <c r="H25" i="5"/>
  <c r="AE24" i="5"/>
  <c r="AC24" i="5"/>
  <c r="AA24" i="5"/>
  <c r="Y24" i="5"/>
  <c r="S24" i="5"/>
  <c r="Q24" i="5"/>
  <c r="N24" i="5"/>
  <c r="K24" i="5"/>
  <c r="H24" i="5"/>
  <c r="AE23" i="5"/>
  <c r="AC23" i="5"/>
  <c r="AA23" i="5"/>
  <c r="Y23" i="5"/>
  <c r="S23" i="5"/>
  <c r="Q23" i="5"/>
  <c r="N23" i="5"/>
  <c r="K23" i="5"/>
  <c r="H23" i="5"/>
  <c r="AE22" i="5"/>
  <c r="AC22" i="5"/>
  <c r="AA22" i="5"/>
  <c r="Y22" i="5"/>
  <c r="S22" i="5"/>
  <c r="Q22" i="5"/>
  <c r="N22" i="5"/>
  <c r="K22" i="5"/>
  <c r="H22" i="5"/>
  <c r="AE21" i="5"/>
  <c r="AC21" i="5"/>
  <c r="AA21" i="5"/>
  <c r="Y21" i="5"/>
  <c r="S21" i="5"/>
  <c r="Q21" i="5"/>
  <c r="N21" i="5"/>
  <c r="K21" i="5"/>
  <c r="H21" i="5"/>
  <c r="AE20" i="5"/>
  <c r="AC20" i="5"/>
  <c r="AA20" i="5"/>
  <c r="Y20" i="5"/>
  <c r="S20" i="5"/>
  <c r="Q20" i="5"/>
  <c r="N20" i="5"/>
  <c r="K20" i="5"/>
  <c r="H20" i="5"/>
  <c r="AE19" i="5"/>
  <c r="AC19" i="5"/>
  <c r="AA19" i="5"/>
  <c r="Y19" i="5"/>
  <c r="S19" i="5"/>
  <c r="Q19" i="5"/>
  <c r="N19" i="5"/>
  <c r="K19" i="5"/>
  <c r="H19" i="5"/>
  <c r="AE18" i="5"/>
  <c r="AC18" i="5"/>
  <c r="AA18" i="5"/>
  <c r="Y18" i="5"/>
  <c r="S18" i="5"/>
  <c r="Q18" i="5"/>
  <c r="N18" i="5"/>
  <c r="K18" i="5"/>
  <c r="H18" i="5"/>
  <c r="AE17" i="5"/>
  <c r="AC17" i="5"/>
  <c r="AA17" i="5"/>
  <c r="Y17" i="5"/>
  <c r="S17" i="5"/>
  <c r="Q17" i="5"/>
  <c r="N17" i="5"/>
  <c r="K17" i="5"/>
  <c r="H17" i="5"/>
  <c r="AE16" i="5"/>
  <c r="AC16" i="5"/>
  <c r="AA16" i="5"/>
  <c r="Y16" i="5"/>
  <c r="S16" i="5"/>
  <c r="Q16" i="5"/>
  <c r="N16" i="5"/>
  <c r="K16" i="5"/>
  <c r="H16" i="5"/>
  <c r="AE15" i="5"/>
  <c r="AC15" i="5"/>
  <c r="AA15" i="5"/>
  <c r="Y15" i="5"/>
  <c r="S15" i="5"/>
  <c r="Q15" i="5"/>
  <c r="N15" i="5"/>
  <c r="K15" i="5"/>
  <c r="H15" i="5"/>
  <c r="AE14" i="5"/>
  <c r="AC14" i="5"/>
  <c r="AA14" i="5"/>
  <c r="Y14" i="5"/>
  <c r="S14" i="5"/>
  <c r="Q14" i="5"/>
  <c r="N14" i="5"/>
  <c r="K14" i="5"/>
  <c r="H14" i="5"/>
  <c r="AE13" i="5"/>
  <c r="AC13" i="5"/>
  <c r="AA13" i="5"/>
  <c r="Y13" i="5"/>
  <c r="S13" i="5"/>
  <c r="Q13" i="5"/>
  <c r="N13" i="5"/>
  <c r="K13" i="5"/>
  <c r="H13" i="5"/>
  <c r="AE12" i="5"/>
  <c r="AC12" i="5"/>
  <c r="AA12" i="5"/>
  <c r="Y12" i="5"/>
  <c r="S12" i="5"/>
  <c r="Q12" i="5"/>
  <c r="N12" i="5"/>
  <c r="K12" i="5"/>
  <c r="H12" i="5"/>
  <c r="AE11" i="5"/>
  <c r="AC11" i="5"/>
  <c r="AA11" i="5"/>
  <c r="Y11" i="5"/>
  <c r="S11" i="5"/>
  <c r="Q11" i="5"/>
  <c r="N11" i="5"/>
  <c r="K11" i="5"/>
  <c r="H11" i="5"/>
  <c r="AE10" i="5"/>
  <c r="AC10" i="5"/>
  <c r="AA10" i="5"/>
  <c r="Y10" i="5"/>
  <c r="S10" i="5"/>
  <c r="Q10" i="5"/>
  <c r="N10" i="5"/>
  <c r="K10" i="5"/>
  <c r="H10" i="5"/>
  <c r="AE9" i="5"/>
  <c r="AC9" i="5"/>
  <c r="AA9" i="5"/>
  <c r="Y9" i="5"/>
  <c r="S9" i="5"/>
  <c r="Q9" i="5"/>
  <c r="N9" i="5"/>
  <c r="K9" i="5"/>
  <c r="H9" i="5"/>
  <c r="AE8" i="5"/>
  <c r="AC8" i="5"/>
  <c r="AA8" i="5"/>
  <c r="Y8" i="5"/>
  <c r="S8" i="5"/>
  <c r="Q8" i="5"/>
  <c r="N8" i="5"/>
  <c r="K8" i="5"/>
  <c r="H8" i="5"/>
  <c r="AE7" i="5"/>
  <c r="AC7" i="5"/>
  <c r="AA7" i="5"/>
  <c r="Y7" i="5"/>
  <c r="S7" i="5"/>
  <c r="Q7" i="5"/>
  <c r="N7" i="5"/>
  <c r="K7" i="5"/>
  <c r="H7" i="5"/>
  <c r="AE6" i="5"/>
  <c r="AC6" i="5"/>
  <c r="AA6" i="5"/>
  <c r="Y6" i="5"/>
  <c r="S6" i="5"/>
  <c r="Q6" i="5"/>
  <c r="N6" i="5"/>
  <c r="K6" i="5"/>
  <c r="H6" i="5"/>
  <c r="AE5" i="5"/>
  <c r="AC5" i="5"/>
  <c r="AA5" i="5"/>
  <c r="Y5" i="5"/>
  <c r="S5" i="5"/>
  <c r="Q5" i="5"/>
  <c r="N5" i="5"/>
  <c r="K5" i="5"/>
  <c r="H5" i="5"/>
  <c r="AE4" i="5"/>
  <c r="AC4" i="5"/>
  <c r="AA4" i="5"/>
  <c r="Y4" i="5"/>
  <c r="S4" i="5"/>
  <c r="Q4" i="5"/>
  <c r="N4" i="5"/>
  <c r="K4" i="5"/>
  <c r="H4" i="5"/>
  <c r="AE3" i="5"/>
  <c r="AC3" i="5"/>
  <c r="AA3" i="5"/>
  <c r="Y3" i="5"/>
  <c r="S3" i="5"/>
  <c r="Q3" i="5"/>
  <c r="N3" i="5"/>
  <c r="K3" i="5"/>
  <c r="H3" i="5"/>
  <c r="AE2" i="5"/>
  <c r="AC2" i="5"/>
  <c r="AA2" i="5"/>
  <c r="Y2" i="5"/>
  <c r="S2" i="5"/>
  <c r="Q2" i="5"/>
  <c r="N2" i="5"/>
  <c r="K2" i="5"/>
  <c r="H2" i="5"/>
  <c r="AE129" i="4"/>
  <c r="AC129" i="4"/>
  <c r="AA129" i="4"/>
  <c r="Y129" i="4"/>
  <c r="S129" i="4"/>
  <c r="Q129" i="4"/>
  <c r="N129" i="4"/>
  <c r="K129" i="4"/>
  <c r="H129" i="4"/>
  <c r="AE128" i="4"/>
  <c r="AC128" i="4"/>
  <c r="AA128" i="4"/>
  <c r="Y128" i="4"/>
  <c r="S128" i="4"/>
  <c r="Q128" i="4"/>
  <c r="N128" i="4"/>
  <c r="K128" i="4"/>
  <c r="H128" i="4"/>
  <c r="AE127" i="4"/>
  <c r="AC127" i="4"/>
  <c r="AA127" i="4"/>
  <c r="Y127" i="4"/>
  <c r="S127" i="4"/>
  <c r="Q127" i="4"/>
  <c r="N127" i="4"/>
  <c r="K127" i="4"/>
  <c r="H127" i="4"/>
  <c r="AE126" i="4"/>
  <c r="AC126" i="4"/>
  <c r="AA126" i="4"/>
  <c r="Y126" i="4"/>
  <c r="S126" i="4"/>
  <c r="Q126" i="4"/>
  <c r="N126" i="4"/>
  <c r="K126" i="4"/>
  <c r="H126" i="4"/>
  <c r="AE125" i="4"/>
  <c r="AC125" i="4"/>
  <c r="AA125" i="4"/>
  <c r="Y125" i="4"/>
  <c r="S125" i="4"/>
  <c r="Q125" i="4"/>
  <c r="N125" i="4"/>
  <c r="K125" i="4"/>
  <c r="H125" i="4"/>
  <c r="AE124" i="4"/>
  <c r="AC124" i="4"/>
  <c r="AA124" i="4"/>
  <c r="Y124" i="4"/>
  <c r="S124" i="4"/>
  <c r="Q124" i="4"/>
  <c r="N124" i="4"/>
  <c r="K124" i="4"/>
  <c r="H124" i="4"/>
  <c r="AE123" i="4"/>
  <c r="AC123" i="4"/>
  <c r="AA123" i="4"/>
  <c r="Y123" i="4"/>
  <c r="S123" i="4"/>
  <c r="Q123" i="4"/>
  <c r="N123" i="4"/>
  <c r="K123" i="4"/>
  <c r="H123" i="4"/>
  <c r="AE122" i="4"/>
  <c r="AC122" i="4"/>
  <c r="AA122" i="4"/>
  <c r="Y122" i="4"/>
  <c r="S122" i="4"/>
  <c r="Q122" i="4"/>
  <c r="N122" i="4"/>
  <c r="K122" i="4"/>
  <c r="H122" i="4"/>
  <c r="AE121" i="4"/>
  <c r="AC121" i="4"/>
  <c r="AA121" i="4"/>
  <c r="Y121" i="4"/>
  <c r="S121" i="4"/>
  <c r="Q121" i="4"/>
  <c r="N121" i="4"/>
  <c r="K121" i="4"/>
  <c r="H121" i="4"/>
  <c r="AE120" i="4"/>
  <c r="AC120" i="4"/>
  <c r="AA120" i="4"/>
  <c r="Y120" i="4"/>
  <c r="S120" i="4"/>
  <c r="Q120" i="4"/>
  <c r="N120" i="4"/>
  <c r="K120" i="4"/>
  <c r="H120" i="4"/>
  <c r="AE119" i="4"/>
  <c r="AC119" i="4"/>
  <c r="AA119" i="4"/>
  <c r="Y119" i="4"/>
  <c r="S119" i="4"/>
  <c r="Q119" i="4"/>
  <c r="N119" i="4"/>
  <c r="K119" i="4"/>
  <c r="H119" i="4"/>
  <c r="AE118" i="4"/>
  <c r="AC118" i="4"/>
  <c r="AA118" i="4"/>
  <c r="Y118" i="4"/>
  <c r="S118" i="4"/>
  <c r="Q118" i="4"/>
  <c r="N118" i="4"/>
  <c r="K118" i="4"/>
  <c r="H118" i="4"/>
  <c r="AE117" i="4"/>
  <c r="AC117" i="4"/>
  <c r="AA117" i="4"/>
  <c r="Y117" i="4"/>
  <c r="S117" i="4"/>
  <c r="Q117" i="4"/>
  <c r="N117" i="4"/>
  <c r="K117" i="4"/>
  <c r="H117" i="4"/>
  <c r="AE116" i="4"/>
  <c r="AC116" i="4"/>
  <c r="AA116" i="4"/>
  <c r="Y116" i="4"/>
  <c r="S116" i="4"/>
  <c r="Q116" i="4"/>
  <c r="N116" i="4"/>
  <c r="K116" i="4"/>
  <c r="H116" i="4"/>
  <c r="AE115" i="4"/>
  <c r="AC115" i="4"/>
  <c r="AA115" i="4"/>
  <c r="Y115" i="4"/>
  <c r="S115" i="4"/>
  <c r="Q115" i="4"/>
  <c r="N115" i="4"/>
  <c r="K115" i="4"/>
  <c r="H115" i="4"/>
  <c r="AE114" i="4"/>
  <c r="AC114" i="4"/>
  <c r="AA114" i="4"/>
  <c r="Y114" i="4"/>
  <c r="S114" i="4"/>
  <c r="Q114" i="4"/>
  <c r="N114" i="4"/>
  <c r="K114" i="4"/>
  <c r="H114" i="4"/>
  <c r="AE113" i="4"/>
  <c r="AC113" i="4"/>
  <c r="AA113" i="4"/>
  <c r="Y113" i="4"/>
  <c r="S113" i="4"/>
  <c r="Q113" i="4"/>
  <c r="N113" i="4"/>
  <c r="K113" i="4"/>
  <c r="H113" i="4"/>
  <c r="AE112" i="4"/>
  <c r="AC112" i="4"/>
  <c r="AA112" i="4"/>
  <c r="Y112" i="4"/>
  <c r="S112" i="4"/>
  <c r="Q112" i="4"/>
  <c r="N112" i="4"/>
  <c r="K112" i="4"/>
  <c r="H112" i="4"/>
  <c r="AE111" i="4"/>
  <c r="AC111" i="4"/>
  <c r="AA111" i="4"/>
  <c r="Y111" i="4"/>
  <c r="S111" i="4"/>
  <c r="Q111" i="4"/>
  <c r="N111" i="4"/>
  <c r="K111" i="4"/>
  <c r="H111" i="4"/>
  <c r="AE110" i="4"/>
  <c r="AC110" i="4"/>
  <c r="AA110" i="4"/>
  <c r="Y110" i="4"/>
  <c r="S110" i="4"/>
  <c r="Q110" i="4"/>
  <c r="N110" i="4"/>
  <c r="K110" i="4"/>
  <c r="H110" i="4"/>
  <c r="AE109" i="4"/>
  <c r="AC109" i="4"/>
  <c r="AA109" i="4"/>
  <c r="Y109" i="4"/>
  <c r="S109" i="4"/>
  <c r="Q109" i="4"/>
  <c r="N109" i="4"/>
  <c r="K109" i="4"/>
  <c r="H109" i="4"/>
  <c r="AE108" i="4"/>
  <c r="AC108" i="4"/>
  <c r="AA108" i="4"/>
  <c r="Y108" i="4"/>
  <c r="S108" i="4"/>
  <c r="Q108" i="4"/>
  <c r="N108" i="4"/>
  <c r="K108" i="4"/>
  <c r="H108" i="4"/>
  <c r="AE107" i="4"/>
  <c r="AC107" i="4"/>
  <c r="AA107" i="4"/>
  <c r="Y107" i="4"/>
  <c r="S107" i="4"/>
  <c r="Q107" i="4"/>
  <c r="N107" i="4"/>
  <c r="K107" i="4"/>
  <c r="H107" i="4"/>
  <c r="AE106" i="4"/>
  <c r="AC106" i="4"/>
  <c r="AA106" i="4"/>
  <c r="Y106" i="4"/>
  <c r="S106" i="4"/>
  <c r="Q106" i="4"/>
  <c r="N106" i="4"/>
  <c r="K106" i="4"/>
  <c r="H106" i="4"/>
  <c r="AE105" i="4"/>
  <c r="AC105" i="4"/>
  <c r="AA105" i="4"/>
  <c r="Y105" i="4"/>
  <c r="S105" i="4"/>
  <c r="Q105" i="4"/>
  <c r="N105" i="4"/>
  <c r="K105" i="4"/>
  <c r="H105" i="4"/>
  <c r="AE104" i="4"/>
  <c r="AC104" i="4"/>
  <c r="AA104" i="4"/>
  <c r="Y104" i="4"/>
  <c r="S104" i="4"/>
  <c r="Q104" i="4"/>
  <c r="N104" i="4"/>
  <c r="K104" i="4"/>
  <c r="H104" i="4"/>
  <c r="AE103" i="4"/>
  <c r="AC103" i="4"/>
  <c r="AA103" i="4"/>
  <c r="Y103" i="4"/>
  <c r="S103" i="4"/>
  <c r="Q103" i="4"/>
  <c r="N103" i="4"/>
  <c r="K103" i="4"/>
  <c r="H103" i="4"/>
  <c r="AE102" i="4"/>
  <c r="AC102" i="4"/>
  <c r="AA102" i="4"/>
  <c r="Y102" i="4"/>
  <c r="S102" i="4"/>
  <c r="Q102" i="4"/>
  <c r="N102" i="4"/>
  <c r="K102" i="4"/>
  <c r="H102" i="4"/>
  <c r="AE101" i="4"/>
  <c r="AC101" i="4"/>
  <c r="AA101" i="4"/>
  <c r="Y101" i="4"/>
  <c r="S101" i="4"/>
  <c r="Q101" i="4"/>
  <c r="N101" i="4"/>
  <c r="K101" i="4"/>
  <c r="H101" i="4"/>
  <c r="AE100" i="4"/>
  <c r="AC100" i="4"/>
  <c r="AA100" i="4"/>
  <c r="Y100" i="4"/>
  <c r="S100" i="4"/>
  <c r="Q100" i="4"/>
  <c r="N100" i="4"/>
  <c r="K100" i="4"/>
  <c r="H100" i="4"/>
  <c r="AE99" i="4"/>
  <c r="AC99" i="4"/>
  <c r="AA99" i="4"/>
  <c r="Y99" i="4"/>
  <c r="S99" i="4"/>
  <c r="Q99" i="4"/>
  <c r="N99" i="4"/>
  <c r="K99" i="4"/>
  <c r="H99" i="4"/>
  <c r="AE98" i="4"/>
  <c r="AC98" i="4"/>
  <c r="AA98" i="4"/>
  <c r="Y98" i="4"/>
  <c r="S98" i="4"/>
  <c r="Q98" i="4"/>
  <c r="N98" i="4"/>
  <c r="K98" i="4"/>
  <c r="H98" i="4"/>
  <c r="AE97" i="4"/>
  <c r="AC97" i="4"/>
  <c r="AA97" i="4"/>
  <c r="Y97" i="4"/>
  <c r="S97" i="4"/>
  <c r="Q97" i="4"/>
  <c r="N97" i="4"/>
  <c r="K97" i="4"/>
  <c r="H97" i="4"/>
  <c r="AE96" i="4"/>
  <c r="AC96" i="4"/>
  <c r="AA96" i="4"/>
  <c r="Y96" i="4"/>
  <c r="S96" i="4"/>
  <c r="Q96" i="4"/>
  <c r="N96" i="4"/>
  <c r="K96" i="4"/>
  <c r="H96" i="4"/>
  <c r="AE95" i="4"/>
  <c r="AC95" i="4"/>
  <c r="AA95" i="4"/>
  <c r="Y95" i="4"/>
  <c r="S95" i="4"/>
  <c r="Q95" i="4"/>
  <c r="N95" i="4"/>
  <c r="K95" i="4"/>
  <c r="H95" i="4"/>
  <c r="AE94" i="4"/>
  <c r="AC94" i="4"/>
  <c r="AA94" i="4"/>
  <c r="Y94" i="4"/>
  <c r="S94" i="4"/>
  <c r="Q94" i="4"/>
  <c r="N94" i="4"/>
  <c r="K94" i="4"/>
  <c r="H94" i="4"/>
  <c r="AE93" i="4"/>
  <c r="AC93" i="4"/>
  <c r="AA93" i="4"/>
  <c r="Y93" i="4"/>
  <c r="S93" i="4"/>
  <c r="Q93" i="4"/>
  <c r="N93" i="4"/>
  <c r="K93" i="4"/>
  <c r="H93" i="4"/>
  <c r="AE92" i="4"/>
  <c r="AC92" i="4"/>
  <c r="AA92" i="4"/>
  <c r="Y92" i="4"/>
  <c r="S92" i="4"/>
  <c r="Q92" i="4"/>
  <c r="N92" i="4"/>
  <c r="K92" i="4"/>
  <c r="H92" i="4"/>
  <c r="AE91" i="4"/>
  <c r="AC91" i="4"/>
  <c r="AA91" i="4"/>
  <c r="Y91" i="4"/>
  <c r="S91" i="4"/>
  <c r="Q91" i="4"/>
  <c r="N91" i="4"/>
  <c r="K91" i="4"/>
  <c r="H91" i="4"/>
  <c r="AE90" i="4"/>
  <c r="AC90" i="4"/>
  <c r="AA90" i="4"/>
  <c r="Y90" i="4"/>
  <c r="S90" i="4"/>
  <c r="Q90" i="4"/>
  <c r="N90" i="4"/>
  <c r="K90" i="4"/>
  <c r="H90" i="4"/>
  <c r="AE89" i="4"/>
  <c r="AC89" i="4"/>
  <c r="AA89" i="4"/>
  <c r="Y89" i="4"/>
  <c r="S89" i="4"/>
  <c r="Q89" i="4"/>
  <c r="N89" i="4"/>
  <c r="K89" i="4"/>
  <c r="H89" i="4"/>
  <c r="AE88" i="4"/>
  <c r="AC88" i="4"/>
  <c r="AA88" i="4"/>
  <c r="Y88" i="4"/>
  <c r="S88" i="4"/>
  <c r="Q88" i="4"/>
  <c r="N88" i="4"/>
  <c r="K88" i="4"/>
  <c r="H88" i="4"/>
  <c r="AE87" i="4"/>
  <c r="AC87" i="4"/>
  <c r="AA87" i="4"/>
  <c r="Y87" i="4"/>
  <c r="S87" i="4"/>
  <c r="Q87" i="4"/>
  <c r="N87" i="4"/>
  <c r="K87" i="4"/>
  <c r="H87" i="4"/>
  <c r="AE86" i="4"/>
  <c r="AC86" i="4"/>
  <c r="AA86" i="4"/>
  <c r="Y86" i="4"/>
  <c r="S86" i="4"/>
  <c r="Q86" i="4"/>
  <c r="N86" i="4"/>
  <c r="K86" i="4"/>
  <c r="H86" i="4"/>
  <c r="AE85" i="4"/>
  <c r="AC85" i="4"/>
  <c r="AA85" i="4"/>
  <c r="Y85" i="4"/>
  <c r="S85" i="4"/>
  <c r="Q85" i="4"/>
  <c r="N85" i="4"/>
  <c r="K85" i="4"/>
  <c r="H85" i="4"/>
  <c r="AE84" i="4"/>
  <c r="AC84" i="4"/>
  <c r="AA84" i="4"/>
  <c r="Y84" i="4"/>
  <c r="S84" i="4"/>
  <c r="Q84" i="4"/>
  <c r="N84" i="4"/>
  <c r="K84" i="4"/>
  <c r="H84" i="4"/>
  <c r="AE83" i="4"/>
  <c r="AC83" i="4"/>
  <c r="AA83" i="4"/>
  <c r="Y83" i="4"/>
  <c r="S83" i="4"/>
  <c r="Q83" i="4"/>
  <c r="N83" i="4"/>
  <c r="K83" i="4"/>
  <c r="H83" i="4"/>
  <c r="AE82" i="4"/>
  <c r="AC82" i="4"/>
  <c r="AA82" i="4"/>
  <c r="Y82" i="4"/>
  <c r="S82" i="4"/>
  <c r="Q82" i="4"/>
  <c r="N82" i="4"/>
  <c r="K82" i="4"/>
  <c r="H82" i="4"/>
  <c r="AE81" i="4"/>
  <c r="AC81" i="4"/>
  <c r="AA81" i="4"/>
  <c r="Y81" i="4"/>
  <c r="S81" i="4"/>
  <c r="Q81" i="4"/>
  <c r="N81" i="4"/>
  <c r="K81" i="4"/>
  <c r="H81" i="4"/>
  <c r="AE80" i="4"/>
  <c r="AC80" i="4"/>
  <c r="AA80" i="4"/>
  <c r="Y80" i="4"/>
  <c r="S80" i="4"/>
  <c r="Q80" i="4"/>
  <c r="N80" i="4"/>
  <c r="K80" i="4"/>
  <c r="H80" i="4"/>
  <c r="AE79" i="4"/>
  <c r="AC79" i="4"/>
  <c r="AA79" i="4"/>
  <c r="Y79" i="4"/>
  <c r="S79" i="4"/>
  <c r="Q79" i="4"/>
  <c r="N79" i="4"/>
  <c r="K79" i="4"/>
  <c r="H79" i="4"/>
  <c r="AE78" i="4"/>
  <c r="AC78" i="4"/>
  <c r="AA78" i="4"/>
  <c r="Y78" i="4"/>
  <c r="S78" i="4"/>
  <c r="Q78" i="4"/>
  <c r="N78" i="4"/>
  <c r="K78" i="4"/>
  <c r="H78" i="4"/>
  <c r="AE77" i="4"/>
  <c r="AC77" i="4"/>
  <c r="AA77" i="4"/>
  <c r="Y77" i="4"/>
  <c r="S77" i="4"/>
  <c r="Q77" i="4"/>
  <c r="N77" i="4"/>
  <c r="K77" i="4"/>
  <c r="H77" i="4"/>
  <c r="AE76" i="4"/>
  <c r="AC76" i="4"/>
  <c r="AA76" i="4"/>
  <c r="Y76" i="4"/>
  <c r="S76" i="4"/>
  <c r="Q76" i="4"/>
  <c r="N76" i="4"/>
  <c r="K76" i="4"/>
  <c r="H76" i="4"/>
  <c r="AE75" i="4"/>
  <c r="AC75" i="4"/>
  <c r="AA75" i="4"/>
  <c r="Y75" i="4"/>
  <c r="S75" i="4"/>
  <c r="Q75" i="4"/>
  <c r="N75" i="4"/>
  <c r="K75" i="4"/>
  <c r="H75" i="4"/>
  <c r="AE74" i="4"/>
  <c r="AC74" i="4"/>
  <c r="AA74" i="4"/>
  <c r="Y74" i="4"/>
  <c r="S74" i="4"/>
  <c r="Q74" i="4"/>
  <c r="N74" i="4"/>
  <c r="K74" i="4"/>
  <c r="H74" i="4"/>
  <c r="AE73" i="4"/>
  <c r="AC73" i="4"/>
  <c r="AA73" i="4"/>
  <c r="Y73" i="4"/>
  <c r="S73" i="4"/>
  <c r="Q73" i="4"/>
  <c r="N73" i="4"/>
  <c r="K73" i="4"/>
  <c r="H73" i="4"/>
  <c r="AE72" i="4"/>
  <c r="AC72" i="4"/>
  <c r="AA72" i="4"/>
  <c r="Y72" i="4"/>
  <c r="S72" i="4"/>
  <c r="Q72" i="4"/>
  <c r="N72" i="4"/>
  <c r="K72" i="4"/>
  <c r="H72" i="4"/>
  <c r="AE71" i="4"/>
  <c r="AC71" i="4"/>
  <c r="AA71" i="4"/>
  <c r="Y71" i="4"/>
  <c r="S71" i="4"/>
  <c r="Q71" i="4"/>
  <c r="N71" i="4"/>
  <c r="K71" i="4"/>
  <c r="H71" i="4"/>
  <c r="AE70" i="4"/>
  <c r="AC70" i="4"/>
  <c r="AA70" i="4"/>
  <c r="Y70" i="4"/>
  <c r="S70" i="4"/>
  <c r="Q70" i="4"/>
  <c r="N70" i="4"/>
  <c r="K70" i="4"/>
  <c r="H70" i="4"/>
  <c r="AE69" i="4"/>
  <c r="AC69" i="4"/>
  <c r="AA69" i="4"/>
  <c r="Y69" i="4"/>
  <c r="S69" i="4"/>
  <c r="Q69" i="4"/>
  <c r="N69" i="4"/>
  <c r="K69" i="4"/>
  <c r="H69" i="4"/>
  <c r="AE68" i="4"/>
  <c r="AC68" i="4"/>
  <c r="AA68" i="4"/>
  <c r="Y68" i="4"/>
  <c r="S68" i="4"/>
  <c r="Q68" i="4"/>
  <c r="N68" i="4"/>
  <c r="K68" i="4"/>
  <c r="H68" i="4"/>
  <c r="AE67" i="4"/>
  <c r="AC67" i="4"/>
  <c r="AA67" i="4"/>
  <c r="Y67" i="4"/>
  <c r="S67" i="4"/>
  <c r="Q67" i="4"/>
  <c r="N67" i="4"/>
  <c r="K67" i="4"/>
  <c r="H67" i="4"/>
  <c r="AE66" i="4"/>
  <c r="AC66" i="4"/>
  <c r="AA66" i="4"/>
  <c r="Y66" i="4"/>
  <c r="S66" i="4"/>
  <c r="Q66" i="4"/>
  <c r="N66" i="4"/>
  <c r="K66" i="4"/>
  <c r="H66" i="4"/>
  <c r="AE65" i="4"/>
  <c r="AC65" i="4"/>
  <c r="AA65" i="4"/>
  <c r="Y65" i="4"/>
  <c r="S65" i="4"/>
  <c r="Q65" i="4"/>
  <c r="N65" i="4"/>
  <c r="K65" i="4"/>
  <c r="H65" i="4"/>
  <c r="AE64" i="4"/>
  <c r="AC64" i="4"/>
  <c r="AA64" i="4"/>
  <c r="Y64" i="4"/>
  <c r="S64" i="4"/>
  <c r="Q64" i="4"/>
  <c r="N64" i="4"/>
  <c r="K64" i="4"/>
  <c r="H64" i="4"/>
  <c r="AE63" i="4"/>
  <c r="AC63" i="4"/>
  <c r="AA63" i="4"/>
  <c r="Y63" i="4"/>
  <c r="S63" i="4"/>
  <c r="Q63" i="4"/>
  <c r="N63" i="4"/>
  <c r="K63" i="4"/>
  <c r="H63" i="4"/>
  <c r="AE62" i="4"/>
  <c r="AC62" i="4"/>
  <c r="AA62" i="4"/>
  <c r="Y62" i="4"/>
  <c r="S62" i="4"/>
  <c r="Q62" i="4"/>
  <c r="N62" i="4"/>
  <c r="K62" i="4"/>
  <c r="H62" i="4"/>
  <c r="AE61" i="4"/>
  <c r="AC61" i="4"/>
  <c r="AA61" i="4"/>
  <c r="Y61" i="4"/>
  <c r="S61" i="4"/>
  <c r="Q61" i="4"/>
  <c r="N61" i="4"/>
  <c r="K61" i="4"/>
  <c r="H61" i="4"/>
  <c r="AE60" i="4"/>
  <c r="AC60" i="4"/>
  <c r="AA60" i="4"/>
  <c r="Y60" i="4"/>
  <c r="S60" i="4"/>
  <c r="Q60" i="4"/>
  <c r="N60" i="4"/>
  <c r="K60" i="4"/>
  <c r="H60" i="4"/>
  <c r="AE59" i="4"/>
  <c r="AC59" i="4"/>
  <c r="AA59" i="4"/>
  <c r="Y59" i="4"/>
  <c r="S59" i="4"/>
  <c r="Q59" i="4"/>
  <c r="N59" i="4"/>
  <c r="K59" i="4"/>
  <c r="H59" i="4"/>
  <c r="AE58" i="4"/>
  <c r="AC58" i="4"/>
  <c r="AA58" i="4"/>
  <c r="Y58" i="4"/>
  <c r="S58" i="4"/>
  <c r="Q58" i="4"/>
  <c r="N58" i="4"/>
  <c r="K58" i="4"/>
  <c r="H58" i="4"/>
  <c r="AE57" i="4"/>
  <c r="AC57" i="4"/>
  <c r="AA57" i="4"/>
  <c r="Y57" i="4"/>
  <c r="S57" i="4"/>
  <c r="Q57" i="4"/>
  <c r="N57" i="4"/>
  <c r="K57" i="4"/>
  <c r="H57" i="4"/>
  <c r="AE56" i="4"/>
  <c r="AC56" i="4"/>
  <c r="AA56" i="4"/>
  <c r="Y56" i="4"/>
  <c r="S56" i="4"/>
  <c r="Q56" i="4"/>
  <c r="N56" i="4"/>
  <c r="K56" i="4"/>
  <c r="H56" i="4"/>
  <c r="AE55" i="4"/>
  <c r="AC55" i="4"/>
  <c r="AA55" i="4"/>
  <c r="Y55" i="4"/>
  <c r="S55" i="4"/>
  <c r="Q55" i="4"/>
  <c r="N55" i="4"/>
  <c r="K55" i="4"/>
  <c r="H55" i="4"/>
  <c r="AE54" i="4"/>
  <c r="AC54" i="4"/>
  <c r="AA54" i="4"/>
  <c r="Y54" i="4"/>
  <c r="S54" i="4"/>
  <c r="Q54" i="4"/>
  <c r="N54" i="4"/>
  <c r="K54" i="4"/>
  <c r="H54" i="4"/>
  <c r="AE53" i="4"/>
  <c r="AC53" i="4"/>
  <c r="AA53" i="4"/>
  <c r="Y53" i="4"/>
  <c r="S53" i="4"/>
  <c r="Q53" i="4"/>
  <c r="N53" i="4"/>
  <c r="K53" i="4"/>
  <c r="H53" i="4"/>
  <c r="AE52" i="4"/>
  <c r="AC52" i="4"/>
  <c r="AA52" i="4"/>
  <c r="Y52" i="4"/>
  <c r="S52" i="4"/>
  <c r="Q52" i="4"/>
  <c r="N52" i="4"/>
  <c r="K52" i="4"/>
  <c r="H52" i="4"/>
  <c r="AE51" i="4"/>
  <c r="AC51" i="4"/>
  <c r="AA51" i="4"/>
  <c r="Y51" i="4"/>
  <c r="S51" i="4"/>
  <c r="Q51" i="4"/>
  <c r="N51" i="4"/>
  <c r="K51" i="4"/>
  <c r="H51" i="4"/>
  <c r="AE50" i="4"/>
  <c r="AC50" i="4"/>
  <c r="AA50" i="4"/>
  <c r="Y50" i="4"/>
  <c r="S50" i="4"/>
  <c r="Q50" i="4"/>
  <c r="N50" i="4"/>
  <c r="K50" i="4"/>
  <c r="H50" i="4"/>
  <c r="AE49" i="4"/>
  <c r="AC49" i="4"/>
  <c r="AA49" i="4"/>
  <c r="Y49" i="4"/>
  <c r="S49" i="4"/>
  <c r="Q49" i="4"/>
  <c r="N49" i="4"/>
  <c r="K49" i="4"/>
  <c r="H49" i="4"/>
  <c r="AE48" i="4"/>
  <c r="AC48" i="4"/>
  <c r="AA48" i="4"/>
  <c r="Y48" i="4"/>
  <c r="S48" i="4"/>
  <c r="Q48" i="4"/>
  <c r="N48" i="4"/>
  <c r="K48" i="4"/>
  <c r="H48" i="4"/>
  <c r="AE47" i="4"/>
  <c r="AC47" i="4"/>
  <c r="AA47" i="4"/>
  <c r="Y47" i="4"/>
  <c r="S47" i="4"/>
  <c r="Q47" i="4"/>
  <c r="N47" i="4"/>
  <c r="K47" i="4"/>
  <c r="H47" i="4"/>
  <c r="AE46" i="4"/>
  <c r="AC46" i="4"/>
  <c r="AA46" i="4"/>
  <c r="Y46" i="4"/>
  <c r="S46" i="4"/>
  <c r="Q46" i="4"/>
  <c r="N46" i="4"/>
  <c r="K46" i="4"/>
  <c r="H46" i="4"/>
  <c r="AE45" i="4"/>
  <c r="AC45" i="4"/>
  <c r="AA45" i="4"/>
  <c r="Y45" i="4"/>
  <c r="S45" i="4"/>
  <c r="Q45" i="4"/>
  <c r="N45" i="4"/>
  <c r="K45" i="4"/>
  <c r="H45" i="4"/>
  <c r="AE44" i="4"/>
  <c r="AC44" i="4"/>
  <c r="AA44" i="4"/>
  <c r="Y44" i="4"/>
  <c r="S44" i="4"/>
  <c r="Q44" i="4"/>
  <c r="N44" i="4"/>
  <c r="K44" i="4"/>
  <c r="H44" i="4"/>
  <c r="AE43" i="4"/>
  <c r="AC43" i="4"/>
  <c r="AA43" i="4"/>
  <c r="Y43" i="4"/>
  <c r="S43" i="4"/>
  <c r="Q43" i="4"/>
  <c r="N43" i="4"/>
  <c r="K43" i="4"/>
  <c r="H43" i="4"/>
  <c r="AE42" i="4"/>
  <c r="AC42" i="4"/>
  <c r="AA42" i="4"/>
  <c r="Y42" i="4"/>
  <c r="S42" i="4"/>
  <c r="Q42" i="4"/>
  <c r="N42" i="4"/>
  <c r="K42" i="4"/>
  <c r="H42" i="4"/>
  <c r="AE41" i="4"/>
  <c r="AC41" i="4"/>
  <c r="AA41" i="4"/>
  <c r="Y41" i="4"/>
  <c r="S41" i="4"/>
  <c r="Q41" i="4"/>
  <c r="N41" i="4"/>
  <c r="K41" i="4"/>
  <c r="H41" i="4"/>
  <c r="AE40" i="4"/>
  <c r="AC40" i="4"/>
  <c r="AA40" i="4"/>
  <c r="Y40" i="4"/>
  <c r="S40" i="4"/>
  <c r="Q40" i="4"/>
  <c r="N40" i="4"/>
  <c r="K40" i="4"/>
  <c r="H40" i="4"/>
  <c r="AE39" i="4"/>
  <c r="AC39" i="4"/>
  <c r="AA39" i="4"/>
  <c r="Y39" i="4"/>
  <c r="S39" i="4"/>
  <c r="Q39" i="4"/>
  <c r="N39" i="4"/>
  <c r="K39" i="4"/>
  <c r="H39" i="4"/>
  <c r="AE38" i="4"/>
  <c r="AC38" i="4"/>
  <c r="AA38" i="4"/>
  <c r="Y38" i="4"/>
  <c r="S38" i="4"/>
  <c r="Q38" i="4"/>
  <c r="N38" i="4"/>
  <c r="K38" i="4"/>
  <c r="H38" i="4"/>
  <c r="AE37" i="4"/>
  <c r="AC37" i="4"/>
  <c r="AA37" i="4"/>
  <c r="Y37" i="4"/>
  <c r="S37" i="4"/>
  <c r="Q37" i="4"/>
  <c r="N37" i="4"/>
  <c r="K37" i="4"/>
  <c r="H37" i="4"/>
  <c r="AE36" i="4"/>
  <c r="AC36" i="4"/>
  <c r="AA36" i="4"/>
  <c r="Y36" i="4"/>
  <c r="S36" i="4"/>
  <c r="Q36" i="4"/>
  <c r="N36" i="4"/>
  <c r="K36" i="4"/>
  <c r="H36" i="4"/>
  <c r="AE35" i="4"/>
  <c r="AC35" i="4"/>
  <c r="AA35" i="4"/>
  <c r="Y35" i="4"/>
  <c r="S35" i="4"/>
  <c r="Q35" i="4"/>
  <c r="N35" i="4"/>
  <c r="K35" i="4"/>
  <c r="H35" i="4"/>
  <c r="AE34" i="4"/>
  <c r="AC34" i="4"/>
  <c r="AA34" i="4"/>
  <c r="Y34" i="4"/>
  <c r="S34" i="4"/>
  <c r="Q34" i="4"/>
  <c r="N34" i="4"/>
  <c r="K34" i="4"/>
  <c r="H34" i="4"/>
  <c r="AE33" i="4"/>
  <c r="AC33" i="4"/>
  <c r="AA33" i="4"/>
  <c r="Y33" i="4"/>
  <c r="S33" i="4"/>
  <c r="Q33" i="4"/>
  <c r="N33" i="4"/>
  <c r="K33" i="4"/>
  <c r="H33" i="4"/>
  <c r="AE32" i="4"/>
  <c r="AC32" i="4"/>
  <c r="AA32" i="4"/>
  <c r="Y32" i="4"/>
  <c r="S32" i="4"/>
  <c r="Q32" i="4"/>
  <c r="N32" i="4"/>
  <c r="K32" i="4"/>
  <c r="H32" i="4"/>
  <c r="AE31" i="4"/>
  <c r="AC31" i="4"/>
  <c r="AA31" i="4"/>
  <c r="Y31" i="4"/>
  <c r="S31" i="4"/>
  <c r="Q31" i="4"/>
  <c r="N31" i="4"/>
  <c r="K31" i="4"/>
  <c r="H31" i="4"/>
  <c r="AE30" i="4"/>
  <c r="AC30" i="4"/>
  <c r="AA30" i="4"/>
  <c r="Y30" i="4"/>
  <c r="S30" i="4"/>
  <c r="Q30" i="4"/>
  <c r="N30" i="4"/>
  <c r="K30" i="4"/>
  <c r="H30" i="4"/>
  <c r="AE29" i="4"/>
  <c r="AC29" i="4"/>
  <c r="AA29" i="4"/>
  <c r="Y29" i="4"/>
  <c r="S29" i="4"/>
  <c r="Q29" i="4"/>
  <c r="N29" i="4"/>
  <c r="K29" i="4"/>
  <c r="H29" i="4"/>
  <c r="AE28" i="4"/>
  <c r="AC28" i="4"/>
  <c r="AA28" i="4"/>
  <c r="Y28" i="4"/>
  <c r="S28" i="4"/>
  <c r="Q28" i="4"/>
  <c r="N28" i="4"/>
  <c r="K28" i="4"/>
  <c r="H28" i="4"/>
  <c r="AE27" i="4"/>
  <c r="AC27" i="4"/>
  <c r="AA27" i="4"/>
  <c r="Y27" i="4"/>
  <c r="S27" i="4"/>
  <c r="Q27" i="4"/>
  <c r="N27" i="4"/>
  <c r="K27" i="4"/>
  <c r="H27" i="4"/>
  <c r="AE26" i="4"/>
  <c r="AC26" i="4"/>
  <c r="AA26" i="4"/>
  <c r="Y26" i="4"/>
  <c r="S26" i="4"/>
  <c r="Q26" i="4"/>
  <c r="N26" i="4"/>
  <c r="K26" i="4"/>
  <c r="H26" i="4"/>
  <c r="AE25" i="4"/>
  <c r="AC25" i="4"/>
  <c r="AA25" i="4"/>
  <c r="Y25" i="4"/>
  <c r="S25" i="4"/>
  <c r="Q25" i="4"/>
  <c r="N25" i="4"/>
  <c r="K25" i="4"/>
  <c r="H25" i="4"/>
  <c r="AE24" i="4"/>
  <c r="AC24" i="4"/>
  <c r="AA24" i="4"/>
  <c r="Y24" i="4"/>
  <c r="S24" i="4"/>
  <c r="Q24" i="4"/>
  <c r="N24" i="4"/>
  <c r="K24" i="4"/>
  <c r="H24" i="4"/>
  <c r="AE23" i="4"/>
  <c r="AC23" i="4"/>
  <c r="AA23" i="4"/>
  <c r="Y23" i="4"/>
  <c r="S23" i="4"/>
  <c r="Q23" i="4"/>
  <c r="N23" i="4"/>
  <c r="K23" i="4"/>
  <c r="H23" i="4"/>
  <c r="AE22" i="4"/>
  <c r="AC22" i="4"/>
  <c r="AA22" i="4"/>
  <c r="Y22" i="4"/>
  <c r="S22" i="4"/>
  <c r="Q22" i="4"/>
  <c r="N22" i="4"/>
  <c r="K22" i="4"/>
  <c r="H22" i="4"/>
  <c r="AE21" i="4"/>
  <c r="AC21" i="4"/>
  <c r="AA21" i="4"/>
  <c r="Y21" i="4"/>
  <c r="S21" i="4"/>
  <c r="Q21" i="4"/>
  <c r="N21" i="4"/>
  <c r="K21" i="4"/>
  <c r="H21" i="4"/>
  <c r="AE20" i="4"/>
  <c r="AC20" i="4"/>
  <c r="AA20" i="4"/>
  <c r="Y20" i="4"/>
  <c r="S20" i="4"/>
  <c r="Q20" i="4"/>
  <c r="N20" i="4"/>
  <c r="K20" i="4"/>
  <c r="H20" i="4"/>
  <c r="AE19" i="4"/>
  <c r="AC19" i="4"/>
  <c r="AA19" i="4"/>
  <c r="Y19" i="4"/>
  <c r="S19" i="4"/>
  <c r="Q19" i="4"/>
  <c r="N19" i="4"/>
  <c r="K19" i="4"/>
  <c r="H19" i="4"/>
  <c r="AE18" i="4"/>
  <c r="AC18" i="4"/>
  <c r="AA18" i="4"/>
  <c r="Y18" i="4"/>
  <c r="S18" i="4"/>
  <c r="Q18" i="4"/>
  <c r="N18" i="4"/>
  <c r="K18" i="4"/>
  <c r="H18" i="4"/>
  <c r="AE17" i="4"/>
  <c r="AC17" i="4"/>
  <c r="AA17" i="4"/>
  <c r="Y17" i="4"/>
  <c r="S17" i="4"/>
  <c r="Q17" i="4"/>
  <c r="N17" i="4"/>
  <c r="K17" i="4"/>
  <c r="H17" i="4"/>
  <c r="AE16" i="4"/>
  <c r="AC16" i="4"/>
  <c r="AA16" i="4"/>
  <c r="Y16" i="4"/>
  <c r="S16" i="4"/>
  <c r="Q16" i="4"/>
  <c r="N16" i="4"/>
  <c r="K16" i="4"/>
  <c r="H16" i="4"/>
  <c r="AE15" i="4"/>
  <c r="AC15" i="4"/>
  <c r="AA15" i="4"/>
  <c r="Y15" i="4"/>
  <c r="S15" i="4"/>
  <c r="Q15" i="4"/>
  <c r="N15" i="4"/>
  <c r="K15" i="4"/>
  <c r="H15" i="4"/>
  <c r="AE14" i="4"/>
  <c r="AC14" i="4"/>
  <c r="AA14" i="4"/>
  <c r="Y14" i="4"/>
  <c r="S14" i="4"/>
  <c r="Q14" i="4"/>
  <c r="N14" i="4"/>
  <c r="K14" i="4"/>
  <c r="H14" i="4"/>
  <c r="AE13" i="4"/>
  <c r="AC13" i="4"/>
  <c r="AA13" i="4"/>
  <c r="Y13" i="4"/>
  <c r="S13" i="4"/>
  <c r="Q13" i="4"/>
  <c r="N13" i="4"/>
  <c r="K13" i="4"/>
  <c r="H13" i="4"/>
  <c r="AE12" i="4"/>
  <c r="AC12" i="4"/>
  <c r="AA12" i="4"/>
  <c r="Y12" i="4"/>
  <c r="S12" i="4"/>
  <c r="Q12" i="4"/>
  <c r="N12" i="4"/>
  <c r="K12" i="4"/>
  <c r="H12" i="4"/>
  <c r="AE11" i="4"/>
  <c r="AC11" i="4"/>
  <c r="AA11" i="4"/>
  <c r="Y11" i="4"/>
  <c r="S11" i="4"/>
  <c r="Q11" i="4"/>
  <c r="N11" i="4"/>
  <c r="K11" i="4"/>
  <c r="H11" i="4"/>
  <c r="AE10" i="4"/>
  <c r="AC10" i="4"/>
  <c r="AA10" i="4"/>
  <c r="Y10" i="4"/>
  <c r="S10" i="4"/>
  <c r="Q10" i="4"/>
  <c r="N10" i="4"/>
  <c r="K10" i="4"/>
  <c r="H10" i="4"/>
  <c r="AE9" i="4"/>
  <c r="AC9" i="4"/>
  <c r="AA9" i="4"/>
  <c r="Y9" i="4"/>
  <c r="S9" i="4"/>
  <c r="Q9" i="4"/>
  <c r="N9" i="4"/>
  <c r="K9" i="4"/>
  <c r="H9" i="4"/>
  <c r="AE8" i="4"/>
  <c r="AC8" i="4"/>
  <c r="AA8" i="4"/>
  <c r="Y8" i="4"/>
  <c r="S8" i="4"/>
  <c r="Q8" i="4"/>
  <c r="N8" i="4"/>
  <c r="K8" i="4"/>
  <c r="H8" i="4"/>
  <c r="AE7" i="4"/>
  <c r="AC7" i="4"/>
  <c r="AA7" i="4"/>
  <c r="Y7" i="4"/>
  <c r="S7" i="4"/>
  <c r="Q7" i="4"/>
  <c r="N7" i="4"/>
  <c r="K7" i="4"/>
  <c r="H7" i="4"/>
  <c r="AE6" i="4"/>
  <c r="AC6" i="4"/>
  <c r="AA6" i="4"/>
  <c r="Y6" i="4"/>
  <c r="S6" i="4"/>
  <c r="Q6" i="4"/>
  <c r="N6" i="4"/>
  <c r="K6" i="4"/>
  <c r="H6" i="4"/>
  <c r="AE5" i="4"/>
  <c r="AC5" i="4"/>
  <c r="AA5" i="4"/>
  <c r="Y5" i="4"/>
  <c r="S5" i="4"/>
  <c r="Q5" i="4"/>
  <c r="N5" i="4"/>
  <c r="K5" i="4"/>
  <c r="H5" i="4"/>
  <c r="AE4" i="4"/>
  <c r="AC4" i="4"/>
  <c r="AA4" i="4"/>
  <c r="Y4" i="4"/>
  <c r="S4" i="4"/>
  <c r="Q4" i="4"/>
  <c r="N4" i="4"/>
  <c r="K4" i="4"/>
  <c r="H4" i="4"/>
  <c r="AE3" i="4"/>
  <c r="AC3" i="4"/>
  <c r="AA3" i="4"/>
  <c r="Y3" i="4"/>
  <c r="S3" i="4"/>
  <c r="Q3" i="4"/>
  <c r="N3" i="4"/>
  <c r="K3" i="4"/>
  <c r="H3" i="4"/>
  <c r="AE2" i="4"/>
  <c r="AC2" i="4"/>
  <c r="AA2" i="4"/>
  <c r="Y2" i="4"/>
  <c r="S2" i="4"/>
  <c r="Q2" i="4"/>
  <c r="N2" i="4"/>
  <c r="K2" i="4"/>
  <c r="H2" i="4"/>
  <c r="N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S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Q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AE2" i="3"/>
  <c r="AE3" i="3"/>
  <c r="AE4" i="3"/>
  <c r="AE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E68" i="3"/>
  <c r="AE69" i="3"/>
  <c r="AE70" i="3"/>
  <c r="AE71" i="3"/>
  <c r="AE72" i="3"/>
  <c r="AE73" i="3"/>
  <c r="AE74" i="3"/>
  <c r="AE75" i="3"/>
  <c r="AE76" i="3"/>
  <c r="AE77" i="3"/>
  <c r="AE78" i="3"/>
  <c r="AE79" i="3"/>
  <c r="AE80" i="3"/>
  <c r="AE81" i="3"/>
  <c r="AE82" i="3"/>
  <c r="AE83" i="3"/>
  <c r="AE84" i="3"/>
  <c r="AE85" i="3"/>
  <c r="AE86" i="3"/>
  <c r="AE87" i="3"/>
  <c r="AE88" i="3"/>
  <c r="AE89" i="3"/>
  <c r="AE90" i="3"/>
  <c r="AE91" i="3"/>
  <c r="AE92" i="3"/>
  <c r="AE93" i="3"/>
  <c r="AE94" i="3"/>
  <c r="AE95" i="3"/>
  <c r="AE96" i="3"/>
  <c r="AE97" i="3"/>
  <c r="AE98" i="3"/>
  <c r="AE99" i="3"/>
  <c r="AE100" i="3"/>
  <c r="AE101" i="3"/>
  <c r="AE102" i="3"/>
  <c r="AE103" i="3"/>
  <c r="AE104" i="3"/>
  <c r="AE105" i="3"/>
  <c r="AE106" i="3"/>
  <c r="AE107" i="3"/>
  <c r="AE108" i="3"/>
  <c r="AE109" i="3"/>
  <c r="AE110" i="3"/>
  <c r="AE111" i="3"/>
  <c r="AE112" i="3"/>
  <c r="AE113" i="3"/>
  <c r="AE114" i="3"/>
  <c r="AE115" i="3"/>
  <c r="AE116" i="3"/>
  <c r="AE117" i="3"/>
  <c r="AE118" i="3"/>
  <c r="AE119" i="3"/>
  <c r="AE120" i="3"/>
  <c r="AE121" i="3"/>
  <c r="AE122" i="3"/>
  <c r="AE123" i="3"/>
  <c r="AE124" i="3"/>
  <c r="AE125" i="3"/>
  <c r="AE126" i="3"/>
  <c r="AE127" i="3"/>
  <c r="AE128" i="3"/>
  <c r="AE129" i="3"/>
  <c r="AC2" i="3"/>
  <c r="AC3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AC100" i="3"/>
  <c r="AC101" i="3"/>
  <c r="AC102" i="3"/>
  <c r="AC103" i="3"/>
  <c r="AC104" i="3"/>
  <c r="AC105" i="3"/>
  <c r="AC106" i="3"/>
  <c r="AC107" i="3"/>
  <c r="AC108" i="3"/>
  <c r="AC109" i="3"/>
  <c r="AC110" i="3"/>
  <c r="AC111" i="3"/>
  <c r="AC112" i="3"/>
  <c r="AC113" i="3"/>
  <c r="AC114" i="3"/>
  <c r="AC115" i="3"/>
  <c r="AC116" i="3"/>
  <c r="AC117" i="3"/>
  <c r="AC118" i="3"/>
  <c r="AC119" i="3"/>
  <c r="AC120" i="3"/>
  <c r="AC121" i="3"/>
  <c r="AC122" i="3"/>
  <c r="AC123" i="3"/>
  <c r="AC124" i="3"/>
  <c r="AC125" i="3"/>
  <c r="AC126" i="3"/>
  <c r="AC127" i="3"/>
  <c r="AC128" i="3"/>
  <c r="AC129" i="3"/>
  <c r="AA2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Y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2" i="3"/>
  <c r="Y93" i="3"/>
  <c r="Y94" i="3"/>
  <c r="Y95" i="3"/>
  <c r="Y96" i="3"/>
  <c r="Y97" i="3"/>
  <c r="Y98" i="3"/>
  <c r="Y99" i="3"/>
  <c r="Y100" i="3"/>
  <c r="Y101" i="3"/>
  <c r="Y102" i="3"/>
  <c r="Y103" i="3"/>
  <c r="Y104" i="3"/>
  <c r="Y105" i="3"/>
  <c r="Y106" i="3"/>
  <c r="Y107" i="3"/>
  <c r="Y108" i="3"/>
  <c r="Y109" i="3"/>
  <c r="Y110" i="3"/>
  <c r="Y111" i="3"/>
  <c r="Y112" i="3"/>
  <c r="Y113" i="3"/>
  <c r="Y114" i="3"/>
  <c r="Y115" i="3"/>
  <c r="Y116" i="3"/>
  <c r="Y117" i="3"/>
  <c r="Y118" i="3"/>
  <c r="Y119" i="3"/>
  <c r="Y120" i="3"/>
  <c r="Y121" i="3"/>
  <c r="Y122" i="3"/>
  <c r="Y123" i="3"/>
  <c r="Y124" i="3"/>
  <c r="Y125" i="3"/>
  <c r="Y126" i="3"/>
  <c r="Y127" i="3"/>
  <c r="Y128" i="3"/>
  <c r="Y129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</calcChain>
</file>

<file path=xl/sharedStrings.xml><?xml version="1.0" encoding="utf-8"?>
<sst xmlns="http://schemas.openxmlformats.org/spreadsheetml/2006/main" count="1739" uniqueCount="105">
  <si>
    <t>SEASON</t>
  </si>
  <si>
    <t>RANK</t>
  </si>
  <si>
    <t>TEAM</t>
  </si>
  <si>
    <t>PLAYOFF</t>
  </si>
  <si>
    <t>AVG_AGE</t>
  </si>
  <si>
    <t>GP</t>
  </si>
  <si>
    <t>W</t>
  </si>
  <si>
    <t>L</t>
  </si>
  <si>
    <t>OL</t>
  </si>
  <si>
    <t>PTS</t>
  </si>
  <si>
    <t>PTS_PCT</t>
  </si>
  <si>
    <t>GF</t>
  </si>
  <si>
    <t>GA</t>
  </si>
  <si>
    <t>SOW</t>
  </si>
  <si>
    <t>SOL</t>
  </si>
  <si>
    <t>SRS</t>
  </si>
  <si>
    <t>SOS</t>
  </si>
  <si>
    <t>GFPG</t>
  </si>
  <si>
    <t>GAPG</t>
  </si>
  <si>
    <t>PP</t>
  </si>
  <si>
    <t>PPO</t>
  </si>
  <si>
    <t>PP_PCT</t>
  </si>
  <si>
    <t>PPA</t>
  </si>
  <si>
    <t>PPOA</t>
  </si>
  <si>
    <t>PK_PCT</t>
  </si>
  <si>
    <t>SH</t>
  </si>
  <si>
    <t>SHA</t>
  </si>
  <si>
    <t>PIMPG</t>
  </si>
  <si>
    <t>OPIMPG</t>
  </si>
  <si>
    <t>S</t>
  </si>
  <si>
    <t>S_PCT</t>
  </si>
  <si>
    <t>SA</t>
  </si>
  <si>
    <t>SV_PCT</t>
  </si>
  <si>
    <t>SO</t>
  </si>
  <si>
    <t>PDO</t>
  </si>
  <si>
    <t>CF</t>
  </si>
  <si>
    <t>CA</t>
  </si>
  <si>
    <t>CF_PCT</t>
  </si>
  <si>
    <t>FF</t>
  </si>
  <si>
    <t>FA</t>
  </si>
  <si>
    <t>FF_PCT</t>
  </si>
  <si>
    <t>XGF</t>
  </si>
  <si>
    <t>XGA</t>
  </si>
  <si>
    <t>AGF</t>
  </si>
  <si>
    <t>AGA</t>
  </si>
  <si>
    <t>AX_DIFF</t>
  </si>
  <si>
    <t>SCF</t>
  </si>
  <si>
    <t>SCA</t>
  </si>
  <si>
    <t>SCF_PCT</t>
  </si>
  <si>
    <t>HDF</t>
  </si>
  <si>
    <t>HDA</t>
  </si>
  <si>
    <t>HDF_PCT</t>
  </si>
  <si>
    <t>HDGF</t>
  </si>
  <si>
    <t>HDC_PCT</t>
  </si>
  <si>
    <t>HDGA</t>
  </si>
  <si>
    <t>HDCO_PCT</t>
  </si>
  <si>
    <t>2021_2022</t>
  </si>
  <si>
    <t>Florida Panthers</t>
  </si>
  <si>
    <t>Colorado Avalanche</t>
  </si>
  <si>
    <t>Carolina Hurricanes</t>
  </si>
  <si>
    <t>Toronto Maple Leafs</t>
  </si>
  <si>
    <t>Minnesota Wild</t>
  </si>
  <si>
    <t>Calgary Flames</t>
  </si>
  <si>
    <t>Tampa Bay Lightning</t>
  </si>
  <si>
    <t>New York Rangers</t>
  </si>
  <si>
    <t>St. Louis Blues</t>
  </si>
  <si>
    <t>Boston Bruins</t>
  </si>
  <si>
    <t>Edmonton Oilers</t>
  </si>
  <si>
    <t>Pittsburgh Penguins</t>
  </si>
  <si>
    <t>Washington Capitals</t>
  </si>
  <si>
    <t>Los Angeles Kings</t>
  </si>
  <si>
    <t>Dallas Stars</t>
  </si>
  <si>
    <t>Nashville Predators</t>
  </si>
  <si>
    <t>Vegas Golden Knights</t>
  </si>
  <si>
    <t>Vancouver Canucks</t>
  </si>
  <si>
    <t>Winnipeg Jets</t>
  </si>
  <si>
    <t>New York Islanders</t>
  </si>
  <si>
    <t>Columbus Blue Jackets</t>
  </si>
  <si>
    <t>San Jose Sharks</t>
  </si>
  <si>
    <t>Anaheim Ducks</t>
  </si>
  <si>
    <t>Buffalo Sabres</t>
  </si>
  <si>
    <t>Detroit Red Wings</t>
  </si>
  <si>
    <t>Ottawa Senators</t>
  </si>
  <si>
    <t>Chicago Blackhawks</t>
  </si>
  <si>
    <t>New Jersey Devils</t>
  </si>
  <si>
    <t>Philadelphia Flyers</t>
  </si>
  <si>
    <t>Seattle Kraken</t>
  </si>
  <si>
    <t>Arizona Coyotes</t>
  </si>
  <si>
    <t>Montreal Canadiens</t>
  </si>
  <si>
    <t>2022_2023</t>
  </si>
  <si>
    <t>2023_2024</t>
  </si>
  <si>
    <t>2024_2025</t>
  </si>
  <si>
    <t>Utah Hockey Club</t>
  </si>
  <si>
    <t>PTSPG</t>
  </si>
  <si>
    <t>WIN_PROB</t>
  </si>
  <si>
    <t>SPEC_TEAMS_INDEX</t>
  </si>
  <si>
    <t>GAA</t>
  </si>
  <si>
    <t>XGFPG</t>
  </si>
  <si>
    <t>XGAPG</t>
  </si>
  <si>
    <t>HDGFPG</t>
  </si>
  <si>
    <t>HDGAPG</t>
  </si>
  <si>
    <t>Row Labels</t>
  </si>
  <si>
    <t>Grand Total</t>
  </si>
  <si>
    <t>Average of PTS_PCT</t>
  </si>
  <si>
    <t>POINT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</si>
</sst>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8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theme="1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  <xf numFmtId="164" fontId="16" fillId="0" borderId="0" xfId="0" applyNumberFormat="1" applyFont="1" applyAlignment="1">
      <alignment horizontal="center"/>
    </xf>
    <xf numFmtId="2" fontId="16" fillId="0" borderId="0" xfId="0" applyNumberFormat="1" applyFont="1" applyAlignment="1">
      <alignment horizontal="center"/>
    </xf>
    <xf numFmtId="0" fontId="13" fillId="33" borderId="10" xfId="0" applyFont="1" applyFill="1" applyBorder="1"/>
    <xf numFmtId="0" fontId="13" fillId="33" borderId="11" xfId="0" applyFont="1" applyFill="1" applyBorder="1"/>
    <xf numFmtId="0" fontId="0" fillId="0" borderId="10" xfId="0" applyFont="1" applyBorder="1"/>
    <xf numFmtId="0" fontId="0" fillId="0" borderId="11" xfId="0" applyFont="1" applyBorder="1"/>
    <xf numFmtId="0" fontId="0" fillId="0" borderId="13" xfId="0" applyFont="1" applyBorder="1"/>
    <xf numFmtId="0" fontId="0" fillId="0" borderId="12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8" fontId="0" fillId="0" borderId="0" xfId="0" applyNumberFormat="1" applyAlignment="1">
      <alignment horizontal="center"/>
    </xf>
    <xf numFmtId="0" fontId="13" fillId="33" borderId="11" xfId="0" applyFont="1" applyFill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12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0">
    <dxf>
      <numFmt numFmtId="168" formatCode="0.0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Sheet6!$B$1</c:f>
              <c:strCache>
                <c:ptCount val="1"/>
                <c:pt idx="0">
                  <c:v>POINT PERCENTAGE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Sheet6!$A$2:$A$5</c:f>
              <c:strCache>
                <c:ptCount val="4"/>
                <c:pt idx="0">
                  <c:v>2021_2022</c:v>
                </c:pt>
                <c:pt idx="1">
                  <c:v>2022_2023</c:v>
                </c:pt>
                <c:pt idx="2">
                  <c:v>2023_2024</c:v>
                </c:pt>
                <c:pt idx="3">
                  <c:v>2024_2025</c:v>
                </c:pt>
              </c:strCache>
            </c:strRef>
          </c:cat>
          <c:val>
            <c:numRef>
              <c:f>Sheet6!$B$2:$B$5</c:f>
              <c:numCache>
                <c:formatCode>0.0000</c:formatCode>
                <c:ptCount val="4"/>
                <c:pt idx="0">
                  <c:v>0.55490624999999993</c:v>
                </c:pt>
                <c:pt idx="1">
                  <c:v>0.55762499999999993</c:v>
                </c:pt>
                <c:pt idx="2">
                  <c:v>0.55171875000000004</c:v>
                </c:pt>
                <c:pt idx="3">
                  <c:v>0.5506875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52-48B4-B99A-3272BBE06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502593535"/>
        <c:axId val="1502594015"/>
      </c:barChart>
      <c:catAx>
        <c:axId val="1502593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594015"/>
        <c:crosses val="autoZero"/>
        <c:auto val="1"/>
        <c:lblAlgn val="ctr"/>
        <c:lblOffset val="100"/>
        <c:noMultiLvlLbl val="0"/>
      </c:catAx>
      <c:valAx>
        <c:axId val="1502594015"/>
        <c:scaling>
          <c:orientation val="minMax"/>
        </c:scaling>
        <c:delete val="1"/>
        <c:axPos val="l"/>
        <c:numFmt formatCode="0.0000" sourceLinked="1"/>
        <c:majorTickMark val="none"/>
        <c:minorTickMark val="none"/>
        <c:tickLblPos val="nextTo"/>
        <c:crossAx val="1502593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193674</xdr:colOff>
      <xdr:row>6</xdr:row>
      <xdr:rowOff>88900</xdr:rowOff>
    </xdr:from>
    <xdr:to>
      <xdr:col>8</xdr:col>
      <xdr:colOff>425449</xdr:colOff>
      <xdr:row>23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C378D4-A650-C7F3-A86A-BD39364D7F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ven Fox" refreshedDate="45747.443132986111" createdVersion="8" refreshedVersion="8" minRefreshableVersion="3" recordCount="128" xr:uid="{E42A9626-1561-46E8-9E62-D6B8541FF70B}">
  <cacheSource type="worksheet">
    <worksheetSource name="Table1"/>
  </cacheSource>
  <cacheFields count="34">
    <cacheField name="SEASON" numFmtId="0">
      <sharedItems count="4">
        <s v="2021_2022"/>
        <s v="2022_2023"/>
        <s v="2023_2024"/>
        <s v="2024_2025"/>
      </sharedItems>
    </cacheField>
    <cacheField name="RANK" numFmtId="0">
      <sharedItems containsSemiMixedTypes="0" containsString="0" containsNumber="1" containsInteger="1" minValue="1" maxValue="32"/>
    </cacheField>
    <cacheField name="TEAM" numFmtId="0">
      <sharedItems/>
    </cacheField>
    <cacheField name="PLAYOFF" numFmtId="0">
      <sharedItems containsSemiMixedTypes="0" containsString="0" containsNumber="1" containsInteger="1" minValue="0" maxValue="1"/>
    </cacheField>
    <cacheField name="AVG_AGE" numFmtId="0">
      <sharedItems containsSemiMixedTypes="0" containsString="0" containsNumber="1" minValue="25.7" maxValue="31.3"/>
    </cacheField>
    <cacheField name="GP" numFmtId="0">
      <sharedItems containsSemiMixedTypes="0" containsString="0" containsNumber="1" containsInteger="1" minValue="71" maxValue="82"/>
    </cacheField>
    <cacheField name="W" numFmtId="0">
      <sharedItems containsSemiMixedTypes="0" containsString="0" containsNumber="1" containsInteger="1" minValue="19" maxValue="65"/>
    </cacheField>
    <cacheField name="L" numFmtId="0">
      <sharedItems containsSemiMixedTypes="0" containsString="0" containsNumber="1" containsInteger="1" minValue="12" maxValue="54"/>
    </cacheField>
    <cacheField name="OL" numFmtId="0">
      <sharedItems containsSemiMixedTypes="0" containsString="0" containsNumber="1" containsInteger="1" minValue="3" maxValue="17"/>
    </cacheField>
    <cacheField name="PTS" numFmtId="0">
      <sharedItems containsSemiMixedTypes="0" containsString="0" containsNumber="1" containsInteger="1" minValue="47" maxValue="135"/>
    </cacheField>
    <cacheField name="PTS_PCT" numFmtId="0">
      <sharedItems containsSemiMixedTypes="0" containsString="0" containsNumber="1" minValue="0.28699999999999998" maxValue="0.82299999999999995"/>
    </cacheField>
    <cacheField name="GF" numFmtId="0">
      <sharedItems containsSemiMixedTypes="0" containsString="0" containsNumber="1" containsInteger="1" minValue="178" maxValue="337"/>
    </cacheField>
    <cacheField name="GA" numFmtId="0">
      <sharedItems containsSemiMixedTypes="0" containsString="0" containsNumber="1" containsInteger="1" minValue="171" maxValue="335"/>
    </cacheField>
    <cacheField name="SOW" numFmtId="0">
      <sharedItems containsSemiMixedTypes="0" containsString="0" containsNumber="1" containsInteger="1" minValue="0" maxValue="7"/>
    </cacheField>
    <cacheField name="SOL" numFmtId="0">
      <sharedItems containsSemiMixedTypes="0" containsString="0" containsNumber="1" containsInteger="1" minValue="0" maxValue="8"/>
    </cacheField>
    <cacheField name="SRS" numFmtId="0">
      <sharedItems containsSemiMixedTypes="0" containsString="0" containsNumber="1" minValue="-1.78" maxValue="1.54"/>
    </cacheField>
    <cacheField name="SOS" numFmtId="0">
      <sharedItems containsSemiMixedTypes="0" containsString="0" containsNumber="1" minValue="-0.08" maxValue="7.0000000000000007E-2"/>
    </cacheField>
    <cacheField name="GFPG" numFmtId="0">
      <sharedItems containsSemiMixedTypes="0" containsString="0" containsNumber="1" minValue="2.17" maxValue="4.1100000000000003"/>
    </cacheField>
    <cacheField name="GAPG" numFmtId="0">
      <sharedItems containsSemiMixedTypes="0" containsString="0" containsNumber="1" minValue="2.12" maxValue="4.09"/>
    </cacheField>
    <cacheField name="PP" numFmtId="0">
      <sharedItems containsSemiMixedTypes="0" containsString="0" containsNumber="1" containsInteger="1" minValue="21" maxValue="89"/>
    </cacheField>
    <cacheField name="PPO" numFmtId="0">
      <sharedItems containsSemiMixedTypes="0" containsString="0" containsNumber="1" containsInteger="1" minValue="165" maxValue="306"/>
    </cacheField>
    <cacheField name="PP_PCT" numFmtId="0">
      <sharedItems containsSemiMixedTypes="0" containsString="0" containsNumber="1" minValue="12" maxValue="32.36"/>
    </cacheField>
    <cacheField name="PPA" numFmtId="0">
      <sharedItems containsSemiMixedTypes="0" containsString="0" containsNumber="1" containsInteger="1" minValue="31" maxValue="91"/>
    </cacheField>
    <cacheField name="PPOA" numFmtId="0">
      <sharedItems containsSemiMixedTypes="0" containsString="0" containsNumber="1" containsInteger="1" minValue="146" maxValue="330"/>
    </cacheField>
    <cacheField name="PK_PCT" numFmtId="0">
      <sharedItems containsSemiMixedTypes="0" containsString="0" containsNumber="1" minValue="68.86" maxValue="88.04"/>
    </cacheField>
    <cacheField name="SH" numFmtId="0">
      <sharedItems containsSemiMixedTypes="0" containsString="0" containsNumber="1" containsInteger="1" minValue="1" maxValue="18"/>
    </cacheField>
    <cacheField name="SHA" numFmtId="0">
      <sharedItems containsSemiMixedTypes="0" containsString="0" containsNumber="1" containsInteger="1" minValue="2" maxValue="14"/>
    </cacheField>
    <cacheField name="PIMPG" numFmtId="0">
      <sharedItems containsSemiMixedTypes="0" containsString="0" containsNumber="1" minValue="5.7" maxValue="13.6"/>
    </cacheField>
    <cacheField name="OPIMPG" numFmtId="0">
      <sharedItems containsSemiMixedTypes="0" containsString="0" containsNumber="1" minValue="6.3" maxValue="13.5"/>
    </cacheField>
    <cacheField name="S" numFmtId="0">
      <sharedItems containsSemiMixedTypes="0" containsString="0" containsNumber="1" containsInteger="1" minValue="1780" maxValue="3062"/>
    </cacheField>
    <cacheField name="S_PCT" numFmtId="0">
      <sharedItems containsSemiMixedTypes="0" containsString="0" containsNumber="1" minValue="8.1999999999999993" maxValue="13.1"/>
    </cacheField>
    <cacheField name="SA" numFmtId="0">
      <sharedItems containsSemiMixedTypes="0" containsString="0" containsNumber="1" containsInteger="1" minValue="1793" maxValue="3207"/>
    </cacheField>
    <cacheField name="SV_PCT" numFmtId="0">
      <sharedItems containsSemiMixedTypes="0" containsString="0" containsNumber="1" minValue="0.871" maxValue="0.92900000000000005"/>
    </cacheField>
    <cacheField name="SO" numFmtId="0">
      <sharedItems containsSemiMixedTypes="0" containsString="0" containsNumber="1" containsInteger="1" minValue="0" maxValue="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">
  <r>
    <x v="0"/>
    <n v="1"/>
    <s v="Florida Panthers"/>
    <n v="1"/>
    <n v="27.8"/>
    <n v="82"/>
    <n v="58"/>
    <n v="18"/>
    <n v="6"/>
    <n v="122"/>
    <n v="0.74399999999999999"/>
    <n v="337"/>
    <n v="242"/>
    <n v="3"/>
    <n v="4"/>
    <n v="1.07"/>
    <n v="-0.08"/>
    <n v="4.1100000000000003"/>
    <n v="2.95"/>
    <n v="64"/>
    <n v="262"/>
    <n v="24.43"/>
    <n v="53"/>
    <n v="259"/>
    <n v="79.540000000000006"/>
    <n v="12"/>
    <n v="8"/>
    <n v="10.1"/>
    <n v="10.8"/>
    <n v="3062"/>
    <n v="11"/>
    <n v="2515"/>
    <n v="0.90400000000000003"/>
    <n v="5"/>
  </r>
  <r>
    <x v="0"/>
    <n v="2"/>
    <s v="Colorado Avalanche"/>
    <n v="1"/>
    <n v="28.2"/>
    <n v="82"/>
    <n v="56"/>
    <n v="19"/>
    <n v="7"/>
    <n v="119"/>
    <n v="0.72599999999999998"/>
    <n v="308"/>
    <n v="232"/>
    <n v="4"/>
    <n v="2"/>
    <n v="0.91"/>
    <n v="-0.04"/>
    <n v="3.76"/>
    <n v="2.83"/>
    <n v="67"/>
    <n v="279"/>
    <n v="24.01"/>
    <n v="48"/>
    <n v="236"/>
    <n v="79.66"/>
    <n v="6"/>
    <n v="5"/>
    <n v="9"/>
    <n v="10.4"/>
    <n v="2874"/>
    <n v="10.7"/>
    <n v="2625"/>
    <n v="0.91200000000000003"/>
    <n v="7"/>
  </r>
  <r>
    <x v="0"/>
    <n v="3"/>
    <s v="Carolina Hurricanes"/>
    <n v="1"/>
    <n v="28.3"/>
    <n v="82"/>
    <n v="54"/>
    <n v="20"/>
    <n v="8"/>
    <n v="116"/>
    <n v="0.70699999999999996"/>
    <n v="277"/>
    <n v="200"/>
    <n v="1"/>
    <n v="2"/>
    <n v="0.88"/>
    <n v="-0.05"/>
    <n v="3.38"/>
    <n v="2.44"/>
    <n v="51"/>
    <n v="232"/>
    <n v="21.98"/>
    <n v="33"/>
    <n v="276"/>
    <n v="88.04"/>
    <n v="4"/>
    <n v="3"/>
    <n v="9.1999999999999993"/>
    <n v="7.7"/>
    <n v="2798"/>
    <n v="9.9"/>
    <n v="2310"/>
    <n v="0.91300000000000003"/>
    <n v="6"/>
  </r>
  <r>
    <x v="0"/>
    <n v="4"/>
    <s v="Toronto Maple Leafs"/>
    <n v="1"/>
    <n v="28.4"/>
    <n v="82"/>
    <n v="54"/>
    <n v="21"/>
    <n v="7"/>
    <n v="115"/>
    <n v="0.70099999999999996"/>
    <n v="312"/>
    <n v="252"/>
    <n v="3"/>
    <n v="1"/>
    <n v="0.69"/>
    <n v="-0.06"/>
    <n v="3.8"/>
    <n v="3.07"/>
    <n v="63"/>
    <n v="231"/>
    <n v="27.27"/>
    <n v="42"/>
    <n v="234"/>
    <n v="82.05"/>
    <n v="13"/>
    <n v="4"/>
    <n v="8.6"/>
    <n v="8.5"/>
    <n v="2835"/>
    <n v="11"/>
    <n v="2511"/>
    <n v="0.9"/>
    <n v="7"/>
  </r>
  <r>
    <x v="0"/>
    <n v="5"/>
    <s v="Minnesota Wild"/>
    <n v="1"/>
    <n v="29.4"/>
    <n v="82"/>
    <n v="53"/>
    <n v="22"/>
    <n v="7"/>
    <n v="113"/>
    <n v="0.68899999999999995"/>
    <n v="305"/>
    <n v="249"/>
    <n v="5"/>
    <n v="4"/>
    <n v="0.68"/>
    <n v="-0.02"/>
    <n v="3.72"/>
    <n v="3.04"/>
    <n v="53"/>
    <n v="258"/>
    <n v="20.54"/>
    <n v="63"/>
    <n v="264"/>
    <n v="76.14"/>
    <n v="2"/>
    <n v="5"/>
    <n v="10.8"/>
    <n v="10.8"/>
    <n v="2666"/>
    <n v="11.4"/>
    <n v="2577"/>
    <n v="0.90300000000000002"/>
    <n v="3"/>
  </r>
  <r>
    <x v="0"/>
    <n v="6"/>
    <s v="Calgary Flames"/>
    <n v="1"/>
    <n v="28.8"/>
    <n v="82"/>
    <n v="50"/>
    <n v="21"/>
    <n v="11"/>
    <n v="111"/>
    <n v="0.67700000000000005"/>
    <n v="291"/>
    <n v="206"/>
    <n v="2"/>
    <n v="2"/>
    <n v="0.99"/>
    <n v="-0.05"/>
    <n v="3.55"/>
    <n v="2.5099999999999998"/>
    <n v="54"/>
    <n v="236"/>
    <n v="22.88"/>
    <n v="42"/>
    <n v="250"/>
    <n v="83.2"/>
    <n v="7"/>
    <n v="3"/>
    <n v="9.1"/>
    <n v="8.6"/>
    <n v="2908"/>
    <n v="10"/>
    <n v="2374"/>
    <n v="0.91300000000000003"/>
    <n v="11"/>
  </r>
  <r>
    <x v="0"/>
    <n v="7"/>
    <s v="Tampa Bay Lightning"/>
    <n v="1"/>
    <n v="29.6"/>
    <n v="82"/>
    <n v="51"/>
    <n v="23"/>
    <n v="8"/>
    <n v="110"/>
    <n v="0.67100000000000004"/>
    <n v="285"/>
    <n v="228"/>
    <n v="2"/>
    <n v="5"/>
    <n v="0.64"/>
    <n v="-0.02"/>
    <n v="3.48"/>
    <n v="2.78"/>
    <n v="62"/>
    <n v="259"/>
    <n v="23.94"/>
    <n v="49"/>
    <n v="252"/>
    <n v="80.56"/>
    <n v="7"/>
    <n v="5"/>
    <n v="11"/>
    <n v="11.4"/>
    <n v="2535"/>
    <n v="11.2"/>
    <n v="2441"/>
    <n v="0.90700000000000003"/>
    <n v="3"/>
  </r>
  <r>
    <x v="0"/>
    <n v="8"/>
    <s v="New York Rangers"/>
    <n v="1"/>
    <n v="26.7"/>
    <n v="82"/>
    <n v="52"/>
    <n v="24"/>
    <n v="6"/>
    <n v="110"/>
    <n v="0.67100000000000004"/>
    <n v="250"/>
    <n v="204"/>
    <n v="4"/>
    <n v="3"/>
    <n v="0.54"/>
    <n v="-0.03"/>
    <n v="3.05"/>
    <n v="2.4900000000000002"/>
    <n v="55"/>
    <n v="218"/>
    <n v="25.23"/>
    <n v="40"/>
    <n v="226"/>
    <n v="82.3"/>
    <n v="8"/>
    <n v="2"/>
    <n v="8.1999999999999993"/>
    <n v="8.1999999999999993"/>
    <n v="2392"/>
    <n v="10.5"/>
    <n v="2528"/>
    <n v="0.91900000000000004"/>
    <n v="9"/>
  </r>
  <r>
    <x v="0"/>
    <n v="9"/>
    <s v="St. Louis Blues"/>
    <n v="1"/>
    <n v="28.8"/>
    <n v="82"/>
    <n v="49"/>
    <n v="22"/>
    <n v="11"/>
    <n v="109"/>
    <n v="0.66500000000000004"/>
    <n v="309"/>
    <n v="239"/>
    <n v="2"/>
    <n v="3"/>
    <n v="0.79"/>
    <n v="-0.05"/>
    <n v="3.77"/>
    <n v="2.91"/>
    <n v="65"/>
    <n v="241"/>
    <n v="26.97"/>
    <n v="35"/>
    <n v="220"/>
    <n v="84.09"/>
    <n v="9"/>
    <n v="5"/>
    <n v="7.5"/>
    <n v="7.9"/>
    <n v="2492"/>
    <n v="12.4"/>
    <n v="2591"/>
    <n v="0.90800000000000003"/>
    <n v="4"/>
  </r>
  <r>
    <x v="0"/>
    <n v="10"/>
    <s v="Boston Bruins"/>
    <n v="1"/>
    <n v="28.5"/>
    <n v="82"/>
    <n v="51"/>
    <n v="26"/>
    <n v="5"/>
    <n v="107"/>
    <n v="0.65200000000000002"/>
    <n v="253"/>
    <n v="218"/>
    <n v="2"/>
    <n v="2"/>
    <n v="0.38"/>
    <n v="-0.05"/>
    <n v="3.09"/>
    <n v="2.66"/>
    <n v="50"/>
    <n v="236"/>
    <n v="21.19"/>
    <n v="49"/>
    <n v="262"/>
    <n v="81.3"/>
    <n v="5"/>
    <n v="6"/>
    <n v="9.9"/>
    <n v="9.4"/>
    <n v="2962"/>
    <n v="8.5"/>
    <n v="2354"/>
    <n v="0.90700000000000003"/>
    <n v="4"/>
  </r>
  <r>
    <x v="0"/>
    <n v="11"/>
    <s v="Edmonton Oilers"/>
    <n v="1"/>
    <n v="29.1"/>
    <n v="82"/>
    <n v="49"/>
    <n v="27"/>
    <n v="6"/>
    <n v="104"/>
    <n v="0.63400000000000001"/>
    <n v="285"/>
    <n v="251"/>
    <n v="5"/>
    <n v="1"/>
    <n v="0.46"/>
    <n v="0"/>
    <n v="3.48"/>
    <n v="3.06"/>
    <n v="61"/>
    <n v="235"/>
    <n v="25.96"/>
    <n v="52"/>
    <n v="252"/>
    <n v="79.37"/>
    <n v="11"/>
    <n v="6"/>
    <n v="8.1"/>
    <n v="7.1"/>
    <n v="2790"/>
    <n v="10.199999999999999"/>
    <n v="2647"/>
    <n v="0.90500000000000003"/>
    <n v="4"/>
  </r>
  <r>
    <x v="0"/>
    <n v="12"/>
    <s v="Pittsburgh Penguins"/>
    <n v="1"/>
    <n v="29.7"/>
    <n v="82"/>
    <n v="46"/>
    <n v="25"/>
    <n v="11"/>
    <n v="103"/>
    <n v="0.628"/>
    <n v="269"/>
    <n v="222"/>
    <n v="3"/>
    <n v="7"/>
    <n v="0.49"/>
    <n v="-0.04"/>
    <n v="3.28"/>
    <n v="2.71"/>
    <n v="50"/>
    <n v="248"/>
    <n v="20.16"/>
    <n v="33"/>
    <n v="212"/>
    <n v="84.43"/>
    <n v="3"/>
    <n v="8"/>
    <n v="6.9"/>
    <n v="8.4"/>
    <n v="2849"/>
    <n v="9.4"/>
    <n v="2576"/>
    <n v="0.91400000000000003"/>
    <n v="7"/>
  </r>
  <r>
    <x v="0"/>
    <n v="13"/>
    <s v="Washington Capitals"/>
    <n v="1"/>
    <n v="29.5"/>
    <n v="82"/>
    <n v="44"/>
    <n v="26"/>
    <n v="12"/>
    <n v="100"/>
    <n v="0.61"/>
    <n v="270"/>
    <n v="242"/>
    <n v="5"/>
    <n v="3"/>
    <n v="0.35"/>
    <n v="-0.02"/>
    <n v="3.29"/>
    <n v="2.95"/>
    <n v="48"/>
    <n v="256"/>
    <n v="18.75"/>
    <n v="44"/>
    <n v="225"/>
    <n v="80.44"/>
    <n v="8"/>
    <n v="9"/>
    <n v="7.7"/>
    <n v="8.8000000000000007"/>
    <n v="2577"/>
    <n v="10.5"/>
    <n v="2378"/>
    <n v="0.89800000000000002"/>
    <n v="8"/>
  </r>
  <r>
    <x v="0"/>
    <n v="14"/>
    <s v="Los Angeles Kings"/>
    <n v="1"/>
    <n v="28"/>
    <n v="82"/>
    <n v="44"/>
    <n v="27"/>
    <n v="11"/>
    <n v="99"/>
    <n v="0.60399999999999998"/>
    <n v="235"/>
    <n v="232"/>
    <n v="4"/>
    <n v="4"/>
    <n v="0.03"/>
    <n v="-0.01"/>
    <n v="2.87"/>
    <n v="2.83"/>
    <n v="40"/>
    <n v="248"/>
    <n v="16.13"/>
    <n v="53"/>
    <n v="227"/>
    <n v="76.650000000000006"/>
    <n v="11"/>
    <n v="9"/>
    <n v="7.7"/>
    <n v="8.3000000000000007"/>
    <n v="2865"/>
    <n v="8.1999999999999993"/>
    <n v="2341"/>
    <n v="0.90100000000000002"/>
    <n v="5"/>
  </r>
  <r>
    <x v="0"/>
    <n v="15"/>
    <s v="Dallas Stars"/>
    <n v="1"/>
    <n v="29.4"/>
    <n v="82"/>
    <n v="46"/>
    <n v="30"/>
    <n v="6"/>
    <n v="98"/>
    <n v="0.59799999999999998"/>
    <n v="233"/>
    <n v="244"/>
    <n v="5"/>
    <n v="2"/>
    <n v="-0.09"/>
    <n v="0.01"/>
    <n v="2.84"/>
    <n v="2.98"/>
    <n v="54"/>
    <n v="241"/>
    <n v="22.41"/>
    <n v="46"/>
    <n v="219"/>
    <n v="79"/>
    <n v="7"/>
    <n v="5"/>
    <n v="6.7"/>
    <n v="7.5"/>
    <n v="2486"/>
    <n v="9.4"/>
    <n v="2545"/>
    <n v="0.90400000000000003"/>
    <n v="2"/>
  </r>
  <r>
    <x v="0"/>
    <n v="16"/>
    <s v="Nashville Predators"/>
    <n v="1"/>
    <n v="27.7"/>
    <n v="82"/>
    <n v="45"/>
    <n v="30"/>
    <n v="7"/>
    <n v="97"/>
    <n v="0.59099999999999997"/>
    <n v="262"/>
    <n v="250"/>
    <n v="4"/>
    <n v="2"/>
    <n v="0.19"/>
    <n v="0.02"/>
    <n v="3.2"/>
    <n v="3.05"/>
    <n v="63"/>
    <n v="258"/>
    <n v="24.42"/>
    <n v="59"/>
    <n v="284"/>
    <n v="79.23"/>
    <n v="2"/>
    <n v="5"/>
    <n v="12.6"/>
    <n v="11.9"/>
    <n v="2439"/>
    <n v="10.7"/>
    <n v="2646"/>
    <n v="0.90600000000000003"/>
    <n v="4"/>
  </r>
  <r>
    <x v="0"/>
    <n v="17"/>
    <s v="Vegas Golden Knights"/>
    <n v="0"/>
    <n v="28.5"/>
    <n v="82"/>
    <n v="43"/>
    <n v="31"/>
    <n v="8"/>
    <n v="94"/>
    <n v="0.57299999999999995"/>
    <n v="262"/>
    <n v="244"/>
    <n v="4"/>
    <n v="4"/>
    <n v="0.21"/>
    <n v="-0.01"/>
    <n v="3.2"/>
    <n v="2.98"/>
    <n v="39"/>
    <n v="212"/>
    <n v="18.399999999999999"/>
    <n v="47"/>
    <n v="208"/>
    <n v="77.400000000000006"/>
    <n v="10"/>
    <n v="7"/>
    <n v="7.6"/>
    <n v="7.7"/>
    <n v="2830"/>
    <n v="9.3000000000000007"/>
    <n v="2458"/>
    <n v="0.90100000000000002"/>
    <n v="3"/>
  </r>
  <r>
    <x v="0"/>
    <n v="18"/>
    <s v="Vancouver Canucks"/>
    <n v="0"/>
    <n v="27.7"/>
    <n v="82"/>
    <n v="40"/>
    <n v="30"/>
    <n v="12"/>
    <n v="92"/>
    <n v="0.56100000000000005"/>
    <n v="246"/>
    <n v="231"/>
    <n v="3"/>
    <n v="5"/>
    <n v="0.16"/>
    <n v="0"/>
    <n v="3"/>
    <n v="2.82"/>
    <n v="58"/>
    <n v="247"/>
    <n v="23.48"/>
    <n v="58"/>
    <n v="231"/>
    <n v="74.89"/>
    <n v="5"/>
    <n v="6"/>
    <n v="8"/>
    <n v="8.6"/>
    <n v="2622"/>
    <n v="9.4"/>
    <n v="2612"/>
    <n v="0.91200000000000003"/>
    <n v="1"/>
  </r>
  <r>
    <x v="0"/>
    <n v="19"/>
    <s v="Winnipeg Jets"/>
    <n v="0"/>
    <n v="28.2"/>
    <n v="82"/>
    <n v="39"/>
    <n v="32"/>
    <n v="11"/>
    <n v="89"/>
    <n v="0.54300000000000004"/>
    <n v="250"/>
    <n v="253"/>
    <n v="2"/>
    <n v="4"/>
    <n v="-0.04"/>
    <n v="0.02"/>
    <n v="3.05"/>
    <n v="3.09"/>
    <n v="52"/>
    <n v="247"/>
    <n v="21.05"/>
    <n v="58"/>
    <n v="232"/>
    <n v="75"/>
    <n v="9"/>
    <n v="8"/>
    <n v="8.8000000000000007"/>
    <n v="9.5"/>
    <n v="2645"/>
    <n v="9.5"/>
    <n v="2721"/>
    <n v="0.90700000000000003"/>
    <n v="5"/>
  </r>
  <r>
    <x v="0"/>
    <n v="20"/>
    <s v="New York Islanders"/>
    <n v="0"/>
    <n v="30.1"/>
    <n v="82"/>
    <n v="37"/>
    <n v="35"/>
    <n v="10"/>
    <n v="84"/>
    <n v="0.51200000000000001"/>
    <n v="229"/>
    <n v="231"/>
    <n v="2"/>
    <n v="6"/>
    <n v="-0.09"/>
    <n v="-0.02"/>
    <n v="2.79"/>
    <n v="2.82"/>
    <n v="46"/>
    <n v="208"/>
    <n v="22.12"/>
    <n v="34"/>
    <n v="215"/>
    <n v="84.19"/>
    <n v="5"/>
    <n v="7"/>
    <n v="8.9"/>
    <n v="8.4"/>
    <n v="2367"/>
    <n v="9.6999999999999993"/>
    <n v="2669"/>
    <n v="0.91300000000000003"/>
    <n v="9"/>
  </r>
  <r>
    <x v="0"/>
    <n v="21"/>
    <s v="Columbus Blue Jackets"/>
    <n v="0"/>
    <n v="26.6"/>
    <n v="82"/>
    <n v="37"/>
    <n v="38"/>
    <n v="7"/>
    <n v="81"/>
    <n v="0.49399999999999999"/>
    <n v="258"/>
    <n v="297"/>
    <n v="4"/>
    <n v="3"/>
    <n v="-0.44"/>
    <n v="0.02"/>
    <n v="3.15"/>
    <n v="3.62"/>
    <n v="41"/>
    <n v="220"/>
    <n v="18.64"/>
    <n v="51"/>
    <n v="238"/>
    <n v="78.569999999999993"/>
    <n v="7"/>
    <n v="6"/>
    <n v="7.7"/>
    <n v="7.2"/>
    <n v="2463"/>
    <n v="10.5"/>
    <n v="2887"/>
    <n v="0.89700000000000002"/>
    <n v="2"/>
  </r>
  <r>
    <x v="0"/>
    <n v="22"/>
    <s v="San Jose Sharks"/>
    <n v="0"/>
    <n v="29"/>
    <n v="82"/>
    <n v="32"/>
    <n v="37"/>
    <n v="13"/>
    <n v="77"/>
    <n v="0.47"/>
    <n v="211"/>
    <n v="261"/>
    <n v="3"/>
    <n v="3"/>
    <n v="-0.57999999999999996"/>
    <n v="0.03"/>
    <n v="2.57"/>
    <n v="3.18"/>
    <n v="41"/>
    <n v="216"/>
    <n v="18.98"/>
    <n v="33"/>
    <n v="223"/>
    <n v="85.2"/>
    <n v="4"/>
    <n v="11"/>
    <n v="8.8000000000000007"/>
    <n v="8.6"/>
    <n v="2400"/>
    <n v="8.8000000000000007"/>
    <n v="2622"/>
    <n v="0.9"/>
    <n v="3"/>
  </r>
  <r>
    <x v="0"/>
    <n v="23"/>
    <s v="Anaheim Ducks"/>
    <n v="0"/>
    <n v="27.9"/>
    <n v="82"/>
    <n v="31"/>
    <n v="37"/>
    <n v="14"/>
    <n v="76"/>
    <n v="0.46300000000000002"/>
    <n v="228"/>
    <n v="266"/>
    <n v="4"/>
    <n v="5"/>
    <n v="-0.45"/>
    <n v="0.03"/>
    <n v="2.78"/>
    <n v="3.24"/>
    <n v="48"/>
    <n v="219"/>
    <n v="21.92"/>
    <n v="43"/>
    <n v="224"/>
    <n v="80.8"/>
    <n v="6"/>
    <n v="4"/>
    <n v="9.3000000000000007"/>
    <n v="9.8000000000000007"/>
    <n v="2393"/>
    <n v="9.5"/>
    <n v="2725"/>
    <n v="0.90200000000000002"/>
    <n v="4"/>
  </r>
  <r>
    <x v="0"/>
    <n v="24"/>
    <s v="Buffalo Sabres"/>
    <n v="0"/>
    <n v="27.5"/>
    <n v="82"/>
    <n v="32"/>
    <n v="39"/>
    <n v="11"/>
    <n v="75"/>
    <n v="0.45700000000000002"/>
    <n v="229"/>
    <n v="287"/>
    <n v="3"/>
    <n v="3"/>
    <n v="-0.69"/>
    <n v="0.02"/>
    <n v="2.79"/>
    <n v="3.5"/>
    <n v="47"/>
    <n v="222"/>
    <n v="21.17"/>
    <n v="50"/>
    <n v="212"/>
    <n v="76.42"/>
    <n v="6"/>
    <n v="6"/>
    <n v="8.1"/>
    <n v="7.9"/>
    <n v="2451"/>
    <n v="9.3000000000000007"/>
    <n v="2702"/>
    <n v="0.89400000000000002"/>
    <n v="1"/>
  </r>
  <r>
    <x v="0"/>
    <n v="25"/>
    <s v="Detroit Red Wings"/>
    <n v="0"/>
    <n v="26.9"/>
    <n v="82"/>
    <n v="32"/>
    <n v="40"/>
    <n v="10"/>
    <n v="74"/>
    <n v="0.45100000000000001"/>
    <n v="227"/>
    <n v="310"/>
    <n v="3"/>
    <n v="2"/>
    <n v="-0.95"/>
    <n v="0.06"/>
    <n v="2.77"/>
    <n v="3.78"/>
    <n v="37"/>
    <n v="227"/>
    <n v="16.3"/>
    <n v="59"/>
    <n v="225"/>
    <n v="73.78"/>
    <n v="4"/>
    <n v="10"/>
    <n v="8.9"/>
    <n v="8.5"/>
    <n v="2414"/>
    <n v="9.4"/>
    <n v="2761"/>
    <n v="0.88800000000000001"/>
    <n v="4"/>
  </r>
  <r>
    <x v="0"/>
    <n v="26"/>
    <s v="Ottawa Senators"/>
    <n v="0"/>
    <n v="26.6"/>
    <n v="82"/>
    <n v="33"/>
    <n v="42"/>
    <n v="7"/>
    <n v="73"/>
    <n v="0.44500000000000001"/>
    <n v="224"/>
    <n v="264"/>
    <n v="3"/>
    <n v="2"/>
    <n v="-0.44"/>
    <n v="0.03"/>
    <n v="2.73"/>
    <n v="3.22"/>
    <n v="47"/>
    <n v="243"/>
    <n v="19.34"/>
    <n v="49"/>
    <n v="249"/>
    <n v="80.319999999999993"/>
    <n v="9"/>
    <n v="4"/>
    <n v="10"/>
    <n v="10.199999999999999"/>
    <n v="2463"/>
    <n v="9.1"/>
    <n v="2740"/>
    <n v="0.90400000000000003"/>
    <n v="2"/>
  </r>
  <r>
    <x v="0"/>
    <n v="27"/>
    <s v="Chicago Blackhawks"/>
    <n v="0"/>
    <n v="28"/>
    <n v="82"/>
    <n v="28"/>
    <n v="42"/>
    <n v="12"/>
    <n v="68"/>
    <n v="0.41499999999999998"/>
    <n v="213"/>
    <n v="289"/>
    <n v="6"/>
    <n v="2"/>
    <n v="-0.83"/>
    <n v="0.05"/>
    <n v="2.6"/>
    <n v="3.52"/>
    <n v="47"/>
    <n v="245"/>
    <n v="19.18"/>
    <n v="53"/>
    <n v="223"/>
    <n v="76.23"/>
    <n v="2"/>
    <n v="6"/>
    <n v="7.9"/>
    <n v="8.6999999999999993"/>
    <n v="2362"/>
    <n v="9"/>
    <n v="2703"/>
    <n v="0.89300000000000002"/>
    <n v="4"/>
  </r>
  <r>
    <x v="0"/>
    <n v="28"/>
    <s v="New Jersey Devils"/>
    <n v="0"/>
    <n v="25.8"/>
    <n v="82"/>
    <n v="27"/>
    <n v="46"/>
    <n v="9"/>
    <n v="63"/>
    <n v="0.38400000000000001"/>
    <n v="245"/>
    <n v="302"/>
    <n v="3"/>
    <n v="5"/>
    <n v="-0.68"/>
    <n v="0.04"/>
    <n v="2.99"/>
    <n v="3.68"/>
    <n v="35"/>
    <n v="225"/>
    <n v="15.56"/>
    <n v="42"/>
    <n v="212"/>
    <n v="80.19"/>
    <n v="6"/>
    <n v="14"/>
    <n v="8.1"/>
    <n v="8.4"/>
    <n v="2562"/>
    <n v="9.6"/>
    <n v="2540"/>
    <n v="0.88100000000000001"/>
    <n v="2"/>
  </r>
  <r>
    <x v="0"/>
    <n v="29"/>
    <s v="Philadelphia Flyers"/>
    <n v="0"/>
    <n v="28.3"/>
    <n v="82"/>
    <n v="25"/>
    <n v="46"/>
    <n v="11"/>
    <n v="61"/>
    <n v="0.372"/>
    <n v="210"/>
    <n v="294"/>
    <n v="1"/>
    <n v="4"/>
    <n v="-1"/>
    <n v="0.06"/>
    <n v="2.56"/>
    <n v="3.59"/>
    <n v="30"/>
    <n v="239"/>
    <n v="12.55"/>
    <n v="57"/>
    <n v="235"/>
    <n v="75.739999999999995"/>
    <n v="6"/>
    <n v="11"/>
    <n v="9"/>
    <n v="9"/>
    <n v="2539"/>
    <n v="8.3000000000000007"/>
    <n v="2785"/>
    <n v="0.89400000000000002"/>
    <n v="1"/>
  </r>
  <r>
    <x v="0"/>
    <n v="30"/>
    <s v="Seattle Kraken"/>
    <n v="0"/>
    <n v="28.7"/>
    <n v="82"/>
    <n v="27"/>
    <n v="49"/>
    <n v="6"/>
    <n v="60"/>
    <n v="0.36599999999999999"/>
    <n v="213"/>
    <n v="284"/>
    <n v="3"/>
    <n v="1"/>
    <n v="-0.8"/>
    <n v="0.04"/>
    <n v="2.6"/>
    <n v="3.46"/>
    <n v="32"/>
    <n v="220"/>
    <n v="14.55"/>
    <n v="56"/>
    <n v="223"/>
    <n v="74.89"/>
    <n v="8"/>
    <n v="7"/>
    <n v="8.5"/>
    <n v="8"/>
    <n v="2380"/>
    <n v="8.9"/>
    <n v="2367"/>
    <n v="0.88"/>
    <n v="3"/>
  </r>
  <r>
    <x v="0"/>
    <n v="31"/>
    <s v="Arizona Coyotes"/>
    <n v="0"/>
    <n v="28"/>
    <n v="82"/>
    <n v="25"/>
    <n v="50"/>
    <n v="7"/>
    <n v="57"/>
    <n v="0.34799999999999998"/>
    <n v="206"/>
    <n v="309"/>
    <n v="1"/>
    <n v="4"/>
    <n v="-1.23"/>
    <n v="0.06"/>
    <n v="2.5099999999999998"/>
    <n v="3.77"/>
    <n v="28"/>
    <n v="202"/>
    <n v="13.86"/>
    <n v="64"/>
    <n v="256"/>
    <n v="75"/>
    <n v="3"/>
    <n v="4"/>
    <n v="10.199999999999999"/>
    <n v="8.1999999999999993"/>
    <n v="2121"/>
    <n v="9.6999999999999993"/>
    <n v="2910"/>
    <n v="0.89400000000000002"/>
    <n v="1"/>
  </r>
  <r>
    <x v="0"/>
    <n v="32"/>
    <s v="Montreal Canadiens"/>
    <n v="0"/>
    <n v="27.8"/>
    <n v="82"/>
    <n v="22"/>
    <n v="49"/>
    <n v="11"/>
    <n v="55"/>
    <n v="0.33500000000000002"/>
    <n v="218"/>
    <n v="317"/>
    <n v="3"/>
    <n v="2"/>
    <n v="-1.1499999999999999"/>
    <n v="0.05"/>
    <n v="2.66"/>
    <n v="3.87"/>
    <n v="34"/>
    <n v="248"/>
    <n v="13.71"/>
    <n v="67"/>
    <n v="274"/>
    <n v="75.55"/>
    <n v="6"/>
    <n v="12"/>
    <n v="10.199999999999999"/>
    <n v="9"/>
    <n v="2442"/>
    <n v="8.9"/>
    <n v="2823"/>
    <n v="0.88800000000000001"/>
    <n v="3"/>
  </r>
  <r>
    <x v="1"/>
    <n v="1"/>
    <s v="Boston Bruins"/>
    <n v="1"/>
    <n v="29.5"/>
    <n v="82"/>
    <n v="65"/>
    <n v="12"/>
    <n v="5"/>
    <n v="135"/>
    <n v="0.82299999999999995"/>
    <n v="301"/>
    <n v="174"/>
    <n v="4"/>
    <n v="3"/>
    <n v="1.54"/>
    <n v="-0.02"/>
    <n v="3.67"/>
    <n v="2.12"/>
    <n v="62"/>
    <n v="279"/>
    <n v="22.22"/>
    <n v="36"/>
    <n v="283"/>
    <n v="87.28"/>
    <n v="8"/>
    <n v="8"/>
    <n v="10.5"/>
    <n v="9.9"/>
    <n v="2703"/>
    <n v="11.1"/>
    <n v="2447"/>
    <n v="0.92900000000000005"/>
    <n v="7"/>
  </r>
  <r>
    <x v="1"/>
    <n v="2"/>
    <s v="Carolina Hurricanes"/>
    <n v="1"/>
    <n v="29.3"/>
    <n v="82"/>
    <n v="52"/>
    <n v="21"/>
    <n v="9"/>
    <n v="113"/>
    <n v="0.68899999999999995"/>
    <n v="262"/>
    <n v="210"/>
    <n v="4"/>
    <n v="3"/>
    <n v="0.66"/>
    <n v="0.01"/>
    <n v="3.2"/>
    <n v="2.56"/>
    <n v="50"/>
    <n v="253"/>
    <n v="19.760000000000002"/>
    <n v="40"/>
    <n v="256"/>
    <n v="84.38"/>
    <n v="11"/>
    <n v="6"/>
    <n v="7.5"/>
    <n v="7.5"/>
    <n v="2852"/>
    <n v="9.1999999999999993"/>
    <n v="2132"/>
    <n v="0.90200000000000002"/>
    <n v="9"/>
  </r>
  <r>
    <x v="1"/>
    <n v="3"/>
    <s v="New Jersey Devils"/>
    <n v="1"/>
    <n v="26.7"/>
    <n v="82"/>
    <n v="52"/>
    <n v="22"/>
    <n v="8"/>
    <n v="112"/>
    <n v="0.68300000000000005"/>
    <n v="289"/>
    <n v="222"/>
    <n v="2"/>
    <n v="4"/>
    <n v="0.79"/>
    <n v="0"/>
    <n v="3.52"/>
    <n v="2.71"/>
    <n v="49"/>
    <n v="224"/>
    <n v="21.88"/>
    <n v="40"/>
    <n v="230"/>
    <n v="82.61"/>
    <n v="9"/>
    <n v="8"/>
    <n v="7.7"/>
    <n v="7.9"/>
    <n v="2821"/>
    <n v="10.199999999999999"/>
    <n v="2315"/>
    <n v="0.90400000000000003"/>
    <n v="4"/>
  </r>
  <r>
    <x v="1"/>
    <n v="4"/>
    <s v="Vegas Golden Knights"/>
    <n v="1"/>
    <n v="29.1"/>
    <n v="82"/>
    <n v="51"/>
    <n v="22"/>
    <n v="9"/>
    <n v="111"/>
    <n v="0.67700000000000005"/>
    <n v="267"/>
    <n v="225"/>
    <n v="5"/>
    <n v="4"/>
    <n v="0.49"/>
    <n v="-0.04"/>
    <n v="3.26"/>
    <n v="2.74"/>
    <n v="42"/>
    <n v="207"/>
    <n v="20.29"/>
    <n v="44"/>
    <n v="195"/>
    <n v="77.44"/>
    <n v="10"/>
    <n v="4"/>
    <n v="7.2"/>
    <n v="7.9"/>
    <n v="2587"/>
    <n v="10.3"/>
    <n v="2533"/>
    <n v="0.91100000000000003"/>
    <n v="3"/>
  </r>
  <r>
    <x v="1"/>
    <n v="5"/>
    <s v="Toronto Maple Leafs"/>
    <n v="1"/>
    <n v="28.6"/>
    <n v="82"/>
    <n v="50"/>
    <n v="21"/>
    <n v="11"/>
    <n v="111"/>
    <n v="0.67700000000000005"/>
    <n v="278"/>
    <n v="220"/>
    <n v="1"/>
    <n v="2"/>
    <n v="0.7"/>
    <n v="0"/>
    <n v="3.39"/>
    <n v="2.68"/>
    <n v="64"/>
    <n v="246"/>
    <n v="26.02"/>
    <n v="45"/>
    <n v="248"/>
    <n v="81.849999999999994"/>
    <n v="8"/>
    <n v="8"/>
    <n v="8.4"/>
    <n v="8.4"/>
    <n v="2628"/>
    <n v="10.6"/>
    <n v="2420"/>
    <n v="0.90900000000000003"/>
    <n v="5"/>
  </r>
  <r>
    <x v="1"/>
    <n v="6"/>
    <s v="Colorado Avalanche"/>
    <n v="1"/>
    <n v="28.1"/>
    <n v="82"/>
    <n v="51"/>
    <n v="24"/>
    <n v="7"/>
    <n v="109"/>
    <n v="0.66500000000000004"/>
    <n v="274"/>
    <n v="223"/>
    <n v="6"/>
    <n v="3"/>
    <n v="0.61"/>
    <n v="-0.05"/>
    <n v="3.34"/>
    <n v="2.72"/>
    <n v="64"/>
    <n v="261"/>
    <n v="24.52"/>
    <n v="52"/>
    <n v="248"/>
    <n v="79.03"/>
    <n v="6"/>
    <n v="5"/>
    <n v="8.1999999999999993"/>
    <n v="9.3000000000000007"/>
    <n v="2727"/>
    <n v="10"/>
    <n v="2539"/>
    <n v="0.91200000000000003"/>
    <n v="6"/>
  </r>
  <r>
    <x v="1"/>
    <n v="7"/>
    <s v="Edmonton Oilers"/>
    <n v="1"/>
    <n v="27.9"/>
    <n v="82"/>
    <n v="50"/>
    <n v="23"/>
    <n v="9"/>
    <n v="109"/>
    <n v="0.66500000000000004"/>
    <n v="325"/>
    <n v="256"/>
    <n v="0"/>
    <n v="4"/>
    <n v="0.73"/>
    <n v="-7.0000000000000007E-2"/>
    <n v="3.96"/>
    <n v="3.12"/>
    <n v="89"/>
    <n v="275"/>
    <n v="32.36"/>
    <n v="64"/>
    <n v="278"/>
    <n v="76.98"/>
    <n v="18"/>
    <n v="7"/>
    <n v="8.6"/>
    <n v="8.8000000000000007"/>
    <n v="2754"/>
    <n v="11.8"/>
    <n v="2572"/>
    <n v="0.9"/>
    <n v="2"/>
  </r>
  <r>
    <x v="1"/>
    <n v="8"/>
    <s v="Dallas Stars"/>
    <n v="1"/>
    <n v="28.4"/>
    <n v="82"/>
    <n v="47"/>
    <n v="21"/>
    <n v="14"/>
    <n v="108"/>
    <n v="0.65900000000000003"/>
    <n v="281"/>
    <n v="215"/>
    <n v="4"/>
    <n v="3"/>
    <n v="0.75"/>
    <n v="-7.0000000000000007E-2"/>
    <n v="3.43"/>
    <n v="2.62"/>
    <n v="64"/>
    <n v="256"/>
    <n v="25"/>
    <n v="40"/>
    <n v="242"/>
    <n v="83.47"/>
    <n v="10"/>
    <n v="5"/>
    <n v="7.8"/>
    <n v="8.5"/>
    <n v="2617"/>
    <n v="10.7"/>
    <n v="2452"/>
    <n v="0.91200000000000003"/>
    <n v="6"/>
  </r>
  <r>
    <x v="1"/>
    <n v="9"/>
    <s v="New York Rangers"/>
    <n v="1"/>
    <n v="27.7"/>
    <n v="82"/>
    <n v="47"/>
    <n v="22"/>
    <n v="13"/>
    <n v="107"/>
    <n v="0.65200000000000002"/>
    <n v="273"/>
    <n v="216"/>
    <n v="4"/>
    <n v="3"/>
    <n v="0.7"/>
    <n v="0"/>
    <n v="3.33"/>
    <n v="2.63"/>
    <n v="59"/>
    <n v="245"/>
    <n v="24.08"/>
    <n v="42"/>
    <n v="223"/>
    <n v="81.17"/>
    <n v="8"/>
    <n v="5"/>
    <n v="7.6"/>
    <n v="9.3000000000000007"/>
    <n v="2582"/>
    <n v="10.6"/>
    <n v="2405"/>
    <n v="0.91"/>
    <n v="4"/>
  </r>
  <r>
    <x v="1"/>
    <n v="10"/>
    <s v="Los Angeles Kings"/>
    <n v="1"/>
    <n v="28.7"/>
    <n v="82"/>
    <n v="47"/>
    <n v="25"/>
    <n v="10"/>
    <n v="104"/>
    <n v="0.63400000000000001"/>
    <n v="274"/>
    <n v="254"/>
    <n v="6"/>
    <n v="3"/>
    <n v="0.27"/>
    <n v="-0.02"/>
    <n v="3.34"/>
    <n v="3.1"/>
    <n v="68"/>
    <n v="269"/>
    <n v="25.28"/>
    <n v="65"/>
    <n v="269"/>
    <n v="75.84"/>
    <n v="7"/>
    <n v="9"/>
    <n v="8.6"/>
    <n v="9.9"/>
    <n v="2658"/>
    <n v="10.3"/>
    <n v="2289"/>
    <n v="0.88900000000000001"/>
    <n v="3"/>
  </r>
  <r>
    <x v="1"/>
    <n v="11"/>
    <s v="Minnesota Wild"/>
    <n v="1"/>
    <n v="29.3"/>
    <n v="82"/>
    <n v="46"/>
    <n v="25"/>
    <n v="11"/>
    <n v="103"/>
    <n v="0.628"/>
    <n v="239"/>
    <n v="219"/>
    <n v="7"/>
    <n v="6"/>
    <n v="0.21"/>
    <n v="-0.05"/>
    <n v="2.91"/>
    <n v="2.67"/>
    <n v="54"/>
    <n v="252"/>
    <n v="21.43"/>
    <n v="46"/>
    <n v="256"/>
    <n v="82.03"/>
    <n v="14"/>
    <n v="3"/>
    <n v="11.3"/>
    <n v="11.6"/>
    <n v="2535"/>
    <n v="9.4"/>
    <n v="2552"/>
    <n v="0.91400000000000003"/>
    <n v="5"/>
  </r>
  <r>
    <x v="1"/>
    <n v="12"/>
    <s v="Seattle Kraken"/>
    <n v="1"/>
    <n v="29"/>
    <n v="82"/>
    <n v="46"/>
    <n v="28"/>
    <n v="8"/>
    <n v="100"/>
    <n v="0.61"/>
    <n v="289"/>
    <n v="252"/>
    <n v="0"/>
    <n v="4"/>
    <n v="0.36"/>
    <n v="-0.04"/>
    <n v="3.52"/>
    <n v="3.07"/>
    <n v="48"/>
    <n v="243"/>
    <n v="19.75"/>
    <n v="55"/>
    <n v="236"/>
    <n v="76.69"/>
    <n v="6"/>
    <n v="9"/>
    <n v="8.5"/>
    <n v="9.1"/>
    <n v="2497"/>
    <n v="11.6"/>
    <n v="2215"/>
    <n v="0.88600000000000001"/>
    <n v="3"/>
  </r>
  <r>
    <x v="1"/>
    <n v="13"/>
    <s v="Tampa Bay Lightning"/>
    <n v="1"/>
    <n v="29.9"/>
    <n v="82"/>
    <n v="46"/>
    <n v="30"/>
    <n v="6"/>
    <n v="98"/>
    <n v="0.59799999999999998"/>
    <n v="280"/>
    <n v="252"/>
    <n v="3"/>
    <n v="2"/>
    <n v="0.37"/>
    <n v="0.02"/>
    <n v="3.41"/>
    <n v="3.07"/>
    <n v="71"/>
    <n v="280"/>
    <n v="25.36"/>
    <n v="53"/>
    <n v="261"/>
    <n v="79.69"/>
    <n v="7"/>
    <n v="11"/>
    <n v="12.1"/>
    <n v="12.3"/>
    <n v="2621"/>
    <n v="10.7"/>
    <n v="2582"/>
    <n v="0.90200000000000002"/>
    <n v="6"/>
  </r>
  <r>
    <x v="1"/>
    <n v="14"/>
    <s v="Winnipeg Jets"/>
    <n v="1"/>
    <n v="28.7"/>
    <n v="82"/>
    <n v="46"/>
    <n v="33"/>
    <n v="3"/>
    <n v="95"/>
    <n v="0.57899999999999996"/>
    <n v="246"/>
    <n v="224"/>
    <n v="1"/>
    <n v="1"/>
    <n v="0.23"/>
    <n v="-0.04"/>
    <n v="3"/>
    <n v="2.73"/>
    <n v="52"/>
    <n v="270"/>
    <n v="19.260000000000002"/>
    <n v="42"/>
    <n v="239"/>
    <n v="82.43"/>
    <n v="7"/>
    <n v="6"/>
    <n v="8.5"/>
    <n v="9.6999999999999993"/>
    <n v="2486"/>
    <n v="9.9"/>
    <n v="2487"/>
    <n v="0.91"/>
    <n v="4"/>
  </r>
  <r>
    <x v="1"/>
    <n v="15"/>
    <s v="Calgary Flames"/>
    <n v="0"/>
    <n v="29.8"/>
    <n v="82"/>
    <n v="38"/>
    <n v="27"/>
    <n v="17"/>
    <n v="93"/>
    <n v="0.56699999999999995"/>
    <n v="258"/>
    <n v="247"/>
    <n v="2"/>
    <n v="5"/>
    <n v="0.05"/>
    <n v="-0.05"/>
    <n v="3.15"/>
    <n v="3.01"/>
    <n v="50"/>
    <n v="252"/>
    <n v="19.84"/>
    <n v="47"/>
    <n v="270"/>
    <n v="82.59"/>
    <n v="8"/>
    <n v="6"/>
    <n v="9.1999999999999993"/>
    <n v="8.3000000000000007"/>
    <n v="2948"/>
    <n v="8.8000000000000007"/>
    <n v="2240"/>
    <n v="0.89"/>
    <n v="1"/>
  </r>
  <r>
    <x v="1"/>
    <n v="16"/>
    <s v="New York Islanders"/>
    <n v="1"/>
    <n v="29.3"/>
    <n v="82"/>
    <n v="42"/>
    <n v="31"/>
    <n v="9"/>
    <n v="93"/>
    <n v="0.56699999999999995"/>
    <n v="242"/>
    <n v="217"/>
    <n v="1"/>
    <n v="5"/>
    <n v="0.25"/>
    <n v="0"/>
    <n v="2.95"/>
    <n v="2.65"/>
    <n v="35"/>
    <n v="222"/>
    <n v="15.77"/>
    <n v="39"/>
    <n v="219"/>
    <n v="82.19"/>
    <n v="6"/>
    <n v="7"/>
    <n v="8"/>
    <n v="8"/>
    <n v="2524"/>
    <n v="9.6"/>
    <n v="2544"/>
    <n v="0.91500000000000004"/>
    <n v="8"/>
  </r>
  <r>
    <x v="1"/>
    <n v="17"/>
    <s v="Florida Panthers"/>
    <n v="1"/>
    <n v="28.7"/>
    <n v="82"/>
    <n v="42"/>
    <n v="32"/>
    <n v="8"/>
    <n v="92"/>
    <n v="0.56100000000000005"/>
    <n v="288"/>
    <n v="272"/>
    <n v="2"/>
    <n v="1"/>
    <n v="0.24"/>
    <n v="0.04"/>
    <n v="3.51"/>
    <n v="3.32"/>
    <n v="63"/>
    <n v="276"/>
    <n v="22.83"/>
    <n v="70"/>
    <n v="291"/>
    <n v="75.95"/>
    <n v="6"/>
    <n v="9"/>
    <n v="12.2"/>
    <n v="11.9"/>
    <n v="3019"/>
    <n v="9.5"/>
    <n v="2603"/>
    <n v="0.89600000000000002"/>
    <n v="3"/>
  </r>
  <r>
    <x v="1"/>
    <n v="18"/>
    <s v="Nashville Predators"/>
    <n v="0"/>
    <n v="28.3"/>
    <n v="82"/>
    <n v="42"/>
    <n v="32"/>
    <n v="8"/>
    <n v="92"/>
    <n v="0.56100000000000005"/>
    <n v="223"/>
    <n v="236"/>
    <n v="6"/>
    <n v="2"/>
    <n v="-0.12"/>
    <n v="-0.02"/>
    <n v="2.72"/>
    <n v="2.88"/>
    <n v="44"/>
    <n v="250"/>
    <n v="17.600000000000001"/>
    <n v="48"/>
    <n v="275"/>
    <n v="82.55"/>
    <n v="6"/>
    <n v="6"/>
    <n v="9.6"/>
    <n v="8.8000000000000007"/>
    <n v="2419"/>
    <n v="9.1999999999999993"/>
    <n v="2729"/>
    <n v="0.91400000000000003"/>
    <n v="2"/>
  </r>
  <r>
    <x v="1"/>
    <n v="19"/>
    <s v="Buffalo Sabres"/>
    <n v="0"/>
    <n v="26.1"/>
    <n v="82"/>
    <n v="42"/>
    <n v="33"/>
    <n v="7"/>
    <n v="91"/>
    <n v="0.55500000000000005"/>
    <n v="293"/>
    <n v="297"/>
    <n v="3"/>
    <n v="3"/>
    <n v="-0.01"/>
    <n v="0.04"/>
    <n v="3.57"/>
    <n v="3.62"/>
    <n v="63"/>
    <n v="269"/>
    <n v="23.42"/>
    <n v="61"/>
    <n v="226"/>
    <n v="73.010000000000005"/>
    <n v="9"/>
    <n v="7"/>
    <n v="7.4"/>
    <n v="8.5"/>
    <n v="2665"/>
    <n v="11"/>
    <n v="2710"/>
    <n v="0.89"/>
    <n v="2"/>
  </r>
  <r>
    <x v="1"/>
    <n v="20"/>
    <s v="Pittsburgh Penguins"/>
    <n v="0"/>
    <n v="31"/>
    <n v="82"/>
    <n v="40"/>
    <n v="31"/>
    <n v="11"/>
    <n v="91"/>
    <n v="0.55500000000000005"/>
    <n v="261"/>
    <n v="263"/>
    <n v="1"/>
    <n v="1"/>
    <n v="0.01"/>
    <n v="0.04"/>
    <n v="3.18"/>
    <n v="3.21"/>
    <n v="63"/>
    <n v="290"/>
    <n v="21.72"/>
    <n v="55"/>
    <n v="263"/>
    <n v="79.09"/>
    <n v="5"/>
    <n v="5"/>
    <n v="8.6"/>
    <n v="9.1999999999999993"/>
    <n v="2818"/>
    <n v="9.3000000000000007"/>
    <n v="2687"/>
    <n v="0.90200000000000002"/>
    <n v="2"/>
  </r>
  <r>
    <x v="1"/>
    <n v="21"/>
    <s v="Ottawa Senators"/>
    <n v="0"/>
    <n v="27.3"/>
    <n v="82"/>
    <n v="39"/>
    <n v="35"/>
    <n v="8"/>
    <n v="86"/>
    <n v="0.52400000000000002"/>
    <n v="259"/>
    <n v="270"/>
    <n v="2"/>
    <n v="1"/>
    <n v="-0.09"/>
    <n v="0.04"/>
    <n v="3.16"/>
    <n v="3.29"/>
    <n v="72"/>
    <n v="306"/>
    <n v="23.53"/>
    <n v="59"/>
    <n v="296"/>
    <n v="80.069999999999993"/>
    <n v="9"/>
    <n v="11"/>
    <n v="12.4"/>
    <n v="12.2"/>
    <n v="2746"/>
    <n v="9.4"/>
    <n v="2572"/>
    <n v="0.89500000000000002"/>
    <n v="3"/>
  </r>
  <r>
    <x v="1"/>
    <n v="22"/>
    <s v="Vancouver Canucks"/>
    <n v="0"/>
    <n v="27.3"/>
    <n v="82"/>
    <n v="38"/>
    <n v="37"/>
    <n v="7"/>
    <n v="83"/>
    <n v="0.50600000000000001"/>
    <n v="270"/>
    <n v="296"/>
    <n v="6"/>
    <n v="2"/>
    <n v="-0.3"/>
    <n v="-0.04"/>
    <n v="3.29"/>
    <n v="3.61"/>
    <n v="62"/>
    <n v="273"/>
    <n v="22.71"/>
    <n v="69"/>
    <n v="243"/>
    <n v="71.599999999999994"/>
    <n v="15"/>
    <n v="14"/>
    <n v="9"/>
    <n v="10"/>
    <n v="2438"/>
    <n v="11.1"/>
    <n v="2527"/>
    <n v="0.88300000000000001"/>
    <n v="1"/>
  </r>
  <r>
    <x v="1"/>
    <n v="23"/>
    <s v="St. Louis Blues"/>
    <n v="0"/>
    <n v="29.3"/>
    <n v="82"/>
    <n v="37"/>
    <n v="38"/>
    <n v="7"/>
    <n v="81"/>
    <n v="0.49399999999999999"/>
    <n v="260"/>
    <n v="298"/>
    <n v="3"/>
    <n v="3"/>
    <n v="-0.47"/>
    <n v="-0.01"/>
    <n v="3.17"/>
    <n v="3.63"/>
    <n v="46"/>
    <n v="238"/>
    <n v="19.329999999999998"/>
    <n v="60"/>
    <n v="217"/>
    <n v="72.349999999999994"/>
    <n v="7"/>
    <n v="14"/>
    <n v="7.8"/>
    <n v="7.6"/>
    <n v="2341"/>
    <n v="11.1"/>
    <n v="2652"/>
    <n v="0.88800000000000001"/>
    <n v="4"/>
  </r>
  <r>
    <x v="1"/>
    <n v="24"/>
    <s v="Washington Capitals"/>
    <n v="0"/>
    <n v="30.9"/>
    <n v="82"/>
    <n v="35"/>
    <n v="37"/>
    <n v="10"/>
    <n v="80"/>
    <n v="0.48799999999999999"/>
    <n v="253"/>
    <n v="261"/>
    <n v="2"/>
    <n v="4"/>
    <n v="-0.1"/>
    <n v="0.02"/>
    <n v="3.09"/>
    <n v="3.18"/>
    <n v="52"/>
    <n v="245"/>
    <n v="21.22"/>
    <n v="41"/>
    <n v="226"/>
    <n v="81.86"/>
    <n v="4"/>
    <n v="8"/>
    <n v="8.6999999999999993"/>
    <n v="9.1"/>
    <n v="2549"/>
    <n v="9.9"/>
    <n v="2548"/>
    <n v="0.89800000000000002"/>
    <n v="5"/>
  </r>
  <r>
    <x v="1"/>
    <n v="25"/>
    <s v="Detroit Red Wings"/>
    <n v="0"/>
    <n v="27.3"/>
    <n v="82"/>
    <n v="35"/>
    <n v="37"/>
    <n v="10"/>
    <n v="80"/>
    <n v="0.48799999999999999"/>
    <n v="237"/>
    <n v="275"/>
    <n v="3"/>
    <n v="4"/>
    <n v="-0.44"/>
    <n v="0.04"/>
    <n v="2.89"/>
    <n v="3.35"/>
    <n v="57"/>
    <n v="270"/>
    <n v="21.11"/>
    <n v="54"/>
    <n v="249"/>
    <n v="78.31"/>
    <n v="5"/>
    <n v="12"/>
    <n v="8.1"/>
    <n v="8.5"/>
    <n v="2312"/>
    <n v="10.3"/>
    <n v="2496"/>
    <n v="0.89"/>
    <n v="4"/>
  </r>
  <r>
    <x v="1"/>
    <n v="26"/>
    <s v="Philadelphia Flyers"/>
    <n v="0"/>
    <n v="26.8"/>
    <n v="82"/>
    <n v="31"/>
    <n v="38"/>
    <n v="13"/>
    <n v="75"/>
    <n v="0.45700000000000002"/>
    <n v="220"/>
    <n v="276"/>
    <n v="2"/>
    <n v="1"/>
    <n v="-0.62"/>
    <n v="0.05"/>
    <n v="2.68"/>
    <n v="3.37"/>
    <n v="35"/>
    <n v="225"/>
    <n v="15.56"/>
    <n v="59"/>
    <n v="233"/>
    <n v="74.680000000000007"/>
    <n v="11"/>
    <n v="9"/>
    <n v="10.4"/>
    <n v="9.6999999999999993"/>
    <n v="2416"/>
    <n v="9.1"/>
    <n v="2585"/>
    <n v="0.89300000000000002"/>
    <n v="3"/>
  </r>
  <r>
    <x v="1"/>
    <n v="27"/>
    <s v="Arizona Coyotes"/>
    <n v="0"/>
    <n v="26.4"/>
    <n v="82"/>
    <n v="28"/>
    <n v="40"/>
    <n v="14"/>
    <n v="70"/>
    <n v="0.42699999999999999"/>
    <n v="225"/>
    <n v="295"/>
    <n v="3"/>
    <n v="4"/>
    <n v="-0.85"/>
    <n v="0.01"/>
    <n v="2.74"/>
    <n v="3.6"/>
    <n v="45"/>
    <n v="238"/>
    <n v="18.91"/>
    <n v="81"/>
    <n v="319"/>
    <n v="74.61"/>
    <n v="5"/>
    <n v="6"/>
    <n v="11.9"/>
    <n v="9"/>
    <n v="2119"/>
    <n v="10.6"/>
    <n v="2874"/>
    <n v="0.89700000000000002"/>
    <n v="4"/>
  </r>
  <r>
    <x v="1"/>
    <n v="28"/>
    <s v="Montreal Canadiens"/>
    <n v="0"/>
    <n v="27.3"/>
    <n v="82"/>
    <n v="31"/>
    <n v="45"/>
    <n v="6"/>
    <n v="68"/>
    <n v="0.41499999999999998"/>
    <n v="227"/>
    <n v="305"/>
    <n v="5"/>
    <n v="2"/>
    <n v="-0.85"/>
    <n v="0.06"/>
    <n v="2.77"/>
    <n v="3.72"/>
    <n v="38"/>
    <n v="236"/>
    <n v="16.100000000000001"/>
    <n v="75"/>
    <n v="275"/>
    <n v="72.73"/>
    <n v="8"/>
    <n v="3"/>
    <n v="11.6"/>
    <n v="9.3000000000000007"/>
    <n v="2237"/>
    <n v="10.1"/>
    <n v="2753"/>
    <n v="0.88900000000000001"/>
    <n v="1"/>
  </r>
  <r>
    <x v="1"/>
    <n v="29"/>
    <s v="San Jose Sharks"/>
    <n v="0"/>
    <n v="29.4"/>
    <n v="82"/>
    <n v="22"/>
    <n v="44"/>
    <n v="16"/>
    <n v="60"/>
    <n v="0.36599999999999999"/>
    <n v="233"/>
    <n v="315"/>
    <n v="1"/>
    <n v="6"/>
    <n v="-1.05"/>
    <n v="0.01"/>
    <n v="2.84"/>
    <n v="3.84"/>
    <n v="41"/>
    <n v="223"/>
    <n v="18.39"/>
    <n v="43"/>
    <n v="244"/>
    <n v="82.38"/>
    <n v="4"/>
    <n v="13"/>
    <n v="8"/>
    <n v="7.6"/>
    <n v="2415"/>
    <n v="9.6"/>
    <n v="2640"/>
    <n v="0.88100000000000001"/>
    <n v="4"/>
  </r>
  <r>
    <x v="1"/>
    <n v="30"/>
    <s v="Chicago Blackhawks"/>
    <n v="0"/>
    <n v="28.7"/>
    <n v="82"/>
    <n v="26"/>
    <n v="49"/>
    <n v="7"/>
    <n v="59"/>
    <n v="0.36"/>
    <n v="202"/>
    <n v="299"/>
    <n v="2"/>
    <n v="2"/>
    <n v="-1.1599999999999999"/>
    <n v="0.02"/>
    <n v="2.46"/>
    <n v="3.65"/>
    <n v="38"/>
    <n v="232"/>
    <n v="16.38"/>
    <n v="55"/>
    <n v="231"/>
    <n v="76.19"/>
    <n v="7"/>
    <n v="10"/>
    <n v="8.6"/>
    <n v="8.9"/>
    <n v="2210"/>
    <n v="9.1"/>
    <n v="2758"/>
    <n v="0.89200000000000002"/>
    <n v="2"/>
  </r>
  <r>
    <x v="1"/>
    <n v="31"/>
    <s v="Columbus Blue Jackets"/>
    <n v="0"/>
    <n v="26.7"/>
    <n v="82"/>
    <n v="25"/>
    <n v="48"/>
    <n v="9"/>
    <n v="59"/>
    <n v="0.36"/>
    <n v="213"/>
    <n v="329"/>
    <n v="1"/>
    <n v="1"/>
    <n v="-1.34"/>
    <n v="7.0000000000000007E-2"/>
    <n v="2.6"/>
    <n v="4.01"/>
    <n v="41"/>
    <n v="224"/>
    <n v="18.3"/>
    <n v="59"/>
    <n v="237"/>
    <n v="75.11"/>
    <n v="5"/>
    <n v="9"/>
    <n v="8"/>
    <n v="7.3"/>
    <n v="2399"/>
    <n v="8.9"/>
    <n v="2904"/>
    <n v="0.88700000000000001"/>
    <n v="0"/>
  </r>
  <r>
    <x v="1"/>
    <n v="32"/>
    <s v="Anaheim Ducks"/>
    <n v="0"/>
    <n v="28.2"/>
    <n v="82"/>
    <n v="23"/>
    <n v="47"/>
    <n v="12"/>
    <n v="58"/>
    <n v="0.35399999999999998"/>
    <n v="206"/>
    <n v="335"/>
    <n v="3"/>
    <n v="3"/>
    <n v="-1.54"/>
    <n v="0.03"/>
    <n v="2.5099999999999998"/>
    <n v="4.09"/>
    <n v="36"/>
    <n v="229"/>
    <n v="15.72"/>
    <n v="78"/>
    <n v="280"/>
    <n v="72.14"/>
    <n v="1"/>
    <n v="7"/>
    <n v="11.3"/>
    <n v="9.3000000000000007"/>
    <n v="2326"/>
    <n v="8.9"/>
    <n v="3207"/>
    <n v="0.89600000000000002"/>
    <n v="1"/>
  </r>
  <r>
    <x v="2"/>
    <n v="1"/>
    <s v="New York Rangers"/>
    <n v="1"/>
    <n v="29.1"/>
    <n v="82"/>
    <n v="55"/>
    <n v="23"/>
    <n v="4"/>
    <n v="114"/>
    <n v="0.69499999999999995"/>
    <n v="278"/>
    <n v="226"/>
    <n v="4"/>
    <n v="3"/>
    <n v="0.61"/>
    <n v="-0.03"/>
    <n v="3.39"/>
    <n v="2.76"/>
    <n v="65"/>
    <n v="246"/>
    <n v="26.42"/>
    <n v="36"/>
    <n v="232"/>
    <n v="84.48"/>
    <n v="8"/>
    <n v="6"/>
    <n v="9.4"/>
    <n v="10.4"/>
    <n v="2582"/>
    <n v="10.8"/>
    <n v="2418"/>
    <n v="0.90700000000000003"/>
    <n v="6"/>
  </r>
  <r>
    <x v="2"/>
    <n v="2"/>
    <s v="Dallas Stars"/>
    <n v="1"/>
    <n v="29.3"/>
    <n v="82"/>
    <n v="52"/>
    <n v="21"/>
    <n v="9"/>
    <n v="113"/>
    <n v="0.68899999999999995"/>
    <n v="294"/>
    <n v="232"/>
    <n v="4"/>
    <n v="2"/>
    <n v="0.74"/>
    <n v="-0.04"/>
    <n v="3.59"/>
    <n v="2.83"/>
    <n v="58"/>
    <n v="240"/>
    <n v="24.17"/>
    <n v="43"/>
    <n v="239"/>
    <n v="82.01"/>
    <n v="12"/>
    <n v="4"/>
    <n v="6.8"/>
    <n v="7.5"/>
    <n v="2588"/>
    <n v="11.4"/>
    <n v="2350"/>
    <n v="0.90100000000000002"/>
    <n v="4"/>
  </r>
  <r>
    <x v="2"/>
    <n v="3"/>
    <s v="Carolina Hurricanes"/>
    <n v="1"/>
    <n v="29.4"/>
    <n v="82"/>
    <n v="52"/>
    <n v="23"/>
    <n v="7"/>
    <n v="111"/>
    <n v="0.67700000000000005"/>
    <n v="277"/>
    <n v="211"/>
    <n v="2"/>
    <n v="5"/>
    <n v="0.73"/>
    <n v="-0.04"/>
    <n v="3.38"/>
    <n v="2.57"/>
    <n v="67"/>
    <n v="249"/>
    <n v="26.91"/>
    <n v="35"/>
    <n v="258"/>
    <n v="86.43"/>
    <n v="11"/>
    <n v="8"/>
    <n v="8.5"/>
    <n v="8"/>
    <n v="2733"/>
    <n v="10.1"/>
    <n v="2101"/>
    <n v="0.9"/>
    <n v="8"/>
  </r>
  <r>
    <x v="2"/>
    <n v="4"/>
    <s v="Winnipeg Jets"/>
    <n v="1"/>
    <n v="29.4"/>
    <n v="82"/>
    <n v="52"/>
    <n v="24"/>
    <n v="6"/>
    <n v="110"/>
    <n v="0.67100000000000004"/>
    <n v="259"/>
    <n v="198"/>
    <n v="0"/>
    <n v="1"/>
    <n v="0.69"/>
    <n v="-0.04"/>
    <n v="3.16"/>
    <n v="2.41"/>
    <n v="45"/>
    <n v="240"/>
    <n v="18.75"/>
    <n v="51"/>
    <n v="223"/>
    <n v="77.13"/>
    <n v="3"/>
    <n v="5"/>
    <n v="8.1999999999999993"/>
    <n v="8.9"/>
    <n v="2488"/>
    <n v="10.4"/>
    <n v="2429"/>
    <n v="0.91800000000000004"/>
    <n v="8"/>
  </r>
  <r>
    <x v="2"/>
    <n v="5"/>
    <s v="Florida Panthers"/>
    <n v="1"/>
    <n v="29.5"/>
    <n v="82"/>
    <n v="52"/>
    <n v="24"/>
    <n v="6"/>
    <n v="110"/>
    <n v="0.67100000000000004"/>
    <n v="265"/>
    <n v="198"/>
    <n v="3"/>
    <n v="2"/>
    <n v="0.81"/>
    <n v="-0.02"/>
    <n v="3.23"/>
    <n v="2.41"/>
    <n v="63"/>
    <n v="268"/>
    <n v="23.51"/>
    <n v="51"/>
    <n v="291"/>
    <n v="82.47"/>
    <n v="8"/>
    <n v="9"/>
    <n v="13.6"/>
    <n v="13.5"/>
    <n v="2764"/>
    <n v="9.6"/>
    <n v="2279"/>
    <n v="0.91300000000000003"/>
    <n v="8"/>
  </r>
  <r>
    <x v="2"/>
    <n v="6"/>
    <s v="Boston Bruins"/>
    <n v="1"/>
    <n v="28.6"/>
    <n v="82"/>
    <n v="47"/>
    <n v="20"/>
    <n v="15"/>
    <n v="109"/>
    <n v="0.66500000000000004"/>
    <n v="263"/>
    <n v="221"/>
    <n v="4"/>
    <n v="3"/>
    <n v="0.53"/>
    <n v="0.01"/>
    <n v="3.21"/>
    <n v="2.7"/>
    <n v="54"/>
    <n v="243"/>
    <n v="22.22"/>
    <n v="47"/>
    <n v="268"/>
    <n v="82.46"/>
    <n v="7"/>
    <n v="6"/>
    <n v="9.5"/>
    <n v="8.8000000000000007"/>
    <n v="2399"/>
    <n v="11"/>
    <n v="2504"/>
    <n v="0.91200000000000003"/>
    <n v="5"/>
  </r>
  <r>
    <x v="2"/>
    <n v="7"/>
    <s v="Vancouver Canucks"/>
    <n v="1"/>
    <n v="28.6"/>
    <n v="82"/>
    <n v="50"/>
    <n v="23"/>
    <n v="9"/>
    <n v="109"/>
    <n v="0.66500000000000004"/>
    <n v="279"/>
    <n v="221"/>
    <n v="0"/>
    <n v="2"/>
    <n v="0.64"/>
    <n v="-0.04"/>
    <n v="3.4"/>
    <n v="2.7"/>
    <n v="58"/>
    <n v="257"/>
    <n v="22.57"/>
    <n v="53"/>
    <n v="254"/>
    <n v="79.13"/>
    <n v="7"/>
    <n v="7"/>
    <n v="9.6"/>
    <n v="9.6999999999999993"/>
    <n v="2328"/>
    <n v="12"/>
    <n v="2343"/>
    <n v="0.90600000000000003"/>
    <n v="7"/>
  </r>
  <r>
    <x v="2"/>
    <n v="8"/>
    <s v="Colorado Avalanche"/>
    <n v="1"/>
    <n v="28.8"/>
    <n v="82"/>
    <n v="50"/>
    <n v="25"/>
    <n v="7"/>
    <n v="107"/>
    <n v="0.65200000000000002"/>
    <n v="302"/>
    <n v="252"/>
    <n v="2"/>
    <n v="2"/>
    <n v="0.56999999999999995"/>
    <n v="-0.05"/>
    <n v="3.68"/>
    <n v="3.07"/>
    <n v="68"/>
    <n v="278"/>
    <n v="24.46"/>
    <n v="53"/>
    <n v="264"/>
    <n v="79.92"/>
    <n v="7"/>
    <n v="6"/>
    <n v="8.9"/>
    <n v="9.6999999999999993"/>
    <n v="2705"/>
    <n v="11.2"/>
    <n v="2444"/>
    <n v="0.89700000000000002"/>
    <n v="4"/>
  </r>
  <r>
    <x v="2"/>
    <n v="9"/>
    <s v="Edmonton Oilers"/>
    <n v="1"/>
    <n v="29.4"/>
    <n v="82"/>
    <n v="49"/>
    <n v="27"/>
    <n v="6"/>
    <n v="104"/>
    <n v="0.63400000000000001"/>
    <n v="292"/>
    <n v="236"/>
    <n v="2"/>
    <n v="1"/>
    <n v="0.65"/>
    <n v="-0.04"/>
    <n v="3.56"/>
    <n v="2.88"/>
    <n v="64"/>
    <n v="243"/>
    <n v="26.34"/>
    <n v="53"/>
    <n v="258"/>
    <n v="79.459999999999994"/>
    <n v="7"/>
    <n v="5"/>
    <n v="9.5"/>
    <n v="8.5"/>
    <n v="2768"/>
    <n v="10.5"/>
    <n v="2307"/>
    <n v="0.89800000000000002"/>
    <n v="4"/>
  </r>
  <r>
    <x v="2"/>
    <n v="10"/>
    <s v="Toronto Maple Leafs"/>
    <n v="1"/>
    <n v="28.9"/>
    <n v="82"/>
    <n v="46"/>
    <n v="26"/>
    <n v="10"/>
    <n v="102"/>
    <n v="0.622"/>
    <n v="298"/>
    <n v="261"/>
    <n v="5"/>
    <n v="2"/>
    <n v="0.5"/>
    <n v="0.01"/>
    <n v="3.63"/>
    <n v="3.18"/>
    <n v="57"/>
    <n v="238"/>
    <n v="23.95"/>
    <n v="55"/>
    <n v="238"/>
    <n v="76.89"/>
    <n v="6"/>
    <n v="9"/>
    <n v="9.9"/>
    <n v="10.199999999999999"/>
    <n v="2671"/>
    <n v="11.2"/>
    <n v="2446"/>
    <n v="0.89300000000000002"/>
    <n v="5"/>
  </r>
  <r>
    <x v="2"/>
    <n v="11"/>
    <s v="Nashville Predators"/>
    <n v="1"/>
    <n v="29.5"/>
    <n v="82"/>
    <n v="47"/>
    <n v="30"/>
    <n v="5"/>
    <n v="99"/>
    <n v="0.60399999999999998"/>
    <n v="266"/>
    <n v="248"/>
    <n v="3"/>
    <n v="0"/>
    <n v="0.23"/>
    <n v="-0.02"/>
    <n v="3.24"/>
    <n v="3.02"/>
    <n v="58"/>
    <n v="269"/>
    <n v="21.56"/>
    <n v="57"/>
    <n v="247"/>
    <n v="76.92"/>
    <n v="7"/>
    <n v="5"/>
    <n v="9.6999999999999993"/>
    <n v="9.5"/>
    <n v="2642"/>
    <n v="10.1"/>
    <n v="2507"/>
    <n v="0.90100000000000002"/>
    <n v="4"/>
  </r>
  <r>
    <x v="2"/>
    <n v="12"/>
    <s v="Los Angeles Kings"/>
    <n v="1"/>
    <n v="29.5"/>
    <n v="82"/>
    <n v="44"/>
    <n v="27"/>
    <n v="11"/>
    <n v="99"/>
    <n v="0.60399999999999998"/>
    <n v="254"/>
    <n v="210"/>
    <n v="2"/>
    <n v="5"/>
    <n v="0.45"/>
    <n v="-0.05"/>
    <n v="3.1"/>
    <n v="2.56"/>
    <n v="56"/>
    <n v="248"/>
    <n v="22.58"/>
    <n v="39"/>
    <n v="253"/>
    <n v="84.58"/>
    <n v="11"/>
    <n v="7"/>
    <n v="8.6999999999999993"/>
    <n v="9.5"/>
    <n v="2616"/>
    <n v="9.6999999999999993"/>
    <n v="2296"/>
    <n v="0.90900000000000003"/>
    <n v="7"/>
  </r>
  <r>
    <x v="2"/>
    <n v="13"/>
    <s v="Tampa Bay Lightning"/>
    <n v="1"/>
    <n v="29.1"/>
    <n v="82"/>
    <n v="45"/>
    <n v="29"/>
    <n v="8"/>
    <n v="98"/>
    <n v="0.59799999999999998"/>
    <n v="288"/>
    <n v="267"/>
    <n v="3"/>
    <n v="1"/>
    <n v="0.28000000000000003"/>
    <n v="0"/>
    <n v="3.51"/>
    <n v="3.26"/>
    <n v="71"/>
    <n v="248"/>
    <n v="28.63"/>
    <n v="39"/>
    <n v="234"/>
    <n v="83.33"/>
    <n v="5"/>
    <n v="6"/>
    <n v="11"/>
    <n v="11"/>
    <n v="2401"/>
    <n v="12"/>
    <n v="2430"/>
    <n v="0.89"/>
    <n v="4"/>
  </r>
  <r>
    <x v="2"/>
    <n v="14"/>
    <s v="Vegas Golden Knights"/>
    <n v="1"/>
    <n v="29"/>
    <n v="82"/>
    <n v="45"/>
    <n v="29"/>
    <n v="8"/>
    <n v="98"/>
    <n v="0.59799999999999998"/>
    <n v="263"/>
    <n v="243"/>
    <n v="4"/>
    <n v="2"/>
    <n v="0.22"/>
    <n v="-0.05"/>
    <n v="3.21"/>
    <n v="2.96"/>
    <n v="51"/>
    <n v="252"/>
    <n v="20.239999999999998"/>
    <n v="44"/>
    <n v="213"/>
    <n v="79.34"/>
    <n v="9"/>
    <n v="8"/>
    <n v="7.4"/>
    <n v="8.5"/>
    <n v="2548"/>
    <n v="10.3"/>
    <n v="2487"/>
    <n v="0.90200000000000002"/>
    <n v="3"/>
  </r>
  <r>
    <x v="2"/>
    <n v="15"/>
    <s v="New York Islanders"/>
    <n v="1"/>
    <n v="29.6"/>
    <n v="82"/>
    <n v="39"/>
    <n v="27"/>
    <n v="16"/>
    <n v="94"/>
    <n v="0.57299999999999995"/>
    <n v="245"/>
    <n v="258"/>
    <n v="1"/>
    <n v="5"/>
    <n v="-0.18"/>
    <n v="0.03"/>
    <n v="2.99"/>
    <n v="3.15"/>
    <n v="47"/>
    <n v="231"/>
    <n v="20.350000000000001"/>
    <n v="63"/>
    <n v="221"/>
    <n v="71.489999999999995"/>
    <n v="10"/>
    <n v="3"/>
    <n v="7.1"/>
    <n v="7.4"/>
    <n v="2470"/>
    <n v="9.9"/>
    <n v="2686"/>
    <n v="0.90400000000000003"/>
    <n v="5"/>
  </r>
  <r>
    <x v="2"/>
    <n v="16"/>
    <s v="St. Louis Blues"/>
    <n v="0"/>
    <n v="29"/>
    <n v="82"/>
    <n v="43"/>
    <n v="33"/>
    <n v="6"/>
    <n v="92"/>
    <n v="0.56100000000000005"/>
    <n v="234"/>
    <n v="248"/>
    <n v="5"/>
    <n v="2"/>
    <n v="-0.14000000000000001"/>
    <n v="-0.01"/>
    <n v="2.85"/>
    <n v="3.02"/>
    <n v="45"/>
    <n v="250"/>
    <n v="18"/>
    <n v="46"/>
    <n v="215"/>
    <n v="78.599999999999994"/>
    <n v="11"/>
    <n v="7"/>
    <n v="7.4"/>
    <n v="8.6"/>
    <n v="2370"/>
    <n v="9.9"/>
    <n v="2636"/>
    <n v="0.90600000000000003"/>
    <n v="4"/>
  </r>
  <r>
    <x v="2"/>
    <n v="17"/>
    <s v="Washington Capitals"/>
    <n v="1"/>
    <n v="30"/>
    <n v="82"/>
    <n v="40"/>
    <n v="31"/>
    <n v="11"/>
    <n v="91"/>
    <n v="0.55500000000000005"/>
    <n v="216"/>
    <n v="252"/>
    <n v="4"/>
    <n v="5"/>
    <n v="-0.41"/>
    <n v="0.04"/>
    <n v="2.63"/>
    <n v="3.07"/>
    <n v="47"/>
    <n v="228"/>
    <n v="20.61"/>
    <n v="49"/>
    <n v="233"/>
    <n v="78.97"/>
    <n v="3"/>
    <n v="5"/>
    <n v="7.7"/>
    <n v="7.4"/>
    <n v="2172"/>
    <n v="9.9"/>
    <n v="2503"/>
    <n v="0.89900000000000002"/>
    <n v="7"/>
  </r>
  <r>
    <x v="2"/>
    <n v="18"/>
    <s v="Detroit Red Wings"/>
    <n v="0"/>
    <n v="29.3"/>
    <n v="82"/>
    <n v="41"/>
    <n v="32"/>
    <n v="9"/>
    <n v="91"/>
    <n v="0.55500000000000005"/>
    <n v="275"/>
    <n v="273"/>
    <n v="3"/>
    <n v="1"/>
    <n v="0.06"/>
    <n v="0.02"/>
    <n v="3.35"/>
    <n v="3.33"/>
    <n v="63"/>
    <n v="273"/>
    <n v="23.08"/>
    <n v="49"/>
    <n v="240"/>
    <n v="79.58"/>
    <n v="7"/>
    <n v="10"/>
    <n v="8.6999999999999993"/>
    <n v="9.9"/>
    <n v="2375"/>
    <n v="11.6"/>
    <n v="2657"/>
    <n v="0.89700000000000002"/>
    <n v="4"/>
  </r>
  <r>
    <x v="2"/>
    <n v="19"/>
    <s v="Pittsburgh Penguins"/>
    <n v="0"/>
    <n v="31.3"/>
    <n v="82"/>
    <n v="38"/>
    <n v="32"/>
    <n v="12"/>
    <n v="88"/>
    <n v="0.53700000000000003"/>
    <n v="253"/>
    <n v="248"/>
    <n v="2"/>
    <n v="3"/>
    <n v="0.05"/>
    <n v="0"/>
    <n v="3.09"/>
    <n v="3.02"/>
    <n v="40"/>
    <n v="262"/>
    <n v="15.27"/>
    <n v="47"/>
    <n v="243"/>
    <n v="80.66"/>
    <n v="5"/>
    <n v="12"/>
    <n v="7.4"/>
    <n v="7.9"/>
    <n v="2685"/>
    <n v="9.4"/>
    <n v="2479"/>
    <n v="0.9"/>
    <n v="8"/>
  </r>
  <r>
    <x v="2"/>
    <n v="20"/>
    <s v="Minnesota Wild"/>
    <n v="0"/>
    <n v="29.3"/>
    <n v="82"/>
    <n v="39"/>
    <n v="34"/>
    <n v="9"/>
    <n v="87"/>
    <n v="0.53"/>
    <n v="248"/>
    <n v="260"/>
    <n v="3"/>
    <n v="3"/>
    <n v="-0.14000000000000001"/>
    <n v="0.01"/>
    <n v="3.02"/>
    <n v="3.17"/>
    <n v="62"/>
    <n v="273"/>
    <n v="22.71"/>
    <n v="67"/>
    <n v="263"/>
    <n v="74.52"/>
    <n v="3"/>
    <n v="11"/>
    <n v="11.4"/>
    <n v="11.3"/>
    <n v="2471"/>
    <n v="10"/>
    <n v="2437"/>
    <n v="0.89300000000000002"/>
    <n v="6"/>
  </r>
  <r>
    <x v="2"/>
    <n v="21"/>
    <s v="Philadelphia Flyers"/>
    <n v="0"/>
    <n v="27.1"/>
    <n v="82"/>
    <n v="38"/>
    <n v="33"/>
    <n v="11"/>
    <n v="87"/>
    <n v="0.53"/>
    <n v="231"/>
    <n v="258"/>
    <n v="4"/>
    <n v="3"/>
    <n v="-0.28999999999999998"/>
    <n v="0.03"/>
    <n v="2.82"/>
    <n v="3.15"/>
    <n v="31"/>
    <n v="254"/>
    <n v="12.2"/>
    <n v="40"/>
    <n v="241"/>
    <n v="83.4"/>
    <n v="16"/>
    <n v="4"/>
    <n v="10.1"/>
    <n v="9.6999999999999993"/>
    <n v="2708"/>
    <n v="8.5"/>
    <n v="2225"/>
    <n v="0.88400000000000001"/>
    <n v="5"/>
  </r>
  <r>
    <x v="2"/>
    <n v="22"/>
    <s v="Buffalo Sabres"/>
    <n v="0"/>
    <n v="25.7"/>
    <n v="82"/>
    <n v="39"/>
    <n v="37"/>
    <n v="6"/>
    <n v="84"/>
    <n v="0.51200000000000001"/>
    <n v="244"/>
    <n v="243"/>
    <n v="2"/>
    <n v="1"/>
    <n v="0.03"/>
    <n v="0.01"/>
    <n v="2.98"/>
    <n v="2.96"/>
    <n v="37"/>
    <n v="223"/>
    <n v="16.59"/>
    <n v="49"/>
    <n v="243"/>
    <n v="79.84"/>
    <n v="7"/>
    <n v="10"/>
    <n v="9.8000000000000007"/>
    <n v="9.1999999999999993"/>
    <n v="2534"/>
    <n v="9.6"/>
    <n v="2402"/>
    <n v="0.89900000000000002"/>
    <n v="5"/>
  </r>
  <r>
    <x v="2"/>
    <n v="23"/>
    <s v="New Jersey Devils"/>
    <n v="0"/>
    <n v="26.8"/>
    <n v="82"/>
    <n v="38"/>
    <n v="39"/>
    <n v="5"/>
    <n v="81"/>
    <n v="0.49399999999999999"/>
    <n v="264"/>
    <n v="281"/>
    <n v="0"/>
    <n v="2"/>
    <n v="-0.22"/>
    <n v="0.01"/>
    <n v="3.22"/>
    <n v="3.43"/>
    <n v="55"/>
    <n v="245"/>
    <n v="22.45"/>
    <n v="47"/>
    <n v="243"/>
    <n v="80.66"/>
    <n v="3"/>
    <n v="9"/>
    <n v="9.1"/>
    <n v="9.6"/>
    <n v="2516"/>
    <n v="10.5"/>
    <n v="2458"/>
    <n v="0.88600000000000001"/>
    <n v="1"/>
  </r>
  <r>
    <x v="2"/>
    <n v="24"/>
    <s v="Seattle Kraken"/>
    <n v="0"/>
    <n v="29.4"/>
    <n v="82"/>
    <n v="34"/>
    <n v="35"/>
    <n v="13"/>
    <n v="81"/>
    <n v="0.49399999999999999"/>
    <n v="214"/>
    <n v="232"/>
    <n v="3"/>
    <n v="4"/>
    <n v="-0.26"/>
    <n v="-0.03"/>
    <n v="2.61"/>
    <n v="2.83"/>
    <n v="50"/>
    <n v="242"/>
    <n v="20.66"/>
    <n v="47"/>
    <n v="222"/>
    <n v="78.83"/>
    <n v="6"/>
    <n v="9"/>
    <n v="8"/>
    <n v="8.1"/>
    <n v="2347"/>
    <n v="9.1"/>
    <n v="2391"/>
    <n v="0.90300000000000002"/>
    <n v="5"/>
  </r>
  <r>
    <x v="2"/>
    <n v="25"/>
    <s v="Calgary Flames"/>
    <n v="0"/>
    <n v="29.2"/>
    <n v="82"/>
    <n v="38"/>
    <n v="39"/>
    <n v="5"/>
    <n v="81"/>
    <n v="0.49399999999999999"/>
    <n v="253"/>
    <n v="267"/>
    <n v="0"/>
    <n v="4"/>
    <n v="-0.2"/>
    <n v="0.02"/>
    <n v="3.09"/>
    <n v="3.26"/>
    <n v="45"/>
    <n v="252"/>
    <n v="17.86"/>
    <n v="47"/>
    <n v="245"/>
    <n v="80.819999999999993"/>
    <n v="11"/>
    <n v="11"/>
    <n v="9.4"/>
    <n v="9.1999999999999993"/>
    <n v="2572"/>
    <n v="9.8000000000000007"/>
    <n v="2438"/>
    <n v="0.89"/>
    <n v="2"/>
  </r>
  <r>
    <x v="2"/>
    <n v="26"/>
    <s v="Ottawa Senators"/>
    <n v="0"/>
    <n v="27"/>
    <n v="82"/>
    <n v="37"/>
    <n v="41"/>
    <n v="4"/>
    <n v="78"/>
    <n v="0.47599999999999998"/>
    <n v="250"/>
    <n v="281"/>
    <n v="5"/>
    <n v="0"/>
    <n v="-0.28000000000000003"/>
    <n v="0.04"/>
    <n v="3.05"/>
    <n v="3.43"/>
    <n v="51"/>
    <n v="283"/>
    <n v="18.02"/>
    <n v="61"/>
    <n v="245"/>
    <n v="75.099999999999994"/>
    <n v="7"/>
    <n v="6"/>
    <n v="10.4"/>
    <n v="11.1"/>
    <n v="2602"/>
    <n v="9.6"/>
    <n v="2432"/>
    <n v="0.88400000000000001"/>
    <n v="2"/>
  </r>
  <r>
    <x v="2"/>
    <n v="27"/>
    <s v="Arizona Coyotes"/>
    <n v="0"/>
    <n v="26.7"/>
    <n v="82"/>
    <n v="36"/>
    <n v="41"/>
    <n v="5"/>
    <n v="77"/>
    <n v="0.47"/>
    <n v="254"/>
    <n v="274"/>
    <n v="2"/>
    <n v="0"/>
    <n v="-0.21"/>
    <n v="0.01"/>
    <n v="3.1"/>
    <n v="3.34"/>
    <n v="53"/>
    <n v="241"/>
    <n v="21.99"/>
    <n v="63"/>
    <n v="266"/>
    <n v="76.319999999999993"/>
    <n v="7"/>
    <n v="7"/>
    <n v="11.5"/>
    <n v="9.9"/>
    <n v="2273"/>
    <n v="11.2"/>
    <n v="2598"/>
    <n v="0.89500000000000002"/>
    <n v="7"/>
  </r>
  <r>
    <x v="2"/>
    <n v="28"/>
    <s v="Montreal Canadiens"/>
    <n v="0"/>
    <n v="26.7"/>
    <n v="82"/>
    <n v="30"/>
    <n v="36"/>
    <n v="16"/>
    <n v="76"/>
    <n v="0.46300000000000002"/>
    <n v="232"/>
    <n v="281"/>
    <n v="4"/>
    <n v="8"/>
    <n v="-0.59"/>
    <n v="0.05"/>
    <n v="2.83"/>
    <n v="3.43"/>
    <n v="44"/>
    <n v="252"/>
    <n v="17.46"/>
    <n v="65"/>
    <n v="277"/>
    <n v="76.53"/>
    <n v="7"/>
    <n v="12"/>
    <n v="10.199999999999999"/>
    <n v="10"/>
    <n v="2269"/>
    <n v="10.199999999999999"/>
    <n v="2738"/>
    <n v="0.89700000000000002"/>
    <n v="2"/>
  </r>
  <r>
    <x v="2"/>
    <n v="29"/>
    <s v="Columbus Blue Jackets"/>
    <n v="0"/>
    <n v="26.8"/>
    <n v="82"/>
    <n v="27"/>
    <n v="43"/>
    <n v="12"/>
    <n v="66"/>
    <n v="0.40200000000000002"/>
    <n v="234"/>
    <n v="298"/>
    <n v="3"/>
    <n v="2"/>
    <n v="-0.72"/>
    <n v="0.05"/>
    <n v="2.85"/>
    <n v="3.63"/>
    <n v="32"/>
    <n v="212"/>
    <n v="15.09"/>
    <n v="56"/>
    <n v="236"/>
    <n v="76.27"/>
    <n v="5"/>
    <n v="6"/>
    <n v="8.1999999999999993"/>
    <n v="7.6"/>
    <n v="2458"/>
    <n v="9.5"/>
    <n v="2822"/>
    <n v="0.89400000000000002"/>
    <n v="1"/>
  </r>
  <r>
    <x v="2"/>
    <n v="30"/>
    <s v="Anaheim Ducks"/>
    <n v="0"/>
    <n v="27.7"/>
    <n v="82"/>
    <n v="27"/>
    <n v="50"/>
    <n v="5"/>
    <n v="59"/>
    <n v="0.36"/>
    <n v="203"/>
    <n v="293"/>
    <n v="1"/>
    <n v="2"/>
    <n v="-1.0900000000000001"/>
    <n v="0.02"/>
    <n v="2.48"/>
    <n v="3.57"/>
    <n v="43"/>
    <n v="235"/>
    <n v="18.3"/>
    <n v="91"/>
    <n v="330"/>
    <n v="72.42"/>
    <n v="12"/>
    <n v="5"/>
    <n v="13.5"/>
    <n v="10.9"/>
    <n v="2194"/>
    <n v="9.3000000000000007"/>
    <n v="2666"/>
    <n v="0.89"/>
    <n v="1"/>
  </r>
  <r>
    <x v="2"/>
    <n v="31"/>
    <s v="Chicago Blackhawks"/>
    <n v="0"/>
    <n v="27.4"/>
    <n v="82"/>
    <n v="23"/>
    <n v="53"/>
    <n v="6"/>
    <n v="52"/>
    <n v="0.317"/>
    <n v="178"/>
    <n v="289"/>
    <n v="1"/>
    <n v="1"/>
    <n v="-1.29"/>
    <n v="0.06"/>
    <n v="2.17"/>
    <n v="3.52"/>
    <n v="39"/>
    <n v="235"/>
    <n v="16.600000000000001"/>
    <n v="56"/>
    <n v="231"/>
    <n v="75.760000000000005"/>
    <n v="3"/>
    <n v="8"/>
    <n v="8.6999999999999993"/>
    <n v="9.3000000000000007"/>
    <n v="2153"/>
    <n v="8.3000000000000007"/>
    <n v="2681"/>
    <n v="0.89200000000000002"/>
    <n v="1"/>
  </r>
  <r>
    <x v="2"/>
    <n v="32"/>
    <s v="San Jose Sharks"/>
    <n v="0"/>
    <n v="27.7"/>
    <n v="82"/>
    <n v="19"/>
    <n v="54"/>
    <n v="9"/>
    <n v="47"/>
    <n v="0.28699999999999998"/>
    <n v="180"/>
    <n v="326"/>
    <n v="1"/>
    <n v="5"/>
    <n v="-1.78"/>
    <n v="0.05"/>
    <n v="2.2000000000000002"/>
    <n v="3.98"/>
    <n v="42"/>
    <n v="208"/>
    <n v="20.190000000000001"/>
    <n v="62"/>
    <n v="252"/>
    <n v="75.400000000000006"/>
    <n v="3"/>
    <n v="8"/>
    <n v="9.5"/>
    <n v="8.1999999999999993"/>
    <n v="2069"/>
    <n v="8.6999999999999993"/>
    <n v="2881"/>
    <n v="0.88700000000000001"/>
    <n v="2"/>
  </r>
  <r>
    <x v="3"/>
    <n v="1"/>
    <s v="Winnipeg Jets"/>
    <n v="1"/>
    <n v="29.6"/>
    <n v="73"/>
    <n v="50"/>
    <n v="19"/>
    <n v="4"/>
    <n v="104"/>
    <n v="0.71199999999999997"/>
    <n v="252"/>
    <n v="171"/>
    <n v="1"/>
    <n v="1"/>
    <n v="1.07"/>
    <n v="-0.04"/>
    <n v="3.45"/>
    <n v="2.34"/>
    <n v="59"/>
    <n v="196"/>
    <n v="30.1"/>
    <n v="38"/>
    <n v="184"/>
    <n v="79.349999999999994"/>
    <n v="4"/>
    <n v="3"/>
    <n v="7.6"/>
    <n v="8.1999999999999993"/>
    <n v="2047"/>
    <n v="12.3"/>
    <n v="1989"/>
    <n v="0.91400000000000003"/>
    <n v="8"/>
  </r>
  <r>
    <x v="3"/>
    <n v="2"/>
    <s v="Washington Capitals"/>
    <n v="1"/>
    <n v="29.4"/>
    <n v="72"/>
    <n v="47"/>
    <n v="16"/>
    <n v="9"/>
    <n v="103"/>
    <n v="0.71499999999999997"/>
    <n v="260"/>
    <n v="185"/>
    <n v="1"/>
    <n v="3"/>
    <n v="1"/>
    <n v="-0.02"/>
    <n v="3.61"/>
    <n v="2.57"/>
    <n v="42"/>
    <n v="195"/>
    <n v="21.54"/>
    <n v="36"/>
    <n v="208"/>
    <n v="82.69"/>
    <n v="6"/>
    <n v="6"/>
    <n v="8.3000000000000007"/>
    <n v="8"/>
    <n v="1988"/>
    <n v="13.1"/>
    <n v="1953"/>
    <n v="0.90500000000000003"/>
    <n v="3"/>
  </r>
  <r>
    <x v="3"/>
    <n v="3"/>
    <s v="Dallas Stars"/>
    <n v="1"/>
    <n v="28.4"/>
    <n v="72"/>
    <n v="47"/>
    <n v="21"/>
    <n v="4"/>
    <n v="98"/>
    <n v="0.68100000000000005"/>
    <n v="244"/>
    <n v="185"/>
    <n v="2"/>
    <n v="2"/>
    <n v="0.81"/>
    <n v="-0.01"/>
    <n v="3.39"/>
    <n v="2.57"/>
    <n v="48"/>
    <n v="214"/>
    <n v="22.43"/>
    <n v="31"/>
    <n v="196"/>
    <n v="84.18"/>
    <n v="6"/>
    <n v="4"/>
    <n v="6.9"/>
    <n v="7.7"/>
    <n v="2062"/>
    <n v="11.8"/>
    <n v="2028"/>
    <n v="0.90900000000000003"/>
    <n v="4"/>
  </r>
  <r>
    <x v="3"/>
    <n v="4"/>
    <s v="Vegas Golden Knights"/>
    <n v="1"/>
    <n v="29.3"/>
    <n v="72"/>
    <n v="44"/>
    <n v="20"/>
    <n v="8"/>
    <n v="96"/>
    <n v="0.66700000000000004"/>
    <n v="246"/>
    <n v="191"/>
    <n v="1"/>
    <n v="3"/>
    <n v="0.71"/>
    <n v="-0.03"/>
    <n v="3.42"/>
    <n v="2.65"/>
    <n v="51"/>
    <n v="168"/>
    <n v="30.36"/>
    <n v="35"/>
    <n v="146"/>
    <n v="76.03"/>
    <n v="5"/>
    <n v="3"/>
    <n v="5.7"/>
    <n v="6.5"/>
    <n v="2188"/>
    <n v="11.2"/>
    <n v="1908"/>
    <n v="0.9"/>
    <n v="6"/>
  </r>
  <r>
    <x v="3"/>
    <n v="5"/>
    <s v="Colorado Avalanche"/>
    <n v="1"/>
    <n v="28.6"/>
    <n v="73"/>
    <n v="45"/>
    <n v="25"/>
    <n v="3"/>
    <n v="93"/>
    <n v="0.63700000000000001"/>
    <n v="246"/>
    <n v="204"/>
    <n v="2"/>
    <n v="2"/>
    <n v="0.55000000000000004"/>
    <n v="-0.02"/>
    <n v="3.37"/>
    <n v="2.79"/>
    <n v="54"/>
    <n v="210"/>
    <n v="25.71"/>
    <n v="38"/>
    <n v="182"/>
    <n v="79.12"/>
    <n v="5"/>
    <n v="5"/>
    <n v="6.8"/>
    <n v="7.3"/>
    <n v="2171"/>
    <n v="11.3"/>
    <n v="1892"/>
    <n v="0.89200000000000002"/>
    <n v="5"/>
  </r>
  <r>
    <x v="3"/>
    <n v="6"/>
    <s v="Carolina Hurricanes"/>
    <n v="1"/>
    <n v="29.6"/>
    <n v="72"/>
    <n v="44"/>
    <n v="24"/>
    <n v="4"/>
    <n v="92"/>
    <n v="0.63900000000000001"/>
    <n v="232"/>
    <n v="190"/>
    <n v="0"/>
    <n v="2"/>
    <n v="0.54"/>
    <n v="-0.01"/>
    <n v="3.22"/>
    <n v="2.64"/>
    <n v="40"/>
    <n v="218"/>
    <n v="18.350000000000001"/>
    <n v="32"/>
    <n v="210"/>
    <n v="84.76"/>
    <n v="9"/>
    <n v="4"/>
    <n v="7"/>
    <n v="7.5"/>
    <n v="2282"/>
    <n v="10.199999999999999"/>
    <n v="1793"/>
    <n v="0.89400000000000002"/>
    <n v="5"/>
  </r>
  <r>
    <x v="3"/>
    <n v="7"/>
    <s v="Florida Panthers"/>
    <n v="1"/>
    <n v="29.5"/>
    <n v="72"/>
    <n v="44"/>
    <n v="25"/>
    <n v="3"/>
    <n v="91"/>
    <n v="0.63200000000000001"/>
    <n v="226"/>
    <n v="194"/>
    <n v="5"/>
    <n v="0"/>
    <n v="0.5"/>
    <n v="-0.02"/>
    <n v="3.14"/>
    <n v="2.69"/>
    <n v="52"/>
    <n v="216"/>
    <n v="24.07"/>
    <n v="40"/>
    <n v="213"/>
    <n v="81.22"/>
    <n v="12"/>
    <n v="8"/>
    <n v="9.8000000000000007"/>
    <n v="9.6999999999999993"/>
    <n v="2276"/>
    <n v="9.9"/>
    <n v="1906"/>
    <n v="0.89800000000000002"/>
    <n v="8"/>
  </r>
  <r>
    <x v="3"/>
    <n v="8"/>
    <s v="Toronto Maple Leafs"/>
    <n v="1"/>
    <n v="29.3"/>
    <n v="72"/>
    <n v="43"/>
    <n v="25"/>
    <n v="4"/>
    <n v="90"/>
    <n v="0.625"/>
    <n v="235"/>
    <n v="214"/>
    <n v="1"/>
    <n v="2"/>
    <n v="0.25"/>
    <n v="-0.03"/>
    <n v="3.26"/>
    <n v="2.97"/>
    <n v="52"/>
    <n v="196"/>
    <n v="26.53"/>
    <n v="46"/>
    <n v="210"/>
    <n v="78.099999999999994"/>
    <n v="5"/>
    <n v="7"/>
    <n v="7.9"/>
    <n v="7.5"/>
    <n v="2039"/>
    <n v="11.5"/>
    <n v="2105"/>
    <n v="0.89800000000000002"/>
    <n v="2"/>
  </r>
  <r>
    <x v="3"/>
    <n v="9"/>
    <s v="Tampa Bay Lightning"/>
    <n v="1"/>
    <n v="29.6"/>
    <n v="72"/>
    <n v="42"/>
    <n v="25"/>
    <n v="5"/>
    <n v="89"/>
    <n v="0.61799999999999999"/>
    <n v="257"/>
    <n v="190"/>
    <n v="2"/>
    <n v="2"/>
    <n v="0.91"/>
    <n v="-0.03"/>
    <n v="3.57"/>
    <n v="2.64"/>
    <n v="53"/>
    <n v="204"/>
    <n v="25.98"/>
    <n v="32"/>
    <n v="181"/>
    <n v="82.32"/>
    <n v="10"/>
    <n v="11"/>
    <n v="8.1999999999999993"/>
    <n v="9.1999999999999993"/>
    <n v="2076"/>
    <n v="12.4"/>
    <n v="2020"/>
    <n v="0.90600000000000003"/>
    <n v="7"/>
  </r>
  <r>
    <x v="3"/>
    <n v="10"/>
    <s v="Los Angeles Kings"/>
    <n v="1"/>
    <n v="29.3"/>
    <n v="71"/>
    <n v="40"/>
    <n v="22"/>
    <n v="9"/>
    <n v="89"/>
    <n v="0.627"/>
    <n v="205"/>
    <n v="179"/>
    <n v="1"/>
    <n v="3"/>
    <n v="0.32"/>
    <n v="-0.02"/>
    <n v="2.89"/>
    <n v="2.52"/>
    <n v="27"/>
    <n v="166"/>
    <n v="16.27"/>
    <n v="38"/>
    <n v="204"/>
    <n v="81.37"/>
    <n v="4"/>
    <n v="4"/>
    <n v="7.8"/>
    <n v="7.1"/>
    <n v="1980"/>
    <n v="10.4"/>
    <n v="1802"/>
    <n v="0.90100000000000002"/>
    <n v="4"/>
  </r>
  <r>
    <x v="3"/>
    <n v="11"/>
    <s v="Minnesota Wild"/>
    <n v="1"/>
    <n v="29.6"/>
    <n v="73"/>
    <n v="41"/>
    <n v="27"/>
    <n v="5"/>
    <n v="87"/>
    <n v="0.59599999999999997"/>
    <n v="197"/>
    <n v="204"/>
    <n v="3"/>
    <n v="2"/>
    <n v="-0.06"/>
    <n v="0.02"/>
    <n v="2.7"/>
    <n v="2.79"/>
    <n v="38"/>
    <n v="184"/>
    <n v="20.65"/>
    <n v="52"/>
    <n v="184"/>
    <n v="71.739999999999995"/>
    <n v="3"/>
    <n v="4"/>
    <n v="7.6"/>
    <n v="7.6"/>
    <n v="1981"/>
    <n v="9.9"/>
    <n v="2169"/>
    <n v="0.90600000000000003"/>
    <n v="6"/>
  </r>
  <r>
    <x v="3"/>
    <n v="12"/>
    <s v="Edmonton Oilers"/>
    <n v="1"/>
    <n v="30.4"/>
    <n v="72"/>
    <n v="41"/>
    <n v="26"/>
    <n v="5"/>
    <n v="87"/>
    <n v="0.60399999999999998"/>
    <n v="233"/>
    <n v="212"/>
    <n v="0"/>
    <n v="1"/>
    <n v="0.27"/>
    <n v="0"/>
    <n v="3.24"/>
    <n v="2.94"/>
    <n v="47"/>
    <n v="185"/>
    <n v="25.41"/>
    <n v="42"/>
    <n v="179"/>
    <n v="76.540000000000006"/>
    <n v="5"/>
    <n v="3"/>
    <n v="6.9"/>
    <n v="7.4"/>
    <n v="2316"/>
    <n v="10.1"/>
    <n v="1960"/>
    <n v="0.89200000000000002"/>
    <n v="3"/>
  </r>
  <r>
    <x v="3"/>
    <n v="13"/>
    <s v="St. Louis Blues"/>
    <n v="1"/>
    <n v="29.2"/>
    <n v="74"/>
    <n v="39"/>
    <n v="28"/>
    <n v="7"/>
    <n v="85"/>
    <n v="0.57399999999999995"/>
    <n v="223"/>
    <n v="210"/>
    <n v="4"/>
    <n v="1"/>
    <n v="0.2"/>
    <n v="-0.01"/>
    <n v="3.01"/>
    <n v="2.84"/>
    <n v="36"/>
    <n v="169"/>
    <n v="21.3"/>
    <n v="47"/>
    <n v="174"/>
    <n v="72.989999999999995"/>
    <n v="3"/>
    <n v="5"/>
    <n v="7.7"/>
    <n v="8"/>
    <n v="1987"/>
    <n v="11.2"/>
    <n v="2029"/>
    <n v="0.89700000000000002"/>
    <n v="4"/>
  </r>
  <r>
    <x v="3"/>
    <n v="14"/>
    <s v="New Jersey Devils"/>
    <n v="1"/>
    <n v="29.5"/>
    <n v="74"/>
    <n v="38"/>
    <n v="29"/>
    <n v="7"/>
    <n v="83"/>
    <n v="0.56100000000000005"/>
    <n v="218"/>
    <n v="195"/>
    <n v="1"/>
    <n v="2"/>
    <n v="0.33"/>
    <n v="0.03"/>
    <n v="2.95"/>
    <n v="2.64"/>
    <n v="56"/>
    <n v="202"/>
    <n v="27.72"/>
    <n v="37"/>
    <n v="204"/>
    <n v="81.86"/>
    <n v="6"/>
    <n v="4"/>
    <n v="8.3000000000000007"/>
    <n v="7.7"/>
    <n v="2096"/>
    <n v="10.4"/>
    <n v="1957"/>
    <n v="0.9"/>
    <n v="8"/>
  </r>
  <r>
    <x v="3"/>
    <n v="15"/>
    <s v="Ottawa Senators"/>
    <n v="1"/>
    <n v="28.1"/>
    <n v="71"/>
    <n v="38"/>
    <n v="28"/>
    <n v="5"/>
    <n v="81"/>
    <n v="0.56999999999999995"/>
    <n v="207"/>
    <n v="204"/>
    <n v="1"/>
    <n v="2"/>
    <n v="0.04"/>
    <n v="0.01"/>
    <n v="2.92"/>
    <n v="2.87"/>
    <n v="55"/>
    <n v="229"/>
    <n v="24.02"/>
    <n v="47"/>
    <n v="207"/>
    <n v="77.290000000000006"/>
    <n v="9"/>
    <n v="2"/>
    <n v="8.6999999999999993"/>
    <n v="9.6999999999999993"/>
    <n v="2076"/>
    <n v="10"/>
    <n v="2021"/>
    <n v="0.89900000000000002"/>
    <n v="8"/>
  </r>
  <r>
    <x v="3"/>
    <n v="16"/>
    <s v="Vancouver Canucks"/>
    <n v="1"/>
    <n v="28.7"/>
    <n v="73"/>
    <n v="34"/>
    <n v="26"/>
    <n v="13"/>
    <n v="81"/>
    <n v="0.55500000000000005"/>
    <n v="209"/>
    <n v="224"/>
    <n v="3"/>
    <n v="2"/>
    <n v="-0.23"/>
    <n v="-0.04"/>
    <n v="2.86"/>
    <n v="3.07"/>
    <n v="45"/>
    <n v="198"/>
    <n v="22.73"/>
    <n v="35"/>
    <n v="200"/>
    <n v="82.5"/>
    <n v="4"/>
    <n v="7"/>
    <n v="9.4"/>
    <n v="9.1999999999999993"/>
    <n v="1869"/>
    <n v="11.2"/>
    <n v="1945"/>
    <n v="0.88500000000000001"/>
    <n v="5"/>
  </r>
  <r>
    <x v="3"/>
    <n v="17"/>
    <s v="Calgary Flames"/>
    <n v="0"/>
    <n v="28.4"/>
    <n v="71"/>
    <n v="34"/>
    <n v="26"/>
    <n v="11"/>
    <n v="79"/>
    <n v="0.55600000000000005"/>
    <n v="185"/>
    <n v="209"/>
    <n v="3"/>
    <n v="2"/>
    <n v="-0.32"/>
    <n v="0.01"/>
    <n v="2.61"/>
    <n v="2.94"/>
    <n v="44"/>
    <n v="205"/>
    <n v="21.46"/>
    <n v="52"/>
    <n v="205"/>
    <n v="74.63"/>
    <n v="6"/>
    <n v="6"/>
    <n v="10"/>
    <n v="10.199999999999999"/>
    <n v="2078"/>
    <n v="8.9"/>
    <n v="2049"/>
    <n v="0.89800000000000002"/>
    <n v="5"/>
  </r>
  <r>
    <x v="3"/>
    <n v="18"/>
    <s v="Utah Hockey Club"/>
    <n v="0"/>
    <n v="27.6"/>
    <n v="73"/>
    <n v="32"/>
    <n v="29"/>
    <n v="12"/>
    <n v="76"/>
    <n v="0.52100000000000002"/>
    <n v="203"/>
    <n v="223"/>
    <n v="1"/>
    <n v="3"/>
    <n v="-0.27"/>
    <n v="0.03"/>
    <n v="2.78"/>
    <n v="3.05"/>
    <n v="45"/>
    <n v="208"/>
    <n v="21.63"/>
    <n v="43"/>
    <n v="220"/>
    <n v="80.45"/>
    <n v="4"/>
    <n v="7"/>
    <n v="9.5"/>
    <n v="9.5"/>
    <n v="2046"/>
    <n v="9.9"/>
    <n v="2021"/>
    <n v="0.89"/>
    <n v="2"/>
  </r>
  <r>
    <x v="3"/>
    <n v="19"/>
    <s v="Montreal Canadiens"/>
    <n v="0"/>
    <n v="26.8"/>
    <n v="72"/>
    <n v="33"/>
    <n v="30"/>
    <n v="9"/>
    <n v="75"/>
    <n v="0.52100000000000002"/>
    <n v="214"/>
    <n v="241"/>
    <n v="2"/>
    <n v="3"/>
    <n v="-0.35"/>
    <n v="0.04"/>
    <n v="2.97"/>
    <n v="3.35"/>
    <n v="44"/>
    <n v="211"/>
    <n v="20.85"/>
    <n v="45"/>
    <n v="228"/>
    <n v="80.260000000000005"/>
    <n v="8"/>
    <n v="6"/>
    <n v="9.3000000000000007"/>
    <n v="8.3000000000000007"/>
    <n v="1876"/>
    <n v="11.4"/>
    <n v="2091"/>
    <n v="0.88500000000000001"/>
    <n v="5"/>
  </r>
  <r>
    <x v="3"/>
    <n v="20"/>
    <s v="New York Rangers"/>
    <n v="0"/>
    <n v="28.9"/>
    <n v="73"/>
    <n v="34"/>
    <n v="32"/>
    <n v="7"/>
    <n v="75"/>
    <n v="0.51400000000000001"/>
    <n v="217"/>
    <n v="221"/>
    <n v="1"/>
    <n v="0"/>
    <n v="-0.06"/>
    <n v="-0.02"/>
    <n v="2.97"/>
    <n v="3.03"/>
    <n v="34"/>
    <n v="190"/>
    <n v="17.89"/>
    <n v="39"/>
    <n v="219"/>
    <n v="82.19"/>
    <n v="14"/>
    <n v="4"/>
    <n v="8.6"/>
    <n v="7.8"/>
    <n v="2068"/>
    <n v="10.5"/>
    <n v="2205"/>
    <n v="0.9"/>
    <n v="8"/>
  </r>
  <r>
    <x v="3"/>
    <n v="21"/>
    <s v="Columbus Blue Jackets"/>
    <n v="0"/>
    <n v="27.6"/>
    <n v="71"/>
    <n v="33"/>
    <n v="29"/>
    <n v="9"/>
    <n v="75"/>
    <n v="0.52800000000000002"/>
    <n v="226"/>
    <n v="238"/>
    <n v="6"/>
    <n v="1"/>
    <n v="-0.1"/>
    <n v="0"/>
    <n v="3.18"/>
    <n v="3.35"/>
    <n v="31"/>
    <n v="165"/>
    <n v="18.79"/>
    <n v="48"/>
    <n v="192"/>
    <n v="75"/>
    <n v="9"/>
    <n v="7"/>
    <n v="8.1"/>
    <n v="7.1"/>
    <n v="2055"/>
    <n v="11"/>
    <n v="2114"/>
    <n v="0.88700000000000001"/>
    <n v="2"/>
  </r>
  <r>
    <x v="3"/>
    <n v="22"/>
    <s v="New York Islanders"/>
    <n v="0"/>
    <n v="29.7"/>
    <n v="71"/>
    <n v="32"/>
    <n v="29"/>
    <n v="10"/>
    <n v="74"/>
    <n v="0.52100000000000002"/>
    <n v="193"/>
    <n v="212"/>
    <n v="2"/>
    <n v="2"/>
    <n v="-0.31"/>
    <n v="-0.04"/>
    <n v="2.72"/>
    <n v="2.99"/>
    <n v="21"/>
    <n v="175"/>
    <n v="12"/>
    <n v="43"/>
    <n v="155"/>
    <n v="72.260000000000005"/>
    <n v="7"/>
    <n v="7"/>
    <n v="5.8"/>
    <n v="6.3"/>
    <n v="2070"/>
    <n v="9.3000000000000007"/>
    <n v="2048"/>
    <n v="0.89600000000000002"/>
    <n v="3"/>
  </r>
  <r>
    <x v="3"/>
    <n v="23"/>
    <s v="Detroit Red Wings"/>
    <n v="0"/>
    <n v="29.4"/>
    <n v="72"/>
    <n v="33"/>
    <n v="33"/>
    <n v="6"/>
    <n v="72"/>
    <n v="0.5"/>
    <n v="205"/>
    <n v="231"/>
    <n v="3"/>
    <n v="0"/>
    <n v="-0.34"/>
    <n v="-0.02"/>
    <n v="2.85"/>
    <n v="3.21"/>
    <n v="60"/>
    <n v="209"/>
    <n v="28.71"/>
    <n v="52"/>
    <n v="167"/>
    <n v="68.86"/>
    <n v="2"/>
    <n v="6"/>
    <n v="6.9"/>
    <n v="8.1"/>
    <n v="1978"/>
    <n v="10.4"/>
    <n v="2060"/>
    <n v="0.88800000000000001"/>
    <n v="4"/>
  </r>
  <r>
    <x v="3"/>
    <n v="24"/>
    <s v="Anaheim Ducks"/>
    <n v="0"/>
    <n v="27.5"/>
    <n v="72"/>
    <n v="32"/>
    <n v="32"/>
    <n v="8"/>
    <n v="72"/>
    <n v="0.5"/>
    <n v="196"/>
    <n v="225"/>
    <n v="3"/>
    <n v="2"/>
    <n v="-0.37"/>
    <n v="0.02"/>
    <n v="2.72"/>
    <n v="3.13"/>
    <n v="24"/>
    <n v="198"/>
    <n v="12.12"/>
    <n v="57"/>
    <n v="212"/>
    <n v="73.11"/>
    <n v="3"/>
    <n v="5"/>
    <n v="8.9"/>
    <n v="8"/>
    <n v="1993"/>
    <n v="9.8000000000000007"/>
    <n v="2310"/>
    <n v="0.90300000000000002"/>
    <n v="1"/>
  </r>
  <r>
    <x v="3"/>
    <n v="25"/>
    <s v="Boston Bruins"/>
    <n v="0"/>
    <n v="28.2"/>
    <n v="73"/>
    <n v="30"/>
    <n v="34"/>
    <n v="9"/>
    <n v="69"/>
    <n v="0.47299999999999998"/>
    <n v="192"/>
    <n v="241"/>
    <n v="0"/>
    <n v="1"/>
    <n v="-0.63"/>
    <n v="0.05"/>
    <n v="2.63"/>
    <n v="3.3"/>
    <n v="31"/>
    <n v="211"/>
    <n v="14.69"/>
    <n v="51"/>
    <n v="219"/>
    <n v="76.709999999999994"/>
    <n v="6"/>
    <n v="11"/>
    <n v="10.199999999999999"/>
    <n v="9.5"/>
    <n v="1948"/>
    <n v="9.9"/>
    <n v="2091"/>
    <n v="0.88500000000000001"/>
    <n v="7"/>
  </r>
  <r>
    <x v="3"/>
    <n v="26"/>
    <s v="Pittsburgh Penguins"/>
    <n v="0"/>
    <n v="30.9"/>
    <n v="74"/>
    <n v="29"/>
    <n v="34"/>
    <n v="11"/>
    <n v="69"/>
    <n v="0.46600000000000003"/>
    <n v="216"/>
    <n v="268"/>
    <n v="1"/>
    <n v="6"/>
    <n v="-0.74"/>
    <n v="0.04"/>
    <n v="2.92"/>
    <n v="3.62"/>
    <n v="48"/>
    <n v="200"/>
    <n v="24"/>
    <n v="44"/>
    <n v="197"/>
    <n v="77.66"/>
    <n v="4"/>
    <n v="4"/>
    <n v="7"/>
    <n v="7.4"/>
    <n v="2078"/>
    <n v="10.4"/>
    <n v="2259"/>
    <n v="0.88100000000000001"/>
    <n v="1"/>
  </r>
  <r>
    <x v="3"/>
    <n v="27"/>
    <s v="Seattle Kraken"/>
    <n v="0"/>
    <n v="28.9"/>
    <n v="73"/>
    <n v="31"/>
    <n v="36"/>
    <n v="6"/>
    <n v="68"/>
    <n v="0.46600000000000003"/>
    <n v="221"/>
    <n v="234"/>
    <n v="1"/>
    <n v="3"/>
    <n v="-0.23"/>
    <n v="-0.03"/>
    <n v="3.03"/>
    <n v="3.21"/>
    <n v="39"/>
    <n v="199"/>
    <n v="19.600000000000001"/>
    <n v="38"/>
    <n v="165"/>
    <n v="76.97"/>
    <n v="2"/>
    <n v="4"/>
    <n v="6.6"/>
    <n v="7.5"/>
    <n v="2005"/>
    <n v="11"/>
    <n v="2100"/>
    <n v="0.88900000000000001"/>
    <n v="1"/>
  </r>
  <r>
    <x v="3"/>
    <n v="28"/>
    <s v="Philadelphia Flyers"/>
    <n v="0"/>
    <n v="26.8"/>
    <n v="74"/>
    <n v="29"/>
    <n v="36"/>
    <n v="9"/>
    <n v="67"/>
    <n v="0.45300000000000001"/>
    <n v="203"/>
    <n v="255"/>
    <n v="5"/>
    <n v="3"/>
    <n v="-0.62"/>
    <n v="0.06"/>
    <n v="2.74"/>
    <n v="3.45"/>
    <n v="27"/>
    <n v="194"/>
    <n v="13.92"/>
    <n v="41"/>
    <n v="183"/>
    <n v="77.599999999999994"/>
    <n v="3"/>
    <n v="6"/>
    <n v="7.5"/>
    <n v="7.6"/>
    <n v="2000"/>
    <n v="10.199999999999999"/>
    <n v="1975"/>
    <n v="0.871"/>
    <n v="3"/>
  </r>
  <r>
    <x v="3"/>
    <n v="29"/>
    <s v="Buffalo Sabres"/>
    <n v="0"/>
    <n v="25.9"/>
    <n v="71"/>
    <n v="30"/>
    <n v="35"/>
    <n v="6"/>
    <n v="66"/>
    <n v="0.46500000000000002"/>
    <n v="224"/>
    <n v="248"/>
    <n v="3"/>
    <n v="1"/>
    <n v="-0.34"/>
    <n v="-0.03"/>
    <n v="3.15"/>
    <n v="3.49"/>
    <n v="36"/>
    <n v="205"/>
    <n v="17.559999999999999"/>
    <n v="50"/>
    <n v="215"/>
    <n v="76.739999999999995"/>
    <n v="6"/>
    <n v="7"/>
    <n v="10.8"/>
    <n v="10.199999999999999"/>
    <n v="1959"/>
    <n v="11.4"/>
    <n v="2043"/>
    <n v="0.879"/>
    <n v="2"/>
  </r>
  <r>
    <x v="3"/>
    <n v="30"/>
    <s v="Nashville Predators"/>
    <n v="0"/>
    <n v="30"/>
    <n v="72"/>
    <n v="27"/>
    <n v="37"/>
    <n v="8"/>
    <n v="62"/>
    <n v="0.43099999999999999"/>
    <n v="183"/>
    <n v="232"/>
    <n v="1"/>
    <n v="0"/>
    <n v="-0.63"/>
    <n v="0.04"/>
    <n v="2.54"/>
    <n v="3.22"/>
    <n v="43"/>
    <n v="203"/>
    <n v="21.18"/>
    <n v="40"/>
    <n v="214"/>
    <n v="81.31"/>
    <n v="1"/>
    <n v="4"/>
    <n v="10.1"/>
    <n v="9.5"/>
    <n v="2111"/>
    <n v="8.6999999999999993"/>
    <n v="2055"/>
    <n v="0.88700000000000001"/>
    <n v="4"/>
  </r>
  <r>
    <x v="3"/>
    <n v="31"/>
    <s v="Chicago Blackhawks"/>
    <n v="0"/>
    <n v="28.4"/>
    <n v="73"/>
    <n v="21"/>
    <n v="43"/>
    <n v="9"/>
    <n v="51"/>
    <n v="0.34899999999999998"/>
    <n v="198"/>
    <n v="262"/>
    <n v="1"/>
    <n v="2"/>
    <n v="-0.85"/>
    <n v="0.04"/>
    <n v="2.71"/>
    <n v="3.59"/>
    <n v="43"/>
    <n v="168"/>
    <n v="25.6"/>
    <n v="39"/>
    <n v="201"/>
    <n v="80.599999999999994"/>
    <n v="2"/>
    <n v="7"/>
    <n v="8.8000000000000007"/>
    <n v="7.4"/>
    <n v="1780"/>
    <n v="11.1"/>
    <n v="2270"/>
    <n v="0.88500000000000001"/>
    <n v="0"/>
  </r>
  <r>
    <x v="3"/>
    <n v="32"/>
    <s v="San Jose Sharks"/>
    <n v="0"/>
    <n v="27.3"/>
    <n v="71"/>
    <n v="20"/>
    <n v="42"/>
    <n v="9"/>
    <n v="49"/>
    <n v="0.34499999999999997"/>
    <n v="186"/>
    <n v="260"/>
    <n v="2"/>
    <n v="4"/>
    <n v="-1.02"/>
    <n v="0.05"/>
    <n v="2.62"/>
    <n v="3.66"/>
    <n v="39"/>
    <n v="201"/>
    <n v="19.399999999999999"/>
    <n v="56"/>
    <n v="218"/>
    <n v="74.31"/>
    <n v="5"/>
    <n v="7"/>
    <n v="8.6"/>
    <n v="8.8000000000000007"/>
    <n v="1924"/>
    <n v="9.6999999999999993"/>
    <n v="2235"/>
    <n v="0.8840000000000000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D301FA-7691-4567-9FD8-7788661009B6}" name="PivotTable13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4"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TS_PCT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F3A5BB1-86D5-4BF4-AC9F-646B09A2B00A}" name="Table16" displayName="Table16" ref="A1:B5" totalsRowShown="0">
  <autoFilter ref="A1:B5" xr:uid="{5F3A5BB1-86D5-4BF4-AC9F-646B09A2B00A}"/>
  <tableColumns count="2">
    <tableColumn id="1" xr3:uid="{0107D746-3965-417A-B22A-1D2E7B9A6EE7}" name="SEASON"/>
    <tableColumn id="2" xr3:uid="{D4262FC9-BB28-4F6B-B73E-BD0F969FFF1D}" name="POINT PERCENTAGE" dataDxfId="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237140-57C2-48CE-92B1-244F8D06DFD6}" name="Table1" displayName="Table1" ref="A1:AH129" totalsRowShown="0">
  <autoFilter ref="A1:AH129" xr:uid="{95237140-57C2-48CE-92B1-244F8D06DFD6}"/>
  <sortState xmlns:xlrd2="http://schemas.microsoft.com/office/spreadsheetml/2017/richdata2" ref="A2:AH129">
    <sortCondition ref="A2:A129"/>
    <sortCondition ref="B2:B129"/>
  </sortState>
  <tableColumns count="34">
    <tableColumn id="1" xr3:uid="{B633C321-7794-40D1-98F4-E121F5710145}" name="SEASON"/>
    <tableColumn id="2" xr3:uid="{C349F3F9-A236-4FC8-BA2E-65BFFAA8232E}" name="RANK"/>
    <tableColumn id="3" xr3:uid="{23821C62-CFD1-4A0C-BD38-6A28ED624825}" name="TEAM"/>
    <tableColumn id="4" xr3:uid="{4ABC6A31-5103-459B-AB69-AF444C2ECEC6}" name="PLAYOFF" dataDxfId="189"/>
    <tableColumn id="5" xr3:uid="{57C2487A-DCAE-4F2C-9380-E83B74F6F235}" name="AVG_AGE" dataDxfId="188"/>
    <tableColumn id="6" xr3:uid="{5D098EC0-3AEF-4037-A940-7F9DE49B209D}" name="GP" dataDxfId="187"/>
    <tableColumn id="7" xr3:uid="{4EF48608-F46B-4F9F-BC2C-E552B02E99BD}" name="W" dataDxfId="186"/>
    <tableColumn id="8" xr3:uid="{721EFF94-6002-4C54-9EA1-6F4BCC2488BD}" name="L" dataDxfId="185"/>
    <tableColumn id="9" xr3:uid="{734FD49B-D177-40D4-93E3-E1DACF07B561}" name="OL" dataDxfId="184"/>
    <tableColumn id="10" xr3:uid="{29FC7E85-6DA3-4F46-9065-F061C750F509}" name="PTS" dataDxfId="183"/>
    <tableColumn id="11" xr3:uid="{96365614-088F-4F5F-80D2-BF1922F9B8EF}" name="PTS_PCT" dataDxfId="182"/>
    <tableColumn id="12" xr3:uid="{330F7150-4064-4472-9B5F-8E3A78601949}" name="GF" dataDxfId="181"/>
    <tableColumn id="13" xr3:uid="{2F16EB3A-C60D-4E8C-9A7E-71A6AECF7A6B}" name="GA" dataDxfId="180"/>
    <tableColumn id="14" xr3:uid="{1D164EF3-145A-4311-98FF-CCFB790FD820}" name="SOW" dataDxfId="179"/>
    <tableColumn id="15" xr3:uid="{0108269D-79AF-45CC-98C3-19FC6CD266D2}" name="SOL" dataDxfId="178"/>
    <tableColumn id="16" xr3:uid="{D33C54C3-EDE2-43C7-88E1-336E4BFF75D4}" name="SRS" dataDxfId="177"/>
    <tableColumn id="17" xr3:uid="{41D13233-D63E-4915-859D-9AD048671331}" name="SOS" dataDxfId="176"/>
    <tableColumn id="18" xr3:uid="{46730B32-0236-4B88-A2C0-F769F2E62AD2}" name="GFPG" dataDxfId="175"/>
    <tableColumn id="19" xr3:uid="{82ED9D8F-5D42-477D-A2DE-4F25930CFB6C}" name="GAPG" dataDxfId="174"/>
    <tableColumn id="20" xr3:uid="{F85390B5-976D-4445-84B0-84FB02BC3F6B}" name="PP" dataDxfId="173"/>
    <tableColumn id="21" xr3:uid="{459D6DC5-44E3-48F4-859B-5BF2E8720372}" name="PPO" dataDxfId="172"/>
    <tableColumn id="22" xr3:uid="{864E9C94-FB5F-4D06-A34A-9B9B9D34F556}" name="PP_PCT" dataDxfId="171"/>
    <tableColumn id="23" xr3:uid="{4E84921A-BB45-4A4F-B0E8-5A6D2C7E1C36}" name="PPA" dataDxfId="170"/>
    <tableColumn id="24" xr3:uid="{903C10CC-DFC3-4FC7-A715-F4347C988215}" name="PPOA" dataDxfId="169"/>
    <tableColumn id="25" xr3:uid="{046958C2-314F-42E2-A855-D94DCE6F6A7B}" name="PK_PCT" dataDxfId="168"/>
    <tableColumn id="26" xr3:uid="{96117B08-5B09-49B1-86D6-AEAEF3F10161}" name="SH" dataDxfId="167"/>
    <tableColumn id="27" xr3:uid="{CA106FC7-264A-4A9A-8B2F-AAC28C1D8157}" name="SHA" dataDxfId="166"/>
    <tableColumn id="28" xr3:uid="{6F4A488A-081B-45FB-A17D-91822A069173}" name="PIMPG" dataDxfId="165"/>
    <tableColumn id="29" xr3:uid="{C7AD4EBE-4341-4E09-9F2F-EAB223CE7186}" name="OPIMPG" dataDxfId="164"/>
    <tableColumn id="30" xr3:uid="{C23B7534-3235-4399-BD14-4D25B0AB9577}" name="S" dataDxfId="163"/>
    <tableColumn id="31" xr3:uid="{4D537FB7-6E8C-4BE4-BD4A-5D6C2EC35FDA}" name="S_PCT" dataDxfId="162"/>
    <tableColumn id="32" xr3:uid="{8472BF18-411F-4610-B717-C51058A7F60B}" name="SA" dataDxfId="161"/>
    <tableColumn id="33" xr3:uid="{9C552D80-74E3-4055-8107-BD5CBA6C3234}" name="SV_PCT" dataDxfId="160"/>
    <tableColumn id="34" xr3:uid="{A730AC84-3C2F-4AC7-8EDC-851C6FEC13B6}" name="SO" dataDxfId="159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19B17F-836E-4C17-B6CF-5542BFE28174}" name="Table13" displayName="Table13" ref="AI1:BF129" totalsRowShown="0" headerRowDxfId="158" dataDxfId="157">
  <autoFilter ref="AI1:BF129" xr:uid="{3519B17F-836E-4C17-B6CF-5542BFE28174}"/>
  <tableColumns count="24">
    <tableColumn id="4" xr3:uid="{B6BFD6F2-5B63-4AD9-B2B7-C48DBF9D3A87}" name="S_PCT" dataDxfId="156"/>
    <tableColumn id="5" xr3:uid="{EB046884-52A9-4D3C-BE7D-B317742DC59F}" name="SV_PCT" dataDxfId="155"/>
    <tableColumn id="6" xr3:uid="{34C7975A-789A-45F5-A321-83EC4411F2B8}" name="PDO" dataDxfId="154"/>
    <tableColumn id="7" xr3:uid="{56304128-A1F7-4A69-A9EA-273F087C26D3}" name="CF" dataDxfId="153"/>
    <tableColumn id="8" xr3:uid="{52B4AEAC-1CBA-4075-ADCD-5502178AA64E}" name="CA" dataDxfId="152"/>
    <tableColumn id="9" xr3:uid="{66A2D644-556C-465F-AE62-77E6D8C491AB}" name="CF_PCT" dataDxfId="151"/>
    <tableColumn id="10" xr3:uid="{0D74EC1C-E1AF-406D-99C5-B2A46022DA8F}" name="FF" dataDxfId="150"/>
    <tableColumn id="11" xr3:uid="{65B3E638-0973-420B-8834-CFAAEAA36777}" name="FA" dataDxfId="149"/>
    <tableColumn id="12" xr3:uid="{BADC850E-1F93-4A35-B7DA-8070778C2CEC}" name="FF_PCT" dataDxfId="148"/>
    <tableColumn id="13" xr3:uid="{AEF63086-F5F9-4C37-99AA-24248C44D91A}" name="XGF" dataDxfId="147"/>
    <tableColumn id="14" xr3:uid="{497A9577-C182-4C64-ABDC-FC5AACF00B13}" name="XGA" dataDxfId="146"/>
    <tableColumn id="15" xr3:uid="{0629A84D-FB91-4EFE-8D08-BA5FF3E343D0}" name="AGF" dataDxfId="145"/>
    <tableColumn id="16" xr3:uid="{87E4A222-71A9-417E-B588-5E3438654F65}" name="AGA" dataDxfId="144"/>
    <tableColumn id="17" xr3:uid="{A04784D3-1E98-4D95-89ED-2D88657A0677}" name="AX_DIFF" dataDxfId="143"/>
    <tableColumn id="18" xr3:uid="{BAC6A090-F19D-42E5-8203-0ACF8FFBE278}" name="SCF" dataDxfId="142"/>
    <tableColumn id="19" xr3:uid="{620EF247-3D34-4F32-8AA3-2188C12E5510}" name="SCA" dataDxfId="141"/>
    <tableColumn id="20" xr3:uid="{CF3F3D93-85FF-4A4F-BDA9-65BB243251D5}" name="SCF_PCT" dataDxfId="140"/>
    <tableColumn id="21" xr3:uid="{6E72C87E-1C08-43D6-A359-9AFF9F26DDF0}" name="HDF" dataDxfId="139"/>
    <tableColumn id="22" xr3:uid="{C7F3FC14-DBA5-49D9-98BA-DC53B6E48D0E}" name="HDA" dataDxfId="138"/>
    <tableColumn id="23" xr3:uid="{F01EF0F1-1702-4BF7-8193-367502948ADD}" name="HDF_PCT" dataDxfId="137"/>
    <tableColumn id="24" xr3:uid="{160435CE-D34F-42CB-8824-064217A83B84}" name="HDGF" dataDxfId="136"/>
    <tableColumn id="25" xr3:uid="{94D2F436-D3E8-42D6-88DC-CAFC216A69CF}" name="HDC_PCT" dataDxfId="135"/>
    <tableColumn id="26" xr3:uid="{77EFBC4E-EA0A-41F4-9B16-4EA9875C3A81}" name="HDGA" dataDxfId="134"/>
    <tableColumn id="27" xr3:uid="{C6E69AF5-E8E0-4D11-B637-F2AE18CC3C30}" name="HDCO_PCT" dataDxfId="133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B7EEC7-8581-45B6-9785-370026034F50}" name="Table14" displayName="Table14" ref="A1:S129" totalsRowShown="0">
  <autoFilter ref="A1:S129" xr:uid="{BDB7EEC7-8581-45B6-9785-370026034F50}">
    <filterColumn colId="0">
      <filters>
        <filter val="2021_2022"/>
      </filters>
    </filterColumn>
  </autoFilter>
  <sortState xmlns:xlrd2="http://schemas.microsoft.com/office/spreadsheetml/2017/richdata2" ref="A2:R129">
    <sortCondition ref="A2:A129"/>
    <sortCondition ref="B2:B129"/>
  </sortState>
  <tableColumns count="19">
    <tableColumn id="1" xr3:uid="{D4DC195A-4D41-4C6D-BFBF-B35DCA6AB542}" name="SEASON"/>
    <tableColumn id="2" xr3:uid="{AA3FF55C-4D73-4B2C-B3FD-923CC18A15FC}" name="RANK"/>
    <tableColumn id="3" xr3:uid="{32DADFA8-28BA-4729-88D1-6254D414C35B}" name="TEAM"/>
    <tableColumn id="4" xr3:uid="{85423C73-24E5-4BCB-A337-A4F5D8500B7F}" name="PLAYOFF" dataDxfId="132"/>
    <tableColumn id="5" xr3:uid="{AA8C729A-0690-4FD5-8765-AFBE9EF68599}" name="AVG_AGE" dataDxfId="131"/>
    <tableColumn id="6" xr3:uid="{3C240844-C7A5-496E-A00D-EC436B8F60F4}" name="GP" dataDxfId="130"/>
    <tableColumn id="10" xr3:uid="{D1856911-8D5B-4A7D-8B99-12BB8EB5DD5B}" name="PTS" dataDxfId="129"/>
    <tableColumn id="35" xr3:uid="{6296B726-8644-4265-89E3-4CA6014FA228}" name="PTSPG" dataDxfId="128">
      <calculatedColumnFormula>Table14[[#This Row],[PTS]]/Table14[[#This Row],[GP]]</calculatedColumnFormula>
    </tableColumn>
    <tableColumn id="11" xr3:uid="{EB725222-4B8E-466F-AF82-66B034EC6F80}" name="PTS_PCT" dataDxfId="127"/>
    <tableColumn id="12" xr3:uid="{E2BE0E4A-3A4F-4998-87FB-64702B3F33A6}" name="GF" dataDxfId="126"/>
    <tableColumn id="36" xr3:uid="{A47510B8-C445-4F5E-9BFC-7524A23E1914}" name="GFPG" dataDxfId="125">
      <calculatedColumnFormula>Table14[[#This Row],[GF]]/Table14[[#This Row],[GP]]</calculatedColumnFormula>
    </tableColumn>
    <tableColumn id="13" xr3:uid="{481CDE42-569B-4009-909B-B7687238AFCE}" name="GA" dataDxfId="124"/>
    <tableColumn id="19" xr3:uid="{30EBE7F0-04EA-4C6F-AA3C-2DA7F5FBE4F3}" name="GAPG" dataDxfId="123"/>
    <tableColumn id="40" xr3:uid="{4F55728B-A5A1-4A66-9760-D9C2349549A1}" name="WIN_PROB" dataDxfId="122">
      <calculatedColumnFormula>(Table14[[#This Row],[GF]]^2)/((Table14[[#This Row],[GF]]^2)+(Table14[[#This Row],[GA]]^2))</calculatedColumnFormula>
    </tableColumn>
    <tableColumn id="22" xr3:uid="{0395D47C-CAAA-465B-A4C7-47AADF2A48AF}" name="PP_PCT" dataDxfId="121"/>
    <tableColumn id="25" xr3:uid="{83947D93-0B57-4F6D-A6E0-1EFD367BD4AD}" name="PK_PCT" dataDxfId="120"/>
    <tableColumn id="37" xr3:uid="{E36A196F-94C0-408D-936F-2D503F6A9BD7}" name="SPEC_TEAMS_INDEX" dataDxfId="119">
      <calculatedColumnFormula>Table14[[#This Row],[PP_PCT]]+Table14[[#This Row],[PK_PCT]]</calculatedColumnFormula>
    </tableColumn>
    <tableColumn id="31" xr3:uid="{0F46E49A-5B1F-4810-9055-0D326430EAB6}" name="S_PCT" dataDxfId="118"/>
    <tableColumn id="39" xr3:uid="{FD861D08-00A5-4524-BEE2-97CF4CA9EF98}" name="GAA" dataDxfId="117">
      <calculatedColumnFormula>Table14[[#This Row],[GA]]/Table14[[#This Row],[GP]]</calculatedColumnFormula>
    </tableColumn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D4B5A84-3F73-4075-9D72-AF9C5F8234E8}" name="Table135" displayName="Table135" ref="T1:AE129" totalsRowShown="0" headerRowDxfId="116" dataDxfId="115">
  <autoFilter ref="T1:AE129" xr:uid="{DD4B5A84-3F73-4075-9D72-AF9C5F8234E8}"/>
  <tableColumns count="12">
    <tableColumn id="5" xr3:uid="{FB5F3EC5-25A6-4C32-81DD-CAA4E3A81171}" name="SV_PCT" dataDxfId="114"/>
    <tableColumn id="6" xr3:uid="{466CBD59-0DE7-46F6-99A2-0FBAFCB5A452}" name="PDO" dataDxfId="113"/>
    <tableColumn id="9" xr3:uid="{A277867C-E018-4CE7-860A-2D855B367B75}" name="CF_PCT" dataDxfId="112"/>
    <tableColumn id="12" xr3:uid="{DB46B420-FAA6-4073-BF17-D985FA83BFE9}" name="FF_PCT" dataDxfId="111"/>
    <tableColumn id="13" xr3:uid="{9CBE8F06-0539-4DB8-9E99-9AEDBA182DD9}" name="XGF" dataDxfId="110"/>
    <tableColumn id="28" xr3:uid="{609A4F5A-ECEB-4AB3-AEE5-E9BF47B308C2}" name="XGFPG" dataDxfId="109">
      <calculatedColumnFormula>Table135[[#This Row],[XGF]]/Table14[[#This Row],[GP]]</calculatedColumnFormula>
    </tableColumn>
    <tableColumn id="14" xr3:uid="{45137A52-43AD-41FA-9742-5D6C7ED8572B}" name="XGA" dataDxfId="108"/>
    <tableColumn id="29" xr3:uid="{211255B4-A087-4427-B8A4-5B63AC82A3D7}" name="XGAPG" dataDxfId="107">
      <calculatedColumnFormula>Table135[[#This Row],[XGA]]/Table14[[#This Row],[GP]]</calculatedColumnFormula>
    </tableColumn>
    <tableColumn id="24" xr3:uid="{56B7A2B7-AE01-4C01-B9A8-4F57CEBF923F}" name="HDGF" dataDxfId="106"/>
    <tableColumn id="30" xr3:uid="{4FFC5239-D69F-4CB0-A115-A77AFD5A38C7}" name="HDGFPG" dataDxfId="105">
      <calculatedColumnFormula>Table135[[#This Row],[HDGF]]/Table14[[#This Row],[GP]]</calculatedColumnFormula>
    </tableColumn>
    <tableColumn id="26" xr3:uid="{5BC0C280-C616-4A91-97C2-4F3B50CA5803}" name="HDGA" dataDxfId="104"/>
    <tableColumn id="31" xr3:uid="{8ADEE65C-0A85-4855-851B-AE54C4A238AD}" name="HDGAPG" dataDxfId="103">
      <calculatedColumnFormula>Table135[[#This Row],[HDGA]]/Table14[[#This Row],[GP]]</calculatedColumnFormula>
    </tableColumn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7A93AB7-4936-4106-8E95-88EAFDDF3BA3}" name="Table5" displayName="Table5" ref="AF1:AF129" totalsRowShown="0" headerRowDxfId="102" dataDxfId="101">
  <autoFilter ref="AF1:AF129" xr:uid="{A7A93AB7-4936-4106-8E95-88EAFDDF3BA3}"/>
  <tableColumns count="1">
    <tableColumn id="1" xr3:uid="{B65AC3CD-9108-411F-8068-C123FA0183DB}" name="PIMPG" dataDxfId="100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EC821FC-C222-4A98-B757-B9944DF3EEC5}" name="Table14710" displayName="Table14710" ref="A1:S129" totalsRowShown="0">
  <autoFilter ref="A1:S129" xr:uid="{BDB7EEC7-8581-45B6-9785-370026034F50}">
    <filterColumn colId="0">
      <filters>
        <filter val="2022_2023"/>
      </filters>
    </filterColumn>
  </autoFilter>
  <sortState xmlns:xlrd2="http://schemas.microsoft.com/office/spreadsheetml/2017/richdata2" ref="A2:R129">
    <sortCondition ref="A2:A129"/>
    <sortCondition ref="B2:B129"/>
  </sortState>
  <tableColumns count="19">
    <tableColumn id="1" xr3:uid="{5A4D9E34-2BDE-423B-8B15-ADD470301789}" name="SEASON"/>
    <tableColumn id="2" xr3:uid="{E9DFF29F-DD6E-4B9F-ACB6-B2BC6E4078BE}" name="RANK"/>
    <tableColumn id="3" xr3:uid="{4E1C5F77-EF81-4441-BCE7-7FBA697D0343}" name="TEAM"/>
    <tableColumn id="4" xr3:uid="{6A9088F7-380D-40F7-A5E3-BA2137C55137}" name="PLAYOFF" dataDxfId="99"/>
    <tableColumn id="5" xr3:uid="{9BF24142-D22E-4A3D-9956-A93F7FC430FB}" name="AVG_AGE" dataDxfId="98"/>
    <tableColumn id="6" xr3:uid="{F63D1B1C-FA4C-495D-8C29-C456122560BA}" name="GP" dataDxfId="97"/>
    <tableColumn id="10" xr3:uid="{4B2CC32B-E354-4539-8498-8EDABD6B6CF4}" name="PTS" dataDxfId="96"/>
    <tableColumn id="35" xr3:uid="{1904DF02-DC6F-46D3-822A-AE02399A59B2}" name="PTSPG" dataDxfId="95">
      <calculatedColumnFormula>Table14710[[#This Row],[PTS]]/Table14710[[#This Row],[GP]]</calculatedColumnFormula>
    </tableColumn>
    <tableColumn id="11" xr3:uid="{9FC78A59-AC85-40B3-97A0-EDDFA3DE3DDF}" name="PTS_PCT" dataDxfId="94"/>
    <tableColumn id="12" xr3:uid="{CCC91BF9-E7EF-46B7-B63E-EC939DAEF404}" name="GF" dataDxfId="93"/>
    <tableColumn id="36" xr3:uid="{E6A74457-29F4-48E3-9390-640EC589989E}" name="GFPG" dataDxfId="92">
      <calculatedColumnFormula>Table14710[[#This Row],[GF]]/Table14710[[#This Row],[GP]]</calculatedColumnFormula>
    </tableColumn>
    <tableColumn id="13" xr3:uid="{02634852-2175-462F-B625-410A03297F01}" name="GA" dataDxfId="91"/>
    <tableColumn id="19" xr3:uid="{2DD9AC9B-4FCF-45E2-8ADC-E0669B3AD14F}" name="GAPG" dataDxfId="90"/>
    <tableColumn id="40" xr3:uid="{7EBC4B93-8658-46DD-BCC9-09A4A652998F}" name="WIN_PROB" dataDxfId="89">
      <calculatedColumnFormula>(Table14710[[#This Row],[GF]]^2)/((Table14710[[#This Row],[GF]]^2)+(Table14710[[#This Row],[GA]]^2))</calculatedColumnFormula>
    </tableColumn>
    <tableColumn id="22" xr3:uid="{93055D4A-22E9-4A2E-BD1A-CF17F2A13143}" name="PP_PCT" dataDxfId="88"/>
    <tableColumn id="25" xr3:uid="{650AD211-7E0E-44D4-A1BF-1425FECD6EF0}" name="PK_PCT" dataDxfId="87"/>
    <tableColumn id="37" xr3:uid="{28129760-66FD-4B05-AA62-846068811C97}" name="SPEC_TEAMS_INDEX" dataDxfId="86">
      <calculatedColumnFormula>Table14710[[#This Row],[PP_PCT]]+Table14710[[#This Row],[PK_PCT]]</calculatedColumnFormula>
    </tableColumn>
    <tableColumn id="31" xr3:uid="{979EA981-1CCC-4E87-B3C3-580F5544E8F1}" name="S_PCT" dataDxfId="85"/>
    <tableColumn id="39" xr3:uid="{3BB25A5B-24D7-4080-9E95-C761E1775ACC}" name="GAA" dataDxfId="84">
      <calculatedColumnFormula>Table14710[[#This Row],[GA]]/Table14710[[#This Row],[GP]]</calculatedColumnFormula>
    </tableColumn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1B374DE-018A-4153-A9C3-70220EFCC5E2}" name="Table135811" displayName="Table135811" ref="T1:AE129" totalsRowShown="0" headerRowDxfId="83" dataDxfId="82">
  <autoFilter ref="T1:AE129" xr:uid="{DD4B5A84-3F73-4075-9D72-AF9C5F8234E8}"/>
  <tableColumns count="12">
    <tableColumn id="5" xr3:uid="{708FF18E-81BF-42B6-8AE6-BF38F51E0B24}" name="SV_PCT" dataDxfId="81"/>
    <tableColumn id="6" xr3:uid="{8A99554A-90EC-4F80-A4DD-CDF17CD7203D}" name="PDO" dataDxfId="80"/>
    <tableColumn id="9" xr3:uid="{ED850618-4F80-4470-8178-195026E98825}" name="CF_PCT" dataDxfId="79"/>
    <tableColumn id="12" xr3:uid="{3E067CBD-305A-40DB-AA6E-57F6F7A839BF}" name="FF_PCT" dataDxfId="78"/>
    <tableColumn id="13" xr3:uid="{56E1057E-5B74-4307-AE51-70659544C0B7}" name="XGF" dataDxfId="77"/>
    <tableColumn id="28" xr3:uid="{88F7A52F-FAF9-498A-ADC5-FB654407F906}" name="XGFPG" dataDxfId="76">
      <calculatedColumnFormula>Table135811[[#This Row],[XGF]]/Table14710[[#This Row],[GP]]</calculatedColumnFormula>
    </tableColumn>
    <tableColumn id="14" xr3:uid="{20A7D5C4-166C-4DFC-82B5-5CE17BE756D3}" name="XGA" dataDxfId="75"/>
    <tableColumn id="29" xr3:uid="{809487AF-1992-428D-8E4D-6DA9E360E0C5}" name="XGAPG" dataDxfId="74">
      <calculatedColumnFormula>Table135811[[#This Row],[XGA]]/Table14710[[#This Row],[GP]]</calculatedColumnFormula>
    </tableColumn>
    <tableColumn id="24" xr3:uid="{7AE795DB-2312-4AA0-9C64-4B2393FD6FD8}" name="HDGF" dataDxfId="73"/>
    <tableColumn id="30" xr3:uid="{196E847C-B374-4C1E-A978-C8A56B9DDCCD}" name="HDGFPG" dataDxfId="72">
      <calculatedColumnFormula>Table135811[[#This Row],[HDGF]]/Table14710[[#This Row],[GP]]</calculatedColumnFormula>
    </tableColumn>
    <tableColumn id="26" xr3:uid="{81B0004E-1E04-4FF4-A374-EDB1F4C54DF7}" name="HDGA" dataDxfId="71"/>
    <tableColumn id="31" xr3:uid="{B1175C40-A7D0-4B5D-9B79-799B23A51CD6}" name="HDGAPG" dataDxfId="70">
      <calculatedColumnFormula>Table135811[[#This Row],[HDGA]]/Table14710[[#This Row],[GP]]</calculatedColumnFormula>
    </tableColumn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73F394B-5B89-4CC1-A3E8-6E76D00916B5}" name="Table5912" displayName="Table5912" ref="AF1:AF129" totalsRowShown="0" headerRowDxfId="69" dataDxfId="68">
  <autoFilter ref="AF1:AF129" xr:uid="{A7A93AB7-4936-4106-8E95-88EAFDDF3BA3}"/>
  <tableColumns count="1">
    <tableColumn id="1" xr3:uid="{DF83A359-35D8-414F-98ED-46C6AF94F7D0}" name="PIMPG" dataDxfId="67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0498F25-3B99-46E4-935A-6372A54D4F3B}" name="Table14713" displayName="Table14713" ref="A1:S129" totalsRowShown="0">
  <autoFilter ref="A1:S129" xr:uid="{BDB7EEC7-8581-45B6-9785-370026034F50}">
    <filterColumn colId="0">
      <filters>
        <filter val="2023_2024"/>
      </filters>
    </filterColumn>
  </autoFilter>
  <sortState xmlns:xlrd2="http://schemas.microsoft.com/office/spreadsheetml/2017/richdata2" ref="A2:R129">
    <sortCondition ref="A2:A129"/>
    <sortCondition ref="B2:B129"/>
  </sortState>
  <tableColumns count="19">
    <tableColumn id="1" xr3:uid="{03052D38-7259-4BB7-96C4-3754811EEF82}" name="SEASON"/>
    <tableColumn id="2" xr3:uid="{42FB97C1-0654-4B9E-8BB2-ACD553217124}" name="RANK"/>
    <tableColumn id="3" xr3:uid="{1A0766FE-020E-4232-AC4B-C1073282D892}" name="TEAM"/>
    <tableColumn id="4" xr3:uid="{3D06E34F-BB4A-4621-B0E4-58F6D0923DD8}" name="PLAYOFF" dataDxfId="66"/>
    <tableColumn id="5" xr3:uid="{0718DFCE-0C98-4137-911B-46CF5C89EE90}" name="AVG_AGE" dataDxfId="65"/>
    <tableColumn id="6" xr3:uid="{D564AB46-2C3F-4208-8119-CBBDC4C056E4}" name="GP" dataDxfId="64"/>
    <tableColumn id="10" xr3:uid="{0E41270B-A7DB-47D2-A46B-4251CB61E963}" name="PTS" dataDxfId="63"/>
    <tableColumn id="35" xr3:uid="{34F26317-F3C2-47AB-8105-4759311E6CDA}" name="PTSPG" dataDxfId="62">
      <calculatedColumnFormula>Table14713[[#This Row],[PTS]]/Table14713[[#This Row],[GP]]</calculatedColumnFormula>
    </tableColumn>
    <tableColumn id="11" xr3:uid="{496D5C44-63C5-4522-988E-1A5C0716B714}" name="PTS_PCT" dataDxfId="61"/>
    <tableColumn id="12" xr3:uid="{41F8F12B-98B8-4FEB-BC60-04739B82EC54}" name="GF" dataDxfId="60"/>
    <tableColumn id="36" xr3:uid="{CE7AB5C3-9C4A-424B-998B-A987F3D67FED}" name="GFPG" dataDxfId="59">
      <calculatedColumnFormula>Table14713[[#This Row],[GF]]/Table14713[[#This Row],[GP]]</calculatedColumnFormula>
    </tableColumn>
    <tableColumn id="13" xr3:uid="{DC57561F-C9D3-47F8-8C06-2BE94E924BE2}" name="GA" dataDxfId="58"/>
    <tableColumn id="19" xr3:uid="{22DCC41C-5F13-4B80-AAEB-8DC082F7943E}" name="GAPG" dataDxfId="57"/>
    <tableColumn id="40" xr3:uid="{14E9390E-7BED-4281-AA96-6DEAC8F6723B}" name="WIN_PROB" dataDxfId="56">
      <calculatedColumnFormula>(Table14713[[#This Row],[GF]]^2)/((Table14713[[#This Row],[GF]]^2)+(Table14713[[#This Row],[GA]]^2))</calculatedColumnFormula>
    </tableColumn>
    <tableColumn id="22" xr3:uid="{9BCD90B8-EFAE-465E-905C-E8A01A4B02F3}" name="PP_PCT" dataDxfId="55"/>
    <tableColumn id="25" xr3:uid="{B652B4B4-A097-42D9-BC2F-7E3794768848}" name="PK_PCT" dataDxfId="54"/>
    <tableColumn id="37" xr3:uid="{DBDB654C-B507-44A3-B9D8-20A96D5E7262}" name="SPEC_TEAMS_INDEX" dataDxfId="53">
      <calculatedColumnFormula>Table14713[[#This Row],[PP_PCT]]+Table14713[[#This Row],[PK_PCT]]</calculatedColumnFormula>
    </tableColumn>
    <tableColumn id="31" xr3:uid="{05AB8A7D-9096-4933-9468-475148A88C7D}" name="S_PCT" dataDxfId="52"/>
    <tableColumn id="39" xr3:uid="{0FA8FC3B-896A-4E65-8F63-32C2E6D1293A}" name="GAA" dataDxfId="51">
      <calculatedColumnFormula>Table14713[[#This Row],[GA]]/Table14713[[#This Row],[GP]]</calculatedColumnFormula>
    </tableColumn>
  </tableColumns>
  <tableStyleInfo name="TableStyleLight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FA132A7-9DB0-44FE-A461-E971FB6101D3}" name="Table135814" displayName="Table135814" ref="T1:AE129" totalsRowShown="0" headerRowDxfId="50" dataDxfId="49">
  <autoFilter ref="T1:AE129" xr:uid="{DD4B5A84-3F73-4075-9D72-AF9C5F8234E8}"/>
  <tableColumns count="12">
    <tableColumn id="5" xr3:uid="{D1FE648F-86CC-419A-A66D-8D390B2FF444}" name="SV_PCT" dataDxfId="48"/>
    <tableColumn id="6" xr3:uid="{31DC97A5-67F8-4D5B-91F7-67BADD10B9B1}" name="PDO" dataDxfId="47"/>
    <tableColumn id="9" xr3:uid="{B6364B59-49CB-403F-A2E4-017627EAA456}" name="CF_PCT" dataDxfId="46"/>
    <tableColumn id="12" xr3:uid="{DEDCE290-0FC7-445D-8E4D-3F42339C43A3}" name="FF_PCT" dataDxfId="45"/>
    <tableColumn id="13" xr3:uid="{B6396FB5-9780-4FD4-984D-E4AEA54FC097}" name="XGF" dataDxfId="44"/>
    <tableColumn id="28" xr3:uid="{657AE104-4B54-4E69-BD39-FDCA8A752229}" name="XGFPG" dataDxfId="43">
      <calculatedColumnFormula>Table135814[[#This Row],[XGF]]/Table14713[[#This Row],[GP]]</calculatedColumnFormula>
    </tableColumn>
    <tableColumn id="14" xr3:uid="{3C1E9CE2-656F-4333-8025-8579DF2509EB}" name="XGA" dataDxfId="42"/>
    <tableColumn id="29" xr3:uid="{F8500480-132B-40C1-BFD0-8D7E52C296FA}" name="XGAPG" dataDxfId="41">
      <calculatedColumnFormula>Table135814[[#This Row],[XGA]]/Table14713[[#This Row],[GP]]</calculatedColumnFormula>
    </tableColumn>
    <tableColumn id="24" xr3:uid="{1A4F3E65-1C25-4C04-90BD-E22EACB948F9}" name="HDGF" dataDxfId="40"/>
    <tableColumn id="30" xr3:uid="{3950DB48-2F80-4D82-AE40-68532B199448}" name="HDGFPG" dataDxfId="39">
      <calculatedColumnFormula>Table135814[[#This Row],[HDGF]]/Table14713[[#This Row],[GP]]</calculatedColumnFormula>
    </tableColumn>
    <tableColumn id="26" xr3:uid="{A8EE2CEA-C43D-4F03-B306-A6F4972959FD}" name="HDGA" dataDxfId="38"/>
    <tableColumn id="31" xr3:uid="{5FCEC970-D685-4B4D-B105-36626D02A94E}" name="HDGAPG" dataDxfId="37">
      <calculatedColumnFormula>Table135814[[#This Row],[HDGA]]/Table14713[[#This Row],[GP]]</calculatedColumnFormula>
    </tableColumn>
  </tableColumns>
  <tableStyleInfo name="TableStyleLight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FBCF01F-6CF4-4F1A-9D03-8116DBC344B8}" name="Table5915" displayName="Table5915" ref="AF1:AF129" totalsRowShown="0" headerRowDxfId="36" dataDxfId="35">
  <autoFilter ref="AF1:AF129" xr:uid="{A7A93AB7-4936-4106-8E95-88EAFDDF3BA3}"/>
  <tableColumns count="1">
    <tableColumn id="1" xr3:uid="{4566FD52-75B1-479C-A43B-C412D388AC6A}" name="PIMPG" dataDxfId="34"/>
  </tableColumns>
  <tableStyleInfo name="TableStyleLight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7594416-2965-4E95-A583-A4888C28CB93}" name="Table147" displayName="Table147" ref="A1:S129" totalsRowShown="0">
  <autoFilter ref="A1:S129" xr:uid="{BDB7EEC7-8581-45B6-9785-370026034F50}">
    <filterColumn colId="0">
      <filters>
        <filter val="2024_2025"/>
      </filters>
    </filterColumn>
  </autoFilter>
  <sortState xmlns:xlrd2="http://schemas.microsoft.com/office/spreadsheetml/2017/richdata2" ref="A2:R129">
    <sortCondition ref="A2:A129"/>
    <sortCondition ref="B2:B129"/>
  </sortState>
  <tableColumns count="19">
    <tableColumn id="1" xr3:uid="{06FAFF17-5E8E-4D78-8B11-B5955643CC5B}" name="SEASON"/>
    <tableColumn id="2" xr3:uid="{DF632DC0-D590-4FF5-988B-ED3614582A09}" name="RANK"/>
    <tableColumn id="3" xr3:uid="{2F6081BE-ABFF-4348-B51F-4880DB6A9BD1}" name="TEAM"/>
    <tableColumn id="4" xr3:uid="{B8C2EA2D-870A-49F0-8AF8-25E4857AEF5E}" name="PLAYOFF" dataDxfId="33"/>
    <tableColumn id="5" xr3:uid="{9999FF5E-16DC-4A7D-9799-5DEA73AC7602}" name="AVG_AGE" dataDxfId="32"/>
    <tableColumn id="6" xr3:uid="{5F72FCF7-3AAA-4101-80AE-CEC3BC4C8E67}" name="GP" dataDxfId="31"/>
    <tableColumn id="10" xr3:uid="{C40CC9AB-A135-4068-A7F7-D1BAE4A91435}" name="PTS" dataDxfId="30"/>
    <tableColumn id="35" xr3:uid="{3B57A980-D046-4648-927B-FA74C5BAB34E}" name="PTSPG" dataDxfId="29">
      <calculatedColumnFormula>Table147[[#This Row],[PTS]]/Table147[[#This Row],[GP]]</calculatedColumnFormula>
    </tableColumn>
    <tableColumn id="11" xr3:uid="{3AAF106F-FFD4-4BE6-B1D3-0FB4D2F7032B}" name="PTS_PCT" dataDxfId="28"/>
    <tableColumn id="12" xr3:uid="{EC0804C9-23B4-4D02-A10A-A720BD6E4BF7}" name="GF" dataDxfId="27"/>
    <tableColumn id="36" xr3:uid="{013F44AC-6FF6-410A-8D32-D4DFA4DE9F3A}" name="GFPG" dataDxfId="26">
      <calculatedColumnFormula>Table147[[#This Row],[GF]]/Table147[[#This Row],[GP]]</calculatedColumnFormula>
    </tableColumn>
    <tableColumn id="13" xr3:uid="{4E8D8599-D65F-4755-BC67-B771CB1DE3DB}" name="GA" dataDxfId="25"/>
    <tableColumn id="19" xr3:uid="{B21F994D-AB7D-4022-9960-5E3162CEF6C5}" name="GAPG" dataDxfId="24"/>
    <tableColumn id="40" xr3:uid="{3CF96FB1-16D4-4CF9-8882-E432E97B2CB0}" name="WIN_PROB" dataDxfId="23">
      <calculatedColumnFormula>(Table147[[#This Row],[GF]]^2)/((Table147[[#This Row],[GF]]^2)+(Table147[[#This Row],[GA]]^2))</calculatedColumnFormula>
    </tableColumn>
    <tableColumn id="22" xr3:uid="{55C93B6E-D4B0-4F40-89FA-DB882ABCCE5C}" name="PP_PCT" dataDxfId="22"/>
    <tableColumn id="25" xr3:uid="{59DD7CDC-E25D-42F6-A080-9A1642EDB45E}" name="PK_PCT" dataDxfId="21"/>
    <tableColumn id="37" xr3:uid="{AA46791F-7085-4BAD-9A64-4A76CD36861A}" name="SPEC_TEAMS_INDEX" dataDxfId="20">
      <calculatedColumnFormula>Table147[[#This Row],[PP_PCT]]+Table147[[#This Row],[PK_PCT]]</calculatedColumnFormula>
    </tableColumn>
    <tableColumn id="31" xr3:uid="{39657AF0-2164-44A8-89B5-F2ECA28234CB}" name="S_PCT" dataDxfId="19"/>
    <tableColumn id="39" xr3:uid="{26F39C10-FE74-49B4-8DF7-FE11E7F7B3BA}" name="GAA" dataDxfId="18">
      <calculatedColumnFormula>Table147[[#This Row],[GA]]/Table147[[#This Row],[GP]]</calculatedColumnFormula>
    </tableColumn>
  </tableColumns>
  <tableStyleInfo name="TableStyleLight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0825519-63C9-457E-B8D4-9583DA8C076A}" name="Table1358" displayName="Table1358" ref="T1:AE129" totalsRowShown="0" headerRowDxfId="17" dataDxfId="16">
  <autoFilter ref="T1:AE129" xr:uid="{DD4B5A84-3F73-4075-9D72-AF9C5F8234E8}"/>
  <tableColumns count="12">
    <tableColumn id="5" xr3:uid="{9EF401A1-3E2C-41CD-A2E2-C8D7C5DA7BBA}" name="SV_PCT" dataDxfId="15"/>
    <tableColumn id="6" xr3:uid="{AE873995-5EE2-4D32-9F2C-14CB84B1B8FC}" name="PDO" dataDxfId="14"/>
    <tableColumn id="9" xr3:uid="{ACCC0A3D-BEF1-442A-A9B0-4B215FAD510F}" name="CF_PCT" dataDxfId="13"/>
    <tableColumn id="12" xr3:uid="{B49BA02A-BC61-4589-A441-CA46FA3FCFF4}" name="FF_PCT" dataDxfId="12"/>
    <tableColumn id="13" xr3:uid="{4629F6C4-3AA1-451A-8772-821C8A085C31}" name="XGF" dataDxfId="11"/>
    <tableColumn id="28" xr3:uid="{19869FE7-7BA1-4CC0-88E4-C8300897B0DE}" name="XGFPG" dataDxfId="10">
      <calculatedColumnFormula>Table1358[[#This Row],[XGF]]/Table147[[#This Row],[GP]]</calculatedColumnFormula>
    </tableColumn>
    <tableColumn id="14" xr3:uid="{587910E4-9EB8-4855-9E70-CB1F64210F3E}" name="XGA" dataDxfId="9"/>
    <tableColumn id="29" xr3:uid="{F6A9F8FB-0F41-4257-870E-505374560D5E}" name="XGAPG" dataDxfId="8">
      <calculatedColumnFormula>Table1358[[#This Row],[XGA]]/Table147[[#This Row],[GP]]</calculatedColumnFormula>
    </tableColumn>
    <tableColumn id="24" xr3:uid="{07F1B5FC-7C81-4F04-9FF4-1D31084F42B1}" name="HDGF" dataDxfId="7"/>
    <tableColumn id="30" xr3:uid="{115B129C-6C2C-46BB-863F-3648D6934095}" name="HDGFPG" dataDxfId="6">
      <calculatedColumnFormula>Table1358[[#This Row],[HDGF]]/Table147[[#This Row],[GP]]</calculatedColumnFormula>
    </tableColumn>
    <tableColumn id="26" xr3:uid="{F14CB04F-CAD0-4FC5-BE6B-8BB5169ABE14}" name="HDGA" dataDxfId="5"/>
    <tableColumn id="31" xr3:uid="{75201C97-E677-4D8F-BD40-9659FE575267}" name="HDGAPG" dataDxfId="4">
      <calculatedColumnFormula>Table1358[[#This Row],[HDGA]]/Table147[[#This Row],[GP]]</calculatedColumnFormula>
    </tableColumn>
  </tableColumns>
  <tableStyleInfo name="TableStyleLight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B9308B0-C61C-45CC-8A17-A448E46119C8}" name="Table59" displayName="Table59" ref="AF1:AF129" totalsRowShown="0" headerRowDxfId="3" dataDxfId="2">
  <autoFilter ref="AF1:AF129" xr:uid="{A7A93AB7-4936-4106-8E95-88EAFDDF3BA3}"/>
  <tableColumns count="1">
    <tableColumn id="1" xr3:uid="{395B23AE-DACA-49D8-BFCF-49307BACE67D}" name="PIMPG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77D2A-ABE4-46EA-AA19-E1D254479F3F}">
  <dimension ref="A3:B8"/>
  <sheetViews>
    <sheetView workbookViewId="0">
      <selection activeCell="A3" sqref="A3:B8"/>
    </sheetView>
  </sheetViews>
  <sheetFormatPr defaultRowHeight="14.5" x14ac:dyDescent="0.35"/>
  <cols>
    <col min="1" max="1" width="12.453125" bestFit="1" customWidth="1"/>
    <col min="2" max="2" width="17.08984375" bestFit="1" customWidth="1"/>
  </cols>
  <sheetData>
    <row r="3" spans="1:2" x14ac:dyDescent="0.35">
      <c r="A3" s="14" t="s">
        <v>101</v>
      </c>
      <c r="B3" t="s">
        <v>103</v>
      </c>
    </row>
    <row r="4" spans="1:2" x14ac:dyDescent="0.35">
      <c r="A4" s="15" t="s">
        <v>56</v>
      </c>
      <c r="B4" s="16">
        <v>0.55490624999999993</v>
      </c>
    </row>
    <row r="5" spans="1:2" x14ac:dyDescent="0.35">
      <c r="A5" s="15" t="s">
        <v>89</v>
      </c>
      <c r="B5" s="16">
        <v>0.55762499999999993</v>
      </c>
    </row>
    <row r="6" spans="1:2" x14ac:dyDescent="0.35">
      <c r="A6" s="15" t="s">
        <v>90</v>
      </c>
      <c r="B6" s="16">
        <v>0.55171875000000004</v>
      </c>
    </row>
    <row r="7" spans="1:2" x14ac:dyDescent="0.35">
      <c r="A7" s="15" t="s">
        <v>91</v>
      </c>
      <c r="B7" s="16">
        <v>0.5506875</v>
      </c>
    </row>
    <row r="8" spans="1:2" x14ac:dyDescent="0.35">
      <c r="A8" s="15" t="s">
        <v>102</v>
      </c>
      <c r="B8" s="16">
        <v>0.55373437499999989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B8AE6-2C71-41F1-B7E0-7B487DFE2850}">
  <dimension ref="A1:B5"/>
  <sheetViews>
    <sheetView workbookViewId="0">
      <selection activeCell="K21" sqref="K21"/>
    </sheetView>
  </sheetViews>
  <sheetFormatPr defaultRowHeight="14.5" x14ac:dyDescent="0.35"/>
  <cols>
    <col min="1" max="1" width="13" customWidth="1"/>
    <col min="2" max="2" width="19.26953125" customWidth="1"/>
  </cols>
  <sheetData>
    <row r="1" spans="1:2" x14ac:dyDescent="0.35">
      <c r="A1" t="s">
        <v>0</v>
      </c>
      <c r="B1" t="s">
        <v>104</v>
      </c>
    </row>
    <row r="2" spans="1:2" x14ac:dyDescent="0.35">
      <c r="A2" t="s">
        <v>56</v>
      </c>
      <c r="B2" s="17">
        <v>0.55490624999999993</v>
      </c>
    </row>
    <row r="3" spans="1:2" x14ac:dyDescent="0.35">
      <c r="A3" t="s">
        <v>89</v>
      </c>
      <c r="B3" s="17">
        <v>0.55762499999999993</v>
      </c>
    </row>
    <row r="4" spans="1:2" x14ac:dyDescent="0.35">
      <c r="A4" t="s">
        <v>90</v>
      </c>
      <c r="B4" s="17">
        <v>0.55171875000000004</v>
      </c>
    </row>
    <row r="5" spans="1:2" x14ac:dyDescent="0.35">
      <c r="A5" t="s">
        <v>91</v>
      </c>
      <c r="B5" s="17">
        <v>0.5506875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DB7C5-8353-4983-9F8E-575666EA2815}">
  <dimension ref="A1:BF129"/>
  <sheetViews>
    <sheetView topLeftCell="O104" workbookViewId="0">
      <selection sqref="A1:S129"/>
    </sheetView>
  </sheetViews>
  <sheetFormatPr defaultRowHeight="14.5" x14ac:dyDescent="0.35"/>
  <cols>
    <col min="1" max="1" width="9.81640625" bestFit="1" customWidth="1"/>
    <col min="2" max="2" width="7.7265625" bestFit="1" customWidth="1"/>
    <col min="3" max="3" width="19.54296875" bestFit="1" customWidth="1"/>
    <col min="4" max="4" width="12.81640625" style="1" bestFit="1" customWidth="1"/>
    <col min="5" max="5" width="13" style="1" bestFit="1" customWidth="1"/>
    <col min="6" max="6" width="7.7265625" style="1" bestFit="1" customWidth="1"/>
    <col min="7" max="7" width="7" style="1" bestFit="1" customWidth="1"/>
    <col min="8" max="8" width="6.26953125" style="1" bestFit="1" customWidth="1"/>
    <col min="9" max="9" width="7.54296875" style="1" bestFit="1" customWidth="1"/>
    <col min="10" max="10" width="8.453125" style="1" bestFit="1" customWidth="1"/>
    <col min="11" max="11" width="12.54296875" style="1" bestFit="1" customWidth="1"/>
    <col min="12" max="12" width="7.54296875" style="1" bestFit="1" customWidth="1"/>
    <col min="13" max="13" width="7.7265625" style="1" bestFit="1" customWidth="1"/>
    <col min="14" max="14" width="9.453125" style="1" bestFit="1" customWidth="1"/>
    <col min="15" max="15" width="8.54296875" style="1" bestFit="1" customWidth="1"/>
    <col min="16" max="16" width="8.7265625" style="1" customWidth="1"/>
    <col min="17" max="17" width="8.81640625" style="1" bestFit="1" customWidth="1"/>
    <col min="18" max="18" width="10" style="1" bestFit="1" customWidth="1"/>
    <col min="19" max="19" width="10.1796875" style="1" bestFit="1" customWidth="1"/>
    <col min="20" max="20" width="7.54296875" style="1" bestFit="1" customWidth="1"/>
    <col min="21" max="21" width="8.81640625" style="1" bestFit="1" customWidth="1"/>
    <col min="22" max="22" width="11.54296875" style="1" bestFit="1" customWidth="1"/>
    <col min="23" max="23" width="8.54296875" style="1" bestFit="1" customWidth="1"/>
    <col min="24" max="24" width="9.81640625" style="1" bestFit="1" customWidth="1"/>
    <col min="25" max="25" width="11.54296875" style="1" bestFit="1" customWidth="1"/>
    <col min="26" max="26" width="7.7265625" style="1" bestFit="1" customWidth="1"/>
    <col min="27" max="27" width="8.81640625" style="1" bestFit="1" customWidth="1"/>
    <col min="28" max="28" width="10.81640625" style="1" bestFit="1" customWidth="1"/>
    <col min="29" max="29" width="12.1796875" style="1" bestFit="1" customWidth="1"/>
    <col min="30" max="30" width="6.453125" style="1" bestFit="1" customWidth="1"/>
    <col min="31" max="31" width="10.54296875" style="1" bestFit="1" customWidth="1"/>
    <col min="32" max="32" width="7.54296875" style="1" bestFit="1" customWidth="1"/>
    <col min="33" max="33" width="11.54296875" style="1" bestFit="1" customWidth="1"/>
    <col min="34" max="34" width="7.7265625" style="1" bestFit="1" customWidth="1"/>
    <col min="35" max="35" width="10.54296875" style="1" bestFit="1" customWidth="1"/>
    <col min="36" max="36" width="11.54296875" style="1" bestFit="1" customWidth="1"/>
    <col min="37" max="37" width="9" style="1" bestFit="1" customWidth="1"/>
    <col min="38" max="38" width="7.54296875" style="1" bestFit="1" customWidth="1"/>
    <col min="39" max="39" width="7.7265625" style="1" bestFit="1" customWidth="1"/>
    <col min="40" max="40" width="11.7265625" style="1" bestFit="1" customWidth="1"/>
    <col min="41" max="42" width="7.453125" style="1" bestFit="1" customWidth="1"/>
    <col min="43" max="43" width="11.453125" style="1" bestFit="1" customWidth="1"/>
    <col min="44" max="44" width="8.7265625" style="1"/>
    <col min="45" max="45" width="8.81640625" style="1" bestFit="1" customWidth="1"/>
    <col min="46" max="46" width="8.7265625" style="1"/>
    <col min="47" max="47" width="8.81640625" style="1" bestFit="1" customWidth="1"/>
    <col min="48" max="48" width="12.1796875" style="1" bestFit="1" customWidth="1"/>
    <col min="49" max="49" width="8.7265625" style="1"/>
    <col min="50" max="50" width="8.81640625" style="1" bestFit="1" customWidth="1"/>
    <col min="51" max="51" width="12.81640625" style="1" bestFit="1" customWidth="1"/>
    <col min="52" max="52" width="8.81640625" style="1" bestFit="1" customWidth="1"/>
    <col min="53" max="53" width="9" style="1" bestFit="1" customWidth="1"/>
    <col min="54" max="54" width="13" style="1" bestFit="1" customWidth="1"/>
    <col min="55" max="55" width="10.1796875" style="1" bestFit="1" customWidth="1"/>
    <col min="56" max="56" width="13.26953125" style="1" bestFit="1" customWidth="1"/>
    <col min="57" max="57" width="10.26953125" style="1" bestFit="1" customWidth="1"/>
    <col min="58" max="58" width="14.54296875" style="1" bestFit="1" customWidth="1"/>
  </cols>
  <sheetData>
    <row r="1" spans="1:58" x14ac:dyDescent="0.3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30</v>
      </c>
      <c r="AJ1" s="1" t="s">
        <v>32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</row>
    <row r="2" spans="1:58" x14ac:dyDescent="0.35">
      <c r="A2" t="s">
        <v>56</v>
      </c>
      <c r="B2">
        <v>1</v>
      </c>
      <c r="C2" t="s">
        <v>57</v>
      </c>
      <c r="D2" s="1">
        <v>1</v>
      </c>
      <c r="E2" s="1">
        <v>27.8</v>
      </c>
      <c r="F2" s="1">
        <v>82</v>
      </c>
      <c r="G2" s="1">
        <v>58</v>
      </c>
      <c r="H2" s="1">
        <v>18</v>
      </c>
      <c r="I2" s="1">
        <v>6</v>
      </c>
      <c r="J2" s="1">
        <v>122</v>
      </c>
      <c r="K2" s="1">
        <v>0.74399999999999999</v>
      </c>
      <c r="L2" s="1">
        <v>337</v>
      </c>
      <c r="M2" s="1">
        <v>242</v>
      </c>
      <c r="N2" s="1">
        <v>3</v>
      </c>
      <c r="O2" s="1">
        <v>4</v>
      </c>
      <c r="P2" s="1">
        <v>1.07</v>
      </c>
      <c r="Q2" s="1">
        <v>-0.08</v>
      </c>
      <c r="R2" s="1">
        <v>4.1100000000000003</v>
      </c>
      <c r="S2" s="1">
        <v>2.95</v>
      </c>
      <c r="T2" s="1">
        <v>64</v>
      </c>
      <c r="U2" s="1">
        <v>262</v>
      </c>
      <c r="V2" s="1">
        <v>24.43</v>
      </c>
      <c r="W2" s="1">
        <v>53</v>
      </c>
      <c r="X2" s="1">
        <v>259</v>
      </c>
      <c r="Y2" s="1">
        <v>79.540000000000006</v>
      </c>
      <c r="Z2" s="1">
        <v>12</v>
      </c>
      <c r="AA2" s="1">
        <v>8</v>
      </c>
      <c r="AB2" s="1">
        <v>10.1</v>
      </c>
      <c r="AC2" s="1">
        <v>10.8</v>
      </c>
      <c r="AD2" s="1">
        <v>3062</v>
      </c>
      <c r="AE2" s="1">
        <v>11</v>
      </c>
      <c r="AF2" s="1">
        <v>2515</v>
      </c>
      <c r="AG2" s="1">
        <v>0.90400000000000003</v>
      </c>
      <c r="AH2" s="1">
        <v>5</v>
      </c>
      <c r="AI2" s="1">
        <v>7.5</v>
      </c>
      <c r="AJ2" s="1">
        <v>0.91800000000000004</v>
      </c>
      <c r="AK2" s="1">
        <v>99.3</v>
      </c>
      <c r="AL2" s="1">
        <v>3451</v>
      </c>
      <c r="AM2" s="1">
        <v>3799</v>
      </c>
      <c r="AN2" s="1">
        <v>47.6</v>
      </c>
      <c r="AO2" s="1">
        <v>2627</v>
      </c>
      <c r="AP2" s="1">
        <v>2894</v>
      </c>
      <c r="AQ2" s="1">
        <v>47.6</v>
      </c>
      <c r="AR2" s="1">
        <v>169.8</v>
      </c>
      <c r="AS2" s="1">
        <v>186.9</v>
      </c>
      <c r="AT2" s="1">
        <v>154</v>
      </c>
      <c r="AU2" s="1">
        <v>186</v>
      </c>
      <c r="AV2" s="1">
        <v>-15</v>
      </c>
      <c r="AW2" s="1">
        <v>1672</v>
      </c>
      <c r="AX2" s="1">
        <v>1828</v>
      </c>
      <c r="AY2" s="1">
        <v>47.8</v>
      </c>
      <c r="AZ2" s="1">
        <v>517</v>
      </c>
      <c r="BA2" s="1">
        <v>542</v>
      </c>
      <c r="BB2" s="1">
        <v>48.8</v>
      </c>
      <c r="BC2" s="1">
        <v>72</v>
      </c>
      <c r="BD2" s="1">
        <v>12.2</v>
      </c>
      <c r="BE2" s="1">
        <v>61</v>
      </c>
      <c r="BF2" s="1">
        <v>10.1</v>
      </c>
    </row>
    <row r="3" spans="1:58" x14ac:dyDescent="0.35">
      <c r="A3" t="s">
        <v>56</v>
      </c>
      <c r="B3">
        <v>2</v>
      </c>
      <c r="C3" t="s">
        <v>58</v>
      </c>
      <c r="D3" s="1">
        <v>1</v>
      </c>
      <c r="E3" s="1">
        <v>28.2</v>
      </c>
      <c r="F3" s="1">
        <v>82</v>
      </c>
      <c r="G3" s="1">
        <v>56</v>
      </c>
      <c r="H3" s="1">
        <v>19</v>
      </c>
      <c r="I3" s="1">
        <v>7</v>
      </c>
      <c r="J3" s="1">
        <v>119</v>
      </c>
      <c r="K3" s="1">
        <v>0.72599999999999998</v>
      </c>
      <c r="L3" s="1">
        <v>308</v>
      </c>
      <c r="M3" s="1">
        <v>232</v>
      </c>
      <c r="N3" s="1">
        <v>4</v>
      </c>
      <c r="O3" s="1">
        <v>2</v>
      </c>
      <c r="P3" s="1">
        <v>0.91</v>
      </c>
      <c r="Q3" s="1">
        <v>-0.04</v>
      </c>
      <c r="R3" s="1">
        <v>3.76</v>
      </c>
      <c r="S3" s="1">
        <v>2.83</v>
      </c>
      <c r="T3" s="1">
        <v>67</v>
      </c>
      <c r="U3" s="1">
        <v>279</v>
      </c>
      <c r="V3" s="1">
        <v>24.01</v>
      </c>
      <c r="W3" s="1">
        <v>48</v>
      </c>
      <c r="X3" s="1">
        <v>236</v>
      </c>
      <c r="Y3" s="1">
        <v>79.66</v>
      </c>
      <c r="Z3" s="1">
        <v>6</v>
      </c>
      <c r="AA3" s="1">
        <v>5</v>
      </c>
      <c r="AB3" s="1">
        <v>9</v>
      </c>
      <c r="AC3" s="1">
        <v>10.4</v>
      </c>
      <c r="AD3" s="1">
        <v>2874</v>
      </c>
      <c r="AE3" s="1">
        <v>10.7</v>
      </c>
      <c r="AF3" s="1">
        <v>2625</v>
      </c>
      <c r="AG3" s="1">
        <v>0.91200000000000003</v>
      </c>
      <c r="AH3" s="1">
        <v>7</v>
      </c>
      <c r="AI3" s="1">
        <v>7.5</v>
      </c>
      <c r="AJ3" s="1">
        <v>0.91800000000000004</v>
      </c>
      <c r="AK3" s="1">
        <v>99.3</v>
      </c>
      <c r="AL3" s="1">
        <v>3233</v>
      </c>
      <c r="AM3" s="1">
        <v>4349</v>
      </c>
      <c r="AN3" s="1">
        <v>42.6</v>
      </c>
      <c r="AO3" s="1">
        <v>2421</v>
      </c>
      <c r="AP3" s="1">
        <v>3392</v>
      </c>
      <c r="AQ3" s="1">
        <v>41.6</v>
      </c>
      <c r="AR3" s="1">
        <v>152.9</v>
      </c>
      <c r="AS3" s="1">
        <v>237.8</v>
      </c>
      <c r="AT3" s="1">
        <v>143</v>
      </c>
      <c r="AU3" s="1">
        <v>224</v>
      </c>
      <c r="AV3" s="1">
        <v>4</v>
      </c>
      <c r="AW3" s="1">
        <v>1539</v>
      </c>
      <c r="AX3" s="1">
        <v>2185</v>
      </c>
      <c r="AY3" s="1">
        <v>41.3</v>
      </c>
      <c r="AZ3" s="1">
        <v>505</v>
      </c>
      <c r="BA3" s="1">
        <v>743</v>
      </c>
      <c r="BB3" s="1">
        <v>40.5</v>
      </c>
      <c r="BC3" s="1">
        <v>53</v>
      </c>
      <c r="BD3" s="1">
        <v>9.5</v>
      </c>
      <c r="BE3" s="1">
        <v>80</v>
      </c>
      <c r="BF3" s="1">
        <v>9.6999999999999993</v>
      </c>
    </row>
    <row r="4" spans="1:58" x14ac:dyDescent="0.35">
      <c r="A4" t="s">
        <v>56</v>
      </c>
      <c r="B4">
        <v>3</v>
      </c>
      <c r="C4" t="s">
        <v>59</v>
      </c>
      <c r="D4" s="1">
        <v>1</v>
      </c>
      <c r="E4" s="1">
        <v>28.3</v>
      </c>
      <c r="F4" s="1">
        <v>82</v>
      </c>
      <c r="G4" s="1">
        <v>54</v>
      </c>
      <c r="H4" s="1">
        <v>20</v>
      </c>
      <c r="I4" s="1">
        <v>8</v>
      </c>
      <c r="J4" s="1">
        <v>116</v>
      </c>
      <c r="K4" s="1">
        <v>0.70699999999999996</v>
      </c>
      <c r="L4" s="1">
        <v>277</v>
      </c>
      <c r="M4" s="1">
        <v>200</v>
      </c>
      <c r="N4" s="1">
        <v>1</v>
      </c>
      <c r="O4" s="1">
        <v>2</v>
      </c>
      <c r="P4" s="1">
        <v>0.88</v>
      </c>
      <c r="Q4" s="1">
        <v>-0.05</v>
      </c>
      <c r="R4" s="1">
        <v>3.38</v>
      </c>
      <c r="S4" s="1">
        <v>2.44</v>
      </c>
      <c r="T4" s="1">
        <v>51</v>
      </c>
      <c r="U4" s="1">
        <v>232</v>
      </c>
      <c r="V4" s="1">
        <v>21.98</v>
      </c>
      <c r="W4" s="1">
        <v>33</v>
      </c>
      <c r="X4" s="1">
        <v>276</v>
      </c>
      <c r="Y4" s="1">
        <v>88.04</v>
      </c>
      <c r="Z4" s="1">
        <v>4</v>
      </c>
      <c r="AA4" s="1">
        <v>3</v>
      </c>
      <c r="AB4" s="1">
        <v>9.1999999999999993</v>
      </c>
      <c r="AC4" s="1">
        <v>7.7</v>
      </c>
      <c r="AD4" s="1">
        <v>2798</v>
      </c>
      <c r="AE4" s="1">
        <v>9.9</v>
      </c>
      <c r="AF4" s="1">
        <v>2310</v>
      </c>
      <c r="AG4" s="1">
        <v>0.91300000000000003</v>
      </c>
      <c r="AH4" s="1">
        <v>6</v>
      </c>
      <c r="AI4" s="1">
        <v>7.1</v>
      </c>
      <c r="AJ4" s="1">
        <v>0.91700000000000004</v>
      </c>
      <c r="AK4" s="1">
        <v>98.8</v>
      </c>
      <c r="AL4" s="1">
        <v>3339</v>
      </c>
      <c r="AM4" s="1">
        <v>3787</v>
      </c>
      <c r="AN4" s="1">
        <v>46.9</v>
      </c>
      <c r="AO4" s="1">
        <v>2418</v>
      </c>
      <c r="AP4" s="1">
        <v>2787</v>
      </c>
      <c r="AQ4" s="1">
        <v>46.5</v>
      </c>
      <c r="AR4" s="1">
        <v>142.30000000000001</v>
      </c>
      <c r="AS4" s="1">
        <v>173.3</v>
      </c>
      <c r="AT4" s="1">
        <v>127</v>
      </c>
      <c r="AU4" s="1">
        <v>174</v>
      </c>
      <c r="AV4" s="1">
        <v>-16</v>
      </c>
      <c r="AW4" s="1">
        <v>1556</v>
      </c>
      <c r="AX4" s="1">
        <v>1793</v>
      </c>
      <c r="AY4" s="1">
        <v>46.5</v>
      </c>
      <c r="AZ4" s="1">
        <v>520</v>
      </c>
      <c r="BA4" s="1">
        <v>632</v>
      </c>
      <c r="BB4" s="1">
        <v>45.1</v>
      </c>
      <c r="BC4" s="1">
        <v>52</v>
      </c>
      <c r="BD4" s="1">
        <v>9.1</v>
      </c>
      <c r="BE4" s="1">
        <v>78</v>
      </c>
      <c r="BF4" s="1">
        <v>11</v>
      </c>
    </row>
    <row r="5" spans="1:58" x14ac:dyDescent="0.35">
      <c r="A5" t="s">
        <v>56</v>
      </c>
      <c r="B5">
        <v>4</v>
      </c>
      <c r="C5" t="s">
        <v>60</v>
      </c>
      <c r="D5" s="1">
        <v>1</v>
      </c>
      <c r="E5" s="1">
        <v>28.4</v>
      </c>
      <c r="F5" s="1">
        <v>82</v>
      </c>
      <c r="G5" s="1">
        <v>54</v>
      </c>
      <c r="H5" s="1">
        <v>21</v>
      </c>
      <c r="I5" s="1">
        <v>7</v>
      </c>
      <c r="J5" s="1">
        <v>115</v>
      </c>
      <c r="K5" s="1">
        <v>0.70099999999999996</v>
      </c>
      <c r="L5" s="1">
        <v>312</v>
      </c>
      <c r="M5" s="1">
        <v>252</v>
      </c>
      <c r="N5" s="1">
        <v>3</v>
      </c>
      <c r="O5" s="1">
        <v>1</v>
      </c>
      <c r="P5" s="1">
        <v>0.69</v>
      </c>
      <c r="Q5" s="1">
        <v>-0.06</v>
      </c>
      <c r="R5" s="1">
        <v>3.8</v>
      </c>
      <c r="S5" s="1">
        <v>3.07</v>
      </c>
      <c r="T5" s="1">
        <v>63</v>
      </c>
      <c r="U5" s="1">
        <v>231</v>
      </c>
      <c r="V5" s="1">
        <v>27.27</v>
      </c>
      <c r="W5" s="1">
        <v>42</v>
      </c>
      <c r="X5" s="1">
        <v>234</v>
      </c>
      <c r="Y5" s="1">
        <v>82.05</v>
      </c>
      <c r="Z5" s="1">
        <v>13</v>
      </c>
      <c r="AA5" s="1">
        <v>4</v>
      </c>
      <c r="AB5" s="1">
        <v>8.6</v>
      </c>
      <c r="AC5" s="1">
        <v>8.5</v>
      </c>
      <c r="AD5" s="1">
        <v>2835</v>
      </c>
      <c r="AE5" s="1">
        <v>11</v>
      </c>
      <c r="AF5" s="1">
        <v>2511</v>
      </c>
      <c r="AG5" s="1">
        <v>0.9</v>
      </c>
      <c r="AH5" s="1">
        <v>7</v>
      </c>
      <c r="AI5" s="1">
        <v>8.1999999999999993</v>
      </c>
      <c r="AJ5" s="1">
        <v>0.92700000000000005</v>
      </c>
      <c r="AK5" s="1">
        <v>101</v>
      </c>
      <c r="AL5" s="1">
        <v>3281</v>
      </c>
      <c r="AM5" s="1">
        <v>3792</v>
      </c>
      <c r="AN5" s="1">
        <v>46.4</v>
      </c>
      <c r="AO5" s="1">
        <v>2355</v>
      </c>
      <c r="AP5" s="1">
        <v>2774</v>
      </c>
      <c r="AQ5" s="1">
        <v>45.9</v>
      </c>
      <c r="AR5" s="1">
        <v>141.30000000000001</v>
      </c>
      <c r="AS5" s="1">
        <v>169.6</v>
      </c>
      <c r="AT5" s="1">
        <v>138</v>
      </c>
      <c r="AU5" s="1">
        <v>141</v>
      </c>
      <c r="AV5" s="1">
        <v>25</v>
      </c>
      <c r="AW5" s="1">
        <v>1467</v>
      </c>
      <c r="AX5" s="1">
        <v>1840</v>
      </c>
      <c r="AY5" s="1">
        <v>44.4</v>
      </c>
      <c r="AZ5" s="1">
        <v>493</v>
      </c>
      <c r="BA5" s="1">
        <v>620</v>
      </c>
      <c r="BB5" s="1">
        <v>44.3</v>
      </c>
      <c r="BC5" s="1">
        <v>50</v>
      </c>
      <c r="BD5" s="1">
        <v>9.1999999999999993</v>
      </c>
      <c r="BE5" s="1">
        <v>61</v>
      </c>
      <c r="BF5" s="1">
        <v>9</v>
      </c>
    </row>
    <row r="6" spans="1:58" x14ac:dyDescent="0.35">
      <c r="A6" t="s">
        <v>56</v>
      </c>
      <c r="B6">
        <v>5</v>
      </c>
      <c r="C6" t="s">
        <v>61</v>
      </c>
      <c r="D6" s="1">
        <v>1</v>
      </c>
      <c r="E6" s="1">
        <v>29.4</v>
      </c>
      <c r="F6" s="1">
        <v>82</v>
      </c>
      <c r="G6" s="1">
        <v>53</v>
      </c>
      <c r="H6" s="1">
        <v>22</v>
      </c>
      <c r="I6" s="1">
        <v>7</v>
      </c>
      <c r="J6" s="1">
        <v>113</v>
      </c>
      <c r="K6" s="1">
        <v>0.68899999999999995</v>
      </c>
      <c r="L6" s="1">
        <v>305</v>
      </c>
      <c r="M6" s="1">
        <v>249</v>
      </c>
      <c r="N6" s="1">
        <v>5</v>
      </c>
      <c r="O6" s="1">
        <v>4</v>
      </c>
      <c r="P6" s="1">
        <v>0.68</v>
      </c>
      <c r="Q6" s="1">
        <v>-0.02</v>
      </c>
      <c r="R6" s="1">
        <v>3.72</v>
      </c>
      <c r="S6" s="1">
        <v>3.04</v>
      </c>
      <c r="T6" s="1">
        <v>53</v>
      </c>
      <c r="U6" s="1">
        <v>258</v>
      </c>
      <c r="V6" s="1">
        <v>20.54</v>
      </c>
      <c r="W6" s="1">
        <v>63</v>
      </c>
      <c r="X6" s="1">
        <v>264</v>
      </c>
      <c r="Y6" s="1">
        <v>76.14</v>
      </c>
      <c r="Z6" s="1">
        <v>2</v>
      </c>
      <c r="AA6" s="1">
        <v>5</v>
      </c>
      <c r="AB6" s="1">
        <v>10.8</v>
      </c>
      <c r="AC6" s="1">
        <v>10.8</v>
      </c>
      <c r="AD6" s="1">
        <v>2666</v>
      </c>
      <c r="AE6" s="1">
        <v>11.4</v>
      </c>
      <c r="AF6" s="1">
        <v>2577</v>
      </c>
      <c r="AG6" s="1">
        <v>0.90300000000000002</v>
      </c>
      <c r="AH6" s="1">
        <v>3</v>
      </c>
      <c r="AI6" s="1">
        <v>8.6</v>
      </c>
      <c r="AJ6" s="1">
        <v>0.91</v>
      </c>
      <c r="AK6" s="1">
        <v>99.7</v>
      </c>
      <c r="AL6" s="1">
        <v>3118</v>
      </c>
      <c r="AM6" s="1">
        <v>3977</v>
      </c>
      <c r="AN6" s="1">
        <v>43.9</v>
      </c>
      <c r="AO6" s="1">
        <v>2346</v>
      </c>
      <c r="AP6" s="1">
        <v>3052</v>
      </c>
      <c r="AQ6" s="1">
        <v>43.5</v>
      </c>
      <c r="AR6" s="1">
        <v>148.6</v>
      </c>
      <c r="AS6" s="1">
        <v>206.2</v>
      </c>
      <c r="AT6" s="1">
        <v>157</v>
      </c>
      <c r="AU6" s="1">
        <v>221</v>
      </c>
      <c r="AV6" s="1">
        <v>-6</v>
      </c>
      <c r="AW6" s="1">
        <v>1542</v>
      </c>
      <c r="AX6" s="1">
        <v>1972</v>
      </c>
      <c r="AY6" s="1">
        <v>43.9</v>
      </c>
      <c r="AZ6" s="1">
        <v>480</v>
      </c>
      <c r="BA6" s="1">
        <v>627</v>
      </c>
      <c r="BB6" s="1">
        <v>43.4</v>
      </c>
      <c r="BC6" s="1">
        <v>66</v>
      </c>
      <c r="BD6" s="1">
        <v>12.1</v>
      </c>
      <c r="BE6" s="1">
        <v>95</v>
      </c>
      <c r="BF6" s="1">
        <v>13.2</v>
      </c>
    </row>
    <row r="7" spans="1:58" x14ac:dyDescent="0.35">
      <c r="A7" t="s">
        <v>56</v>
      </c>
      <c r="B7">
        <v>6</v>
      </c>
      <c r="C7" t="s">
        <v>62</v>
      </c>
      <c r="D7" s="1">
        <v>1</v>
      </c>
      <c r="E7" s="1">
        <v>28.8</v>
      </c>
      <c r="F7" s="1">
        <v>82</v>
      </c>
      <c r="G7" s="1">
        <v>50</v>
      </c>
      <c r="H7" s="1">
        <v>21</v>
      </c>
      <c r="I7" s="1">
        <v>11</v>
      </c>
      <c r="J7" s="1">
        <v>111</v>
      </c>
      <c r="K7" s="1">
        <v>0.67700000000000005</v>
      </c>
      <c r="L7" s="1">
        <v>291</v>
      </c>
      <c r="M7" s="1">
        <v>206</v>
      </c>
      <c r="N7" s="1">
        <v>2</v>
      </c>
      <c r="O7" s="1">
        <v>2</v>
      </c>
      <c r="P7" s="1">
        <v>0.99</v>
      </c>
      <c r="Q7" s="1">
        <v>-0.05</v>
      </c>
      <c r="R7" s="1">
        <v>3.55</v>
      </c>
      <c r="S7" s="1">
        <v>2.5099999999999998</v>
      </c>
      <c r="T7" s="1">
        <v>54</v>
      </c>
      <c r="U7" s="1">
        <v>236</v>
      </c>
      <c r="V7" s="1">
        <v>22.88</v>
      </c>
      <c r="W7" s="1">
        <v>42</v>
      </c>
      <c r="X7" s="1">
        <v>250</v>
      </c>
      <c r="Y7" s="1">
        <v>83.2</v>
      </c>
      <c r="Z7" s="1">
        <v>7</v>
      </c>
      <c r="AA7" s="1">
        <v>3</v>
      </c>
      <c r="AB7" s="1">
        <v>9.1</v>
      </c>
      <c r="AC7" s="1">
        <v>8.6</v>
      </c>
      <c r="AD7" s="1">
        <v>2908</v>
      </c>
      <c r="AE7" s="1">
        <v>10</v>
      </c>
      <c r="AF7" s="1">
        <v>2374</v>
      </c>
      <c r="AG7" s="1">
        <v>0.91300000000000003</v>
      </c>
      <c r="AH7" s="1">
        <v>11</v>
      </c>
      <c r="AI7" s="1">
        <v>8.4</v>
      </c>
      <c r="AJ7" s="1">
        <v>0.92</v>
      </c>
      <c r="AK7" s="1">
        <v>100.4</v>
      </c>
      <c r="AL7" s="1">
        <v>3097</v>
      </c>
      <c r="AM7" s="1">
        <v>3788</v>
      </c>
      <c r="AN7" s="1">
        <v>45</v>
      </c>
      <c r="AO7" s="1">
        <v>2313</v>
      </c>
      <c r="AP7" s="1">
        <v>2870</v>
      </c>
      <c r="AQ7" s="1">
        <v>44.6</v>
      </c>
      <c r="AR7" s="1">
        <v>153.9</v>
      </c>
      <c r="AS7" s="1">
        <v>193</v>
      </c>
      <c r="AT7" s="1">
        <v>151</v>
      </c>
      <c r="AU7" s="1">
        <v>180</v>
      </c>
      <c r="AV7" s="1">
        <v>10</v>
      </c>
      <c r="AW7" s="1">
        <v>1571</v>
      </c>
      <c r="AX7" s="1">
        <v>1940</v>
      </c>
      <c r="AY7" s="1">
        <v>44.7</v>
      </c>
      <c r="AZ7" s="1">
        <v>531</v>
      </c>
      <c r="BA7" s="1">
        <v>624</v>
      </c>
      <c r="BB7" s="1">
        <v>46</v>
      </c>
      <c r="BC7" s="1">
        <v>60</v>
      </c>
      <c r="BD7" s="1">
        <v>10.199999999999999</v>
      </c>
      <c r="BE7" s="1">
        <v>72</v>
      </c>
      <c r="BF7" s="1">
        <v>10.3</v>
      </c>
    </row>
    <row r="8" spans="1:58" x14ac:dyDescent="0.35">
      <c r="A8" t="s">
        <v>56</v>
      </c>
      <c r="B8">
        <v>7</v>
      </c>
      <c r="C8" t="s">
        <v>63</v>
      </c>
      <c r="D8" s="1">
        <v>1</v>
      </c>
      <c r="E8" s="1">
        <v>29.6</v>
      </c>
      <c r="F8" s="1">
        <v>82</v>
      </c>
      <c r="G8" s="1">
        <v>51</v>
      </c>
      <c r="H8" s="1">
        <v>23</v>
      </c>
      <c r="I8" s="1">
        <v>8</v>
      </c>
      <c r="J8" s="1">
        <v>110</v>
      </c>
      <c r="K8" s="1">
        <v>0.67100000000000004</v>
      </c>
      <c r="L8" s="1">
        <v>285</v>
      </c>
      <c r="M8" s="1">
        <v>228</v>
      </c>
      <c r="N8" s="1">
        <v>2</v>
      </c>
      <c r="O8" s="1">
        <v>5</v>
      </c>
      <c r="P8" s="1">
        <v>0.64</v>
      </c>
      <c r="Q8" s="1">
        <v>-0.02</v>
      </c>
      <c r="R8" s="1">
        <v>3.48</v>
      </c>
      <c r="S8" s="1">
        <v>2.78</v>
      </c>
      <c r="T8" s="1">
        <v>62</v>
      </c>
      <c r="U8" s="1">
        <v>259</v>
      </c>
      <c r="V8" s="1">
        <v>23.94</v>
      </c>
      <c r="W8" s="1">
        <v>49</v>
      </c>
      <c r="X8" s="1">
        <v>252</v>
      </c>
      <c r="Y8" s="1">
        <v>80.56</v>
      </c>
      <c r="Z8" s="1">
        <v>7</v>
      </c>
      <c r="AA8" s="1">
        <v>5</v>
      </c>
      <c r="AB8" s="1">
        <v>11</v>
      </c>
      <c r="AC8" s="1">
        <v>11.4</v>
      </c>
      <c r="AD8" s="1">
        <v>2535</v>
      </c>
      <c r="AE8" s="1">
        <v>11.2</v>
      </c>
      <c r="AF8" s="1">
        <v>2441</v>
      </c>
      <c r="AG8" s="1">
        <v>0.90700000000000003</v>
      </c>
      <c r="AH8" s="1">
        <v>3</v>
      </c>
      <c r="AI8" s="1">
        <v>8.8000000000000007</v>
      </c>
      <c r="AJ8" s="1">
        <v>0.92</v>
      </c>
      <c r="AK8" s="1">
        <v>100.8</v>
      </c>
      <c r="AL8" s="1">
        <v>3707</v>
      </c>
      <c r="AM8" s="1">
        <v>3856</v>
      </c>
      <c r="AN8" s="1">
        <v>49</v>
      </c>
      <c r="AO8" s="1">
        <v>2636</v>
      </c>
      <c r="AP8" s="1">
        <v>2878</v>
      </c>
      <c r="AQ8" s="1">
        <v>47.8</v>
      </c>
      <c r="AR8" s="1">
        <v>160.9</v>
      </c>
      <c r="AS8" s="1">
        <v>180.1</v>
      </c>
      <c r="AT8" s="1">
        <v>171</v>
      </c>
      <c r="AU8" s="1">
        <v>171</v>
      </c>
      <c r="AV8" s="1">
        <v>19</v>
      </c>
      <c r="AW8" s="1">
        <v>1763</v>
      </c>
      <c r="AX8" s="1">
        <v>1817</v>
      </c>
      <c r="AY8" s="1">
        <v>49.2</v>
      </c>
      <c r="AZ8" s="1">
        <v>618</v>
      </c>
      <c r="BA8" s="1">
        <v>622</v>
      </c>
      <c r="BB8" s="1">
        <v>49.8</v>
      </c>
      <c r="BC8" s="1">
        <v>67</v>
      </c>
      <c r="BD8" s="1">
        <v>9.8000000000000007</v>
      </c>
      <c r="BE8" s="1">
        <v>63</v>
      </c>
      <c r="BF8" s="1">
        <v>9.1999999999999993</v>
      </c>
    </row>
    <row r="9" spans="1:58" x14ac:dyDescent="0.35">
      <c r="A9" t="s">
        <v>56</v>
      </c>
      <c r="B9">
        <v>8</v>
      </c>
      <c r="C9" t="s">
        <v>64</v>
      </c>
      <c r="D9" s="1">
        <v>1</v>
      </c>
      <c r="E9" s="1">
        <v>26.7</v>
      </c>
      <c r="F9" s="1">
        <v>82</v>
      </c>
      <c r="G9" s="1">
        <v>52</v>
      </c>
      <c r="H9" s="1">
        <v>24</v>
      </c>
      <c r="I9" s="1">
        <v>6</v>
      </c>
      <c r="J9" s="1">
        <v>110</v>
      </c>
      <c r="K9" s="1">
        <v>0.67100000000000004</v>
      </c>
      <c r="L9" s="1">
        <v>250</v>
      </c>
      <c r="M9" s="1">
        <v>204</v>
      </c>
      <c r="N9" s="1">
        <v>4</v>
      </c>
      <c r="O9" s="1">
        <v>3</v>
      </c>
      <c r="P9" s="1">
        <v>0.54</v>
      </c>
      <c r="Q9" s="1">
        <v>-0.03</v>
      </c>
      <c r="R9" s="1">
        <v>3.05</v>
      </c>
      <c r="S9" s="1">
        <v>2.4900000000000002</v>
      </c>
      <c r="T9" s="1">
        <v>55</v>
      </c>
      <c r="U9" s="1">
        <v>218</v>
      </c>
      <c r="V9" s="1">
        <v>25.23</v>
      </c>
      <c r="W9" s="1">
        <v>40</v>
      </c>
      <c r="X9" s="1">
        <v>226</v>
      </c>
      <c r="Y9" s="1">
        <v>82.3</v>
      </c>
      <c r="Z9" s="1">
        <v>8</v>
      </c>
      <c r="AA9" s="1">
        <v>2</v>
      </c>
      <c r="AB9" s="1">
        <v>8.1999999999999993</v>
      </c>
      <c r="AC9" s="1">
        <v>8.1999999999999993</v>
      </c>
      <c r="AD9" s="1">
        <v>2392</v>
      </c>
      <c r="AE9" s="1">
        <v>10.5</v>
      </c>
      <c r="AF9" s="1">
        <v>2528</v>
      </c>
      <c r="AG9" s="1">
        <v>0.91900000000000004</v>
      </c>
      <c r="AH9" s="1">
        <v>9</v>
      </c>
      <c r="AI9" s="1">
        <v>6.8</v>
      </c>
      <c r="AJ9" s="1">
        <v>0.92300000000000004</v>
      </c>
      <c r="AK9" s="1">
        <v>99.1</v>
      </c>
      <c r="AL9" s="1">
        <v>3820</v>
      </c>
      <c r="AM9" s="1">
        <v>3185</v>
      </c>
      <c r="AN9" s="1">
        <v>54.5</v>
      </c>
      <c r="AO9" s="1">
        <v>3048</v>
      </c>
      <c r="AP9" s="1">
        <v>2412</v>
      </c>
      <c r="AQ9" s="1">
        <v>55.8</v>
      </c>
      <c r="AR9" s="1">
        <v>199.5</v>
      </c>
      <c r="AS9" s="1">
        <v>143.5</v>
      </c>
      <c r="AT9" s="1">
        <v>172</v>
      </c>
      <c r="AU9" s="1">
        <v>144</v>
      </c>
      <c r="AV9" s="1">
        <v>-28</v>
      </c>
      <c r="AW9" s="1">
        <v>1839</v>
      </c>
      <c r="AX9" s="1">
        <v>1476</v>
      </c>
      <c r="AY9" s="1">
        <v>55.5</v>
      </c>
      <c r="AZ9" s="1">
        <v>588</v>
      </c>
      <c r="BA9" s="1">
        <v>453</v>
      </c>
      <c r="BB9" s="1">
        <v>56.5</v>
      </c>
      <c r="BC9" s="1">
        <v>80</v>
      </c>
      <c r="BD9" s="1">
        <v>12</v>
      </c>
      <c r="BE9" s="1">
        <v>71</v>
      </c>
      <c r="BF9" s="1">
        <v>13.5</v>
      </c>
    </row>
    <row r="10" spans="1:58" x14ac:dyDescent="0.35">
      <c r="A10" t="s">
        <v>56</v>
      </c>
      <c r="B10">
        <v>9</v>
      </c>
      <c r="C10" t="s">
        <v>65</v>
      </c>
      <c r="D10" s="1">
        <v>1</v>
      </c>
      <c r="E10" s="1">
        <v>28.8</v>
      </c>
      <c r="F10" s="1">
        <v>82</v>
      </c>
      <c r="G10" s="1">
        <v>49</v>
      </c>
      <c r="H10" s="1">
        <v>22</v>
      </c>
      <c r="I10" s="1">
        <v>11</v>
      </c>
      <c r="J10" s="1">
        <v>109</v>
      </c>
      <c r="K10" s="1">
        <v>0.66500000000000004</v>
      </c>
      <c r="L10" s="1">
        <v>309</v>
      </c>
      <c r="M10" s="1">
        <v>239</v>
      </c>
      <c r="N10" s="1">
        <v>2</v>
      </c>
      <c r="O10" s="1">
        <v>3</v>
      </c>
      <c r="P10" s="1">
        <v>0.79</v>
      </c>
      <c r="Q10" s="1">
        <v>-0.05</v>
      </c>
      <c r="R10" s="1">
        <v>3.77</v>
      </c>
      <c r="S10" s="1">
        <v>2.91</v>
      </c>
      <c r="T10" s="1">
        <v>65</v>
      </c>
      <c r="U10" s="1">
        <v>241</v>
      </c>
      <c r="V10" s="1">
        <v>26.97</v>
      </c>
      <c r="W10" s="1">
        <v>35</v>
      </c>
      <c r="X10" s="1">
        <v>220</v>
      </c>
      <c r="Y10" s="1">
        <v>84.09</v>
      </c>
      <c r="Z10" s="1">
        <v>9</v>
      </c>
      <c r="AA10" s="1">
        <v>5</v>
      </c>
      <c r="AB10" s="1">
        <v>7.5</v>
      </c>
      <c r="AC10" s="1">
        <v>7.9</v>
      </c>
      <c r="AD10" s="1">
        <v>2492</v>
      </c>
      <c r="AE10" s="1">
        <v>12.4</v>
      </c>
      <c r="AF10" s="1">
        <v>2591</v>
      </c>
      <c r="AG10" s="1">
        <v>0.90800000000000003</v>
      </c>
      <c r="AH10" s="1">
        <v>4</v>
      </c>
      <c r="AI10" s="1">
        <v>9</v>
      </c>
      <c r="AJ10" s="1">
        <v>0.94</v>
      </c>
      <c r="AK10" s="1">
        <v>103</v>
      </c>
      <c r="AL10" s="1">
        <v>3597</v>
      </c>
      <c r="AM10" s="1">
        <v>3387</v>
      </c>
      <c r="AN10" s="1">
        <v>51.5</v>
      </c>
      <c r="AO10" s="1">
        <v>2723</v>
      </c>
      <c r="AP10" s="1">
        <v>2504</v>
      </c>
      <c r="AQ10" s="1">
        <v>52.1</v>
      </c>
      <c r="AR10" s="1">
        <v>190.6</v>
      </c>
      <c r="AS10" s="1">
        <v>164.2</v>
      </c>
      <c r="AT10" s="1">
        <v>199</v>
      </c>
      <c r="AU10" s="1">
        <v>114</v>
      </c>
      <c r="AV10" s="1">
        <v>59</v>
      </c>
      <c r="AW10" s="1">
        <v>1892</v>
      </c>
      <c r="AX10" s="1">
        <v>1767</v>
      </c>
      <c r="AY10" s="1">
        <v>51.7</v>
      </c>
      <c r="AZ10" s="1">
        <v>582</v>
      </c>
      <c r="BA10" s="1">
        <v>611</v>
      </c>
      <c r="BB10" s="1">
        <v>48.8</v>
      </c>
      <c r="BC10" s="1">
        <v>65</v>
      </c>
      <c r="BD10" s="1">
        <v>10</v>
      </c>
      <c r="BE10" s="1">
        <v>49</v>
      </c>
      <c r="BF10" s="1">
        <v>7.4</v>
      </c>
    </row>
    <row r="11" spans="1:58" x14ac:dyDescent="0.35">
      <c r="A11" t="s">
        <v>56</v>
      </c>
      <c r="B11">
        <v>10</v>
      </c>
      <c r="C11" t="s">
        <v>66</v>
      </c>
      <c r="D11" s="1">
        <v>1</v>
      </c>
      <c r="E11" s="1">
        <v>28.5</v>
      </c>
      <c r="F11" s="1">
        <v>82</v>
      </c>
      <c r="G11" s="1">
        <v>51</v>
      </c>
      <c r="H11" s="1">
        <v>26</v>
      </c>
      <c r="I11" s="1">
        <v>5</v>
      </c>
      <c r="J11" s="1">
        <v>107</v>
      </c>
      <c r="K11" s="1">
        <v>0.65200000000000002</v>
      </c>
      <c r="L11" s="1">
        <v>253</v>
      </c>
      <c r="M11" s="1">
        <v>218</v>
      </c>
      <c r="N11" s="1">
        <v>2</v>
      </c>
      <c r="O11" s="1">
        <v>2</v>
      </c>
      <c r="P11" s="1">
        <v>0.38</v>
      </c>
      <c r="Q11" s="1">
        <v>-0.05</v>
      </c>
      <c r="R11" s="1">
        <v>3.09</v>
      </c>
      <c r="S11" s="1">
        <v>2.66</v>
      </c>
      <c r="T11" s="1">
        <v>50</v>
      </c>
      <c r="U11" s="1">
        <v>236</v>
      </c>
      <c r="V11" s="1">
        <v>21.19</v>
      </c>
      <c r="W11" s="1">
        <v>49</v>
      </c>
      <c r="X11" s="1">
        <v>262</v>
      </c>
      <c r="Y11" s="1">
        <v>81.3</v>
      </c>
      <c r="Z11" s="1">
        <v>5</v>
      </c>
      <c r="AA11" s="1">
        <v>6</v>
      </c>
      <c r="AB11" s="1">
        <v>9.9</v>
      </c>
      <c r="AC11" s="1">
        <v>9.4</v>
      </c>
      <c r="AD11" s="1">
        <v>2962</v>
      </c>
      <c r="AE11" s="1">
        <v>8.5</v>
      </c>
      <c r="AF11" s="1">
        <v>2354</v>
      </c>
      <c r="AG11" s="1">
        <v>0.90700000000000003</v>
      </c>
      <c r="AH11" s="1">
        <v>4</v>
      </c>
      <c r="AI11" s="1">
        <v>8.9</v>
      </c>
      <c r="AJ11" s="1">
        <v>0.93400000000000005</v>
      </c>
      <c r="AK11" s="1">
        <v>102.3</v>
      </c>
      <c r="AL11" s="1">
        <v>3550</v>
      </c>
      <c r="AM11" s="1">
        <v>3896</v>
      </c>
      <c r="AN11" s="1">
        <v>47.7</v>
      </c>
      <c r="AO11" s="1">
        <v>2573</v>
      </c>
      <c r="AP11" s="1">
        <v>2843</v>
      </c>
      <c r="AQ11" s="1">
        <v>47.5</v>
      </c>
      <c r="AR11" s="1">
        <v>169.7</v>
      </c>
      <c r="AS11" s="1">
        <v>163.4</v>
      </c>
      <c r="AT11" s="1">
        <v>174</v>
      </c>
      <c r="AU11" s="1">
        <v>135</v>
      </c>
      <c r="AV11" s="1">
        <v>33</v>
      </c>
      <c r="AW11" s="1">
        <v>1706</v>
      </c>
      <c r="AX11" s="1">
        <v>1819</v>
      </c>
      <c r="AY11" s="1">
        <v>48.4</v>
      </c>
      <c r="AZ11" s="1">
        <v>615</v>
      </c>
      <c r="BA11" s="1">
        <v>634</v>
      </c>
      <c r="BB11" s="1">
        <v>49.2</v>
      </c>
      <c r="BC11" s="1">
        <v>81</v>
      </c>
      <c r="BD11" s="1">
        <v>11.6</v>
      </c>
      <c r="BE11" s="1">
        <v>76</v>
      </c>
      <c r="BF11" s="1">
        <v>10.7</v>
      </c>
    </row>
    <row r="12" spans="1:58" x14ac:dyDescent="0.35">
      <c r="A12" t="s">
        <v>56</v>
      </c>
      <c r="B12">
        <v>11</v>
      </c>
      <c r="C12" t="s">
        <v>67</v>
      </c>
      <c r="D12" s="1">
        <v>1</v>
      </c>
      <c r="E12" s="1">
        <v>29.1</v>
      </c>
      <c r="F12" s="1">
        <v>82</v>
      </c>
      <c r="G12" s="1">
        <v>49</v>
      </c>
      <c r="H12" s="1">
        <v>27</v>
      </c>
      <c r="I12" s="1">
        <v>6</v>
      </c>
      <c r="J12" s="1">
        <v>104</v>
      </c>
      <c r="K12" s="1">
        <v>0.63400000000000001</v>
      </c>
      <c r="L12" s="1">
        <v>285</v>
      </c>
      <c r="M12" s="1">
        <v>251</v>
      </c>
      <c r="N12" s="1">
        <v>5</v>
      </c>
      <c r="O12" s="1">
        <v>1</v>
      </c>
      <c r="P12" s="1">
        <v>0.46</v>
      </c>
      <c r="Q12" s="1">
        <v>0</v>
      </c>
      <c r="R12" s="1">
        <v>3.48</v>
      </c>
      <c r="S12" s="1">
        <v>3.06</v>
      </c>
      <c r="T12" s="1">
        <v>61</v>
      </c>
      <c r="U12" s="1">
        <v>235</v>
      </c>
      <c r="V12" s="1">
        <v>25.96</v>
      </c>
      <c r="W12" s="1">
        <v>52</v>
      </c>
      <c r="X12" s="1">
        <v>252</v>
      </c>
      <c r="Y12" s="1">
        <v>79.37</v>
      </c>
      <c r="Z12" s="1">
        <v>11</v>
      </c>
      <c r="AA12" s="1">
        <v>6</v>
      </c>
      <c r="AB12" s="1">
        <v>8.1</v>
      </c>
      <c r="AC12" s="1">
        <v>7.1</v>
      </c>
      <c r="AD12" s="1">
        <v>2790</v>
      </c>
      <c r="AE12" s="1">
        <v>10.199999999999999</v>
      </c>
      <c r="AF12" s="1">
        <v>2647</v>
      </c>
      <c r="AG12" s="1">
        <v>0.90500000000000003</v>
      </c>
      <c r="AH12" s="1">
        <v>4</v>
      </c>
      <c r="AI12" s="1">
        <v>8.1</v>
      </c>
      <c r="AJ12" s="1">
        <v>0.91700000000000004</v>
      </c>
      <c r="AK12" s="1">
        <v>99.8</v>
      </c>
      <c r="AL12" s="1">
        <v>3221</v>
      </c>
      <c r="AM12" s="1">
        <v>3409</v>
      </c>
      <c r="AN12" s="1">
        <v>48.6</v>
      </c>
      <c r="AO12" s="1">
        <v>2236</v>
      </c>
      <c r="AP12" s="1">
        <v>2471</v>
      </c>
      <c r="AQ12" s="1">
        <v>47.5</v>
      </c>
      <c r="AR12" s="1">
        <v>128.9</v>
      </c>
      <c r="AS12" s="1">
        <v>145.19999999999999</v>
      </c>
      <c r="AT12" s="1">
        <v>129</v>
      </c>
      <c r="AU12" s="1">
        <v>145</v>
      </c>
      <c r="AV12" s="1">
        <v>0</v>
      </c>
      <c r="AW12" s="1">
        <v>1456</v>
      </c>
      <c r="AX12" s="1">
        <v>1600</v>
      </c>
      <c r="AY12" s="1">
        <v>47.6</v>
      </c>
      <c r="AZ12" s="1">
        <v>497</v>
      </c>
      <c r="BA12" s="1">
        <v>542</v>
      </c>
      <c r="BB12" s="1">
        <v>47.8</v>
      </c>
      <c r="BC12" s="1">
        <v>51</v>
      </c>
      <c r="BD12" s="1">
        <v>9.3000000000000007</v>
      </c>
      <c r="BE12" s="1">
        <v>48</v>
      </c>
      <c r="BF12" s="1">
        <v>8.1</v>
      </c>
    </row>
    <row r="13" spans="1:58" x14ac:dyDescent="0.35">
      <c r="A13" t="s">
        <v>56</v>
      </c>
      <c r="B13">
        <v>12</v>
      </c>
      <c r="C13" t="s">
        <v>68</v>
      </c>
      <c r="D13" s="1">
        <v>1</v>
      </c>
      <c r="E13" s="1">
        <v>29.7</v>
      </c>
      <c r="F13" s="1">
        <v>82</v>
      </c>
      <c r="G13" s="1">
        <v>46</v>
      </c>
      <c r="H13" s="1">
        <v>25</v>
      </c>
      <c r="I13" s="1">
        <v>11</v>
      </c>
      <c r="J13" s="1">
        <v>103</v>
      </c>
      <c r="K13" s="1">
        <v>0.628</v>
      </c>
      <c r="L13" s="1">
        <v>269</v>
      </c>
      <c r="M13" s="1">
        <v>222</v>
      </c>
      <c r="N13" s="1">
        <v>3</v>
      </c>
      <c r="O13" s="1">
        <v>7</v>
      </c>
      <c r="P13" s="1">
        <v>0.49</v>
      </c>
      <c r="Q13" s="1">
        <v>-0.04</v>
      </c>
      <c r="R13" s="1">
        <v>3.28</v>
      </c>
      <c r="S13" s="1">
        <v>2.71</v>
      </c>
      <c r="T13" s="1">
        <v>50</v>
      </c>
      <c r="U13" s="1">
        <v>248</v>
      </c>
      <c r="V13" s="1">
        <v>20.16</v>
      </c>
      <c r="W13" s="1">
        <v>33</v>
      </c>
      <c r="X13" s="1">
        <v>212</v>
      </c>
      <c r="Y13" s="1">
        <v>84.43</v>
      </c>
      <c r="Z13" s="1">
        <v>3</v>
      </c>
      <c r="AA13" s="1">
        <v>8</v>
      </c>
      <c r="AB13" s="1">
        <v>6.9</v>
      </c>
      <c r="AC13" s="1">
        <v>8.4</v>
      </c>
      <c r="AD13" s="1">
        <v>2849</v>
      </c>
      <c r="AE13" s="1">
        <v>9.4</v>
      </c>
      <c r="AF13" s="1">
        <v>2576</v>
      </c>
      <c r="AG13" s="1">
        <v>0.91400000000000003</v>
      </c>
      <c r="AH13" s="1">
        <v>7</v>
      </c>
      <c r="AI13" s="1">
        <v>7.6</v>
      </c>
      <c r="AJ13" s="1">
        <v>0.91400000000000003</v>
      </c>
      <c r="AK13" s="1">
        <v>99</v>
      </c>
      <c r="AL13" s="1">
        <v>3368</v>
      </c>
      <c r="AM13" s="1">
        <v>3582</v>
      </c>
      <c r="AN13" s="1">
        <v>48.5</v>
      </c>
      <c r="AO13" s="1">
        <v>2583</v>
      </c>
      <c r="AP13" s="1">
        <v>2854</v>
      </c>
      <c r="AQ13" s="1">
        <v>47.5</v>
      </c>
      <c r="AR13" s="1">
        <v>158.5</v>
      </c>
      <c r="AS13" s="1">
        <v>187</v>
      </c>
      <c r="AT13" s="1">
        <v>158</v>
      </c>
      <c r="AU13" s="1">
        <v>200</v>
      </c>
      <c r="AV13" s="1">
        <v>-14</v>
      </c>
      <c r="AW13" s="1">
        <v>1575</v>
      </c>
      <c r="AX13" s="1">
        <v>1788</v>
      </c>
      <c r="AY13" s="1">
        <v>46.8</v>
      </c>
      <c r="AZ13" s="1">
        <v>454</v>
      </c>
      <c r="BA13" s="1">
        <v>558</v>
      </c>
      <c r="BB13" s="1">
        <v>44.9</v>
      </c>
      <c r="BC13" s="1">
        <v>66</v>
      </c>
      <c r="BD13" s="1">
        <v>12.7</v>
      </c>
      <c r="BE13" s="1">
        <v>82</v>
      </c>
      <c r="BF13" s="1">
        <v>12.8</v>
      </c>
    </row>
    <row r="14" spans="1:58" x14ac:dyDescent="0.35">
      <c r="A14" t="s">
        <v>56</v>
      </c>
      <c r="B14">
        <v>13</v>
      </c>
      <c r="C14" t="s">
        <v>69</v>
      </c>
      <c r="D14" s="1">
        <v>1</v>
      </c>
      <c r="E14" s="1">
        <v>29.5</v>
      </c>
      <c r="F14" s="1">
        <v>82</v>
      </c>
      <c r="G14" s="1">
        <v>44</v>
      </c>
      <c r="H14" s="1">
        <v>26</v>
      </c>
      <c r="I14" s="1">
        <v>12</v>
      </c>
      <c r="J14" s="1">
        <v>100</v>
      </c>
      <c r="K14" s="1">
        <v>0.61</v>
      </c>
      <c r="L14" s="1">
        <v>270</v>
      </c>
      <c r="M14" s="1">
        <v>242</v>
      </c>
      <c r="N14" s="1">
        <v>5</v>
      </c>
      <c r="O14" s="1">
        <v>3</v>
      </c>
      <c r="P14" s="1">
        <v>0.35</v>
      </c>
      <c r="Q14" s="1">
        <v>-0.02</v>
      </c>
      <c r="R14" s="1">
        <v>3.29</v>
      </c>
      <c r="S14" s="1">
        <v>2.95</v>
      </c>
      <c r="T14" s="1">
        <v>48</v>
      </c>
      <c r="U14" s="1">
        <v>256</v>
      </c>
      <c r="V14" s="1">
        <v>18.75</v>
      </c>
      <c r="W14" s="1">
        <v>44</v>
      </c>
      <c r="X14" s="1">
        <v>225</v>
      </c>
      <c r="Y14" s="1">
        <v>80.44</v>
      </c>
      <c r="Z14" s="1">
        <v>8</v>
      </c>
      <c r="AA14" s="1">
        <v>9</v>
      </c>
      <c r="AB14" s="1">
        <v>7.7</v>
      </c>
      <c r="AC14" s="1">
        <v>8.8000000000000007</v>
      </c>
      <c r="AD14" s="1">
        <v>2577</v>
      </c>
      <c r="AE14" s="1">
        <v>10.5</v>
      </c>
      <c r="AF14" s="1">
        <v>2378</v>
      </c>
      <c r="AG14" s="1">
        <v>0.89800000000000002</v>
      </c>
      <c r="AH14" s="1">
        <v>8</v>
      </c>
      <c r="AI14" s="1">
        <v>8.6999999999999993</v>
      </c>
      <c r="AJ14" s="1">
        <v>0.91100000000000003</v>
      </c>
      <c r="AK14" s="1">
        <v>99.8</v>
      </c>
      <c r="AL14" s="1">
        <v>3722</v>
      </c>
      <c r="AM14" s="1">
        <v>3524</v>
      </c>
      <c r="AN14" s="1">
        <v>51.4</v>
      </c>
      <c r="AO14" s="1">
        <v>2818</v>
      </c>
      <c r="AP14" s="1">
        <v>2782</v>
      </c>
      <c r="AQ14" s="1">
        <v>50.3</v>
      </c>
      <c r="AR14" s="1">
        <v>194.1</v>
      </c>
      <c r="AS14" s="1">
        <v>207</v>
      </c>
      <c r="AT14" s="1">
        <v>197</v>
      </c>
      <c r="AU14" s="1">
        <v>204</v>
      </c>
      <c r="AV14" s="1">
        <v>6</v>
      </c>
      <c r="AW14" s="1">
        <v>1971</v>
      </c>
      <c r="AX14" s="1">
        <v>1961</v>
      </c>
      <c r="AY14" s="1">
        <v>50.1</v>
      </c>
      <c r="AZ14" s="1">
        <v>615</v>
      </c>
      <c r="BA14" s="1">
        <v>691</v>
      </c>
      <c r="BB14" s="1">
        <v>47.1</v>
      </c>
      <c r="BC14" s="1">
        <v>65</v>
      </c>
      <c r="BD14" s="1">
        <v>9.6</v>
      </c>
      <c r="BE14" s="1">
        <v>81</v>
      </c>
      <c r="BF14" s="1">
        <v>10.5</v>
      </c>
    </row>
    <row r="15" spans="1:58" x14ac:dyDescent="0.35">
      <c r="A15" t="s">
        <v>56</v>
      </c>
      <c r="B15">
        <v>14</v>
      </c>
      <c r="C15" t="s">
        <v>70</v>
      </c>
      <c r="D15" s="1">
        <v>1</v>
      </c>
      <c r="E15" s="1">
        <v>28</v>
      </c>
      <c r="F15" s="1">
        <v>82</v>
      </c>
      <c r="G15" s="1">
        <v>44</v>
      </c>
      <c r="H15" s="1">
        <v>27</v>
      </c>
      <c r="I15" s="1">
        <v>11</v>
      </c>
      <c r="J15" s="1">
        <v>99</v>
      </c>
      <c r="K15" s="1">
        <v>0.60399999999999998</v>
      </c>
      <c r="L15" s="1">
        <v>235</v>
      </c>
      <c r="M15" s="1">
        <v>232</v>
      </c>
      <c r="N15" s="1">
        <v>4</v>
      </c>
      <c r="O15" s="1">
        <v>4</v>
      </c>
      <c r="P15" s="1">
        <v>0.03</v>
      </c>
      <c r="Q15" s="1">
        <v>-0.01</v>
      </c>
      <c r="R15" s="1">
        <v>2.87</v>
      </c>
      <c r="S15" s="1">
        <v>2.83</v>
      </c>
      <c r="T15" s="1">
        <v>40</v>
      </c>
      <c r="U15" s="1">
        <v>248</v>
      </c>
      <c r="V15" s="1">
        <v>16.13</v>
      </c>
      <c r="W15" s="1">
        <v>53</v>
      </c>
      <c r="X15" s="1">
        <v>227</v>
      </c>
      <c r="Y15" s="1">
        <v>76.650000000000006</v>
      </c>
      <c r="Z15" s="1">
        <v>11</v>
      </c>
      <c r="AA15" s="1">
        <v>9</v>
      </c>
      <c r="AB15" s="1">
        <v>7.7</v>
      </c>
      <c r="AC15" s="1">
        <v>8.3000000000000007</v>
      </c>
      <c r="AD15" s="1">
        <v>2865</v>
      </c>
      <c r="AE15" s="1">
        <v>8.1999999999999993</v>
      </c>
      <c r="AF15" s="1">
        <v>2341</v>
      </c>
      <c r="AG15" s="1">
        <v>0.90100000000000002</v>
      </c>
      <c r="AH15" s="1">
        <v>5</v>
      </c>
      <c r="AI15" s="1">
        <v>8.1</v>
      </c>
      <c r="AJ15" s="1">
        <v>0.92</v>
      </c>
      <c r="AK15" s="1">
        <v>100.1</v>
      </c>
      <c r="AL15" s="1">
        <v>3920</v>
      </c>
      <c r="AM15" s="1">
        <v>3734</v>
      </c>
      <c r="AN15" s="1">
        <v>51.2</v>
      </c>
      <c r="AO15" s="1">
        <v>2823</v>
      </c>
      <c r="AP15" s="1">
        <v>2751</v>
      </c>
      <c r="AQ15" s="1">
        <v>50.6</v>
      </c>
      <c r="AR15" s="1">
        <v>168</v>
      </c>
      <c r="AS15" s="1">
        <v>172.8</v>
      </c>
      <c r="AT15" s="1">
        <v>174</v>
      </c>
      <c r="AU15" s="1">
        <v>159</v>
      </c>
      <c r="AV15" s="1">
        <v>20</v>
      </c>
      <c r="AW15" s="1">
        <v>1794</v>
      </c>
      <c r="AX15" s="1">
        <v>1867</v>
      </c>
      <c r="AY15" s="1">
        <v>49</v>
      </c>
      <c r="AZ15" s="1">
        <v>580</v>
      </c>
      <c r="BA15" s="1">
        <v>698</v>
      </c>
      <c r="BB15" s="1">
        <v>45.4</v>
      </c>
      <c r="BC15" s="1">
        <v>57</v>
      </c>
      <c r="BD15" s="1">
        <v>8.9</v>
      </c>
      <c r="BE15" s="1">
        <v>63</v>
      </c>
      <c r="BF15" s="1">
        <v>8.3000000000000007</v>
      </c>
    </row>
    <row r="16" spans="1:58" x14ac:dyDescent="0.35">
      <c r="A16" t="s">
        <v>56</v>
      </c>
      <c r="B16">
        <v>15</v>
      </c>
      <c r="C16" t="s">
        <v>71</v>
      </c>
      <c r="D16" s="1">
        <v>1</v>
      </c>
      <c r="E16" s="1">
        <v>29.4</v>
      </c>
      <c r="F16" s="1">
        <v>82</v>
      </c>
      <c r="G16" s="1">
        <v>46</v>
      </c>
      <c r="H16" s="1">
        <v>30</v>
      </c>
      <c r="I16" s="1">
        <v>6</v>
      </c>
      <c r="J16" s="1">
        <v>98</v>
      </c>
      <c r="K16" s="1">
        <v>0.59799999999999998</v>
      </c>
      <c r="L16" s="1">
        <v>233</v>
      </c>
      <c r="M16" s="1">
        <v>244</v>
      </c>
      <c r="N16" s="1">
        <v>5</v>
      </c>
      <c r="O16" s="1">
        <v>2</v>
      </c>
      <c r="P16" s="1">
        <v>-0.09</v>
      </c>
      <c r="Q16" s="1">
        <v>0.01</v>
      </c>
      <c r="R16" s="1">
        <v>2.84</v>
      </c>
      <c r="S16" s="1">
        <v>2.98</v>
      </c>
      <c r="T16" s="1">
        <v>54</v>
      </c>
      <c r="U16" s="1">
        <v>241</v>
      </c>
      <c r="V16" s="1">
        <v>22.41</v>
      </c>
      <c r="W16" s="1">
        <v>46</v>
      </c>
      <c r="X16" s="1">
        <v>219</v>
      </c>
      <c r="Y16" s="1">
        <v>79</v>
      </c>
      <c r="Z16" s="1">
        <v>7</v>
      </c>
      <c r="AA16" s="1">
        <v>5</v>
      </c>
      <c r="AB16" s="1">
        <v>6.7</v>
      </c>
      <c r="AC16" s="1">
        <v>7.5</v>
      </c>
      <c r="AD16" s="1">
        <v>2486</v>
      </c>
      <c r="AE16" s="1">
        <v>9.4</v>
      </c>
      <c r="AF16" s="1">
        <v>2545</v>
      </c>
      <c r="AG16" s="1">
        <v>0.90400000000000003</v>
      </c>
      <c r="AH16" s="1">
        <v>2</v>
      </c>
      <c r="AI16" s="1">
        <v>9.6</v>
      </c>
      <c r="AJ16" s="1">
        <v>0.90900000000000003</v>
      </c>
      <c r="AK16" s="1">
        <v>100.5</v>
      </c>
      <c r="AL16" s="1">
        <v>3290</v>
      </c>
      <c r="AM16" s="1">
        <v>3190</v>
      </c>
      <c r="AN16" s="1">
        <v>50.8</v>
      </c>
      <c r="AO16" s="1">
        <v>2346</v>
      </c>
      <c r="AP16" s="1">
        <v>2365</v>
      </c>
      <c r="AQ16" s="1">
        <v>49.8</v>
      </c>
      <c r="AR16" s="1">
        <v>134.80000000000001</v>
      </c>
      <c r="AS16" s="1">
        <v>154.1</v>
      </c>
      <c r="AT16" s="1">
        <v>159</v>
      </c>
      <c r="AU16" s="1">
        <v>155</v>
      </c>
      <c r="AV16" s="1">
        <v>23</v>
      </c>
      <c r="AW16" s="1">
        <v>1509</v>
      </c>
      <c r="AX16" s="1">
        <v>1653</v>
      </c>
      <c r="AY16" s="1">
        <v>47.7</v>
      </c>
      <c r="AZ16" s="1">
        <v>505</v>
      </c>
      <c r="BA16" s="1">
        <v>596</v>
      </c>
      <c r="BB16" s="1">
        <v>45.9</v>
      </c>
      <c r="BC16" s="1">
        <v>46</v>
      </c>
      <c r="BD16" s="1">
        <v>8.3000000000000007</v>
      </c>
      <c r="BE16" s="1">
        <v>67</v>
      </c>
      <c r="BF16" s="1">
        <v>10.1</v>
      </c>
    </row>
    <row r="17" spans="1:58" x14ac:dyDescent="0.35">
      <c r="A17" t="s">
        <v>56</v>
      </c>
      <c r="B17">
        <v>16</v>
      </c>
      <c r="C17" t="s">
        <v>72</v>
      </c>
      <c r="D17" s="1">
        <v>1</v>
      </c>
      <c r="E17" s="1">
        <v>27.7</v>
      </c>
      <c r="F17" s="1">
        <v>82</v>
      </c>
      <c r="G17" s="1">
        <v>45</v>
      </c>
      <c r="H17" s="1">
        <v>30</v>
      </c>
      <c r="I17" s="1">
        <v>7</v>
      </c>
      <c r="J17" s="1">
        <v>97</v>
      </c>
      <c r="K17" s="1">
        <v>0.59099999999999997</v>
      </c>
      <c r="L17" s="1">
        <v>262</v>
      </c>
      <c r="M17" s="1">
        <v>250</v>
      </c>
      <c r="N17" s="1">
        <v>4</v>
      </c>
      <c r="O17" s="1">
        <v>2</v>
      </c>
      <c r="P17" s="1">
        <v>0.19</v>
      </c>
      <c r="Q17" s="1">
        <v>0.02</v>
      </c>
      <c r="R17" s="1">
        <v>3.2</v>
      </c>
      <c r="S17" s="1">
        <v>3.05</v>
      </c>
      <c r="T17" s="1">
        <v>63</v>
      </c>
      <c r="U17" s="1">
        <v>258</v>
      </c>
      <c r="V17" s="1">
        <v>24.42</v>
      </c>
      <c r="W17" s="1">
        <v>59</v>
      </c>
      <c r="X17" s="1">
        <v>284</v>
      </c>
      <c r="Y17" s="1">
        <v>79.23</v>
      </c>
      <c r="Z17" s="1">
        <v>2</v>
      </c>
      <c r="AA17" s="1">
        <v>5</v>
      </c>
      <c r="AB17" s="1">
        <v>12.6</v>
      </c>
      <c r="AC17" s="1">
        <v>11.9</v>
      </c>
      <c r="AD17" s="1">
        <v>2439</v>
      </c>
      <c r="AE17" s="1">
        <v>10.7</v>
      </c>
      <c r="AF17" s="1">
        <v>2646</v>
      </c>
      <c r="AG17" s="1">
        <v>0.90600000000000003</v>
      </c>
      <c r="AH17" s="1">
        <v>4</v>
      </c>
      <c r="AI17" s="1">
        <v>8</v>
      </c>
      <c r="AJ17" s="1">
        <v>0.92900000000000005</v>
      </c>
      <c r="AK17" s="1">
        <v>100.9</v>
      </c>
      <c r="AL17" s="1">
        <v>4108</v>
      </c>
      <c r="AM17" s="1">
        <v>3263</v>
      </c>
      <c r="AN17" s="1">
        <v>55.7</v>
      </c>
      <c r="AO17" s="1">
        <v>3139</v>
      </c>
      <c r="AP17" s="1">
        <v>2532</v>
      </c>
      <c r="AQ17" s="1">
        <v>55.4</v>
      </c>
      <c r="AR17" s="1">
        <v>199.1</v>
      </c>
      <c r="AS17" s="1">
        <v>157</v>
      </c>
      <c r="AT17" s="1">
        <v>196</v>
      </c>
      <c r="AU17" s="1">
        <v>139</v>
      </c>
      <c r="AV17" s="1">
        <v>15</v>
      </c>
      <c r="AW17" s="1">
        <v>2040</v>
      </c>
      <c r="AX17" s="1">
        <v>1606</v>
      </c>
      <c r="AY17" s="1">
        <v>56</v>
      </c>
      <c r="AZ17" s="1">
        <v>578</v>
      </c>
      <c r="BA17" s="1">
        <v>470</v>
      </c>
      <c r="BB17" s="1">
        <v>55.2</v>
      </c>
      <c r="BC17" s="1">
        <v>66</v>
      </c>
      <c r="BD17" s="1">
        <v>10.199999999999999</v>
      </c>
      <c r="BE17" s="1">
        <v>54</v>
      </c>
      <c r="BF17" s="1">
        <v>10.3</v>
      </c>
    </row>
    <row r="18" spans="1:58" x14ac:dyDescent="0.35">
      <c r="A18" t="s">
        <v>56</v>
      </c>
      <c r="B18">
        <v>17</v>
      </c>
      <c r="C18" t="s">
        <v>73</v>
      </c>
      <c r="D18" s="1">
        <v>0</v>
      </c>
      <c r="E18" s="1">
        <v>28.5</v>
      </c>
      <c r="F18" s="1">
        <v>82</v>
      </c>
      <c r="G18" s="1">
        <v>43</v>
      </c>
      <c r="H18" s="1">
        <v>31</v>
      </c>
      <c r="I18" s="1">
        <v>8</v>
      </c>
      <c r="J18" s="1">
        <v>94</v>
      </c>
      <c r="K18" s="1">
        <v>0.57299999999999995</v>
      </c>
      <c r="L18" s="1">
        <v>262</v>
      </c>
      <c r="M18" s="1">
        <v>244</v>
      </c>
      <c r="N18" s="1">
        <v>4</v>
      </c>
      <c r="O18" s="1">
        <v>4</v>
      </c>
      <c r="P18" s="1">
        <v>0.21</v>
      </c>
      <c r="Q18" s="1">
        <v>-0.01</v>
      </c>
      <c r="R18" s="1">
        <v>3.2</v>
      </c>
      <c r="S18" s="1">
        <v>2.98</v>
      </c>
      <c r="T18" s="1">
        <v>39</v>
      </c>
      <c r="U18" s="1">
        <v>212</v>
      </c>
      <c r="V18" s="1">
        <v>18.399999999999999</v>
      </c>
      <c r="W18" s="1">
        <v>47</v>
      </c>
      <c r="X18" s="1">
        <v>208</v>
      </c>
      <c r="Y18" s="1">
        <v>77.400000000000006</v>
      </c>
      <c r="Z18" s="1">
        <v>10</v>
      </c>
      <c r="AA18" s="1">
        <v>7</v>
      </c>
      <c r="AB18" s="1">
        <v>7.6</v>
      </c>
      <c r="AC18" s="1">
        <v>7.7</v>
      </c>
      <c r="AD18" s="1">
        <v>2830</v>
      </c>
      <c r="AE18" s="1">
        <v>9.3000000000000007</v>
      </c>
      <c r="AF18" s="1">
        <v>2458</v>
      </c>
      <c r="AG18" s="1">
        <v>0.90100000000000002</v>
      </c>
      <c r="AH18" s="1">
        <v>3</v>
      </c>
      <c r="AI18" s="1">
        <v>7.5</v>
      </c>
      <c r="AJ18" s="1">
        <v>0.90900000000000003</v>
      </c>
      <c r="AK18" s="1">
        <v>98.4</v>
      </c>
      <c r="AL18" s="1">
        <v>4244</v>
      </c>
      <c r="AM18" s="1">
        <v>3172</v>
      </c>
      <c r="AN18" s="1">
        <v>57.2</v>
      </c>
      <c r="AO18" s="1">
        <v>3147</v>
      </c>
      <c r="AP18" s="1">
        <v>2389</v>
      </c>
      <c r="AQ18" s="1">
        <v>56.8</v>
      </c>
      <c r="AR18" s="1">
        <v>196</v>
      </c>
      <c r="AS18" s="1">
        <v>161.30000000000001</v>
      </c>
      <c r="AT18" s="1">
        <v>182</v>
      </c>
      <c r="AU18" s="1">
        <v>169</v>
      </c>
      <c r="AV18" s="1">
        <v>-22</v>
      </c>
      <c r="AW18" s="1">
        <v>2044</v>
      </c>
      <c r="AX18" s="1">
        <v>1658</v>
      </c>
      <c r="AY18" s="1">
        <v>55.2</v>
      </c>
      <c r="AZ18" s="1">
        <v>689</v>
      </c>
      <c r="BA18" s="1">
        <v>559</v>
      </c>
      <c r="BB18" s="1">
        <v>55.2</v>
      </c>
      <c r="BC18" s="1">
        <v>79</v>
      </c>
      <c r="BD18" s="1">
        <v>10.3</v>
      </c>
      <c r="BE18" s="1">
        <v>74</v>
      </c>
      <c r="BF18" s="1">
        <v>11.7</v>
      </c>
    </row>
    <row r="19" spans="1:58" x14ac:dyDescent="0.35">
      <c r="A19" t="s">
        <v>56</v>
      </c>
      <c r="B19">
        <v>18</v>
      </c>
      <c r="C19" t="s">
        <v>74</v>
      </c>
      <c r="D19" s="1">
        <v>0</v>
      </c>
      <c r="E19" s="1">
        <v>27.7</v>
      </c>
      <c r="F19" s="1">
        <v>82</v>
      </c>
      <c r="G19" s="1">
        <v>40</v>
      </c>
      <c r="H19" s="1">
        <v>30</v>
      </c>
      <c r="I19" s="1">
        <v>12</v>
      </c>
      <c r="J19" s="1">
        <v>92</v>
      </c>
      <c r="K19" s="1">
        <v>0.56100000000000005</v>
      </c>
      <c r="L19" s="1">
        <v>246</v>
      </c>
      <c r="M19" s="1">
        <v>231</v>
      </c>
      <c r="N19" s="1">
        <v>3</v>
      </c>
      <c r="O19" s="1">
        <v>5</v>
      </c>
      <c r="P19" s="1">
        <v>0.16</v>
      </c>
      <c r="Q19" s="1">
        <v>0</v>
      </c>
      <c r="R19" s="1">
        <v>3</v>
      </c>
      <c r="S19" s="1">
        <v>2.82</v>
      </c>
      <c r="T19" s="1">
        <v>58</v>
      </c>
      <c r="U19" s="1">
        <v>247</v>
      </c>
      <c r="V19" s="1">
        <v>23.48</v>
      </c>
      <c r="W19" s="1">
        <v>58</v>
      </c>
      <c r="X19" s="1">
        <v>231</v>
      </c>
      <c r="Y19" s="1">
        <v>74.89</v>
      </c>
      <c r="Z19" s="1">
        <v>5</v>
      </c>
      <c r="AA19" s="1">
        <v>6</v>
      </c>
      <c r="AB19" s="1">
        <v>8</v>
      </c>
      <c r="AC19" s="1">
        <v>8.6</v>
      </c>
      <c r="AD19" s="1">
        <v>2622</v>
      </c>
      <c r="AE19" s="1">
        <v>9.4</v>
      </c>
      <c r="AF19" s="1">
        <v>2612</v>
      </c>
      <c r="AG19" s="1">
        <v>0.91200000000000003</v>
      </c>
      <c r="AH19" s="1">
        <v>1</v>
      </c>
      <c r="AI19" s="1">
        <v>7.7</v>
      </c>
      <c r="AJ19" s="1">
        <v>0.91300000000000003</v>
      </c>
      <c r="AK19" s="1">
        <v>99</v>
      </c>
      <c r="AL19" s="1">
        <v>4122</v>
      </c>
      <c r="AM19" s="1">
        <v>3851</v>
      </c>
      <c r="AN19" s="1">
        <v>51.7</v>
      </c>
      <c r="AO19" s="1">
        <v>2917</v>
      </c>
      <c r="AP19" s="1">
        <v>2732</v>
      </c>
      <c r="AQ19" s="1">
        <v>51.6</v>
      </c>
      <c r="AR19" s="1">
        <v>170.3</v>
      </c>
      <c r="AS19" s="1">
        <v>172.5</v>
      </c>
      <c r="AT19" s="1">
        <v>167</v>
      </c>
      <c r="AU19" s="1">
        <v>181</v>
      </c>
      <c r="AV19" s="1">
        <v>-12</v>
      </c>
      <c r="AW19" s="1">
        <v>1827</v>
      </c>
      <c r="AX19" s="1">
        <v>1813</v>
      </c>
      <c r="AY19" s="1">
        <v>50.2</v>
      </c>
      <c r="AZ19" s="1">
        <v>662</v>
      </c>
      <c r="BA19" s="1">
        <v>627</v>
      </c>
      <c r="BB19" s="1">
        <v>51.4</v>
      </c>
      <c r="BC19" s="1">
        <v>63</v>
      </c>
      <c r="BD19" s="1">
        <v>8.6999999999999993</v>
      </c>
      <c r="BE19" s="1">
        <v>61</v>
      </c>
      <c r="BF19" s="1">
        <v>8.9</v>
      </c>
    </row>
    <row r="20" spans="1:58" x14ac:dyDescent="0.35">
      <c r="A20" t="s">
        <v>56</v>
      </c>
      <c r="B20">
        <v>19</v>
      </c>
      <c r="C20" t="s">
        <v>75</v>
      </c>
      <c r="D20" s="1">
        <v>0</v>
      </c>
      <c r="E20" s="1">
        <v>28.2</v>
      </c>
      <c r="F20" s="1">
        <v>82</v>
      </c>
      <c r="G20" s="1">
        <v>39</v>
      </c>
      <c r="H20" s="1">
        <v>32</v>
      </c>
      <c r="I20" s="1">
        <v>11</v>
      </c>
      <c r="J20" s="1">
        <v>89</v>
      </c>
      <c r="K20" s="1">
        <v>0.54300000000000004</v>
      </c>
      <c r="L20" s="1">
        <v>250</v>
      </c>
      <c r="M20" s="1">
        <v>253</v>
      </c>
      <c r="N20" s="1">
        <v>2</v>
      </c>
      <c r="O20" s="1">
        <v>4</v>
      </c>
      <c r="P20" s="1">
        <v>-0.04</v>
      </c>
      <c r="Q20" s="1">
        <v>0.02</v>
      </c>
      <c r="R20" s="1">
        <v>3.05</v>
      </c>
      <c r="S20" s="1">
        <v>3.09</v>
      </c>
      <c r="T20" s="1">
        <v>52</v>
      </c>
      <c r="U20" s="1">
        <v>247</v>
      </c>
      <c r="V20" s="1">
        <v>21.05</v>
      </c>
      <c r="W20" s="1">
        <v>58</v>
      </c>
      <c r="X20" s="1">
        <v>232</v>
      </c>
      <c r="Y20" s="1">
        <v>75</v>
      </c>
      <c r="Z20" s="1">
        <v>9</v>
      </c>
      <c r="AA20" s="1">
        <v>8</v>
      </c>
      <c r="AB20" s="1">
        <v>8.8000000000000007</v>
      </c>
      <c r="AC20" s="1">
        <v>9.5</v>
      </c>
      <c r="AD20" s="1">
        <v>2645</v>
      </c>
      <c r="AE20" s="1">
        <v>9.5</v>
      </c>
      <c r="AF20" s="1">
        <v>2721</v>
      </c>
      <c r="AG20" s="1">
        <v>0.90700000000000003</v>
      </c>
      <c r="AH20" s="1">
        <v>5</v>
      </c>
      <c r="AI20" s="1">
        <v>6.4</v>
      </c>
      <c r="AJ20" s="1">
        <v>0.92900000000000005</v>
      </c>
      <c r="AK20" s="1">
        <v>99.3</v>
      </c>
      <c r="AL20" s="1">
        <v>3601</v>
      </c>
      <c r="AM20" s="1">
        <v>3286</v>
      </c>
      <c r="AN20" s="1">
        <v>52.3</v>
      </c>
      <c r="AO20" s="1">
        <v>2479</v>
      </c>
      <c r="AP20" s="1">
        <v>2358</v>
      </c>
      <c r="AQ20" s="1">
        <v>51.3</v>
      </c>
      <c r="AR20" s="1">
        <v>137.30000000000001</v>
      </c>
      <c r="AS20" s="1">
        <v>146.5</v>
      </c>
      <c r="AT20" s="1">
        <v>112</v>
      </c>
      <c r="AU20" s="1">
        <v>122</v>
      </c>
      <c r="AV20" s="1">
        <v>-1</v>
      </c>
      <c r="AW20" s="1">
        <v>1555</v>
      </c>
      <c r="AX20" s="1">
        <v>1566</v>
      </c>
      <c r="AY20" s="1">
        <v>49.8</v>
      </c>
      <c r="AZ20" s="1">
        <v>538</v>
      </c>
      <c r="BA20" s="1">
        <v>518</v>
      </c>
      <c r="BB20" s="1">
        <v>50.9</v>
      </c>
      <c r="BC20" s="1">
        <v>44</v>
      </c>
      <c r="BD20" s="1">
        <v>7.6</v>
      </c>
      <c r="BE20" s="1">
        <v>52</v>
      </c>
      <c r="BF20" s="1">
        <v>9.1</v>
      </c>
    </row>
    <row r="21" spans="1:58" x14ac:dyDescent="0.35">
      <c r="A21" t="s">
        <v>56</v>
      </c>
      <c r="B21">
        <v>20</v>
      </c>
      <c r="C21" t="s">
        <v>76</v>
      </c>
      <c r="D21" s="1">
        <v>0</v>
      </c>
      <c r="E21" s="1">
        <v>30.1</v>
      </c>
      <c r="F21" s="1">
        <v>82</v>
      </c>
      <c r="G21" s="1">
        <v>37</v>
      </c>
      <c r="H21" s="1">
        <v>35</v>
      </c>
      <c r="I21" s="1">
        <v>10</v>
      </c>
      <c r="J21" s="1">
        <v>84</v>
      </c>
      <c r="K21" s="1">
        <v>0.51200000000000001</v>
      </c>
      <c r="L21" s="1">
        <v>229</v>
      </c>
      <c r="M21" s="1">
        <v>231</v>
      </c>
      <c r="N21" s="1">
        <v>2</v>
      </c>
      <c r="O21" s="1">
        <v>6</v>
      </c>
      <c r="P21" s="1">
        <v>-0.09</v>
      </c>
      <c r="Q21" s="1">
        <v>-0.02</v>
      </c>
      <c r="R21" s="1">
        <v>2.79</v>
      </c>
      <c r="S21" s="1">
        <v>2.82</v>
      </c>
      <c r="T21" s="1">
        <v>46</v>
      </c>
      <c r="U21" s="1">
        <v>208</v>
      </c>
      <c r="V21" s="1">
        <v>22.12</v>
      </c>
      <c r="W21" s="1">
        <v>34</v>
      </c>
      <c r="X21" s="1">
        <v>215</v>
      </c>
      <c r="Y21" s="1">
        <v>84.19</v>
      </c>
      <c r="Z21" s="1">
        <v>5</v>
      </c>
      <c r="AA21" s="1">
        <v>7</v>
      </c>
      <c r="AB21" s="1">
        <v>8.9</v>
      </c>
      <c r="AC21" s="1">
        <v>8.4</v>
      </c>
      <c r="AD21" s="1">
        <v>2367</v>
      </c>
      <c r="AE21" s="1">
        <v>9.6999999999999993</v>
      </c>
      <c r="AF21" s="1">
        <v>2669</v>
      </c>
      <c r="AG21" s="1">
        <v>0.91300000000000003</v>
      </c>
      <c r="AH21" s="1">
        <v>9</v>
      </c>
      <c r="AI21" s="1">
        <v>8.1999999999999993</v>
      </c>
      <c r="AJ21" s="1">
        <v>0.92700000000000005</v>
      </c>
      <c r="AK21" s="1">
        <v>100.8</v>
      </c>
      <c r="AL21" s="1">
        <v>4038</v>
      </c>
      <c r="AM21" s="1">
        <v>3130</v>
      </c>
      <c r="AN21" s="1">
        <v>56.3</v>
      </c>
      <c r="AO21" s="1">
        <v>3112</v>
      </c>
      <c r="AP21" s="1">
        <v>2456</v>
      </c>
      <c r="AQ21" s="1">
        <v>55.9</v>
      </c>
      <c r="AR21" s="1">
        <v>187.4</v>
      </c>
      <c r="AS21" s="1">
        <v>163.69999999999999</v>
      </c>
      <c r="AT21" s="1">
        <v>193</v>
      </c>
      <c r="AU21" s="1">
        <v>141</v>
      </c>
      <c r="AV21" s="1">
        <v>28</v>
      </c>
      <c r="AW21" s="1">
        <v>1944</v>
      </c>
      <c r="AX21" s="1">
        <v>1647</v>
      </c>
      <c r="AY21" s="1">
        <v>54.1</v>
      </c>
      <c r="AZ21" s="1">
        <v>666</v>
      </c>
      <c r="BA21" s="1">
        <v>528</v>
      </c>
      <c r="BB21" s="1">
        <v>55.8</v>
      </c>
      <c r="BC21" s="1">
        <v>90</v>
      </c>
      <c r="BD21" s="1">
        <v>11.9</v>
      </c>
      <c r="BE21" s="1">
        <v>66</v>
      </c>
      <c r="BF21" s="1">
        <v>11.1</v>
      </c>
    </row>
    <row r="22" spans="1:58" x14ac:dyDescent="0.35">
      <c r="A22" t="s">
        <v>56</v>
      </c>
      <c r="B22">
        <v>21</v>
      </c>
      <c r="C22" t="s">
        <v>77</v>
      </c>
      <c r="D22" s="1">
        <v>0</v>
      </c>
      <c r="E22" s="1">
        <v>26.6</v>
      </c>
      <c r="F22" s="1">
        <v>82</v>
      </c>
      <c r="G22" s="1">
        <v>37</v>
      </c>
      <c r="H22" s="1">
        <v>38</v>
      </c>
      <c r="I22" s="1">
        <v>7</v>
      </c>
      <c r="J22" s="1">
        <v>81</v>
      </c>
      <c r="K22" s="1">
        <v>0.49399999999999999</v>
      </c>
      <c r="L22" s="1">
        <v>258</v>
      </c>
      <c r="M22" s="1">
        <v>297</v>
      </c>
      <c r="N22" s="1">
        <v>4</v>
      </c>
      <c r="O22" s="1">
        <v>3</v>
      </c>
      <c r="P22" s="1">
        <v>-0.44</v>
      </c>
      <c r="Q22" s="1">
        <v>0.02</v>
      </c>
      <c r="R22" s="1">
        <v>3.15</v>
      </c>
      <c r="S22" s="1">
        <v>3.62</v>
      </c>
      <c r="T22" s="1">
        <v>41</v>
      </c>
      <c r="U22" s="1">
        <v>220</v>
      </c>
      <c r="V22" s="1">
        <v>18.64</v>
      </c>
      <c r="W22" s="1">
        <v>51</v>
      </c>
      <c r="X22" s="1">
        <v>238</v>
      </c>
      <c r="Y22" s="1">
        <v>78.569999999999993</v>
      </c>
      <c r="Z22" s="1">
        <v>7</v>
      </c>
      <c r="AA22" s="1">
        <v>6</v>
      </c>
      <c r="AB22" s="1">
        <v>7.7</v>
      </c>
      <c r="AC22" s="1">
        <v>7.2</v>
      </c>
      <c r="AD22" s="1">
        <v>2463</v>
      </c>
      <c r="AE22" s="1">
        <v>10.5</v>
      </c>
      <c r="AF22" s="1">
        <v>2887</v>
      </c>
      <c r="AG22" s="1">
        <v>0.89700000000000002</v>
      </c>
      <c r="AH22" s="1">
        <v>2</v>
      </c>
      <c r="AI22" s="1">
        <v>7.3</v>
      </c>
      <c r="AJ22" s="1">
        <v>0.92</v>
      </c>
      <c r="AK22" s="1">
        <v>99.3</v>
      </c>
      <c r="AL22" s="1">
        <v>4350</v>
      </c>
      <c r="AM22" s="1">
        <v>2873</v>
      </c>
      <c r="AN22" s="1">
        <v>60.2</v>
      </c>
      <c r="AO22" s="1">
        <v>3267</v>
      </c>
      <c r="AP22" s="1">
        <v>2209</v>
      </c>
      <c r="AQ22" s="1">
        <v>59.7</v>
      </c>
      <c r="AR22" s="1">
        <v>196.3</v>
      </c>
      <c r="AS22" s="1">
        <v>148.6</v>
      </c>
      <c r="AT22" s="1">
        <v>174</v>
      </c>
      <c r="AU22" s="1">
        <v>139</v>
      </c>
      <c r="AV22" s="1">
        <v>-13</v>
      </c>
      <c r="AW22" s="1">
        <v>2129</v>
      </c>
      <c r="AX22" s="1">
        <v>1455</v>
      </c>
      <c r="AY22" s="1">
        <v>59.4</v>
      </c>
      <c r="AZ22" s="1">
        <v>801</v>
      </c>
      <c r="BA22" s="1">
        <v>480</v>
      </c>
      <c r="BB22" s="1">
        <v>62.5</v>
      </c>
      <c r="BC22" s="1">
        <v>72</v>
      </c>
      <c r="BD22" s="1">
        <v>8.1999999999999993</v>
      </c>
      <c r="BE22" s="1">
        <v>39</v>
      </c>
      <c r="BF22" s="1">
        <v>7.5</v>
      </c>
    </row>
    <row r="23" spans="1:58" x14ac:dyDescent="0.35">
      <c r="A23" t="s">
        <v>56</v>
      </c>
      <c r="B23">
        <v>22</v>
      </c>
      <c r="C23" t="s">
        <v>78</v>
      </c>
      <c r="D23" s="1">
        <v>0</v>
      </c>
      <c r="E23" s="1">
        <v>29</v>
      </c>
      <c r="F23" s="1">
        <v>82</v>
      </c>
      <c r="G23" s="1">
        <v>32</v>
      </c>
      <c r="H23" s="1">
        <v>37</v>
      </c>
      <c r="I23" s="1">
        <v>13</v>
      </c>
      <c r="J23" s="1">
        <v>77</v>
      </c>
      <c r="K23" s="1">
        <v>0.47</v>
      </c>
      <c r="L23" s="1">
        <v>211</v>
      </c>
      <c r="M23" s="1">
        <v>261</v>
      </c>
      <c r="N23" s="1">
        <v>3</v>
      </c>
      <c r="O23" s="1">
        <v>3</v>
      </c>
      <c r="P23" s="1">
        <v>-0.57999999999999996</v>
      </c>
      <c r="Q23" s="1">
        <v>0.03</v>
      </c>
      <c r="R23" s="1">
        <v>2.57</v>
      </c>
      <c r="S23" s="1">
        <v>3.18</v>
      </c>
      <c r="T23" s="1">
        <v>41</v>
      </c>
      <c r="U23" s="1">
        <v>216</v>
      </c>
      <c r="V23" s="1">
        <v>18.98</v>
      </c>
      <c r="W23" s="1">
        <v>33</v>
      </c>
      <c r="X23" s="1">
        <v>223</v>
      </c>
      <c r="Y23" s="1">
        <v>85.2</v>
      </c>
      <c r="Z23" s="1">
        <v>4</v>
      </c>
      <c r="AA23" s="1">
        <v>11</v>
      </c>
      <c r="AB23" s="1">
        <v>8.8000000000000007</v>
      </c>
      <c r="AC23" s="1">
        <v>8.6</v>
      </c>
      <c r="AD23" s="1">
        <v>2400</v>
      </c>
      <c r="AE23" s="1">
        <v>8.8000000000000007</v>
      </c>
      <c r="AF23" s="1">
        <v>2622</v>
      </c>
      <c r="AG23" s="1">
        <v>0.9</v>
      </c>
      <c r="AH23" s="1">
        <v>3</v>
      </c>
      <c r="AI23" s="1">
        <v>7.3</v>
      </c>
      <c r="AJ23" s="1">
        <v>0.91900000000000004</v>
      </c>
      <c r="AK23" s="1">
        <v>99.3</v>
      </c>
      <c r="AL23" s="1">
        <v>4699</v>
      </c>
      <c r="AM23" s="1">
        <v>3119</v>
      </c>
      <c r="AN23" s="1">
        <v>60.1</v>
      </c>
      <c r="AO23" s="1">
        <v>3334</v>
      </c>
      <c r="AP23" s="1">
        <v>2361</v>
      </c>
      <c r="AQ23" s="1">
        <v>58.5</v>
      </c>
      <c r="AR23" s="1">
        <v>172.8</v>
      </c>
      <c r="AS23" s="1">
        <v>151.5</v>
      </c>
      <c r="AT23" s="1">
        <v>169</v>
      </c>
      <c r="AU23" s="1">
        <v>146</v>
      </c>
      <c r="AV23" s="1">
        <v>2</v>
      </c>
      <c r="AW23" s="1">
        <v>2011</v>
      </c>
      <c r="AX23" s="1">
        <v>1452</v>
      </c>
      <c r="AY23" s="1">
        <v>58.1</v>
      </c>
      <c r="AZ23" s="1">
        <v>713</v>
      </c>
      <c r="BA23" s="1">
        <v>529</v>
      </c>
      <c r="BB23" s="1">
        <v>57.4</v>
      </c>
      <c r="BC23" s="1">
        <v>61</v>
      </c>
      <c r="BD23" s="1">
        <v>7.9</v>
      </c>
      <c r="BE23" s="1">
        <v>58</v>
      </c>
      <c r="BF23" s="1">
        <v>9.9</v>
      </c>
    </row>
    <row r="24" spans="1:58" x14ac:dyDescent="0.35">
      <c r="A24" t="s">
        <v>56</v>
      </c>
      <c r="B24">
        <v>23</v>
      </c>
      <c r="C24" t="s">
        <v>79</v>
      </c>
      <c r="D24" s="1">
        <v>0</v>
      </c>
      <c r="E24" s="1">
        <v>27.9</v>
      </c>
      <c r="F24" s="1">
        <v>82</v>
      </c>
      <c r="G24" s="1">
        <v>31</v>
      </c>
      <c r="H24" s="1">
        <v>37</v>
      </c>
      <c r="I24" s="1">
        <v>14</v>
      </c>
      <c r="J24" s="1">
        <v>76</v>
      </c>
      <c r="K24" s="1">
        <v>0.46300000000000002</v>
      </c>
      <c r="L24" s="1">
        <v>228</v>
      </c>
      <c r="M24" s="1">
        <v>266</v>
      </c>
      <c r="N24" s="1">
        <v>4</v>
      </c>
      <c r="O24" s="1">
        <v>5</v>
      </c>
      <c r="P24" s="1">
        <v>-0.45</v>
      </c>
      <c r="Q24" s="1">
        <v>0.03</v>
      </c>
      <c r="R24" s="1">
        <v>2.78</v>
      </c>
      <c r="S24" s="1">
        <v>3.24</v>
      </c>
      <c r="T24" s="1">
        <v>48</v>
      </c>
      <c r="U24" s="1">
        <v>219</v>
      </c>
      <c r="V24" s="1">
        <v>21.92</v>
      </c>
      <c r="W24" s="1">
        <v>43</v>
      </c>
      <c r="X24" s="1">
        <v>224</v>
      </c>
      <c r="Y24" s="1">
        <v>80.8</v>
      </c>
      <c r="Z24" s="1">
        <v>6</v>
      </c>
      <c r="AA24" s="1">
        <v>4</v>
      </c>
      <c r="AB24" s="1">
        <v>9.3000000000000007</v>
      </c>
      <c r="AC24" s="1">
        <v>9.8000000000000007</v>
      </c>
      <c r="AD24" s="1">
        <v>2393</v>
      </c>
      <c r="AE24" s="1">
        <v>9.5</v>
      </c>
      <c r="AF24" s="1">
        <v>2725</v>
      </c>
      <c r="AG24" s="1">
        <v>0.90200000000000002</v>
      </c>
      <c r="AH24" s="1">
        <v>4</v>
      </c>
      <c r="AI24" s="1">
        <v>7.9</v>
      </c>
      <c r="AJ24" s="1">
        <v>0.91</v>
      </c>
      <c r="AK24" s="1">
        <v>98.9</v>
      </c>
      <c r="AL24" s="1">
        <v>4096</v>
      </c>
      <c r="AM24" s="1">
        <v>2749</v>
      </c>
      <c r="AN24" s="1">
        <v>59.8</v>
      </c>
      <c r="AO24" s="1">
        <v>2883</v>
      </c>
      <c r="AP24" s="1">
        <v>2077</v>
      </c>
      <c r="AQ24" s="1">
        <v>58.1</v>
      </c>
      <c r="AR24" s="1">
        <v>160.30000000000001</v>
      </c>
      <c r="AS24" s="1">
        <v>136.5</v>
      </c>
      <c r="AT24" s="1">
        <v>152</v>
      </c>
      <c r="AU24" s="1">
        <v>138</v>
      </c>
      <c r="AV24" s="1">
        <v>-10</v>
      </c>
      <c r="AW24" s="1">
        <v>1913</v>
      </c>
      <c r="AX24" s="1">
        <v>1421</v>
      </c>
      <c r="AY24" s="1">
        <v>57.4</v>
      </c>
      <c r="AZ24" s="1">
        <v>664</v>
      </c>
      <c r="BA24" s="1">
        <v>495</v>
      </c>
      <c r="BB24" s="1">
        <v>57.3</v>
      </c>
      <c r="BC24" s="1">
        <v>49</v>
      </c>
      <c r="BD24" s="1">
        <v>6.9</v>
      </c>
      <c r="BE24" s="1">
        <v>45</v>
      </c>
      <c r="BF24" s="1">
        <v>8.3000000000000007</v>
      </c>
    </row>
    <row r="25" spans="1:58" x14ac:dyDescent="0.35">
      <c r="A25" t="s">
        <v>56</v>
      </c>
      <c r="B25">
        <v>24</v>
      </c>
      <c r="C25" t="s">
        <v>80</v>
      </c>
      <c r="D25" s="1">
        <v>0</v>
      </c>
      <c r="E25" s="1">
        <v>27.5</v>
      </c>
      <c r="F25" s="1">
        <v>82</v>
      </c>
      <c r="G25" s="1">
        <v>32</v>
      </c>
      <c r="H25" s="1">
        <v>39</v>
      </c>
      <c r="I25" s="1">
        <v>11</v>
      </c>
      <c r="J25" s="1">
        <v>75</v>
      </c>
      <c r="K25" s="1">
        <v>0.45700000000000002</v>
      </c>
      <c r="L25" s="1">
        <v>229</v>
      </c>
      <c r="M25" s="1">
        <v>287</v>
      </c>
      <c r="N25" s="1">
        <v>3</v>
      </c>
      <c r="O25" s="1">
        <v>3</v>
      </c>
      <c r="P25" s="1">
        <v>-0.69</v>
      </c>
      <c r="Q25" s="1">
        <v>0.02</v>
      </c>
      <c r="R25" s="1">
        <v>2.79</v>
      </c>
      <c r="S25" s="1">
        <v>3.5</v>
      </c>
      <c r="T25" s="1">
        <v>47</v>
      </c>
      <c r="U25" s="1">
        <v>222</v>
      </c>
      <c r="V25" s="1">
        <v>21.17</v>
      </c>
      <c r="W25" s="1">
        <v>50</v>
      </c>
      <c r="X25" s="1">
        <v>212</v>
      </c>
      <c r="Y25" s="1">
        <v>76.42</v>
      </c>
      <c r="Z25" s="1">
        <v>6</v>
      </c>
      <c r="AA25" s="1">
        <v>6</v>
      </c>
      <c r="AB25" s="1">
        <v>8.1</v>
      </c>
      <c r="AC25" s="1">
        <v>7.9</v>
      </c>
      <c r="AD25" s="1">
        <v>2451</v>
      </c>
      <c r="AE25" s="1">
        <v>9.3000000000000007</v>
      </c>
      <c r="AF25" s="1">
        <v>2702</v>
      </c>
      <c r="AG25" s="1">
        <v>0.89400000000000002</v>
      </c>
      <c r="AH25" s="1">
        <v>1</v>
      </c>
      <c r="AI25" s="1">
        <v>7.3</v>
      </c>
      <c r="AJ25" s="1">
        <v>0.91700000000000004</v>
      </c>
      <c r="AK25" s="1">
        <v>99</v>
      </c>
      <c r="AL25" s="1">
        <v>3310</v>
      </c>
      <c r="AM25" s="1">
        <v>3888</v>
      </c>
      <c r="AN25" s="1">
        <v>46</v>
      </c>
      <c r="AO25" s="1">
        <v>2413</v>
      </c>
      <c r="AP25" s="1">
        <v>2839</v>
      </c>
      <c r="AQ25" s="1">
        <v>45.9</v>
      </c>
      <c r="AR25" s="1">
        <v>157.30000000000001</v>
      </c>
      <c r="AS25" s="1">
        <v>179</v>
      </c>
      <c r="AT25" s="1">
        <v>143</v>
      </c>
      <c r="AU25" s="1">
        <v>192</v>
      </c>
      <c r="AV25" s="1">
        <v>-27</v>
      </c>
      <c r="AW25" s="1">
        <v>1549</v>
      </c>
      <c r="AX25" s="1">
        <v>1860</v>
      </c>
      <c r="AY25" s="1">
        <v>45.4</v>
      </c>
      <c r="AZ25" s="1">
        <v>411</v>
      </c>
      <c r="BA25" s="1">
        <v>496</v>
      </c>
      <c r="BB25" s="1">
        <v>45.3</v>
      </c>
      <c r="BC25" s="1">
        <v>52</v>
      </c>
      <c r="BD25" s="1">
        <v>11.2</v>
      </c>
      <c r="BE25" s="1">
        <v>79</v>
      </c>
      <c r="BF25" s="1">
        <v>13.7</v>
      </c>
    </row>
    <row r="26" spans="1:58" x14ac:dyDescent="0.35">
      <c r="A26" t="s">
        <v>56</v>
      </c>
      <c r="B26">
        <v>25</v>
      </c>
      <c r="C26" t="s">
        <v>81</v>
      </c>
      <c r="D26" s="1">
        <v>0</v>
      </c>
      <c r="E26" s="1">
        <v>26.9</v>
      </c>
      <c r="F26" s="1">
        <v>82</v>
      </c>
      <c r="G26" s="1">
        <v>32</v>
      </c>
      <c r="H26" s="1">
        <v>40</v>
      </c>
      <c r="I26" s="1">
        <v>10</v>
      </c>
      <c r="J26" s="1">
        <v>74</v>
      </c>
      <c r="K26" s="1">
        <v>0.45100000000000001</v>
      </c>
      <c r="L26" s="1">
        <v>227</v>
      </c>
      <c r="M26" s="1">
        <v>310</v>
      </c>
      <c r="N26" s="1">
        <v>3</v>
      </c>
      <c r="O26" s="1">
        <v>2</v>
      </c>
      <c r="P26" s="1">
        <v>-0.95</v>
      </c>
      <c r="Q26" s="1">
        <v>0.06</v>
      </c>
      <c r="R26" s="1">
        <v>2.77</v>
      </c>
      <c r="S26" s="1">
        <v>3.78</v>
      </c>
      <c r="T26" s="1">
        <v>37</v>
      </c>
      <c r="U26" s="1">
        <v>227</v>
      </c>
      <c r="V26" s="1">
        <v>16.3</v>
      </c>
      <c r="W26" s="1">
        <v>59</v>
      </c>
      <c r="X26" s="1">
        <v>225</v>
      </c>
      <c r="Y26" s="1">
        <v>73.78</v>
      </c>
      <c r="Z26" s="1">
        <v>4</v>
      </c>
      <c r="AA26" s="1">
        <v>10</v>
      </c>
      <c r="AB26" s="1">
        <v>8.9</v>
      </c>
      <c r="AC26" s="1">
        <v>8.5</v>
      </c>
      <c r="AD26" s="1">
        <v>2414</v>
      </c>
      <c r="AE26" s="1">
        <v>9.4</v>
      </c>
      <c r="AF26" s="1">
        <v>2761</v>
      </c>
      <c r="AG26" s="1">
        <v>0.88800000000000001</v>
      </c>
      <c r="AH26" s="1">
        <v>4</v>
      </c>
      <c r="AI26" s="1">
        <v>7.4</v>
      </c>
      <c r="AJ26" s="1">
        <v>0.91400000000000003</v>
      </c>
      <c r="AK26" s="1">
        <v>98.7</v>
      </c>
      <c r="AL26" s="1">
        <v>3168</v>
      </c>
      <c r="AM26" s="1">
        <v>4045</v>
      </c>
      <c r="AN26" s="1">
        <v>43.9</v>
      </c>
      <c r="AO26" s="1">
        <v>2380</v>
      </c>
      <c r="AP26" s="1">
        <v>3017</v>
      </c>
      <c r="AQ26" s="1">
        <v>44.1</v>
      </c>
      <c r="AR26" s="1">
        <v>153.9</v>
      </c>
      <c r="AS26" s="1">
        <v>208.4</v>
      </c>
      <c r="AT26" s="1">
        <v>135</v>
      </c>
      <c r="AU26" s="1">
        <v>208</v>
      </c>
      <c r="AV26" s="1">
        <v>-19</v>
      </c>
      <c r="AW26" s="1">
        <v>1553</v>
      </c>
      <c r="AX26" s="1">
        <v>2112</v>
      </c>
      <c r="AY26" s="1">
        <v>42.4</v>
      </c>
      <c r="AZ26" s="1">
        <v>486</v>
      </c>
      <c r="BA26" s="1">
        <v>682</v>
      </c>
      <c r="BB26" s="1">
        <v>41.6</v>
      </c>
      <c r="BC26" s="1">
        <v>61</v>
      </c>
      <c r="BD26" s="1">
        <v>11.2</v>
      </c>
      <c r="BE26" s="1">
        <v>80</v>
      </c>
      <c r="BF26" s="1">
        <v>10.5</v>
      </c>
    </row>
    <row r="27" spans="1:58" x14ac:dyDescent="0.35">
      <c r="A27" t="s">
        <v>56</v>
      </c>
      <c r="B27">
        <v>26</v>
      </c>
      <c r="C27" t="s">
        <v>82</v>
      </c>
      <c r="D27" s="1">
        <v>0</v>
      </c>
      <c r="E27" s="1">
        <v>26.6</v>
      </c>
      <c r="F27" s="1">
        <v>82</v>
      </c>
      <c r="G27" s="1">
        <v>33</v>
      </c>
      <c r="H27" s="1">
        <v>42</v>
      </c>
      <c r="I27" s="1">
        <v>7</v>
      </c>
      <c r="J27" s="1">
        <v>73</v>
      </c>
      <c r="K27" s="1">
        <v>0.44500000000000001</v>
      </c>
      <c r="L27" s="1">
        <v>224</v>
      </c>
      <c r="M27" s="1">
        <v>264</v>
      </c>
      <c r="N27" s="1">
        <v>3</v>
      </c>
      <c r="O27" s="1">
        <v>2</v>
      </c>
      <c r="P27" s="1">
        <v>-0.44</v>
      </c>
      <c r="Q27" s="1">
        <v>0.03</v>
      </c>
      <c r="R27" s="1">
        <v>2.73</v>
      </c>
      <c r="S27" s="1">
        <v>3.22</v>
      </c>
      <c r="T27" s="1">
        <v>47</v>
      </c>
      <c r="U27" s="1">
        <v>243</v>
      </c>
      <c r="V27" s="1">
        <v>19.34</v>
      </c>
      <c r="W27" s="1">
        <v>49</v>
      </c>
      <c r="X27" s="1">
        <v>249</v>
      </c>
      <c r="Y27" s="1">
        <v>80.319999999999993</v>
      </c>
      <c r="Z27" s="1">
        <v>9</v>
      </c>
      <c r="AA27" s="1">
        <v>4</v>
      </c>
      <c r="AB27" s="1">
        <v>10</v>
      </c>
      <c r="AC27" s="1">
        <v>10.199999999999999</v>
      </c>
      <c r="AD27" s="1">
        <v>2463</v>
      </c>
      <c r="AE27" s="1">
        <v>9.1</v>
      </c>
      <c r="AF27" s="1">
        <v>2740</v>
      </c>
      <c r="AG27" s="1">
        <v>0.90400000000000003</v>
      </c>
      <c r="AH27" s="1">
        <v>2</v>
      </c>
      <c r="AI27" s="1">
        <v>6.5</v>
      </c>
      <c r="AJ27" s="1">
        <v>0.91500000000000004</v>
      </c>
      <c r="AK27" s="1">
        <v>98.1</v>
      </c>
      <c r="AL27" s="1">
        <v>3384</v>
      </c>
      <c r="AM27" s="1">
        <v>4257</v>
      </c>
      <c r="AN27" s="1">
        <v>44.3</v>
      </c>
      <c r="AO27" s="1">
        <v>2392</v>
      </c>
      <c r="AP27" s="1">
        <v>3125</v>
      </c>
      <c r="AQ27" s="1">
        <v>43.4</v>
      </c>
      <c r="AR27" s="1">
        <v>143.80000000000001</v>
      </c>
      <c r="AS27" s="1">
        <v>194</v>
      </c>
      <c r="AT27" s="1">
        <v>118</v>
      </c>
      <c r="AU27" s="1">
        <v>202</v>
      </c>
      <c r="AV27" s="1">
        <v>-34</v>
      </c>
      <c r="AW27" s="1">
        <v>1483</v>
      </c>
      <c r="AX27" s="1">
        <v>2074</v>
      </c>
      <c r="AY27" s="1">
        <v>41.7</v>
      </c>
      <c r="AZ27" s="1">
        <v>503</v>
      </c>
      <c r="BA27" s="1">
        <v>716</v>
      </c>
      <c r="BB27" s="1">
        <v>41.3</v>
      </c>
      <c r="BC27" s="1">
        <v>51</v>
      </c>
      <c r="BD27" s="1">
        <v>9.1999999999999993</v>
      </c>
      <c r="BE27" s="1">
        <v>68</v>
      </c>
      <c r="BF27" s="1">
        <v>8.6999999999999993</v>
      </c>
    </row>
    <row r="28" spans="1:58" x14ac:dyDescent="0.35">
      <c r="A28" t="s">
        <v>56</v>
      </c>
      <c r="B28">
        <v>27</v>
      </c>
      <c r="C28" t="s">
        <v>83</v>
      </c>
      <c r="D28" s="1">
        <v>0</v>
      </c>
      <c r="E28" s="1">
        <v>28</v>
      </c>
      <c r="F28" s="1">
        <v>82</v>
      </c>
      <c r="G28" s="1">
        <v>28</v>
      </c>
      <c r="H28" s="1">
        <v>42</v>
      </c>
      <c r="I28" s="1">
        <v>12</v>
      </c>
      <c r="J28" s="1">
        <v>68</v>
      </c>
      <c r="K28" s="1">
        <v>0.41499999999999998</v>
      </c>
      <c r="L28" s="1">
        <v>213</v>
      </c>
      <c r="M28" s="1">
        <v>289</v>
      </c>
      <c r="N28" s="1">
        <v>6</v>
      </c>
      <c r="O28" s="1">
        <v>2</v>
      </c>
      <c r="P28" s="1">
        <v>-0.83</v>
      </c>
      <c r="Q28" s="1">
        <v>0.05</v>
      </c>
      <c r="R28" s="1">
        <v>2.6</v>
      </c>
      <c r="S28" s="1">
        <v>3.52</v>
      </c>
      <c r="T28" s="1">
        <v>47</v>
      </c>
      <c r="U28" s="1">
        <v>245</v>
      </c>
      <c r="V28" s="1">
        <v>19.18</v>
      </c>
      <c r="W28" s="1">
        <v>53</v>
      </c>
      <c r="X28" s="1">
        <v>223</v>
      </c>
      <c r="Y28" s="1">
        <v>76.23</v>
      </c>
      <c r="Z28" s="1">
        <v>2</v>
      </c>
      <c r="AA28" s="1">
        <v>6</v>
      </c>
      <c r="AB28" s="1">
        <v>7.9</v>
      </c>
      <c r="AC28" s="1">
        <v>8.6999999999999993</v>
      </c>
      <c r="AD28" s="1">
        <v>2362</v>
      </c>
      <c r="AE28" s="1">
        <v>9</v>
      </c>
      <c r="AF28" s="1">
        <v>2703</v>
      </c>
      <c r="AG28" s="1">
        <v>0.89300000000000002</v>
      </c>
      <c r="AH28" s="1">
        <v>4</v>
      </c>
      <c r="AI28" s="1">
        <v>8.5</v>
      </c>
      <c r="AJ28" s="1">
        <v>0.90700000000000003</v>
      </c>
      <c r="AK28" s="1">
        <v>99.2</v>
      </c>
      <c r="AL28" s="1">
        <v>2973</v>
      </c>
      <c r="AM28" s="1">
        <v>3662</v>
      </c>
      <c r="AN28" s="1">
        <v>44.8</v>
      </c>
      <c r="AO28" s="1">
        <v>2115</v>
      </c>
      <c r="AP28" s="1">
        <v>2722</v>
      </c>
      <c r="AQ28" s="1">
        <v>43.7</v>
      </c>
      <c r="AR28" s="1">
        <v>129.30000000000001</v>
      </c>
      <c r="AS28" s="1">
        <v>171.5</v>
      </c>
      <c r="AT28" s="1">
        <v>134</v>
      </c>
      <c r="AU28" s="1">
        <v>187</v>
      </c>
      <c r="AV28" s="1">
        <v>-11</v>
      </c>
      <c r="AW28" s="1">
        <v>1359</v>
      </c>
      <c r="AX28" s="1">
        <v>1776</v>
      </c>
      <c r="AY28" s="1">
        <v>43.3</v>
      </c>
      <c r="AZ28" s="1">
        <v>437</v>
      </c>
      <c r="BA28" s="1">
        <v>620</v>
      </c>
      <c r="BB28" s="1">
        <v>41.3</v>
      </c>
      <c r="BC28" s="1">
        <v>43</v>
      </c>
      <c r="BD28" s="1">
        <v>9</v>
      </c>
      <c r="BE28" s="1">
        <v>72</v>
      </c>
      <c r="BF28" s="1">
        <v>10.4</v>
      </c>
    </row>
    <row r="29" spans="1:58" x14ac:dyDescent="0.35">
      <c r="A29" t="s">
        <v>56</v>
      </c>
      <c r="B29">
        <v>28</v>
      </c>
      <c r="C29" t="s">
        <v>84</v>
      </c>
      <c r="D29" s="1">
        <v>0</v>
      </c>
      <c r="E29" s="1">
        <v>25.8</v>
      </c>
      <c r="F29" s="1">
        <v>82</v>
      </c>
      <c r="G29" s="1">
        <v>27</v>
      </c>
      <c r="H29" s="1">
        <v>46</v>
      </c>
      <c r="I29" s="1">
        <v>9</v>
      </c>
      <c r="J29" s="1">
        <v>63</v>
      </c>
      <c r="K29" s="1">
        <v>0.38400000000000001</v>
      </c>
      <c r="L29" s="1">
        <v>245</v>
      </c>
      <c r="M29" s="1">
        <v>302</v>
      </c>
      <c r="N29" s="1">
        <v>3</v>
      </c>
      <c r="O29" s="1">
        <v>5</v>
      </c>
      <c r="P29" s="1">
        <v>-0.68</v>
      </c>
      <c r="Q29" s="1">
        <v>0.04</v>
      </c>
      <c r="R29" s="1">
        <v>2.99</v>
      </c>
      <c r="S29" s="1">
        <v>3.68</v>
      </c>
      <c r="T29" s="1">
        <v>35</v>
      </c>
      <c r="U29" s="1">
        <v>225</v>
      </c>
      <c r="V29" s="1">
        <v>15.56</v>
      </c>
      <c r="W29" s="1">
        <v>42</v>
      </c>
      <c r="X29" s="1">
        <v>212</v>
      </c>
      <c r="Y29" s="1">
        <v>80.19</v>
      </c>
      <c r="Z29" s="1">
        <v>6</v>
      </c>
      <c r="AA29" s="1">
        <v>14</v>
      </c>
      <c r="AB29" s="1">
        <v>8.1</v>
      </c>
      <c r="AC29" s="1">
        <v>8.4</v>
      </c>
      <c r="AD29" s="1">
        <v>2562</v>
      </c>
      <c r="AE29" s="1">
        <v>9.6</v>
      </c>
      <c r="AF29" s="1">
        <v>2540</v>
      </c>
      <c r="AG29" s="1">
        <v>0.88100000000000001</v>
      </c>
      <c r="AH29" s="1">
        <v>2</v>
      </c>
      <c r="AI29" s="1">
        <v>8.5</v>
      </c>
      <c r="AJ29" s="1">
        <v>0.92700000000000005</v>
      </c>
      <c r="AK29" s="1">
        <v>101.2</v>
      </c>
      <c r="AL29" s="1">
        <v>3847</v>
      </c>
      <c r="AM29" s="1">
        <v>3411</v>
      </c>
      <c r="AN29" s="1">
        <v>53</v>
      </c>
      <c r="AO29" s="1">
        <v>2800</v>
      </c>
      <c r="AP29" s="1">
        <v>2583</v>
      </c>
      <c r="AQ29" s="1">
        <v>52</v>
      </c>
      <c r="AR29" s="1">
        <v>187.1</v>
      </c>
      <c r="AS29" s="1">
        <v>172.9</v>
      </c>
      <c r="AT29" s="1">
        <v>198</v>
      </c>
      <c r="AU29" s="1">
        <v>153</v>
      </c>
      <c r="AV29" s="1">
        <v>31</v>
      </c>
      <c r="AW29" s="1">
        <v>1885</v>
      </c>
      <c r="AX29" s="1">
        <v>1729</v>
      </c>
      <c r="AY29" s="1">
        <v>52.2</v>
      </c>
      <c r="AZ29" s="1">
        <v>544</v>
      </c>
      <c r="BA29" s="1">
        <v>582</v>
      </c>
      <c r="BB29" s="1">
        <v>48.3</v>
      </c>
      <c r="BC29" s="1">
        <v>75</v>
      </c>
      <c r="BD29" s="1">
        <v>12.1</v>
      </c>
      <c r="BE29" s="1">
        <v>75</v>
      </c>
      <c r="BF29" s="1">
        <v>11.4</v>
      </c>
    </row>
    <row r="30" spans="1:58" x14ac:dyDescent="0.35">
      <c r="A30" t="s">
        <v>56</v>
      </c>
      <c r="B30">
        <v>29</v>
      </c>
      <c r="C30" t="s">
        <v>85</v>
      </c>
      <c r="D30" s="1">
        <v>0</v>
      </c>
      <c r="E30" s="1">
        <v>28.3</v>
      </c>
      <c r="F30" s="1">
        <v>82</v>
      </c>
      <c r="G30" s="1">
        <v>25</v>
      </c>
      <c r="H30" s="1">
        <v>46</v>
      </c>
      <c r="I30" s="1">
        <v>11</v>
      </c>
      <c r="J30" s="1">
        <v>61</v>
      </c>
      <c r="K30" s="1">
        <v>0.372</v>
      </c>
      <c r="L30" s="1">
        <v>210</v>
      </c>
      <c r="M30" s="1">
        <v>294</v>
      </c>
      <c r="N30" s="1">
        <v>1</v>
      </c>
      <c r="O30" s="1">
        <v>4</v>
      </c>
      <c r="P30" s="1">
        <v>-1</v>
      </c>
      <c r="Q30" s="1">
        <v>0.06</v>
      </c>
      <c r="R30" s="1">
        <v>2.56</v>
      </c>
      <c r="S30" s="1">
        <v>3.59</v>
      </c>
      <c r="T30" s="1">
        <v>30</v>
      </c>
      <c r="U30" s="1">
        <v>239</v>
      </c>
      <c r="V30" s="1">
        <v>12.55</v>
      </c>
      <c r="W30" s="1">
        <v>57</v>
      </c>
      <c r="X30" s="1">
        <v>235</v>
      </c>
      <c r="Y30" s="1">
        <v>75.739999999999995</v>
      </c>
      <c r="Z30" s="1">
        <v>6</v>
      </c>
      <c r="AA30" s="1">
        <v>11</v>
      </c>
      <c r="AB30" s="1">
        <v>9</v>
      </c>
      <c r="AC30" s="1">
        <v>9</v>
      </c>
      <c r="AD30" s="1">
        <v>2539</v>
      </c>
      <c r="AE30" s="1">
        <v>8.3000000000000007</v>
      </c>
      <c r="AF30" s="1">
        <v>2785</v>
      </c>
      <c r="AG30" s="1">
        <v>0.89400000000000002</v>
      </c>
      <c r="AH30" s="1">
        <v>1</v>
      </c>
      <c r="AI30" s="1">
        <v>7.6</v>
      </c>
      <c r="AJ30" s="1">
        <v>0.93100000000000005</v>
      </c>
      <c r="AK30" s="1">
        <v>100.8</v>
      </c>
      <c r="AL30" s="1">
        <v>3897</v>
      </c>
      <c r="AM30" s="1">
        <v>3543</v>
      </c>
      <c r="AN30" s="1">
        <v>52.4</v>
      </c>
      <c r="AO30" s="1">
        <v>2816</v>
      </c>
      <c r="AP30" s="1">
        <v>2644</v>
      </c>
      <c r="AQ30" s="1">
        <v>51.6</v>
      </c>
      <c r="AR30" s="1">
        <v>190.4</v>
      </c>
      <c r="AS30" s="1">
        <v>173.6</v>
      </c>
      <c r="AT30" s="1">
        <v>174</v>
      </c>
      <c r="AU30" s="1">
        <v>145</v>
      </c>
      <c r="AV30" s="1">
        <v>12</v>
      </c>
      <c r="AW30" s="1">
        <v>1880</v>
      </c>
      <c r="AX30" s="1">
        <v>1678</v>
      </c>
      <c r="AY30" s="1">
        <v>52.8</v>
      </c>
      <c r="AZ30" s="1">
        <v>573</v>
      </c>
      <c r="BA30" s="1">
        <v>561</v>
      </c>
      <c r="BB30" s="1">
        <v>50.5</v>
      </c>
      <c r="BC30" s="1">
        <v>70</v>
      </c>
      <c r="BD30" s="1">
        <v>10.9</v>
      </c>
      <c r="BE30" s="1">
        <v>47</v>
      </c>
      <c r="BF30" s="1">
        <v>7.7</v>
      </c>
    </row>
    <row r="31" spans="1:58" x14ac:dyDescent="0.35">
      <c r="A31" t="s">
        <v>56</v>
      </c>
      <c r="B31">
        <v>30</v>
      </c>
      <c r="C31" t="s">
        <v>86</v>
      </c>
      <c r="D31" s="1">
        <v>0</v>
      </c>
      <c r="E31" s="1">
        <v>28.7</v>
      </c>
      <c r="F31" s="1">
        <v>82</v>
      </c>
      <c r="G31" s="1">
        <v>27</v>
      </c>
      <c r="H31" s="1">
        <v>49</v>
      </c>
      <c r="I31" s="1">
        <v>6</v>
      </c>
      <c r="J31" s="1">
        <v>60</v>
      </c>
      <c r="K31" s="1">
        <v>0.36599999999999999</v>
      </c>
      <c r="L31" s="1">
        <v>213</v>
      </c>
      <c r="M31" s="1">
        <v>284</v>
      </c>
      <c r="N31" s="1">
        <v>3</v>
      </c>
      <c r="O31" s="1">
        <v>1</v>
      </c>
      <c r="P31" s="1">
        <v>-0.8</v>
      </c>
      <c r="Q31" s="1">
        <v>0.04</v>
      </c>
      <c r="R31" s="1">
        <v>2.6</v>
      </c>
      <c r="S31" s="1">
        <v>3.46</v>
      </c>
      <c r="T31" s="1">
        <v>32</v>
      </c>
      <c r="U31" s="1">
        <v>220</v>
      </c>
      <c r="V31" s="1">
        <v>14.55</v>
      </c>
      <c r="W31" s="1">
        <v>56</v>
      </c>
      <c r="X31" s="1">
        <v>223</v>
      </c>
      <c r="Y31" s="1">
        <v>74.89</v>
      </c>
      <c r="Z31" s="1">
        <v>8</v>
      </c>
      <c r="AA31" s="1">
        <v>7</v>
      </c>
      <c r="AB31" s="1">
        <v>8.5</v>
      </c>
      <c r="AC31" s="1">
        <v>8</v>
      </c>
      <c r="AD31" s="1">
        <v>2380</v>
      </c>
      <c r="AE31" s="1">
        <v>8.9</v>
      </c>
      <c r="AF31" s="1">
        <v>2367</v>
      </c>
      <c r="AG31" s="1">
        <v>0.88</v>
      </c>
      <c r="AH31" s="1">
        <v>3</v>
      </c>
      <c r="AI31" s="1">
        <v>8.6</v>
      </c>
      <c r="AJ31" s="1">
        <v>0.91700000000000004</v>
      </c>
      <c r="AK31" s="1">
        <v>100.4</v>
      </c>
      <c r="AL31" s="1">
        <v>4194</v>
      </c>
      <c r="AM31" s="1">
        <v>3690</v>
      </c>
      <c r="AN31" s="1">
        <v>53.2</v>
      </c>
      <c r="AO31" s="1">
        <v>2943</v>
      </c>
      <c r="AP31" s="1">
        <v>2705</v>
      </c>
      <c r="AQ31" s="1">
        <v>52.1</v>
      </c>
      <c r="AR31" s="1">
        <v>184.5</v>
      </c>
      <c r="AS31" s="1">
        <v>163.6</v>
      </c>
      <c r="AT31" s="1">
        <v>196</v>
      </c>
      <c r="AU31" s="1">
        <v>168</v>
      </c>
      <c r="AV31" s="1">
        <v>7</v>
      </c>
      <c r="AW31" s="1">
        <v>1906</v>
      </c>
      <c r="AX31" s="1">
        <v>1677</v>
      </c>
      <c r="AY31" s="1">
        <v>53.2</v>
      </c>
      <c r="AZ31" s="1">
        <v>661</v>
      </c>
      <c r="BA31" s="1">
        <v>609</v>
      </c>
      <c r="BB31" s="1">
        <v>52</v>
      </c>
      <c r="BC31" s="1">
        <v>64</v>
      </c>
      <c r="BD31" s="1">
        <v>8.8000000000000007</v>
      </c>
      <c r="BE31" s="1">
        <v>70</v>
      </c>
      <c r="BF31" s="1">
        <v>10.3</v>
      </c>
    </row>
    <row r="32" spans="1:58" x14ac:dyDescent="0.35">
      <c r="A32" t="s">
        <v>56</v>
      </c>
      <c r="B32">
        <v>31</v>
      </c>
      <c r="C32" t="s">
        <v>87</v>
      </c>
      <c r="D32" s="1">
        <v>0</v>
      </c>
      <c r="E32" s="1">
        <v>28</v>
      </c>
      <c r="F32" s="1">
        <v>82</v>
      </c>
      <c r="G32" s="1">
        <v>25</v>
      </c>
      <c r="H32" s="1">
        <v>50</v>
      </c>
      <c r="I32" s="1">
        <v>7</v>
      </c>
      <c r="J32" s="1">
        <v>57</v>
      </c>
      <c r="K32" s="1">
        <v>0.34799999999999998</v>
      </c>
      <c r="L32" s="1">
        <v>206</v>
      </c>
      <c r="M32" s="1">
        <v>309</v>
      </c>
      <c r="N32" s="1">
        <v>1</v>
      </c>
      <c r="O32" s="1">
        <v>4</v>
      </c>
      <c r="P32" s="1">
        <v>-1.23</v>
      </c>
      <c r="Q32" s="1">
        <v>0.06</v>
      </c>
      <c r="R32" s="1">
        <v>2.5099999999999998</v>
      </c>
      <c r="S32" s="1">
        <v>3.77</v>
      </c>
      <c r="T32" s="1">
        <v>28</v>
      </c>
      <c r="U32" s="1">
        <v>202</v>
      </c>
      <c r="V32" s="1">
        <v>13.86</v>
      </c>
      <c r="W32" s="1">
        <v>64</v>
      </c>
      <c r="X32" s="1">
        <v>256</v>
      </c>
      <c r="Y32" s="1">
        <v>75</v>
      </c>
      <c r="Z32" s="1">
        <v>3</v>
      </c>
      <c r="AA32" s="1">
        <v>4</v>
      </c>
      <c r="AB32" s="1">
        <v>10.199999999999999</v>
      </c>
      <c r="AC32" s="1">
        <v>8.1999999999999993</v>
      </c>
      <c r="AD32" s="1">
        <v>2121</v>
      </c>
      <c r="AE32" s="1">
        <v>9.6999999999999993</v>
      </c>
      <c r="AF32" s="1">
        <v>2910</v>
      </c>
      <c r="AG32" s="1">
        <v>0.89400000000000002</v>
      </c>
      <c r="AH32" s="1">
        <v>1</v>
      </c>
      <c r="AI32" s="1">
        <v>7.9</v>
      </c>
      <c r="AJ32" s="1">
        <v>0.91600000000000004</v>
      </c>
      <c r="AK32" s="1">
        <v>99.5</v>
      </c>
      <c r="AL32" s="1">
        <v>3744</v>
      </c>
      <c r="AM32" s="1">
        <v>3082</v>
      </c>
      <c r="AN32" s="1">
        <v>54.8</v>
      </c>
      <c r="AO32" s="1">
        <v>2583</v>
      </c>
      <c r="AP32" s="1">
        <v>2227</v>
      </c>
      <c r="AQ32" s="1">
        <v>53.7</v>
      </c>
      <c r="AR32" s="1">
        <v>163.1</v>
      </c>
      <c r="AS32" s="1">
        <v>141.9</v>
      </c>
      <c r="AT32" s="1">
        <v>147</v>
      </c>
      <c r="AU32" s="1">
        <v>136</v>
      </c>
      <c r="AV32" s="1">
        <v>-10</v>
      </c>
      <c r="AW32" s="1">
        <v>1733</v>
      </c>
      <c r="AX32" s="1">
        <v>1482</v>
      </c>
      <c r="AY32" s="1">
        <v>53.9</v>
      </c>
      <c r="AZ32" s="1">
        <v>556</v>
      </c>
      <c r="BA32" s="1">
        <v>521</v>
      </c>
      <c r="BB32" s="1">
        <v>51.6</v>
      </c>
      <c r="BC32" s="1">
        <v>55</v>
      </c>
      <c r="BD32" s="1">
        <v>9</v>
      </c>
      <c r="BE32" s="1">
        <v>60</v>
      </c>
      <c r="BF32" s="1">
        <v>10.3</v>
      </c>
    </row>
    <row r="33" spans="1:58" x14ac:dyDescent="0.35">
      <c r="A33" t="s">
        <v>56</v>
      </c>
      <c r="B33">
        <v>32</v>
      </c>
      <c r="C33" t="s">
        <v>88</v>
      </c>
      <c r="D33" s="1">
        <v>0</v>
      </c>
      <c r="E33" s="1">
        <v>27.8</v>
      </c>
      <c r="F33" s="1">
        <v>82</v>
      </c>
      <c r="G33" s="1">
        <v>22</v>
      </c>
      <c r="H33" s="1">
        <v>49</v>
      </c>
      <c r="I33" s="1">
        <v>11</v>
      </c>
      <c r="J33" s="1">
        <v>55</v>
      </c>
      <c r="K33" s="1">
        <v>0.33500000000000002</v>
      </c>
      <c r="L33" s="1">
        <v>218</v>
      </c>
      <c r="M33" s="1">
        <v>317</v>
      </c>
      <c r="N33" s="1">
        <v>3</v>
      </c>
      <c r="O33" s="1">
        <v>2</v>
      </c>
      <c r="P33" s="1">
        <v>-1.1499999999999999</v>
      </c>
      <c r="Q33" s="1">
        <v>0.05</v>
      </c>
      <c r="R33" s="1">
        <v>2.66</v>
      </c>
      <c r="S33" s="1">
        <v>3.87</v>
      </c>
      <c r="T33" s="1">
        <v>34</v>
      </c>
      <c r="U33" s="1">
        <v>248</v>
      </c>
      <c r="V33" s="1">
        <v>13.71</v>
      </c>
      <c r="W33" s="1">
        <v>67</v>
      </c>
      <c r="X33" s="1">
        <v>274</v>
      </c>
      <c r="Y33" s="1">
        <v>75.55</v>
      </c>
      <c r="Z33" s="1">
        <v>6</v>
      </c>
      <c r="AA33" s="1">
        <v>12</v>
      </c>
      <c r="AB33" s="1">
        <v>10.199999999999999</v>
      </c>
      <c r="AC33" s="1">
        <v>9</v>
      </c>
      <c r="AD33" s="1">
        <v>2442</v>
      </c>
      <c r="AE33" s="1">
        <v>8.9</v>
      </c>
      <c r="AF33" s="1">
        <v>2823</v>
      </c>
      <c r="AG33" s="1">
        <v>0.88800000000000001</v>
      </c>
      <c r="AH33" s="1">
        <v>3</v>
      </c>
      <c r="AI33" s="1">
        <v>8.5</v>
      </c>
      <c r="AJ33" s="1">
        <v>0.91500000000000004</v>
      </c>
      <c r="AK33" s="1">
        <v>99.9</v>
      </c>
      <c r="AL33" s="1">
        <v>3562</v>
      </c>
      <c r="AM33" s="1">
        <v>3881</v>
      </c>
      <c r="AN33" s="1">
        <v>47.9</v>
      </c>
      <c r="AO33" s="1">
        <v>2677</v>
      </c>
      <c r="AP33" s="1">
        <v>3038</v>
      </c>
      <c r="AQ33" s="1">
        <v>46.8</v>
      </c>
      <c r="AR33" s="1">
        <v>162.69999999999999</v>
      </c>
      <c r="AS33" s="1">
        <v>212.4</v>
      </c>
      <c r="AT33" s="1">
        <v>177</v>
      </c>
      <c r="AU33" s="1">
        <v>214</v>
      </c>
      <c r="AV33" s="1">
        <v>13</v>
      </c>
      <c r="AW33" s="1">
        <v>1685</v>
      </c>
      <c r="AX33" s="1">
        <v>1960</v>
      </c>
      <c r="AY33" s="1">
        <v>46.2</v>
      </c>
      <c r="AZ33" s="1">
        <v>489</v>
      </c>
      <c r="BA33" s="1">
        <v>566</v>
      </c>
      <c r="BB33" s="1">
        <v>46.4</v>
      </c>
      <c r="BC33" s="1">
        <v>73</v>
      </c>
      <c r="BD33" s="1">
        <v>13</v>
      </c>
      <c r="BE33" s="1">
        <v>71</v>
      </c>
      <c r="BF33" s="1">
        <v>11.1</v>
      </c>
    </row>
    <row r="34" spans="1:58" x14ac:dyDescent="0.35">
      <c r="A34" t="s">
        <v>89</v>
      </c>
      <c r="B34">
        <v>1</v>
      </c>
      <c r="C34" t="s">
        <v>66</v>
      </c>
      <c r="D34" s="1">
        <v>1</v>
      </c>
      <c r="E34" s="1">
        <v>29.5</v>
      </c>
      <c r="F34" s="1">
        <v>82</v>
      </c>
      <c r="G34" s="1">
        <v>65</v>
      </c>
      <c r="H34" s="1">
        <v>12</v>
      </c>
      <c r="I34" s="1">
        <v>5</v>
      </c>
      <c r="J34" s="1">
        <v>135</v>
      </c>
      <c r="K34" s="1">
        <v>0.82299999999999995</v>
      </c>
      <c r="L34" s="1">
        <v>301</v>
      </c>
      <c r="M34" s="1">
        <v>174</v>
      </c>
      <c r="N34" s="1">
        <v>4</v>
      </c>
      <c r="O34" s="1">
        <v>3</v>
      </c>
      <c r="P34" s="1">
        <v>1.54</v>
      </c>
      <c r="Q34" s="1">
        <v>-0.02</v>
      </c>
      <c r="R34" s="1">
        <v>3.67</v>
      </c>
      <c r="S34" s="1">
        <v>2.12</v>
      </c>
      <c r="T34" s="1">
        <v>62</v>
      </c>
      <c r="U34" s="1">
        <v>279</v>
      </c>
      <c r="V34" s="1">
        <v>22.22</v>
      </c>
      <c r="W34" s="1">
        <v>36</v>
      </c>
      <c r="X34" s="1">
        <v>283</v>
      </c>
      <c r="Y34" s="1">
        <v>87.28</v>
      </c>
      <c r="Z34" s="1">
        <v>8</v>
      </c>
      <c r="AA34" s="1">
        <v>8</v>
      </c>
      <c r="AB34" s="1">
        <v>10.5</v>
      </c>
      <c r="AC34" s="1">
        <v>9.9</v>
      </c>
      <c r="AD34" s="1">
        <v>2703</v>
      </c>
      <c r="AE34" s="1">
        <v>11.1</v>
      </c>
      <c r="AF34" s="1">
        <v>2447</v>
      </c>
      <c r="AG34" s="1">
        <v>0.92900000000000005</v>
      </c>
      <c r="AH34" s="1">
        <v>7</v>
      </c>
      <c r="AI34" s="1">
        <v>7.2</v>
      </c>
      <c r="AJ34" s="1">
        <v>0.90900000000000003</v>
      </c>
      <c r="AK34" s="1">
        <v>98.1</v>
      </c>
      <c r="AL34" s="1">
        <v>3525</v>
      </c>
      <c r="AM34" s="1">
        <v>4316</v>
      </c>
      <c r="AN34" s="1">
        <v>45</v>
      </c>
      <c r="AO34" s="1">
        <v>2579</v>
      </c>
      <c r="AP34" s="1">
        <v>3212</v>
      </c>
      <c r="AQ34" s="1">
        <v>44.5</v>
      </c>
      <c r="AR34" s="1">
        <v>163.30000000000001</v>
      </c>
      <c r="AS34" s="1">
        <v>209.4</v>
      </c>
      <c r="AT34" s="1">
        <v>143</v>
      </c>
      <c r="AU34" s="1">
        <v>231</v>
      </c>
      <c r="AV34" s="1">
        <v>-42</v>
      </c>
      <c r="AW34" s="1">
        <v>1745</v>
      </c>
      <c r="AX34" s="1">
        <v>2092</v>
      </c>
      <c r="AY34" s="1">
        <v>45.5</v>
      </c>
      <c r="AZ34" s="1">
        <v>576</v>
      </c>
      <c r="BA34" s="1">
        <v>703</v>
      </c>
      <c r="BB34" s="1">
        <v>45</v>
      </c>
      <c r="BC34" s="1">
        <v>52</v>
      </c>
      <c r="BD34" s="1">
        <v>8.3000000000000007</v>
      </c>
      <c r="BE34" s="1">
        <v>90</v>
      </c>
      <c r="BF34" s="1">
        <v>11.3</v>
      </c>
    </row>
    <row r="35" spans="1:58" x14ac:dyDescent="0.35">
      <c r="A35" t="s">
        <v>89</v>
      </c>
      <c r="B35">
        <v>2</v>
      </c>
      <c r="C35" t="s">
        <v>59</v>
      </c>
      <c r="D35" s="1">
        <v>1</v>
      </c>
      <c r="E35" s="1">
        <v>29.3</v>
      </c>
      <c r="F35" s="1">
        <v>82</v>
      </c>
      <c r="G35" s="1">
        <v>52</v>
      </c>
      <c r="H35" s="1">
        <v>21</v>
      </c>
      <c r="I35" s="1">
        <v>9</v>
      </c>
      <c r="J35" s="1">
        <v>113</v>
      </c>
      <c r="K35" s="1">
        <v>0.68899999999999995</v>
      </c>
      <c r="L35" s="1">
        <v>262</v>
      </c>
      <c r="M35" s="1">
        <v>210</v>
      </c>
      <c r="N35" s="1">
        <v>4</v>
      </c>
      <c r="O35" s="1">
        <v>3</v>
      </c>
      <c r="P35" s="1">
        <v>0.66</v>
      </c>
      <c r="Q35" s="1">
        <v>0.01</v>
      </c>
      <c r="R35" s="1">
        <v>3.2</v>
      </c>
      <c r="S35" s="1">
        <v>2.56</v>
      </c>
      <c r="T35" s="1">
        <v>50</v>
      </c>
      <c r="U35" s="1">
        <v>253</v>
      </c>
      <c r="V35" s="1">
        <v>19.760000000000002</v>
      </c>
      <c r="W35" s="1">
        <v>40</v>
      </c>
      <c r="X35" s="1">
        <v>256</v>
      </c>
      <c r="Y35" s="1">
        <v>84.38</v>
      </c>
      <c r="Z35" s="1">
        <v>11</v>
      </c>
      <c r="AA35" s="1">
        <v>6</v>
      </c>
      <c r="AB35" s="1">
        <v>7.5</v>
      </c>
      <c r="AC35" s="1">
        <v>7.5</v>
      </c>
      <c r="AD35" s="1">
        <v>2852</v>
      </c>
      <c r="AE35" s="1">
        <v>9.1999999999999993</v>
      </c>
      <c r="AF35" s="1">
        <v>2132</v>
      </c>
      <c r="AG35" s="1">
        <v>0.90200000000000002</v>
      </c>
      <c r="AH35" s="1">
        <v>9</v>
      </c>
      <c r="AI35" s="1">
        <v>8.3000000000000007</v>
      </c>
      <c r="AJ35" s="1">
        <v>0.91900000000000004</v>
      </c>
      <c r="AK35" s="1">
        <v>100.2</v>
      </c>
      <c r="AL35" s="1">
        <v>3993</v>
      </c>
      <c r="AM35" s="1">
        <v>4281</v>
      </c>
      <c r="AN35" s="1">
        <v>48.3</v>
      </c>
      <c r="AO35" s="1">
        <v>2814</v>
      </c>
      <c r="AP35" s="1">
        <v>3128</v>
      </c>
      <c r="AQ35" s="1">
        <v>47.4</v>
      </c>
      <c r="AR35" s="1">
        <v>165.1</v>
      </c>
      <c r="AS35" s="1">
        <v>195.1</v>
      </c>
      <c r="AT35" s="1">
        <v>175</v>
      </c>
      <c r="AU35" s="1">
        <v>196</v>
      </c>
      <c r="AV35" s="1">
        <v>9</v>
      </c>
      <c r="AW35" s="1">
        <v>1774</v>
      </c>
      <c r="AX35" s="1">
        <v>2010</v>
      </c>
      <c r="AY35" s="1">
        <v>46.9</v>
      </c>
      <c r="AZ35" s="1">
        <v>650</v>
      </c>
      <c r="BA35" s="1">
        <v>729</v>
      </c>
      <c r="BB35" s="1">
        <v>47.1</v>
      </c>
      <c r="BC35" s="1">
        <v>72</v>
      </c>
      <c r="BD35" s="1">
        <v>10</v>
      </c>
      <c r="BE35" s="1">
        <v>71</v>
      </c>
      <c r="BF35" s="1">
        <v>8.9</v>
      </c>
    </row>
    <row r="36" spans="1:58" x14ac:dyDescent="0.35">
      <c r="A36" t="s">
        <v>89</v>
      </c>
      <c r="B36">
        <v>3</v>
      </c>
      <c r="C36" t="s">
        <v>84</v>
      </c>
      <c r="D36" s="1">
        <v>1</v>
      </c>
      <c r="E36" s="1">
        <v>26.7</v>
      </c>
      <c r="F36" s="1">
        <v>82</v>
      </c>
      <c r="G36" s="1">
        <v>52</v>
      </c>
      <c r="H36" s="1">
        <v>22</v>
      </c>
      <c r="I36" s="1">
        <v>8</v>
      </c>
      <c r="J36" s="1">
        <v>112</v>
      </c>
      <c r="K36" s="1">
        <v>0.68300000000000005</v>
      </c>
      <c r="L36" s="1">
        <v>289</v>
      </c>
      <c r="M36" s="1">
        <v>222</v>
      </c>
      <c r="N36" s="1">
        <v>2</v>
      </c>
      <c r="O36" s="1">
        <v>4</v>
      </c>
      <c r="P36" s="1">
        <v>0.79</v>
      </c>
      <c r="Q36" s="1">
        <v>0</v>
      </c>
      <c r="R36" s="1">
        <v>3.52</v>
      </c>
      <c r="S36" s="1">
        <v>2.71</v>
      </c>
      <c r="T36" s="1">
        <v>49</v>
      </c>
      <c r="U36" s="1">
        <v>224</v>
      </c>
      <c r="V36" s="1">
        <v>21.88</v>
      </c>
      <c r="W36" s="1">
        <v>40</v>
      </c>
      <c r="X36" s="1">
        <v>230</v>
      </c>
      <c r="Y36" s="1">
        <v>82.61</v>
      </c>
      <c r="Z36" s="1">
        <v>9</v>
      </c>
      <c r="AA36" s="1">
        <v>8</v>
      </c>
      <c r="AB36" s="1">
        <v>7.7</v>
      </c>
      <c r="AC36" s="1">
        <v>7.9</v>
      </c>
      <c r="AD36" s="1">
        <v>2821</v>
      </c>
      <c r="AE36" s="1">
        <v>10.199999999999999</v>
      </c>
      <c r="AF36" s="1">
        <v>2315</v>
      </c>
      <c r="AG36" s="1">
        <v>0.90400000000000003</v>
      </c>
      <c r="AH36" s="1">
        <v>4</v>
      </c>
      <c r="AI36" s="1">
        <v>9.1999999999999993</v>
      </c>
      <c r="AJ36" s="1">
        <v>0.91500000000000004</v>
      </c>
      <c r="AK36" s="1">
        <v>100.7</v>
      </c>
      <c r="AL36" s="1">
        <v>3398</v>
      </c>
      <c r="AM36" s="1">
        <v>3530</v>
      </c>
      <c r="AN36" s="1">
        <v>49</v>
      </c>
      <c r="AO36" s="1">
        <v>2427</v>
      </c>
      <c r="AP36" s="1">
        <v>2532</v>
      </c>
      <c r="AQ36" s="1">
        <v>48.9</v>
      </c>
      <c r="AR36" s="1">
        <v>146.1</v>
      </c>
      <c r="AS36" s="1">
        <v>157.9</v>
      </c>
      <c r="AT36" s="1">
        <v>165</v>
      </c>
      <c r="AU36" s="1">
        <v>154</v>
      </c>
      <c r="AV36" s="1">
        <v>23</v>
      </c>
      <c r="AW36" s="1">
        <v>1532</v>
      </c>
      <c r="AX36" s="1">
        <v>1680</v>
      </c>
      <c r="AY36" s="1">
        <v>47.7</v>
      </c>
      <c r="AZ36" s="1">
        <v>564</v>
      </c>
      <c r="BA36" s="1">
        <v>590</v>
      </c>
      <c r="BB36" s="1">
        <v>48.9</v>
      </c>
      <c r="BC36" s="1">
        <v>57</v>
      </c>
      <c r="BD36" s="1">
        <v>9.1999999999999993</v>
      </c>
      <c r="BE36" s="1">
        <v>65</v>
      </c>
      <c r="BF36" s="1">
        <v>9.9</v>
      </c>
    </row>
    <row r="37" spans="1:58" x14ac:dyDescent="0.35">
      <c r="A37" t="s">
        <v>89</v>
      </c>
      <c r="B37">
        <v>4</v>
      </c>
      <c r="C37" t="s">
        <v>73</v>
      </c>
      <c r="D37" s="1">
        <v>1</v>
      </c>
      <c r="E37" s="1">
        <v>29.1</v>
      </c>
      <c r="F37" s="1">
        <v>82</v>
      </c>
      <c r="G37" s="1">
        <v>51</v>
      </c>
      <c r="H37" s="1">
        <v>22</v>
      </c>
      <c r="I37" s="1">
        <v>9</v>
      </c>
      <c r="J37" s="1">
        <v>111</v>
      </c>
      <c r="K37" s="1">
        <v>0.67700000000000005</v>
      </c>
      <c r="L37" s="1">
        <v>267</v>
      </c>
      <c r="M37" s="1">
        <v>225</v>
      </c>
      <c r="N37" s="1">
        <v>5</v>
      </c>
      <c r="O37" s="1">
        <v>4</v>
      </c>
      <c r="P37" s="1">
        <v>0.49</v>
      </c>
      <c r="Q37" s="1">
        <v>-0.04</v>
      </c>
      <c r="R37" s="1">
        <v>3.26</v>
      </c>
      <c r="S37" s="1">
        <v>2.74</v>
      </c>
      <c r="T37" s="1">
        <v>42</v>
      </c>
      <c r="U37" s="1">
        <v>207</v>
      </c>
      <c r="V37" s="1">
        <v>20.29</v>
      </c>
      <c r="W37" s="1">
        <v>44</v>
      </c>
      <c r="X37" s="1">
        <v>195</v>
      </c>
      <c r="Y37" s="1">
        <v>77.44</v>
      </c>
      <c r="Z37" s="1">
        <v>10</v>
      </c>
      <c r="AA37" s="1">
        <v>4</v>
      </c>
      <c r="AB37" s="1">
        <v>7.2</v>
      </c>
      <c r="AC37" s="1">
        <v>7.9</v>
      </c>
      <c r="AD37" s="1">
        <v>2587</v>
      </c>
      <c r="AE37" s="1">
        <v>10.3</v>
      </c>
      <c r="AF37" s="1">
        <v>2533</v>
      </c>
      <c r="AG37" s="1">
        <v>0.91100000000000003</v>
      </c>
      <c r="AH37" s="1">
        <v>3</v>
      </c>
      <c r="AI37" s="1">
        <v>7.2</v>
      </c>
      <c r="AJ37" s="1">
        <v>0.92500000000000004</v>
      </c>
      <c r="AK37" s="1">
        <v>99.7</v>
      </c>
      <c r="AL37" s="1">
        <v>3538</v>
      </c>
      <c r="AM37" s="1">
        <v>3690</v>
      </c>
      <c r="AN37" s="1">
        <v>48.9</v>
      </c>
      <c r="AO37" s="1">
        <v>2650</v>
      </c>
      <c r="AP37" s="1">
        <v>2738</v>
      </c>
      <c r="AQ37" s="1">
        <v>49.2</v>
      </c>
      <c r="AR37" s="1">
        <v>176</v>
      </c>
      <c r="AS37" s="1">
        <v>172.7</v>
      </c>
      <c r="AT37" s="1">
        <v>147</v>
      </c>
      <c r="AU37" s="1">
        <v>159</v>
      </c>
      <c r="AV37" s="1">
        <v>-15</v>
      </c>
      <c r="AW37" s="1">
        <v>1835</v>
      </c>
      <c r="AX37" s="1">
        <v>1732</v>
      </c>
      <c r="AY37" s="1">
        <v>51.4</v>
      </c>
      <c r="AZ37" s="1">
        <v>578</v>
      </c>
      <c r="BA37" s="1">
        <v>516</v>
      </c>
      <c r="BB37" s="1">
        <v>52.8</v>
      </c>
      <c r="BC37" s="1">
        <v>67</v>
      </c>
      <c r="BD37" s="1">
        <v>10.4</v>
      </c>
      <c r="BE37" s="1">
        <v>64</v>
      </c>
      <c r="BF37" s="1">
        <v>11</v>
      </c>
    </row>
    <row r="38" spans="1:58" x14ac:dyDescent="0.35">
      <c r="A38" t="s">
        <v>89</v>
      </c>
      <c r="B38">
        <v>5</v>
      </c>
      <c r="C38" t="s">
        <v>60</v>
      </c>
      <c r="D38" s="1">
        <v>1</v>
      </c>
      <c r="E38" s="1">
        <v>28.6</v>
      </c>
      <c r="F38" s="1">
        <v>82</v>
      </c>
      <c r="G38" s="1">
        <v>50</v>
      </c>
      <c r="H38" s="1">
        <v>21</v>
      </c>
      <c r="I38" s="1">
        <v>11</v>
      </c>
      <c r="J38" s="1">
        <v>111</v>
      </c>
      <c r="K38" s="1">
        <v>0.67700000000000005</v>
      </c>
      <c r="L38" s="1">
        <v>278</v>
      </c>
      <c r="M38" s="1">
        <v>220</v>
      </c>
      <c r="N38" s="1">
        <v>1</v>
      </c>
      <c r="O38" s="1">
        <v>2</v>
      </c>
      <c r="P38" s="1">
        <v>0.7</v>
      </c>
      <c r="Q38" s="1">
        <v>0</v>
      </c>
      <c r="R38" s="1">
        <v>3.39</v>
      </c>
      <c r="S38" s="1">
        <v>2.68</v>
      </c>
      <c r="T38" s="1">
        <v>64</v>
      </c>
      <c r="U38" s="1">
        <v>246</v>
      </c>
      <c r="V38" s="1">
        <v>26.02</v>
      </c>
      <c r="W38" s="1">
        <v>45</v>
      </c>
      <c r="X38" s="1">
        <v>248</v>
      </c>
      <c r="Y38" s="1">
        <v>81.849999999999994</v>
      </c>
      <c r="Z38" s="1">
        <v>8</v>
      </c>
      <c r="AA38" s="1">
        <v>8</v>
      </c>
      <c r="AB38" s="1">
        <v>8.4</v>
      </c>
      <c r="AC38" s="1">
        <v>8.4</v>
      </c>
      <c r="AD38" s="1">
        <v>2628</v>
      </c>
      <c r="AE38" s="1">
        <v>10.6</v>
      </c>
      <c r="AF38" s="1">
        <v>2420</v>
      </c>
      <c r="AG38" s="1">
        <v>0.90900000000000003</v>
      </c>
      <c r="AH38" s="1">
        <v>5</v>
      </c>
      <c r="AI38" s="1">
        <v>8.1999999999999993</v>
      </c>
      <c r="AJ38" s="1">
        <v>0.92800000000000005</v>
      </c>
      <c r="AK38" s="1">
        <v>101</v>
      </c>
      <c r="AL38" s="1">
        <v>3792</v>
      </c>
      <c r="AM38" s="1">
        <v>3552</v>
      </c>
      <c r="AN38" s="1">
        <v>51.6</v>
      </c>
      <c r="AO38" s="1">
        <v>2731</v>
      </c>
      <c r="AP38" s="1">
        <v>2653</v>
      </c>
      <c r="AQ38" s="1">
        <v>50.7</v>
      </c>
      <c r="AR38" s="1">
        <v>181.8</v>
      </c>
      <c r="AS38" s="1">
        <v>164.6</v>
      </c>
      <c r="AT38" s="1">
        <v>175</v>
      </c>
      <c r="AU38" s="1">
        <v>145</v>
      </c>
      <c r="AV38" s="1">
        <v>13</v>
      </c>
      <c r="AW38" s="1">
        <v>1919</v>
      </c>
      <c r="AX38" s="1">
        <v>1706</v>
      </c>
      <c r="AY38" s="1">
        <v>52.9</v>
      </c>
      <c r="AZ38" s="1">
        <v>680</v>
      </c>
      <c r="BA38" s="1">
        <v>527</v>
      </c>
      <c r="BB38" s="1">
        <v>56.3</v>
      </c>
      <c r="BC38" s="1">
        <v>72</v>
      </c>
      <c r="BD38" s="1">
        <v>9.6</v>
      </c>
      <c r="BE38" s="1">
        <v>54</v>
      </c>
      <c r="BF38" s="1">
        <v>9.3000000000000007</v>
      </c>
    </row>
    <row r="39" spans="1:58" x14ac:dyDescent="0.35">
      <c r="A39" t="s">
        <v>89</v>
      </c>
      <c r="B39">
        <v>6</v>
      </c>
      <c r="C39" t="s">
        <v>58</v>
      </c>
      <c r="D39" s="1">
        <v>1</v>
      </c>
      <c r="E39" s="1">
        <v>28.1</v>
      </c>
      <c r="F39" s="1">
        <v>82</v>
      </c>
      <c r="G39" s="1">
        <v>51</v>
      </c>
      <c r="H39" s="1">
        <v>24</v>
      </c>
      <c r="I39" s="1">
        <v>7</v>
      </c>
      <c r="J39" s="1">
        <v>109</v>
      </c>
      <c r="K39" s="1">
        <v>0.66500000000000004</v>
      </c>
      <c r="L39" s="1">
        <v>274</v>
      </c>
      <c r="M39" s="1">
        <v>223</v>
      </c>
      <c r="N39" s="1">
        <v>6</v>
      </c>
      <c r="O39" s="1">
        <v>3</v>
      </c>
      <c r="P39" s="1">
        <v>0.61</v>
      </c>
      <c r="Q39" s="1">
        <v>-0.05</v>
      </c>
      <c r="R39" s="1">
        <v>3.34</v>
      </c>
      <c r="S39" s="1">
        <v>2.72</v>
      </c>
      <c r="T39" s="1">
        <v>64</v>
      </c>
      <c r="U39" s="1">
        <v>261</v>
      </c>
      <c r="V39" s="1">
        <v>24.52</v>
      </c>
      <c r="W39" s="1">
        <v>52</v>
      </c>
      <c r="X39" s="1">
        <v>248</v>
      </c>
      <c r="Y39" s="1">
        <v>79.03</v>
      </c>
      <c r="Z39" s="1">
        <v>6</v>
      </c>
      <c r="AA39" s="1">
        <v>5</v>
      </c>
      <c r="AB39" s="1">
        <v>8.1999999999999993</v>
      </c>
      <c r="AC39" s="1">
        <v>9.3000000000000007</v>
      </c>
      <c r="AD39" s="1">
        <v>2727</v>
      </c>
      <c r="AE39" s="1">
        <v>10</v>
      </c>
      <c r="AF39" s="1">
        <v>2539</v>
      </c>
      <c r="AG39" s="1">
        <v>0.91200000000000003</v>
      </c>
      <c r="AH39" s="1">
        <v>6</v>
      </c>
      <c r="AI39" s="1">
        <v>8.6</v>
      </c>
      <c r="AJ39" s="1">
        <v>0.91900000000000004</v>
      </c>
      <c r="AK39" s="1">
        <v>100.5</v>
      </c>
      <c r="AL39" s="1">
        <v>4256</v>
      </c>
      <c r="AM39" s="1">
        <v>3666</v>
      </c>
      <c r="AN39" s="1">
        <v>53.7</v>
      </c>
      <c r="AO39" s="1">
        <v>3020</v>
      </c>
      <c r="AP39" s="1">
        <v>2669</v>
      </c>
      <c r="AQ39" s="1">
        <v>53.1</v>
      </c>
      <c r="AR39" s="1">
        <v>182.3</v>
      </c>
      <c r="AS39" s="1">
        <v>151.5</v>
      </c>
      <c r="AT39" s="1">
        <v>192</v>
      </c>
      <c r="AU39" s="1">
        <v>160</v>
      </c>
      <c r="AV39" s="1">
        <v>1</v>
      </c>
      <c r="AW39" s="1">
        <v>1977</v>
      </c>
      <c r="AX39" s="1">
        <v>1647</v>
      </c>
      <c r="AY39" s="1">
        <v>54.6</v>
      </c>
      <c r="AZ39" s="1">
        <v>633</v>
      </c>
      <c r="BA39" s="1">
        <v>540</v>
      </c>
      <c r="BB39" s="1">
        <v>54</v>
      </c>
      <c r="BC39" s="1">
        <v>73</v>
      </c>
      <c r="BD39" s="1">
        <v>10.3</v>
      </c>
      <c r="BE39" s="1">
        <v>71</v>
      </c>
      <c r="BF39" s="1">
        <v>11.6</v>
      </c>
    </row>
    <row r="40" spans="1:58" x14ac:dyDescent="0.35">
      <c r="A40" t="s">
        <v>89</v>
      </c>
      <c r="B40">
        <v>7</v>
      </c>
      <c r="C40" t="s">
        <v>67</v>
      </c>
      <c r="D40" s="1">
        <v>1</v>
      </c>
      <c r="E40" s="1">
        <v>27.9</v>
      </c>
      <c r="F40" s="1">
        <v>82</v>
      </c>
      <c r="G40" s="1">
        <v>50</v>
      </c>
      <c r="H40" s="1">
        <v>23</v>
      </c>
      <c r="I40" s="1">
        <v>9</v>
      </c>
      <c r="J40" s="1">
        <v>109</v>
      </c>
      <c r="K40" s="1">
        <v>0.66500000000000004</v>
      </c>
      <c r="L40" s="1">
        <v>325</v>
      </c>
      <c r="M40" s="1">
        <v>256</v>
      </c>
      <c r="N40" s="1">
        <v>0</v>
      </c>
      <c r="O40" s="1">
        <v>4</v>
      </c>
      <c r="P40" s="1">
        <v>0.73</v>
      </c>
      <c r="Q40" s="1">
        <v>-7.0000000000000007E-2</v>
      </c>
      <c r="R40" s="1">
        <v>3.96</v>
      </c>
      <c r="S40" s="1">
        <v>3.12</v>
      </c>
      <c r="T40" s="1">
        <v>89</v>
      </c>
      <c r="U40" s="1">
        <v>275</v>
      </c>
      <c r="V40" s="1">
        <v>32.36</v>
      </c>
      <c r="W40" s="1">
        <v>64</v>
      </c>
      <c r="X40" s="1">
        <v>278</v>
      </c>
      <c r="Y40" s="1">
        <v>76.98</v>
      </c>
      <c r="Z40" s="1">
        <v>18</v>
      </c>
      <c r="AA40" s="1">
        <v>7</v>
      </c>
      <c r="AB40" s="1">
        <v>8.6</v>
      </c>
      <c r="AC40" s="1">
        <v>8.8000000000000007</v>
      </c>
      <c r="AD40" s="1">
        <v>2754</v>
      </c>
      <c r="AE40" s="1">
        <v>11.8</v>
      </c>
      <c r="AF40" s="1">
        <v>2572</v>
      </c>
      <c r="AG40" s="1">
        <v>0.9</v>
      </c>
      <c r="AH40" s="1">
        <v>2</v>
      </c>
      <c r="AI40" s="1">
        <v>9.1999999999999993</v>
      </c>
      <c r="AJ40" s="1">
        <v>0.92400000000000004</v>
      </c>
      <c r="AK40" s="1">
        <v>101.6</v>
      </c>
      <c r="AL40" s="1">
        <v>3441</v>
      </c>
      <c r="AM40" s="1">
        <v>3356</v>
      </c>
      <c r="AN40" s="1">
        <v>50.6</v>
      </c>
      <c r="AO40" s="1">
        <v>2393</v>
      </c>
      <c r="AP40" s="1">
        <v>2478</v>
      </c>
      <c r="AQ40" s="1">
        <v>49.1</v>
      </c>
      <c r="AR40" s="1">
        <v>155.1</v>
      </c>
      <c r="AS40" s="1">
        <v>140</v>
      </c>
      <c r="AT40" s="1">
        <v>162</v>
      </c>
      <c r="AU40" s="1">
        <v>133</v>
      </c>
      <c r="AV40" s="1">
        <v>14</v>
      </c>
      <c r="AW40" s="1">
        <v>1609</v>
      </c>
      <c r="AX40" s="1">
        <v>1575</v>
      </c>
      <c r="AY40" s="1">
        <v>50.5</v>
      </c>
      <c r="AZ40" s="1">
        <v>574</v>
      </c>
      <c r="BA40" s="1">
        <v>547</v>
      </c>
      <c r="BB40" s="1">
        <v>51.2</v>
      </c>
      <c r="BC40" s="1">
        <v>66</v>
      </c>
      <c r="BD40" s="1">
        <v>10.3</v>
      </c>
      <c r="BE40" s="1">
        <v>53</v>
      </c>
      <c r="BF40" s="1">
        <v>8.8000000000000007</v>
      </c>
    </row>
    <row r="41" spans="1:58" x14ac:dyDescent="0.35">
      <c r="A41" t="s">
        <v>89</v>
      </c>
      <c r="B41">
        <v>8</v>
      </c>
      <c r="C41" t="s">
        <v>71</v>
      </c>
      <c r="D41" s="1">
        <v>1</v>
      </c>
      <c r="E41" s="1">
        <v>28.4</v>
      </c>
      <c r="F41" s="1">
        <v>82</v>
      </c>
      <c r="G41" s="1">
        <v>47</v>
      </c>
      <c r="H41" s="1">
        <v>21</v>
      </c>
      <c r="I41" s="1">
        <v>14</v>
      </c>
      <c r="J41" s="1">
        <v>108</v>
      </c>
      <c r="K41" s="1">
        <v>0.65900000000000003</v>
      </c>
      <c r="L41" s="1">
        <v>281</v>
      </c>
      <c r="M41" s="1">
        <v>215</v>
      </c>
      <c r="N41" s="1">
        <v>4</v>
      </c>
      <c r="O41" s="1">
        <v>3</v>
      </c>
      <c r="P41" s="1">
        <v>0.75</v>
      </c>
      <c r="Q41" s="1">
        <v>-7.0000000000000007E-2</v>
      </c>
      <c r="R41" s="1">
        <v>3.43</v>
      </c>
      <c r="S41" s="1">
        <v>2.62</v>
      </c>
      <c r="T41" s="1">
        <v>64</v>
      </c>
      <c r="U41" s="1">
        <v>256</v>
      </c>
      <c r="V41" s="1">
        <v>25</v>
      </c>
      <c r="W41" s="1">
        <v>40</v>
      </c>
      <c r="X41" s="1">
        <v>242</v>
      </c>
      <c r="Y41" s="1">
        <v>83.47</v>
      </c>
      <c r="Z41" s="1">
        <v>10</v>
      </c>
      <c r="AA41" s="1">
        <v>5</v>
      </c>
      <c r="AB41" s="1">
        <v>7.8</v>
      </c>
      <c r="AC41" s="1">
        <v>8.5</v>
      </c>
      <c r="AD41" s="1">
        <v>2617</v>
      </c>
      <c r="AE41" s="1">
        <v>10.7</v>
      </c>
      <c r="AF41" s="1">
        <v>2452</v>
      </c>
      <c r="AG41" s="1">
        <v>0.91200000000000003</v>
      </c>
      <c r="AH41" s="1">
        <v>6</v>
      </c>
      <c r="AI41" s="1">
        <v>8</v>
      </c>
      <c r="AJ41" s="1">
        <v>0.91400000000000003</v>
      </c>
      <c r="AK41" s="1">
        <v>99.4</v>
      </c>
      <c r="AL41" s="1">
        <v>3203</v>
      </c>
      <c r="AM41" s="1">
        <v>3758</v>
      </c>
      <c r="AN41" s="1">
        <v>46</v>
      </c>
      <c r="AO41" s="1">
        <v>2414</v>
      </c>
      <c r="AP41" s="1">
        <v>2910</v>
      </c>
      <c r="AQ41" s="1">
        <v>45.3</v>
      </c>
      <c r="AR41" s="1">
        <v>173.4</v>
      </c>
      <c r="AS41" s="1">
        <v>206.7</v>
      </c>
      <c r="AT41" s="1">
        <v>159</v>
      </c>
      <c r="AU41" s="1">
        <v>203</v>
      </c>
      <c r="AV41" s="1">
        <v>-11</v>
      </c>
      <c r="AW41" s="1">
        <v>1594</v>
      </c>
      <c r="AX41" s="1">
        <v>1999</v>
      </c>
      <c r="AY41" s="1">
        <v>44.4</v>
      </c>
      <c r="AZ41" s="1">
        <v>485</v>
      </c>
      <c r="BA41" s="1">
        <v>586</v>
      </c>
      <c r="BB41" s="1">
        <v>45.3</v>
      </c>
      <c r="BC41" s="1">
        <v>65</v>
      </c>
      <c r="BD41" s="1">
        <v>11.8</v>
      </c>
      <c r="BE41" s="1">
        <v>79</v>
      </c>
      <c r="BF41" s="1">
        <v>11.9</v>
      </c>
    </row>
    <row r="42" spans="1:58" x14ac:dyDescent="0.35">
      <c r="A42" t="s">
        <v>89</v>
      </c>
      <c r="B42">
        <v>9</v>
      </c>
      <c r="C42" t="s">
        <v>64</v>
      </c>
      <c r="D42" s="1">
        <v>1</v>
      </c>
      <c r="E42" s="1">
        <v>27.7</v>
      </c>
      <c r="F42" s="1">
        <v>82</v>
      </c>
      <c r="G42" s="1">
        <v>47</v>
      </c>
      <c r="H42" s="1">
        <v>22</v>
      </c>
      <c r="I42" s="1">
        <v>13</v>
      </c>
      <c r="J42" s="1">
        <v>107</v>
      </c>
      <c r="K42" s="1">
        <v>0.65200000000000002</v>
      </c>
      <c r="L42" s="1">
        <v>273</v>
      </c>
      <c r="M42" s="1">
        <v>216</v>
      </c>
      <c r="N42" s="1">
        <v>4</v>
      </c>
      <c r="O42" s="1">
        <v>3</v>
      </c>
      <c r="P42" s="1">
        <v>0.7</v>
      </c>
      <c r="Q42" s="1">
        <v>0</v>
      </c>
      <c r="R42" s="1">
        <v>3.33</v>
      </c>
      <c r="S42" s="1">
        <v>2.63</v>
      </c>
      <c r="T42" s="1">
        <v>59</v>
      </c>
      <c r="U42" s="1">
        <v>245</v>
      </c>
      <c r="V42" s="1">
        <v>24.08</v>
      </c>
      <c r="W42" s="1">
        <v>42</v>
      </c>
      <c r="X42" s="1">
        <v>223</v>
      </c>
      <c r="Y42" s="1">
        <v>81.17</v>
      </c>
      <c r="Z42" s="1">
        <v>8</v>
      </c>
      <c r="AA42" s="1">
        <v>5</v>
      </c>
      <c r="AB42" s="1">
        <v>7.6</v>
      </c>
      <c r="AC42" s="1">
        <v>9.3000000000000007</v>
      </c>
      <c r="AD42" s="1">
        <v>2582</v>
      </c>
      <c r="AE42" s="1">
        <v>10.6</v>
      </c>
      <c r="AF42" s="1">
        <v>2405</v>
      </c>
      <c r="AG42" s="1">
        <v>0.91</v>
      </c>
      <c r="AH42" s="1">
        <v>4</v>
      </c>
      <c r="AI42" s="1">
        <v>7.9</v>
      </c>
      <c r="AJ42" s="1">
        <v>0.91300000000000003</v>
      </c>
      <c r="AK42" s="1">
        <v>99.1</v>
      </c>
      <c r="AL42" s="1">
        <v>3164</v>
      </c>
      <c r="AM42" s="1">
        <v>3705</v>
      </c>
      <c r="AN42" s="1">
        <v>46.1</v>
      </c>
      <c r="AO42" s="1">
        <v>2361</v>
      </c>
      <c r="AP42" s="1">
        <v>2704</v>
      </c>
      <c r="AQ42" s="1">
        <v>46.6</v>
      </c>
      <c r="AR42" s="1">
        <v>154</v>
      </c>
      <c r="AS42" s="1">
        <v>163.4</v>
      </c>
      <c r="AT42" s="1">
        <v>146</v>
      </c>
      <c r="AU42" s="1">
        <v>183</v>
      </c>
      <c r="AV42" s="1">
        <v>-28</v>
      </c>
      <c r="AW42" s="1">
        <v>1502</v>
      </c>
      <c r="AX42" s="1">
        <v>1803</v>
      </c>
      <c r="AY42" s="1">
        <v>45.4</v>
      </c>
      <c r="AZ42" s="1">
        <v>491</v>
      </c>
      <c r="BA42" s="1">
        <v>585</v>
      </c>
      <c r="BB42" s="1">
        <v>45.6</v>
      </c>
      <c r="BC42" s="1">
        <v>51</v>
      </c>
      <c r="BD42" s="1">
        <v>9.4</v>
      </c>
      <c r="BE42" s="1">
        <v>73</v>
      </c>
      <c r="BF42" s="1">
        <v>11.1</v>
      </c>
    </row>
    <row r="43" spans="1:58" x14ac:dyDescent="0.35">
      <c r="A43" t="s">
        <v>89</v>
      </c>
      <c r="B43">
        <v>10</v>
      </c>
      <c r="C43" t="s">
        <v>70</v>
      </c>
      <c r="D43" s="1">
        <v>1</v>
      </c>
      <c r="E43" s="1">
        <v>28.7</v>
      </c>
      <c r="F43" s="1">
        <v>82</v>
      </c>
      <c r="G43" s="1">
        <v>47</v>
      </c>
      <c r="H43" s="1">
        <v>25</v>
      </c>
      <c r="I43" s="1">
        <v>10</v>
      </c>
      <c r="J43" s="1">
        <v>104</v>
      </c>
      <c r="K43" s="1">
        <v>0.63400000000000001</v>
      </c>
      <c r="L43" s="1">
        <v>274</v>
      </c>
      <c r="M43" s="1">
        <v>254</v>
      </c>
      <c r="N43" s="1">
        <v>6</v>
      </c>
      <c r="O43" s="1">
        <v>3</v>
      </c>
      <c r="P43" s="1">
        <v>0.27</v>
      </c>
      <c r="Q43" s="1">
        <v>-0.02</v>
      </c>
      <c r="R43" s="1">
        <v>3.34</v>
      </c>
      <c r="S43" s="1">
        <v>3.1</v>
      </c>
      <c r="T43" s="1">
        <v>68</v>
      </c>
      <c r="U43" s="1">
        <v>269</v>
      </c>
      <c r="V43" s="1">
        <v>25.28</v>
      </c>
      <c r="W43" s="1">
        <v>65</v>
      </c>
      <c r="X43" s="1">
        <v>269</v>
      </c>
      <c r="Y43" s="1">
        <v>75.84</v>
      </c>
      <c r="Z43" s="1">
        <v>7</v>
      </c>
      <c r="AA43" s="1">
        <v>9</v>
      </c>
      <c r="AB43" s="1">
        <v>8.6</v>
      </c>
      <c r="AC43" s="1">
        <v>9.9</v>
      </c>
      <c r="AD43" s="1">
        <v>2658</v>
      </c>
      <c r="AE43" s="1">
        <v>10.3</v>
      </c>
      <c r="AF43" s="1">
        <v>2289</v>
      </c>
      <c r="AG43" s="1">
        <v>0.88900000000000001</v>
      </c>
      <c r="AH43" s="1">
        <v>3</v>
      </c>
      <c r="AI43" s="1">
        <v>9.1999999999999993</v>
      </c>
      <c r="AJ43" s="1">
        <v>0.91500000000000004</v>
      </c>
      <c r="AK43" s="1">
        <v>100.7</v>
      </c>
      <c r="AL43" s="1">
        <v>3550</v>
      </c>
      <c r="AM43" s="1">
        <v>4089</v>
      </c>
      <c r="AN43" s="1">
        <v>46.5</v>
      </c>
      <c r="AO43" s="1">
        <v>2534</v>
      </c>
      <c r="AP43" s="1">
        <v>2983</v>
      </c>
      <c r="AQ43" s="1">
        <v>45.9</v>
      </c>
      <c r="AR43" s="1">
        <v>150.6</v>
      </c>
      <c r="AS43" s="1">
        <v>177</v>
      </c>
      <c r="AT43" s="1">
        <v>177</v>
      </c>
      <c r="AU43" s="1">
        <v>189</v>
      </c>
      <c r="AV43" s="1">
        <v>14</v>
      </c>
      <c r="AW43" s="1">
        <v>1570</v>
      </c>
      <c r="AX43" s="1">
        <v>1906</v>
      </c>
      <c r="AY43" s="1">
        <v>45.2</v>
      </c>
      <c r="AZ43" s="1">
        <v>504</v>
      </c>
      <c r="BA43" s="1">
        <v>668</v>
      </c>
      <c r="BB43" s="1">
        <v>43</v>
      </c>
      <c r="BC43" s="1">
        <v>71</v>
      </c>
      <c r="BD43" s="1">
        <v>12.3</v>
      </c>
      <c r="BE43" s="1">
        <v>74</v>
      </c>
      <c r="BF43" s="1">
        <v>10</v>
      </c>
    </row>
    <row r="44" spans="1:58" x14ac:dyDescent="0.35">
      <c r="A44" t="s">
        <v>89</v>
      </c>
      <c r="B44">
        <v>11</v>
      </c>
      <c r="C44" t="s">
        <v>61</v>
      </c>
      <c r="D44" s="1">
        <v>1</v>
      </c>
      <c r="E44" s="1">
        <v>29.3</v>
      </c>
      <c r="F44" s="1">
        <v>82</v>
      </c>
      <c r="G44" s="1">
        <v>46</v>
      </c>
      <c r="H44" s="1">
        <v>25</v>
      </c>
      <c r="I44" s="1">
        <v>11</v>
      </c>
      <c r="J44" s="1">
        <v>103</v>
      </c>
      <c r="K44" s="1">
        <v>0.628</v>
      </c>
      <c r="L44" s="1">
        <v>239</v>
      </c>
      <c r="M44" s="1">
        <v>219</v>
      </c>
      <c r="N44" s="1">
        <v>7</v>
      </c>
      <c r="O44" s="1">
        <v>6</v>
      </c>
      <c r="P44" s="1">
        <v>0.21</v>
      </c>
      <c r="Q44" s="1">
        <v>-0.05</v>
      </c>
      <c r="R44" s="1">
        <v>2.91</v>
      </c>
      <c r="S44" s="1">
        <v>2.67</v>
      </c>
      <c r="T44" s="1">
        <v>54</v>
      </c>
      <c r="U44" s="1">
        <v>252</v>
      </c>
      <c r="V44" s="1">
        <v>21.43</v>
      </c>
      <c r="W44" s="1">
        <v>46</v>
      </c>
      <c r="X44" s="1">
        <v>256</v>
      </c>
      <c r="Y44" s="1">
        <v>82.03</v>
      </c>
      <c r="Z44" s="1">
        <v>14</v>
      </c>
      <c r="AA44" s="1">
        <v>3</v>
      </c>
      <c r="AB44" s="1">
        <v>11.3</v>
      </c>
      <c r="AC44" s="1">
        <v>11.6</v>
      </c>
      <c r="AD44" s="1">
        <v>2535</v>
      </c>
      <c r="AE44" s="1">
        <v>9.4</v>
      </c>
      <c r="AF44" s="1">
        <v>2552</v>
      </c>
      <c r="AG44" s="1">
        <v>0.91400000000000003</v>
      </c>
      <c r="AH44" s="1">
        <v>5</v>
      </c>
      <c r="AI44" s="1">
        <v>7.4</v>
      </c>
      <c r="AJ44" s="1">
        <v>0.92</v>
      </c>
      <c r="AK44" s="1">
        <v>99.4</v>
      </c>
      <c r="AL44" s="1">
        <v>3281</v>
      </c>
      <c r="AM44" s="1">
        <v>3466</v>
      </c>
      <c r="AN44" s="1">
        <v>48.6</v>
      </c>
      <c r="AO44" s="1">
        <v>2325</v>
      </c>
      <c r="AP44" s="1">
        <v>2550</v>
      </c>
      <c r="AQ44" s="1">
        <v>47.7</v>
      </c>
      <c r="AR44" s="1">
        <v>140.5</v>
      </c>
      <c r="AS44" s="1">
        <v>146.1</v>
      </c>
      <c r="AT44" s="1">
        <v>122</v>
      </c>
      <c r="AU44" s="1">
        <v>145</v>
      </c>
      <c r="AV44" s="1">
        <v>-17</v>
      </c>
      <c r="AW44" s="1">
        <v>1508</v>
      </c>
      <c r="AX44" s="1">
        <v>1631</v>
      </c>
      <c r="AY44" s="1">
        <v>48</v>
      </c>
      <c r="AZ44" s="1">
        <v>493</v>
      </c>
      <c r="BA44" s="1">
        <v>565</v>
      </c>
      <c r="BB44" s="1">
        <v>46.6</v>
      </c>
      <c r="BC44" s="1">
        <v>41</v>
      </c>
      <c r="BD44" s="1">
        <v>7.7</v>
      </c>
      <c r="BE44" s="1">
        <v>39</v>
      </c>
      <c r="BF44" s="1">
        <v>6.5</v>
      </c>
    </row>
    <row r="45" spans="1:58" x14ac:dyDescent="0.35">
      <c r="A45" t="s">
        <v>89</v>
      </c>
      <c r="B45">
        <v>12</v>
      </c>
      <c r="C45" t="s">
        <v>86</v>
      </c>
      <c r="D45" s="1">
        <v>1</v>
      </c>
      <c r="E45" s="1">
        <v>29</v>
      </c>
      <c r="F45" s="1">
        <v>82</v>
      </c>
      <c r="G45" s="1">
        <v>46</v>
      </c>
      <c r="H45" s="1">
        <v>28</v>
      </c>
      <c r="I45" s="1">
        <v>8</v>
      </c>
      <c r="J45" s="1">
        <v>100</v>
      </c>
      <c r="K45" s="1">
        <v>0.61</v>
      </c>
      <c r="L45" s="1">
        <v>289</v>
      </c>
      <c r="M45" s="1">
        <v>252</v>
      </c>
      <c r="N45" s="1">
        <v>0</v>
      </c>
      <c r="O45" s="1">
        <v>4</v>
      </c>
      <c r="P45" s="1">
        <v>0.36</v>
      </c>
      <c r="Q45" s="1">
        <v>-0.04</v>
      </c>
      <c r="R45" s="1">
        <v>3.52</v>
      </c>
      <c r="S45" s="1">
        <v>3.07</v>
      </c>
      <c r="T45" s="1">
        <v>48</v>
      </c>
      <c r="U45" s="1">
        <v>243</v>
      </c>
      <c r="V45" s="1">
        <v>19.75</v>
      </c>
      <c r="W45" s="1">
        <v>55</v>
      </c>
      <c r="X45" s="1">
        <v>236</v>
      </c>
      <c r="Y45" s="1">
        <v>76.69</v>
      </c>
      <c r="Z45" s="1">
        <v>6</v>
      </c>
      <c r="AA45" s="1">
        <v>9</v>
      </c>
      <c r="AB45" s="1">
        <v>8.5</v>
      </c>
      <c r="AC45" s="1">
        <v>9.1</v>
      </c>
      <c r="AD45" s="1">
        <v>2497</v>
      </c>
      <c r="AE45" s="1">
        <v>11.6</v>
      </c>
      <c r="AF45" s="1">
        <v>2215</v>
      </c>
      <c r="AG45" s="1">
        <v>0.88600000000000001</v>
      </c>
      <c r="AH45" s="1">
        <v>3</v>
      </c>
      <c r="AI45" s="1">
        <v>7.8</v>
      </c>
      <c r="AJ45" s="1">
        <v>0.92100000000000004</v>
      </c>
      <c r="AK45" s="1">
        <v>99.9</v>
      </c>
      <c r="AL45" s="1">
        <v>3891</v>
      </c>
      <c r="AM45" s="1">
        <v>3515</v>
      </c>
      <c r="AN45" s="1">
        <v>52.5</v>
      </c>
      <c r="AO45" s="1">
        <v>2892</v>
      </c>
      <c r="AP45" s="1">
        <v>2710</v>
      </c>
      <c r="AQ45" s="1">
        <v>51.6</v>
      </c>
      <c r="AR45" s="1">
        <v>192.1</v>
      </c>
      <c r="AS45" s="1">
        <v>182.9</v>
      </c>
      <c r="AT45" s="1">
        <v>181</v>
      </c>
      <c r="AU45" s="1">
        <v>173</v>
      </c>
      <c r="AV45" s="1">
        <v>-1</v>
      </c>
      <c r="AW45" s="1">
        <v>1833</v>
      </c>
      <c r="AX45" s="1">
        <v>1842</v>
      </c>
      <c r="AY45" s="1">
        <v>49.9</v>
      </c>
      <c r="AZ45" s="1">
        <v>534</v>
      </c>
      <c r="BA45" s="1">
        <v>528</v>
      </c>
      <c r="BB45" s="1">
        <v>50.3</v>
      </c>
      <c r="BC45" s="1">
        <v>86</v>
      </c>
      <c r="BD45" s="1">
        <v>13.9</v>
      </c>
      <c r="BE45" s="1">
        <v>67</v>
      </c>
      <c r="BF45" s="1">
        <v>11.3</v>
      </c>
    </row>
    <row r="46" spans="1:58" x14ac:dyDescent="0.35">
      <c r="A46" t="s">
        <v>89</v>
      </c>
      <c r="B46">
        <v>13</v>
      </c>
      <c r="C46" t="s">
        <v>63</v>
      </c>
      <c r="D46" s="1">
        <v>1</v>
      </c>
      <c r="E46" s="1">
        <v>29.9</v>
      </c>
      <c r="F46" s="1">
        <v>82</v>
      </c>
      <c r="G46" s="1">
        <v>46</v>
      </c>
      <c r="H46" s="1">
        <v>30</v>
      </c>
      <c r="I46" s="1">
        <v>6</v>
      </c>
      <c r="J46" s="1">
        <v>98</v>
      </c>
      <c r="K46" s="1">
        <v>0.59799999999999998</v>
      </c>
      <c r="L46" s="1">
        <v>280</v>
      </c>
      <c r="M46" s="1">
        <v>252</v>
      </c>
      <c r="N46" s="1">
        <v>3</v>
      </c>
      <c r="O46" s="1">
        <v>2</v>
      </c>
      <c r="P46" s="1">
        <v>0.37</v>
      </c>
      <c r="Q46" s="1">
        <v>0.02</v>
      </c>
      <c r="R46" s="1">
        <v>3.41</v>
      </c>
      <c r="S46" s="1">
        <v>3.07</v>
      </c>
      <c r="T46" s="1">
        <v>71</v>
      </c>
      <c r="U46" s="1">
        <v>280</v>
      </c>
      <c r="V46" s="1">
        <v>25.36</v>
      </c>
      <c r="W46" s="1">
        <v>53</v>
      </c>
      <c r="X46" s="1">
        <v>261</v>
      </c>
      <c r="Y46" s="1">
        <v>79.69</v>
      </c>
      <c r="Z46" s="1">
        <v>7</v>
      </c>
      <c r="AA46" s="1">
        <v>11</v>
      </c>
      <c r="AB46" s="1">
        <v>12.1</v>
      </c>
      <c r="AC46" s="1">
        <v>12.3</v>
      </c>
      <c r="AD46" s="1">
        <v>2621</v>
      </c>
      <c r="AE46" s="1">
        <v>10.7</v>
      </c>
      <c r="AF46" s="1">
        <v>2582</v>
      </c>
      <c r="AG46" s="1">
        <v>0.90200000000000002</v>
      </c>
      <c r="AH46" s="1">
        <v>6</v>
      </c>
      <c r="AI46" s="1">
        <v>8.5</v>
      </c>
      <c r="AJ46" s="1">
        <v>0.92</v>
      </c>
      <c r="AK46" s="1">
        <v>100.5</v>
      </c>
      <c r="AL46" s="1">
        <v>3714</v>
      </c>
      <c r="AM46" s="1">
        <v>3406</v>
      </c>
      <c r="AN46" s="1">
        <v>52.2</v>
      </c>
      <c r="AO46" s="1">
        <v>2788</v>
      </c>
      <c r="AP46" s="1">
        <v>2618</v>
      </c>
      <c r="AQ46" s="1">
        <v>51.6</v>
      </c>
      <c r="AR46" s="1">
        <v>203.1</v>
      </c>
      <c r="AS46" s="1">
        <v>174</v>
      </c>
      <c r="AT46" s="1">
        <v>191</v>
      </c>
      <c r="AU46" s="1">
        <v>168</v>
      </c>
      <c r="AV46" s="1">
        <v>-6</v>
      </c>
      <c r="AW46" s="1">
        <v>1917</v>
      </c>
      <c r="AX46" s="1">
        <v>1741</v>
      </c>
      <c r="AY46" s="1">
        <v>52.4</v>
      </c>
      <c r="AZ46" s="1">
        <v>639</v>
      </c>
      <c r="BA46" s="1">
        <v>542</v>
      </c>
      <c r="BB46" s="1">
        <v>54.1</v>
      </c>
      <c r="BC46" s="1">
        <v>70</v>
      </c>
      <c r="BD46" s="1">
        <v>9.9</v>
      </c>
      <c r="BE46" s="1">
        <v>71</v>
      </c>
      <c r="BF46" s="1">
        <v>11.6</v>
      </c>
    </row>
    <row r="47" spans="1:58" x14ac:dyDescent="0.35">
      <c r="A47" t="s">
        <v>89</v>
      </c>
      <c r="B47">
        <v>14</v>
      </c>
      <c r="C47" t="s">
        <v>75</v>
      </c>
      <c r="D47" s="1">
        <v>1</v>
      </c>
      <c r="E47" s="1">
        <v>28.7</v>
      </c>
      <c r="F47" s="1">
        <v>82</v>
      </c>
      <c r="G47" s="1">
        <v>46</v>
      </c>
      <c r="H47" s="1">
        <v>33</v>
      </c>
      <c r="I47" s="1">
        <v>3</v>
      </c>
      <c r="J47" s="1">
        <v>95</v>
      </c>
      <c r="K47" s="1">
        <v>0.57899999999999996</v>
      </c>
      <c r="L47" s="1">
        <v>246</v>
      </c>
      <c r="M47" s="1">
        <v>224</v>
      </c>
      <c r="N47" s="1">
        <v>1</v>
      </c>
      <c r="O47" s="1">
        <v>1</v>
      </c>
      <c r="P47" s="1">
        <v>0.23</v>
      </c>
      <c r="Q47" s="1">
        <v>-0.04</v>
      </c>
      <c r="R47" s="1">
        <v>3</v>
      </c>
      <c r="S47" s="1">
        <v>2.73</v>
      </c>
      <c r="T47" s="1">
        <v>52</v>
      </c>
      <c r="U47" s="1">
        <v>270</v>
      </c>
      <c r="V47" s="1">
        <v>19.260000000000002</v>
      </c>
      <c r="W47" s="1">
        <v>42</v>
      </c>
      <c r="X47" s="1">
        <v>239</v>
      </c>
      <c r="Y47" s="1">
        <v>82.43</v>
      </c>
      <c r="Z47" s="1">
        <v>7</v>
      </c>
      <c r="AA47" s="1">
        <v>6</v>
      </c>
      <c r="AB47" s="1">
        <v>8.5</v>
      </c>
      <c r="AC47" s="1">
        <v>9.6999999999999993</v>
      </c>
      <c r="AD47" s="1">
        <v>2486</v>
      </c>
      <c r="AE47" s="1">
        <v>9.9</v>
      </c>
      <c r="AF47" s="1">
        <v>2487</v>
      </c>
      <c r="AG47" s="1">
        <v>0.91</v>
      </c>
      <c r="AH47" s="1">
        <v>4</v>
      </c>
      <c r="AI47" s="1">
        <v>8.1</v>
      </c>
      <c r="AJ47" s="1">
        <v>0.92100000000000004</v>
      </c>
      <c r="AK47" s="1">
        <v>100.2</v>
      </c>
      <c r="AL47" s="1">
        <v>4303</v>
      </c>
      <c r="AM47" s="1">
        <v>3431</v>
      </c>
      <c r="AN47" s="1">
        <v>55.6</v>
      </c>
      <c r="AO47" s="1">
        <v>3098</v>
      </c>
      <c r="AP47" s="1">
        <v>2555</v>
      </c>
      <c r="AQ47" s="1">
        <v>54.8</v>
      </c>
      <c r="AR47" s="1">
        <v>209</v>
      </c>
      <c r="AS47" s="1">
        <v>158.69999999999999</v>
      </c>
      <c r="AT47" s="1">
        <v>193</v>
      </c>
      <c r="AU47" s="1">
        <v>153</v>
      </c>
      <c r="AV47" s="1">
        <v>-10</v>
      </c>
      <c r="AW47" s="1">
        <v>2106</v>
      </c>
      <c r="AX47" s="1">
        <v>1687</v>
      </c>
      <c r="AY47" s="1">
        <v>55.5</v>
      </c>
      <c r="AZ47" s="1">
        <v>765</v>
      </c>
      <c r="BA47" s="1">
        <v>547</v>
      </c>
      <c r="BB47" s="1">
        <v>58.3</v>
      </c>
      <c r="BC47" s="1">
        <v>93</v>
      </c>
      <c r="BD47" s="1">
        <v>10.8</v>
      </c>
      <c r="BE47" s="1">
        <v>61</v>
      </c>
      <c r="BF47" s="1">
        <v>10</v>
      </c>
    </row>
    <row r="48" spans="1:58" x14ac:dyDescent="0.35">
      <c r="A48" t="s">
        <v>89</v>
      </c>
      <c r="B48">
        <v>15</v>
      </c>
      <c r="C48" t="s">
        <v>62</v>
      </c>
      <c r="D48" s="1">
        <v>0</v>
      </c>
      <c r="E48" s="1">
        <v>29.8</v>
      </c>
      <c r="F48" s="1">
        <v>82</v>
      </c>
      <c r="G48" s="1">
        <v>38</v>
      </c>
      <c r="H48" s="1">
        <v>27</v>
      </c>
      <c r="I48" s="1">
        <v>17</v>
      </c>
      <c r="J48" s="1">
        <v>93</v>
      </c>
      <c r="K48" s="1">
        <v>0.56699999999999995</v>
      </c>
      <c r="L48" s="1">
        <v>258</v>
      </c>
      <c r="M48" s="1">
        <v>247</v>
      </c>
      <c r="N48" s="1">
        <v>2</v>
      </c>
      <c r="O48" s="1">
        <v>5</v>
      </c>
      <c r="P48" s="1">
        <v>0.05</v>
      </c>
      <c r="Q48" s="1">
        <v>-0.05</v>
      </c>
      <c r="R48" s="1">
        <v>3.15</v>
      </c>
      <c r="S48" s="1">
        <v>3.01</v>
      </c>
      <c r="T48" s="1">
        <v>50</v>
      </c>
      <c r="U48" s="1">
        <v>252</v>
      </c>
      <c r="V48" s="1">
        <v>19.84</v>
      </c>
      <c r="W48" s="1">
        <v>47</v>
      </c>
      <c r="X48" s="1">
        <v>270</v>
      </c>
      <c r="Y48" s="1">
        <v>82.59</v>
      </c>
      <c r="Z48" s="1">
        <v>8</v>
      </c>
      <c r="AA48" s="1">
        <v>6</v>
      </c>
      <c r="AB48" s="1">
        <v>9.1999999999999993</v>
      </c>
      <c r="AC48" s="1">
        <v>8.3000000000000007</v>
      </c>
      <c r="AD48" s="1">
        <v>2948</v>
      </c>
      <c r="AE48" s="1">
        <v>8.8000000000000007</v>
      </c>
      <c r="AF48" s="1">
        <v>2240</v>
      </c>
      <c r="AG48" s="1">
        <v>0.89</v>
      </c>
      <c r="AH48" s="1">
        <v>1</v>
      </c>
      <c r="AI48" s="1">
        <v>7.5</v>
      </c>
      <c r="AJ48" s="1">
        <v>0.91100000000000003</v>
      </c>
      <c r="AK48" s="1">
        <v>98.6</v>
      </c>
      <c r="AL48" s="1">
        <v>3741</v>
      </c>
      <c r="AM48" s="1">
        <v>3121</v>
      </c>
      <c r="AN48" s="1">
        <v>54.5</v>
      </c>
      <c r="AO48" s="1">
        <v>2695</v>
      </c>
      <c r="AP48" s="1">
        <v>2286</v>
      </c>
      <c r="AQ48" s="1">
        <v>54.1</v>
      </c>
      <c r="AR48" s="1">
        <v>174.2</v>
      </c>
      <c r="AS48" s="1">
        <v>146.19999999999999</v>
      </c>
      <c r="AT48" s="1">
        <v>152</v>
      </c>
      <c r="AU48" s="1">
        <v>154</v>
      </c>
      <c r="AV48" s="1">
        <v>-30</v>
      </c>
      <c r="AW48" s="1">
        <v>1756</v>
      </c>
      <c r="AX48" s="1">
        <v>1501</v>
      </c>
      <c r="AY48" s="1">
        <v>53.9</v>
      </c>
      <c r="AZ48" s="1">
        <v>624</v>
      </c>
      <c r="BA48" s="1">
        <v>514</v>
      </c>
      <c r="BB48" s="1">
        <v>54.8</v>
      </c>
      <c r="BC48" s="1">
        <v>64</v>
      </c>
      <c r="BD48" s="1">
        <v>9.3000000000000007</v>
      </c>
      <c r="BE48" s="1">
        <v>56</v>
      </c>
      <c r="BF48" s="1">
        <v>9.8000000000000007</v>
      </c>
    </row>
    <row r="49" spans="1:58" x14ac:dyDescent="0.35">
      <c r="A49" t="s">
        <v>89</v>
      </c>
      <c r="B49">
        <v>16</v>
      </c>
      <c r="C49" t="s">
        <v>76</v>
      </c>
      <c r="D49" s="1">
        <v>1</v>
      </c>
      <c r="E49" s="1">
        <v>29.3</v>
      </c>
      <c r="F49" s="1">
        <v>82</v>
      </c>
      <c r="G49" s="1">
        <v>42</v>
      </c>
      <c r="H49" s="1">
        <v>31</v>
      </c>
      <c r="I49" s="1">
        <v>9</v>
      </c>
      <c r="J49" s="1">
        <v>93</v>
      </c>
      <c r="K49" s="1">
        <v>0.56699999999999995</v>
      </c>
      <c r="L49" s="1">
        <v>242</v>
      </c>
      <c r="M49" s="1">
        <v>217</v>
      </c>
      <c r="N49" s="1">
        <v>1</v>
      </c>
      <c r="O49" s="1">
        <v>5</v>
      </c>
      <c r="P49" s="1">
        <v>0.25</v>
      </c>
      <c r="Q49" s="1">
        <v>0</v>
      </c>
      <c r="R49" s="1">
        <v>2.95</v>
      </c>
      <c r="S49" s="1">
        <v>2.65</v>
      </c>
      <c r="T49" s="1">
        <v>35</v>
      </c>
      <c r="U49" s="1">
        <v>222</v>
      </c>
      <c r="V49" s="1">
        <v>15.77</v>
      </c>
      <c r="W49" s="1">
        <v>39</v>
      </c>
      <c r="X49" s="1">
        <v>219</v>
      </c>
      <c r="Y49" s="1">
        <v>82.19</v>
      </c>
      <c r="Z49" s="1">
        <v>6</v>
      </c>
      <c r="AA49" s="1">
        <v>7</v>
      </c>
      <c r="AB49" s="1">
        <v>8</v>
      </c>
      <c r="AC49" s="1">
        <v>8</v>
      </c>
      <c r="AD49" s="1">
        <v>2524</v>
      </c>
      <c r="AE49" s="1">
        <v>9.6</v>
      </c>
      <c r="AF49" s="1">
        <v>2544</v>
      </c>
      <c r="AG49" s="1">
        <v>0.91500000000000004</v>
      </c>
      <c r="AH49" s="1">
        <v>8</v>
      </c>
      <c r="AI49" s="1">
        <v>8.5</v>
      </c>
      <c r="AJ49" s="1">
        <v>0.91900000000000004</v>
      </c>
      <c r="AK49" s="1">
        <v>100.4</v>
      </c>
      <c r="AL49" s="1">
        <v>4142</v>
      </c>
      <c r="AM49" s="1">
        <v>3178</v>
      </c>
      <c r="AN49" s="1">
        <v>56.6</v>
      </c>
      <c r="AO49" s="1">
        <v>3101</v>
      </c>
      <c r="AP49" s="1">
        <v>2410</v>
      </c>
      <c r="AQ49" s="1">
        <v>56.3</v>
      </c>
      <c r="AR49" s="1">
        <v>231.9</v>
      </c>
      <c r="AS49" s="1">
        <v>171.7</v>
      </c>
      <c r="AT49" s="1">
        <v>218</v>
      </c>
      <c r="AU49" s="1">
        <v>161</v>
      </c>
      <c r="AV49" s="1">
        <v>-3</v>
      </c>
      <c r="AW49" s="1">
        <v>2253</v>
      </c>
      <c r="AX49" s="1">
        <v>1714</v>
      </c>
      <c r="AY49" s="1">
        <v>56.8</v>
      </c>
      <c r="AZ49" s="1">
        <v>706</v>
      </c>
      <c r="BA49" s="1">
        <v>597</v>
      </c>
      <c r="BB49" s="1">
        <v>54.2</v>
      </c>
      <c r="BC49" s="1">
        <v>90</v>
      </c>
      <c r="BD49" s="1">
        <v>11.3</v>
      </c>
      <c r="BE49" s="1">
        <v>64</v>
      </c>
      <c r="BF49" s="1">
        <v>9.6999999999999993</v>
      </c>
    </row>
    <row r="50" spans="1:58" x14ac:dyDescent="0.35">
      <c r="A50" t="s">
        <v>89</v>
      </c>
      <c r="B50">
        <v>17</v>
      </c>
      <c r="C50" t="s">
        <v>57</v>
      </c>
      <c r="D50" s="1">
        <v>1</v>
      </c>
      <c r="E50" s="1">
        <v>28.7</v>
      </c>
      <c r="F50" s="1">
        <v>82</v>
      </c>
      <c r="G50" s="1">
        <v>42</v>
      </c>
      <c r="H50" s="1">
        <v>32</v>
      </c>
      <c r="I50" s="1">
        <v>8</v>
      </c>
      <c r="J50" s="1">
        <v>92</v>
      </c>
      <c r="K50" s="1">
        <v>0.56100000000000005</v>
      </c>
      <c r="L50" s="1">
        <v>288</v>
      </c>
      <c r="M50" s="1">
        <v>272</v>
      </c>
      <c r="N50" s="1">
        <v>2</v>
      </c>
      <c r="O50" s="1">
        <v>1</v>
      </c>
      <c r="P50" s="1">
        <v>0.24</v>
      </c>
      <c r="Q50" s="1">
        <v>0.04</v>
      </c>
      <c r="R50" s="1">
        <v>3.51</v>
      </c>
      <c r="S50" s="1">
        <v>3.32</v>
      </c>
      <c r="T50" s="1">
        <v>63</v>
      </c>
      <c r="U50" s="1">
        <v>276</v>
      </c>
      <c r="V50" s="1">
        <v>22.83</v>
      </c>
      <c r="W50" s="1">
        <v>70</v>
      </c>
      <c r="X50" s="1">
        <v>291</v>
      </c>
      <c r="Y50" s="1">
        <v>75.95</v>
      </c>
      <c r="Z50" s="1">
        <v>6</v>
      </c>
      <c r="AA50" s="1">
        <v>9</v>
      </c>
      <c r="AB50" s="1">
        <v>12.2</v>
      </c>
      <c r="AC50" s="1">
        <v>11.9</v>
      </c>
      <c r="AD50" s="1">
        <v>3019</v>
      </c>
      <c r="AE50" s="1">
        <v>9.5</v>
      </c>
      <c r="AF50" s="1">
        <v>2603</v>
      </c>
      <c r="AG50" s="1">
        <v>0.89600000000000002</v>
      </c>
      <c r="AH50" s="1">
        <v>3</v>
      </c>
      <c r="AI50" s="1">
        <v>8</v>
      </c>
      <c r="AJ50" s="1">
        <v>0.92200000000000004</v>
      </c>
      <c r="AK50" s="1">
        <v>100.2</v>
      </c>
      <c r="AL50" s="1">
        <v>4023</v>
      </c>
      <c r="AM50" s="1">
        <v>3384</v>
      </c>
      <c r="AN50" s="1">
        <v>54.3</v>
      </c>
      <c r="AO50" s="1">
        <v>3023</v>
      </c>
      <c r="AP50" s="1">
        <v>2625</v>
      </c>
      <c r="AQ50" s="1">
        <v>53.5</v>
      </c>
      <c r="AR50" s="1">
        <v>210.5</v>
      </c>
      <c r="AS50" s="1">
        <v>184.9</v>
      </c>
      <c r="AT50" s="1">
        <v>191</v>
      </c>
      <c r="AU50" s="1">
        <v>159</v>
      </c>
      <c r="AV50" s="1">
        <v>6</v>
      </c>
      <c r="AW50" s="1">
        <v>2135</v>
      </c>
      <c r="AX50" s="1">
        <v>1783</v>
      </c>
      <c r="AY50" s="1">
        <v>54.5</v>
      </c>
      <c r="AZ50" s="1">
        <v>775</v>
      </c>
      <c r="BA50" s="1">
        <v>658</v>
      </c>
      <c r="BB50" s="1">
        <v>54.1</v>
      </c>
      <c r="BC50" s="1">
        <v>73</v>
      </c>
      <c r="BD50" s="1">
        <v>8.6</v>
      </c>
      <c r="BE50" s="1">
        <v>59</v>
      </c>
      <c r="BF50" s="1">
        <v>8.1999999999999993</v>
      </c>
    </row>
    <row r="51" spans="1:58" x14ac:dyDescent="0.35">
      <c r="A51" t="s">
        <v>89</v>
      </c>
      <c r="B51">
        <v>18</v>
      </c>
      <c r="C51" t="s">
        <v>72</v>
      </c>
      <c r="D51" s="1">
        <v>0</v>
      </c>
      <c r="E51" s="1">
        <v>28.3</v>
      </c>
      <c r="F51" s="1">
        <v>82</v>
      </c>
      <c r="G51" s="1">
        <v>42</v>
      </c>
      <c r="H51" s="1">
        <v>32</v>
      </c>
      <c r="I51" s="1">
        <v>8</v>
      </c>
      <c r="J51" s="1">
        <v>92</v>
      </c>
      <c r="K51" s="1">
        <v>0.56100000000000005</v>
      </c>
      <c r="L51" s="1">
        <v>223</v>
      </c>
      <c r="M51" s="1">
        <v>236</v>
      </c>
      <c r="N51" s="1">
        <v>6</v>
      </c>
      <c r="O51" s="1">
        <v>2</v>
      </c>
      <c r="P51" s="1">
        <v>-0.12</v>
      </c>
      <c r="Q51" s="1">
        <v>-0.02</v>
      </c>
      <c r="R51" s="1">
        <v>2.72</v>
      </c>
      <c r="S51" s="1">
        <v>2.88</v>
      </c>
      <c r="T51" s="1">
        <v>44</v>
      </c>
      <c r="U51" s="1">
        <v>250</v>
      </c>
      <c r="V51" s="1">
        <v>17.600000000000001</v>
      </c>
      <c r="W51" s="1">
        <v>48</v>
      </c>
      <c r="X51" s="1">
        <v>275</v>
      </c>
      <c r="Y51" s="1">
        <v>82.55</v>
      </c>
      <c r="Z51" s="1">
        <v>6</v>
      </c>
      <c r="AA51" s="1">
        <v>6</v>
      </c>
      <c r="AB51" s="1">
        <v>9.6</v>
      </c>
      <c r="AC51" s="1">
        <v>8.8000000000000007</v>
      </c>
      <c r="AD51" s="1">
        <v>2419</v>
      </c>
      <c r="AE51" s="1">
        <v>9.1999999999999993</v>
      </c>
      <c r="AF51" s="1">
        <v>2729</v>
      </c>
      <c r="AG51" s="1">
        <v>0.91400000000000003</v>
      </c>
      <c r="AH51" s="1">
        <v>2</v>
      </c>
      <c r="AI51" s="1">
        <v>7.2</v>
      </c>
      <c r="AJ51" s="1">
        <v>0.93500000000000005</v>
      </c>
      <c r="AK51" s="1">
        <v>100.6</v>
      </c>
      <c r="AL51" s="1">
        <v>4212</v>
      </c>
      <c r="AM51" s="1">
        <v>3288</v>
      </c>
      <c r="AN51" s="1">
        <v>56.2</v>
      </c>
      <c r="AO51" s="1">
        <v>2895</v>
      </c>
      <c r="AP51" s="1">
        <v>2490</v>
      </c>
      <c r="AQ51" s="1">
        <v>53.8</v>
      </c>
      <c r="AR51" s="1">
        <v>166.2</v>
      </c>
      <c r="AS51" s="1">
        <v>144.80000000000001</v>
      </c>
      <c r="AT51" s="1">
        <v>156</v>
      </c>
      <c r="AU51" s="1">
        <v>119</v>
      </c>
      <c r="AV51" s="1">
        <v>16</v>
      </c>
      <c r="AW51" s="1">
        <v>1889</v>
      </c>
      <c r="AX51" s="1">
        <v>1550</v>
      </c>
      <c r="AY51" s="1">
        <v>54.9</v>
      </c>
      <c r="AZ51" s="1">
        <v>673</v>
      </c>
      <c r="BA51" s="1">
        <v>545</v>
      </c>
      <c r="BB51" s="1">
        <v>55.3</v>
      </c>
      <c r="BC51" s="1">
        <v>51</v>
      </c>
      <c r="BD51" s="1">
        <v>7</v>
      </c>
      <c r="BE51" s="1">
        <v>57</v>
      </c>
      <c r="BF51" s="1">
        <v>9.5</v>
      </c>
    </row>
    <row r="52" spans="1:58" x14ac:dyDescent="0.35">
      <c r="A52" t="s">
        <v>89</v>
      </c>
      <c r="B52">
        <v>19</v>
      </c>
      <c r="C52" t="s">
        <v>80</v>
      </c>
      <c r="D52" s="1">
        <v>0</v>
      </c>
      <c r="E52" s="1">
        <v>26.1</v>
      </c>
      <c r="F52" s="1">
        <v>82</v>
      </c>
      <c r="G52" s="1">
        <v>42</v>
      </c>
      <c r="H52" s="1">
        <v>33</v>
      </c>
      <c r="I52" s="1">
        <v>7</v>
      </c>
      <c r="J52" s="1">
        <v>91</v>
      </c>
      <c r="K52" s="1">
        <v>0.55500000000000005</v>
      </c>
      <c r="L52" s="1">
        <v>293</v>
      </c>
      <c r="M52" s="1">
        <v>297</v>
      </c>
      <c r="N52" s="1">
        <v>3</v>
      </c>
      <c r="O52" s="1">
        <v>3</v>
      </c>
      <c r="P52" s="1">
        <v>-0.01</v>
      </c>
      <c r="Q52" s="1">
        <v>0.04</v>
      </c>
      <c r="R52" s="1">
        <v>3.57</v>
      </c>
      <c r="S52" s="1">
        <v>3.62</v>
      </c>
      <c r="T52" s="1">
        <v>63</v>
      </c>
      <c r="U52" s="1">
        <v>269</v>
      </c>
      <c r="V52" s="1">
        <v>23.42</v>
      </c>
      <c r="W52" s="1">
        <v>61</v>
      </c>
      <c r="X52" s="1">
        <v>226</v>
      </c>
      <c r="Y52" s="1">
        <v>73.010000000000005</v>
      </c>
      <c r="Z52" s="1">
        <v>9</v>
      </c>
      <c r="AA52" s="1">
        <v>7</v>
      </c>
      <c r="AB52" s="1">
        <v>7.4</v>
      </c>
      <c r="AC52" s="1">
        <v>8.5</v>
      </c>
      <c r="AD52" s="1">
        <v>2665</v>
      </c>
      <c r="AE52" s="1">
        <v>11</v>
      </c>
      <c r="AF52" s="1">
        <v>2710</v>
      </c>
      <c r="AG52" s="1">
        <v>0.89</v>
      </c>
      <c r="AH52" s="1">
        <v>2</v>
      </c>
      <c r="AI52" s="1">
        <v>7.5</v>
      </c>
      <c r="AJ52" s="1">
        <v>0.92200000000000004</v>
      </c>
      <c r="AK52" s="1">
        <v>99.7</v>
      </c>
      <c r="AL52" s="1">
        <v>3667</v>
      </c>
      <c r="AM52" s="1">
        <v>2948</v>
      </c>
      <c r="AN52" s="1">
        <v>55.4</v>
      </c>
      <c r="AO52" s="1">
        <v>2624</v>
      </c>
      <c r="AP52" s="1">
        <v>2237</v>
      </c>
      <c r="AQ52" s="1">
        <v>54</v>
      </c>
      <c r="AR52" s="1">
        <v>161.9</v>
      </c>
      <c r="AS52" s="1">
        <v>127.5</v>
      </c>
      <c r="AT52" s="1">
        <v>140</v>
      </c>
      <c r="AU52" s="1">
        <v>123</v>
      </c>
      <c r="AV52" s="1">
        <v>-17</v>
      </c>
      <c r="AW52" s="1">
        <v>1728</v>
      </c>
      <c r="AX52" s="1">
        <v>1353</v>
      </c>
      <c r="AY52" s="1">
        <v>56.1</v>
      </c>
      <c r="AZ52" s="1">
        <v>627</v>
      </c>
      <c r="BA52" s="1">
        <v>455</v>
      </c>
      <c r="BB52" s="1">
        <v>57.9</v>
      </c>
      <c r="BC52" s="1">
        <v>53</v>
      </c>
      <c r="BD52" s="1">
        <v>7.8</v>
      </c>
      <c r="BE52" s="1">
        <v>48</v>
      </c>
      <c r="BF52" s="1">
        <v>9.5</v>
      </c>
    </row>
    <row r="53" spans="1:58" x14ac:dyDescent="0.35">
      <c r="A53" t="s">
        <v>89</v>
      </c>
      <c r="B53">
        <v>20</v>
      </c>
      <c r="C53" t="s">
        <v>68</v>
      </c>
      <c r="D53" s="1">
        <v>0</v>
      </c>
      <c r="E53" s="1">
        <v>31</v>
      </c>
      <c r="F53" s="1">
        <v>82</v>
      </c>
      <c r="G53" s="1">
        <v>40</v>
      </c>
      <c r="H53" s="1">
        <v>31</v>
      </c>
      <c r="I53" s="1">
        <v>11</v>
      </c>
      <c r="J53" s="1">
        <v>91</v>
      </c>
      <c r="K53" s="1">
        <v>0.55500000000000005</v>
      </c>
      <c r="L53" s="1">
        <v>261</v>
      </c>
      <c r="M53" s="1">
        <v>263</v>
      </c>
      <c r="N53" s="1">
        <v>1</v>
      </c>
      <c r="O53" s="1">
        <v>1</v>
      </c>
      <c r="P53" s="1">
        <v>0.01</v>
      </c>
      <c r="Q53" s="1">
        <v>0.04</v>
      </c>
      <c r="R53" s="1">
        <v>3.18</v>
      </c>
      <c r="S53" s="1">
        <v>3.21</v>
      </c>
      <c r="T53" s="1">
        <v>63</v>
      </c>
      <c r="U53" s="1">
        <v>290</v>
      </c>
      <c r="V53" s="1">
        <v>21.72</v>
      </c>
      <c r="W53" s="1">
        <v>55</v>
      </c>
      <c r="X53" s="1">
        <v>263</v>
      </c>
      <c r="Y53" s="1">
        <v>79.09</v>
      </c>
      <c r="Z53" s="1">
        <v>5</v>
      </c>
      <c r="AA53" s="1">
        <v>5</v>
      </c>
      <c r="AB53" s="1">
        <v>8.6</v>
      </c>
      <c r="AC53" s="1">
        <v>9.1999999999999993</v>
      </c>
      <c r="AD53" s="1">
        <v>2818</v>
      </c>
      <c r="AE53" s="1">
        <v>9.3000000000000007</v>
      </c>
      <c r="AF53" s="1">
        <v>2687</v>
      </c>
      <c r="AG53" s="1">
        <v>0.90200000000000002</v>
      </c>
      <c r="AH53" s="1">
        <v>2</v>
      </c>
      <c r="AI53" s="1">
        <v>6.7</v>
      </c>
      <c r="AJ53" s="1">
        <v>0.92</v>
      </c>
      <c r="AK53" s="1">
        <v>98.7</v>
      </c>
      <c r="AL53" s="1">
        <v>3866</v>
      </c>
      <c r="AM53" s="1">
        <v>3284</v>
      </c>
      <c r="AN53" s="1">
        <v>54.1</v>
      </c>
      <c r="AO53" s="1">
        <v>2974</v>
      </c>
      <c r="AP53" s="1">
        <v>2452</v>
      </c>
      <c r="AQ53" s="1">
        <v>54.8</v>
      </c>
      <c r="AR53" s="1">
        <v>183.5</v>
      </c>
      <c r="AS53" s="1">
        <v>167.3</v>
      </c>
      <c r="AT53" s="1">
        <v>155</v>
      </c>
      <c r="AU53" s="1">
        <v>152</v>
      </c>
      <c r="AV53" s="1">
        <v>-13</v>
      </c>
      <c r="AW53" s="1">
        <v>1959</v>
      </c>
      <c r="AX53" s="1">
        <v>1764</v>
      </c>
      <c r="AY53" s="1">
        <v>52.6</v>
      </c>
      <c r="AZ53" s="1">
        <v>591</v>
      </c>
      <c r="BA53" s="1">
        <v>529</v>
      </c>
      <c r="BB53" s="1">
        <v>52.8</v>
      </c>
      <c r="BC53" s="1">
        <v>75</v>
      </c>
      <c r="BD53" s="1">
        <v>11.3</v>
      </c>
      <c r="BE53" s="1">
        <v>68</v>
      </c>
      <c r="BF53" s="1">
        <v>11.4</v>
      </c>
    </row>
    <row r="54" spans="1:58" x14ac:dyDescent="0.35">
      <c r="A54" t="s">
        <v>89</v>
      </c>
      <c r="B54">
        <v>21</v>
      </c>
      <c r="C54" t="s">
        <v>82</v>
      </c>
      <c r="D54" s="1">
        <v>0</v>
      </c>
      <c r="E54" s="1">
        <v>27.3</v>
      </c>
      <c r="F54" s="1">
        <v>82</v>
      </c>
      <c r="G54" s="1">
        <v>39</v>
      </c>
      <c r="H54" s="1">
        <v>35</v>
      </c>
      <c r="I54" s="1">
        <v>8</v>
      </c>
      <c r="J54" s="1">
        <v>86</v>
      </c>
      <c r="K54" s="1">
        <v>0.52400000000000002</v>
      </c>
      <c r="L54" s="1">
        <v>259</v>
      </c>
      <c r="M54" s="1">
        <v>270</v>
      </c>
      <c r="N54" s="1">
        <v>2</v>
      </c>
      <c r="O54" s="1">
        <v>1</v>
      </c>
      <c r="P54" s="1">
        <v>-0.09</v>
      </c>
      <c r="Q54" s="1">
        <v>0.04</v>
      </c>
      <c r="R54" s="1">
        <v>3.16</v>
      </c>
      <c r="S54" s="1">
        <v>3.29</v>
      </c>
      <c r="T54" s="1">
        <v>72</v>
      </c>
      <c r="U54" s="1">
        <v>306</v>
      </c>
      <c r="V54" s="1">
        <v>23.53</v>
      </c>
      <c r="W54" s="1">
        <v>59</v>
      </c>
      <c r="X54" s="1">
        <v>296</v>
      </c>
      <c r="Y54" s="1">
        <v>80.069999999999993</v>
      </c>
      <c r="Z54" s="1">
        <v>9</v>
      </c>
      <c r="AA54" s="1">
        <v>11</v>
      </c>
      <c r="AB54" s="1">
        <v>12.4</v>
      </c>
      <c r="AC54" s="1">
        <v>12.2</v>
      </c>
      <c r="AD54" s="1">
        <v>2746</v>
      </c>
      <c r="AE54" s="1">
        <v>9.4</v>
      </c>
      <c r="AF54" s="1">
        <v>2572</v>
      </c>
      <c r="AG54" s="1">
        <v>0.89500000000000002</v>
      </c>
      <c r="AH54" s="1">
        <v>3</v>
      </c>
      <c r="AI54" s="1">
        <v>7.7</v>
      </c>
      <c r="AJ54" s="1">
        <v>0.91400000000000003</v>
      </c>
      <c r="AK54" s="1">
        <v>99.1</v>
      </c>
      <c r="AL54" s="1">
        <v>3731</v>
      </c>
      <c r="AM54" s="1">
        <v>3405</v>
      </c>
      <c r="AN54" s="1">
        <v>52.3</v>
      </c>
      <c r="AO54" s="1">
        <v>2807</v>
      </c>
      <c r="AP54" s="1">
        <v>2415</v>
      </c>
      <c r="AQ54" s="1">
        <v>53.8</v>
      </c>
      <c r="AR54" s="1">
        <v>184.3</v>
      </c>
      <c r="AS54" s="1">
        <v>161.1</v>
      </c>
      <c r="AT54" s="1">
        <v>169</v>
      </c>
      <c r="AU54" s="1">
        <v>159</v>
      </c>
      <c r="AV54" s="1">
        <v>-13</v>
      </c>
      <c r="AW54" s="1">
        <v>1861</v>
      </c>
      <c r="AX54" s="1">
        <v>1748</v>
      </c>
      <c r="AY54" s="1">
        <v>51.6</v>
      </c>
      <c r="AZ54" s="1">
        <v>550</v>
      </c>
      <c r="BA54" s="1">
        <v>553</v>
      </c>
      <c r="BB54" s="1">
        <v>49.9</v>
      </c>
      <c r="BC54" s="1">
        <v>61</v>
      </c>
      <c r="BD54" s="1">
        <v>10</v>
      </c>
      <c r="BE54" s="1">
        <v>59</v>
      </c>
      <c r="BF54" s="1">
        <v>9.6</v>
      </c>
    </row>
    <row r="55" spans="1:58" x14ac:dyDescent="0.35">
      <c r="A55" t="s">
        <v>89</v>
      </c>
      <c r="B55">
        <v>22</v>
      </c>
      <c r="C55" t="s">
        <v>74</v>
      </c>
      <c r="D55" s="1">
        <v>0</v>
      </c>
      <c r="E55" s="1">
        <v>27.3</v>
      </c>
      <c r="F55" s="1">
        <v>82</v>
      </c>
      <c r="G55" s="1">
        <v>38</v>
      </c>
      <c r="H55" s="1">
        <v>37</v>
      </c>
      <c r="I55" s="1">
        <v>7</v>
      </c>
      <c r="J55" s="1">
        <v>83</v>
      </c>
      <c r="K55" s="1">
        <v>0.50600000000000001</v>
      </c>
      <c r="L55" s="1">
        <v>270</v>
      </c>
      <c r="M55" s="1">
        <v>296</v>
      </c>
      <c r="N55" s="1">
        <v>6</v>
      </c>
      <c r="O55" s="1">
        <v>2</v>
      </c>
      <c r="P55" s="1">
        <v>-0.3</v>
      </c>
      <c r="Q55" s="1">
        <v>-0.04</v>
      </c>
      <c r="R55" s="1">
        <v>3.29</v>
      </c>
      <c r="S55" s="1">
        <v>3.61</v>
      </c>
      <c r="T55" s="1">
        <v>62</v>
      </c>
      <c r="U55" s="1">
        <v>273</v>
      </c>
      <c r="V55" s="1">
        <v>22.71</v>
      </c>
      <c r="W55" s="1">
        <v>69</v>
      </c>
      <c r="X55" s="1">
        <v>243</v>
      </c>
      <c r="Y55" s="1">
        <v>71.599999999999994</v>
      </c>
      <c r="Z55" s="1">
        <v>15</v>
      </c>
      <c r="AA55" s="1">
        <v>14</v>
      </c>
      <c r="AB55" s="1">
        <v>9</v>
      </c>
      <c r="AC55" s="1">
        <v>10</v>
      </c>
      <c r="AD55" s="1">
        <v>2438</v>
      </c>
      <c r="AE55" s="1">
        <v>11.1</v>
      </c>
      <c r="AF55" s="1">
        <v>2527</v>
      </c>
      <c r="AG55" s="1">
        <v>0.88300000000000001</v>
      </c>
      <c r="AH55" s="1">
        <v>1</v>
      </c>
      <c r="AI55" s="1">
        <v>7.3</v>
      </c>
      <c r="AJ55" s="1">
        <v>0.92300000000000004</v>
      </c>
      <c r="AK55" s="1">
        <v>99.6</v>
      </c>
      <c r="AL55" s="1">
        <v>4160</v>
      </c>
      <c r="AM55" s="1">
        <v>3486</v>
      </c>
      <c r="AN55" s="1">
        <v>54.4</v>
      </c>
      <c r="AO55" s="1">
        <v>3035</v>
      </c>
      <c r="AP55" s="1">
        <v>2491</v>
      </c>
      <c r="AQ55" s="1">
        <v>54.9</v>
      </c>
      <c r="AR55" s="1">
        <v>169.6</v>
      </c>
      <c r="AS55" s="1">
        <v>146.30000000000001</v>
      </c>
      <c r="AT55" s="1">
        <v>165</v>
      </c>
      <c r="AU55" s="1">
        <v>143</v>
      </c>
      <c r="AV55" s="1">
        <v>-1</v>
      </c>
      <c r="AW55" s="1">
        <v>1843</v>
      </c>
      <c r="AX55" s="1">
        <v>1593</v>
      </c>
      <c r="AY55" s="1">
        <v>53.6</v>
      </c>
      <c r="AZ55" s="1">
        <v>645</v>
      </c>
      <c r="BA55" s="1">
        <v>540</v>
      </c>
      <c r="BB55" s="1">
        <v>54.4</v>
      </c>
      <c r="BC55" s="1">
        <v>67</v>
      </c>
      <c r="BD55" s="1">
        <v>9.4</v>
      </c>
      <c r="BE55" s="1">
        <v>61</v>
      </c>
      <c r="BF55" s="1">
        <v>10.1</v>
      </c>
    </row>
    <row r="56" spans="1:58" x14ac:dyDescent="0.35">
      <c r="A56" t="s">
        <v>89</v>
      </c>
      <c r="B56">
        <v>23</v>
      </c>
      <c r="C56" t="s">
        <v>65</v>
      </c>
      <c r="D56" s="1">
        <v>0</v>
      </c>
      <c r="E56" s="1">
        <v>29.3</v>
      </c>
      <c r="F56" s="1">
        <v>82</v>
      </c>
      <c r="G56" s="1">
        <v>37</v>
      </c>
      <c r="H56" s="1">
        <v>38</v>
      </c>
      <c r="I56" s="1">
        <v>7</v>
      </c>
      <c r="J56" s="1">
        <v>81</v>
      </c>
      <c r="K56" s="1">
        <v>0.49399999999999999</v>
      </c>
      <c r="L56" s="1">
        <v>260</v>
      </c>
      <c r="M56" s="1">
        <v>298</v>
      </c>
      <c r="N56" s="1">
        <v>3</v>
      </c>
      <c r="O56" s="1">
        <v>3</v>
      </c>
      <c r="P56" s="1">
        <v>-0.47</v>
      </c>
      <c r="Q56" s="1">
        <v>-0.01</v>
      </c>
      <c r="R56" s="1">
        <v>3.17</v>
      </c>
      <c r="S56" s="1">
        <v>3.63</v>
      </c>
      <c r="T56" s="1">
        <v>46</v>
      </c>
      <c r="U56" s="1">
        <v>238</v>
      </c>
      <c r="V56" s="1">
        <v>19.329999999999998</v>
      </c>
      <c r="W56" s="1">
        <v>60</v>
      </c>
      <c r="X56" s="1">
        <v>217</v>
      </c>
      <c r="Y56" s="1">
        <v>72.349999999999994</v>
      </c>
      <c r="Z56" s="1">
        <v>7</v>
      </c>
      <c r="AA56" s="1">
        <v>14</v>
      </c>
      <c r="AB56" s="1">
        <v>7.8</v>
      </c>
      <c r="AC56" s="1">
        <v>7.6</v>
      </c>
      <c r="AD56" s="1">
        <v>2341</v>
      </c>
      <c r="AE56" s="1">
        <v>11.1</v>
      </c>
      <c r="AF56" s="1">
        <v>2652</v>
      </c>
      <c r="AG56" s="1">
        <v>0.88800000000000001</v>
      </c>
      <c r="AH56" s="1">
        <v>4</v>
      </c>
      <c r="AI56" s="1">
        <v>8.4</v>
      </c>
      <c r="AJ56" s="1">
        <v>0.92600000000000005</v>
      </c>
      <c r="AK56" s="1">
        <v>101</v>
      </c>
      <c r="AL56" s="1">
        <v>3591</v>
      </c>
      <c r="AM56" s="1">
        <v>3083</v>
      </c>
      <c r="AN56" s="1">
        <v>53.8</v>
      </c>
      <c r="AO56" s="1">
        <v>2570</v>
      </c>
      <c r="AP56" s="1">
        <v>2175</v>
      </c>
      <c r="AQ56" s="1">
        <v>54.2</v>
      </c>
      <c r="AR56" s="1">
        <v>138.1</v>
      </c>
      <c r="AS56" s="1">
        <v>132.69999999999999</v>
      </c>
      <c r="AT56" s="1">
        <v>148</v>
      </c>
      <c r="AU56" s="1">
        <v>112</v>
      </c>
      <c r="AV56" s="1">
        <v>31</v>
      </c>
      <c r="AW56" s="1">
        <v>1576</v>
      </c>
      <c r="AX56" s="1">
        <v>1390</v>
      </c>
      <c r="AY56" s="1">
        <v>53.1</v>
      </c>
      <c r="AZ56" s="1">
        <v>567</v>
      </c>
      <c r="BA56" s="1">
        <v>484</v>
      </c>
      <c r="BB56" s="1">
        <v>53.9</v>
      </c>
      <c r="BC56" s="1">
        <v>57</v>
      </c>
      <c r="BD56" s="1">
        <v>9.1</v>
      </c>
      <c r="BE56" s="1">
        <v>48</v>
      </c>
      <c r="BF56" s="1">
        <v>9</v>
      </c>
    </row>
    <row r="57" spans="1:58" x14ac:dyDescent="0.35">
      <c r="A57" t="s">
        <v>89</v>
      </c>
      <c r="B57">
        <v>24</v>
      </c>
      <c r="C57" t="s">
        <v>69</v>
      </c>
      <c r="D57" s="1">
        <v>0</v>
      </c>
      <c r="E57" s="1">
        <v>30.9</v>
      </c>
      <c r="F57" s="1">
        <v>82</v>
      </c>
      <c r="G57" s="1">
        <v>35</v>
      </c>
      <c r="H57" s="1">
        <v>37</v>
      </c>
      <c r="I57" s="1">
        <v>10</v>
      </c>
      <c r="J57" s="1">
        <v>80</v>
      </c>
      <c r="K57" s="1">
        <v>0.48799999999999999</v>
      </c>
      <c r="L57" s="1">
        <v>253</v>
      </c>
      <c r="M57" s="1">
        <v>261</v>
      </c>
      <c r="N57" s="1">
        <v>2</v>
      </c>
      <c r="O57" s="1">
        <v>4</v>
      </c>
      <c r="P57" s="1">
        <v>-0.1</v>
      </c>
      <c r="Q57" s="1">
        <v>0.02</v>
      </c>
      <c r="R57" s="1">
        <v>3.09</v>
      </c>
      <c r="S57" s="1">
        <v>3.18</v>
      </c>
      <c r="T57" s="1">
        <v>52</v>
      </c>
      <c r="U57" s="1">
        <v>245</v>
      </c>
      <c r="V57" s="1">
        <v>21.22</v>
      </c>
      <c r="W57" s="1">
        <v>41</v>
      </c>
      <c r="X57" s="1">
        <v>226</v>
      </c>
      <c r="Y57" s="1">
        <v>81.86</v>
      </c>
      <c r="Z57" s="1">
        <v>4</v>
      </c>
      <c r="AA57" s="1">
        <v>8</v>
      </c>
      <c r="AB57" s="1">
        <v>8.6999999999999993</v>
      </c>
      <c r="AC57" s="1">
        <v>9.1</v>
      </c>
      <c r="AD57" s="1">
        <v>2549</v>
      </c>
      <c r="AE57" s="1">
        <v>9.9</v>
      </c>
      <c r="AF57" s="1">
        <v>2548</v>
      </c>
      <c r="AG57" s="1">
        <v>0.89800000000000002</v>
      </c>
      <c r="AH57" s="1">
        <v>5</v>
      </c>
      <c r="AI57" s="1">
        <v>9.3000000000000007</v>
      </c>
      <c r="AJ57" s="1">
        <v>0.92600000000000005</v>
      </c>
      <c r="AK57" s="1">
        <v>101.9</v>
      </c>
      <c r="AL57" s="1">
        <v>3564</v>
      </c>
      <c r="AM57" s="1">
        <v>3390</v>
      </c>
      <c r="AN57" s="1">
        <v>51.3</v>
      </c>
      <c r="AO57" s="1">
        <v>2702</v>
      </c>
      <c r="AP57" s="1">
        <v>2563</v>
      </c>
      <c r="AQ57" s="1">
        <v>51.3</v>
      </c>
      <c r="AR57" s="1">
        <v>182.8</v>
      </c>
      <c r="AS57" s="1">
        <v>156.19999999999999</v>
      </c>
      <c r="AT57" s="1">
        <v>207</v>
      </c>
      <c r="AU57" s="1">
        <v>150</v>
      </c>
      <c r="AV57" s="1">
        <v>30</v>
      </c>
      <c r="AW57" s="1">
        <v>1800</v>
      </c>
      <c r="AX57" s="1">
        <v>1514</v>
      </c>
      <c r="AY57" s="1">
        <v>54.3</v>
      </c>
      <c r="AZ57" s="1">
        <v>516</v>
      </c>
      <c r="BA57" s="1">
        <v>425</v>
      </c>
      <c r="BB57" s="1">
        <v>54.8</v>
      </c>
      <c r="BC57" s="1">
        <v>83</v>
      </c>
      <c r="BD57" s="1">
        <v>13.9</v>
      </c>
      <c r="BE57" s="1">
        <v>60</v>
      </c>
      <c r="BF57" s="1">
        <v>12.4</v>
      </c>
    </row>
    <row r="58" spans="1:58" x14ac:dyDescent="0.35">
      <c r="A58" t="s">
        <v>89</v>
      </c>
      <c r="B58">
        <v>25</v>
      </c>
      <c r="C58" t="s">
        <v>81</v>
      </c>
      <c r="D58" s="1">
        <v>0</v>
      </c>
      <c r="E58" s="1">
        <v>27.3</v>
      </c>
      <c r="F58" s="1">
        <v>82</v>
      </c>
      <c r="G58" s="1">
        <v>35</v>
      </c>
      <c r="H58" s="1">
        <v>37</v>
      </c>
      <c r="I58" s="1">
        <v>10</v>
      </c>
      <c r="J58" s="1">
        <v>80</v>
      </c>
      <c r="K58" s="1">
        <v>0.48799999999999999</v>
      </c>
      <c r="L58" s="1">
        <v>237</v>
      </c>
      <c r="M58" s="1">
        <v>275</v>
      </c>
      <c r="N58" s="1">
        <v>3</v>
      </c>
      <c r="O58" s="1">
        <v>4</v>
      </c>
      <c r="P58" s="1">
        <v>-0.44</v>
      </c>
      <c r="Q58" s="1">
        <v>0.04</v>
      </c>
      <c r="R58" s="1">
        <v>2.89</v>
      </c>
      <c r="S58" s="1">
        <v>3.35</v>
      </c>
      <c r="T58" s="1">
        <v>57</v>
      </c>
      <c r="U58" s="1">
        <v>270</v>
      </c>
      <c r="V58" s="1">
        <v>21.11</v>
      </c>
      <c r="W58" s="1">
        <v>54</v>
      </c>
      <c r="X58" s="1">
        <v>249</v>
      </c>
      <c r="Y58" s="1">
        <v>78.31</v>
      </c>
      <c r="Z58" s="1">
        <v>5</v>
      </c>
      <c r="AA58" s="1">
        <v>12</v>
      </c>
      <c r="AB58" s="1">
        <v>8.1</v>
      </c>
      <c r="AC58" s="1">
        <v>8.5</v>
      </c>
      <c r="AD58" s="1">
        <v>2312</v>
      </c>
      <c r="AE58" s="1">
        <v>10.3</v>
      </c>
      <c r="AF58" s="1">
        <v>2496</v>
      </c>
      <c r="AG58" s="1">
        <v>0.89</v>
      </c>
      <c r="AH58" s="1">
        <v>4</v>
      </c>
      <c r="AI58" s="1">
        <v>7.3</v>
      </c>
      <c r="AJ58" s="1">
        <v>0.93200000000000005</v>
      </c>
      <c r="AK58" s="1">
        <v>100.5</v>
      </c>
      <c r="AL58" s="1">
        <v>3578</v>
      </c>
      <c r="AM58" s="1">
        <v>3641</v>
      </c>
      <c r="AN58" s="1">
        <v>49.6</v>
      </c>
      <c r="AO58" s="1">
        <v>2655</v>
      </c>
      <c r="AP58" s="1">
        <v>2639</v>
      </c>
      <c r="AQ58" s="1">
        <v>50.2</v>
      </c>
      <c r="AR58" s="1">
        <v>167.2</v>
      </c>
      <c r="AS58" s="1">
        <v>170.2</v>
      </c>
      <c r="AT58" s="1">
        <v>144</v>
      </c>
      <c r="AU58" s="1">
        <v>140</v>
      </c>
      <c r="AV58" s="1">
        <v>7</v>
      </c>
      <c r="AW58" s="1">
        <v>1728</v>
      </c>
      <c r="AX58" s="1">
        <v>1743</v>
      </c>
      <c r="AY58" s="1">
        <v>49.8</v>
      </c>
      <c r="AZ58" s="1">
        <v>574</v>
      </c>
      <c r="BA58" s="1">
        <v>565</v>
      </c>
      <c r="BB58" s="1">
        <v>50.4</v>
      </c>
      <c r="BC58" s="1">
        <v>69</v>
      </c>
      <c r="BD58" s="1">
        <v>10.7</v>
      </c>
      <c r="BE58" s="1">
        <v>64</v>
      </c>
      <c r="BF58" s="1">
        <v>10.199999999999999</v>
      </c>
    </row>
    <row r="59" spans="1:58" x14ac:dyDescent="0.35">
      <c r="A59" t="s">
        <v>89</v>
      </c>
      <c r="B59">
        <v>26</v>
      </c>
      <c r="C59" t="s">
        <v>85</v>
      </c>
      <c r="D59" s="1">
        <v>0</v>
      </c>
      <c r="E59" s="1">
        <v>26.8</v>
      </c>
      <c r="F59" s="1">
        <v>82</v>
      </c>
      <c r="G59" s="1">
        <v>31</v>
      </c>
      <c r="H59" s="1">
        <v>38</v>
      </c>
      <c r="I59" s="1">
        <v>13</v>
      </c>
      <c r="J59" s="1">
        <v>75</v>
      </c>
      <c r="K59" s="1">
        <v>0.45700000000000002</v>
      </c>
      <c r="L59" s="1">
        <v>220</v>
      </c>
      <c r="M59" s="1">
        <v>276</v>
      </c>
      <c r="N59" s="1">
        <v>2</v>
      </c>
      <c r="O59" s="1">
        <v>1</v>
      </c>
      <c r="P59" s="1">
        <v>-0.62</v>
      </c>
      <c r="Q59" s="1">
        <v>0.05</v>
      </c>
      <c r="R59" s="1">
        <v>2.68</v>
      </c>
      <c r="S59" s="1">
        <v>3.37</v>
      </c>
      <c r="T59" s="1">
        <v>35</v>
      </c>
      <c r="U59" s="1">
        <v>225</v>
      </c>
      <c r="V59" s="1">
        <v>15.56</v>
      </c>
      <c r="W59" s="1">
        <v>59</v>
      </c>
      <c r="X59" s="1">
        <v>233</v>
      </c>
      <c r="Y59" s="1">
        <v>74.680000000000007</v>
      </c>
      <c r="Z59" s="1">
        <v>11</v>
      </c>
      <c r="AA59" s="1">
        <v>9</v>
      </c>
      <c r="AB59" s="1">
        <v>10.4</v>
      </c>
      <c r="AC59" s="1">
        <v>9.6999999999999993</v>
      </c>
      <c r="AD59" s="1">
        <v>2416</v>
      </c>
      <c r="AE59" s="1">
        <v>9.1</v>
      </c>
      <c r="AF59" s="1">
        <v>2585</v>
      </c>
      <c r="AG59" s="1">
        <v>0.89300000000000002</v>
      </c>
      <c r="AH59" s="1">
        <v>3</v>
      </c>
      <c r="AI59" s="1">
        <v>8.1999999999999993</v>
      </c>
      <c r="AJ59" s="1">
        <v>0.91700000000000004</v>
      </c>
      <c r="AK59" s="1">
        <v>99.9</v>
      </c>
      <c r="AL59" s="1">
        <v>3710</v>
      </c>
      <c r="AM59" s="1">
        <v>3662</v>
      </c>
      <c r="AN59" s="1">
        <v>50.3</v>
      </c>
      <c r="AO59" s="1">
        <v>2629</v>
      </c>
      <c r="AP59" s="1">
        <v>2629</v>
      </c>
      <c r="AQ59" s="1">
        <v>50</v>
      </c>
      <c r="AR59" s="1">
        <v>151.19999999999999</v>
      </c>
      <c r="AS59" s="1">
        <v>149.30000000000001</v>
      </c>
      <c r="AT59" s="1">
        <v>159</v>
      </c>
      <c r="AU59" s="1">
        <v>163</v>
      </c>
      <c r="AV59" s="1">
        <v>-6</v>
      </c>
      <c r="AW59" s="1">
        <v>1656</v>
      </c>
      <c r="AX59" s="1">
        <v>1577</v>
      </c>
      <c r="AY59" s="1">
        <v>51.2</v>
      </c>
      <c r="AZ59" s="1">
        <v>541</v>
      </c>
      <c r="BA59" s="1">
        <v>501</v>
      </c>
      <c r="BB59" s="1">
        <v>51.9</v>
      </c>
      <c r="BC59" s="1">
        <v>64</v>
      </c>
      <c r="BD59" s="1">
        <v>10.6</v>
      </c>
      <c r="BE59" s="1">
        <v>52</v>
      </c>
      <c r="BF59" s="1">
        <v>9.4</v>
      </c>
    </row>
    <row r="60" spans="1:58" x14ac:dyDescent="0.35">
      <c r="A60" t="s">
        <v>89</v>
      </c>
      <c r="B60">
        <v>27</v>
      </c>
      <c r="C60" t="s">
        <v>87</v>
      </c>
      <c r="D60" s="1">
        <v>0</v>
      </c>
      <c r="E60" s="1">
        <v>26.4</v>
      </c>
      <c r="F60" s="1">
        <v>82</v>
      </c>
      <c r="G60" s="1">
        <v>28</v>
      </c>
      <c r="H60" s="1">
        <v>40</v>
      </c>
      <c r="I60" s="1">
        <v>14</v>
      </c>
      <c r="J60" s="1">
        <v>70</v>
      </c>
      <c r="K60" s="1">
        <v>0.42699999999999999</v>
      </c>
      <c r="L60" s="1">
        <v>225</v>
      </c>
      <c r="M60" s="1">
        <v>295</v>
      </c>
      <c r="N60" s="1">
        <v>3</v>
      </c>
      <c r="O60" s="1">
        <v>4</v>
      </c>
      <c r="P60" s="1">
        <v>-0.85</v>
      </c>
      <c r="Q60" s="1">
        <v>0.01</v>
      </c>
      <c r="R60" s="1">
        <v>2.74</v>
      </c>
      <c r="S60" s="1">
        <v>3.6</v>
      </c>
      <c r="T60" s="1">
        <v>45</v>
      </c>
      <c r="U60" s="1">
        <v>238</v>
      </c>
      <c r="V60" s="1">
        <v>18.91</v>
      </c>
      <c r="W60" s="1">
        <v>81</v>
      </c>
      <c r="X60" s="1">
        <v>319</v>
      </c>
      <c r="Y60" s="1">
        <v>74.61</v>
      </c>
      <c r="Z60" s="1">
        <v>5</v>
      </c>
      <c r="AA60" s="1">
        <v>6</v>
      </c>
      <c r="AB60" s="1">
        <v>11.9</v>
      </c>
      <c r="AC60" s="1">
        <v>9</v>
      </c>
      <c r="AD60" s="1">
        <v>2119</v>
      </c>
      <c r="AE60" s="1">
        <v>10.6</v>
      </c>
      <c r="AF60" s="1">
        <v>2874</v>
      </c>
      <c r="AG60" s="1">
        <v>0.89700000000000002</v>
      </c>
      <c r="AH60" s="1">
        <v>4</v>
      </c>
      <c r="AI60" s="1">
        <v>7.4</v>
      </c>
      <c r="AJ60" s="1">
        <v>0.93200000000000005</v>
      </c>
      <c r="AK60" s="1">
        <v>100.6</v>
      </c>
      <c r="AL60" s="1">
        <v>3288</v>
      </c>
      <c r="AM60" s="1">
        <v>3564</v>
      </c>
      <c r="AN60" s="1">
        <v>48</v>
      </c>
      <c r="AO60" s="1">
        <v>2342</v>
      </c>
      <c r="AP60" s="1">
        <v>2571</v>
      </c>
      <c r="AQ60" s="1">
        <v>47.7</v>
      </c>
      <c r="AR60" s="1">
        <v>135.6</v>
      </c>
      <c r="AS60" s="1">
        <v>146.80000000000001</v>
      </c>
      <c r="AT60" s="1">
        <v>124</v>
      </c>
      <c r="AU60" s="1">
        <v>122</v>
      </c>
      <c r="AV60" s="1">
        <v>13</v>
      </c>
      <c r="AW60" s="1">
        <v>1466</v>
      </c>
      <c r="AX60" s="1">
        <v>1554</v>
      </c>
      <c r="AY60" s="1">
        <v>48.5</v>
      </c>
      <c r="AZ60" s="1">
        <v>487</v>
      </c>
      <c r="BA60" s="1">
        <v>481</v>
      </c>
      <c r="BB60" s="1">
        <v>50.3</v>
      </c>
      <c r="BC60" s="1">
        <v>37</v>
      </c>
      <c r="BD60" s="1">
        <v>7.1</v>
      </c>
      <c r="BE60" s="1">
        <v>50</v>
      </c>
      <c r="BF60" s="1">
        <v>9.4</v>
      </c>
    </row>
    <row r="61" spans="1:58" x14ac:dyDescent="0.35">
      <c r="A61" t="s">
        <v>89</v>
      </c>
      <c r="B61">
        <v>28</v>
      </c>
      <c r="C61" t="s">
        <v>88</v>
      </c>
      <c r="D61" s="1">
        <v>0</v>
      </c>
      <c r="E61" s="1">
        <v>27.3</v>
      </c>
      <c r="F61" s="1">
        <v>82</v>
      </c>
      <c r="G61" s="1">
        <v>31</v>
      </c>
      <c r="H61" s="1">
        <v>45</v>
      </c>
      <c r="I61" s="1">
        <v>6</v>
      </c>
      <c r="J61" s="1">
        <v>68</v>
      </c>
      <c r="K61" s="1">
        <v>0.41499999999999998</v>
      </c>
      <c r="L61" s="1">
        <v>227</v>
      </c>
      <c r="M61" s="1">
        <v>305</v>
      </c>
      <c r="N61" s="1">
        <v>5</v>
      </c>
      <c r="O61" s="1">
        <v>2</v>
      </c>
      <c r="P61" s="1">
        <v>-0.85</v>
      </c>
      <c r="Q61" s="1">
        <v>0.06</v>
      </c>
      <c r="R61" s="1">
        <v>2.77</v>
      </c>
      <c r="S61" s="1">
        <v>3.72</v>
      </c>
      <c r="T61" s="1">
        <v>38</v>
      </c>
      <c r="U61" s="1">
        <v>236</v>
      </c>
      <c r="V61" s="1">
        <v>16.100000000000001</v>
      </c>
      <c r="W61" s="1">
        <v>75</v>
      </c>
      <c r="X61" s="1">
        <v>275</v>
      </c>
      <c r="Y61" s="1">
        <v>72.73</v>
      </c>
      <c r="Z61" s="1">
        <v>8</v>
      </c>
      <c r="AA61" s="1">
        <v>3</v>
      </c>
      <c r="AB61" s="1">
        <v>11.6</v>
      </c>
      <c r="AC61" s="1">
        <v>9.3000000000000007</v>
      </c>
      <c r="AD61" s="1">
        <v>2237</v>
      </c>
      <c r="AE61" s="1">
        <v>10.1</v>
      </c>
      <c r="AF61" s="1">
        <v>2753</v>
      </c>
      <c r="AG61" s="1">
        <v>0.88900000000000001</v>
      </c>
      <c r="AH61" s="1">
        <v>1</v>
      </c>
      <c r="AI61" s="1">
        <v>7.6</v>
      </c>
      <c r="AJ61" s="1">
        <v>0.91500000000000004</v>
      </c>
      <c r="AK61" s="1">
        <v>99.1</v>
      </c>
      <c r="AL61" s="1">
        <v>3350</v>
      </c>
      <c r="AM61" s="1">
        <v>3775</v>
      </c>
      <c r="AN61" s="1">
        <v>47</v>
      </c>
      <c r="AO61" s="1">
        <v>2490</v>
      </c>
      <c r="AP61" s="1">
        <v>2852</v>
      </c>
      <c r="AQ61" s="1">
        <v>46.6</v>
      </c>
      <c r="AR61" s="1">
        <v>164.9</v>
      </c>
      <c r="AS61" s="1">
        <v>199.6</v>
      </c>
      <c r="AT61" s="1">
        <v>154</v>
      </c>
      <c r="AU61" s="1">
        <v>195</v>
      </c>
      <c r="AV61" s="1">
        <v>-6</v>
      </c>
      <c r="AW61" s="1">
        <v>1671</v>
      </c>
      <c r="AX61" s="1">
        <v>1987</v>
      </c>
      <c r="AY61" s="1">
        <v>45.7</v>
      </c>
      <c r="AZ61" s="1">
        <v>544</v>
      </c>
      <c r="BA61" s="1">
        <v>644</v>
      </c>
      <c r="BB61" s="1">
        <v>45.8</v>
      </c>
      <c r="BC61" s="1">
        <v>69</v>
      </c>
      <c r="BD61" s="1">
        <v>11.3</v>
      </c>
      <c r="BE61" s="1">
        <v>95</v>
      </c>
      <c r="BF61" s="1">
        <v>12.9</v>
      </c>
    </row>
    <row r="62" spans="1:58" x14ac:dyDescent="0.35">
      <c r="A62" t="s">
        <v>89</v>
      </c>
      <c r="B62">
        <v>29</v>
      </c>
      <c r="C62" t="s">
        <v>78</v>
      </c>
      <c r="D62" s="1">
        <v>0</v>
      </c>
      <c r="E62" s="1">
        <v>29.4</v>
      </c>
      <c r="F62" s="1">
        <v>82</v>
      </c>
      <c r="G62" s="1">
        <v>22</v>
      </c>
      <c r="H62" s="1">
        <v>44</v>
      </c>
      <c r="I62" s="1">
        <v>16</v>
      </c>
      <c r="J62" s="1">
        <v>60</v>
      </c>
      <c r="K62" s="1">
        <v>0.36599999999999999</v>
      </c>
      <c r="L62" s="1">
        <v>233</v>
      </c>
      <c r="M62" s="1">
        <v>315</v>
      </c>
      <c r="N62" s="1">
        <v>1</v>
      </c>
      <c r="O62" s="1">
        <v>6</v>
      </c>
      <c r="P62" s="1">
        <v>-1.05</v>
      </c>
      <c r="Q62" s="1">
        <v>0.01</v>
      </c>
      <c r="R62" s="1">
        <v>2.84</v>
      </c>
      <c r="S62" s="1">
        <v>3.84</v>
      </c>
      <c r="T62" s="1">
        <v>41</v>
      </c>
      <c r="U62" s="1">
        <v>223</v>
      </c>
      <c r="V62" s="1">
        <v>18.39</v>
      </c>
      <c r="W62" s="1">
        <v>43</v>
      </c>
      <c r="X62" s="1">
        <v>244</v>
      </c>
      <c r="Y62" s="1">
        <v>82.38</v>
      </c>
      <c r="Z62" s="1">
        <v>4</v>
      </c>
      <c r="AA62" s="1">
        <v>13</v>
      </c>
      <c r="AB62" s="1">
        <v>8</v>
      </c>
      <c r="AC62" s="1">
        <v>7.6</v>
      </c>
      <c r="AD62" s="1">
        <v>2415</v>
      </c>
      <c r="AE62" s="1">
        <v>9.6</v>
      </c>
      <c r="AF62" s="1">
        <v>2640</v>
      </c>
      <c r="AG62" s="1">
        <v>0.88100000000000001</v>
      </c>
      <c r="AH62" s="1">
        <v>4</v>
      </c>
      <c r="AI62" s="1">
        <v>8.6</v>
      </c>
      <c r="AJ62" s="1">
        <v>0.91100000000000003</v>
      </c>
      <c r="AK62" s="1">
        <v>99.7</v>
      </c>
      <c r="AL62" s="1">
        <v>3261</v>
      </c>
      <c r="AM62" s="1">
        <v>3924</v>
      </c>
      <c r="AN62" s="1">
        <v>45.4</v>
      </c>
      <c r="AO62" s="1">
        <v>2359</v>
      </c>
      <c r="AP62" s="1">
        <v>2839</v>
      </c>
      <c r="AQ62" s="1">
        <v>45.4</v>
      </c>
      <c r="AR62" s="1">
        <v>153.5</v>
      </c>
      <c r="AS62" s="1">
        <v>199.4</v>
      </c>
      <c r="AT62" s="1">
        <v>162</v>
      </c>
      <c r="AU62" s="1">
        <v>200</v>
      </c>
      <c r="AV62" s="1">
        <v>8</v>
      </c>
      <c r="AW62" s="1">
        <v>1601</v>
      </c>
      <c r="AX62" s="1">
        <v>2039</v>
      </c>
      <c r="AY62" s="1">
        <v>44</v>
      </c>
      <c r="AZ62" s="1">
        <v>518</v>
      </c>
      <c r="BA62" s="1">
        <v>718</v>
      </c>
      <c r="BB62" s="1">
        <v>41.9</v>
      </c>
      <c r="BC62" s="1">
        <v>66</v>
      </c>
      <c r="BD62" s="1">
        <v>11.3</v>
      </c>
      <c r="BE62" s="1">
        <v>90</v>
      </c>
      <c r="BF62" s="1">
        <v>11.1</v>
      </c>
    </row>
    <row r="63" spans="1:58" x14ac:dyDescent="0.35">
      <c r="A63" t="s">
        <v>89</v>
      </c>
      <c r="B63">
        <v>30</v>
      </c>
      <c r="C63" t="s">
        <v>83</v>
      </c>
      <c r="D63" s="1">
        <v>0</v>
      </c>
      <c r="E63" s="1">
        <v>28.7</v>
      </c>
      <c r="F63" s="1">
        <v>82</v>
      </c>
      <c r="G63" s="1">
        <v>26</v>
      </c>
      <c r="H63" s="1">
        <v>49</v>
      </c>
      <c r="I63" s="1">
        <v>7</v>
      </c>
      <c r="J63" s="1">
        <v>59</v>
      </c>
      <c r="K63" s="1">
        <v>0.36</v>
      </c>
      <c r="L63" s="1">
        <v>202</v>
      </c>
      <c r="M63" s="1">
        <v>299</v>
      </c>
      <c r="N63" s="1">
        <v>2</v>
      </c>
      <c r="O63" s="1">
        <v>2</v>
      </c>
      <c r="P63" s="1">
        <v>-1.1599999999999999</v>
      </c>
      <c r="Q63" s="1">
        <v>0.02</v>
      </c>
      <c r="R63" s="1">
        <v>2.46</v>
      </c>
      <c r="S63" s="1">
        <v>3.65</v>
      </c>
      <c r="T63" s="1">
        <v>38</v>
      </c>
      <c r="U63" s="1">
        <v>232</v>
      </c>
      <c r="V63" s="1">
        <v>16.38</v>
      </c>
      <c r="W63" s="1">
        <v>55</v>
      </c>
      <c r="X63" s="1">
        <v>231</v>
      </c>
      <c r="Y63" s="1">
        <v>76.19</v>
      </c>
      <c r="Z63" s="1">
        <v>7</v>
      </c>
      <c r="AA63" s="1">
        <v>10</v>
      </c>
      <c r="AB63" s="1">
        <v>8.6</v>
      </c>
      <c r="AC63" s="1">
        <v>8.9</v>
      </c>
      <c r="AD63" s="1">
        <v>2210</v>
      </c>
      <c r="AE63" s="1">
        <v>9.1</v>
      </c>
      <c r="AF63" s="1">
        <v>2758</v>
      </c>
      <c r="AG63" s="1">
        <v>0.89200000000000002</v>
      </c>
      <c r="AH63" s="1">
        <v>2</v>
      </c>
      <c r="AI63" s="1">
        <v>8.4</v>
      </c>
      <c r="AJ63" s="1">
        <v>0.92500000000000004</v>
      </c>
      <c r="AK63" s="1">
        <v>100.9</v>
      </c>
      <c r="AL63" s="1">
        <v>3581</v>
      </c>
      <c r="AM63" s="1">
        <v>4159</v>
      </c>
      <c r="AN63" s="1">
        <v>46.3</v>
      </c>
      <c r="AO63" s="1">
        <v>2549</v>
      </c>
      <c r="AP63" s="1">
        <v>2974</v>
      </c>
      <c r="AQ63" s="1">
        <v>46.2</v>
      </c>
      <c r="AR63" s="1">
        <v>157.6</v>
      </c>
      <c r="AS63" s="1">
        <v>174.5</v>
      </c>
      <c r="AT63" s="1">
        <v>160</v>
      </c>
      <c r="AU63" s="1">
        <v>164</v>
      </c>
      <c r="AV63" s="1">
        <v>13</v>
      </c>
      <c r="AW63" s="1">
        <v>1611</v>
      </c>
      <c r="AX63" s="1">
        <v>1997</v>
      </c>
      <c r="AY63" s="1">
        <v>44.7</v>
      </c>
      <c r="AZ63" s="1">
        <v>575</v>
      </c>
      <c r="BA63" s="1">
        <v>716</v>
      </c>
      <c r="BB63" s="1">
        <v>44.5</v>
      </c>
      <c r="BC63" s="1">
        <v>73</v>
      </c>
      <c r="BD63" s="1">
        <v>11.3</v>
      </c>
      <c r="BE63" s="1">
        <v>59</v>
      </c>
      <c r="BF63" s="1">
        <v>7.6</v>
      </c>
    </row>
    <row r="64" spans="1:58" x14ac:dyDescent="0.35">
      <c r="A64" t="s">
        <v>89</v>
      </c>
      <c r="B64">
        <v>31</v>
      </c>
      <c r="C64" t="s">
        <v>77</v>
      </c>
      <c r="D64" s="1">
        <v>0</v>
      </c>
      <c r="E64" s="1">
        <v>26.7</v>
      </c>
      <c r="F64" s="1">
        <v>82</v>
      </c>
      <c r="G64" s="1">
        <v>25</v>
      </c>
      <c r="H64" s="1">
        <v>48</v>
      </c>
      <c r="I64" s="1">
        <v>9</v>
      </c>
      <c r="J64" s="1">
        <v>59</v>
      </c>
      <c r="K64" s="1">
        <v>0.36</v>
      </c>
      <c r="L64" s="1">
        <v>213</v>
      </c>
      <c r="M64" s="1">
        <v>329</v>
      </c>
      <c r="N64" s="1">
        <v>1</v>
      </c>
      <c r="O64" s="1">
        <v>1</v>
      </c>
      <c r="P64" s="1">
        <v>-1.34</v>
      </c>
      <c r="Q64" s="1">
        <v>7.0000000000000007E-2</v>
      </c>
      <c r="R64" s="1">
        <v>2.6</v>
      </c>
      <c r="S64" s="1">
        <v>4.01</v>
      </c>
      <c r="T64" s="1">
        <v>41</v>
      </c>
      <c r="U64" s="1">
        <v>224</v>
      </c>
      <c r="V64" s="1">
        <v>18.3</v>
      </c>
      <c r="W64" s="1">
        <v>59</v>
      </c>
      <c r="X64" s="1">
        <v>237</v>
      </c>
      <c r="Y64" s="1">
        <v>75.11</v>
      </c>
      <c r="Z64" s="1">
        <v>5</v>
      </c>
      <c r="AA64" s="1">
        <v>9</v>
      </c>
      <c r="AB64" s="1">
        <v>8</v>
      </c>
      <c r="AC64" s="1">
        <v>7.3</v>
      </c>
      <c r="AD64" s="1">
        <v>2399</v>
      </c>
      <c r="AE64" s="1">
        <v>8.9</v>
      </c>
      <c r="AF64" s="1">
        <v>2904</v>
      </c>
      <c r="AG64" s="1">
        <v>0.88700000000000001</v>
      </c>
      <c r="AH64" s="1">
        <v>0</v>
      </c>
      <c r="AI64" s="1">
        <v>8.6999999999999993</v>
      </c>
      <c r="AJ64" s="1">
        <v>0.90500000000000003</v>
      </c>
      <c r="AK64" s="1">
        <v>99.2</v>
      </c>
      <c r="AL64" s="1">
        <v>3256</v>
      </c>
      <c r="AM64" s="1">
        <v>3457</v>
      </c>
      <c r="AN64" s="1">
        <v>48.5</v>
      </c>
      <c r="AO64" s="1">
        <v>2259</v>
      </c>
      <c r="AP64" s="1">
        <v>2478</v>
      </c>
      <c r="AQ64" s="1">
        <v>47.7</v>
      </c>
      <c r="AR64" s="1">
        <v>144.4</v>
      </c>
      <c r="AS64" s="1">
        <v>156.5</v>
      </c>
      <c r="AT64" s="1">
        <v>140</v>
      </c>
      <c r="AU64" s="1">
        <v>167</v>
      </c>
      <c r="AV64" s="1">
        <v>-15</v>
      </c>
      <c r="AW64" s="1">
        <v>1575</v>
      </c>
      <c r="AX64" s="1">
        <v>1695</v>
      </c>
      <c r="AY64" s="1">
        <v>48.2</v>
      </c>
      <c r="AZ64" s="1">
        <v>513</v>
      </c>
      <c r="BA64" s="1">
        <v>620</v>
      </c>
      <c r="BB64" s="1">
        <v>45.3</v>
      </c>
      <c r="BC64" s="1">
        <v>40</v>
      </c>
      <c r="BD64" s="1">
        <v>7.2</v>
      </c>
      <c r="BE64" s="1">
        <v>53</v>
      </c>
      <c r="BF64" s="1">
        <v>7.9</v>
      </c>
    </row>
    <row r="65" spans="1:58" x14ac:dyDescent="0.35">
      <c r="A65" t="s">
        <v>89</v>
      </c>
      <c r="B65">
        <v>32</v>
      </c>
      <c r="C65" t="s">
        <v>79</v>
      </c>
      <c r="D65" s="1">
        <v>0</v>
      </c>
      <c r="E65" s="1">
        <v>28.2</v>
      </c>
      <c r="F65" s="1">
        <v>82</v>
      </c>
      <c r="G65" s="1">
        <v>23</v>
      </c>
      <c r="H65" s="1">
        <v>47</v>
      </c>
      <c r="I65" s="1">
        <v>12</v>
      </c>
      <c r="J65" s="1">
        <v>58</v>
      </c>
      <c r="K65" s="1">
        <v>0.35399999999999998</v>
      </c>
      <c r="L65" s="1">
        <v>206</v>
      </c>
      <c r="M65" s="1">
        <v>335</v>
      </c>
      <c r="N65" s="1">
        <v>3</v>
      </c>
      <c r="O65" s="1">
        <v>3</v>
      </c>
      <c r="P65" s="1">
        <v>-1.54</v>
      </c>
      <c r="Q65" s="1">
        <v>0.03</v>
      </c>
      <c r="R65" s="1">
        <v>2.5099999999999998</v>
      </c>
      <c r="S65" s="1">
        <v>4.09</v>
      </c>
      <c r="T65" s="1">
        <v>36</v>
      </c>
      <c r="U65" s="1">
        <v>229</v>
      </c>
      <c r="V65" s="1">
        <v>15.72</v>
      </c>
      <c r="W65" s="1">
        <v>78</v>
      </c>
      <c r="X65" s="1">
        <v>280</v>
      </c>
      <c r="Y65" s="1">
        <v>72.14</v>
      </c>
      <c r="Z65" s="1">
        <v>1</v>
      </c>
      <c r="AA65" s="1">
        <v>7</v>
      </c>
      <c r="AB65" s="1">
        <v>11.3</v>
      </c>
      <c r="AC65" s="1">
        <v>9.3000000000000007</v>
      </c>
      <c r="AD65" s="1">
        <v>2326</v>
      </c>
      <c r="AE65" s="1">
        <v>8.9</v>
      </c>
      <c r="AF65" s="1">
        <v>3207</v>
      </c>
      <c r="AG65" s="1">
        <v>0.89600000000000002</v>
      </c>
      <c r="AH65" s="1">
        <v>1</v>
      </c>
      <c r="AI65" s="1">
        <v>8.1999999999999993</v>
      </c>
      <c r="AJ65" s="1">
        <v>0.92500000000000004</v>
      </c>
      <c r="AK65" s="1">
        <v>100.7</v>
      </c>
      <c r="AL65" s="1">
        <v>3431</v>
      </c>
      <c r="AM65" s="1">
        <v>3495</v>
      </c>
      <c r="AN65" s="1">
        <v>49.5</v>
      </c>
      <c r="AO65" s="1">
        <v>2622</v>
      </c>
      <c r="AP65" s="1">
        <v>2644</v>
      </c>
      <c r="AQ65" s="1">
        <v>49.8</v>
      </c>
      <c r="AR65" s="1">
        <v>161.4</v>
      </c>
      <c r="AS65" s="1">
        <v>169.1</v>
      </c>
      <c r="AT65" s="1">
        <v>165</v>
      </c>
      <c r="AU65" s="1">
        <v>156</v>
      </c>
      <c r="AV65" s="1">
        <v>17</v>
      </c>
      <c r="AW65" s="1">
        <v>1729</v>
      </c>
      <c r="AX65" s="1">
        <v>1735</v>
      </c>
      <c r="AY65" s="1">
        <v>49.9</v>
      </c>
      <c r="AZ65" s="1">
        <v>486</v>
      </c>
      <c r="BA65" s="1">
        <v>470</v>
      </c>
      <c r="BB65" s="1">
        <v>50.8</v>
      </c>
      <c r="BC65" s="1">
        <v>76</v>
      </c>
      <c r="BD65" s="1">
        <v>13.5</v>
      </c>
      <c r="BE65" s="1">
        <v>69</v>
      </c>
      <c r="BF65" s="1">
        <v>12.8</v>
      </c>
    </row>
    <row r="66" spans="1:58" x14ac:dyDescent="0.35">
      <c r="A66" t="s">
        <v>90</v>
      </c>
      <c r="B66">
        <v>1</v>
      </c>
      <c r="C66" t="s">
        <v>64</v>
      </c>
      <c r="D66" s="1">
        <v>1</v>
      </c>
      <c r="E66" s="1">
        <v>29.1</v>
      </c>
      <c r="F66" s="1">
        <v>82</v>
      </c>
      <c r="G66" s="1">
        <v>55</v>
      </c>
      <c r="H66" s="1">
        <v>23</v>
      </c>
      <c r="I66" s="1">
        <v>4</v>
      </c>
      <c r="J66" s="1">
        <v>114</v>
      </c>
      <c r="K66" s="1">
        <v>0.69499999999999995</v>
      </c>
      <c r="L66" s="1">
        <v>278</v>
      </c>
      <c r="M66" s="1">
        <v>226</v>
      </c>
      <c r="N66" s="1">
        <v>4</v>
      </c>
      <c r="O66" s="1">
        <v>3</v>
      </c>
      <c r="P66" s="1">
        <v>0.61</v>
      </c>
      <c r="Q66" s="1">
        <v>-0.03</v>
      </c>
      <c r="R66" s="1">
        <v>3.39</v>
      </c>
      <c r="S66" s="1">
        <v>2.76</v>
      </c>
      <c r="T66" s="1">
        <v>65</v>
      </c>
      <c r="U66" s="1">
        <v>246</v>
      </c>
      <c r="V66" s="1">
        <v>26.42</v>
      </c>
      <c r="W66" s="1">
        <v>36</v>
      </c>
      <c r="X66" s="1">
        <v>232</v>
      </c>
      <c r="Y66" s="1">
        <v>84.48</v>
      </c>
      <c r="Z66" s="1">
        <v>8</v>
      </c>
      <c r="AA66" s="1">
        <v>6</v>
      </c>
      <c r="AB66" s="1">
        <v>9.4</v>
      </c>
      <c r="AC66" s="1">
        <v>10.4</v>
      </c>
      <c r="AD66" s="1">
        <v>2582</v>
      </c>
      <c r="AE66" s="1">
        <v>10.8</v>
      </c>
      <c r="AF66" s="1">
        <v>2418</v>
      </c>
      <c r="AG66" s="1">
        <v>0.90700000000000003</v>
      </c>
      <c r="AH66" s="1">
        <v>6</v>
      </c>
      <c r="AI66" s="1">
        <v>7.6</v>
      </c>
      <c r="AJ66" s="1">
        <v>0.93</v>
      </c>
      <c r="AK66" s="1">
        <v>100.6</v>
      </c>
      <c r="AL66" s="1">
        <v>3454</v>
      </c>
      <c r="AM66" s="1">
        <v>3875</v>
      </c>
      <c r="AN66" s="1">
        <v>47.1</v>
      </c>
      <c r="AO66" s="1">
        <v>2522</v>
      </c>
      <c r="AP66" s="1">
        <v>2882</v>
      </c>
      <c r="AQ66" s="1">
        <v>46.7</v>
      </c>
      <c r="AR66" s="1">
        <v>169.6</v>
      </c>
      <c r="AS66" s="1">
        <v>189.3</v>
      </c>
      <c r="AT66" s="1">
        <v>146</v>
      </c>
      <c r="AU66" s="1">
        <v>153</v>
      </c>
      <c r="AV66" s="1">
        <v>13</v>
      </c>
      <c r="AW66" s="1">
        <v>1853</v>
      </c>
      <c r="AX66" s="1">
        <v>2002</v>
      </c>
      <c r="AY66" s="1">
        <v>48.1</v>
      </c>
      <c r="AZ66" s="1">
        <v>581</v>
      </c>
      <c r="BA66" s="1">
        <v>642</v>
      </c>
      <c r="BB66" s="1">
        <v>47.5</v>
      </c>
      <c r="BC66" s="1">
        <v>67</v>
      </c>
      <c r="BD66" s="1">
        <v>10.3</v>
      </c>
      <c r="BE66" s="1">
        <v>65</v>
      </c>
      <c r="BF66" s="1">
        <v>9.1999999999999993</v>
      </c>
    </row>
    <row r="67" spans="1:58" x14ac:dyDescent="0.35">
      <c r="A67" t="s">
        <v>90</v>
      </c>
      <c r="B67">
        <v>2</v>
      </c>
      <c r="C67" t="s">
        <v>71</v>
      </c>
      <c r="D67" s="1">
        <v>1</v>
      </c>
      <c r="E67" s="1">
        <v>29.3</v>
      </c>
      <c r="F67" s="1">
        <v>82</v>
      </c>
      <c r="G67" s="1">
        <v>52</v>
      </c>
      <c r="H67" s="1">
        <v>21</v>
      </c>
      <c r="I67" s="1">
        <v>9</v>
      </c>
      <c r="J67" s="1">
        <v>113</v>
      </c>
      <c r="K67" s="1">
        <v>0.68899999999999995</v>
      </c>
      <c r="L67" s="1">
        <v>294</v>
      </c>
      <c r="M67" s="1">
        <v>232</v>
      </c>
      <c r="N67" s="1">
        <v>4</v>
      </c>
      <c r="O67" s="1">
        <v>2</v>
      </c>
      <c r="P67" s="1">
        <v>0.74</v>
      </c>
      <c r="Q67" s="1">
        <v>-0.04</v>
      </c>
      <c r="R67" s="1">
        <v>3.59</v>
      </c>
      <c r="S67" s="1">
        <v>2.83</v>
      </c>
      <c r="T67" s="1">
        <v>58</v>
      </c>
      <c r="U67" s="1">
        <v>240</v>
      </c>
      <c r="V67" s="1">
        <v>24.17</v>
      </c>
      <c r="W67" s="1">
        <v>43</v>
      </c>
      <c r="X67" s="1">
        <v>239</v>
      </c>
      <c r="Y67" s="1">
        <v>82.01</v>
      </c>
      <c r="Z67" s="1">
        <v>12</v>
      </c>
      <c r="AA67" s="1">
        <v>4</v>
      </c>
      <c r="AB67" s="1">
        <v>6.8</v>
      </c>
      <c r="AC67" s="1">
        <v>7.5</v>
      </c>
      <c r="AD67" s="1">
        <v>2588</v>
      </c>
      <c r="AE67" s="1">
        <v>11.4</v>
      </c>
      <c r="AF67" s="1">
        <v>2350</v>
      </c>
      <c r="AG67" s="1">
        <v>0.90100000000000002</v>
      </c>
      <c r="AH67" s="1">
        <v>4</v>
      </c>
      <c r="AI67" s="1">
        <v>7.6</v>
      </c>
      <c r="AJ67" s="1">
        <v>0.92700000000000005</v>
      </c>
      <c r="AK67" s="1">
        <v>100.4</v>
      </c>
      <c r="AL67" s="1">
        <v>4052</v>
      </c>
      <c r="AM67" s="1">
        <v>3765</v>
      </c>
      <c r="AN67" s="1">
        <v>51.8</v>
      </c>
      <c r="AO67" s="1">
        <v>2928</v>
      </c>
      <c r="AP67" s="1">
        <v>2722</v>
      </c>
      <c r="AQ67" s="1">
        <v>51.8</v>
      </c>
      <c r="AR67" s="1">
        <v>182.3</v>
      </c>
      <c r="AS67" s="1">
        <v>168.7</v>
      </c>
      <c r="AT67" s="1">
        <v>168</v>
      </c>
      <c r="AU67" s="1">
        <v>153</v>
      </c>
      <c r="AV67" s="1">
        <v>1</v>
      </c>
      <c r="AW67" s="1">
        <v>1901</v>
      </c>
      <c r="AX67" s="1">
        <v>1743</v>
      </c>
      <c r="AY67" s="1">
        <v>52.2</v>
      </c>
      <c r="AZ67" s="1">
        <v>650</v>
      </c>
      <c r="BA67" s="1">
        <v>601</v>
      </c>
      <c r="BB67" s="1">
        <v>52</v>
      </c>
      <c r="BC67" s="1">
        <v>72</v>
      </c>
      <c r="BD67" s="1">
        <v>10</v>
      </c>
      <c r="BE67" s="1">
        <v>55</v>
      </c>
      <c r="BF67" s="1">
        <v>8.4</v>
      </c>
    </row>
    <row r="68" spans="1:58" x14ac:dyDescent="0.35">
      <c r="A68" t="s">
        <v>90</v>
      </c>
      <c r="B68">
        <v>3</v>
      </c>
      <c r="C68" t="s">
        <v>59</v>
      </c>
      <c r="D68" s="1">
        <v>1</v>
      </c>
      <c r="E68" s="1">
        <v>29.4</v>
      </c>
      <c r="F68" s="1">
        <v>82</v>
      </c>
      <c r="G68" s="1">
        <v>52</v>
      </c>
      <c r="H68" s="1">
        <v>23</v>
      </c>
      <c r="I68" s="1">
        <v>7</v>
      </c>
      <c r="J68" s="1">
        <v>111</v>
      </c>
      <c r="K68" s="1">
        <v>0.67700000000000005</v>
      </c>
      <c r="L68" s="1">
        <v>277</v>
      </c>
      <c r="M68" s="1">
        <v>211</v>
      </c>
      <c r="N68" s="1">
        <v>2</v>
      </c>
      <c r="O68" s="1">
        <v>5</v>
      </c>
      <c r="P68" s="1">
        <v>0.73</v>
      </c>
      <c r="Q68" s="1">
        <v>-0.04</v>
      </c>
      <c r="R68" s="1">
        <v>3.38</v>
      </c>
      <c r="S68" s="1">
        <v>2.57</v>
      </c>
      <c r="T68" s="1">
        <v>67</v>
      </c>
      <c r="U68" s="1">
        <v>249</v>
      </c>
      <c r="V68" s="1">
        <v>26.91</v>
      </c>
      <c r="W68" s="1">
        <v>35</v>
      </c>
      <c r="X68" s="1">
        <v>258</v>
      </c>
      <c r="Y68" s="1">
        <v>86.43</v>
      </c>
      <c r="Z68" s="1">
        <v>11</v>
      </c>
      <c r="AA68" s="1">
        <v>8</v>
      </c>
      <c r="AB68" s="1">
        <v>8.5</v>
      </c>
      <c r="AC68" s="1">
        <v>8</v>
      </c>
      <c r="AD68" s="1">
        <v>2733</v>
      </c>
      <c r="AE68" s="1">
        <v>10.1</v>
      </c>
      <c r="AF68" s="1">
        <v>2101</v>
      </c>
      <c r="AG68" s="1">
        <v>0.9</v>
      </c>
      <c r="AH68" s="1">
        <v>8</v>
      </c>
      <c r="AI68" s="1">
        <v>6.4</v>
      </c>
      <c r="AJ68" s="1">
        <v>0.91200000000000003</v>
      </c>
      <c r="AK68" s="1">
        <v>97.6</v>
      </c>
      <c r="AL68" s="1">
        <v>3409</v>
      </c>
      <c r="AM68" s="1">
        <v>3222</v>
      </c>
      <c r="AN68" s="1">
        <v>51.4</v>
      </c>
      <c r="AO68" s="1">
        <v>2391</v>
      </c>
      <c r="AP68" s="1">
        <v>2376</v>
      </c>
      <c r="AQ68" s="1">
        <v>50.2</v>
      </c>
      <c r="AR68" s="1">
        <v>149.80000000000001</v>
      </c>
      <c r="AS68" s="1">
        <v>145.4</v>
      </c>
      <c r="AT68" s="1">
        <v>110</v>
      </c>
      <c r="AU68" s="1">
        <v>157</v>
      </c>
      <c r="AV68" s="1">
        <v>-51</v>
      </c>
      <c r="AW68" s="1">
        <v>1602</v>
      </c>
      <c r="AX68" s="1">
        <v>1550</v>
      </c>
      <c r="AY68" s="1">
        <v>50.8</v>
      </c>
      <c r="AZ68" s="1">
        <v>553</v>
      </c>
      <c r="BA68" s="1">
        <v>480</v>
      </c>
      <c r="BB68" s="1">
        <v>53.5</v>
      </c>
      <c r="BC68" s="1">
        <v>48</v>
      </c>
      <c r="BD68" s="1">
        <v>8</v>
      </c>
      <c r="BE68" s="1">
        <v>44</v>
      </c>
      <c r="BF68" s="1">
        <v>8.4</v>
      </c>
    </row>
    <row r="69" spans="1:58" x14ac:dyDescent="0.35">
      <c r="A69" t="s">
        <v>90</v>
      </c>
      <c r="B69">
        <v>4</v>
      </c>
      <c r="C69" t="s">
        <v>75</v>
      </c>
      <c r="D69" s="1">
        <v>1</v>
      </c>
      <c r="E69" s="1">
        <v>29.4</v>
      </c>
      <c r="F69" s="1">
        <v>82</v>
      </c>
      <c r="G69" s="1">
        <v>52</v>
      </c>
      <c r="H69" s="1">
        <v>24</v>
      </c>
      <c r="I69" s="1">
        <v>6</v>
      </c>
      <c r="J69" s="1">
        <v>110</v>
      </c>
      <c r="K69" s="1">
        <v>0.67100000000000004</v>
      </c>
      <c r="L69" s="1">
        <v>259</v>
      </c>
      <c r="M69" s="1">
        <v>198</v>
      </c>
      <c r="N69" s="1">
        <v>0</v>
      </c>
      <c r="O69" s="1">
        <v>1</v>
      </c>
      <c r="P69" s="1">
        <v>0.69</v>
      </c>
      <c r="Q69" s="1">
        <v>-0.04</v>
      </c>
      <c r="R69" s="1">
        <v>3.16</v>
      </c>
      <c r="S69" s="1">
        <v>2.41</v>
      </c>
      <c r="T69" s="1">
        <v>45</v>
      </c>
      <c r="U69" s="1">
        <v>240</v>
      </c>
      <c r="V69" s="1">
        <v>18.75</v>
      </c>
      <c r="W69" s="1">
        <v>51</v>
      </c>
      <c r="X69" s="1">
        <v>223</v>
      </c>
      <c r="Y69" s="1">
        <v>77.13</v>
      </c>
      <c r="Z69" s="1">
        <v>3</v>
      </c>
      <c r="AA69" s="1">
        <v>5</v>
      </c>
      <c r="AB69" s="1">
        <v>8.1999999999999993</v>
      </c>
      <c r="AC69" s="1">
        <v>8.9</v>
      </c>
      <c r="AD69" s="1">
        <v>2488</v>
      </c>
      <c r="AE69" s="1">
        <v>10.4</v>
      </c>
      <c r="AF69" s="1">
        <v>2429</v>
      </c>
      <c r="AG69" s="1">
        <v>0.91800000000000004</v>
      </c>
      <c r="AH69" s="1">
        <v>8</v>
      </c>
      <c r="AI69" s="1">
        <v>8</v>
      </c>
      <c r="AJ69" s="1">
        <v>0.90500000000000003</v>
      </c>
      <c r="AK69" s="1">
        <v>98.6</v>
      </c>
      <c r="AL69" s="1">
        <v>3801</v>
      </c>
      <c r="AM69" s="1">
        <v>3734</v>
      </c>
      <c r="AN69" s="1">
        <v>50.4</v>
      </c>
      <c r="AO69" s="1">
        <v>2888</v>
      </c>
      <c r="AP69" s="1">
        <v>2874</v>
      </c>
      <c r="AQ69" s="1">
        <v>50.1</v>
      </c>
      <c r="AR69" s="1">
        <v>185.4</v>
      </c>
      <c r="AS69" s="1">
        <v>180.3</v>
      </c>
      <c r="AT69" s="1">
        <v>181</v>
      </c>
      <c r="AU69" s="1">
        <v>216</v>
      </c>
      <c r="AV69" s="1">
        <v>-40</v>
      </c>
      <c r="AW69" s="1">
        <v>1892</v>
      </c>
      <c r="AX69" s="1">
        <v>1782</v>
      </c>
      <c r="AY69" s="1">
        <v>51.5</v>
      </c>
      <c r="AZ69" s="1">
        <v>541</v>
      </c>
      <c r="BA69" s="1">
        <v>489</v>
      </c>
      <c r="BB69" s="1">
        <v>52.5</v>
      </c>
      <c r="BC69" s="1">
        <v>82</v>
      </c>
      <c r="BD69" s="1">
        <v>13.2</v>
      </c>
      <c r="BE69" s="1">
        <v>92</v>
      </c>
      <c r="BF69" s="1">
        <v>15.8</v>
      </c>
    </row>
    <row r="70" spans="1:58" x14ac:dyDescent="0.35">
      <c r="A70" t="s">
        <v>90</v>
      </c>
      <c r="B70">
        <v>5</v>
      </c>
      <c r="C70" t="s">
        <v>57</v>
      </c>
      <c r="D70" s="1">
        <v>1</v>
      </c>
      <c r="E70" s="1">
        <v>29.5</v>
      </c>
      <c r="F70" s="1">
        <v>82</v>
      </c>
      <c r="G70" s="1">
        <v>52</v>
      </c>
      <c r="H70" s="1">
        <v>24</v>
      </c>
      <c r="I70" s="1">
        <v>6</v>
      </c>
      <c r="J70" s="1">
        <v>110</v>
      </c>
      <c r="K70" s="1">
        <v>0.67100000000000004</v>
      </c>
      <c r="L70" s="1">
        <v>265</v>
      </c>
      <c r="M70" s="1">
        <v>198</v>
      </c>
      <c r="N70" s="1">
        <v>3</v>
      </c>
      <c r="O70" s="1">
        <v>2</v>
      </c>
      <c r="P70" s="1">
        <v>0.81</v>
      </c>
      <c r="Q70" s="1">
        <v>-0.02</v>
      </c>
      <c r="R70" s="1">
        <v>3.23</v>
      </c>
      <c r="S70" s="1">
        <v>2.41</v>
      </c>
      <c r="T70" s="1">
        <v>63</v>
      </c>
      <c r="U70" s="1">
        <v>268</v>
      </c>
      <c r="V70" s="1">
        <v>23.51</v>
      </c>
      <c r="W70" s="1">
        <v>51</v>
      </c>
      <c r="X70" s="1">
        <v>291</v>
      </c>
      <c r="Y70" s="1">
        <v>82.47</v>
      </c>
      <c r="Z70" s="1">
        <v>8</v>
      </c>
      <c r="AA70" s="1">
        <v>9</v>
      </c>
      <c r="AB70" s="1">
        <v>13.6</v>
      </c>
      <c r="AC70" s="1">
        <v>13.5</v>
      </c>
      <c r="AD70" s="1">
        <v>2764</v>
      </c>
      <c r="AE70" s="1">
        <v>9.6</v>
      </c>
      <c r="AF70" s="1">
        <v>2279</v>
      </c>
      <c r="AG70" s="1">
        <v>0.91300000000000003</v>
      </c>
      <c r="AH70" s="1">
        <v>8</v>
      </c>
      <c r="AI70" s="1">
        <v>8.1999999999999993</v>
      </c>
      <c r="AJ70" s="1">
        <v>0.92200000000000004</v>
      </c>
      <c r="AK70" s="1">
        <v>100.4</v>
      </c>
      <c r="AL70" s="1">
        <v>4174</v>
      </c>
      <c r="AM70" s="1">
        <v>3580</v>
      </c>
      <c r="AN70" s="1">
        <v>53.8</v>
      </c>
      <c r="AO70" s="1">
        <v>3065</v>
      </c>
      <c r="AP70" s="1">
        <v>2614</v>
      </c>
      <c r="AQ70" s="1">
        <v>54</v>
      </c>
      <c r="AR70" s="1">
        <v>201.7</v>
      </c>
      <c r="AS70" s="1">
        <v>155.6</v>
      </c>
      <c r="AT70" s="1">
        <v>197</v>
      </c>
      <c r="AU70" s="1">
        <v>154</v>
      </c>
      <c r="AV70" s="1">
        <v>-3</v>
      </c>
      <c r="AW70" s="1">
        <v>2165</v>
      </c>
      <c r="AX70" s="1">
        <v>1724</v>
      </c>
      <c r="AY70" s="1">
        <v>55.7</v>
      </c>
      <c r="AZ70" s="1">
        <v>745</v>
      </c>
      <c r="BA70" s="1">
        <v>591</v>
      </c>
      <c r="BB70" s="1">
        <v>55.8</v>
      </c>
      <c r="BC70" s="1">
        <v>84</v>
      </c>
      <c r="BD70" s="1">
        <v>10.1</v>
      </c>
      <c r="BE70" s="1">
        <v>62</v>
      </c>
      <c r="BF70" s="1">
        <v>9.5</v>
      </c>
    </row>
    <row r="71" spans="1:58" x14ac:dyDescent="0.35">
      <c r="A71" t="s">
        <v>90</v>
      </c>
      <c r="B71">
        <v>6</v>
      </c>
      <c r="C71" t="s">
        <v>66</v>
      </c>
      <c r="D71" s="1">
        <v>1</v>
      </c>
      <c r="E71" s="1">
        <v>28.6</v>
      </c>
      <c r="F71" s="1">
        <v>82</v>
      </c>
      <c r="G71" s="1">
        <v>47</v>
      </c>
      <c r="H71" s="1">
        <v>20</v>
      </c>
      <c r="I71" s="1">
        <v>15</v>
      </c>
      <c r="J71" s="1">
        <v>109</v>
      </c>
      <c r="K71" s="1">
        <v>0.66500000000000004</v>
      </c>
      <c r="L71" s="1">
        <v>263</v>
      </c>
      <c r="M71" s="1">
        <v>221</v>
      </c>
      <c r="N71" s="1">
        <v>4</v>
      </c>
      <c r="O71" s="1">
        <v>3</v>
      </c>
      <c r="P71" s="1">
        <v>0.53</v>
      </c>
      <c r="Q71" s="1">
        <v>0.01</v>
      </c>
      <c r="R71" s="1">
        <v>3.21</v>
      </c>
      <c r="S71" s="1">
        <v>2.7</v>
      </c>
      <c r="T71" s="1">
        <v>54</v>
      </c>
      <c r="U71" s="1">
        <v>243</v>
      </c>
      <c r="V71" s="1">
        <v>22.22</v>
      </c>
      <c r="W71" s="1">
        <v>47</v>
      </c>
      <c r="X71" s="1">
        <v>268</v>
      </c>
      <c r="Y71" s="1">
        <v>82.46</v>
      </c>
      <c r="Z71" s="1">
        <v>7</v>
      </c>
      <c r="AA71" s="1">
        <v>6</v>
      </c>
      <c r="AB71" s="1">
        <v>9.5</v>
      </c>
      <c r="AC71" s="1">
        <v>8.8000000000000007</v>
      </c>
      <c r="AD71" s="1">
        <v>2399</v>
      </c>
      <c r="AE71" s="1">
        <v>11</v>
      </c>
      <c r="AF71" s="1">
        <v>2504</v>
      </c>
      <c r="AG71" s="1">
        <v>0.91200000000000003</v>
      </c>
      <c r="AH71" s="1">
        <v>5</v>
      </c>
      <c r="AI71" s="1">
        <v>8.3000000000000007</v>
      </c>
      <c r="AJ71" s="1">
        <v>0.91200000000000003</v>
      </c>
      <c r="AK71" s="1">
        <v>99.5</v>
      </c>
      <c r="AL71" s="1">
        <v>4032</v>
      </c>
      <c r="AM71" s="1">
        <v>3633</v>
      </c>
      <c r="AN71" s="1">
        <v>52.6</v>
      </c>
      <c r="AO71" s="1">
        <v>2837</v>
      </c>
      <c r="AP71" s="1">
        <v>2748</v>
      </c>
      <c r="AQ71" s="1">
        <v>50.8</v>
      </c>
      <c r="AR71" s="1">
        <v>177.2</v>
      </c>
      <c r="AS71" s="1">
        <v>173.8</v>
      </c>
      <c r="AT71" s="1">
        <v>177</v>
      </c>
      <c r="AU71" s="1">
        <v>185</v>
      </c>
      <c r="AV71" s="1">
        <v>-11</v>
      </c>
      <c r="AW71" s="1">
        <v>1895</v>
      </c>
      <c r="AX71" s="1">
        <v>1756</v>
      </c>
      <c r="AY71" s="1">
        <v>51.9</v>
      </c>
      <c r="AZ71" s="1">
        <v>720</v>
      </c>
      <c r="BA71" s="1">
        <v>642</v>
      </c>
      <c r="BB71" s="1">
        <v>52.9</v>
      </c>
      <c r="BC71" s="1">
        <v>69</v>
      </c>
      <c r="BD71" s="1">
        <v>8.6999999999999993</v>
      </c>
      <c r="BE71" s="1">
        <v>77</v>
      </c>
      <c r="BF71" s="1">
        <v>10.7</v>
      </c>
    </row>
    <row r="72" spans="1:58" x14ac:dyDescent="0.35">
      <c r="A72" t="s">
        <v>90</v>
      </c>
      <c r="B72">
        <v>7</v>
      </c>
      <c r="C72" t="s">
        <v>74</v>
      </c>
      <c r="D72" s="1">
        <v>1</v>
      </c>
      <c r="E72" s="1">
        <v>28.6</v>
      </c>
      <c r="F72" s="1">
        <v>82</v>
      </c>
      <c r="G72" s="1">
        <v>50</v>
      </c>
      <c r="H72" s="1">
        <v>23</v>
      </c>
      <c r="I72" s="1">
        <v>9</v>
      </c>
      <c r="J72" s="1">
        <v>109</v>
      </c>
      <c r="K72" s="1">
        <v>0.66500000000000004</v>
      </c>
      <c r="L72" s="1">
        <v>279</v>
      </c>
      <c r="M72" s="1">
        <v>221</v>
      </c>
      <c r="N72" s="1">
        <v>0</v>
      </c>
      <c r="O72" s="1">
        <v>2</v>
      </c>
      <c r="P72" s="1">
        <v>0.64</v>
      </c>
      <c r="Q72" s="1">
        <v>-0.04</v>
      </c>
      <c r="R72" s="1">
        <v>3.4</v>
      </c>
      <c r="S72" s="1">
        <v>2.7</v>
      </c>
      <c r="T72" s="1">
        <v>58</v>
      </c>
      <c r="U72" s="1">
        <v>257</v>
      </c>
      <c r="V72" s="1">
        <v>22.57</v>
      </c>
      <c r="W72" s="1">
        <v>53</v>
      </c>
      <c r="X72" s="1">
        <v>254</v>
      </c>
      <c r="Y72" s="1">
        <v>79.13</v>
      </c>
      <c r="Z72" s="1">
        <v>7</v>
      </c>
      <c r="AA72" s="1">
        <v>7</v>
      </c>
      <c r="AB72" s="1">
        <v>9.6</v>
      </c>
      <c r="AC72" s="1">
        <v>9.6999999999999993</v>
      </c>
      <c r="AD72" s="1">
        <v>2328</v>
      </c>
      <c r="AE72" s="1">
        <v>12</v>
      </c>
      <c r="AF72" s="1">
        <v>2343</v>
      </c>
      <c r="AG72" s="1">
        <v>0.90600000000000003</v>
      </c>
      <c r="AH72" s="1">
        <v>7</v>
      </c>
      <c r="AI72" s="1">
        <v>7.9</v>
      </c>
      <c r="AJ72" s="1">
        <v>0.92200000000000004</v>
      </c>
      <c r="AK72" s="1">
        <v>100.1</v>
      </c>
      <c r="AL72" s="1">
        <v>3531</v>
      </c>
      <c r="AM72" s="1">
        <v>3338</v>
      </c>
      <c r="AN72" s="1">
        <v>51.4</v>
      </c>
      <c r="AO72" s="1">
        <v>2446</v>
      </c>
      <c r="AP72" s="1">
        <v>2463</v>
      </c>
      <c r="AQ72" s="1">
        <v>49.8</v>
      </c>
      <c r="AR72" s="1">
        <v>152.80000000000001</v>
      </c>
      <c r="AS72" s="1">
        <v>141.69999999999999</v>
      </c>
      <c r="AT72" s="1">
        <v>136</v>
      </c>
      <c r="AU72" s="1">
        <v>133</v>
      </c>
      <c r="AV72" s="1">
        <v>-8</v>
      </c>
      <c r="AW72" s="1">
        <v>1701</v>
      </c>
      <c r="AX72" s="1">
        <v>1550</v>
      </c>
      <c r="AY72" s="1">
        <v>52.3</v>
      </c>
      <c r="AZ72" s="1">
        <v>609</v>
      </c>
      <c r="BA72" s="1">
        <v>546</v>
      </c>
      <c r="BB72" s="1">
        <v>52.7</v>
      </c>
      <c r="BC72" s="1">
        <v>51</v>
      </c>
      <c r="BD72" s="1">
        <v>7.7</v>
      </c>
      <c r="BE72" s="1">
        <v>46</v>
      </c>
      <c r="BF72" s="1">
        <v>7.8</v>
      </c>
    </row>
    <row r="73" spans="1:58" x14ac:dyDescent="0.35">
      <c r="A73" t="s">
        <v>90</v>
      </c>
      <c r="B73">
        <v>8</v>
      </c>
      <c r="C73" t="s">
        <v>58</v>
      </c>
      <c r="D73" s="1">
        <v>1</v>
      </c>
      <c r="E73" s="1">
        <v>28.8</v>
      </c>
      <c r="F73" s="1">
        <v>82</v>
      </c>
      <c r="G73" s="1">
        <v>50</v>
      </c>
      <c r="H73" s="1">
        <v>25</v>
      </c>
      <c r="I73" s="1">
        <v>7</v>
      </c>
      <c r="J73" s="1">
        <v>107</v>
      </c>
      <c r="K73" s="1">
        <v>0.65200000000000002</v>
      </c>
      <c r="L73" s="1">
        <v>302</v>
      </c>
      <c r="M73" s="1">
        <v>252</v>
      </c>
      <c r="N73" s="1">
        <v>2</v>
      </c>
      <c r="O73" s="1">
        <v>2</v>
      </c>
      <c r="P73" s="1">
        <v>0.56999999999999995</v>
      </c>
      <c r="Q73" s="1">
        <v>-0.05</v>
      </c>
      <c r="R73" s="1">
        <v>3.68</v>
      </c>
      <c r="S73" s="1">
        <v>3.07</v>
      </c>
      <c r="T73" s="1">
        <v>68</v>
      </c>
      <c r="U73" s="1">
        <v>278</v>
      </c>
      <c r="V73" s="1">
        <v>24.46</v>
      </c>
      <c r="W73" s="1">
        <v>53</v>
      </c>
      <c r="X73" s="1">
        <v>264</v>
      </c>
      <c r="Y73" s="1">
        <v>79.92</v>
      </c>
      <c r="Z73" s="1">
        <v>7</v>
      </c>
      <c r="AA73" s="1">
        <v>6</v>
      </c>
      <c r="AB73" s="1">
        <v>8.9</v>
      </c>
      <c r="AC73" s="1">
        <v>9.6999999999999993</v>
      </c>
      <c r="AD73" s="1">
        <v>2705</v>
      </c>
      <c r="AE73" s="1">
        <v>11.2</v>
      </c>
      <c r="AF73" s="1">
        <v>2444</v>
      </c>
      <c r="AG73" s="1">
        <v>0.89700000000000002</v>
      </c>
      <c r="AH73" s="1">
        <v>4</v>
      </c>
      <c r="AI73" s="1">
        <v>7.9</v>
      </c>
      <c r="AJ73" s="1">
        <v>0.93</v>
      </c>
      <c r="AK73" s="1">
        <v>100.9</v>
      </c>
      <c r="AL73" s="1">
        <v>3350</v>
      </c>
      <c r="AM73" s="1">
        <v>3929</v>
      </c>
      <c r="AN73" s="1">
        <v>46</v>
      </c>
      <c r="AO73" s="1">
        <v>2503</v>
      </c>
      <c r="AP73" s="1">
        <v>2922</v>
      </c>
      <c r="AQ73" s="1">
        <v>46.1</v>
      </c>
      <c r="AR73" s="1">
        <v>174.9</v>
      </c>
      <c r="AS73" s="1">
        <v>196.6</v>
      </c>
      <c r="AT73" s="1">
        <v>159</v>
      </c>
      <c r="AU73" s="1">
        <v>160</v>
      </c>
      <c r="AV73" s="1">
        <v>21</v>
      </c>
      <c r="AW73" s="1">
        <v>1744</v>
      </c>
      <c r="AX73" s="1">
        <v>1963</v>
      </c>
      <c r="AY73" s="1">
        <v>47</v>
      </c>
      <c r="AZ73" s="1">
        <v>526</v>
      </c>
      <c r="BA73" s="1">
        <v>602</v>
      </c>
      <c r="BB73" s="1">
        <v>46.6</v>
      </c>
      <c r="BC73" s="1">
        <v>74</v>
      </c>
      <c r="BD73" s="1">
        <v>12.3</v>
      </c>
      <c r="BE73" s="1">
        <v>66</v>
      </c>
      <c r="BF73" s="1">
        <v>9.9</v>
      </c>
    </row>
    <row r="74" spans="1:58" x14ac:dyDescent="0.35">
      <c r="A74" t="s">
        <v>90</v>
      </c>
      <c r="B74">
        <v>9</v>
      </c>
      <c r="C74" t="s">
        <v>67</v>
      </c>
      <c r="D74" s="1">
        <v>1</v>
      </c>
      <c r="E74" s="1">
        <v>29.4</v>
      </c>
      <c r="F74" s="1">
        <v>82</v>
      </c>
      <c r="G74" s="1">
        <v>49</v>
      </c>
      <c r="H74" s="1">
        <v>27</v>
      </c>
      <c r="I74" s="1">
        <v>6</v>
      </c>
      <c r="J74" s="1">
        <v>104</v>
      </c>
      <c r="K74" s="1">
        <v>0.63400000000000001</v>
      </c>
      <c r="L74" s="1">
        <v>292</v>
      </c>
      <c r="M74" s="1">
        <v>236</v>
      </c>
      <c r="N74" s="1">
        <v>2</v>
      </c>
      <c r="O74" s="1">
        <v>1</v>
      </c>
      <c r="P74" s="1">
        <v>0.65</v>
      </c>
      <c r="Q74" s="1">
        <v>-0.04</v>
      </c>
      <c r="R74" s="1">
        <v>3.56</v>
      </c>
      <c r="S74" s="1">
        <v>2.88</v>
      </c>
      <c r="T74" s="1">
        <v>64</v>
      </c>
      <c r="U74" s="1">
        <v>243</v>
      </c>
      <c r="V74" s="1">
        <v>26.34</v>
      </c>
      <c r="W74" s="1">
        <v>53</v>
      </c>
      <c r="X74" s="1">
        <v>258</v>
      </c>
      <c r="Y74" s="1">
        <v>79.459999999999994</v>
      </c>
      <c r="Z74" s="1">
        <v>7</v>
      </c>
      <c r="AA74" s="1">
        <v>5</v>
      </c>
      <c r="AB74" s="1">
        <v>9.5</v>
      </c>
      <c r="AC74" s="1">
        <v>8.5</v>
      </c>
      <c r="AD74" s="1">
        <v>2768</v>
      </c>
      <c r="AE74" s="1">
        <v>10.5</v>
      </c>
      <c r="AF74" s="1">
        <v>2307</v>
      </c>
      <c r="AG74" s="1">
        <v>0.89800000000000002</v>
      </c>
      <c r="AH74" s="1">
        <v>4</v>
      </c>
      <c r="AI74" s="1">
        <v>8.1999999999999993</v>
      </c>
      <c r="AJ74" s="1">
        <v>0.93100000000000005</v>
      </c>
      <c r="AK74" s="1">
        <v>101.3</v>
      </c>
      <c r="AL74" s="1">
        <v>3818</v>
      </c>
      <c r="AM74" s="1">
        <v>3842</v>
      </c>
      <c r="AN74" s="1">
        <v>49.8</v>
      </c>
      <c r="AO74" s="1">
        <v>2774</v>
      </c>
      <c r="AP74" s="1">
        <v>2825</v>
      </c>
      <c r="AQ74" s="1">
        <v>49.5</v>
      </c>
      <c r="AR74" s="1">
        <v>188.3</v>
      </c>
      <c r="AS74" s="1">
        <v>183.8</v>
      </c>
      <c r="AT74" s="1">
        <v>176</v>
      </c>
      <c r="AU74" s="1">
        <v>145</v>
      </c>
      <c r="AV74" s="1">
        <v>27</v>
      </c>
      <c r="AW74" s="1">
        <v>1988</v>
      </c>
      <c r="AX74" s="1">
        <v>1983</v>
      </c>
      <c r="AY74" s="1">
        <v>50.1</v>
      </c>
      <c r="AZ74" s="1">
        <v>705</v>
      </c>
      <c r="BA74" s="1">
        <v>669</v>
      </c>
      <c r="BB74" s="1">
        <v>51.3</v>
      </c>
      <c r="BC74" s="1">
        <v>71</v>
      </c>
      <c r="BD74" s="1">
        <v>9.1</v>
      </c>
      <c r="BE74" s="1">
        <v>65</v>
      </c>
      <c r="BF74" s="1">
        <v>8.9</v>
      </c>
    </row>
    <row r="75" spans="1:58" x14ac:dyDescent="0.35">
      <c r="A75" t="s">
        <v>90</v>
      </c>
      <c r="B75">
        <v>10</v>
      </c>
      <c r="C75" t="s">
        <v>60</v>
      </c>
      <c r="D75" s="1">
        <v>1</v>
      </c>
      <c r="E75" s="1">
        <v>28.9</v>
      </c>
      <c r="F75" s="1">
        <v>82</v>
      </c>
      <c r="G75" s="1">
        <v>46</v>
      </c>
      <c r="H75" s="1">
        <v>26</v>
      </c>
      <c r="I75" s="1">
        <v>10</v>
      </c>
      <c r="J75" s="1">
        <v>102</v>
      </c>
      <c r="K75" s="1">
        <v>0.622</v>
      </c>
      <c r="L75" s="1">
        <v>298</v>
      </c>
      <c r="M75" s="1">
        <v>261</v>
      </c>
      <c r="N75" s="1">
        <v>5</v>
      </c>
      <c r="O75" s="1">
        <v>2</v>
      </c>
      <c r="P75" s="1">
        <v>0.5</v>
      </c>
      <c r="Q75" s="1">
        <v>0.01</v>
      </c>
      <c r="R75" s="1">
        <v>3.63</v>
      </c>
      <c r="S75" s="1">
        <v>3.18</v>
      </c>
      <c r="T75" s="1">
        <v>57</v>
      </c>
      <c r="U75" s="1">
        <v>238</v>
      </c>
      <c r="V75" s="1">
        <v>23.95</v>
      </c>
      <c r="W75" s="1">
        <v>55</v>
      </c>
      <c r="X75" s="1">
        <v>238</v>
      </c>
      <c r="Y75" s="1">
        <v>76.89</v>
      </c>
      <c r="Z75" s="1">
        <v>6</v>
      </c>
      <c r="AA75" s="1">
        <v>9</v>
      </c>
      <c r="AB75" s="1">
        <v>9.9</v>
      </c>
      <c r="AC75" s="1">
        <v>10.199999999999999</v>
      </c>
      <c r="AD75" s="1">
        <v>2671</v>
      </c>
      <c r="AE75" s="1">
        <v>11.2</v>
      </c>
      <c r="AF75" s="1">
        <v>2446</v>
      </c>
      <c r="AG75" s="1">
        <v>0.89300000000000002</v>
      </c>
      <c r="AH75" s="1">
        <v>5</v>
      </c>
      <c r="AI75" s="1">
        <v>7.7</v>
      </c>
      <c r="AJ75" s="1">
        <v>0.93</v>
      </c>
      <c r="AK75" s="1">
        <v>100.7</v>
      </c>
      <c r="AL75" s="1">
        <v>3910</v>
      </c>
      <c r="AM75" s="1">
        <v>4313</v>
      </c>
      <c r="AN75" s="1">
        <v>47.5</v>
      </c>
      <c r="AO75" s="1">
        <v>2846</v>
      </c>
      <c r="AP75" s="1">
        <v>3043</v>
      </c>
      <c r="AQ75" s="1">
        <v>48.3</v>
      </c>
      <c r="AR75" s="1">
        <v>174.4</v>
      </c>
      <c r="AS75" s="1">
        <v>177.4</v>
      </c>
      <c r="AT75" s="1">
        <v>166</v>
      </c>
      <c r="AU75" s="1">
        <v>158</v>
      </c>
      <c r="AV75" s="1">
        <v>11</v>
      </c>
      <c r="AW75" s="1">
        <v>1805</v>
      </c>
      <c r="AX75" s="1">
        <v>1946</v>
      </c>
      <c r="AY75" s="1">
        <v>48.1</v>
      </c>
      <c r="AZ75" s="1">
        <v>669</v>
      </c>
      <c r="BA75" s="1">
        <v>686</v>
      </c>
      <c r="BB75" s="1">
        <v>49.4</v>
      </c>
      <c r="BC75" s="1">
        <v>65</v>
      </c>
      <c r="BD75" s="1">
        <v>8.9</v>
      </c>
      <c r="BE75" s="1">
        <v>60</v>
      </c>
      <c r="BF75" s="1">
        <v>8</v>
      </c>
    </row>
    <row r="76" spans="1:58" x14ac:dyDescent="0.35">
      <c r="A76" t="s">
        <v>90</v>
      </c>
      <c r="B76">
        <v>11</v>
      </c>
      <c r="C76" t="s">
        <v>72</v>
      </c>
      <c r="D76" s="1">
        <v>1</v>
      </c>
      <c r="E76" s="1">
        <v>29.5</v>
      </c>
      <c r="F76" s="1">
        <v>82</v>
      </c>
      <c r="G76" s="1">
        <v>47</v>
      </c>
      <c r="H76" s="1">
        <v>30</v>
      </c>
      <c r="I76" s="1">
        <v>5</v>
      </c>
      <c r="J76" s="1">
        <v>99</v>
      </c>
      <c r="K76" s="1">
        <v>0.60399999999999998</v>
      </c>
      <c r="L76" s="1">
        <v>266</v>
      </c>
      <c r="M76" s="1">
        <v>248</v>
      </c>
      <c r="N76" s="1">
        <v>3</v>
      </c>
      <c r="O76" s="1">
        <v>0</v>
      </c>
      <c r="P76" s="1">
        <v>0.23</v>
      </c>
      <c r="Q76" s="1">
        <v>-0.02</v>
      </c>
      <c r="R76" s="1">
        <v>3.24</v>
      </c>
      <c r="S76" s="1">
        <v>3.02</v>
      </c>
      <c r="T76" s="1">
        <v>58</v>
      </c>
      <c r="U76" s="1">
        <v>269</v>
      </c>
      <c r="V76" s="1">
        <v>21.56</v>
      </c>
      <c r="W76" s="1">
        <v>57</v>
      </c>
      <c r="X76" s="1">
        <v>247</v>
      </c>
      <c r="Y76" s="1">
        <v>76.92</v>
      </c>
      <c r="Z76" s="1">
        <v>7</v>
      </c>
      <c r="AA76" s="1">
        <v>5</v>
      </c>
      <c r="AB76" s="1">
        <v>9.6999999999999993</v>
      </c>
      <c r="AC76" s="1">
        <v>9.5</v>
      </c>
      <c r="AD76" s="1">
        <v>2642</v>
      </c>
      <c r="AE76" s="1">
        <v>10.1</v>
      </c>
      <c r="AF76" s="1">
        <v>2507</v>
      </c>
      <c r="AG76" s="1">
        <v>0.90100000000000002</v>
      </c>
      <c r="AH76" s="1">
        <v>4</v>
      </c>
      <c r="AI76" s="1">
        <v>8</v>
      </c>
      <c r="AJ76" s="1">
        <v>0.92500000000000004</v>
      </c>
      <c r="AK76" s="1">
        <v>100.5</v>
      </c>
      <c r="AL76" s="1">
        <v>3496</v>
      </c>
      <c r="AM76" s="1">
        <v>3439</v>
      </c>
      <c r="AN76" s="1">
        <v>50.4</v>
      </c>
      <c r="AO76" s="1">
        <v>2500</v>
      </c>
      <c r="AP76" s="1">
        <v>2461</v>
      </c>
      <c r="AQ76" s="1">
        <v>50.4</v>
      </c>
      <c r="AR76" s="1">
        <v>148.5</v>
      </c>
      <c r="AS76" s="1">
        <v>152.80000000000001</v>
      </c>
      <c r="AT76" s="1">
        <v>141</v>
      </c>
      <c r="AU76" s="1">
        <v>130</v>
      </c>
      <c r="AV76" s="1">
        <v>15</v>
      </c>
      <c r="AW76" s="1">
        <v>1627</v>
      </c>
      <c r="AX76" s="1">
        <v>1582</v>
      </c>
      <c r="AY76" s="1">
        <v>50.7</v>
      </c>
      <c r="AZ76" s="1">
        <v>535</v>
      </c>
      <c r="BA76" s="1">
        <v>536</v>
      </c>
      <c r="BB76" s="1">
        <v>50</v>
      </c>
      <c r="BC76" s="1">
        <v>49</v>
      </c>
      <c r="BD76" s="1">
        <v>8.4</v>
      </c>
      <c r="BE76" s="1">
        <v>41</v>
      </c>
      <c r="BF76" s="1">
        <v>7.1</v>
      </c>
    </row>
    <row r="77" spans="1:58" x14ac:dyDescent="0.35">
      <c r="A77" t="s">
        <v>90</v>
      </c>
      <c r="B77">
        <v>12</v>
      </c>
      <c r="C77" t="s">
        <v>70</v>
      </c>
      <c r="D77" s="1">
        <v>1</v>
      </c>
      <c r="E77" s="1">
        <v>29.5</v>
      </c>
      <c r="F77" s="1">
        <v>82</v>
      </c>
      <c r="G77" s="1">
        <v>44</v>
      </c>
      <c r="H77" s="1">
        <v>27</v>
      </c>
      <c r="I77" s="1">
        <v>11</v>
      </c>
      <c r="J77" s="1">
        <v>99</v>
      </c>
      <c r="K77" s="1">
        <v>0.60399999999999998</v>
      </c>
      <c r="L77" s="1">
        <v>254</v>
      </c>
      <c r="M77" s="1">
        <v>210</v>
      </c>
      <c r="N77" s="1">
        <v>2</v>
      </c>
      <c r="O77" s="1">
        <v>5</v>
      </c>
      <c r="P77" s="1">
        <v>0.45</v>
      </c>
      <c r="Q77" s="1">
        <v>-0.05</v>
      </c>
      <c r="R77" s="1">
        <v>3.1</v>
      </c>
      <c r="S77" s="1">
        <v>2.56</v>
      </c>
      <c r="T77" s="1">
        <v>56</v>
      </c>
      <c r="U77" s="1">
        <v>248</v>
      </c>
      <c r="V77" s="1">
        <v>22.58</v>
      </c>
      <c r="W77" s="1">
        <v>39</v>
      </c>
      <c r="X77" s="1">
        <v>253</v>
      </c>
      <c r="Y77" s="1">
        <v>84.58</v>
      </c>
      <c r="Z77" s="1">
        <v>11</v>
      </c>
      <c r="AA77" s="1">
        <v>7</v>
      </c>
      <c r="AB77" s="1">
        <v>8.6999999999999993</v>
      </c>
      <c r="AC77" s="1">
        <v>9.5</v>
      </c>
      <c r="AD77" s="1">
        <v>2616</v>
      </c>
      <c r="AE77" s="1">
        <v>9.6999999999999993</v>
      </c>
      <c r="AF77" s="1">
        <v>2296</v>
      </c>
      <c r="AG77" s="1">
        <v>0.90900000000000003</v>
      </c>
      <c r="AH77" s="1">
        <v>7</v>
      </c>
      <c r="AI77" s="1">
        <v>8</v>
      </c>
      <c r="AJ77" s="1">
        <v>0.93</v>
      </c>
      <c r="AK77" s="1">
        <v>101</v>
      </c>
      <c r="AL77" s="1">
        <v>3281</v>
      </c>
      <c r="AM77" s="1">
        <v>3687</v>
      </c>
      <c r="AN77" s="1">
        <v>47.1</v>
      </c>
      <c r="AO77" s="1">
        <v>2483</v>
      </c>
      <c r="AP77" s="1">
        <v>2756</v>
      </c>
      <c r="AQ77" s="1">
        <v>47.4</v>
      </c>
      <c r="AR77" s="1">
        <v>163.9</v>
      </c>
      <c r="AS77" s="1">
        <v>177.1</v>
      </c>
      <c r="AT77" s="1">
        <v>158</v>
      </c>
      <c r="AU77" s="1">
        <v>148</v>
      </c>
      <c r="AV77" s="1">
        <v>23</v>
      </c>
      <c r="AW77" s="1">
        <v>1618</v>
      </c>
      <c r="AX77" s="1">
        <v>1853</v>
      </c>
      <c r="AY77" s="1">
        <v>46.6</v>
      </c>
      <c r="AZ77" s="1">
        <v>494</v>
      </c>
      <c r="BA77" s="1">
        <v>573</v>
      </c>
      <c r="BB77" s="1">
        <v>46.3</v>
      </c>
      <c r="BC77" s="1">
        <v>75</v>
      </c>
      <c r="BD77" s="1">
        <v>13.2</v>
      </c>
      <c r="BE77" s="1">
        <v>64</v>
      </c>
      <c r="BF77" s="1">
        <v>10</v>
      </c>
    </row>
    <row r="78" spans="1:58" x14ac:dyDescent="0.35">
      <c r="A78" t="s">
        <v>90</v>
      </c>
      <c r="B78">
        <v>13</v>
      </c>
      <c r="C78" t="s">
        <v>63</v>
      </c>
      <c r="D78" s="1">
        <v>1</v>
      </c>
      <c r="E78" s="1">
        <v>29.1</v>
      </c>
      <c r="F78" s="1">
        <v>82</v>
      </c>
      <c r="G78" s="1">
        <v>45</v>
      </c>
      <c r="H78" s="1">
        <v>29</v>
      </c>
      <c r="I78" s="1">
        <v>8</v>
      </c>
      <c r="J78" s="1">
        <v>98</v>
      </c>
      <c r="K78" s="1">
        <v>0.59799999999999998</v>
      </c>
      <c r="L78" s="1">
        <v>288</v>
      </c>
      <c r="M78" s="1">
        <v>267</v>
      </c>
      <c r="N78" s="1">
        <v>3</v>
      </c>
      <c r="O78" s="1">
        <v>1</v>
      </c>
      <c r="P78" s="1">
        <v>0.28000000000000003</v>
      </c>
      <c r="Q78" s="1">
        <v>0</v>
      </c>
      <c r="R78" s="1">
        <v>3.51</v>
      </c>
      <c r="S78" s="1">
        <v>3.26</v>
      </c>
      <c r="T78" s="1">
        <v>71</v>
      </c>
      <c r="U78" s="1">
        <v>248</v>
      </c>
      <c r="V78" s="1">
        <v>28.63</v>
      </c>
      <c r="W78" s="1">
        <v>39</v>
      </c>
      <c r="X78" s="1">
        <v>234</v>
      </c>
      <c r="Y78" s="1">
        <v>83.33</v>
      </c>
      <c r="Z78" s="1">
        <v>5</v>
      </c>
      <c r="AA78" s="1">
        <v>6</v>
      </c>
      <c r="AB78" s="1">
        <v>11</v>
      </c>
      <c r="AC78" s="1">
        <v>11</v>
      </c>
      <c r="AD78" s="1">
        <v>2401</v>
      </c>
      <c r="AE78" s="1">
        <v>12</v>
      </c>
      <c r="AF78" s="1">
        <v>2430</v>
      </c>
      <c r="AG78" s="1">
        <v>0.89</v>
      </c>
      <c r="AH78" s="1">
        <v>4</v>
      </c>
      <c r="AI78" s="1">
        <v>8.4</v>
      </c>
      <c r="AJ78" s="1">
        <v>0.92600000000000005</v>
      </c>
      <c r="AK78" s="1">
        <v>101.1</v>
      </c>
      <c r="AL78" s="1">
        <v>3607</v>
      </c>
      <c r="AM78" s="1">
        <v>3630</v>
      </c>
      <c r="AN78" s="1">
        <v>49.8</v>
      </c>
      <c r="AO78" s="1">
        <v>2698</v>
      </c>
      <c r="AP78" s="1">
        <v>2662</v>
      </c>
      <c r="AQ78" s="1">
        <v>50.3</v>
      </c>
      <c r="AR78" s="1">
        <v>178.5</v>
      </c>
      <c r="AS78" s="1">
        <v>180.7</v>
      </c>
      <c r="AT78" s="1">
        <v>180</v>
      </c>
      <c r="AU78" s="1">
        <v>153</v>
      </c>
      <c r="AV78" s="1">
        <v>29</v>
      </c>
      <c r="AW78" s="1">
        <v>1866</v>
      </c>
      <c r="AX78" s="1">
        <v>1854</v>
      </c>
      <c r="AY78" s="1">
        <v>50.2</v>
      </c>
      <c r="AZ78" s="1">
        <v>612</v>
      </c>
      <c r="BA78" s="1">
        <v>626</v>
      </c>
      <c r="BB78" s="1">
        <v>49.4</v>
      </c>
      <c r="BC78" s="1">
        <v>72</v>
      </c>
      <c r="BD78" s="1">
        <v>10.5</v>
      </c>
      <c r="BE78" s="1">
        <v>54</v>
      </c>
      <c r="BF78" s="1">
        <v>7.9</v>
      </c>
    </row>
    <row r="79" spans="1:58" x14ac:dyDescent="0.35">
      <c r="A79" t="s">
        <v>90</v>
      </c>
      <c r="B79">
        <v>14</v>
      </c>
      <c r="C79" t="s">
        <v>73</v>
      </c>
      <c r="D79" s="1">
        <v>1</v>
      </c>
      <c r="E79" s="1">
        <v>29</v>
      </c>
      <c r="F79" s="1">
        <v>82</v>
      </c>
      <c r="G79" s="1">
        <v>45</v>
      </c>
      <c r="H79" s="1">
        <v>29</v>
      </c>
      <c r="I79" s="1">
        <v>8</v>
      </c>
      <c r="J79" s="1">
        <v>98</v>
      </c>
      <c r="K79" s="1">
        <v>0.59799999999999998</v>
      </c>
      <c r="L79" s="1">
        <v>263</v>
      </c>
      <c r="M79" s="1">
        <v>243</v>
      </c>
      <c r="N79" s="1">
        <v>4</v>
      </c>
      <c r="O79" s="1">
        <v>2</v>
      </c>
      <c r="P79" s="1">
        <v>0.22</v>
      </c>
      <c r="Q79" s="1">
        <v>-0.05</v>
      </c>
      <c r="R79" s="1">
        <v>3.21</v>
      </c>
      <c r="S79" s="1">
        <v>2.96</v>
      </c>
      <c r="T79" s="1">
        <v>51</v>
      </c>
      <c r="U79" s="1">
        <v>252</v>
      </c>
      <c r="V79" s="1">
        <v>20.239999999999998</v>
      </c>
      <c r="W79" s="1">
        <v>44</v>
      </c>
      <c r="X79" s="1">
        <v>213</v>
      </c>
      <c r="Y79" s="1">
        <v>79.34</v>
      </c>
      <c r="Z79" s="1">
        <v>9</v>
      </c>
      <c r="AA79" s="1">
        <v>8</v>
      </c>
      <c r="AB79" s="1">
        <v>7.4</v>
      </c>
      <c r="AC79" s="1">
        <v>8.5</v>
      </c>
      <c r="AD79" s="1">
        <v>2548</v>
      </c>
      <c r="AE79" s="1">
        <v>10.3</v>
      </c>
      <c r="AF79" s="1">
        <v>2487</v>
      </c>
      <c r="AG79" s="1">
        <v>0.90200000000000002</v>
      </c>
      <c r="AH79" s="1">
        <v>3</v>
      </c>
      <c r="AI79" s="1">
        <v>7.8</v>
      </c>
      <c r="AJ79" s="1">
        <v>0.92100000000000004</v>
      </c>
      <c r="AK79" s="1">
        <v>99.9</v>
      </c>
      <c r="AL79" s="1">
        <v>3959</v>
      </c>
      <c r="AM79" s="1">
        <v>3874</v>
      </c>
      <c r="AN79" s="1">
        <v>50.5</v>
      </c>
      <c r="AO79" s="1">
        <v>2862</v>
      </c>
      <c r="AP79" s="1">
        <v>2813</v>
      </c>
      <c r="AQ79" s="1">
        <v>50.4</v>
      </c>
      <c r="AR79" s="1">
        <v>169</v>
      </c>
      <c r="AS79" s="1">
        <v>167.8</v>
      </c>
      <c r="AT79" s="1">
        <v>166</v>
      </c>
      <c r="AU79" s="1">
        <v>165</v>
      </c>
      <c r="AV79" s="1">
        <v>0</v>
      </c>
      <c r="AW79" s="1">
        <v>1855</v>
      </c>
      <c r="AX79" s="1">
        <v>1834</v>
      </c>
      <c r="AY79" s="1">
        <v>50.3</v>
      </c>
      <c r="AZ79" s="1">
        <v>605</v>
      </c>
      <c r="BA79" s="1">
        <v>657</v>
      </c>
      <c r="BB79" s="1">
        <v>47.9</v>
      </c>
      <c r="BC79" s="1">
        <v>55</v>
      </c>
      <c r="BD79" s="1">
        <v>8.3000000000000007</v>
      </c>
      <c r="BE79" s="1">
        <v>73</v>
      </c>
      <c r="BF79" s="1">
        <v>10</v>
      </c>
    </row>
    <row r="80" spans="1:58" x14ac:dyDescent="0.35">
      <c r="A80" t="s">
        <v>90</v>
      </c>
      <c r="B80">
        <v>15</v>
      </c>
      <c r="C80" t="s">
        <v>76</v>
      </c>
      <c r="D80" s="1">
        <v>1</v>
      </c>
      <c r="E80" s="1">
        <v>29.6</v>
      </c>
      <c r="F80" s="1">
        <v>82</v>
      </c>
      <c r="G80" s="1">
        <v>39</v>
      </c>
      <c r="H80" s="1">
        <v>27</v>
      </c>
      <c r="I80" s="1">
        <v>16</v>
      </c>
      <c r="J80" s="1">
        <v>94</v>
      </c>
      <c r="K80" s="1">
        <v>0.57299999999999995</v>
      </c>
      <c r="L80" s="1">
        <v>245</v>
      </c>
      <c r="M80" s="1">
        <v>258</v>
      </c>
      <c r="N80" s="1">
        <v>1</v>
      </c>
      <c r="O80" s="1">
        <v>5</v>
      </c>
      <c r="P80" s="1">
        <v>-0.18</v>
      </c>
      <c r="Q80" s="1">
        <v>0.03</v>
      </c>
      <c r="R80" s="1">
        <v>2.99</v>
      </c>
      <c r="S80" s="1">
        <v>3.15</v>
      </c>
      <c r="T80" s="1">
        <v>47</v>
      </c>
      <c r="U80" s="1">
        <v>231</v>
      </c>
      <c r="V80" s="1">
        <v>20.350000000000001</v>
      </c>
      <c r="W80" s="1">
        <v>63</v>
      </c>
      <c r="X80" s="1">
        <v>221</v>
      </c>
      <c r="Y80" s="1">
        <v>71.489999999999995</v>
      </c>
      <c r="Z80" s="1">
        <v>10</v>
      </c>
      <c r="AA80" s="1">
        <v>3</v>
      </c>
      <c r="AB80" s="1">
        <v>7.1</v>
      </c>
      <c r="AC80" s="1">
        <v>7.4</v>
      </c>
      <c r="AD80" s="1">
        <v>2470</v>
      </c>
      <c r="AE80" s="1">
        <v>9.9</v>
      </c>
      <c r="AF80" s="1">
        <v>2686</v>
      </c>
      <c r="AG80" s="1">
        <v>0.90400000000000003</v>
      </c>
      <c r="AH80" s="1">
        <v>5</v>
      </c>
      <c r="AI80" s="1">
        <v>8.6</v>
      </c>
      <c r="AJ80" s="1">
        <v>0.91800000000000004</v>
      </c>
      <c r="AK80" s="1">
        <v>100.4</v>
      </c>
      <c r="AL80" s="1">
        <v>3418</v>
      </c>
      <c r="AM80" s="1">
        <v>3520</v>
      </c>
      <c r="AN80" s="1">
        <v>49.3</v>
      </c>
      <c r="AO80" s="1">
        <v>2470</v>
      </c>
      <c r="AP80" s="1">
        <v>2606</v>
      </c>
      <c r="AQ80" s="1">
        <v>48.7</v>
      </c>
      <c r="AR80" s="1">
        <v>145</v>
      </c>
      <c r="AS80" s="1">
        <v>172.4</v>
      </c>
      <c r="AT80" s="1">
        <v>152</v>
      </c>
      <c r="AU80" s="1">
        <v>155</v>
      </c>
      <c r="AV80" s="1">
        <v>24</v>
      </c>
      <c r="AW80" s="1">
        <v>1588</v>
      </c>
      <c r="AX80" s="1">
        <v>1727</v>
      </c>
      <c r="AY80" s="1">
        <v>47.9</v>
      </c>
      <c r="AZ80" s="1">
        <v>561</v>
      </c>
      <c r="BA80" s="1">
        <v>606</v>
      </c>
      <c r="BB80" s="1">
        <v>48.1</v>
      </c>
      <c r="BC80" s="1">
        <v>57</v>
      </c>
      <c r="BD80" s="1">
        <v>9.1999999999999993</v>
      </c>
      <c r="BE80" s="1">
        <v>52</v>
      </c>
      <c r="BF80" s="1">
        <v>7.9</v>
      </c>
    </row>
    <row r="81" spans="1:58" x14ac:dyDescent="0.35">
      <c r="A81" t="s">
        <v>90</v>
      </c>
      <c r="B81">
        <v>16</v>
      </c>
      <c r="C81" t="s">
        <v>65</v>
      </c>
      <c r="D81" s="1">
        <v>0</v>
      </c>
      <c r="E81" s="1">
        <v>29</v>
      </c>
      <c r="F81" s="1">
        <v>82</v>
      </c>
      <c r="G81" s="1">
        <v>43</v>
      </c>
      <c r="H81" s="1">
        <v>33</v>
      </c>
      <c r="I81" s="1">
        <v>6</v>
      </c>
      <c r="J81" s="1">
        <v>92</v>
      </c>
      <c r="K81" s="1">
        <v>0.56100000000000005</v>
      </c>
      <c r="L81" s="1">
        <v>234</v>
      </c>
      <c r="M81" s="1">
        <v>248</v>
      </c>
      <c r="N81" s="1">
        <v>5</v>
      </c>
      <c r="O81" s="1">
        <v>2</v>
      </c>
      <c r="P81" s="1">
        <v>-0.14000000000000001</v>
      </c>
      <c r="Q81" s="1">
        <v>-0.01</v>
      </c>
      <c r="R81" s="1">
        <v>2.85</v>
      </c>
      <c r="S81" s="1">
        <v>3.02</v>
      </c>
      <c r="T81" s="1">
        <v>45</v>
      </c>
      <c r="U81" s="1">
        <v>250</v>
      </c>
      <c r="V81" s="1">
        <v>18</v>
      </c>
      <c r="W81" s="1">
        <v>46</v>
      </c>
      <c r="X81" s="1">
        <v>215</v>
      </c>
      <c r="Y81" s="1">
        <v>78.599999999999994</v>
      </c>
      <c r="Z81" s="1">
        <v>11</v>
      </c>
      <c r="AA81" s="1">
        <v>7</v>
      </c>
      <c r="AB81" s="1">
        <v>7.4</v>
      </c>
      <c r="AC81" s="1">
        <v>8.6</v>
      </c>
      <c r="AD81" s="1">
        <v>2370</v>
      </c>
      <c r="AE81" s="1">
        <v>9.9</v>
      </c>
      <c r="AF81" s="1">
        <v>2636</v>
      </c>
      <c r="AG81" s="1">
        <v>0.90600000000000003</v>
      </c>
      <c r="AH81" s="1">
        <v>4</v>
      </c>
      <c r="AI81" s="1">
        <v>7.2</v>
      </c>
      <c r="AJ81" s="1">
        <v>0.92300000000000004</v>
      </c>
      <c r="AK81" s="1">
        <v>99.5</v>
      </c>
      <c r="AL81" s="1">
        <v>3512</v>
      </c>
      <c r="AM81" s="1">
        <v>3821</v>
      </c>
      <c r="AN81" s="1">
        <v>47.9</v>
      </c>
      <c r="AO81" s="1">
        <v>2640</v>
      </c>
      <c r="AP81" s="1">
        <v>2852</v>
      </c>
      <c r="AQ81" s="1">
        <v>48.1</v>
      </c>
      <c r="AR81" s="1">
        <v>161.6</v>
      </c>
      <c r="AS81" s="1">
        <v>187.8</v>
      </c>
      <c r="AT81" s="1">
        <v>147</v>
      </c>
      <c r="AU81" s="1">
        <v>175</v>
      </c>
      <c r="AV81" s="1">
        <v>-2</v>
      </c>
      <c r="AW81" s="1">
        <v>1701</v>
      </c>
      <c r="AX81" s="1">
        <v>1899</v>
      </c>
      <c r="AY81" s="1">
        <v>47.3</v>
      </c>
      <c r="AZ81" s="1">
        <v>550</v>
      </c>
      <c r="BA81" s="1">
        <v>564</v>
      </c>
      <c r="BB81" s="1">
        <v>49.4</v>
      </c>
      <c r="BC81" s="1">
        <v>55</v>
      </c>
      <c r="BD81" s="1">
        <v>9.1</v>
      </c>
      <c r="BE81" s="1">
        <v>79</v>
      </c>
      <c r="BF81" s="1">
        <v>12.3</v>
      </c>
    </row>
    <row r="82" spans="1:58" x14ac:dyDescent="0.35">
      <c r="A82" t="s">
        <v>90</v>
      </c>
      <c r="B82">
        <v>17</v>
      </c>
      <c r="C82" t="s">
        <v>69</v>
      </c>
      <c r="D82" s="1">
        <v>1</v>
      </c>
      <c r="E82" s="1">
        <v>30</v>
      </c>
      <c r="F82" s="1">
        <v>82</v>
      </c>
      <c r="G82" s="1">
        <v>40</v>
      </c>
      <c r="H82" s="1">
        <v>31</v>
      </c>
      <c r="I82" s="1">
        <v>11</v>
      </c>
      <c r="J82" s="1">
        <v>91</v>
      </c>
      <c r="K82" s="1">
        <v>0.55500000000000005</v>
      </c>
      <c r="L82" s="1">
        <v>216</v>
      </c>
      <c r="M82" s="1">
        <v>252</v>
      </c>
      <c r="N82" s="1">
        <v>4</v>
      </c>
      <c r="O82" s="1">
        <v>5</v>
      </c>
      <c r="P82" s="1">
        <v>-0.41</v>
      </c>
      <c r="Q82" s="1">
        <v>0.04</v>
      </c>
      <c r="R82" s="1">
        <v>2.63</v>
      </c>
      <c r="S82" s="1">
        <v>3.07</v>
      </c>
      <c r="T82" s="1">
        <v>47</v>
      </c>
      <c r="U82" s="1">
        <v>228</v>
      </c>
      <c r="V82" s="1">
        <v>20.61</v>
      </c>
      <c r="W82" s="1">
        <v>49</v>
      </c>
      <c r="X82" s="1">
        <v>233</v>
      </c>
      <c r="Y82" s="1">
        <v>78.97</v>
      </c>
      <c r="Z82" s="1">
        <v>3</v>
      </c>
      <c r="AA82" s="1">
        <v>5</v>
      </c>
      <c r="AB82" s="1">
        <v>7.7</v>
      </c>
      <c r="AC82" s="1">
        <v>7.4</v>
      </c>
      <c r="AD82" s="1">
        <v>2172</v>
      </c>
      <c r="AE82" s="1">
        <v>9.9</v>
      </c>
      <c r="AF82" s="1">
        <v>2503</v>
      </c>
      <c r="AG82" s="1">
        <v>0.89900000000000002</v>
      </c>
      <c r="AH82" s="1">
        <v>7</v>
      </c>
      <c r="AI82" s="1">
        <v>7.1</v>
      </c>
      <c r="AJ82" s="1">
        <v>0.91400000000000003</v>
      </c>
      <c r="AK82" s="1">
        <v>98.5</v>
      </c>
      <c r="AL82" s="1">
        <v>3751</v>
      </c>
      <c r="AM82" s="1">
        <v>3527</v>
      </c>
      <c r="AN82" s="1">
        <v>51.5</v>
      </c>
      <c r="AO82" s="1">
        <v>2801</v>
      </c>
      <c r="AP82" s="1">
        <v>2580</v>
      </c>
      <c r="AQ82" s="1">
        <v>52.1</v>
      </c>
      <c r="AR82" s="1">
        <v>176.7</v>
      </c>
      <c r="AS82" s="1">
        <v>168.5</v>
      </c>
      <c r="AT82" s="1">
        <v>151</v>
      </c>
      <c r="AU82" s="1">
        <v>177</v>
      </c>
      <c r="AV82" s="1">
        <v>-34</v>
      </c>
      <c r="AW82" s="1">
        <v>1900</v>
      </c>
      <c r="AX82" s="1">
        <v>1772</v>
      </c>
      <c r="AY82" s="1">
        <v>51.7</v>
      </c>
      <c r="AZ82" s="1">
        <v>680</v>
      </c>
      <c r="BA82" s="1">
        <v>611</v>
      </c>
      <c r="BB82" s="1">
        <v>52.7</v>
      </c>
      <c r="BC82" s="1">
        <v>68</v>
      </c>
      <c r="BD82" s="1">
        <v>9.1</v>
      </c>
      <c r="BE82" s="1">
        <v>76</v>
      </c>
      <c r="BF82" s="1">
        <v>11.1</v>
      </c>
    </row>
    <row r="83" spans="1:58" x14ac:dyDescent="0.35">
      <c r="A83" t="s">
        <v>90</v>
      </c>
      <c r="B83">
        <v>18</v>
      </c>
      <c r="C83" t="s">
        <v>81</v>
      </c>
      <c r="D83" s="1">
        <v>0</v>
      </c>
      <c r="E83" s="1">
        <v>29.3</v>
      </c>
      <c r="F83" s="1">
        <v>82</v>
      </c>
      <c r="G83" s="1">
        <v>41</v>
      </c>
      <c r="H83" s="1">
        <v>32</v>
      </c>
      <c r="I83" s="1">
        <v>9</v>
      </c>
      <c r="J83" s="1">
        <v>91</v>
      </c>
      <c r="K83" s="1">
        <v>0.55500000000000005</v>
      </c>
      <c r="L83" s="1">
        <v>275</v>
      </c>
      <c r="M83" s="1">
        <v>273</v>
      </c>
      <c r="N83" s="1">
        <v>3</v>
      </c>
      <c r="O83" s="1">
        <v>1</v>
      </c>
      <c r="P83" s="1">
        <v>0.06</v>
      </c>
      <c r="Q83" s="1">
        <v>0.02</v>
      </c>
      <c r="R83" s="1">
        <v>3.35</v>
      </c>
      <c r="S83" s="1">
        <v>3.33</v>
      </c>
      <c r="T83" s="1">
        <v>63</v>
      </c>
      <c r="U83" s="1">
        <v>273</v>
      </c>
      <c r="V83" s="1">
        <v>23.08</v>
      </c>
      <c r="W83" s="1">
        <v>49</v>
      </c>
      <c r="X83" s="1">
        <v>240</v>
      </c>
      <c r="Y83" s="1">
        <v>79.58</v>
      </c>
      <c r="Z83" s="1">
        <v>7</v>
      </c>
      <c r="AA83" s="1">
        <v>10</v>
      </c>
      <c r="AB83" s="1">
        <v>8.6999999999999993</v>
      </c>
      <c r="AC83" s="1">
        <v>9.9</v>
      </c>
      <c r="AD83" s="1">
        <v>2375</v>
      </c>
      <c r="AE83" s="1">
        <v>11.6</v>
      </c>
      <c r="AF83" s="1">
        <v>2657</v>
      </c>
      <c r="AG83" s="1">
        <v>0.89700000000000002</v>
      </c>
      <c r="AH83" s="1">
        <v>4</v>
      </c>
      <c r="AI83" s="1">
        <v>7.7</v>
      </c>
      <c r="AJ83" s="1">
        <v>0.90900000000000003</v>
      </c>
      <c r="AK83" s="1">
        <v>98.6</v>
      </c>
      <c r="AL83" s="1">
        <v>3977</v>
      </c>
      <c r="AM83" s="1">
        <v>3827</v>
      </c>
      <c r="AN83" s="1">
        <v>51</v>
      </c>
      <c r="AO83" s="1">
        <v>2836</v>
      </c>
      <c r="AP83" s="1">
        <v>2705</v>
      </c>
      <c r="AQ83" s="1">
        <v>51.2</v>
      </c>
      <c r="AR83" s="1">
        <v>166.7</v>
      </c>
      <c r="AS83" s="1">
        <v>163.9</v>
      </c>
      <c r="AT83" s="1">
        <v>163</v>
      </c>
      <c r="AU83" s="1">
        <v>192</v>
      </c>
      <c r="AV83" s="1">
        <v>-32</v>
      </c>
      <c r="AW83" s="1">
        <v>1782</v>
      </c>
      <c r="AX83" s="1">
        <v>1767</v>
      </c>
      <c r="AY83" s="1">
        <v>50.2</v>
      </c>
      <c r="AZ83" s="1">
        <v>670</v>
      </c>
      <c r="BA83" s="1">
        <v>634</v>
      </c>
      <c r="BB83" s="1">
        <v>51.4</v>
      </c>
      <c r="BC83" s="1">
        <v>75</v>
      </c>
      <c r="BD83" s="1">
        <v>10.1</v>
      </c>
      <c r="BE83" s="1">
        <v>66</v>
      </c>
      <c r="BF83" s="1">
        <v>9.4</v>
      </c>
    </row>
    <row r="84" spans="1:58" x14ac:dyDescent="0.35">
      <c r="A84" t="s">
        <v>90</v>
      </c>
      <c r="B84">
        <v>19</v>
      </c>
      <c r="C84" t="s">
        <v>68</v>
      </c>
      <c r="D84" s="1">
        <v>0</v>
      </c>
      <c r="E84" s="1">
        <v>31.3</v>
      </c>
      <c r="F84" s="1">
        <v>82</v>
      </c>
      <c r="G84" s="1">
        <v>38</v>
      </c>
      <c r="H84" s="1">
        <v>32</v>
      </c>
      <c r="I84" s="1">
        <v>12</v>
      </c>
      <c r="J84" s="1">
        <v>88</v>
      </c>
      <c r="K84" s="1">
        <v>0.53700000000000003</v>
      </c>
      <c r="L84" s="1">
        <v>253</v>
      </c>
      <c r="M84" s="1">
        <v>248</v>
      </c>
      <c r="N84" s="1">
        <v>2</v>
      </c>
      <c r="O84" s="1">
        <v>3</v>
      </c>
      <c r="P84" s="1">
        <v>0.05</v>
      </c>
      <c r="Q84" s="1">
        <v>0</v>
      </c>
      <c r="R84" s="1">
        <v>3.09</v>
      </c>
      <c r="S84" s="1">
        <v>3.02</v>
      </c>
      <c r="T84" s="1">
        <v>40</v>
      </c>
      <c r="U84" s="1">
        <v>262</v>
      </c>
      <c r="V84" s="1">
        <v>15.27</v>
      </c>
      <c r="W84" s="1">
        <v>47</v>
      </c>
      <c r="X84" s="1">
        <v>243</v>
      </c>
      <c r="Y84" s="1">
        <v>80.66</v>
      </c>
      <c r="Z84" s="1">
        <v>5</v>
      </c>
      <c r="AA84" s="1">
        <v>12</v>
      </c>
      <c r="AB84" s="1">
        <v>7.4</v>
      </c>
      <c r="AC84" s="1">
        <v>7.9</v>
      </c>
      <c r="AD84" s="1">
        <v>2685</v>
      </c>
      <c r="AE84" s="1">
        <v>9.4</v>
      </c>
      <c r="AF84" s="1">
        <v>2479</v>
      </c>
      <c r="AG84" s="1">
        <v>0.9</v>
      </c>
      <c r="AH84" s="1">
        <v>8</v>
      </c>
      <c r="AI84" s="1">
        <v>6.9</v>
      </c>
      <c r="AJ84" s="1">
        <v>0.91900000000000004</v>
      </c>
      <c r="AK84" s="1">
        <v>98.8</v>
      </c>
      <c r="AL84" s="1">
        <v>3283</v>
      </c>
      <c r="AM84" s="1">
        <v>3180</v>
      </c>
      <c r="AN84" s="1">
        <v>50.8</v>
      </c>
      <c r="AO84" s="1">
        <v>2337</v>
      </c>
      <c r="AP84" s="1">
        <v>2287</v>
      </c>
      <c r="AQ84" s="1">
        <v>50.5</v>
      </c>
      <c r="AR84" s="1">
        <v>136.19999999999999</v>
      </c>
      <c r="AS84" s="1">
        <v>140.30000000000001</v>
      </c>
      <c r="AT84" s="1">
        <v>116</v>
      </c>
      <c r="AU84" s="1">
        <v>136</v>
      </c>
      <c r="AV84" s="1">
        <v>-16</v>
      </c>
      <c r="AW84" s="1">
        <v>1497</v>
      </c>
      <c r="AX84" s="1">
        <v>1474</v>
      </c>
      <c r="AY84" s="1">
        <v>50.4</v>
      </c>
      <c r="AZ84" s="1">
        <v>488</v>
      </c>
      <c r="BA84" s="1">
        <v>531</v>
      </c>
      <c r="BB84" s="1">
        <v>47.9</v>
      </c>
      <c r="BC84" s="1">
        <v>44</v>
      </c>
      <c r="BD84" s="1">
        <v>8.3000000000000007</v>
      </c>
      <c r="BE84" s="1">
        <v>55</v>
      </c>
      <c r="BF84" s="1">
        <v>9.4</v>
      </c>
    </row>
    <row r="85" spans="1:58" x14ac:dyDescent="0.35">
      <c r="A85" t="s">
        <v>90</v>
      </c>
      <c r="B85">
        <v>20</v>
      </c>
      <c r="C85" t="s">
        <v>61</v>
      </c>
      <c r="D85" s="1">
        <v>0</v>
      </c>
      <c r="E85" s="1">
        <v>29.3</v>
      </c>
      <c r="F85" s="1">
        <v>82</v>
      </c>
      <c r="G85" s="1">
        <v>39</v>
      </c>
      <c r="H85" s="1">
        <v>34</v>
      </c>
      <c r="I85" s="1">
        <v>9</v>
      </c>
      <c r="J85" s="1">
        <v>87</v>
      </c>
      <c r="K85" s="1">
        <v>0.53</v>
      </c>
      <c r="L85" s="1">
        <v>248</v>
      </c>
      <c r="M85" s="1">
        <v>260</v>
      </c>
      <c r="N85" s="1">
        <v>3</v>
      </c>
      <c r="O85" s="1">
        <v>3</v>
      </c>
      <c r="P85" s="1">
        <v>-0.14000000000000001</v>
      </c>
      <c r="Q85" s="1">
        <v>0.01</v>
      </c>
      <c r="R85" s="1">
        <v>3.02</v>
      </c>
      <c r="S85" s="1">
        <v>3.17</v>
      </c>
      <c r="T85" s="1">
        <v>62</v>
      </c>
      <c r="U85" s="1">
        <v>273</v>
      </c>
      <c r="V85" s="1">
        <v>22.71</v>
      </c>
      <c r="W85" s="1">
        <v>67</v>
      </c>
      <c r="X85" s="1">
        <v>263</v>
      </c>
      <c r="Y85" s="1">
        <v>74.52</v>
      </c>
      <c r="Z85" s="1">
        <v>3</v>
      </c>
      <c r="AA85" s="1">
        <v>11</v>
      </c>
      <c r="AB85" s="1">
        <v>11.4</v>
      </c>
      <c r="AC85" s="1">
        <v>11.3</v>
      </c>
      <c r="AD85" s="1">
        <v>2471</v>
      </c>
      <c r="AE85" s="1">
        <v>10</v>
      </c>
      <c r="AF85" s="1">
        <v>2437</v>
      </c>
      <c r="AG85" s="1">
        <v>0.89300000000000002</v>
      </c>
      <c r="AH85" s="1">
        <v>6</v>
      </c>
      <c r="AI85" s="1">
        <v>7.6</v>
      </c>
      <c r="AJ85" s="1">
        <v>0.91900000000000004</v>
      </c>
      <c r="AK85" s="1">
        <v>99.5</v>
      </c>
      <c r="AL85" s="1">
        <v>3403</v>
      </c>
      <c r="AM85" s="1">
        <v>3895</v>
      </c>
      <c r="AN85" s="1">
        <v>46.6</v>
      </c>
      <c r="AO85" s="1">
        <v>2564</v>
      </c>
      <c r="AP85" s="1">
        <v>2921</v>
      </c>
      <c r="AQ85" s="1">
        <v>46.7</v>
      </c>
      <c r="AR85" s="1">
        <v>164.1</v>
      </c>
      <c r="AS85" s="1">
        <v>185.4</v>
      </c>
      <c r="AT85" s="1">
        <v>159</v>
      </c>
      <c r="AU85" s="1">
        <v>189</v>
      </c>
      <c r="AV85" s="1">
        <v>-9</v>
      </c>
      <c r="AW85" s="1">
        <v>1644</v>
      </c>
      <c r="AX85" s="1">
        <v>1876</v>
      </c>
      <c r="AY85" s="1">
        <v>46.7</v>
      </c>
      <c r="AZ85" s="1">
        <v>542</v>
      </c>
      <c r="BA85" s="1">
        <v>588</v>
      </c>
      <c r="BB85" s="1">
        <v>48</v>
      </c>
      <c r="BC85" s="1">
        <v>74</v>
      </c>
      <c r="BD85" s="1">
        <v>12</v>
      </c>
      <c r="BE85" s="1">
        <v>76</v>
      </c>
      <c r="BF85" s="1">
        <v>11.4</v>
      </c>
    </row>
    <row r="86" spans="1:58" x14ac:dyDescent="0.35">
      <c r="A86" t="s">
        <v>90</v>
      </c>
      <c r="B86">
        <v>21</v>
      </c>
      <c r="C86" t="s">
        <v>85</v>
      </c>
      <c r="D86" s="1">
        <v>0</v>
      </c>
      <c r="E86" s="1">
        <v>27.1</v>
      </c>
      <c r="F86" s="1">
        <v>82</v>
      </c>
      <c r="G86" s="1">
        <v>38</v>
      </c>
      <c r="H86" s="1">
        <v>33</v>
      </c>
      <c r="I86" s="1">
        <v>11</v>
      </c>
      <c r="J86" s="1">
        <v>87</v>
      </c>
      <c r="K86" s="1">
        <v>0.53</v>
      </c>
      <c r="L86" s="1">
        <v>231</v>
      </c>
      <c r="M86" s="1">
        <v>258</v>
      </c>
      <c r="N86" s="1">
        <v>4</v>
      </c>
      <c r="O86" s="1">
        <v>3</v>
      </c>
      <c r="P86" s="1">
        <v>-0.28999999999999998</v>
      </c>
      <c r="Q86" s="1">
        <v>0.03</v>
      </c>
      <c r="R86" s="1">
        <v>2.82</v>
      </c>
      <c r="S86" s="1">
        <v>3.15</v>
      </c>
      <c r="T86" s="1">
        <v>31</v>
      </c>
      <c r="U86" s="1">
        <v>254</v>
      </c>
      <c r="V86" s="1">
        <v>12.2</v>
      </c>
      <c r="W86" s="1">
        <v>40</v>
      </c>
      <c r="X86" s="1">
        <v>241</v>
      </c>
      <c r="Y86" s="1">
        <v>83.4</v>
      </c>
      <c r="Z86" s="1">
        <v>16</v>
      </c>
      <c r="AA86" s="1">
        <v>4</v>
      </c>
      <c r="AB86" s="1">
        <v>10.1</v>
      </c>
      <c r="AC86" s="1">
        <v>9.6999999999999993</v>
      </c>
      <c r="AD86" s="1">
        <v>2708</v>
      </c>
      <c r="AE86" s="1">
        <v>8.5</v>
      </c>
      <c r="AF86" s="1">
        <v>2225</v>
      </c>
      <c r="AG86" s="1">
        <v>0.88400000000000001</v>
      </c>
      <c r="AH86" s="1">
        <v>5</v>
      </c>
      <c r="AI86" s="1">
        <v>7.3</v>
      </c>
      <c r="AJ86" s="1">
        <v>0.92</v>
      </c>
      <c r="AK86" s="1">
        <v>99.3</v>
      </c>
      <c r="AL86" s="1">
        <v>3554</v>
      </c>
      <c r="AM86" s="1">
        <v>3940</v>
      </c>
      <c r="AN86" s="1">
        <v>47.4</v>
      </c>
      <c r="AO86" s="1">
        <v>2679</v>
      </c>
      <c r="AP86" s="1">
        <v>2823</v>
      </c>
      <c r="AQ86" s="1">
        <v>48.7</v>
      </c>
      <c r="AR86" s="1">
        <v>169.2</v>
      </c>
      <c r="AS86" s="1">
        <v>178.2</v>
      </c>
      <c r="AT86" s="1">
        <v>152</v>
      </c>
      <c r="AU86" s="1">
        <v>174</v>
      </c>
      <c r="AV86" s="1">
        <v>-13</v>
      </c>
      <c r="AW86" s="1">
        <v>1741</v>
      </c>
      <c r="AX86" s="1">
        <v>1984</v>
      </c>
      <c r="AY86" s="1">
        <v>46.7</v>
      </c>
      <c r="AZ86" s="1">
        <v>593</v>
      </c>
      <c r="BA86" s="1">
        <v>643</v>
      </c>
      <c r="BB86" s="1">
        <v>48</v>
      </c>
      <c r="BC86" s="1">
        <v>65</v>
      </c>
      <c r="BD86" s="1">
        <v>9.9</v>
      </c>
      <c r="BE86" s="1">
        <v>74</v>
      </c>
      <c r="BF86" s="1">
        <v>10.3</v>
      </c>
    </row>
    <row r="87" spans="1:58" x14ac:dyDescent="0.35">
      <c r="A87" t="s">
        <v>90</v>
      </c>
      <c r="B87">
        <v>22</v>
      </c>
      <c r="C87" t="s">
        <v>80</v>
      </c>
      <c r="D87" s="1">
        <v>0</v>
      </c>
      <c r="E87" s="1">
        <v>25.7</v>
      </c>
      <c r="F87" s="1">
        <v>82</v>
      </c>
      <c r="G87" s="1">
        <v>39</v>
      </c>
      <c r="H87" s="1">
        <v>37</v>
      </c>
      <c r="I87" s="1">
        <v>6</v>
      </c>
      <c r="J87" s="1">
        <v>84</v>
      </c>
      <c r="K87" s="1">
        <v>0.51200000000000001</v>
      </c>
      <c r="L87" s="1">
        <v>244</v>
      </c>
      <c r="M87" s="1">
        <v>243</v>
      </c>
      <c r="N87" s="1">
        <v>2</v>
      </c>
      <c r="O87" s="1">
        <v>1</v>
      </c>
      <c r="P87" s="1">
        <v>0.03</v>
      </c>
      <c r="Q87" s="1">
        <v>0.01</v>
      </c>
      <c r="R87" s="1">
        <v>2.98</v>
      </c>
      <c r="S87" s="1">
        <v>2.96</v>
      </c>
      <c r="T87" s="1">
        <v>37</v>
      </c>
      <c r="U87" s="1">
        <v>223</v>
      </c>
      <c r="V87" s="1">
        <v>16.59</v>
      </c>
      <c r="W87" s="1">
        <v>49</v>
      </c>
      <c r="X87" s="1">
        <v>243</v>
      </c>
      <c r="Y87" s="1">
        <v>79.84</v>
      </c>
      <c r="Z87" s="1">
        <v>7</v>
      </c>
      <c r="AA87" s="1">
        <v>10</v>
      </c>
      <c r="AB87" s="1">
        <v>9.8000000000000007</v>
      </c>
      <c r="AC87" s="1">
        <v>9.1999999999999993</v>
      </c>
      <c r="AD87" s="1">
        <v>2534</v>
      </c>
      <c r="AE87" s="1">
        <v>9.6</v>
      </c>
      <c r="AF87" s="1">
        <v>2402</v>
      </c>
      <c r="AG87" s="1">
        <v>0.89900000000000002</v>
      </c>
      <c r="AH87" s="1">
        <v>5</v>
      </c>
      <c r="AI87" s="1">
        <v>7.1</v>
      </c>
      <c r="AJ87" s="1">
        <v>0.90500000000000003</v>
      </c>
      <c r="AK87" s="1">
        <v>97.6</v>
      </c>
      <c r="AL87" s="1">
        <v>4101</v>
      </c>
      <c r="AM87" s="1">
        <v>3767</v>
      </c>
      <c r="AN87" s="1">
        <v>52.1</v>
      </c>
      <c r="AO87" s="1">
        <v>2973</v>
      </c>
      <c r="AP87" s="1">
        <v>2528</v>
      </c>
      <c r="AQ87" s="1">
        <v>54</v>
      </c>
      <c r="AR87" s="1">
        <v>177.5</v>
      </c>
      <c r="AS87" s="1">
        <v>149.80000000000001</v>
      </c>
      <c r="AT87" s="1">
        <v>159</v>
      </c>
      <c r="AU87" s="1">
        <v>180</v>
      </c>
      <c r="AV87" s="1">
        <v>-49</v>
      </c>
      <c r="AW87" s="1">
        <v>1887</v>
      </c>
      <c r="AX87" s="1">
        <v>1680</v>
      </c>
      <c r="AY87" s="1">
        <v>52.9</v>
      </c>
      <c r="AZ87" s="1">
        <v>673</v>
      </c>
      <c r="BA87" s="1">
        <v>589</v>
      </c>
      <c r="BB87" s="1">
        <v>53.3</v>
      </c>
      <c r="BC87" s="1">
        <v>66</v>
      </c>
      <c r="BD87" s="1">
        <v>8.9</v>
      </c>
      <c r="BE87" s="1">
        <v>70</v>
      </c>
      <c r="BF87" s="1">
        <v>10.6</v>
      </c>
    </row>
    <row r="88" spans="1:58" x14ac:dyDescent="0.35">
      <c r="A88" t="s">
        <v>90</v>
      </c>
      <c r="B88">
        <v>23</v>
      </c>
      <c r="C88" t="s">
        <v>84</v>
      </c>
      <c r="D88" s="1">
        <v>0</v>
      </c>
      <c r="E88" s="1">
        <v>26.8</v>
      </c>
      <c r="F88" s="1">
        <v>82</v>
      </c>
      <c r="G88" s="1">
        <v>38</v>
      </c>
      <c r="H88" s="1">
        <v>39</v>
      </c>
      <c r="I88" s="1">
        <v>5</v>
      </c>
      <c r="J88" s="1">
        <v>81</v>
      </c>
      <c r="K88" s="1">
        <v>0.49399999999999999</v>
      </c>
      <c r="L88" s="1">
        <v>264</v>
      </c>
      <c r="M88" s="1">
        <v>281</v>
      </c>
      <c r="N88" s="1">
        <v>0</v>
      </c>
      <c r="O88" s="1">
        <v>2</v>
      </c>
      <c r="P88" s="1">
        <v>-0.22</v>
      </c>
      <c r="Q88" s="1">
        <v>0.01</v>
      </c>
      <c r="R88" s="1">
        <v>3.22</v>
      </c>
      <c r="S88" s="1">
        <v>3.43</v>
      </c>
      <c r="T88" s="1">
        <v>55</v>
      </c>
      <c r="U88" s="1">
        <v>245</v>
      </c>
      <c r="V88" s="1">
        <v>22.45</v>
      </c>
      <c r="W88" s="1">
        <v>47</v>
      </c>
      <c r="X88" s="1">
        <v>243</v>
      </c>
      <c r="Y88" s="1">
        <v>80.66</v>
      </c>
      <c r="Z88" s="1">
        <v>3</v>
      </c>
      <c r="AA88" s="1">
        <v>9</v>
      </c>
      <c r="AB88" s="1">
        <v>9.1</v>
      </c>
      <c r="AC88" s="1">
        <v>9.6</v>
      </c>
      <c r="AD88" s="1">
        <v>2516</v>
      </c>
      <c r="AE88" s="1">
        <v>10.5</v>
      </c>
      <c r="AF88" s="1">
        <v>2458</v>
      </c>
      <c r="AG88" s="1">
        <v>0.88600000000000001</v>
      </c>
      <c r="AH88" s="1">
        <v>1</v>
      </c>
      <c r="AI88" s="1">
        <v>8.3000000000000007</v>
      </c>
      <c r="AJ88" s="1">
        <v>0.89800000000000002</v>
      </c>
      <c r="AK88" s="1">
        <v>98.1</v>
      </c>
      <c r="AL88" s="1">
        <v>3359</v>
      </c>
      <c r="AM88" s="1">
        <v>3492</v>
      </c>
      <c r="AN88" s="1">
        <v>49</v>
      </c>
      <c r="AO88" s="1">
        <v>2433</v>
      </c>
      <c r="AP88" s="1">
        <v>2394</v>
      </c>
      <c r="AQ88" s="1">
        <v>50.4</v>
      </c>
      <c r="AR88" s="1">
        <v>159.30000000000001</v>
      </c>
      <c r="AS88" s="1">
        <v>144.5</v>
      </c>
      <c r="AT88" s="1">
        <v>146</v>
      </c>
      <c r="AU88" s="1">
        <v>178</v>
      </c>
      <c r="AV88" s="1">
        <v>-47</v>
      </c>
      <c r="AW88" s="1">
        <v>1588</v>
      </c>
      <c r="AX88" s="1">
        <v>1590</v>
      </c>
      <c r="AY88" s="1">
        <v>50</v>
      </c>
      <c r="AZ88" s="1">
        <v>553</v>
      </c>
      <c r="BA88" s="1">
        <v>513</v>
      </c>
      <c r="BB88" s="1">
        <v>51.9</v>
      </c>
      <c r="BC88" s="1">
        <v>54</v>
      </c>
      <c r="BD88" s="1">
        <v>8.9</v>
      </c>
      <c r="BE88" s="1">
        <v>55</v>
      </c>
      <c r="BF88" s="1">
        <v>9.6999999999999993</v>
      </c>
    </row>
    <row r="89" spans="1:58" x14ac:dyDescent="0.35">
      <c r="A89" t="s">
        <v>90</v>
      </c>
      <c r="B89">
        <v>24</v>
      </c>
      <c r="C89" t="s">
        <v>86</v>
      </c>
      <c r="D89" s="1">
        <v>0</v>
      </c>
      <c r="E89" s="1">
        <v>29.4</v>
      </c>
      <c r="F89" s="1">
        <v>82</v>
      </c>
      <c r="G89" s="1">
        <v>34</v>
      </c>
      <c r="H89" s="1">
        <v>35</v>
      </c>
      <c r="I89" s="1">
        <v>13</v>
      </c>
      <c r="J89" s="1">
        <v>81</v>
      </c>
      <c r="K89" s="1">
        <v>0.49399999999999999</v>
      </c>
      <c r="L89" s="1">
        <v>214</v>
      </c>
      <c r="M89" s="1">
        <v>232</v>
      </c>
      <c r="N89" s="1">
        <v>3</v>
      </c>
      <c r="O89" s="1">
        <v>4</v>
      </c>
      <c r="P89" s="1">
        <v>-0.26</v>
      </c>
      <c r="Q89" s="1">
        <v>-0.03</v>
      </c>
      <c r="R89" s="1">
        <v>2.61</v>
      </c>
      <c r="S89" s="1">
        <v>2.83</v>
      </c>
      <c r="T89" s="1">
        <v>50</v>
      </c>
      <c r="U89" s="1">
        <v>242</v>
      </c>
      <c r="V89" s="1">
        <v>20.66</v>
      </c>
      <c r="W89" s="1">
        <v>47</v>
      </c>
      <c r="X89" s="1">
        <v>222</v>
      </c>
      <c r="Y89" s="1">
        <v>78.83</v>
      </c>
      <c r="Z89" s="1">
        <v>6</v>
      </c>
      <c r="AA89" s="1">
        <v>9</v>
      </c>
      <c r="AB89" s="1">
        <v>8</v>
      </c>
      <c r="AC89" s="1">
        <v>8.1</v>
      </c>
      <c r="AD89" s="1">
        <v>2347</v>
      </c>
      <c r="AE89" s="1">
        <v>9.1</v>
      </c>
      <c r="AF89" s="1">
        <v>2391</v>
      </c>
      <c r="AG89" s="1">
        <v>0.90300000000000002</v>
      </c>
      <c r="AH89" s="1">
        <v>5</v>
      </c>
      <c r="AI89" s="1">
        <v>7.5</v>
      </c>
      <c r="AJ89" s="1">
        <v>0.93</v>
      </c>
      <c r="AK89" s="1">
        <v>100.5</v>
      </c>
      <c r="AL89" s="1">
        <v>3845</v>
      </c>
      <c r="AM89" s="1">
        <v>3540</v>
      </c>
      <c r="AN89" s="1">
        <v>52.1</v>
      </c>
      <c r="AO89" s="1">
        <v>2986</v>
      </c>
      <c r="AP89" s="1">
        <v>2657</v>
      </c>
      <c r="AQ89" s="1">
        <v>52.9</v>
      </c>
      <c r="AR89" s="1">
        <v>198.7</v>
      </c>
      <c r="AS89" s="1">
        <v>174.7</v>
      </c>
      <c r="AT89" s="1">
        <v>180</v>
      </c>
      <c r="AU89" s="1">
        <v>153</v>
      </c>
      <c r="AV89" s="1">
        <v>3</v>
      </c>
      <c r="AW89" s="1">
        <v>1900</v>
      </c>
      <c r="AX89" s="1">
        <v>1650</v>
      </c>
      <c r="AY89" s="1">
        <v>53.5</v>
      </c>
      <c r="AZ89" s="1">
        <v>550</v>
      </c>
      <c r="BA89" s="1">
        <v>524</v>
      </c>
      <c r="BB89" s="1">
        <v>51.2</v>
      </c>
      <c r="BC89" s="1">
        <v>80</v>
      </c>
      <c r="BD89" s="1">
        <v>12.7</v>
      </c>
      <c r="BE89" s="1">
        <v>69</v>
      </c>
      <c r="BF89" s="1">
        <v>11.6</v>
      </c>
    </row>
    <row r="90" spans="1:58" x14ac:dyDescent="0.35">
      <c r="A90" t="s">
        <v>90</v>
      </c>
      <c r="B90">
        <v>25</v>
      </c>
      <c r="C90" t="s">
        <v>62</v>
      </c>
      <c r="D90" s="1">
        <v>0</v>
      </c>
      <c r="E90" s="1">
        <v>29.2</v>
      </c>
      <c r="F90" s="1">
        <v>82</v>
      </c>
      <c r="G90" s="1">
        <v>38</v>
      </c>
      <c r="H90" s="1">
        <v>39</v>
      </c>
      <c r="I90" s="1">
        <v>5</v>
      </c>
      <c r="J90" s="1">
        <v>81</v>
      </c>
      <c r="K90" s="1">
        <v>0.49399999999999999</v>
      </c>
      <c r="L90" s="1">
        <v>253</v>
      </c>
      <c r="M90" s="1">
        <v>267</v>
      </c>
      <c r="N90" s="1">
        <v>0</v>
      </c>
      <c r="O90" s="1">
        <v>4</v>
      </c>
      <c r="P90" s="1">
        <v>-0.2</v>
      </c>
      <c r="Q90" s="1">
        <v>0.02</v>
      </c>
      <c r="R90" s="1">
        <v>3.09</v>
      </c>
      <c r="S90" s="1">
        <v>3.26</v>
      </c>
      <c r="T90" s="1">
        <v>45</v>
      </c>
      <c r="U90" s="1">
        <v>252</v>
      </c>
      <c r="V90" s="1">
        <v>17.86</v>
      </c>
      <c r="W90" s="1">
        <v>47</v>
      </c>
      <c r="X90" s="1">
        <v>245</v>
      </c>
      <c r="Y90" s="1">
        <v>80.819999999999993</v>
      </c>
      <c r="Z90" s="1">
        <v>11</v>
      </c>
      <c r="AA90" s="1">
        <v>11</v>
      </c>
      <c r="AB90" s="1">
        <v>9.4</v>
      </c>
      <c r="AC90" s="1">
        <v>9.1999999999999993</v>
      </c>
      <c r="AD90" s="1">
        <v>2572</v>
      </c>
      <c r="AE90" s="1">
        <v>9.8000000000000007</v>
      </c>
      <c r="AF90" s="1">
        <v>2438</v>
      </c>
      <c r="AG90" s="1">
        <v>0.89</v>
      </c>
      <c r="AH90" s="1">
        <v>2</v>
      </c>
      <c r="AI90" s="1">
        <v>7.2</v>
      </c>
      <c r="AJ90" s="1">
        <v>0.92200000000000004</v>
      </c>
      <c r="AK90" s="1">
        <v>99.4</v>
      </c>
      <c r="AL90" s="1">
        <v>4030</v>
      </c>
      <c r="AM90" s="1">
        <v>3719</v>
      </c>
      <c r="AN90" s="1">
        <v>52</v>
      </c>
      <c r="AO90" s="1">
        <v>3006</v>
      </c>
      <c r="AP90" s="1">
        <v>2767</v>
      </c>
      <c r="AQ90" s="1">
        <v>52.1</v>
      </c>
      <c r="AR90" s="1">
        <v>201.9</v>
      </c>
      <c r="AS90" s="1">
        <v>188.1</v>
      </c>
      <c r="AT90" s="1">
        <v>168</v>
      </c>
      <c r="AU90" s="1">
        <v>172</v>
      </c>
      <c r="AV90" s="1">
        <v>-18</v>
      </c>
      <c r="AW90" s="1">
        <v>2074</v>
      </c>
      <c r="AX90" s="1">
        <v>1834</v>
      </c>
      <c r="AY90" s="1">
        <v>53.1</v>
      </c>
      <c r="AZ90" s="1">
        <v>755</v>
      </c>
      <c r="BA90" s="1">
        <v>625</v>
      </c>
      <c r="BB90" s="1">
        <v>54.7</v>
      </c>
      <c r="BC90" s="1">
        <v>75</v>
      </c>
      <c r="BD90" s="1">
        <v>9</v>
      </c>
      <c r="BE90" s="1">
        <v>77</v>
      </c>
      <c r="BF90" s="1">
        <v>11</v>
      </c>
    </row>
    <row r="91" spans="1:58" x14ac:dyDescent="0.35">
      <c r="A91" t="s">
        <v>90</v>
      </c>
      <c r="B91">
        <v>26</v>
      </c>
      <c r="C91" t="s">
        <v>82</v>
      </c>
      <c r="D91" s="1">
        <v>0</v>
      </c>
      <c r="E91" s="1">
        <v>27</v>
      </c>
      <c r="F91" s="1">
        <v>82</v>
      </c>
      <c r="G91" s="1">
        <v>37</v>
      </c>
      <c r="H91" s="1">
        <v>41</v>
      </c>
      <c r="I91" s="1">
        <v>4</v>
      </c>
      <c r="J91" s="1">
        <v>78</v>
      </c>
      <c r="K91" s="1">
        <v>0.47599999999999998</v>
      </c>
      <c r="L91" s="1">
        <v>250</v>
      </c>
      <c r="M91" s="1">
        <v>281</v>
      </c>
      <c r="N91" s="1">
        <v>5</v>
      </c>
      <c r="O91" s="1">
        <v>0</v>
      </c>
      <c r="P91" s="1">
        <v>-0.28000000000000003</v>
      </c>
      <c r="Q91" s="1">
        <v>0.04</v>
      </c>
      <c r="R91" s="1">
        <v>3.05</v>
      </c>
      <c r="S91" s="1">
        <v>3.43</v>
      </c>
      <c r="T91" s="1">
        <v>51</v>
      </c>
      <c r="U91" s="1">
        <v>283</v>
      </c>
      <c r="V91" s="1">
        <v>18.02</v>
      </c>
      <c r="W91" s="1">
        <v>61</v>
      </c>
      <c r="X91" s="1">
        <v>245</v>
      </c>
      <c r="Y91" s="1">
        <v>75.099999999999994</v>
      </c>
      <c r="Z91" s="1">
        <v>7</v>
      </c>
      <c r="AA91" s="1">
        <v>6</v>
      </c>
      <c r="AB91" s="1">
        <v>10.4</v>
      </c>
      <c r="AC91" s="1">
        <v>11.1</v>
      </c>
      <c r="AD91" s="1">
        <v>2602</v>
      </c>
      <c r="AE91" s="1">
        <v>9.6</v>
      </c>
      <c r="AF91" s="1">
        <v>2432</v>
      </c>
      <c r="AG91" s="1">
        <v>0.88400000000000001</v>
      </c>
      <c r="AH91" s="1">
        <v>2</v>
      </c>
      <c r="AI91" s="1">
        <v>7.9</v>
      </c>
      <c r="AJ91" s="1">
        <v>0.91900000000000004</v>
      </c>
      <c r="AK91" s="1">
        <v>99.8</v>
      </c>
      <c r="AL91" s="1">
        <v>4190</v>
      </c>
      <c r="AM91" s="1">
        <v>3919</v>
      </c>
      <c r="AN91" s="1">
        <v>51.7</v>
      </c>
      <c r="AO91" s="1">
        <v>2998</v>
      </c>
      <c r="AP91" s="1">
        <v>2918</v>
      </c>
      <c r="AQ91" s="1">
        <v>50.7</v>
      </c>
      <c r="AR91" s="1">
        <v>184.6</v>
      </c>
      <c r="AS91" s="1">
        <v>171.3</v>
      </c>
      <c r="AT91" s="1">
        <v>179</v>
      </c>
      <c r="AU91" s="1">
        <v>172</v>
      </c>
      <c r="AV91" s="1">
        <v>-6</v>
      </c>
      <c r="AW91" s="1">
        <v>1925</v>
      </c>
      <c r="AX91" s="1">
        <v>1869</v>
      </c>
      <c r="AY91" s="1">
        <v>50.7</v>
      </c>
      <c r="AZ91" s="1">
        <v>705</v>
      </c>
      <c r="BA91" s="1">
        <v>623</v>
      </c>
      <c r="BB91" s="1">
        <v>53.1</v>
      </c>
      <c r="BC91" s="1">
        <v>71</v>
      </c>
      <c r="BD91" s="1">
        <v>9.1</v>
      </c>
      <c r="BE91" s="1">
        <v>73</v>
      </c>
      <c r="BF91" s="1">
        <v>10.5</v>
      </c>
    </row>
    <row r="92" spans="1:58" x14ac:dyDescent="0.35">
      <c r="A92" t="s">
        <v>90</v>
      </c>
      <c r="B92">
        <v>27</v>
      </c>
      <c r="C92" t="s">
        <v>87</v>
      </c>
      <c r="D92" s="1">
        <v>0</v>
      </c>
      <c r="E92" s="1">
        <v>26.7</v>
      </c>
      <c r="F92" s="1">
        <v>82</v>
      </c>
      <c r="G92" s="1">
        <v>36</v>
      </c>
      <c r="H92" s="1">
        <v>41</v>
      </c>
      <c r="I92" s="1">
        <v>5</v>
      </c>
      <c r="J92" s="1">
        <v>77</v>
      </c>
      <c r="K92" s="1">
        <v>0.47</v>
      </c>
      <c r="L92" s="1">
        <v>254</v>
      </c>
      <c r="M92" s="1">
        <v>274</v>
      </c>
      <c r="N92" s="1">
        <v>2</v>
      </c>
      <c r="O92" s="1">
        <v>0</v>
      </c>
      <c r="P92" s="1">
        <v>-0.21</v>
      </c>
      <c r="Q92" s="1">
        <v>0.01</v>
      </c>
      <c r="R92" s="1">
        <v>3.1</v>
      </c>
      <c r="S92" s="1">
        <v>3.34</v>
      </c>
      <c r="T92" s="1">
        <v>53</v>
      </c>
      <c r="U92" s="1">
        <v>241</v>
      </c>
      <c r="V92" s="1">
        <v>21.99</v>
      </c>
      <c r="W92" s="1">
        <v>63</v>
      </c>
      <c r="X92" s="1">
        <v>266</v>
      </c>
      <c r="Y92" s="1">
        <v>76.319999999999993</v>
      </c>
      <c r="Z92" s="1">
        <v>7</v>
      </c>
      <c r="AA92" s="1">
        <v>7</v>
      </c>
      <c r="AB92" s="1">
        <v>11.5</v>
      </c>
      <c r="AC92" s="1">
        <v>9.9</v>
      </c>
      <c r="AD92" s="1">
        <v>2273</v>
      </c>
      <c r="AE92" s="1">
        <v>11.2</v>
      </c>
      <c r="AF92" s="1">
        <v>2598</v>
      </c>
      <c r="AG92" s="1">
        <v>0.89500000000000002</v>
      </c>
      <c r="AH92" s="1">
        <v>7</v>
      </c>
      <c r="AI92" s="1">
        <v>8.1</v>
      </c>
      <c r="AJ92" s="1">
        <v>0.90500000000000003</v>
      </c>
      <c r="AK92" s="1">
        <v>98.6</v>
      </c>
      <c r="AL92" s="1">
        <v>3642</v>
      </c>
      <c r="AM92" s="1">
        <v>3506</v>
      </c>
      <c r="AN92" s="1">
        <v>51</v>
      </c>
      <c r="AO92" s="1">
        <v>2554</v>
      </c>
      <c r="AP92" s="1">
        <v>2611</v>
      </c>
      <c r="AQ92" s="1">
        <v>49.4</v>
      </c>
      <c r="AR92" s="1">
        <v>151.30000000000001</v>
      </c>
      <c r="AS92" s="1">
        <v>166.5</v>
      </c>
      <c r="AT92" s="1">
        <v>144</v>
      </c>
      <c r="AU92" s="1">
        <v>184</v>
      </c>
      <c r="AV92" s="1">
        <v>-25</v>
      </c>
      <c r="AW92" s="1">
        <v>1654</v>
      </c>
      <c r="AX92" s="1">
        <v>1758</v>
      </c>
      <c r="AY92" s="1">
        <v>48.5</v>
      </c>
      <c r="AZ92" s="1">
        <v>591</v>
      </c>
      <c r="BA92" s="1">
        <v>629</v>
      </c>
      <c r="BB92" s="1">
        <v>48.4</v>
      </c>
      <c r="BC92" s="1">
        <v>52</v>
      </c>
      <c r="BD92" s="1">
        <v>8.1</v>
      </c>
      <c r="BE92" s="1">
        <v>59</v>
      </c>
      <c r="BF92" s="1">
        <v>8.6</v>
      </c>
    </row>
    <row r="93" spans="1:58" x14ac:dyDescent="0.35">
      <c r="A93" t="s">
        <v>90</v>
      </c>
      <c r="B93">
        <v>28</v>
      </c>
      <c r="C93" t="s">
        <v>88</v>
      </c>
      <c r="D93" s="1">
        <v>0</v>
      </c>
      <c r="E93" s="1">
        <v>26.7</v>
      </c>
      <c r="F93" s="1">
        <v>82</v>
      </c>
      <c r="G93" s="1">
        <v>30</v>
      </c>
      <c r="H93" s="1">
        <v>36</v>
      </c>
      <c r="I93" s="1">
        <v>16</v>
      </c>
      <c r="J93" s="1">
        <v>76</v>
      </c>
      <c r="K93" s="1">
        <v>0.46300000000000002</v>
      </c>
      <c r="L93" s="1">
        <v>232</v>
      </c>
      <c r="M93" s="1">
        <v>281</v>
      </c>
      <c r="N93" s="1">
        <v>4</v>
      </c>
      <c r="O93" s="1">
        <v>8</v>
      </c>
      <c r="P93" s="1">
        <v>-0.59</v>
      </c>
      <c r="Q93" s="1">
        <v>0.05</v>
      </c>
      <c r="R93" s="1">
        <v>2.83</v>
      </c>
      <c r="S93" s="1">
        <v>3.43</v>
      </c>
      <c r="T93" s="1">
        <v>44</v>
      </c>
      <c r="U93" s="1">
        <v>252</v>
      </c>
      <c r="V93" s="1">
        <v>17.46</v>
      </c>
      <c r="W93" s="1">
        <v>65</v>
      </c>
      <c r="X93" s="1">
        <v>277</v>
      </c>
      <c r="Y93" s="1">
        <v>76.53</v>
      </c>
      <c r="Z93" s="1">
        <v>7</v>
      </c>
      <c r="AA93" s="1">
        <v>12</v>
      </c>
      <c r="AB93" s="1">
        <v>10.199999999999999</v>
      </c>
      <c r="AC93" s="1">
        <v>10</v>
      </c>
      <c r="AD93" s="1">
        <v>2269</v>
      </c>
      <c r="AE93" s="1">
        <v>10.199999999999999</v>
      </c>
      <c r="AF93" s="1">
        <v>2738</v>
      </c>
      <c r="AG93" s="1">
        <v>0.89700000000000002</v>
      </c>
      <c r="AH93" s="1">
        <v>2</v>
      </c>
      <c r="AI93" s="1">
        <v>7.1</v>
      </c>
      <c r="AJ93" s="1">
        <v>0.92</v>
      </c>
      <c r="AK93" s="1">
        <v>99.2</v>
      </c>
      <c r="AL93" s="1">
        <v>3404</v>
      </c>
      <c r="AM93" s="1">
        <v>4074</v>
      </c>
      <c r="AN93" s="1">
        <v>45.5</v>
      </c>
      <c r="AO93" s="1">
        <v>2576</v>
      </c>
      <c r="AP93" s="1">
        <v>2930</v>
      </c>
      <c r="AQ93" s="1">
        <v>46.8</v>
      </c>
      <c r="AR93" s="1">
        <v>160.5</v>
      </c>
      <c r="AS93" s="1">
        <v>180</v>
      </c>
      <c r="AT93" s="1">
        <v>142</v>
      </c>
      <c r="AU93" s="1">
        <v>179</v>
      </c>
      <c r="AV93" s="1">
        <v>-18</v>
      </c>
      <c r="AW93" s="1">
        <v>1658</v>
      </c>
      <c r="AX93" s="1">
        <v>1866</v>
      </c>
      <c r="AY93" s="1">
        <v>47</v>
      </c>
      <c r="AZ93" s="1">
        <v>548</v>
      </c>
      <c r="BA93" s="1">
        <v>556</v>
      </c>
      <c r="BB93" s="1">
        <v>49.6</v>
      </c>
      <c r="BC93" s="1">
        <v>63</v>
      </c>
      <c r="BD93" s="1">
        <v>10.3</v>
      </c>
      <c r="BE93" s="1">
        <v>69</v>
      </c>
      <c r="BF93" s="1">
        <v>11</v>
      </c>
    </row>
    <row r="94" spans="1:58" x14ac:dyDescent="0.35">
      <c r="A94" t="s">
        <v>90</v>
      </c>
      <c r="B94">
        <v>29</v>
      </c>
      <c r="C94" t="s">
        <v>77</v>
      </c>
      <c r="D94" s="1">
        <v>0</v>
      </c>
      <c r="E94" s="1">
        <v>26.8</v>
      </c>
      <c r="F94" s="1">
        <v>82</v>
      </c>
      <c r="G94" s="1">
        <v>27</v>
      </c>
      <c r="H94" s="1">
        <v>43</v>
      </c>
      <c r="I94" s="1">
        <v>12</v>
      </c>
      <c r="J94" s="1">
        <v>66</v>
      </c>
      <c r="K94" s="1">
        <v>0.40200000000000002</v>
      </c>
      <c r="L94" s="1">
        <v>234</v>
      </c>
      <c r="M94" s="1">
        <v>298</v>
      </c>
      <c r="N94" s="1">
        <v>3</v>
      </c>
      <c r="O94" s="1">
        <v>2</v>
      </c>
      <c r="P94" s="1">
        <v>-0.72</v>
      </c>
      <c r="Q94" s="1">
        <v>0.05</v>
      </c>
      <c r="R94" s="1">
        <v>2.85</v>
      </c>
      <c r="S94" s="1">
        <v>3.63</v>
      </c>
      <c r="T94" s="1">
        <v>32</v>
      </c>
      <c r="U94" s="1">
        <v>212</v>
      </c>
      <c r="V94" s="1">
        <v>15.09</v>
      </c>
      <c r="W94" s="1">
        <v>56</v>
      </c>
      <c r="X94" s="1">
        <v>236</v>
      </c>
      <c r="Y94" s="1">
        <v>76.27</v>
      </c>
      <c r="Z94" s="1">
        <v>5</v>
      </c>
      <c r="AA94" s="1">
        <v>6</v>
      </c>
      <c r="AB94" s="1">
        <v>8.1999999999999993</v>
      </c>
      <c r="AC94" s="1">
        <v>7.6</v>
      </c>
      <c r="AD94" s="1">
        <v>2458</v>
      </c>
      <c r="AE94" s="1">
        <v>9.5</v>
      </c>
      <c r="AF94" s="1">
        <v>2822</v>
      </c>
      <c r="AG94" s="1">
        <v>0.89400000000000002</v>
      </c>
      <c r="AH94" s="1">
        <v>1</v>
      </c>
      <c r="AI94" s="1">
        <v>8.1999999999999993</v>
      </c>
      <c r="AJ94" s="1">
        <v>0.90200000000000002</v>
      </c>
      <c r="AK94" s="1">
        <v>98.3</v>
      </c>
      <c r="AL94" s="1">
        <v>3622</v>
      </c>
      <c r="AM94" s="1">
        <v>3824</v>
      </c>
      <c r="AN94" s="1">
        <v>48.6</v>
      </c>
      <c r="AO94" s="1">
        <v>2659</v>
      </c>
      <c r="AP94" s="1">
        <v>2834</v>
      </c>
      <c r="AQ94" s="1">
        <v>48.4</v>
      </c>
      <c r="AR94" s="1">
        <v>179.7</v>
      </c>
      <c r="AS94" s="1">
        <v>187</v>
      </c>
      <c r="AT94" s="1">
        <v>168</v>
      </c>
      <c r="AU94" s="1">
        <v>220</v>
      </c>
      <c r="AV94" s="1">
        <v>-45</v>
      </c>
      <c r="AW94" s="1">
        <v>1922</v>
      </c>
      <c r="AX94" s="1">
        <v>2009</v>
      </c>
      <c r="AY94" s="1">
        <v>48.9</v>
      </c>
      <c r="AZ94" s="1">
        <v>666</v>
      </c>
      <c r="BA94" s="1">
        <v>656</v>
      </c>
      <c r="BB94" s="1">
        <v>50.4</v>
      </c>
      <c r="BC94" s="1">
        <v>70</v>
      </c>
      <c r="BD94" s="1">
        <v>9.5</v>
      </c>
      <c r="BE94" s="1">
        <v>94</v>
      </c>
      <c r="BF94" s="1">
        <v>12.5</v>
      </c>
    </row>
    <row r="95" spans="1:58" x14ac:dyDescent="0.35">
      <c r="A95" t="s">
        <v>90</v>
      </c>
      <c r="B95">
        <v>30</v>
      </c>
      <c r="C95" t="s">
        <v>79</v>
      </c>
      <c r="D95" s="1">
        <v>0</v>
      </c>
      <c r="E95" s="1">
        <v>27.7</v>
      </c>
      <c r="F95" s="1">
        <v>82</v>
      </c>
      <c r="G95" s="1">
        <v>27</v>
      </c>
      <c r="H95" s="1">
        <v>50</v>
      </c>
      <c r="I95" s="1">
        <v>5</v>
      </c>
      <c r="J95" s="1">
        <v>59</v>
      </c>
      <c r="K95" s="1">
        <v>0.36</v>
      </c>
      <c r="L95" s="1">
        <v>203</v>
      </c>
      <c r="M95" s="1">
        <v>293</v>
      </c>
      <c r="N95" s="1">
        <v>1</v>
      </c>
      <c r="O95" s="1">
        <v>2</v>
      </c>
      <c r="P95" s="1">
        <v>-1.0900000000000001</v>
      </c>
      <c r="Q95" s="1">
        <v>0.02</v>
      </c>
      <c r="R95" s="1">
        <v>2.48</v>
      </c>
      <c r="S95" s="1">
        <v>3.57</v>
      </c>
      <c r="T95" s="1">
        <v>43</v>
      </c>
      <c r="U95" s="1">
        <v>235</v>
      </c>
      <c r="V95" s="1">
        <v>18.3</v>
      </c>
      <c r="W95" s="1">
        <v>91</v>
      </c>
      <c r="X95" s="1">
        <v>330</v>
      </c>
      <c r="Y95" s="1">
        <v>72.42</v>
      </c>
      <c r="Z95" s="1">
        <v>12</v>
      </c>
      <c r="AA95" s="1">
        <v>5</v>
      </c>
      <c r="AB95" s="1">
        <v>13.5</v>
      </c>
      <c r="AC95" s="1">
        <v>10.9</v>
      </c>
      <c r="AD95" s="1">
        <v>2194</v>
      </c>
      <c r="AE95" s="1">
        <v>9.3000000000000007</v>
      </c>
      <c r="AF95" s="1">
        <v>2666</v>
      </c>
      <c r="AG95" s="1">
        <v>0.89</v>
      </c>
      <c r="AH95" s="1">
        <v>1</v>
      </c>
      <c r="AI95" s="1">
        <v>6.6</v>
      </c>
      <c r="AJ95" s="1">
        <v>0.90900000000000003</v>
      </c>
      <c r="AK95" s="1">
        <v>97.5</v>
      </c>
      <c r="AL95" s="1">
        <v>3565</v>
      </c>
      <c r="AM95" s="1">
        <v>4464</v>
      </c>
      <c r="AN95" s="1">
        <v>44.4</v>
      </c>
      <c r="AO95" s="1">
        <v>2490</v>
      </c>
      <c r="AP95" s="1">
        <v>3267</v>
      </c>
      <c r="AQ95" s="1">
        <v>43.3</v>
      </c>
      <c r="AR95" s="1">
        <v>135.80000000000001</v>
      </c>
      <c r="AS95" s="1">
        <v>210.9</v>
      </c>
      <c r="AT95" s="1">
        <v>119</v>
      </c>
      <c r="AU95" s="1">
        <v>226</v>
      </c>
      <c r="AV95" s="1">
        <v>-32</v>
      </c>
      <c r="AW95" s="1">
        <v>1535</v>
      </c>
      <c r="AX95" s="1">
        <v>2202</v>
      </c>
      <c r="AY95" s="1">
        <v>41.1</v>
      </c>
      <c r="AZ95" s="1">
        <v>559</v>
      </c>
      <c r="BA95" s="1">
        <v>751</v>
      </c>
      <c r="BB95" s="1">
        <v>42.7</v>
      </c>
      <c r="BC95" s="1">
        <v>44</v>
      </c>
      <c r="BD95" s="1">
        <v>7.3</v>
      </c>
      <c r="BE95" s="1">
        <v>82</v>
      </c>
      <c r="BF95" s="1">
        <v>9.8000000000000007</v>
      </c>
    </row>
    <row r="96" spans="1:58" x14ac:dyDescent="0.35">
      <c r="A96" t="s">
        <v>90</v>
      </c>
      <c r="B96">
        <v>31</v>
      </c>
      <c r="C96" t="s">
        <v>83</v>
      </c>
      <c r="D96" s="1">
        <v>0</v>
      </c>
      <c r="E96" s="1">
        <v>27.4</v>
      </c>
      <c r="F96" s="1">
        <v>82</v>
      </c>
      <c r="G96" s="1">
        <v>23</v>
      </c>
      <c r="H96" s="1">
        <v>53</v>
      </c>
      <c r="I96" s="1">
        <v>6</v>
      </c>
      <c r="J96" s="1">
        <v>52</v>
      </c>
      <c r="K96" s="1">
        <v>0.317</v>
      </c>
      <c r="L96" s="1">
        <v>178</v>
      </c>
      <c r="M96" s="1">
        <v>289</v>
      </c>
      <c r="N96" s="1">
        <v>1</v>
      </c>
      <c r="O96" s="1">
        <v>1</v>
      </c>
      <c r="P96" s="1">
        <v>-1.29</v>
      </c>
      <c r="Q96" s="1">
        <v>0.06</v>
      </c>
      <c r="R96" s="1">
        <v>2.17</v>
      </c>
      <c r="S96" s="1">
        <v>3.52</v>
      </c>
      <c r="T96" s="1">
        <v>39</v>
      </c>
      <c r="U96" s="1">
        <v>235</v>
      </c>
      <c r="V96" s="1">
        <v>16.600000000000001</v>
      </c>
      <c r="W96" s="1">
        <v>56</v>
      </c>
      <c r="X96" s="1">
        <v>231</v>
      </c>
      <c r="Y96" s="1">
        <v>75.760000000000005</v>
      </c>
      <c r="Z96" s="1">
        <v>3</v>
      </c>
      <c r="AA96" s="1">
        <v>8</v>
      </c>
      <c r="AB96" s="1">
        <v>8.6999999999999993</v>
      </c>
      <c r="AC96" s="1">
        <v>9.3000000000000007</v>
      </c>
      <c r="AD96" s="1">
        <v>2153</v>
      </c>
      <c r="AE96" s="1">
        <v>8.3000000000000007</v>
      </c>
      <c r="AF96" s="1">
        <v>2681</v>
      </c>
      <c r="AG96" s="1">
        <v>0.89200000000000002</v>
      </c>
      <c r="AH96" s="1">
        <v>1</v>
      </c>
      <c r="AI96" s="1">
        <v>7.8</v>
      </c>
      <c r="AJ96" s="1">
        <v>0.91100000000000003</v>
      </c>
      <c r="AK96" s="1">
        <v>98.9</v>
      </c>
      <c r="AL96" s="1">
        <v>3128</v>
      </c>
      <c r="AM96" s="1">
        <v>3634</v>
      </c>
      <c r="AN96" s="1">
        <v>46.3</v>
      </c>
      <c r="AO96" s="1">
        <v>2200</v>
      </c>
      <c r="AP96" s="1">
        <v>2626</v>
      </c>
      <c r="AQ96" s="1">
        <v>45.6</v>
      </c>
      <c r="AR96" s="1">
        <v>132.6</v>
      </c>
      <c r="AS96" s="1">
        <v>165.1</v>
      </c>
      <c r="AT96" s="1">
        <v>125</v>
      </c>
      <c r="AU96" s="1">
        <v>170</v>
      </c>
      <c r="AV96" s="1">
        <v>-13</v>
      </c>
      <c r="AW96" s="1">
        <v>1405</v>
      </c>
      <c r="AX96" s="1">
        <v>1733</v>
      </c>
      <c r="AY96" s="1">
        <v>44.8</v>
      </c>
      <c r="AZ96" s="1">
        <v>492</v>
      </c>
      <c r="BA96" s="1">
        <v>603</v>
      </c>
      <c r="BB96" s="1">
        <v>44.9</v>
      </c>
      <c r="BC96" s="1">
        <v>46</v>
      </c>
      <c r="BD96" s="1">
        <v>8.6</v>
      </c>
      <c r="BE96" s="1">
        <v>60</v>
      </c>
      <c r="BF96" s="1">
        <v>9</v>
      </c>
    </row>
    <row r="97" spans="1:58" x14ac:dyDescent="0.35">
      <c r="A97" t="s">
        <v>90</v>
      </c>
      <c r="B97">
        <v>32</v>
      </c>
      <c r="C97" t="s">
        <v>78</v>
      </c>
      <c r="D97" s="1">
        <v>0</v>
      </c>
      <c r="E97" s="1">
        <v>27.7</v>
      </c>
      <c r="F97" s="1">
        <v>82</v>
      </c>
      <c r="G97" s="1">
        <v>19</v>
      </c>
      <c r="H97" s="1">
        <v>54</v>
      </c>
      <c r="I97" s="1">
        <v>9</v>
      </c>
      <c r="J97" s="1">
        <v>47</v>
      </c>
      <c r="K97" s="1">
        <v>0.28699999999999998</v>
      </c>
      <c r="L97" s="1">
        <v>180</v>
      </c>
      <c r="M97" s="1">
        <v>326</v>
      </c>
      <c r="N97" s="1">
        <v>1</v>
      </c>
      <c r="O97" s="1">
        <v>5</v>
      </c>
      <c r="P97" s="1">
        <v>-1.78</v>
      </c>
      <c r="Q97" s="1">
        <v>0.05</v>
      </c>
      <c r="R97" s="1">
        <v>2.2000000000000002</v>
      </c>
      <c r="S97" s="1">
        <v>3.98</v>
      </c>
      <c r="T97" s="1">
        <v>42</v>
      </c>
      <c r="U97" s="1">
        <v>208</v>
      </c>
      <c r="V97" s="1">
        <v>20.190000000000001</v>
      </c>
      <c r="W97" s="1">
        <v>62</v>
      </c>
      <c r="X97" s="1">
        <v>252</v>
      </c>
      <c r="Y97" s="1">
        <v>75.400000000000006</v>
      </c>
      <c r="Z97" s="1">
        <v>3</v>
      </c>
      <c r="AA97" s="1">
        <v>8</v>
      </c>
      <c r="AB97" s="1">
        <v>9.5</v>
      </c>
      <c r="AC97" s="1">
        <v>8.1999999999999993</v>
      </c>
      <c r="AD97" s="1">
        <v>2069</v>
      </c>
      <c r="AE97" s="1">
        <v>8.6999999999999993</v>
      </c>
      <c r="AF97" s="1">
        <v>2881</v>
      </c>
      <c r="AG97" s="1">
        <v>0.88700000000000001</v>
      </c>
      <c r="AH97" s="1">
        <v>2</v>
      </c>
      <c r="AI97" s="1">
        <v>7.5</v>
      </c>
      <c r="AJ97" s="1">
        <v>0.90800000000000003</v>
      </c>
      <c r="AK97" s="1">
        <v>98.3</v>
      </c>
      <c r="AL97" s="1">
        <v>3508</v>
      </c>
      <c r="AM97" s="1">
        <v>3415</v>
      </c>
      <c r="AN97" s="1">
        <v>50.7</v>
      </c>
      <c r="AO97" s="1">
        <v>2615</v>
      </c>
      <c r="AP97" s="1">
        <v>2593</v>
      </c>
      <c r="AQ97" s="1">
        <v>50.2</v>
      </c>
      <c r="AR97" s="1">
        <v>160.19999999999999</v>
      </c>
      <c r="AS97" s="1">
        <v>160.30000000000001</v>
      </c>
      <c r="AT97" s="1">
        <v>152</v>
      </c>
      <c r="AU97" s="1">
        <v>188</v>
      </c>
      <c r="AV97" s="1">
        <v>-36</v>
      </c>
      <c r="AW97" s="1">
        <v>1612</v>
      </c>
      <c r="AX97" s="1">
        <v>1657</v>
      </c>
      <c r="AY97" s="1">
        <v>49.3</v>
      </c>
      <c r="AZ97" s="1">
        <v>474</v>
      </c>
      <c r="BA97" s="1">
        <v>514</v>
      </c>
      <c r="BB97" s="1">
        <v>48</v>
      </c>
      <c r="BC97" s="1">
        <v>45</v>
      </c>
      <c r="BD97" s="1">
        <v>8.6999999999999993</v>
      </c>
      <c r="BE97" s="1">
        <v>77</v>
      </c>
      <c r="BF97" s="1">
        <v>13</v>
      </c>
    </row>
    <row r="98" spans="1:58" x14ac:dyDescent="0.35">
      <c r="A98" t="s">
        <v>91</v>
      </c>
      <c r="B98">
        <v>1</v>
      </c>
      <c r="C98" t="s">
        <v>75</v>
      </c>
      <c r="D98" s="1">
        <v>1</v>
      </c>
      <c r="E98" s="1">
        <v>29.6</v>
      </c>
      <c r="F98" s="1">
        <v>73</v>
      </c>
      <c r="G98" s="1">
        <v>50</v>
      </c>
      <c r="H98" s="1">
        <v>19</v>
      </c>
      <c r="I98" s="1">
        <v>4</v>
      </c>
      <c r="J98" s="1">
        <v>104</v>
      </c>
      <c r="K98" s="1">
        <v>0.71199999999999997</v>
      </c>
      <c r="L98" s="1">
        <v>252</v>
      </c>
      <c r="M98" s="1">
        <v>171</v>
      </c>
      <c r="N98" s="1">
        <v>1</v>
      </c>
      <c r="O98" s="1">
        <v>1</v>
      </c>
      <c r="P98" s="1">
        <v>1.07</v>
      </c>
      <c r="Q98" s="1">
        <v>-0.04</v>
      </c>
      <c r="R98" s="1">
        <v>3.45</v>
      </c>
      <c r="S98" s="1">
        <v>2.34</v>
      </c>
      <c r="T98" s="1">
        <v>59</v>
      </c>
      <c r="U98" s="1">
        <v>196</v>
      </c>
      <c r="V98" s="1">
        <v>30.1</v>
      </c>
      <c r="W98" s="1">
        <v>38</v>
      </c>
      <c r="X98" s="1">
        <v>184</v>
      </c>
      <c r="Y98" s="1">
        <v>79.349999999999994</v>
      </c>
      <c r="Z98" s="1">
        <v>4</v>
      </c>
      <c r="AA98" s="1">
        <v>3</v>
      </c>
      <c r="AB98" s="1">
        <v>7.6</v>
      </c>
      <c r="AC98" s="1">
        <v>8.1999999999999993</v>
      </c>
      <c r="AD98" s="1">
        <v>2047</v>
      </c>
      <c r="AE98" s="1">
        <v>12.3</v>
      </c>
      <c r="AF98" s="1">
        <v>1989</v>
      </c>
      <c r="AG98" s="1">
        <v>0.91400000000000003</v>
      </c>
      <c r="AH98" s="1">
        <v>8</v>
      </c>
      <c r="AI98" s="1">
        <v>9.5</v>
      </c>
      <c r="AJ98" s="1">
        <v>0.91300000000000003</v>
      </c>
      <c r="AK98" s="1">
        <v>100.8</v>
      </c>
      <c r="AL98" s="1">
        <v>3759</v>
      </c>
      <c r="AM98" s="1">
        <v>3344</v>
      </c>
      <c r="AN98" s="1">
        <v>52.9</v>
      </c>
      <c r="AO98" s="1">
        <v>2842</v>
      </c>
      <c r="AP98" s="1">
        <v>2451</v>
      </c>
      <c r="AQ98" s="1">
        <v>53.7</v>
      </c>
      <c r="AR98" s="1">
        <v>178.1</v>
      </c>
      <c r="AS98" s="1">
        <v>154.5</v>
      </c>
      <c r="AT98" s="1">
        <v>209</v>
      </c>
      <c r="AU98" s="1">
        <v>160</v>
      </c>
      <c r="AV98" s="1">
        <v>25</v>
      </c>
      <c r="AW98" s="1">
        <v>1839</v>
      </c>
      <c r="AX98" s="1">
        <v>1701</v>
      </c>
      <c r="AY98" s="1">
        <v>51.9</v>
      </c>
      <c r="AZ98" s="1">
        <v>585</v>
      </c>
      <c r="BA98" s="1">
        <v>588</v>
      </c>
      <c r="BB98" s="1">
        <v>49.9</v>
      </c>
      <c r="BC98" s="1">
        <v>82</v>
      </c>
      <c r="BD98" s="1">
        <v>12.3</v>
      </c>
      <c r="BE98" s="1">
        <v>87</v>
      </c>
      <c r="BF98" s="1">
        <v>12.9</v>
      </c>
    </row>
    <row r="99" spans="1:58" x14ac:dyDescent="0.35">
      <c r="A99" t="s">
        <v>91</v>
      </c>
      <c r="B99">
        <v>2</v>
      </c>
      <c r="C99" t="s">
        <v>69</v>
      </c>
      <c r="D99" s="1">
        <v>1</v>
      </c>
      <c r="E99" s="1">
        <v>29.4</v>
      </c>
      <c r="F99" s="1">
        <v>72</v>
      </c>
      <c r="G99" s="1">
        <v>47</v>
      </c>
      <c r="H99" s="1">
        <v>16</v>
      </c>
      <c r="I99" s="1">
        <v>9</v>
      </c>
      <c r="J99" s="1">
        <v>103</v>
      </c>
      <c r="K99" s="1">
        <v>0.71499999999999997</v>
      </c>
      <c r="L99" s="1">
        <v>260</v>
      </c>
      <c r="M99" s="1">
        <v>185</v>
      </c>
      <c r="N99" s="1">
        <v>1</v>
      </c>
      <c r="O99" s="1">
        <v>3</v>
      </c>
      <c r="P99" s="1">
        <v>1</v>
      </c>
      <c r="Q99" s="1">
        <v>-0.02</v>
      </c>
      <c r="R99" s="1">
        <v>3.61</v>
      </c>
      <c r="S99" s="1">
        <v>2.57</v>
      </c>
      <c r="T99" s="1">
        <v>42</v>
      </c>
      <c r="U99" s="1">
        <v>195</v>
      </c>
      <c r="V99" s="1">
        <v>21.54</v>
      </c>
      <c r="W99" s="1">
        <v>36</v>
      </c>
      <c r="X99" s="1">
        <v>208</v>
      </c>
      <c r="Y99" s="1">
        <v>82.69</v>
      </c>
      <c r="Z99" s="1">
        <v>6</v>
      </c>
      <c r="AA99" s="1">
        <v>6</v>
      </c>
      <c r="AB99" s="1">
        <v>8.3000000000000007</v>
      </c>
      <c r="AC99" s="1">
        <v>8</v>
      </c>
      <c r="AD99" s="1">
        <v>1988</v>
      </c>
      <c r="AE99" s="1">
        <v>13.1</v>
      </c>
      <c r="AF99" s="1">
        <v>1953</v>
      </c>
      <c r="AG99" s="1">
        <v>0.90500000000000003</v>
      </c>
      <c r="AH99" s="1">
        <v>3</v>
      </c>
      <c r="AI99" s="1">
        <v>7.1</v>
      </c>
      <c r="AJ99" s="1">
        <v>0.92800000000000005</v>
      </c>
      <c r="AK99" s="1">
        <v>100</v>
      </c>
      <c r="AL99" s="1">
        <v>4033</v>
      </c>
      <c r="AM99" s="1">
        <v>3753</v>
      </c>
      <c r="AN99" s="1">
        <v>51.8</v>
      </c>
      <c r="AO99" s="1">
        <v>2763</v>
      </c>
      <c r="AP99" s="1">
        <v>2796</v>
      </c>
      <c r="AQ99" s="1">
        <v>49.7</v>
      </c>
      <c r="AR99" s="1">
        <v>155.1</v>
      </c>
      <c r="AS99" s="1">
        <v>148.1</v>
      </c>
      <c r="AT99" s="1">
        <v>144</v>
      </c>
      <c r="AU99" s="1">
        <v>146</v>
      </c>
      <c r="AV99" s="1">
        <v>-9</v>
      </c>
      <c r="AW99" s="1">
        <v>1790</v>
      </c>
      <c r="AX99" s="1">
        <v>1705</v>
      </c>
      <c r="AY99" s="1">
        <v>51.2</v>
      </c>
      <c r="AZ99" s="1">
        <v>598</v>
      </c>
      <c r="BA99" s="1">
        <v>583</v>
      </c>
      <c r="BB99" s="1">
        <v>50.6</v>
      </c>
      <c r="BC99" s="1">
        <v>46</v>
      </c>
      <c r="BD99" s="1">
        <v>7.1</v>
      </c>
      <c r="BE99" s="1">
        <v>52</v>
      </c>
      <c r="BF99" s="1">
        <v>8.1999999999999993</v>
      </c>
    </row>
    <row r="100" spans="1:58" x14ac:dyDescent="0.35">
      <c r="A100" t="s">
        <v>91</v>
      </c>
      <c r="B100">
        <v>3</v>
      </c>
      <c r="C100" t="s">
        <v>71</v>
      </c>
      <c r="D100" s="1">
        <v>1</v>
      </c>
      <c r="E100" s="1">
        <v>28.4</v>
      </c>
      <c r="F100" s="1">
        <v>72</v>
      </c>
      <c r="G100" s="1">
        <v>47</v>
      </c>
      <c r="H100" s="1">
        <v>21</v>
      </c>
      <c r="I100" s="1">
        <v>4</v>
      </c>
      <c r="J100" s="1">
        <v>98</v>
      </c>
      <c r="K100" s="1">
        <v>0.68100000000000005</v>
      </c>
      <c r="L100" s="1">
        <v>244</v>
      </c>
      <c r="M100" s="1">
        <v>185</v>
      </c>
      <c r="N100" s="1">
        <v>2</v>
      </c>
      <c r="O100" s="1">
        <v>2</v>
      </c>
      <c r="P100" s="1">
        <v>0.81</v>
      </c>
      <c r="Q100" s="1">
        <v>-0.01</v>
      </c>
      <c r="R100" s="1">
        <v>3.39</v>
      </c>
      <c r="S100" s="1">
        <v>2.57</v>
      </c>
      <c r="T100" s="1">
        <v>48</v>
      </c>
      <c r="U100" s="1">
        <v>214</v>
      </c>
      <c r="V100" s="1">
        <v>22.43</v>
      </c>
      <c r="W100" s="1">
        <v>31</v>
      </c>
      <c r="X100" s="1">
        <v>196</v>
      </c>
      <c r="Y100" s="1">
        <v>84.18</v>
      </c>
      <c r="Z100" s="1">
        <v>6</v>
      </c>
      <c r="AA100" s="1">
        <v>4</v>
      </c>
      <c r="AB100" s="1">
        <v>6.9</v>
      </c>
      <c r="AC100" s="1">
        <v>7.7</v>
      </c>
      <c r="AD100" s="1">
        <v>2062</v>
      </c>
      <c r="AE100" s="1">
        <v>11.8</v>
      </c>
      <c r="AF100" s="1">
        <v>2028</v>
      </c>
      <c r="AG100" s="1">
        <v>0.90900000000000003</v>
      </c>
      <c r="AH100" s="1">
        <v>4</v>
      </c>
      <c r="AI100" s="1">
        <v>8.6999999999999993</v>
      </c>
      <c r="AJ100" s="1">
        <v>0.91200000000000003</v>
      </c>
      <c r="AK100" s="1">
        <v>99.9</v>
      </c>
      <c r="AL100" s="1">
        <v>3428</v>
      </c>
      <c r="AM100" s="1">
        <v>3631</v>
      </c>
      <c r="AN100" s="1">
        <v>48.6</v>
      </c>
      <c r="AO100" s="1">
        <v>2475</v>
      </c>
      <c r="AP100" s="1">
        <v>2665</v>
      </c>
      <c r="AQ100" s="1">
        <v>48.2</v>
      </c>
      <c r="AR100" s="1">
        <v>136.9</v>
      </c>
      <c r="AS100" s="1">
        <v>153.4</v>
      </c>
      <c r="AT100" s="1">
        <v>151</v>
      </c>
      <c r="AU100" s="1">
        <v>163</v>
      </c>
      <c r="AV100" s="1">
        <v>5</v>
      </c>
      <c r="AW100" s="1">
        <v>1490</v>
      </c>
      <c r="AX100" s="1">
        <v>1649</v>
      </c>
      <c r="AY100" s="1">
        <v>47.5</v>
      </c>
      <c r="AZ100" s="1">
        <v>513</v>
      </c>
      <c r="BA100" s="1">
        <v>575</v>
      </c>
      <c r="BB100" s="1">
        <v>47.2</v>
      </c>
      <c r="BC100" s="1">
        <v>48</v>
      </c>
      <c r="BD100" s="1">
        <v>8.6</v>
      </c>
      <c r="BE100" s="1">
        <v>57</v>
      </c>
      <c r="BF100" s="1">
        <v>9</v>
      </c>
    </row>
    <row r="101" spans="1:58" x14ac:dyDescent="0.35">
      <c r="A101" t="s">
        <v>91</v>
      </c>
      <c r="B101">
        <v>4</v>
      </c>
      <c r="C101" t="s">
        <v>73</v>
      </c>
      <c r="D101" s="1">
        <v>1</v>
      </c>
      <c r="E101" s="1">
        <v>29.3</v>
      </c>
      <c r="F101" s="1">
        <v>72</v>
      </c>
      <c r="G101" s="1">
        <v>44</v>
      </c>
      <c r="H101" s="1">
        <v>20</v>
      </c>
      <c r="I101" s="1">
        <v>8</v>
      </c>
      <c r="J101" s="1">
        <v>96</v>
      </c>
      <c r="K101" s="1">
        <v>0.66700000000000004</v>
      </c>
      <c r="L101" s="1">
        <v>246</v>
      </c>
      <c r="M101" s="1">
        <v>191</v>
      </c>
      <c r="N101" s="1">
        <v>1</v>
      </c>
      <c r="O101" s="1">
        <v>3</v>
      </c>
      <c r="P101" s="1">
        <v>0.71</v>
      </c>
      <c r="Q101" s="1">
        <v>-0.03</v>
      </c>
      <c r="R101" s="1">
        <v>3.42</v>
      </c>
      <c r="S101" s="1">
        <v>2.65</v>
      </c>
      <c r="T101" s="1">
        <v>51</v>
      </c>
      <c r="U101" s="1">
        <v>168</v>
      </c>
      <c r="V101" s="1">
        <v>30.36</v>
      </c>
      <c r="W101" s="1">
        <v>35</v>
      </c>
      <c r="X101" s="1">
        <v>146</v>
      </c>
      <c r="Y101" s="1">
        <v>76.03</v>
      </c>
      <c r="Z101" s="1">
        <v>5</v>
      </c>
      <c r="AA101" s="1">
        <v>3</v>
      </c>
      <c r="AB101" s="1">
        <v>5.7</v>
      </c>
      <c r="AC101" s="1">
        <v>6.5</v>
      </c>
      <c r="AD101" s="1">
        <v>2188</v>
      </c>
      <c r="AE101" s="1">
        <v>11.2</v>
      </c>
      <c r="AF101" s="1">
        <v>1908</v>
      </c>
      <c r="AG101" s="1">
        <v>0.9</v>
      </c>
      <c r="AH101" s="1">
        <v>6</v>
      </c>
      <c r="AI101" s="1">
        <v>9.6</v>
      </c>
      <c r="AJ101" s="1">
        <v>0.92400000000000004</v>
      </c>
      <c r="AK101" s="1">
        <v>102</v>
      </c>
      <c r="AL101" s="1">
        <v>3270</v>
      </c>
      <c r="AM101" s="1">
        <v>3662</v>
      </c>
      <c r="AN101" s="1">
        <v>47.2</v>
      </c>
      <c r="AO101" s="1">
        <v>2528</v>
      </c>
      <c r="AP101" s="1">
        <v>2886</v>
      </c>
      <c r="AQ101" s="1">
        <v>46.7</v>
      </c>
      <c r="AR101" s="1">
        <v>182.1</v>
      </c>
      <c r="AS101" s="1">
        <v>188.6</v>
      </c>
      <c r="AT101" s="1">
        <v>199</v>
      </c>
      <c r="AU101" s="1">
        <v>170</v>
      </c>
      <c r="AV101" s="1">
        <v>36</v>
      </c>
      <c r="AW101" s="1">
        <v>1835</v>
      </c>
      <c r="AX101" s="1">
        <v>2002</v>
      </c>
      <c r="AY101" s="1">
        <v>47.8</v>
      </c>
      <c r="AZ101" s="1">
        <v>501</v>
      </c>
      <c r="BA101" s="1">
        <v>580</v>
      </c>
      <c r="BB101" s="1">
        <v>46.3</v>
      </c>
      <c r="BC101" s="1">
        <v>67</v>
      </c>
      <c r="BD101" s="1">
        <v>11.8</v>
      </c>
      <c r="BE101" s="1">
        <v>68</v>
      </c>
      <c r="BF101" s="1">
        <v>10.5</v>
      </c>
    </row>
    <row r="102" spans="1:58" x14ac:dyDescent="0.35">
      <c r="A102" t="s">
        <v>91</v>
      </c>
      <c r="B102">
        <v>5</v>
      </c>
      <c r="C102" t="s">
        <v>58</v>
      </c>
      <c r="D102" s="1">
        <v>1</v>
      </c>
      <c r="E102" s="1">
        <v>28.6</v>
      </c>
      <c r="F102" s="1">
        <v>73</v>
      </c>
      <c r="G102" s="1">
        <v>45</v>
      </c>
      <c r="H102" s="1">
        <v>25</v>
      </c>
      <c r="I102" s="1">
        <v>3</v>
      </c>
      <c r="J102" s="1">
        <v>93</v>
      </c>
      <c r="K102" s="1">
        <v>0.63700000000000001</v>
      </c>
      <c r="L102" s="1">
        <v>246</v>
      </c>
      <c r="M102" s="1">
        <v>204</v>
      </c>
      <c r="N102" s="1">
        <v>2</v>
      </c>
      <c r="O102" s="1">
        <v>2</v>
      </c>
      <c r="P102" s="1">
        <v>0.55000000000000004</v>
      </c>
      <c r="Q102" s="1">
        <v>-0.02</v>
      </c>
      <c r="R102" s="1">
        <v>3.37</v>
      </c>
      <c r="S102" s="1">
        <v>2.79</v>
      </c>
      <c r="T102" s="1">
        <v>54</v>
      </c>
      <c r="U102" s="1">
        <v>210</v>
      </c>
      <c r="V102" s="1">
        <v>25.71</v>
      </c>
      <c r="W102" s="1">
        <v>38</v>
      </c>
      <c r="X102" s="1">
        <v>182</v>
      </c>
      <c r="Y102" s="1">
        <v>79.12</v>
      </c>
      <c r="Z102" s="1">
        <v>5</v>
      </c>
      <c r="AA102" s="1">
        <v>5</v>
      </c>
      <c r="AB102" s="1">
        <v>6.8</v>
      </c>
      <c r="AC102" s="1">
        <v>7.3</v>
      </c>
      <c r="AD102" s="1">
        <v>2171</v>
      </c>
      <c r="AE102" s="1">
        <v>11.3</v>
      </c>
      <c r="AF102" s="1">
        <v>1892</v>
      </c>
      <c r="AG102" s="1">
        <v>0.89200000000000002</v>
      </c>
      <c r="AH102" s="1">
        <v>5</v>
      </c>
      <c r="AI102" s="1">
        <v>8.8000000000000007</v>
      </c>
      <c r="AJ102" s="1">
        <v>0.91700000000000004</v>
      </c>
      <c r="AK102" s="1">
        <v>100.5</v>
      </c>
      <c r="AL102" s="1">
        <v>3326</v>
      </c>
      <c r="AM102" s="1">
        <v>3893</v>
      </c>
      <c r="AN102" s="1">
        <v>46.1</v>
      </c>
      <c r="AO102" s="1">
        <v>2527</v>
      </c>
      <c r="AP102" s="1">
        <v>2922</v>
      </c>
      <c r="AQ102" s="1">
        <v>46.4</v>
      </c>
      <c r="AR102" s="1">
        <v>174.3</v>
      </c>
      <c r="AS102" s="1">
        <v>202.5</v>
      </c>
      <c r="AT102" s="1">
        <v>180</v>
      </c>
      <c r="AU102" s="1">
        <v>188</v>
      </c>
      <c r="AV102" s="1">
        <v>20</v>
      </c>
      <c r="AW102" s="1">
        <v>1716</v>
      </c>
      <c r="AX102" s="1">
        <v>2058</v>
      </c>
      <c r="AY102" s="1">
        <v>45.5</v>
      </c>
      <c r="AZ102" s="1">
        <v>488</v>
      </c>
      <c r="BA102" s="1">
        <v>690</v>
      </c>
      <c r="BB102" s="1">
        <v>41.4</v>
      </c>
      <c r="BC102" s="1">
        <v>67</v>
      </c>
      <c r="BD102" s="1">
        <v>12.1</v>
      </c>
      <c r="BE102" s="1">
        <v>91</v>
      </c>
      <c r="BF102" s="1">
        <v>11.7</v>
      </c>
    </row>
    <row r="103" spans="1:58" x14ac:dyDescent="0.35">
      <c r="A103" t="s">
        <v>91</v>
      </c>
      <c r="B103">
        <v>6</v>
      </c>
      <c r="C103" t="s">
        <v>59</v>
      </c>
      <c r="D103" s="1">
        <v>1</v>
      </c>
      <c r="E103" s="1">
        <v>29.6</v>
      </c>
      <c r="F103" s="1">
        <v>72</v>
      </c>
      <c r="G103" s="1">
        <v>44</v>
      </c>
      <c r="H103" s="1">
        <v>24</v>
      </c>
      <c r="I103" s="1">
        <v>4</v>
      </c>
      <c r="J103" s="1">
        <v>92</v>
      </c>
      <c r="K103" s="1">
        <v>0.63900000000000001</v>
      </c>
      <c r="L103" s="1">
        <v>232</v>
      </c>
      <c r="M103" s="1">
        <v>190</v>
      </c>
      <c r="N103" s="1">
        <v>0</v>
      </c>
      <c r="O103" s="1">
        <v>2</v>
      </c>
      <c r="P103" s="1">
        <v>0.54</v>
      </c>
      <c r="Q103" s="1">
        <v>-0.01</v>
      </c>
      <c r="R103" s="1">
        <v>3.22</v>
      </c>
      <c r="S103" s="1">
        <v>2.64</v>
      </c>
      <c r="T103" s="1">
        <v>40</v>
      </c>
      <c r="U103" s="1">
        <v>218</v>
      </c>
      <c r="V103" s="1">
        <v>18.350000000000001</v>
      </c>
      <c r="W103" s="1">
        <v>32</v>
      </c>
      <c r="X103" s="1">
        <v>210</v>
      </c>
      <c r="Y103" s="1">
        <v>84.76</v>
      </c>
      <c r="Z103" s="1">
        <v>9</v>
      </c>
      <c r="AA103" s="1">
        <v>4</v>
      </c>
      <c r="AB103" s="1">
        <v>7</v>
      </c>
      <c r="AC103" s="1">
        <v>7.5</v>
      </c>
      <c r="AD103" s="1">
        <v>2282</v>
      </c>
      <c r="AE103" s="1">
        <v>10.199999999999999</v>
      </c>
      <c r="AF103" s="1">
        <v>1793</v>
      </c>
      <c r="AG103" s="1">
        <v>0.89400000000000002</v>
      </c>
      <c r="AH103" s="1">
        <v>5</v>
      </c>
      <c r="AI103" s="1">
        <v>7.7</v>
      </c>
      <c r="AJ103" s="1">
        <v>0.92700000000000005</v>
      </c>
      <c r="AK103" s="1">
        <v>100.4</v>
      </c>
      <c r="AL103" s="1">
        <v>3469</v>
      </c>
      <c r="AM103" s="1">
        <v>4088</v>
      </c>
      <c r="AN103" s="1">
        <v>45.9</v>
      </c>
      <c r="AO103" s="1">
        <v>2548</v>
      </c>
      <c r="AP103" s="1">
        <v>3055</v>
      </c>
      <c r="AQ103" s="1">
        <v>45.5</v>
      </c>
      <c r="AR103" s="1">
        <v>157.5</v>
      </c>
      <c r="AS103" s="1">
        <v>183.7</v>
      </c>
      <c r="AT103" s="1">
        <v>151</v>
      </c>
      <c r="AU103" s="1">
        <v>167</v>
      </c>
      <c r="AV103" s="1">
        <v>10</v>
      </c>
      <c r="AW103" s="1">
        <v>1617</v>
      </c>
      <c r="AX103" s="1">
        <v>1944</v>
      </c>
      <c r="AY103" s="1">
        <v>45.4</v>
      </c>
      <c r="AZ103" s="1">
        <v>543</v>
      </c>
      <c r="BA103" s="1">
        <v>680</v>
      </c>
      <c r="BB103" s="1">
        <v>44.4</v>
      </c>
      <c r="BC103" s="1">
        <v>54</v>
      </c>
      <c r="BD103" s="1">
        <v>9</v>
      </c>
      <c r="BE103" s="1">
        <v>67</v>
      </c>
      <c r="BF103" s="1">
        <v>9</v>
      </c>
    </row>
    <row r="104" spans="1:58" x14ac:dyDescent="0.35">
      <c r="A104" t="s">
        <v>91</v>
      </c>
      <c r="B104">
        <v>7</v>
      </c>
      <c r="C104" t="s">
        <v>57</v>
      </c>
      <c r="D104" s="1">
        <v>1</v>
      </c>
      <c r="E104" s="1">
        <v>29.5</v>
      </c>
      <c r="F104" s="1">
        <v>72</v>
      </c>
      <c r="G104" s="1">
        <v>44</v>
      </c>
      <c r="H104" s="1">
        <v>25</v>
      </c>
      <c r="I104" s="1">
        <v>3</v>
      </c>
      <c r="J104" s="1">
        <v>91</v>
      </c>
      <c r="K104" s="1">
        <v>0.63200000000000001</v>
      </c>
      <c r="L104" s="1">
        <v>226</v>
      </c>
      <c r="M104" s="1">
        <v>194</v>
      </c>
      <c r="N104" s="1">
        <v>5</v>
      </c>
      <c r="O104" s="1">
        <v>0</v>
      </c>
      <c r="P104" s="1">
        <v>0.5</v>
      </c>
      <c r="Q104" s="1">
        <v>-0.02</v>
      </c>
      <c r="R104" s="1">
        <v>3.14</v>
      </c>
      <c r="S104" s="1">
        <v>2.69</v>
      </c>
      <c r="T104" s="1">
        <v>52</v>
      </c>
      <c r="U104" s="1">
        <v>216</v>
      </c>
      <c r="V104" s="1">
        <v>24.07</v>
      </c>
      <c r="W104" s="1">
        <v>40</v>
      </c>
      <c r="X104" s="1">
        <v>213</v>
      </c>
      <c r="Y104" s="1">
        <v>81.22</v>
      </c>
      <c r="Z104" s="1">
        <v>12</v>
      </c>
      <c r="AA104" s="1">
        <v>8</v>
      </c>
      <c r="AB104" s="1">
        <v>9.8000000000000007</v>
      </c>
      <c r="AC104" s="1">
        <v>9.6999999999999993</v>
      </c>
      <c r="AD104" s="1">
        <v>2276</v>
      </c>
      <c r="AE104" s="1">
        <v>9.9</v>
      </c>
      <c r="AF104" s="1">
        <v>1906</v>
      </c>
      <c r="AG104" s="1">
        <v>0.89800000000000002</v>
      </c>
      <c r="AH104" s="1">
        <v>8</v>
      </c>
      <c r="AI104" s="1">
        <v>9</v>
      </c>
      <c r="AJ104" s="1">
        <v>0.92500000000000004</v>
      </c>
      <c r="AK104" s="1">
        <v>101.5</v>
      </c>
      <c r="AL104" s="1">
        <v>3354</v>
      </c>
      <c r="AM104" s="1">
        <v>3400</v>
      </c>
      <c r="AN104" s="1">
        <v>49.7</v>
      </c>
      <c r="AO104" s="1">
        <v>2345</v>
      </c>
      <c r="AP104" s="1">
        <v>2447</v>
      </c>
      <c r="AQ104" s="1">
        <v>48.9</v>
      </c>
      <c r="AR104" s="1">
        <v>155</v>
      </c>
      <c r="AS104" s="1">
        <v>137.6</v>
      </c>
      <c r="AT104" s="1">
        <v>159</v>
      </c>
      <c r="AU104" s="1">
        <v>133</v>
      </c>
      <c r="AV104" s="1">
        <v>9</v>
      </c>
      <c r="AW104" s="1">
        <v>1549</v>
      </c>
      <c r="AX104" s="1">
        <v>1591</v>
      </c>
      <c r="AY104" s="1">
        <v>49.3</v>
      </c>
      <c r="AZ104" s="1">
        <v>524</v>
      </c>
      <c r="BA104" s="1">
        <v>540</v>
      </c>
      <c r="BB104" s="1">
        <v>49.2</v>
      </c>
      <c r="BC104" s="1">
        <v>61</v>
      </c>
      <c r="BD104" s="1">
        <v>10.4</v>
      </c>
      <c r="BE104" s="1">
        <v>43</v>
      </c>
      <c r="BF104" s="1">
        <v>7.4</v>
      </c>
    </row>
    <row r="105" spans="1:58" x14ac:dyDescent="0.35">
      <c r="A105" t="s">
        <v>91</v>
      </c>
      <c r="B105">
        <v>8</v>
      </c>
      <c r="C105" t="s">
        <v>60</v>
      </c>
      <c r="D105" s="1">
        <v>1</v>
      </c>
      <c r="E105" s="1">
        <v>29.3</v>
      </c>
      <c r="F105" s="1">
        <v>72</v>
      </c>
      <c r="G105" s="1">
        <v>43</v>
      </c>
      <c r="H105" s="1">
        <v>25</v>
      </c>
      <c r="I105" s="1">
        <v>4</v>
      </c>
      <c r="J105" s="1">
        <v>90</v>
      </c>
      <c r="K105" s="1">
        <v>0.625</v>
      </c>
      <c r="L105" s="1">
        <v>235</v>
      </c>
      <c r="M105" s="1">
        <v>214</v>
      </c>
      <c r="N105" s="1">
        <v>1</v>
      </c>
      <c r="O105" s="1">
        <v>2</v>
      </c>
      <c r="P105" s="1">
        <v>0.25</v>
      </c>
      <c r="Q105" s="1">
        <v>-0.03</v>
      </c>
      <c r="R105" s="1">
        <v>3.26</v>
      </c>
      <c r="S105" s="1">
        <v>2.97</v>
      </c>
      <c r="T105" s="1">
        <v>52</v>
      </c>
      <c r="U105" s="1">
        <v>196</v>
      </c>
      <c r="V105" s="1">
        <v>26.53</v>
      </c>
      <c r="W105" s="1">
        <v>46</v>
      </c>
      <c r="X105" s="1">
        <v>210</v>
      </c>
      <c r="Y105" s="1">
        <v>78.099999999999994</v>
      </c>
      <c r="Z105" s="1">
        <v>5</v>
      </c>
      <c r="AA105" s="1">
        <v>7</v>
      </c>
      <c r="AB105" s="1">
        <v>7.9</v>
      </c>
      <c r="AC105" s="1">
        <v>7.5</v>
      </c>
      <c r="AD105" s="1">
        <v>2039</v>
      </c>
      <c r="AE105" s="1">
        <v>11.5</v>
      </c>
      <c r="AF105" s="1">
        <v>2105</v>
      </c>
      <c r="AG105" s="1">
        <v>0.89800000000000002</v>
      </c>
      <c r="AH105" s="1">
        <v>2</v>
      </c>
      <c r="AI105" s="1">
        <v>8.9</v>
      </c>
      <c r="AJ105" s="1">
        <v>0.92500000000000004</v>
      </c>
      <c r="AK105" s="1">
        <v>101.4</v>
      </c>
      <c r="AL105" s="1">
        <v>3459</v>
      </c>
      <c r="AM105" s="1">
        <v>3336</v>
      </c>
      <c r="AN105" s="1">
        <v>50.9</v>
      </c>
      <c r="AO105" s="1">
        <v>2659</v>
      </c>
      <c r="AP105" s="1">
        <v>2545</v>
      </c>
      <c r="AQ105" s="1">
        <v>51.1</v>
      </c>
      <c r="AR105" s="1">
        <v>181.2</v>
      </c>
      <c r="AS105" s="1">
        <v>168.5</v>
      </c>
      <c r="AT105" s="1">
        <v>183</v>
      </c>
      <c r="AU105" s="1">
        <v>149</v>
      </c>
      <c r="AV105" s="1">
        <v>21</v>
      </c>
      <c r="AW105" s="1">
        <v>1861</v>
      </c>
      <c r="AX105" s="1">
        <v>1730</v>
      </c>
      <c r="AY105" s="1">
        <v>51.8</v>
      </c>
      <c r="AZ105" s="1">
        <v>556</v>
      </c>
      <c r="BA105" s="1">
        <v>510</v>
      </c>
      <c r="BB105" s="1">
        <v>52.2</v>
      </c>
      <c r="BC105" s="1">
        <v>77</v>
      </c>
      <c r="BD105" s="1">
        <v>12.2</v>
      </c>
      <c r="BE105" s="1">
        <v>70</v>
      </c>
      <c r="BF105" s="1">
        <v>12.1</v>
      </c>
    </row>
    <row r="106" spans="1:58" x14ac:dyDescent="0.35">
      <c r="A106" t="s">
        <v>91</v>
      </c>
      <c r="B106">
        <v>9</v>
      </c>
      <c r="C106" t="s">
        <v>63</v>
      </c>
      <c r="D106" s="1">
        <v>1</v>
      </c>
      <c r="E106" s="1">
        <v>29.6</v>
      </c>
      <c r="F106" s="1">
        <v>72</v>
      </c>
      <c r="G106" s="1">
        <v>42</v>
      </c>
      <c r="H106" s="1">
        <v>25</v>
      </c>
      <c r="I106" s="1">
        <v>5</v>
      </c>
      <c r="J106" s="1">
        <v>89</v>
      </c>
      <c r="K106" s="1">
        <v>0.61799999999999999</v>
      </c>
      <c r="L106" s="1">
        <v>257</v>
      </c>
      <c r="M106" s="1">
        <v>190</v>
      </c>
      <c r="N106" s="1">
        <v>2</v>
      </c>
      <c r="O106" s="1">
        <v>2</v>
      </c>
      <c r="P106" s="1">
        <v>0.91</v>
      </c>
      <c r="Q106" s="1">
        <v>-0.03</v>
      </c>
      <c r="R106" s="1">
        <v>3.57</v>
      </c>
      <c r="S106" s="1">
        <v>2.64</v>
      </c>
      <c r="T106" s="1">
        <v>53</v>
      </c>
      <c r="U106" s="1">
        <v>204</v>
      </c>
      <c r="V106" s="1">
        <v>25.98</v>
      </c>
      <c r="W106" s="1">
        <v>32</v>
      </c>
      <c r="X106" s="1">
        <v>181</v>
      </c>
      <c r="Y106" s="1">
        <v>82.32</v>
      </c>
      <c r="Z106" s="1">
        <v>10</v>
      </c>
      <c r="AA106" s="1">
        <v>11</v>
      </c>
      <c r="AB106" s="1">
        <v>8.1999999999999993</v>
      </c>
      <c r="AC106" s="1">
        <v>9.1999999999999993</v>
      </c>
      <c r="AD106" s="1">
        <v>2076</v>
      </c>
      <c r="AE106" s="1">
        <v>12.4</v>
      </c>
      <c r="AF106" s="1">
        <v>2020</v>
      </c>
      <c r="AG106" s="1">
        <v>0.90600000000000003</v>
      </c>
      <c r="AH106" s="1">
        <v>7</v>
      </c>
      <c r="AI106" s="1">
        <v>8.1999999999999993</v>
      </c>
      <c r="AJ106" s="1">
        <v>0.92300000000000004</v>
      </c>
      <c r="AK106" s="1">
        <v>100.5</v>
      </c>
      <c r="AL106" s="1">
        <v>3736</v>
      </c>
      <c r="AM106" s="1">
        <v>3499</v>
      </c>
      <c r="AN106" s="1">
        <v>51.6</v>
      </c>
      <c r="AO106" s="1">
        <v>2795</v>
      </c>
      <c r="AP106" s="1">
        <v>2637</v>
      </c>
      <c r="AQ106" s="1">
        <v>51.5</v>
      </c>
      <c r="AR106" s="1">
        <v>196.1</v>
      </c>
      <c r="AS106" s="1">
        <v>187.7</v>
      </c>
      <c r="AT106" s="1">
        <v>175</v>
      </c>
      <c r="AU106" s="1">
        <v>162</v>
      </c>
      <c r="AV106" s="1">
        <v>5</v>
      </c>
      <c r="AW106" s="1">
        <v>1963</v>
      </c>
      <c r="AX106" s="1">
        <v>1854</v>
      </c>
      <c r="AY106" s="1">
        <v>51.4</v>
      </c>
      <c r="AZ106" s="1">
        <v>706</v>
      </c>
      <c r="BA106" s="1">
        <v>658</v>
      </c>
      <c r="BB106" s="1">
        <v>51.8</v>
      </c>
      <c r="BC106" s="1">
        <v>80</v>
      </c>
      <c r="BD106" s="1">
        <v>10.199999999999999</v>
      </c>
      <c r="BE106" s="1">
        <v>58</v>
      </c>
      <c r="BF106" s="1">
        <v>8.1</v>
      </c>
    </row>
    <row r="107" spans="1:58" x14ac:dyDescent="0.35">
      <c r="A107" t="s">
        <v>91</v>
      </c>
      <c r="B107">
        <v>10</v>
      </c>
      <c r="C107" t="s">
        <v>70</v>
      </c>
      <c r="D107" s="1">
        <v>1</v>
      </c>
      <c r="E107" s="1">
        <v>29.3</v>
      </c>
      <c r="F107" s="1">
        <v>71</v>
      </c>
      <c r="G107" s="1">
        <v>40</v>
      </c>
      <c r="H107" s="1">
        <v>22</v>
      </c>
      <c r="I107" s="1">
        <v>9</v>
      </c>
      <c r="J107" s="1">
        <v>89</v>
      </c>
      <c r="K107" s="1">
        <v>0.627</v>
      </c>
      <c r="L107" s="1">
        <v>205</v>
      </c>
      <c r="M107" s="1">
        <v>179</v>
      </c>
      <c r="N107" s="1">
        <v>1</v>
      </c>
      <c r="O107" s="1">
        <v>3</v>
      </c>
      <c r="P107" s="1">
        <v>0.32</v>
      </c>
      <c r="Q107" s="1">
        <v>-0.02</v>
      </c>
      <c r="R107" s="1">
        <v>2.89</v>
      </c>
      <c r="S107" s="1">
        <v>2.52</v>
      </c>
      <c r="T107" s="1">
        <v>27</v>
      </c>
      <c r="U107" s="1">
        <v>166</v>
      </c>
      <c r="V107" s="1">
        <v>16.27</v>
      </c>
      <c r="W107" s="1">
        <v>38</v>
      </c>
      <c r="X107" s="1">
        <v>204</v>
      </c>
      <c r="Y107" s="1">
        <v>81.37</v>
      </c>
      <c r="Z107" s="1">
        <v>4</v>
      </c>
      <c r="AA107" s="1">
        <v>4</v>
      </c>
      <c r="AB107" s="1">
        <v>7.8</v>
      </c>
      <c r="AC107" s="1">
        <v>7.1</v>
      </c>
      <c r="AD107" s="1">
        <v>1980</v>
      </c>
      <c r="AE107" s="1">
        <v>10.4</v>
      </c>
      <c r="AF107" s="1">
        <v>1802</v>
      </c>
      <c r="AG107" s="1">
        <v>0.90100000000000002</v>
      </c>
      <c r="AH107" s="1">
        <v>4</v>
      </c>
      <c r="AI107" s="1">
        <v>8.6</v>
      </c>
      <c r="AJ107" s="1">
        <v>0.90900000000000003</v>
      </c>
      <c r="AK107" s="1">
        <v>99.5</v>
      </c>
      <c r="AL107" s="1">
        <v>3845</v>
      </c>
      <c r="AM107" s="1">
        <v>3681</v>
      </c>
      <c r="AN107" s="1">
        <v>51.1</v>
      </c>
      <c r="AO107" s="1">
        <v>2674</v>
      </c>
      <c r="AP107" s="1">
        <v>2653</v>
      </c>
      <c r="AQ107" s="1">
        <v>50.2</v>
      </c>
      <c r="AR107" s="1">
        <v>167.7</v>
      </c>
      <c r="AS107" s="1">
        <v>166.6</v>
      </c>
      <c r="AT107" s="1">
        <v>171</v>
      </c>
      <c r="AU107" s="1">
        <v>190</v>
      </c>
      <c r="AV107" s="1">
        <v>-20</v>
      </c>
      <c r="AW107" s="1">
        <v>1786</v>
      </c>
      <c r="AX107" s="1">
        <v>1720</v>
      </c>
      <c r="AY107" s="1">
        <v>50.9</v>
      </c>
      <c r="AZ107" s="1">
        <v>614</v>
      </c>
      <c r="BA107" s="1">
        <v>622</v>
      </c>
      <c r="BB107" s="1">
        <v>49.7</v>
      </c>
      <c r="BC107" s="1">
        <v>69</v>
      </c>
      <c r="BD107" s="1">
        <v>10.1</v>
      </c>
      <c r="BE107" s="1">
        <v>74</v>
      </c>
      <c r="BF107" s="1">
        <v>10.6</v>
      </c>
    </row>
    <row r="108" spans="1:58" x14ac:dyDescent="0.35">
      <c r="A108" t="s">
        <v>91</v>
      </c>
      <c r="B108">
        <v>11</v>
      </c>
      <c r="C108" t="s">
        <v>61</v>
      </c>
      <c r="D108" s="1">
        <v>1</v>
      </c>
      <c r="E108" s="1">
        <v>29.6</v>
      </c>
      <c r="F108" s="1">
        <v>73</v>
      </c>
      <c r="G108" s="1">
        <v>41</v>
      </c>
      <c r="H108" s="1">
        <v>27</v>
      </c>
      <c r="I108" s="1">
        <v>5</v>
      </c>
      <c r="J108" s="1">
        <v>87</v>
      </c>
      <c r="K108" s="1">
        <v>0.59599999999999997</v>
      </c>
      <c r="L108" s="1">
        <v>197</v>
      </c>
      <c r="M108" s="1">
        <v>204</v>
      </c>
      <c r="N108" s="1">
        <v>3</v>
      </c>
      <c r="O108" s="1">
        <v>2</v>
      </c>
      <c r="P108" s="1">
        <v>-0.06</v>
      </c>
      <c r="Q108" s="1">
        <v>0.02</v>
      </c>
      <c r="R108" s="1">
        <v>2.7</v>
      </c>
      <c r="S108" s="1">
        <v>2.79</v>
      </c>
      <c r="T108" s="1">
        <v>38</v>
      </c>
      <c r="U108" s="1">
        <v>184</v>
      </c>
      <c r="V108" s="1">
        <v>20.65</v>
      </c>
      <c r="W108" s="1">
        <v>52</v>
      </c>
      <c r="X108" s="1">
        <v>184</v>
      </c>
      <c r="Y108" s="1">
        <v>71.739999999999995</v>
      </c>
      <c r="Z108" s="1">
        <v>3</v>
      </c>
      <c r="AA108" s="1">
        <v>4</v>
      </c>
      <c r="AB108" s="1">
        <v>7.6</v>
      </c>
      <c r="AC108" s="1">
        <v>7.6</v>
      </c>
      <c r="AD108" s="1">
        <v>1981</v>
      </c>
      <c r="AE108" s="1">
        <v>9.9</v>
      </c>
      <c r="AF108" s="1">
        <v>2169</v>
      </c>
      <c r="AG108" s="1">
        <v>0.90600000000000003</v>
      </c>
      <c r="AH108" s="1">
        <v>6</v>
      </c>
      <c r="AI108" s="1">
        <v>9.1</v>
      </c>
      <c r="AJ108" s="1">
        <v>0.92800000000000005</v>
      </c>
      <c r="AK108" s="1">
        <v>102</v>
      </c>
      <c r="AL108" s="1">
        <v>3407</v>
      </c>
      <c r="AM108" s="1">
        <v>3268</v>
      </c>
      <c r="AN108" s="1">
        <v>51</v>
      </c>
      <c r="AO108" s="1">
        <v>2447</v>
      </c>
      <c r="AP108" s="1">
        <v>2414</v>
      </c>
      <c r="AQ108" s="1">
        <v>50.3</v>
      </c>
      <c r="AR108" s="1">
        <v>163.19999999999999</v>
      </c>
      <c r="AS108" s="1">
        <v>150.19999999999999</v>
      </c>
      <c r="AT108" s="1">
        <v>163</v>
      </c>
      <c r="AU108" s="1">
        <v>128</v>
      </c>
      <c r="AV108" s="1">
        <v>22</v>
      </c>
      <c r="AW108" s="1">
        <v>1609</v>
      </c>
      <c r="AX108" s="1">
        <v>1545</v>
      </c>
      <c r="AY108" s="1">
        <v>51</v>
      </c>
      <c r="AZ108" s="1">
        <v>545</v>
      </c>
      <c r="BA108" s="1">
        <v>487</v>
      </c>
      <c r="BB108" s="1">
        <v>52.8</v>
      </c>
      <c r="BC108" s="1">
        <v>59</v>
      </c>
      <c r="BD108" s="1">
        <v>9.8000000000000007</v>
      </c>
      <c r="BE108" s="1">
        <v>31</v>
      </c>
      <c r="BF108" s="1">
        <v>6</v>
      </c>
    </row>
    <row r="109" spans="1:58" x14ac:dyDescent="0.35">
      <c r="A109" t="s">
        <v>91</v>
      </c>
      <c r="B109">
        <v>12</v>
      </c>
      <c r="C109" t="s">
        <v>67</v>
      </c>
      <c r="D109" s="1">
        <v>1</v>
      </c>
      <c r="E109" s="1">
        <v>30.4</v>
      </c>
      <c r="F109" s="1">
        <v>72</v>
      </c>
      <c r="G109" s="1">
        <v>41</v>
      </c>
      <c r="H109" s="1">
        <v>26</v>
      </c>
      <c r="I109" s="1">
        <v>5</v>
      </c>
      <c r="J109" s="1">
        <v>87</v>
      </c>
      <c r="K109" s="1">
        <v>0.60399999999999998</v>
      </c>
      <c r="L109" s="1">
        <v>233</v>
      </c>
      <c r="M109" s="1">
        <v>212</v>
      </c>
      <c r="N109" s="1">
        <v>0</v>
      </c>
      <c r="O109" s="1">
        <v>1</v>
      </c>
      <c r="P109" s="1">
        <v>0.27</v>
      </c>
      <c r="Q109" s="1">
        <v>0</v>
      </c>
      <c r="R109" s="1">
        <v>3.24</v>
      </c>
      <c r="S109" s="1">
        <v>2.94</v>
      </c>
      <c r="T109" s="1">
        <v>47</v>
      </c>
      <c r="U109" s="1">
        <v>185</v>
      </c>
      <c r="V109" s="1">
        <v>25.41</v>
      </c>
      <c r="W109" s="1">
        <v>42</v>
      </c>
      <c r="X109" s="1">
        <v>179</v>
      </c>
      <c r="Y109" s="1">
        <v>76.540000000000006</v>
      </c>
      <c r="Z109" s="1">
        <v>5</v>
      </c>
      <c r="AA109" s="1">
        <v>3</v>
      </c>
      <c r="AB109" s="1">
        <v>6.9</v>
      </c>
      <c r="AC109" s="1">
        <v>7.4</v>
      </c>
      <c r="AD109" s="1">
        <v>2316</v>
      </c>
      <c r="AE109" s="1">
        <v>10.1</v>
      </c>
      <c r="AF109" s="1">
        <v>1960</v>
      </c>
      <c r="AG109" s="1">
        <v>0.89200000000000002</v>
      </c>
      <c r="AH109" s="1">
        <v>3</v>
      </c>
      <c r="AI109" s="1">
        <v>8.6</v>
      </c>
      <c r="AJ109" s="1">
        <v>0.91500000000000004</v>
      </c>
      <c r="AK109" s="1">
        <v>100.2</v>
      </c>
      <c r="AL109" s="1">
        <v>3980</v>
      </c>
      <c r="AM109" s="1">
        <v>3469</v>
      </c>
      <c r="AN109" s="1">
        <v>53.4</v>
      </c>
      <c r="AO109" s="1">
        <v>3005</v>
      </c>
      <c r="AP109" s="1">
        <v>2663</v>
      </c>
      <c r="AQ109" s="1">
        <v>53</v>
      </c>
      <c r="AR109" s="1">
        <v>210.6</v>
      </c>
      <c r="AS109" s="1">
        <v>170.8</v>
      </c>
      <c r="AT109" s="1">
        <v>208</v>
      </c>
      <c r="AU109" s="1">
        <v>182</v>
      </c>
      <c r="AV109" s="1">
        <v>-14</v>
      </c>
      <c r="AW109" s="1">
        <v>2168</v>
      </c>
      <c r="AX109" s="1">
        <v>1803</v>
      </c>
      <c r="AY109" s="1">
        <v>54.6</v>
      </c>
      <c r="AZ109" s="1">
        <v>629</v>
      </c>
      <c r="BA109" s="1">
        <v>496</v>
      </c>
      <c r="BB109" s="1">
        <v>55.9</v>
      </c>
      <c r="BC109" s="1">
        <v>81</v>
      </c>
      <c r="BD109" s="1">
        <v>11.4</v>
      </c>
      <c r="BE109" s="1">
        <v>75</v>
      </c>
      <c r="BF109" s="1">
        <v>13.1</v>
      </c>
    </row>
    <row r="110" spans="1:58" x14ac:dyDescent="0.35">
      <c r="A110" t="s">
        <v>91</v>
      </c>
      <c r="B110">
        <v>13</v>
      </c>
      <c r="C110" t="s">
        <v>65</v>
      </c>
      <c r="D110" s="1">
        <v>1</v>
      </c>
      <c r="E110" s="1">
        <v>29.2</v>
      </c>
      <c r="F110" s="1">
        <v>74</v>
      </c>
      <c r="G110" s="1">
        <v>39</v>
      </c>
      <c r="H110" s="1">
        <v>28</v>
      </c>
      <c r="I110" s="1">
        <v>7</v>
      </c>
      <c r="J110" s="1">
        <v>85</v>
      </c>
      <c r="K110" s="1">
        <v>0.57399999999999995</v>
      </c>
      <c r="L110" s="1">
        <v>223</v>
      </c>
      <c r="M110" s="1">
        <v>210</v>
      </c>
      <c r="N110" s="1">
        <v>4</v>
      </c>
      <c r="O110" s="1">
        <v>1</v>
      </c>
      <c r="P110" s="1">
        <v>0.2</v>
      </c>
      <c r="Q110" s="1">
        <v>-0.01</v>
      </c>
      <c r="R110" s="1">
        <v>3.01</v>
      </c>
      <c r="S110" s="1">
        <v>2.84</v>
      </c>
      <c r="T110" s="1">
        <v>36</v>
      </c>
      <c r="U110" s="1">
        <v>169</v>
      </c>
      <c r="V110" s="1">
        <v>21.3</v>
      </c>
      <c r="W110" s="1">
        <v>47</v>
      </c>
      <c r="X110" s="1">
        <v>174</v>
      </c>
      <c r="Y110" s="1">
        <v>72.989999999999995</v>
      </c>
      <c r="Z110" s="1">
        <v>3</v>
      </c>
      <c r="AA110" s="1">
        <v>5</v>
      </c>
      <c r="AB110" s="1">
        <v>7.7</v>
      </c>
      <c r="AC110" s="1">
        <v>8</v>
      </c>
      <c r="AD110" s="1">
        <v>1987</v>
      </c>
      <c r="AE110" s="1">
        <v>11.2</v>
      </c>
      <c r="AF110" s="1">
        <v>2029</v>
      </c>
      <c r="AG110" s="1">
        <v>0.89700000000000002</v>
      </c>
      <c r="AH110" s="1">
        <v>4</v>
      </c>
      <c r="AI110" s="1">
        <v>8.4</v>
      </c>
      <c r="AJ110" s="1">
        <v>0.92800000000000005</v>
      </c>
      <c r="AK110" s="1">
        <v>101.2</v>
      </c>
      <c r="AL110" s="1">
        <v>3677</v>
      </c>
      <c r="AM110" s="1">
        <v>3553</v>
      </c>
      <c r="AN110" s="1">
        <v>50.9</v>
      </c>
      <c r="AO110" s="1">
        <v>2788</v>
      </c>
      <c r="AP110" s="1">
        <v>2605</v>
      </c>
      <c r="AQ110" s="1">
        <v>51.7</v>
      </c>
      <c r="AR110" s="1">
        <v>201.5</v>
      </c>
      <c r="AS110" s="1">
        <v>167.4</v>
      </c>
      <c r="AT110" s="1">
        <v>184</v>
      </c>
      <c r="AU110" s="1">
        <v>142</v>
      </c>
      <c r="AV110" s="1">
        <v>8</v>
      </c>
      <c r="AW110" s="1">
        <v>2037</v>
      </c>
      <c r="AX110" s="1">
        <v>1783</v>
      </c>
      <c r="AY110" s="1">
        <v>53.3</v>
      </c>
      <c r="AZ110" s="1">
        <v>659</v>
      </c>
      <c r="BA110" s="1">
        <v>622</v>
      </c>
      <c r="BB110" s="1">
        <v>51.4</v>
      </c>
      <c r="BC110" s="1">
        <v>76</v>
      </c>
      <c r="BD110" s="1">
        <v>10.3</v>
      </c>
      <c r="BE110" s="1">
        <v>58</v>
      </c>
      <c r="BF110" s="1">
        <v>8.5</v>
      </c>
    </row>
    <row r="111" spans="1:58" x14ac:dyDescent="0.35">
      <c r="A111" t="s">
        <v>91</v>
      </c>
      <c r="B111">
        <v>14</v>
      </c>
      <c r="C111" t="s">
        <v>84</v>
      </c>
      <c r="D111" s="1">
        <v>1</v>
      </c>
      <c r="E111" s="1">
        <v>29.5</v>
      </c>
      <c r="F111" s="1">
        <v>74</v>
      </c>
      <c r="G111" s="1">
        <v>38</v>
      </c>
      <c r="H111" s="1">
        <v>29</v>
      </c>
      <c r="I111" s="1">
        <v>7</v>
      </c>
      <c r="J111" s="1">
        <v>83</v>
      </c>
      <c r="K111" s="1">
        <v>0.56100000000000005</v>
      </c>
      <c r="L111" s="1">
        <v>218</v>
      </c>
      <c r="M111" s="1">
        <v>195</v>
      </c>
      <c r="N111" s="1">
        <v>1</v>
      </c>
      <c r="O111" s="1">
        <v>2</v>
      </c>
      <c r="P111" s="1">
        <v>0.33</v>
      </c>
      <c r="Q111" s="1">
        <v>0.03</v>
      </c>
      <c r="R111" s="1">
        <v>2.95</v>
      </c>
      <c r="S111" s="1">
        <v>2.64</v>
      </c>
      <c r="T111" s="1">
        <v>56</v>
      </c>
      <c r="U111" s="1">
        <v>202</v>
      </c>
      <c r="V111" s="1">
        <v>27.72</v>
      </c>
      <c r="W111" s="1">
        <v>37</v>
      </c>
      <c r="X111" s="1">
        <v>204</v>
      </c>
      <c r="Y111" s="1">
        <v>81.86</v>
      </c>
      <c r="Z111" s="1">
        <v>6</v>
      </c>
      <c r="AA111" s="1">
        <v>4</v>
      </c>
      <c r="AB111" s="1">
        <v>8.3000000000000007</v>
      </c>
      <c r="AC111" s="1">
        <v>7.7</v>
      </c>
      <c r="AD111" s="1">
        <v>2096</v>
      </c>
      <c r="AE111" s="1">
        <v>10.4</v>
      </c>
      <c r="AF111" s="1">
        <v>1957</v>
      </c>
      <c r="AG111" s="1">
        <v>0.9</v>
      </c>
      <c r="AH111" s="1">
        <v>8</v>
      </c>
      <c r="AI111" s="1">
        <v>8.9</v>
      </c>
      <c r="AJ111" s="1">
        <v>0.91700000000000004</v>
      </c>
      <c r="AK111" s="1">
        <v>100.5</v>
      </c>
      <c r="AL111" s="1">
        <v>4102</v>
      </c>
      <c r="AM111" s="1">
        <v>3869</v>
      </c>
      <c r="AN111" s="1">
        <v>51.5</v>
      </c>
      <c r="AO111" s="1">
        <v>2942</v>
      </c>
      <c r="AP111" s="1">
        <v>2781</v>
      </c>
      <c r="AQ111" s="1">
        <v>51.4</v>
      </c>
      <c r="AR111" s="1">
        <v>191.4</v>
      </c>
      <c r="AS111" s="1">
        <v>163.69999999999999</v>
      </c>
      <c r="AT111" s="1">
        <v>200</v>
      </c>
      <c r="AU111" s="1">
        <v>168</v>
      </c>
      <c r="AV111" s="1">
        <v>4</v>
      </c>
      <c r="AW111" s="1">
        <v>2005</v>
      </c>
      <c r="AX111" s="1">
        <v>1816</v>
      </c>
      <c r="AY111" s="1">
        <v>52.5</v>
      </c>
      <c r="AZ111" s="1">
        <v>734</v>
      </c>
      <c r="BA111" s="1">
        <v>659</v>
      </c>
      <c r="BB111" s="1">
        <v>52.7</v>
      </c>
      <c r="BC111" s="1">
        <v>81</v>
      </c>
      <c r="BD111" s="1">
        <v>9.9</v>
      </c>
      <c r="BE111" s="1">
        <v>67</v>
      </c>
      <c r="BF111" s="1">
        <v>9.1999999999999993</v>
      </c>
    </row>
    <row r="112" spans="1:58" x14ac:dyDescent="0.35">
      <c r="A112" t="s">
        <v>91</v>
      </c>
      <c r="B112">
        <v>15</v>
      </c>
      <c r="C112" t="s">
        <v>82</v>
      </c>
      <c r="D112" s="1">
        <v>1</v>
      </c>
      <c r="E112" s="1">
        <v>28.1</v>
      </c>
      <c r="F112" s="1">
        <v>71</v>
      </c>
      <c r="G112" s="1">
        <v>38</v>
      </c>
      <c r="H112" s="1">
        <v>28</v>
      </c>
      <c r="I112" s="1">
        <v>5</v>
      </c>
      <c r="J112" s="1">
        <v>81</v>
      </c>
      <c r="K112" s="1">
        <v>0.56999999999999995</v>
      </c>
      <c r="L112" s="1">
        <v>207</v>
      </c>
      <c r="M112" s="1">
        <v>204</v>
      </c>
      <c r="N112" s="1">
        <v>1</v>
      </c>
      <c r="O112" s="1">
        <v>2</v>
      </c>
      <c r="P112" s="1">
        <v>0.04</v>
      </c>
      <c r="Q112" s="1">
        <v>0.01</v>
      </c>
      <c r="R112" s="1">
        <v>2.92</v>
      </c>
      <c r="S112" s="1">
        <v>2.87</v>
      </c>
      <c r="T112" s="1">
        <v>55</v>
      </c>
      <c r="U112" s="1">
        <v>229</v>
      </c>
      <c r="V112" s="1">
        <v>24.02</v>
      </c>
      <c r="W112" s="1">
        <v>47</v>
      </c>
      <c r="X112" s="1">
        <v>207</v>
      </c>
      <c r="Y112" s="1">
        <v>77.290000000000006</v>
      </c>
      <c r="Z112" s="1">
        <v>9</v>
      </c>
      <c r="AA112" s="1">
        <v>2</v>
      </c>
      <c r="AB112" s="1">
        <v>8.6999999999999993</v>
      </c>
      <c r="AC112" s="1">
        <v>9.6999999999999993</v>
      </c>
      <c r="AD112" s="1">
        <v>2076</v>
      </c>
      <c r="AE112" s="1">
        <v>10</v>
      </c>
      <c r="AF112" s="1">
        <v>2021</v>
      </c>
      <c r="AG112" s="1">
        <v>0.89900000000000002</v>
      </c>
      <c r="AH112" s="1">
        <v>8</v>
      </c>
      <c r="AI112" s="1">
        <v>8.5</v>
      </c>
      <c r="AJ112" s="1">
        <v>0.92600000000000005</v>
      </c>
      <c r="AK112" s="1">
        <v>101.1</v>
      </c>
      <c r="AL112" s="1">
        <v>3276</v>
      </c>
      <c r="AM112" s="1">
        <v>3434</v>
      </c>
      <c r="AN112" s="1">
        <v>48.8</v>
      </c>
      <c r="AO112" s="1">
        <v>2357</v>
      </c>
      <c r="AP112" s="1">
        <v>2480</v>
      </c>
      <c r="AQ112" s="1">
        <v>48.7</v>
      </c>
      <c r="AR112" s="1">
        <v>153.80000000000001</v>
      </c>
      <c r="AS112" s="1">
        <v>144.5</v>
      </c>
      <c r="AT112" s="1">
        <v>147</v>
      </c>
      <c r="AU112" s="1">
        <v>128</v>
      </c>
      <c r="AV112" s="1">
        <v>10</v>
      </c>
      <c r="AW112" s="1">
        <v>1517</v>
      </c>
      <c r="AX112" s="1">
        <v>1603</v>
      </c>
      <c r="AY112" s="1">
        <v>48.6</v>
      </c>
      <c r="AZ112" s="1">
        <v>511</v>
      </c>
      <c r="BA112" s="1">
        <v>562</v>
      </c>
      <c r="BB112" s="1">
        <v>47.6</v>
      </c>
      <c r="BC112" s="1">
        <v>52</v>
      </c>
      <c r="BD112" s="1">
        <v>9.1999999999999993</v>
      </c>
      <c r="BE112" s="1">
        <v>54</v>
      </c>
      <c r="BF112" s="1">
        <v>8.8000000000000007</v>
      </c>
    </row>
    <row r="113" spans="1:58" x14ac:dyDescent="0.35">
      <c r="A113" t="s">
        <v>91</v>
      </c>
      <c r="B113">
        <v>16</v>
      </c>
      <c r="C113" t="s">
        <v>74</v>
      </c>
      <c r="D113" s="1">
        <v>1</v>
      </c>
      <c r="E113" s="1">
        <v>28.7</v>
      </c>
      <c r="F113" s="1">
        <v>73</v>
      </c>
      <c r="G113" s="1">
        <v>34</v>
      </c>
      <c r="H113" s="1">
        <v>26</v>
      </c>
      <c r="I113" s="1">
        <v>13</v>
      </c>
      <c r="J113" s="1">
        <v>81</v>
      </c>
      <c r="K113" s="1">
        <v>0.55500000000000005</v>
      </c>
      <c r="L113" s="1">
        <v>209</v>
      </c>
      <c r="M113" s="1">
        <v>224</v>
      </c>
      <c r="N113" s="1">
        <v>3</v>
      </c>
      <c r="O113" s="1">
        <v>2</v>
      </c>
      <c r="P113" s="1">
        <v>-0.23</v>
      </c>
      <c r="Q113" s="1">
        <v>-0.04</v>
      </c>
      <c r="R113" s="1">
        <v>2.86</v>
      </c>
      <c r="S113" s="1">
        <v>3.07</v>
      </c>
      <c r="T113" s="1">
        <v>45</v>
      </c>
      <c r="U113" s="1">
        <v>198</v>
      </c>
      <c r="V113" s="1">
        <v>22.73</v>
      </c>
      <c r="W113" s="1">
        <v>35</v>
      </c>
      <c r="X113" s="1">
        <v>200</v>
      </c>
      <c r="Y113" s="1">
        <v>82.5</v>
      </c>
      <c r="Z113" s="1">
        <v>4</v>
      </c>
      <c r="AA113" s="1">
        <v>7</v>
      </c>
      <c r="AB113" s="1">
        <v>9.4</v>
      </c>
      <c r="AC113" s="1">
        <v>9.1999999999999993</v>
      </c>
      <c r="AD113" s="1">
        <v>1869</v>
      </c>
      <c r="AE113" s="1">
        <v>11.2</v>
      </c>
      <c r="AF113" s="1">
        <v>1945</v>
      </c>
      <c r="AG113" s="1">
        <v>0.88500000000000001</v>
      </c>
      <c r="AH113" s="1">
        <v>5</v>
      </c>
      <c r="AI113" s="1">
        <v>7.6</v>
      </c>
      <c r="AJ113" s="1">
        <v>0.91700000000000004</v>
      </c>
      <c r="AK113" s="1">
        <v>99.3</v>
      </c>
      <c r="AL113" s="1">
        <v>3718</v>
      </c>
      <c r="AM113" s="1">
        <v>3190</v>
      </c>
      <c r="AN113" s="1">
        <v>53.8</v>
      </c>
      <c r="AO113" s="1">
        <v>2612</v>
      </c>
      <c r="AP113" s="1">
        <v>2315</v>
      </c>
      <c r="AQ113" s="1">
        <v>53</v>
      </c>
      <c r="AR113" s="1">
        <v>150.4</v>
      </c>
      <c r="AS113" s="1">
        <v>139.30000000000001</v>
      </c>
      <c r="AT113" s="1">
        <v>136</v>
      </c>
      <c r="AU113" s="1">
        <v>139</v>
      </c>
      <c r="AV113" s="1">
        <v>-14</v>
      </c>
      <c r="AW113" s="1">
        <v>1686</v>
      </c>
      <c r="AX113" s="1">
        <v>1446</v>
      </c>
      <c r="AY113" s="1">
        <v>53.8</v>
      </c>
      <c r="AZ113" s="1">
        <v>588</v>
      </c>
      <c r="BA113" s="1">
        <v>476</v>
      </c>
      <c r="BB113" s="1">
        <v>55.3</v>
      </c>
      <c r="BC113" s="1">
        <v>52</v>
      </c>
      <c r="BD113" s="1">
        <v>8.1</v>
      </c>
      <c r="BE113" s="1">
        <v>55</v>
      </c>
      <c r="BF113" s="1">
        <v>10.4</v>
      </c>
    </row>
    <row r="114" spans="1:58" x14ac:dyDescent="0.35">
      <c r="A114" t="s">
        <v>91</v>
      </c>
      <c r="B114">
        <v>17</v>
      </c>
      <c r="C114" t="s">
        <v>62</v>
      </c>
      <c r="D114" s="1">
        <v>0</v>
      </c>
      <c r="E114" s="1">
        <v>28.4</v>
      </c>
      <c r="F114" s="1">
        <v>71</v>
      </c>
      <c r="G114" s="1">
        <v>34</v>
      </c>
      <c r="H114" s="1">
        <v>26</v>
      </c>
      <c r="I114" s="1">
        <v>11</v>
      </c>
      <c r="J114" s="1">
        <v>79</v>
      </c>
      <c r="K114" s="1">
        <v>0.55600000000000005</v>
      </c>
      <c r="L114" s="1">
        <v>185</v>
      </c>
      <c r="M114" s="1">
        <v>209</v>
      </c>
      <c r="N114" s="1">
        <v>3</v>
      </c>
      <c r="O114" s="1">
        <v>2</v>
      </c>
      <c r="P114" s="1">
        <v>-0.32</v>
      </c>
      <c r="Q114" s="1">
        <v>0.01</v>
      </c>
      <c r="R114" s="1">
        <v>2.61</v>
      </c>
      <c r="S114" s="1">
        <v>2.94</v>
      </c>
      <c r="T114" s="1">
        <v>44</v>
      </c>
      <c r="U114" s="1">
        <v>205</v>
      </c>
      <c r="V114" s="1">
        <v>21.46</v>
      </c>
      <c r="W114" s="1">
        <v>52</v>
      </c>
      <c r="X114" s="1">
        <v>205</v>
      </c>
      <c r="Y114" s="1">
        <v>74.63</v>
      </c>
      <c r="Z114" s="1">
        <v>6</v>
      </c>
      <c r="AA114" s="1">
        <v>6</v>
      </c>
      <c r="AB114" s="1">
        <v>10</v>
      </c>
      <c r="AC114" s="1">
        <v>10.199999999999999</v>
      </c>
      <c r="AD114" s="1">
        <v>2078</v>
      </c>
      <c r="AE114" s="1">
        <v>8.9</v>
      </c>
      <c r="AF114" s="1">
        <v>2049</v>
      </c>
      <c r="AG114" s="1">
        <v>0.89800000000000002</v>
      </c>
      <c r="AH114" s="1">
        <v>5</v>
      </c>
      <c r="AI114" s="1">
        <v>7.4</v>
      </c>
      <c r="AJ114" s="1">
        <v>0.93300000000000005</v>
      </c>
      <c r="AK114" s="1">
        <v>100.7</v>
      </c>
      <c r="AL114" s="1">
        <v>3616</v>
      </c>
      <c r="AM114" s="1">
        <v>3667</v>
      </c>
      <c r="AN114" s="1">
        <v>49.6</v>
      </c>
      <c r="AO114" s="1">
        <v>2695</v>
      </c>
      <c r="AP114" s="1">
        <v>2712</v>
      </c>
      <c r="AQ114" s="1">
        <v>49.8</v>
      </c>
      <c r="AR114" s="1">
        <v>172.6</v>
      </c>
      <c r="AS114" s="1">
        <v>179.3</v>
      </c>
      <c r="AT114" s="1">
        <v>156</v>
      </c>
      <c r="AU114" s="1">
        <v>143</v>
      </c>
      <c r="AV114" s="1">
        <v>20</v>
      </c>
      <c r="AW114" s="1">
        <v>1802</v>
      </c>
      <c r="AX114" s="1">
        <v>1814</v>
      </c>
      <c r="AY114" s="1">
        <v>49.8</v>
      </c>
      <c r="AZ114" s="1">
        <v>512</v>
      </c>
      <c r="BA114" s="1">
        <v>525</v>
      </c>
      <c r="BB114" s="1">
        <v>49.4</v>
      </c>
      <c r="BC114" s="1">
        <v>60</v>
      </c>
      <c r="BD114" s="1">
        <v>10.5</v>
      </c>
      <c r="BE114" s="1">
        <v>62</v>
      </c>
      <c r="BF114" s="1">
        <v>10.6</v>
      </c>
    </row>
    <row r="115" spans="1:58" x14ac:dyDescent="0.35">
      <c r="A115" t="s">
        <v>91</v>
      </c>
      <c r="B115">
        <v>18</v>
      </c>
      <c r="C115" t="s">
        <v>92</v>
      </c>
      <c r="D115" s="1">
        <v>0</v>
      </c>
      <c r="E115" s="1">
        <v>27.6</v>
      </c>
      <c r="F115" s="1">
        <v>73</v>
      </c>
      <c r="G115" s="1">
        <v>32</v>
      </c>
      <c r="H115" s="1">
        <v>29</v>
      </c>
      <c r="I115" s="1">
        <v>12</v>
      </c>
      <c r="J115" s="1">
        <v>76</v>
      </c>
      <c r="K115" s="1">
        <v>0.52100000000000002</v>
      </c>
      <c r="L115" s="1">
        <v>203</v>
      </c>
      <c r="M115" s="1">
        <v>223</v>
      </c>
      <c r="N115" s="1">
        <v>1</v>
      </c>
      <c r="O115" s="1">
        <v>3</v>
      </c>
      <c r="P115" s="1">
        <v>-0.27</v>
      </c>
      <c r="Q115" s="1">
        <v>0.03</v>
      </c>
      <c r="R115" s="1">
        <v>2.78</v>
      </c>
      <c r="S115" s="1">
        <v>3.05</v>
      </c>
      <c r="T115" s="1">
        <v>45</v>
      </c>
      <c r="U115" s="1">
        <v>208</v>
      </c>
      <c r="V115" s="1">
        <v>21.63</v>
      </c>
      <c r="W115" s="1">
        <v>43</v>
      </c>
      <c r="X115" s="1">
        <v>220</v>
      </c>
      <c r="Y115" s="1">
        <v>80.45</v>
      </c>
      <c r="Z115" s="1">
        <v>4</v>
      </c>
      <c r="AA115" s="1">
        <v>7</v>
      </c>
      <c r="AB115" s="1">
        <v>9.5</v>
      </c>
      <c r="AC115" s="1">
        <v>9.5</v>
      </c>
      <c r="AD115" s="1">
        <v>2046</v>
      </c>
      <c r="AE115" s="1">
        <v>9.9</v>
      </c>
      <c r="AF115" s="1">
        <v>2021</v>
      </c>
      <c r="AG115" s="1">
        <v>0.89</v>
      </c>
      <c r="AH115" s="1">
        <v>2</v>
      </c>
      <c r="AI115" s="1">
        <v>8.5</v>
      </c>
      <c r="AJ115" s="1">
        <v>0.91100000000000003</v>
      </c>
      <c r="AK115" s="1">
        <v>99.6</v>
      </c>
      <c r="AL115" s="1">
        <v>3302</v>
      </c>
      <c r="AM115" s="1">
        <v>3635</v>
      </c>
      <c r="AN115" s="1">
        <v>47.6</v>
      </c>
      <c r="AO115" s="1">
        <v>2470</v>
      </c>
      <c r="AP115" s="1">
        <v>2728</v>
      </c>
      <c r="AQ115" s="1">
        <v>47.5</v>
      </c>
      <c r="AR115" s="1">
        <v>172.1</v>
      </c>
      <c r="AS115" s="1">
        <v>182.7</v>
      </c>
      <c r="AT115" s="1">
        <v>169</v>
      </c>
      <c r="AU115" s="1">
        <v>192</v>
      </c>
      <c r="AV115" s="1">
        <v>-12</v>
      </c>
      <c r="AW115" s="1">
        <v>1730</v>
      </c>
      <c r="AX115" s="1">
        <v>1846</v>
      </c>
      <c r="AY115" s="1">
        <v>48.4</v>
      </c>
      <c r="AZ115" s="1">
        <v>559</v>
      </c>
      <c r="BA115" s="1">
        <v>633</v>
      </c>
      <c r="BB115" s="1">
        <v>46.9</v>
      </c>
      <c r="BC115" s="1">
        <v>79</v>
      </c>
      <c r="BD115" s="1">
        <v>12.4</v>
      </c>
      <c r="BE115" s="1">
        <v>74</v>
      </c>
      <c r="BF115" s="1">
        <v>10.5</v>
      </c>
    </row>
    <row r="116" spans="1:58" x14ac:dyDescent="0.35">
      <c r="A116" t="s">
        <v>91</v>
      </c>
      <c r="B116">
        <v>19</v>
      </c>
      <c r="C116" t="s">
        <v>88</v>
      </c>
      <c r="D116" s="1">
        <v>0</v>
      </c>
      <c r="E116" s="1">
        <v>26.8</v>
      </c>
      <c r="F116" s="1">
        <v>72</v>
      </c>
      <c r="G116" s="1">
        <v>33</v>
      </c>
      <c r="H116" s="1">
        <v>30</v>
      </c>
      <c r="I116" s="1">
        <v>9</v>
      </c>
      <c r="J116" s="1">
        <v>75</v>
      </c>
      <c r="K116" s="1">
        <v>0.52100000000000002</v>
      </c>
      <c r="L116" s="1">
        <v>214</v>
      </c>
      <c r="M116" s="1">
        <v>241</v>
      </c>
      <c r="N116" s="1">
        <v>2</v>
      </c>
      <c r="O116" s="1">
        <v>3</v>
      </c>
      <c r="P116" s="1">
        <v>-0.35</v>
      </c>
      <c r="Q116" s="1">
        <v>0.04</v>
      </c>
      <c r="R116" s="1">
        <v>2.97</v>
      </c>
      <c r="S116" s="1">
        <v>3.35</v>
      </c>
      <c r="T116" s="1">
        <v>44</v>
      </c>
      <c r="U116" s="1">
        <v>211</v>
      </c>
      <c r="V116" s="1">
        <v>20.85</v>
      </c>
      <c r="W116" s="1">
        <v>45</v>
      </c>
      <c r="X116" s="1">
        <v>228</v>
      </c>
      <c r="Y116" s="1">
        <v>80.260000000000005</v>
      </c>
      <c r="Z116" s="1">
        <v>8</v>
      </c>
      <c r="AA116" s="1">
        <v>6</v>
      </c>
      <c r="AB116" s="1">
        <v>9.3000000000000007</v>
      </c>
      <c r="AC116" s="1">
        <v>8.3000000000000007</v>
      </c>
      <c r="AD116" s="1">
        <v>1876</v>
      </c>
      <c r="AE116" s="1">
        <v>11.4</v>
      </c>
      <c r="AF116" s="1">
        <v>2091</v>
      </c>
      <c r="AG116" s="1">
        <v>0.88500000000000001</v>
      </c>
      <c r="AH116" s="1">
        <v>5</v>
      </c>
      <c r="AI116" s="1">
        <v>9.6</v>
      </c>
      <c r="AJ116" s="1">
        <v>0.92800000000000005</v>
      </c>
      <c r="AK116" s="1">
        <v>102.4</v>
      </c>
      <c r="AL116" s="1">
        <v>3750</v>
      </c>
      <c r="AM116" s="1">
        <v>3459</v>
      </c>
      <c r="AN116" s="1">
        <v>52</v>
      </c>
      <c r="AO116" s="1">
        <v>2666</v>
      </c>
      <c r="AP116" s="1">
        <v>2540</v>
      </c>
      <c r="AQ116" s="1">
        <v>51.2</v>
      </c>
      <c r="AR116" s="1">
        <v>168.1</v>
      </c>
      <c r="AS116" s="1">
        <v>159.1</v>
      </c>
      <c r="AT116" s="1">
        <v>187</v>
      </c>
      <c r="AU116" s="1">
        <v>136</v>
      </c>
      <c r="AV116" s="1">
        <v>42</v>
      </c>
      <c r="AW116" s="1">
        <v>1737</v>
      </c>
      <c r="AX116" s="1">
        <v>1593</v>
      </c>
      <c r="AY116" s="1">
        <v>52.2</v>
      </c>
      <c r="AZ116" s="1">
        <v>613</v>
      </c>
      <c r="BA116" s="1">
        <v>585</v>
      </c>
      <c r="BB116" s="1">
        <v>51.2</v>
      </c>
      <c r="BC116" s="1">
        <v>82</v>
      </c>
      <c r="BD116" s="1">
        <v>11.8</v>
      </c>
      <c r="BE116" s="1">
        <v>57</v>
      </c>
      <c r="BF116" s="1">
        <v>8.9</v>
      </c>
    </row>
    <row r="117" spans="1:58" x14ac:dyDescent="0.35">
      <c r="A117" t="s">
        <v>91</v>
      </c>
      <c r="B117">
        <v>20</v>
      </c>
      <c r="C117" t="s">
        <v>64</v>
      </c>
      <c r="D117" s="1">
        <v>0</v>
      </c>
      <c r="E117" s="1">
        <v>28.9</v>
      </c>
      <c r="F117" s="1">
        <v>73</v>
      </c>
      <c r="G117" s="1">
        <v>34</v>
      </c>
      <c r="H117" s="1">
        <v>32</v>
      </c>
      <c r="I117" s="1">
        <v>7</v>
      </c>
      <c r="J117" s="1">
        <v>75</v>
      </c>
      <c r="K117" s="1">
        <v>0.51400000000000001</v>
      </c>
      <c r="L117" s="1">
        <v>217</v>
      </c>
      <c r="M117" s="1">
        <v>221</v>
      </c>
      <c r="N117" s="1">
        <v>1</v>
      </c>
      <c r="O117" s="1">
        <v>0</v>
      </c>
      <c r="P117" s="1">
        <v>-0.06</v>
      </c>
      <c r="Q117" s="1">
        <v>-0.02</v>
      </c>
      <c r="R117" s="1">
        <v>2.97</v>
      </c>
      <c r="S117" s="1">
        <v>3.03</v>
      </c>
      <c r="T117" s="1">
        <v>34</v>
      </c>
      <c r="U117" s="1">
        <v>190</v>
      </c>
      <c r="V117" s="1">
        <v>17.89</v>
      </c>
      <c r="W117" s="1">
        <v>39</v>
      </c>
      <c r="X117" s="1">
        <v>219</v>
      </c>
      <c r="Y117" s="1">
        <v>82.19</v>
      </c>
      <c r="Z117" s="1">
        <v>14</v>
      </c>
      <c r="AA117" s="1">
        <v>4</v>
      </c>
      <c r="AB117" s="1">
        <v>8.6</v>
      </c>
      <c r="AC117" s="1">
        <v>7.8</v>
      </c>
      <c r="AD117" s="1">
        <v>2068</v>
      </c>
      <c r="AE117" s="1">
        <v>10.5</v>
      </c>
      <c r="AF117" s="1">
        <v>2205</v>
      </c>
      <c r="AG117" s="1">
        <v>0.9</v>
      </c>
      <c r="AH117" s="1">
        <v>8</v>
      </c>
      <c r="AI117" s="1">
        <v>8.6</v>
      </c>
      <c r="AJ117" s="1">
        <v>0.91200000000000003</v>
      </c>
      <c r="AK117" s="1">
        <v>99.8</v>
      </c>
      <c r="AL117" s="1">
        <v>3221</v>
      </c>
      <c r="AM117" s="1">
        <v>3257</v>
      </c>
      <c r="AN117" s="1">
        <v>49.7</v>
      </c>
      <c r="AO117" s="1">
        <v>2246</v>
      </c>
      <c r="AP117" s="1">
        <v>2347</v>
      </c>
      <c r="AQ117" s="1">
        <v>48.9</v>
      </c>
      <c r="AR117" s="1">
        <v>137.19999999999999</v>
      </c>
      <c r="AS117" s="1">
        <v>138</v>
      </c>
      <c r="AT117" s="1">
        <v>137</v>
      </c>
      <c r="AU117" s="1">
        <v>143</v>
      </c>
      <c r="AV117" s="1">
        <v>-5</v>
      </c>
      <c r="AW117" s="1">
        <v>1430</v>
      </c>
      <c r="AX117" s="1">
        <v>1452</v>
      </c>
      <c r="AY117" s="1">
        <v>49.6</v>
      </c>
      <c r="AZ117" s="1">
        <v>503</v>
      </c>
      <c r="BA117" s="1">
        <v>512</v>
      </c>
      <c r="BB117" s="1">
        <v>49.6</v>
      </c>
      <c r="BC117" s="1">
        <v>52</v>
      </c>
      <c r="BD117" s="1">
        <v>9.4</v>
      </c>
      <c r="BE117" s="1">
        <v>53</v>
      </c>
      <c r="BF117" s="1">
        <v>9.4</v>
      </c>
    </row>
    <row r="118" spans="1:58" x14ac:dyDescent="0.35">
      <c r="A118" t="s">
        <v>91</v>
      </c>
      <c r="B118">
        <v>21</v>
      </c>
      <c r="C118" t="s">
        <v>77</v>
      </c>
      <c r="D118" s="1">
        <v>0</v>
      </c>
      <c r="E118" s="1">
        <v>27.6</v>
      </c>
      <c r="F118" s="1">
        <v>71</v>
      </c>
      <c r="G118" s="1">
        <v>33</v>
      </c>
      <c r="H118" s="1">
        <v>29</v>
      </c>
      <c r="I118" s="1">
        <v>9</v>
      </c>
      <c r="J118" s="1">
        <v>75</v>
      </c>
      <c r="K118" s="1">
        <v>0.52800000000000002</v>
      </c>
      <c r="L118" s="1">
        <v>226</v>
      </c>
      <c r="M118" s="1">
        <v>238</v>
      </c>
      <c r="N118" s="1">
        <v>6</v>
      </c>
      <c r="O118" s="1">
        <v>1</v>
      </c>
      <c r="P118" s="1">
        <v>-0.1</v>
      </c>
      <c r="Q118" s="1">
        <v>0</v>
      </c>
      <c r="R118" s="1">
        <v>3.18</v>
      </c>
      <c r="S118" s="1">
        <v>3.35</v>
      </c>
      <c r="T118" s="1">
        <v>31</v>
      </c>
      <c r="U118" s="1">
        <v>165</v>
      </c>
      <c r="V118" s="1">
        <v>18.79</v>
      </c>
      <c r="W118" s="1">
        <v>48</v>
      </c>
      <c r="X118" s="1">
        <v>192</v>
      </c>
      <c r="Y118" s="1">
        <v>75</v>
      </c>
      <c r="Z118" s="1">
        <v>9</v>
      </c>
      <c r="AA118" s="1">
        <v>7</v>
      </c>
      <c r="AB118" s="1">
        <v>8.1</v>
      </c>
      <c r="AC118" s="1">
        <v>7.1</v>
      </c>
      <c r="AD118" s="1">
        <v>2055</v>
      </c>
      <c r="AE118" s="1">
        <v>11</v>
      </c>
      <c r="AF118" s="1">
        <v>2114</v>
      </c>
      <c r="AG118" s="1">
        <v>0.88700000000000001</v>
      </c>
      <c r="AH118" s="1">
        <v>2</v>
      </c>
      <c r="AI118" s="1">
        <v>7.6</v>
      </c>
      <c r="AJ118" s="1">
        <v>0.92</v>
      </c>
      <c r="AK118" s="1">
        <v>99.6</v>
      </c>
      <c r="AL118" s="1">
        <v>4027</v>
      </c>
      <c r="AM118" s="1">
        <v>3635</v>
      </c>
      <c r="AN118" s="1">
        <v>52.6</v>
      </c>
      <c r="AO118" s="1">
        <v>3011</v>
      </c>
      <c r="AP118" s="1">
        <v>2594</v>
      </c>
      <c r="AQ118" s="1">
        <v>53.7</v>
      </c>
      <c r="AR118" s="1">
        <v>205.7</v>
      </c>
      <c r="AS118" s="1">
        <v>176.9</v>
      </c>
      <c r="AT118" s="1">
        <v>183</v>
      </c>
      <c r="AU118" s="1">
        <v>166</v>
      </c>
      <c r="AV118" s="1">
        <v>-12</v>
      </c>
      <c r="AW118" s="1">
        <v>2006</v>
      </c>
      <c r="AX118" s="1">
        <v>1825</v>
      </c>
      <c r="AY118" s="1">
        <v>52.4</v>
      </c>
      <c r="AZ118" s="1">
        <v>660</v>
      </c>
      <c r="BA118" s="1">
        <v>579</v>
      </c>
      <c r="BB118" s="1">
        <v>53.3</v>
      </c>
      <c r="BC118" s="1">
        <v>83</v>
      </c>
      <c r="BD118" s="1">
        <v>11.2</v>
      </c>
      <c r="BE118" s="1">
        <v>86</v>
      </c>
      <c r="BF118" s="1">
        <v>12.9</v>
      </c>
    </row>
    <row r="119" spans="1:58" x14ac:dyDescent="0.35">
      <c r="A119" t="s">
        <v>91</v>
      </c>
      <c r="B119">
        <v>22</v>
      </c>
      <c r="C119" t="s">
        <v>76</v>
      </c>
      <c r="D119" s="1">
        <v>0</v>
      </c>
      <c r="E119" s="1">
        <v>29.7</v>
      </c>
      <c r="F119" s="1">
        <v>71</v>
      </c>
      <c r="G119" s="1">
        <v>32</v>
      </c>
      <c r="H119" s="1">
        <v>29</v>
      </c>
      <c r="I119" s="1">
        <v>10</v>
      </c>
      <c r="J119" s="1">
        <v>74</v>
      </c>
      <c r="K119" s="1">
        <v>0.52100000000000002</v>
      </c>
      <c r="L119" s="1">
        <v>193</v>
      </c>
      <c r="M119" s="1">
        <v>212</v>
      </c>
      <c r="N119" s="1">
        <v>2</v>
      </c>
      <c r="O119" s="1">
        <v>2</v>
      </c>
      <c r="P119" s="1">
        <v>-0.31</v>
      </c>
      <c r="Q119" s="1">
        <v>-0.04</v>
      </c>
      <c r="R119" s="1">
        <v>2.72</v>
      </c>
      <c r="S119" s="1">
        <v>2.99</v>
      </c>
      <c r="T119" s="1">
        <v>21</v>
      </c>
      <c r="U119" s="1">
        <v>175</v>
      </c>
      <c r="V119" s="1">
        <v>12</v>
      </c>
      <c r="W119" s="1">
        <v>43</v>
      </c>
      <c r="X119" s="1">
        <v>155</v>
      </c>
      <c r="Y119" s="1">
        <v>72.260000000000005</v>
      </c>
      <c r="Z119" s="1">
        <v>7</v>
      </c>
      <c r="AA119" s="1">
        <v>7</v>
      </c>
      <c r="AB119" s="1">
        <v>5.8</v>
      </c>
      <c r="AC119" s="1">
        <v>6.3</v>
      </c>
      <c r="AD119" s="1">
        <v>2070</v>
      </c>
      <c r="AE119" s="1">
        <v>9.3000000000000007</v>
      </c>
      <c r="AF119" s="1">
        <v>2048</v>
      </c>
      <c r="AG119" s="1">
        <v>0.89600000000000002</v>
      </c>
      <c r="AH119" s="1">
        <v>3</v>
      </c>
      <c r="AI119" s="1">
        <v>8.3000000000000007</v>
      </c>
      <c r="AJ119" s="1">
        <v>0.92700000000000005</v>
      </c>
      <c r="AK119" s="1">
        <v>101</v>
      </c>
      <c r="AL119" s="1">
        <v>3810</v>
      </c>
      <c r="AM119" s="1">
        <v>4061</v>
      </c>
      <c r="AN119" s="1">
        <v>48.4</v>
      </c>
      <c r="AO119" s="1">
        <v>2783</v>
      </c>
      <c r="AP119" s="1">
        <v>2873</v>
      </c>
      <c r="AQ119" s="1">
        <v>49.2</v>
      </c>
      <c r="AR119" s="1">
        <v>187.3</v>
      </c>
      <c r="AS119" s="1">
        <v>174.7</v>
      </c>
      <c r="AT119" s="1">
        <v>185</v>
      </c>
      <c r="AU119" s="1">
        <v>159</v>
      </c>
      <c r="AV119" s="1">
        <v>13</v>
      </c>
      <c r="AW119" s="1">
        <v>1805</v>
      </c>
      <c r="AX119" s="1">
        <v>1877</v>
      </c>
      <c r="AY119" s="1">
        <v>49</v>
      </c>
      <c r="AZ119" s="1">
        <v>607</v>
      </c>
      <c r="BA119" s="1">
        <v>600</v>
      </c>
      <c r="BB119" s="1">
        <v>50.3</v>
      </c>
      <c r="BC119" s="1">
        <v>81</v>
      </c>
      <c r="BD119" s="1">
        <v>11.8</v>
      </c>
      <c r="BE119" s="1">
        <v>56</v>
      </c>
      <c r="BF119" s="1">
        <v>8.5</v>
      </c>
    </row>
    <row r="120" spans="1:58" x14ac:dyDescent="0.35">
      <c r="A120" t="s">
        <v>91</v>
      </c>
      <c r="B120">
        <v>23</v>
      </c>
      <c r="C120" t="s">
        <v>81</v>
      </c>
      <c r="D120" s="1">
        <v>0</v>
      </c>
      <c r="E120" s="1">
        <v>29.4</v>
      </c>
      <c r="F120" s="1">
        <v>72</v>
      </c>
      <c r="G120" s="1">
        <v>33</v>
      </c>
      <c r="H120" s="1">
        <v>33</v>
      </c>
      <c r="I120" s="1">
        <v>6</v>
      </c>
      <c r="J120" s="1">
        <v>72</v>
      </c>
      <c r="K120" s="1">
        <v>0.5</v>
      </c>
      <c r="L120" s="1">
        <v>205</v>
      </c>
      <c r="M120" s="1">
        <v>231</v>
      </c>
      <c r="N120" s="1">
        <v>3</v>
      </c>
      <c r="O120" s="1">
        <v>0</v>
      </c>
      <c r="P120" s="1">
        <v>-0.34</v>
      </c>
      <c r="Q120" s="1">
        <v>-0.02</v>
      </c>
      <c r="R120" s="1">
        <v>2.85</v>
      </c>
      <c r="S120" s="1">
        <v>3.21</v>
      </c>
      <c r="T120" s="1">
        <v>60</v>
      </c>
      <c r="U120" s="1">
        <v>209</v>
      </c>
      <c r="V120" s="1">
        <v>28.71</v>
      </c>
      <c r="W120" s="1">
        <v>52</v>
      </c>
      <c r="X120" s="1">
        <v>167</v>
      </c>
      <c r="Y120" s="1">
        <v>68.86</v>
      </c>
      <c r="Z120" s="1">
        <v>2</v>
      </c>
      <c r="AA120" s="1">
        <v>6</v>
      </c>
      <c r="AB120" s="1">
        <v>6.9</v>
      </c>
      <c r="AC120" s="1">
        <v>8.1</v>
      </c>
      <c r="AD120" s="1">
        <v>1978</v>
      </c>
      <c r="AE120" s="1">
        <v>10.4</v>
      </c>
      <c r="AF120" s="1">
        <v>2060</v>
      </c>
      <c r="AG120" s="1">
        <v>0.88800000000000001</v>
      </c>
      <c r="AH120" s="1">
        <v>4</v>
      </c>
      <c r="AI120" s="1">
        <v>8.1</v>
      </c>
      <c r="AJ120" s="1">
        <v>0.92300000000000004</v>
      </c>
      <c r="AK120" s="1">
        <v>100.4</v>
      </c>
      <c r="AL120" s="1">
        <v>3977</v>
      </c>
      <c r="AM120" s="1">
        <v>4135</v>
      </c>
      <c r="AN120" s="1">
        <v>49</v>
      </c>
      <c r="AO120" s="1">
        <v>2806</v>
      </c>
      <c r="AP120" s="1">
        <v>2861</v>
      </c>
      <c r="AQ120" s="1">
        <v>49.5</v>
      </c>
      <c r="AR120" s="1">
        <v>174</v>
      </c>
      <c r="AS120" s="1">
        <v>164.6</v>
      </c>
      <c r="AT120" s="1">
        <v>176</v>
      </c>
      <c r="AU120" s="1">
        <v>163</v>
      </c>
      <c r="AV120" s="1">
        <v>4</v>
      </c>
      <c r="AW120" s="1">
        <v>1787</v>
      </c>
      <c r="AX120" s="1">
        <v>1847</v>
      </c>
      <c r="AY120" s="1">
        <v>49.2</v>
      </c>
      <c r="AZ120" s="1">
        <v>648</v>
      </c>
      <c r="BA120" s="1">
        <v>654</v>
      </c>
      <c r="BB120" s="1">
        <v>49.8</v>
      </c>
      <c r="BC120" s="1">
        <v>64</v>
      </c>
      <c r="BD120" s="1">
        <v>9</v>
      </c>
      <c r="BE120" s="1">
        <v>67</v>
      </c>
      <c r="BF120" s="1">
        <v>9.3000000000000007</v>
      </c>
    </row>
    <row r="121" spans="1:58" x14ac:dyDescent="0.35">
      <c r="A121" t="s">
        <v>91</v>
      </c>
      <c r="B121">
        <v>24</v>
      </c>
      <c r="C121" t="s">
        <v>79</v>
      </c>
      <c r="D121" s="1">
        <v>0</v>
      </c>
      <c r="E121" s="1">
        <v>27.5</v>
      </c>
      <c r="F121" s="1">
        <v>72</v>
      </c>
      <c r="G121" s="1">
        <v>32</v>
      </c>
      <c r="H121" s="1">
        <v>32</v>
      </c>
      <c r="I121" s="1">
        <v>8</v>
      </c>
      <c r="J121" s="1">
        <v>72</v>
      </c>
      <c r="K121" s="1">
        <v>0.5</v>
      </c>
      <c r="L121" s="1">
        <v>196</v>
      </c>
      <c r="M121" s="1">
        <v>225</v>
      </c>
      <c r="N121" s="1">
        <v>3</v>
      </c>
      <c r="O121" s="1">
        <v>2</v>
      </c>
      <c r="P121" s="1">
        <v>-0.37</v>
      </c>
      <c r="Q121" s="1">
        <v>0.02</v>
      </c>
      <c r="R121" s="1">
        <v>2.72</v>
      </c>
      <c r="S121" s="1">
        <v>3.13</v>
      </c>
      <c r="T121" s="1">
        <v>24</v>
      </c>
      <c r="U121" s="1">
        <v>198</v>
      </c>
      <c r="V121" s="1">
        <v>12.12</v>
      </c>
      <c r="W121" s="1">
        <v>57</v>
      </c>
      <c r="X121" s="1">
        <v>212</v>
      </c>
      <c r="Y121" s="1">
        <v>73.11</v>
      </c>
      <c r="Z121" s="1">
        <v>3</v>
      </c>
      <c r="AA121" s="1">
        <v>5</v>
      </c>
      <c r="AB121" s="1">
        <v>8.9</v>
      </c>
      <c r="AC121" s="1">
        <v>8</v>
      </c>
      <c r="AD121" s="1">
        <v>1993</v>
      </c>
      <c r="AE121" s="1">
        <v>9.8000000000000007</v>
      </c>
      <c r="AF121" s="1">
        <v>2310</v>
      </c>
      <c r="AG121" s="1">
        <v>0.90300000000000002</v>
      </c>
      <c r="AH121" s="1">
        <v>1</v>
      </c>
      <c r="AI121" s="1">
        <v>8.3000000000000007</v>
      </c>
      <c r="AJ121" s="1">
        <v>0.91900000000000004</v>
      </c>
      <c r="AK121" s="1">
        <v>100.2</v>
      </c>
      <c r="AL121" s="1">
        <v>3678</v>
      </c>
      <c r="AM121" s="1">
        <v>3438</v>
      </c>
      <c r="AN121" s="1">
        <v>51.7</v>
      </c>
      <c r="AO121" s="1">
        <v>2659</v>
      </c>
      <c r="AP121" s="1">
        <v>2501</v>
      </c>
      <c r="AQ121" s="1">
        <v>51.5</v>
      </c>
      <c r="AR121" s="1">
        <v>166.9</v>
      </c>
      <c r="AS121" s="1">
        <v>141.4</v>
      </c>
      <c r="AT121" s="1">
        <v>163</v>
      </c>
      <c r="AU121" s="1">
        <v>139</v>
      </c>
      <c r="AV121" s="1">
        <v>-2</v>
      </c>
      <c r="AW121" s="1">
        <v>1773</v>
      </c>
      <c r="AX121" s="1">
        <v>1601</v>
      </c>
      <c r="AY121" s="1">
        <v>52.5</v>
      </c>
      <c r="AZ121" s="1">
        <v>596</v>
      </c>
      <c r="BA121" s="1">
        <v>556</v>
      </c>
      <c r="BB121" s="1">
        <v>51.7</v>
      </c>
      <c r="BC121" s="1">
        <v>55</v>
      </c>
      <c r="BD121" s="1">
        <v>8.4</v>
      </c>
      <c r="BE121" s="1">
        <v>51</v>
      </c>
      <c r="BF121" s="1">
        <v>8.4</v>
      </c>
    </row>
    <row r="122" spans="1:58" x14ac:dyDescent="0.35">
      <c r="A122" t="s">
        <v>91</v>
      </c>
      <c r="B122">
        <v>25</v>
      </c>
      <c r="C122" t="s">
        <v>66</v>
      </c>
      <c r="D122" s="1">
        <v>0</v>
      </c>
      <c r="E122" s="1">
        <v>28.2</v>
      </c>
      <c r="F122" s="1">
        <v>73</v>
      </c>
      <c r="G122" s="1">
        <v>30</v>
      </c>
      <c r="H122" s="1">
        <v>34</v>
      </c>
      <c r="I122" s="1">
        <v>9</v>
      </c>
      <c r="J122" s="1">
        <v>69</v>
      </c>
      <c r="K122" s="1">
        <v>0.47299999999999998</v>
      </c>
      <c r="L122" s="1">
        <v>192</v>
      </c>
      <c r="M122" s="1">
        <v>241</v>
      </c>
      <c r="N122" s="1">
        <v>0</v>
      </c>
      <c r="O122" s="1">
        <v>1</v>
      </c>
      <c r="P122" s="1">
        <v>-0.63</v>
      </c>
      <c r="Q122" s="1">
        <v>0.05</v>
      </c>
      <c r="R122" s="1">
        <v>2.63</v>
      </c>
      <c r="S122" s="1">
        <v>3.3</v>
      </c>
      <c r="T122" s="1">
        <v>31</v>
      </c>
      <c r="U122" s="1">
        <v>211</v>
      </c>
      <c r="V122" s="1">
        <v>14.69</v>
      </c>
      <c r="W122" s="1">
        <v>51</v>
      </c>
      <c r="X122" s="1">
        <v>219</v>
      </c>
      <c r="Y122" s="1">
        <v>76.709999999999994</v>
      </c>
      <c r="Z122" s="1">
        <v>6</v>
      </c>
      <c r="AA122" s="1">
        <v>11</v>
      </c>
      <c r="AB122" s="1">
        <v>10.199999999999999</v>
      </c>
      <c r="AC122" s="1">
        <v>9.5</v>
      </c>
      <c r="AD122" s="1">
        <v>1948</v>
      </c>
      <c r="AE122" s="1">
        <v>9.9</v>
      </c>
      <c r="AF122" s="1">
        <v>2091</v>
      </c>
      <c r="AG122" s="1">
        <v>0.88500000000000001</v>
      </c>
      <c r="AH122" s="1">
        <v>7</v>
      </c>
      <c r="AI122" s="1">
        <v>8.3000000000000007</v>
      </c>
      <c r="AJ122" s="1">
        <v>0.92200000000000004</v>
      </c>
      <c r="AK122" s="1">
        <v>100.5</v>
      </c>
      <c r="AL122" s="1">
        <v>3635</v>
      </c>
      <c r="AM122" s="1">
        <v>3552</v>
      </c>
      <c r="AN122" s="1">
        <v>50.6</v>
      </c>
      <c r="AO122" s="1">
        <v>2780</v>
      </c>
      <c r="AP122" s="1">
        <v>2627</v>
      </c>
      <c r="AQ122" s="1">
        <v>51.4</v>
      </c>
      <c r="AR122" s="1">
        <v>173.2</v>
      </c>
      <c r="AS122" s="1">
        <v>165.1</v>
      </c>
      <c r="AT122" s="1">
        <v>179</v>
      </c>
      <c r="AU122" s="1">
        <v>157</v>
      </c>
      <c r="AV122" s="1">
        <v>14</v>
      </c>
      <c r="AW122" s="1">
        <v>1811</v>
      </c>
      <c r="AX122" s="1">
        <v>1756</v>
      </c>
      <c r="AY122" s="1">
        <v>50.8</v>
      </c>
      <c r="AZ122" s="1">
        <v>531</v>
      </c>
      <c r="BA122" s="1">
        <v>545</v>
      </c>
      <c r="BB122" s="1">
        <v>49.3</v>
      </c>
      <c r="BC122" s="1">
        <v>70</v>
      </c>
      <c r="BD122" s="1">
        <v>11.6</v>
      </c>
      <c r="BE122" s="1">
        <v>70</v>
      </c>
      <c r="BF122" s="1">
        <v>11.4</v>
      </c>
    </row>
    <row r="123" spans="1:58" x14ac:dyDescent="0.35">
      <c r="A123" t="s">
        <v>91</v>
      </c>
      <c r="B123">
        <v>26</v>
      </c>
      <c r="C123" t="s">
        <v>68</v>
      </c>
      <c r="D123" s="1">
        <v>0</v>
      </c>
      <c r="E123" s="1">
        <v>30.9</v>
      </c>
      <c r="F123" s="1">
        <v>74</v>
      </c>
      <c r="G123" s="1">
        <v>29</v>
      </c>
      <c r="H123" s="1">
        <v>34</v>
      </c>
      <c r="I123" s="1">
        <v>11</v>
      </c>
      <c r="J123" s="1">
        <v>69</v>
      </c>
      <c r="K123" s="1">
        <v>0.46600000000000003</v>
      </c>
      <c r="L123" s="1">
        <v>216</v>
      </c>
      <c r="M123" s="1">
        <v>268</v>
      </c>
      <c r="N123" s="1">
        <v>1</v>
      </c>
      <c r="O123" s="1">
        <v>6</v>
      </c>
      <c r="P123" s="1">
        <v>-0.74</v>
      </c>
      <c r="Q123" s="1">
        <v>0.04</v>
      </c>
      <c r="R123" s="1">
        <v>2.92</v>
      </c>
      <c r="S123" s="1">
        <v>3.62</v>
      </c>
      <c r="T123" s="1">
        <v>48</v>
      </c>
      <c r="U123" s="1">
        <v>200</v>
      </c>
      <c r="V123" s="1">
        <v>24</v>
      </c>
      <c r="W123" s="1">
        <v>44</v>
      </c>
      <c r="X123" s="1">
        <v>197</v>
      </c>
      <c r="Y123" s="1">
        <v>77.66</v>
      </c>
      <c r="Z123" s="1">
        <v>4</v>
      </c>
      <c r="AA123" s="1">
        <v>4</v>
      </c>
      <c r="AB123" s="1">
        <v>7</v>
      </c>
      <c r="AC123" s="1">
        <v>7.4</v>
      </c>
      <c r="AD123" s="1">
        <v>2078</v>
      </c>
      <c r="AE123" s="1">
        <v>10.4</v>
      </c>
      <c r="AF123" s="1">
        <v>2259</v>
      </c>
      <c r="AG123" s="1">
        <v>0.88100000000000001</v>
      </c>
      <c r="AH123" s="1">
        <v>1</v>
      </c>
      <c r="AI123" s="1">
        <v>8</v>
      </c>
      <c r="AJ123" s="1">
        <v>0.91600000000000004</v>
      </c>
      <c r="AK123" s="1">
        <v>99.6</v>
      </c>
      <c r="AL123" s="1">
        <v>3787</v>
      </c>
      <c r="AM123" s="1">
        <v>3814</v>
      </c>
      <c r="AN123" s="1">
        <v>49.8</v>
      </c>
      <c r="AO123" s="1">
        <v>2776</v>
      </c>
      <c r="AP123" s="1">
        <v>2827</v>
      </c>
      <c r="AQ123" s="1">
        <v>49.5</v>
      </c>
      <c r="AR123" s="1">
        <v>182.2</v>
      </c>
      <c r="AS123" s="1">
        <v>181.9</v>
      </c>
      <c r="AT123" s="1">
        <v>174</v>
      </c>
      <c r="AU123" s="1">
        <v>182</v>
      </c>
      <c r="AV123" s="1">
        <v>-8</v>
      </c>
      <c r="AW123" s="1">
        <v>1874</v>
      </c>
      <c r="AX123" s="1">
        <v>1920</v>
      </c>
      <c r="AY123" s="1">
        <v>49.4</v>
      </c>
      <c r="AZ123" s="1">
        <v>651</v>
      </c>
      <c r="BA123" s="1">
        <v>596</v>
      </c>
      <c r="BB123" s="1">
        <v>52.2</v>
      </c>
      <c r="BC123" s="1">
        <v>68</v>
      </c>
      <c r="BD123" s="1">
        <v>9.5</v>
      </c>
      <c r="BE123" s="1">
        <v>65</v>
      </c>
      <c r="BF123" s="1">
        <v>9.8000000000000007</v>
      </c>
    </row>
    <row r="124" spans="1:58" x14ac:dyDescent="0.35">
      <c r="A124" t="s">
        <v>91</v>
      </c>
      <c r="B124">
        <v>27</v>
      </c>
      <c r="C124" t="s">
        <v>86</v>
      </c>
      <c r="D124" s="1">
        <v>0</v>
      </c>
      <c r="E124" s="1">
        <v>28.9</v>
      </c>
      <c r="F124" s="1">
        <v>73</v>
      </c>
      <c r="G124" s="1">
        <v>31</v>
      </c>
      <c r="H124" s="1">
        <v>36</v>
      </c>
      <c r="I124" s="1">
        <v>6</v>
      </c>
      <c r="J124" s="1">
        <v>68</v>
      </c>
      <c r="K124" s="1">
        <v>0.46600000000000003</v>
      </c>
      <c r="L124" s="1">
        <v>221</v>
      </c>
      <c r="M124" s="1">
        <v>234</v>
      </c>
      <c r="N124" s="1">
        <v>1</v>
      </c>
      <c r="O124" s="1">
        <v>3</v>
      </c>
      <c r="P124" s="1">
        <v>-0.23</v>
      </c>
      <c r="Q124" s="1">
        <v>-0.03</v>
      </c>
      <c r="R124" s="1">
        <v>3.03</v>
      </c>
      <c r="S124" s="1">
        <v>3.21</v>
      </c>
      <c r="T124" s="1">
        <v>39</v>
      </c>
      <c r="U124" s="1">
        <v>199</v>
      </c>
      <c r="V124" s="1">
        <v>19.600000000000001</v>
      </c>
      <c r="W124" s="1">
        <v>38</v>
      </c>
      <c r="X124" s="1">
        <v>165</v>
      </c>
      <c r="Y124" s="1">
        <v>76.97</v>
      </c>
      <c r="Z124" s="1">
        <v>2</v>
      </c>
      <c r="AA124" s="1">
        <v>4</v>
      </c>
      <c r="AB124" s="1">
        <v>6.6</v>
      </c>
      <c r="AC124" s="1">
        <v>7.5</v>
      </c>
      <c r="AD124" s="1">
        <v>2005</v>
      </c>
      <c r="AE124" s="1">
        <v>11</v>
      </c>
      <c r="AF124" s="1">
        <v>2100</v>
      </c>
      <c r="AG124" s="1">
        <v>0.88900000000000001</v>
      </c>
      <c r="AH124" s="1">
        <v>1</v>
      </c>
      <c r="AI124" s="1">
        <v>7.8</v>
      </c>
      <c r="AJ124" s="1">
        <v>0.91800000000000004</v>
      </c>
      <c r="AK124" s="1">
        <v>99.6</v>
      </c>
      <c r="AL124" s="1">
        <v>3640</v>
      </c>
      <c r="AM124" s="1">
        <v>4067</v>
      </c>
      <c r="AN124" s="1">
        <v>47.2</v>
      </c>
      <c r="AO124" s="1">
        <v>2518</v>
      </c>
      <c r="AP124" s="1">
        <v>2923</v>
      </c>
      <c r="AQ124" s="1">
        <v>46.3</v>
      </c>
      <c r="AR124" s="1">
        <v>150.1</v>
      </c>
      <c r="AS124" s="1">
        <v>167.1</v>
      </c>
      <c r="AT124" s="1">
        <v>143</v>
      </c>
      <c r="AU124" s="1">
        <v>175</v>
      </c>
      <c r="AV124" s="1">
        <v>-15</v>
      </c>
      <c r="AW124" s="1">
        <v>1646</v>
      </c>
      <c r="AX124" s="1">
        <v>1806</v>
      </c>
      <c r="AY124" s="1">
        <v>47.7</v>
      </c>
      <c r="AZ124" s="1">
        <v>610</v>
      </c>
      <c r="BA124" s="1">
        <v>637</v>
      </c>
      <c r="BB124" s="1">
        <v>48.9</v>
      </c>
      <c r="BC124" s="1">
        <v>63</v>
      </c>
      <c r="BD124" s="1">
        <v>9.4</v>
      </c>
      <c r="BE124" s="1">
        <v>69</v>
      </c>
      <c r="BF124" s="1">
        <v>9.8000000000000007</v>
      </c>
    </row>
    <row r="125" spans="1:58" x14ac:dyDescent="0.35">
      <c r="A125" t="s">
        <v>91</v>
      </c>
      <c r="B125">
        <v>28</v>
      </c>
      <c r="C125" t="s">
        <v>85</v>
      </c>
      <c r="D125" s="1">
        <v>0</v>
      </c>
      <c r="E125" s="1">
        <v>26.8</v>
      </c>
      <c r="F125" s="1">
        <v>74</v>
      </c>
      <c r="G125" s="1">
        <v>29</v>
      </c>
      <c r="H125" s="1">
        <v>36</v>
      </c>
      <c r="I125" s="1">
        <v>9</v>
      </c>
      <c r="J125" s="1">
        <v>67</v>
      </c>
      <c r="K125" s="1">
        <v>0.45300000000000001</v>
      </c>
      <c r="L125" s="1">
        <v>203</v>
      </c>
      <c r="M125" s="1">
        <v>255</v>
      </c>
      <c r="N125" s="1">
        <v>5</v>
      </c>
      <c r="O125" s="1">
        <v>3</v>
      </c>
      <c r="P125" s="1">
        <v>-0.62</v>
      </c>
      <c r="Q125" s="1">
        <v>0.06</v>
      </c>
      <c r="R125" s="1">
        <v>2.74</v>
      </c>
      <c r="S125" s="1">
        <v>3.45</v>
      </c>
      <c r="T125" s="1">
        <v>27</v>
      </c>
      <c r="U125" s="1">
        <v>194</v>
      </c>
      <c r="V125" s="1">
        <v>13.92</v>
      </c>
      <c r="W125" s="1">
        <v>41</v>
      </c>
      <c r="X125" s="1">
        <v>183</v>
      </c>
      <c r="Y125" s="1">
        <v>77.599999999999994</v>
      </c>
      <c r="Z125" s="1">
        <v>3</v>
      </c>
      <c r="AA125" s="1">
        <v>6</v>
      </c>
      <c r="AB125" s="1">
        <v>7.5</v>
      </c>
      <c r="AC125" s="1">
        <v>7.6</v>
      </c>
      <c r="AD125" s="1">
        <v>2000</v>
      </c>
      <c r="AE125" s="1">
        <v>10.199999999999999</v>
      </c>
      <c r="AF125" s="1">
        <v>1975</v>
      </c>
      <c r="AG125" s="1">
        <v>0.871</v>
      </c>
      <c r="AH125" s="1">
        <v>3</v>
      </c>
      <c r="AI125" s="1">
        <v>10.3</v>
      </c>
      <c r="AJ125" s="1">
        <v>0.92300000000000004</v>
      </c>
      <c r="AK125" s="1">
        <v>102.6</v>
      </c>
      <c r="AL125" s="1">
        <v>3434</v>
      </c>
      <c r="AM125" s="1">
        <v>3271</v>
      </c>
      <c r="AN125" s="1">
        <v>51.2</v>
      </c>
      <c r="AO125" s="1">
        <v>2457</v>
      </c>
      <c r="AP125" s="1">
        <v>2327</v>
      </c>
      <c r="AQ125" s="1">
        <v>51.4</v>
      </c>
      <c r="AR125" s="1">
        <v>153.69999999999999</v>
      </c>
      <c r="AS125" s="1">
        <v>142.5</v>
      </c>
      <c r="AT125" s="1">
        <v>178</v>
      </c>
      <c r="AU125" s="1">
        <v>125</v>
      </c>
      <c r="AV125" s="1">
        <v>42</v>
      </c>
      <c r="AW125" s="1">
        <v>1569</v>
      </c>
      <c r="AX125" s="1">
        <v>1507</v>
      </c>
      <c r="AY125" s="1">
        <v>51</v>
      </c>
      <c r="AZ125" s="1">
        <v>525</v>
      </c>
      <c r="BA125" s="1">
        <v>537</v>
      </c>
      <c r="BB125" s="1">
        <v>49.4</v>
      </c>
      <c r="BC125" s="1">
        <v>67</v>
      </c>
      <c r="BD125" s="1">
        <v>11.3</v>
      </c>
      <c r="BE125" s="1">
        <v>46</v>
      </c>
      <c r="BF125" s="1">
        <v>7.9</v>
      </c>
    </row>
    <row r="126" spans="1:58" x14ac:dyDescent="0.35">
      <c r="A126" t="s">
        <v>91</v>
      </c>
      <c r="B126">
        <v>29</v>
      </c>
      <c r="C126" t="s">
        <v>80</v>
      </c>
      <c r="D126" s="1">
        <v>0</v>
      </c>
      <c r="E126" s="1">
        <v>25.9</v>
      </c>
      <c r="F126" s="1">
        <v>71</v>
      </c>
      <c r="G126" s="1">
        <v>30</v>
      </c>
      <c r="H126" s="1">
        <v>35</v>
      </c>
      <c r="I126" s="1">
        <v>6</v>
      </c>
      <c r="J126" s="1">
        <v>66</v>
      </c>
      <c r="K126" s="1">
        <v>0.46500000000000002</v>
      </c>
      <c r="L126" s="1">
        <v>224</v>
      </c>
      <c r="M126" s="1">
        <v>248</v>
      </c>
      <c r="N126" s="1">
        <v>3</v>
      </c>
      <c r="O126" s="1">
        <v>1</v>
      </c>
      <c r="P126" s="1">
        <v>-0.34</v>
      </c>
      <c r="Q126" s="1">
        <v>-0.03</v>
      </c>
      <c r="R126" s="1">
        <v>3.15</v>
      </c>
      <c r="S126" s="1">
        <v>3.49</v>
      </c>
      <c r="T126" s="1">
        <v>36</v>
      </c>
      <c r="U126" s="1">
        <v>205</v>
      </c>
      <c r="V126" s="1">
        <v>17.559999999999999</v>
      </c>
      <c r="W126" s="1">
        <v>50</v>
      </c>
      <c r="X126" s="1">
        <v>215</v>
      </c>
      <c r="Y126" s="1">
        <v>76.739999999999995</v>
      </c>
      <c r="Z126" s="1">
        <v>6</v>
      </c>
      <c r="AA126" s="1">
        <v>7</v>
      </c>
      <c r="AB126" s="1">
        <v>10.8</v>
      </c>
      <c r="AC126" s="1">
        <v>10.199999999999999</v>
      </c>
      <c r="AD126" s="1">
        <v>1959</v>
      </c>
      <c r="AE126" s="1">
        <v>11.4</v>
      </c>
      <c r="AF126" s="1">
        <v>2043</v>
      </c>
      <c r="AG126" s="1">
        <v>0.879</v>
      </c>
      <c r="AH126" s="1">
        <v>2</v>
      </c>
      <c r="AI126" s="1">
        <v>7.3</v>
      </c>
      <c r="AJ126" s="1">
        <v>0.92700000000000005</v>
      </c>
      <c r="AK126" s="1">
        <v>100</v>
      </c>
      <c r="AL126" s="1">
        <v>3576</v>
      </c>
      <c r="AM126" s="1">
        <v>3657</v>
      </c>
      <c r="AN126" s="1">
        <v>49.4</v>
      </c>
      <c r="AO126" s="1">
        <v>2741</v>
      </c>
      <c r="AP126" s="1">
        <v>2793</v>
      </c>
      <c r="AQ126" s="1">
        <v>49.5</v>
      </c>
      <c r="AR126" s="1">
        <v>186.6</v>
      </c>
      <c r="AS126" s="1">
        <v>190.9</v>
      </c>
      <c r="AT126" s="1">
        <v>156</v>
      </c>
      <c r="AU126" s="1">
        <v>162</v>
      </c>
      <c r="AV126" s="1">
        <v>-2</v>
      </c>
      <c r="AW126" s="1">
        <v>1875</v>
      </c>
      <c r="AX126" s="1">
        <v>1903</v>
      </c>
      <c r="AY126" s="1">
        <v>49.6</v>
      </c>
      <c r="AZ126" s="1">
        <v>587</v>
      </c>
      <c r="BA126" s="1">
        <v>606</v>
      </c>
      <c r="BB126" s="1">
        <v>49.2</v>
      </c>
      <c r="BC126" s="1">
        <v>72</v>
      </c>
      <c r="BD126" s="1">
        <v>10.9</v>
      </c>
      <c r="BE126" s="1">
        <v>66</v>
      </c>
      <c r="BF126" s="1">
        <v>9.8000000000000007</v>
      </c>
    </row>
    <row r="127" spans="1:58" x14ac:dyDescent="0.35">
      <c r="A127" t="s">
        <v>91</v>
      </c>
      <c r="B127">
        <v>30</v>
      </c>
      <c r="C127" t="s">
        <v>72</v>
      </c>
      <c r="D127" s="1">
        <v>0</v>
      </c>
      <c r="E127" s="1">
        <v>30</v>
      </c>
      <c r="F127" s="1">
        <v>72</v>
      </c>
      <c r="G127" s="1">
        <v>27</v>
      </c>
      <c r="H127" s="1">
        <v>37</v>
      </c>
      <c r="I127" s="1">
        <v>8</v>
      </c>
      <c r="J127" s="1">
        <v>62</v>
      </c>
      <c r="K127" s="1">
        <v>0.43099999999999999</v>
      </c>
      <c r="L127" s="1">
        <v>183</v>
      </c>
      <c r="M127" s="1">
        <v>232</v>
      </c>
      <c r="N127" s="1">
        <v>1</v>
      </c>
      <c r="O127" s="1">
        <v>0</v>
      </c>
      <c r="P127" s="1">
        <v>-0.63</v>
      </c>
      <c r="Q127" s="1">
        <v>0.04</v>
      </c>
      <c r="R127" s="1">
        <v>2.54</v>
      </c>
      <c r="S127" s="1">
        <v>3.22</v>
      </c>
      <c r="T127" s="1">
        <v>43</v>
      </c>
      <c r="U127" s="1">
        <v>203</v>
      </c>
      <c r="V127" s="1">
        <v>21.18</v>
      </c>
      <c r="W127" s="1">
        <v>40</v>
      </c>
      <c r="X127" s="1">
        <v>214</v>
      </c>
      <c r="Y127" s="1">
        <v>81.31</v>
      </c>
      <c r="Z127" s="1">
        <v>1</v>
      </c>
      <c r="AA127" s="1">
        <v>4</v>
      </c>
      <c r="AB127" s="1">
        <v>10.1</v>
      </c>
      <c r="AC127" s="1">
        <v>9.5</v>
      </c>
      <c r="AD127" s="1">
        <v>2111</v>
      </c>
      <c r="AE127" s="1">
        <v>8.6999999999999993</v>
      </c>
      <c r="AF127" s="1">
        <v>2055</v>
      </c>
      <c r="AG127" s="1">
        <v>0.88700000000000001</v>
      </c>
      <c r="AH127" s="1">
        <v>4</v>
      </c>
      <c r="AI127" s="1">
        <v>7.7</v>
      </c>
      <c r="AJ127" s="1">
        <v>0.92800000000000005</v>
      </c>
      <c r="AK127" s="1">
        <v>100.5</v>
      </c>
      <c r="AL127" s="1">
        <v>3687</v>
      </c>
      <c r="AM127" s="1">
        <v>3440</v>
      </c>
      <c r="AN127" s="1">
        <v>51.7</v>
      </c>
      <c r="AO127" s="1">
        <v>2754</v>
      </c>
      <c r="AP127" s="1">
        <v>2585</v>
      </c>
      <c r="AQ127" s="1">
        <v>51.6</v>
      </c>
      <c r="AR127" s="1">
        <v>170.9</v>
      </c>
      <c r="AS127" s="1">
        <v>170.4</v>
      </c>
      <c r="AT127" s="1">
        <v>158</v>
      </c>
      <c r="AU127" s="1">
        <v>147</v>
      </c>
      <c r="AV127" s="1">
        <v>11</v>
      </c>
      <c r="AW127" s="1">
        <v>1863</v>
      </c>
      <c r="AX127" s="1">
        <v>1711</v>
      </c>
      <c r="AY127" s="1">
        <v>52.1</v>
      </c>
      <c r="AZ127" s="1">
        <v>641</v>
      </c>
      <c r="BA127" s="1">
        <v>566</v>
      </c>
      <c r="BB127" s="1">
        <v>53.1</v>
      </c>
      <c r="BC127" s="1">
        <v>58</v>
      </c>
      <c r="BD127" s="1">
        <v>8.3000000000000007</v>
      </c>
      <c r="BE127" s="1">
        <v>64</v>
      </c>
      <c r="BF127" s="1">
        <v>10.199999999999999</v>
      </c>
    </row>
    <row r="128" spans="1:58" x14ac:dyDescent="0.35">
      <c r="A128" t="s">
        <v>91</v>
      </c>
      <c r="B128">
        <v>31</v>
      </c>
      <c r="C128" t="s">
        <v>83</v>
      </c>
      <c r="D128" s="1">
        <v>0</v>
      </c>
      <c r="E128" s="1">
        <v>28.4</v>
      </c>
      <c r="F128" s="1">
        <v>73</v>
      </c>
      <c r="G128" s="1">
        <v>21</v>
      </c>
      <c r="H128" s="1">
        <v>43</v>
      </c>
      <c r="I128" s="1">
        <v>9</v>
      </c>
      <c r="J128" s="1">
        <v>51</v>
      </c>
      <c r="K128" s="1">
        <v>0.34899999999999998</v>
      </c>
      <c r="L128" s="1">
        <v>198</v>
      </c>
      <c r="M128" s="1">
        <v>262</v>
      </c>
      <c r="N128" s="1">
        <v>1</v>
      </c>
      <c r="O128" s="1">
        <v>2</v>
      </c>
      <c r="P128" s="1">
        <v>-0.85</v>
      </c>
      <c r="Q128" s="1">
        <v>0.04</v>
      </c>
      <c r="R128" s="1">
        <v>2.71</v>
      </c>
      <c r="S128" s="1">
        <v>3.59</v>
      </c>
      <c r="T128" s="1">
        <v>43</v>
      </c>
      <c r="U128" s="1">
        <v>168</v>
      </c>
      <c r="V128" s="1">
        <v>25.6</v>
      </c>
      <c r="W128" s="1">
        <v>39</v>
      </c>
      <c r="X128" s="1">
        <v>201</v>
      </c>
      <c r="Y128" s="1">
        <v>80.599999999999994</v>
      </c>
      <c r="Z128" s="1">
        <v>2</v>
      </c>
      <c r="AA128" s="1">
        <v>7</v>
      </c>
      <c r="AB128" s="1">
        <v>8.8000000000000007</v>
      </c>
      <c r="AC128" s="1">
        <v>7.4</v>
      </c>
      <c r="AD128" s="1">
        <v>1780</v>
      </c>
      <c r="AE128" s="1">
        <v>11.1</v>
      </c>
      <c r="AF128" s="1">
        <v>2270</v>
      </c>
      <c r="AG128" s="1">
        <v>0.88500000000000001</v>
      </c>
      <c r="AH128" s="1">
        <v>0</v>
      </c>
      <c r="AI128" s="1">
        <v>8.1999999999999993</v>
      </c>
      <c r="AJ128" s="1">
        <v>0.94</v>
      </c>
      <c r="AK128" s="1">
        <v>102.2</v>
      </c>
      <c r="AL128" s="1">
        <v>3990</v>
      </c>
      <c r="AM128" s="1">
        <v>3742</v>
      </c>
      <c r="AN128" s="1">
        <v>51.6</v>
      </c>
      <c r="AO128" s="1">
        <v>2915</v>
      </c>
      <c r="AP128" s="1">
        <v>2758</v>
      </c>
      <c r="AQ128" s="1">
        <v>51.4</v>
      </c>
      <c r="AR128" s="1">
        <v>171.1</v>
      </c>
      <c r="AS128" s="1">
        <v>161.9</v>
      </c>
      <c r="AT128" s="1">
        <v>178</v>
      </c>
      <c r="AU128" s="1">
        <v>121</v>
      </c>
      <c r="AV128" s="1">
        <v>48</v>
      </c>
      <c r="AW128" s="1">
        <v>1800</v>
      </c>
      <c r="AX128" s="1">
        <v>1718</v>
      </c>
      <c r="AY128" s="1">
        <v>51.2</v>
      </c>
      <c r="AZ128" s="1">
        <v>602</v>
      </c>
      <c r="BA128" s="1">
        <v>615</v>
      </c>
      <c r="BB128" s="1">
        <v>49.5</v>
      </c>
      <c r="BC128" s="1">
        <v>65</v>
      </c>
      <c r="BD128" s="1">
        <v>9.6999999999999993</v>
      </c>
      <c r="BE128" s="1">
        <v>49</v>
      </c>
      <c r="BF128" s="1">
        <v>7.4</v>
      </c>
    </row>
    <row r="129" spans="1:58" x14ac:dyDescent="0.35">
      <c r="A129" t="s">
        <v>91</v>
      </c>
      <c r="B129">
        <v>32</v>
      </c>
      <c r="C129" t="s">
        <v>78</v>
      </c>
      <c r="D129" s="1">
        <v>0</v>
      </c>
      <c r="E129" s="1">
        <v>27.3</v>
      </c>
      <c r="F129" s="1">
        <v>71</v>
      </c>
      <c r="G129" s="1">
        <v>20</v>
      </c>
      <c r="H129" s="1">
        <v>42</v>
      </c>
      <c r="I129" s="1">
        <v>9</v>
      </c>
      <c r="J129" s="1">
        <v>49</v>
      </c>
      <c r="K129" s="1">
        <v>0.34499999999999997</v>
      </c>
      <c r="L129" s="1">
        <v>186</v>
      </c>
      <c r="M129" s="1">
        <v>260</v>
      </c>
      <c r="N129" s="1">
        <v>2</v>
      </c>
      <c r="O129" s="1">
        <v>4</v>
      </c>
      <c r="P129" s="1">
        <v>-1.02</v>
      </c>
      <c r="Q129" s="1">
        <v>0.05</v>
      </c>
      <c r="R129" s="1">
        <v>2.62</v>
      </c>
      <c r="S129" s="1">
        <v>3.66</v>
      </c>
      <c r="T129" s="1">
        <v>39</v>
      </c>
      <c r="U129" s="1">
        <v>201</v>
      </c>
      <c r="V129" s="1">
        <v>19.399999999999999</v>
      </c>
      <c r="W129" s="1">
        <v>56</v>
      </c>
      <c r="X129" s="1">
        <v>218</v>
      </c>
      <c r="Y129" s="1">
        <v>74.31</v>
      </c>
      <c r="Z129" s="1">
        <v>5</v>
      </c>
      <c r="AA129" s="1">
        <v>7</v>
      </c>
      <c r="AB129" s="1">
        <v>8.6</v>
      </c>
      <c r="AC129" s="1">
        <v>8.8000000000000007</v>
      </c>
      <c r="AD129" s="1">
        <v>1924</v>
      </c>
      <c r="AE129" s="1">
        <v>9.6999999999999993</v>
      </c>
      <c r="AF129" s="1">
        <v>2235</v>
      </c>
      <c r="AG129" s="1">
        <v>0.88400000000000001</v>
      </c>
      <c r="AH129" s="1">
        <v>1</v>
      </c>
      <c r="AI129" s="1">
        <v>8.6</v>
      </c>
      <c r="AJ129" s="1">
        <v>0.93700000000000006</v>
      </c>
      <c r="AK129" s="1">
        <v>102.3</v>
      </c>
      <c r="AL129" s="1">
        <v>3481</v>
      </c>
      <c r="AM129" s="1">
        <v>3414</v>
      </c>
      <c r="AN129" s="1">
        <v>50.5</v>
      </c>
      <c r="AO129" s="1">
        <v>2537</v>
      </c>
      <c r="AP129" s="1">
        <v>2477</v>
      </c>
      <c r="AQ129" s="1">
        <v>50.6</v>
      </c>
      <c r="AR129" s="1">
        <v>145.69999999999999</v>
      </c>
      <c r="AS129" s="1">
        <v>134.4</v>
      </c>
      <c r="AT129" s="1">
        <v>154</v>
      </c>
      <c r="AU129" s="1">
        <v>107</v>
      </c>
      <c r="AV129" s="1">
        <v>36</v>
      </c>
      <c r="AW129" s="1">
        <v>1558</v>
      </c>
      <c r="AX129" s="1">
        <v>1510</v>
      </c>
      <c r="AY129" s="1">
        <v>50.8</v>
      </c>
      <c r="AZ129" s="1">
        <v>540</v>
      </c>
      <c r="BA129" s="1">
        <v>509</v>
      </c>
      <c r="BB129" s="1">
        <v>51.5</v>
      </c>
      <c r="BC129" s="1">
        <v>58</v>
      </c>
      <c r="BD129" s="1">
        <v>9.6999999999999993</v>
      </c>
      <c r="BE129" s="1">
        <v>39</v>
      </c>
      <c r="BF129" s="1">
        <v>7.1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CD5EF-2CE1-47A9-AC3E-4154F1C9821B}">
  <dimension ref="A1:D129"/>
  <sheetViews>
    <sheetView tabSelected="1" workbookViewId="0">
      <selection activeCell="I15" sqref="I15"/>
    </sheetView>
  </sheetViews>
  <sheetFormatPr defaultRowHeight="14.5" x14ac:dyDescent="0.35"/>
  <cols>
    <col min="1" max="1" width="9.6328125" bestFit="1" customWidth="1"/>
    <col min="2" max="2" width="19.54296875" bestFit="1" customWidth="1"/>
  </cols>
  <sheetData>
    <row r="1" spans="1:4" x14ac:dyDescent="0.35">
      <c r="A1" s="8" t="s">
        <v>0</v>
      </c>
      <c r="B1" s="9" t="s">
        <v>2</v>
      </c>
      <c r="C1" s="18" t="s">
        <v>17</v>
      </c>
      <c r="D1" s="18" t="s">
        <v>18</v>
      </c>
    </row>
    <row r="2" spans="1:4" x14ac:dyDescent="0.35">
      <c r="A2" s="10" t="s">
        <v>56</v>
      </c>
      <c r="B2" s="11" t="s">
        <v>57</v>
      </c>
      <c r="C2" s="19">
        <v>4.1100000000000003</v>
      </c>
      <c r="D2" s="19">
        <v>2.95</v>
      </c>
    </row>
    <row r="3" spans="1:4" x14ac:dyDescent="0.35">
      <c r="A3" s="10" t="s">
        <v>56</v>
      </c>
      <c r="B3" s="11" t="s">
        <v>58</v>
      </c>
      <c r="C3" s="19">
        <v>3.76</v>
      </c>
      <c r="D3" s="19">
        <v>2.83</v>
      </c>
    </row>
    <row r="4" spans="1:4" x14ac:dyDescent="0.35">
      <c r="A4" s="10" t="s">
        <v>56</v>
      </c>
      <c r="B4" s="11" t="s">
        <v>59</v>
      </c>
      <c r="C4" s="19">
        <v>3.38</v>
      </c>
      <c r="D4" s="19">
        <v>2.44</v>
      </c>
    </row>
    <row r="5" spans="1:4" x14ac:dyDescent="0.35">
      <c r="A5" s="10" t="s">
        <v>56</v>
      </c>
      <c r="B5" s="11" t="s">
        <v>60</v>
      </c>
      <c r="C5" s="19">
        <v>3.8</v>
      </c>
      <c r="D5" s="19">
        <v>3.07</v>
      </c>
    </row>
    <row r="6" spans="1:4" x14ac:dyDescent="0.35">
      <c r="A6" s="10" t="s">
        <v>56</v>
      </c>
      <c r="B6" s="11" t="s">
        <v>61</v>
      </c>
      <c r="C6" s="19">
        <v>3.72</v>
      </c>
      <c r="D6" s="19">
        <v>3.04</v>
      </c>
    </row>
    <row r="7" spans="1:4" x14ac:dyDescent="0.35">
      <c r="A7" s="10" t="s">
        <v>56</v>
      </c>
      <c r="B7" s="11" t="s">
        <v>62</v>
      </c>
      <c r="C7" s="19">
        <v>3.55</v>
      </c>
      <c r="D7" s="19">
        <v>2.5099999999999998</v>
      </c>
    </row>
    <row r="8" spans="1:4" x14ac:dyDescent="0.35">
      <c r="A8" s="10" t="s">
        <v>56</v>
      </c>
      <c r="B8" s="11" t="s">
        <v>63</v>
      </c>
      <c r="C8" s="19">
        <v>3.48</v>
      </c>
      <c r="D8" s="19">
        <v>2.78</v>
      </c>
    </row>
    <row r="9" spans="1:4" x14ac:dyDescent="0.35">
      <c r="A9" s="10" t="s">
        <v>56</v>
      </c>
      <c r="B9" s="11" t="s">
        <v>64</v>
      </c>
      <c r="C9" s="19">
        <v>3.05</v>
      </c>
      <c r="D9" s="19">
        <v>2.4900000000000002</v>
      </c>
    </row>
    <row r="10" spans="1:4" x14ac:dyDescent="0.35">
      <c r="A10" s="10" t="s">
        <v>56</v>
      </c>
      <c r="B10" s="11" t="s">
        <v>65</v>
      </c>
      <c r="C10" s="19">
        <v>3.77</v>
      </c>
      <c r="D10" s="19">
        <v>2.91</v>
      </c>
    </row>
    <row r="11" spans="1:4" x14ac:dyDescent="0.35">
      <c r="A11" s="10" t="s">
        <v>56</v>
      </c>
      <c r="B11" s="11" t="s">
        <v>66</v>
      </c>
      <c r="C11" s="19">
        <v>3.09</v>
      </c>
      <c r="D11" s="19">
        <v>2.66</v>
      </c>
    </row>
    <row r="12" spans="1:4" x14ac:dyDescent="0.35">
      <c r="A12" s="10" t="s">
        <v>56</v>
      </c>
      <c r="B12" s="11" t="s">
        <v>67</v>
      </c>
      <c r="C12" s="19">
        <v>3.48</v>
      </c>
      <c r="D12" s="19">
        <v>3.06</v>
      </c>
    </row>
    <row r="13" spans="1:4" x14ac:dyDescent="0.35">
      <c r="A13" s="10" t="s">
        <v>56</v>
      </c>
      <c r="B13" s="11" t="s">
        <v>68</v>
      </c>
      <c r="C13" s="19">
        <v>3.28</v>
      </c>
      <c r="D13" s="19">
        <v>2.71</v>
      </c>
    </row>
    <row r="14" spans="1:4" x14ac:dyDescent="0.35">
      <c r="A14" s="10" t="s">
        <v>56</v>
      </c>
      <c r="B14" s="11" t="s">
        <v>69</v>
      </c>
      <c r="C14" s="19">
        <v>3.29</v>
      </c>
      <c r="D14" s="19">
        <v>2.95</v>
      </c>
    </row>
    <row r="15" spans="1:4" x14ac:dyDescent="0.35">
      <c r="A15" s="10" t="s">
        <v>56</v>
      </c>
      <c r="B15" s="11" t="s">
        <v>70</v>
      </c>
      <c r="C15" s="19">
        <v>2.87</v>
      </c>
      <c r="D15" s="19">
        <v>2.83</v>
      </c>
    </row>
    <row r="16" spans="1:4" x14ac:dyDescent="0.35">
      <c r="A16" s="10" t="s">
        <v>56</v>
      </c>
      <c r="B16" s="11" t="s">
        <v>71</v>
      </c>
      <c r="C16" s="19">
        <v>2.84</v>
      </c>
      <c r="D16" s="19">
        <v>2.98</v>
      </c>
    </row>
    <row r="17" spans="1:4" x14ac:dyDescent="0.35">
      <c r="A17" s="10" t="s">
        <v>56</v>
      </c>
      <c r="B17" s="11" t="s">
        <v>72</v>
      </c>
      <c r="C17" s="19">
        <v>3.2</v>
      </c>
      <c r="D17" s="19">
        <v>3.05</v>
      </c>
    </row>
    <row r="18" spans="1:4" x14ac:dyDescent="0.35">
      <c r="A18" s="10" t="s">
        <v>56</v>
      </c>
      <c r="B18" s="11" t="s">
        <v>73</v>
      </c>
      <c r="C18" s="19">
        <v>3.2</v>
      </c>
      <c r="D18" s="19">
        <v>2.98</v>
      </c>
    </row>
    <row r="19" spans="1:4" x14ac:dyDescent="0.35">
      <c r="A19" s="10" t="s">
        <v>56</v>
      </c>
      <c r="B19" s="11" t="s">
        <v>74</v>
      </c>
      <c r="C19" s="19">
        <v>3</v>
      </c>
      <c r="D19" s="19">
        <v>2.82</v>
      </c>
    </row>
    <row r="20" spans="1:4" x14ac:dyDescent="0.35">
      <c r="A20" s="10" t="s">
        <v>56</v>
      </c>
      <c r="B20" s="11" t="s">
        <v>75</v>
      </c>
      <c r="C20" s="19">
        <v>3.05</v>
      </c>
      <c r="D20" s="19">
        <v>3.09</v>
      </c>
    </row>
    <row r="21" spans="1:4" x14ac:dyDescent="0.35">
      <c r="A21" s="10" t="s">
        <v>56</v>
      </c>
      <c r="B21" s="11" t="s">
        <v>76</v>
      </c>
      <c r="C21" s="19">
        <v>2.79</v>
      </c>
      <c r="D21" s="19">
        <v>2.82</v>
      </c>
    </row>
    <row r="22" spans="1:4" x14ac:dyDescent="0.35">
      <c r="A22" s="10" t="s">
        <v>56</v>
      </c>
      <c r="B22" s="11" t="s">
        <v>77</v>
      </c>
      <c r="C22" s="19">
        <v>3.15</v>
      </c>
      <c r="D22" s="19">
        <v>3.62</v>
      </c>
    </row>
    <row r="23" spans="1:4" x14ac:dyDescent="0.35">
      <c r="A23" s="10" t="s">
        <v>56</v>
      </c>
      <c r="B23" s="11" t="s">
        <v>78</v>
      </c>
      <c r="C23" s="19">
        <v>2.57</v>
      </c>
      <c r="D23" s="19">
        <v>3.18</v>
      </c>
    </row>
    <row r="24" spans="1:4" x14ac:dyDescent="0.35">
      <c r="A24" s="10" t="s">
        <v>56</v>
      </c>
      <c r="B24" s="11" t="s">
        <v>79</v>
      </c>
      <c r="C24" s="19">
        <v>2.78</v>
      </c>
      <c r="D24" s="19">
        <v>3.24</v>
      </c>
    </row>
    <row r="25" spans="1:4" x14ac:dyDescent="0.35">
      <c r="A25" s="10" t="s">
        <v>56</v>
      </c>
      <c r="B25" s="11" t="s">
        <v>80</v>
      </c>
      <c r="C25" s="19">
        <v>2.79</v>
      </c>
      <c r="D25" s="19">
        <v>3.5</v>
      </c>
    </row>
    <row r="26" spans="1:4" x14ac:dyDescent="0.35">
      <c r="A26" s="10" t="s">
        <v>56</v>
      </c>
      <c r="B26" s="11" t="s">
        <v>81</v>
      </c>
      <c r="C26" s="19">
        <v>2.77</v>
      </c>
      <c r="D26" s="19">
        <v>3.78</v>
      </c>
    </row>
    <row r="27" spans="1:4" x14ac:dyDescent="0.35">
      <c r="A27" s="10" t="s">
        <v>56</v>
      </c>
      <c r="B27" s="11" t="s">
        <v>82</v>
      </c>
      <c r="C27" s="19">
        <v>2.73</v>
      </c>
      <c r="D27" s="19">
        <v>3.22</v>
      </c>
    </row>
    <row r="28" spans="1:4" x14ac:dyDescent="0.35">
      <c r="A28" s="10" t="s">
        <v>56</v>
      </c>
      <c r="B28" s="11" t="s">
        <v>83</v>
      </c>
      <c r="C28" s="19">
        <v>2.6</v>
      </c>
      <c r="D28" s="19">
        <v>3.52</v>
      </c>
    </row>
    <row r="29" spans="1:4" x14ac:dyDescent="0.35">
      <c r="A29" s="10" t="s">
        <v>56</v>
      </c>
      <c r="B29" s="11" t="s">
        <v>84</v>
      </c>
      <c r="C29" s="19">
        <v>2.99</v>
      </c>
      <c r="D29" s="19">
        <v>3.68</v>
      </c>
    </row>
    <row r="30" spans="1:4" x14ac:dyDescent="0.35">
      <c r="A30" s="10" t="s">
        <v>56</v>
      </c>
      <c r="B30" s="11" t="s">
        <v>85</v>
      </c>
      <c r="C30" s="19">
        <v>2.56</v>
      </c>
      <c r="D30" s="19">
        <v>3.59</v>
      </c>
    </row>
    <row r="31" spans="1:4" x14ac:dyDescent="0.35">
      <c r="A31" s="10" t="s">
        <v>56</v>
      </c>
      <c r="B31" s="11" t="s">
        <v>86</v>
      </c>
      <c r="C31" s="19">
        <v>2.6</v>
      </c>
      <c r="D31" s="19">
        <v>3.46</v>
      </c>
    </row>
    <row r="32" spans="1:4" x14ac:dyDescent="0.35">
      <c r="A32" s="10" t="s">
        <v>56</v>
      </c>
      <c r="B32" s="11" t="s">
        <v>87</v>
      </c>
      <c r="C32" s="19">
        <v>2.5099999999999998</v>
      </c>
      <c r="D32" s="19">
        <v>3.77</v>
      </c>
    </row>
    <row r="33" spans="1:4" x14ac:dyDescent="0.35">
      <c r="A33" s="10" t="s">
        <v>56</v>
      </c>
      <c r="B33" s="11" t="s">
        <v>88</v>
      </c>
      <c r="C33" s="19">
        <v>2.66</v>
      </c>
      <c r="D33" s="19">
        <v>3.87</v>
      </c>
    </row>
    <row r="34" spans="1:4" x14ac:dyDescent="0.35">
      <c r="A34" s="10" t="s">
        <v>89</v>
      </c>
      <c r="B34" s="11" t="s">
        <v>66</v>
      </c>
      <c r="C34" s="19">
        <v>3.67</v>
      </c>
      <c r="D34" s="19">
        <v>2.12</v>
      </c>
    </row>
    <row r="35" spans="1:4" x14ac:dyDescent="0.35">
      <c r="A35" s="10" t="s">
        <v>89</v>
      </c>
      <c r="B35" s="11" t="s">
        <v>59</v>
      </c>
      <c r="C35" s="19">
        <v>3.2</v>
      </c>
      <c r="D35" s="19">
        <v>2.56</v>
      </c>
    </row>
    <row r="36" spans="1:4" x14ac:dyDescent="0.35">
      <c r="A36" s="10" t="s">
        <v>89</v>
      </c>
      <c r="B36" s="11" t="s">
        <v>84</v>
      </c>
      <c r="C36" s="19">
        <v>3.52</v>
      </c>
      <c r="D36" s="19">
        <v>2.71</v>
      </c>
    </row>
    <row r="37" spans="1:4" x14ac:dyDescent="0.35">
      <c r="A37" s="10" t="s">
        <v>89</v>
      </c>
      <c r="B37" s="11" t="s">
        <v>73</v>
      </c>
      <c r="C37" s="19">
        <v>3.26</v>
      </c>
      <c r="D37" s="19">
        <v>2.74</v>
      </c>
    </row>
    <row r="38" spans="1:4" x14ac:dyDescent="0.35">
      <c r="A38" s="10" t="s">
        <v>89</v>
      </c>
      <c r="B38" s="11" t="s">
        <v>60</v>
      </c>
      <c r="C38" s="19">
        <v>3.39</v>
      </c>
      <c r="D38" s="19">
        <v>2.68</v>
      </c>
    </row>
    <row r="39" spans="1:4" x14ac:dyDescent="0.35">
      <c r="A39" s="10" t="s">
        <v>89</v>
      </c>
      <c r="B39" s="11" t="s">
        <v>58</v>
      </c>
      <c r="C39" s="19">
        <v>3.34</v>
      </c>
      <c r="D39" s="19">
        <v>2.72</v>
      </c>
    </row>
    <row r="40" spans="1:4" x14ac:dyDescent="0.35">
      <c r="A40" s="10" t="s">
        <v>89</v>
      </c>
      <c r="B40" s="11" t="s">
        <v>67</v>
      </c>
      <c r="C40" s="19">
        <v>3.96</v>
      </c>
      <c r="D40" s="19">
        <v>3.12</v>
      </c>
    </row>
    <row r="41" spans="1:4" x14ac:dyDescent="0.35">
      <c r="A41" s="10" t="s">
        <v>89</v>
      </c>
      <c r="B41" s="11" t="s">
        <v>71</v>
      </c>
      <c r="C41" s="19">
        <v>3.43</v>
      </c>
      <c r="D41" s="19">
        <v>2.62</v>
      </c>
    </row>
    <row r="42" spans="1:4" x14ac:dyDescent="0.35">
      <c r="A42" s="10" t="s">
        <v>89</v>
      </c>
      <c r="B42" s="11" t="s">
        <v>64</v>
      </c>
      <c r="C42" s="19">
        <v>3.33</v>
      </c>
      <c r="D42" s="19">
        <v>2.63</v>
      </c>
    </row>
    <row r="43" spans="1:4" x14ac:dyDescent="0.35">
      <c r="A43" s="10" t="s">
        <v>89</v>
      </c>
      <c r="B43" s="11" t="s">
        <v>70</v>
      </c>
      <c r="C43" s="19">
        <v>3.34</v>
      </c>
      <c r="D43" s="19">
        <v>3.1</v>
      </c>
    </row>
    <row r="44" spans="1:4" x14ac:dyDescent="0.35">
      <c r="A44" s="10" t="s">
        <v>89</v>
      </c>
      <c r="B44" s="11" t="s">
        <v>61</v>
      </c>
      <c r="C44" s="19">
        <v>2.91</v>
      </c>
      <c r="D44" s="19">
        <v>2.67</v>
      </c>
    </row>
    <row r="45" spans="1:4" x14ac:dyDescent="0.35">
      <c r="A45" s="10" t="s">
        <v>89</v>
      </c>
      <c r="B45" s="11" t="s">
        <v>86</v>
      </c>
      <c r="C45" s="19">
        <v>3.52</v>
      </c>
      <c r="D45" s="19">
        <v>3.07</v>
      </c>
    </row>
    <row r="46" spans="1:4" x14ac:dyDescent="0.35">
      <c r="A46" s="10" t="s">
        <v>89</v>
      </c>
      <c r="B46" s="11" t="s">
        <v>63</v>
      </c>
      <c r="C46" s="19">
        <v>3.41</v>
      </c>
      <c r="D46" s="19">
        <v>3.07</v>
      </c>
    </row>
    <row r="47" spans="1:4" x14ac:dyDescent="0.35">
      <c r="A47" s="10" t="s">
        <v>89</v>
      </c>
      <c r="B47" s="11" t="s">
        <v>75</v>
      </c>
      <c r="C47" s="19">
        <v>3</v>
      </c>
      <c r="D47" s="19">
        <v>2.73</v>
      </c>
    </row>
    <row r="48" spans="1:4" x14ac:dyDescent="0.35">
      <c r="A48" s="10" t="s">
        <v>89</v>
      </c>
      <c r="B48" s="11" t="s">
        <v>62</v>
      </c>
      <c r="C48" s="19">
        <v>3.15</v>
      </c>
      <c r="D48" s="19">
        <v>3.01</v>
      </c>
    </row>
    <row r="49" spans="1:4" x14ac:dyDescent="0.35">
      <c r="A49" s="10" t="s">
        <v>89</v>
      </c>
      <c r="B49" s="11" t="s">
        <v>76</v>
      </c>
      <c r="C49" s="19">
        <v>2.95</v>
      </c>
      <c r="D49" s="19">
        <v>2.65</v>
      </c>
    </row>
    <row r="50" spans="1:4" x14ac:dyDescent="0.35">
      <c r="A50" s="10" t="s">
        <v>89</v>
      </c>
      <c r="B50" s="11" t="s">
        <v>57</v>
      </c>
      <c r="C50" s="19">
        <v>3.51</v>
      </c>
      <c r="D50" s="19">
        <v>3.32</v>
      </c>
    </row>
    <row r="51" spans="1:4" x14ac:dyDescent="0.35">
      <c r="A51" s="10" t="s">
        <v>89</v>
      </c>
      <c r="B51" s="11" t="s">
        <v>72</v>
      </c>
      <c r="C51" s="19">
        <v>2.72</v>
      </c>
      <c r="D51" s="19">
        <v>2.88</v>
      </c>
    </row>
    <row r="52" spans="1:4" x14ac:dyDescent="0.35">
      <c r="A52" s="10" t="s">
        <v>89</v>
      </c>
      <c r="B52" s="11" t="s">
        <v>80</v>
      </c>
      <c r="C52" s="19">
        <v>3.57</v>
      </c>
      <c r="D52" s="19">
        <v>3.62</v>
      </c>
    </row>
    <row r="53" spans="1:4" x14ac:dyDescent="0.35">
      <c r="A53" s="10" t="s">
        <v>89</v>
      </c>
      <c r="B53" s="11" t="s">
        <v>68</v>
      </c>
      <c r="C53" s="19">
        <v>3.18</v>
      </c>
      <c r="D53" s="19">
        <v>3.21</v>
      </c>
    </row>
    <row r="54" spans="1:4" x14ac:dyDescent="0.35">
      <c r="A54" s="10" t="s">
        <v>89</v>
      </c>
      <c r="B54" s="11" t="s">
        <v>82</v>
      </c>
      <c r="C54" s="19">
        <v>3.16</v>
      </c>
      <c r="D54" s="19">
        <v>3.29</v>
      </c>
    </row>
    <row r="55" spans="1:4" x14ac:dyDescent="0.35">
      <c r="A55" s="10" t="s">
        <v>89</v>
      </c>
      <c r="B55" s="11" t="s">
        <v>74</v>
      </c>
      <c r="C55" s="19">
        <v>3.29</v>
      </c>
      <c r="D55" s="19">
        <v>3.61</v>
      </c>
    </row>
    <row r="56" spans="1:4" x14ac:dyDescent="0.35">
      <c r="A56" s="10" t="s">
        <v>89</v>
      </c>
      <c r="B56" s="11" t="s">
        <v>65</v>
      </c>
      <c r="C56" s="19">
        <v>3.17</v>
      </c>
      <c r="D56" s="19">
        <v>3.63</v>
      </c>
    </row>
    <row r="57" spans="1:4" x14ac:dyDescent="0.35">
      <c r="A57" s="10" t="s">
        <v>89</v>
      </c>
      <c r="B57" s="11" t="s">
        <v>69</v>
      </c>
      <c r="C57" s="19">
        <v>3.09</v>
      </c>
      <c r="D57" s="19">
        <v>3.18</v>
      </c>
    </row>
    <row r="58" spans="1:4" x14ac:dyDescent="0.35">
      <c r="A58" s="10" t="s">
        <v>89</v>
      </c>
      <c r="B58" s="11" t="s">
        <v>81</v>
      </c>
      <c r="C58" s="19">
        <v>2.89</v>
      </c>
      <c r="D58" s="19">
        <v>3.35</v>
      </c>
    </row>
    <row r="59" spans="1:4" x14ac:dyDescent="0.35">
      <c r="A59" s="10" t="s">
        <v>89</v>
      </c>
      <c r="B59" s="11" t="s">
        <v>85</v>
      </c>
      <c r="C59" s="19">
        <v>2.68</v>
      </c>
      <c r="D59" s="19">
        <v>3.37</v>
      </c>
    </row>
    <row r="60" spans="1:4" x14ac:dyDescent="0.35">
      <c r="A60" s="10" t="s">
        <v>89</v>
      </c>
      <c r="B60" s="11" t="s">
        <v>87</v>
      </c>
      <c r="C60" s="19">
        <v>2.74</v>
      </c>
      <c r="D60" s="19">
        <v>3.6</v>
      </c>
    </row>
    <row r="61" spans="1:4" x14ac:dyDescent="0.35">
      <c r="A61" s="10" t="s">
        <v>89</v>
      </c>
      <c r="B61" s="11" t="s">
        <v>88</v>
      </c>
      <c r="C61" s="19">
        <v>2.77</v>
      </c>
      <c r="D61" s="19">
        <v>3.72</v>
      </c>
    </row>
    <row r="62" spans="1:4" x14ac:dyDescent="0.35">
      <c r="A62" s="10" t="s">
        <v>89</v>
      </c>
      <c r="B62" s="11" t="s">
        <v>78</v>
      </c>
      <c r="C62" s="19">
        <v>2.84</v>
      </c>
      <c r="D62" s="19">
        <v>3.84</v>
      </c>
    </row>
    <row r="63" spans="1:4" x14ac:dyDescent="0.35">
      <c r="A63" s="10" t="s">
        <v>89</v>
      </c>
      <c r="B63" s="11" t="s">
        <v>83</v>
      </c>
      <c r="C63" s="19">
        <v>2.46</v>
      </c>
      <c r="D63" s="19">
        <v>3.65</v>
      </c>
    </row>
    <row r="64" spans="1:4" x14ac:dyDescent="0.35">
      <c r="A64" s="10" t="s">
        <v>89</v>
      </c>
      <c r="B64" s="11" t="s">
        <v>77</v>
      </c>
      <c r="C64" s="19">
        <v>2.6</v>
      </c>
      <c r="D64" s="19">
        <v>4.01</v>
      </c>
    </row>
    <row r="65" spans="1:4" x14ac:dyDescent="0.35">
      <c r="A65" s="10" t="s">
        <v>89</v>
      </c>
      <c r="B65" s="11" t="s">
        <v>79</v>
      </c>
      <c r="C65" s="19">
        <v>2.5099999999999998</v>
      </c>
      <c r="D65" s="19">
        <v>4.09</v>
      </c>
    </row>
    <row r="66" spans="1:4" x14ac:dyDescent="0.35">
      <c r="A66" s="10" t="s">
        <v>90</v>
      </c>
      <c r="B66" s="11" t="s">
        <v>64</v>
      </c>
      <c r="C66" s="19">
        <v>3.39</v>
      </c>
      <c r="D66" s="19">
        <v>2.76</v>
      </c>
    </row>
    <row r="67" spans="1:4" x14ac:dyDescent="0.35">
      <c r="A67" s="10" t="s">
        <v>90</v>
      </c>
      <c r="B67" s="11" t="s">
        <v>71</v>
      </c>
      <c r="C67" s="19">
        <v>3.59</v>
      </c>
      <c r="D67" s="19">
        <v>2.83</v>
      </c>
    </row>
    <row r="68" spans="1:4" x14ac:dyDescent="0.35">
      <c r="A68" s="10" t="s">
        <v>90</v>
      </c>
      <c r="B68" s="11" t="s">
        <v>59</v>
      </c>
      <c r="C68" s="19">
        <v>3.38</v>
      </c>
      <c r="D68" s="19">
        <v>2.57</v>
      </c>
    </row>
    <row r="69" spans="1:4" x14ac:dyDescent="0.35">
      <c r="A69" s="10" t="s">
        <v>90</v>
      </c>
      <c r="B69" s="11" t="s">
        <v>75</v>
      </c>
      <c r="C69" s="19">
        <v>3.16</v>
      </c>
      <c r="D69" s="19">
        <v>2.41</v>
      </c>
    </row>
    <row r="70" spans="1:4" x14ac:dyDescent="0.35">
      <c r="A70" s="10" t="s">
        <v>90</v>
      </c>
      <c r="B70" s="11" t="s">
        <v>57</v>
      </c>
      <c r="C70" s="19">
        <v>3.23</v>
      </c>
      <c r="D70" s="19">
        <v>2.41</v>
      </c>
    </row>
    <row r="71" spans="1:4" x14ac:dyDescent="0.35">
      <c r="A71" s="10" t="s">
        <v>90</v>
      </c>
      <c r="B71" s="11" t="s">
        <v>66</v>
      </c>
      <c r="C71" s="19">
        <v>3.21</v>
      </c>
      <c r="D71" s="19">
        <v>2.7</v>
      </c>
    </row>
    <row r="72" spans="1:4" x14ac:dyDescent="0.35">
      <c r="A72" s="10" t="s">
        <v>90</v>
      </c>
      <c r="B72" s="11" t="s">
        <v>74</v>
      </c>
      <c r="C72" s="19">
        <v>3.4</v>
      </c>
      <c r="D72" s="19">
        <v>2.7</v>
      </c>
    </row>
    <row r="73" spans="1:4" x14ac:dyDescent="0.35">
      <c r="A73" s="10" t="s">
        <v>90</v>
      </c>
      <c r="B73" s="11" t="s">
        <v>58</v>
      </c>
      <c r="C73" s="19">
        <v>3.68</v>
      </c>
      <c r="D73" s="19">
        <v>3.07</v>
      </c>
    </row>
    <row r="74" spans="1:4" x14ac:dyDescent="0.35">
      <c r="A74" s="10" t="s">
        <v>90</v>
      </c>
      <c r="B74" s="11" t="s">
        <v>67</v>
      </c>
      <c r="C74" s="19">
        <v>3.56</v>
      </c>
      <c r="D74" s="19">
        <v>2.88</v>
      </c>
    </row>
    <row r="75" spans="1:4" x14ac:dyDescent="0.35">
      <c r="A75" s="10" t="s">
        <v>90</v>
      </c>
      <c r="B75" s="11" t="s">
        <v>60</v>
      </c>
      <c r="C75" s="19">
        <v>3.63</v>
      </c>
      <c r="D75" s="19">
        <v>3.18</v>
      </c>
    </row>
    <row r="76" spans="1:4" x14ac:dyDescent="0.35">
      <c r="A76" s="10" t="s">
        <v>90</v>
      </c>
      <c r="B76" s="11" t="s">
        <v>72</v>
      </c>
      <c r="C76" s="19">
        <v>3.24</v>
      </c>
      <c r="D76" s="19">
        <v>3.02</v>
      </c>
    </row>
    <row r="77" spans="1:4" x14ac:dyDescent="0.35">
      <c r="A77" s="10" t="s">
        <v>90</v>
      </c>
      <c r="B77" s="11" t="s">
        <v>70</v>
      </c>
      <c r="C77" s="19">
        <v>3.1</v>
      </c>
      <c r="D77" s="19">
        <v>2.56</v>
      </c>
    </row>
    <row r="78" spans="1:4" x14ac:dyDescent="0.35">
      <c r="A78" s="10" t="s">
        <v>90</v>
      </c>
      <c r="B78" s="11" t="s">
        <v>63</v>
      </c>
      <c r="C78" s="19">
        <v>3.51</v>
      </c>
      <c r="D78" s="19">
        <v>3.26</v>
      </c>
    </row>
    <row r="79" spans="1:4" x14ac:dyDescent="0.35">
      <c r="A79" s="10" t="s">
        <v>90</v>
      </c>
      <c r="B79" s="11" t="s">
        <v>73</v>
      </c>
      <c r="C79" s="19">
        <v>3.21</v>
      </c>
      <c r="D79" s="19">
        <v>2.96</v>
      </c>
    </row>
    <row r="80" spans="1:4" x14ac:dyDescent="0.35">
      <c r="A80" s="10" t="s">
        <v>90</v>
      </c>
      <c r="B80" s="11" t="s">
        <v>76</v>
      </c>
      <c r="C80" s="19">
        <v>2.99</v>
      </c>
      <c r="D80" s="19">
        <v>3.15</v>
      </c>
    </row>
    <row r="81" spans="1:4" x14ac:dyDescent="0.35">
      <c r="A81" s="10" t="s">
        <v>90</v>
      </c>
      <c r="B81" s="11" t="s">
        <v>65</v>
      </c>
      <c r="C81" s="19">
        <v>2.85</v>
      </c>
      <c r="D81" s="19">
        <v>3.02</v>
      </c>
    </row>
    <row r="82" spans="1:4" x14ac:dyDescent="0.35">
      <c r="A82" s="10" t="s">
        <v>90</v>
      </c>
      <c r="B82" s="11" t="s">
        <v>69</v>
      </c>
      <c r="C82" s="19">
        <v>2.63</v>
      </c>
      <c r="D82" s="19">
        <v>3.07</v>
      </c>
    </row>
    <row r="83" spans="1:4" x14ac:dyDescent="0.35">
      <c r="A83" s="10" t="s">
        <v>90</v>
      </c>
      <c r="B83" s="11" t="s">
        <v>81</v>
      </c>
      <c r="C83" s="19">
        <v>3.35</v>
      </c>
      <c r="D83" s="19">
        <v>3.33</v>
      </c>
    </row>
    <row r="84" spans="1:4" x14ac:dyDescent="0.35">
      <c r="A84" s="10" t="s">
        <v>90</v>
      </c>
      <c r="B84" s="11" t="s">
        <v>68</v>
      </c>
      <c r="C84" s="19">
        <v>3.09</v>
      </c>
      <c r="D84" s="19">
        <v>3.02</v>
      </c>
    </row>
    <row r="85" spans="1:4" x14ac:dyDescent="0.35">
      <c r="A85" s="10" t="s">
        <v>90</v>
      </c>
      <c r="B85" s="11" t="s">
        <v>61</v>
      </c>
      <c r="C85" s="19">
        <v>3.02</v>
      </c>
      <c r="D85" s="19">
        <v>3.17</v>
      </c>
    </row>
    <row r="86" spans="1:4" x14ac:dyDescent="0.35">
      <c r="A86" s="10" t="s">
        <v>90</v>
      </c>
      <c r="B86" s="11" t="s">
        <v>85</v>
      </c>
      <c r="C86" s="19">
        <v>2.82</v>
      </c>
      <c r="D86" s="19">
        <v>3.15</v>
      </c>
    </row>
    <row r="87" spans="1:4" x14ac:dyDescent="0.35">
      <c r="A87" s="10" t="s">
        <v>90</v>
      </c>
      <c r="B87" s="11" t="s">
        <v>80</v>
      </c>
      <c r="C87" s="19">
        <v>2.98</v>
      </c>
      <c r="D87" s="19">
        <v>2.96</v>
      </c>
    </row>
    <row r="88" spans="1:4" x14ac:dyDescent="0.35">
      <c r="A88" s="10" t="s">
        <v>90</v>
      </c>
      <c r="B88" s="11" t="s">
        <v>84</v>
      </c>
      <c r="C88" s="19">
        <v>3.22</v>
      </c>
      <c r="D88" s="19">
        <v>3.43</v>
      </c>
    </row>
    <row r="89" spans="1:4" x14ac:dyDescent="0.35">
      <c r="A89" s="10" t="s">
        <v>90</v>
      </c>
      <c r="B89" s="11" t="s">
        <v>86</v>
      </c>
      <c r="C89" s="19">
        <v>2.61</v>
      </c>
      <c r="D89" s="19">
        <v>2.83</v>
      </c>
    </row>
    <row r="90" spans="1:4" x14ac:dyDescent="0.35">
      <c r="A90" s="10" t="s">
        <v>90</v>
      </c>
      <c r="B90" s="11" t="s">
        <v>62</v>
      </c>
      <c r="C90" s="19">
        <v>3.09</v>
      </c>
      <c r="D90" s="19">
        <v>3.26</v>
      </c>
    </row>
    <row r="91" spans="1:4" x14ac:dyDescent="0.35">
      <c r="A91" s="10" t="s">
        <v>90</v>
      </c>
      <c r="B91" s="11" t="s">
        <v>82</v>
      </c>
      <c r="C91" s="19">
        <v>3.05</v>
      </c>
      <c r="D91" s="19">
        <v>3.43</v>
      </c>
    </row>
    <row r="92" spans="1:4" x14ac:dyDescent="0.35">
      <c r="A92" s="10" t="s">
        <v>90</v>
      </c>
      <c r="B92" s="11" t="s">
        <v>87</v>
      </c>
      <c r="C92" s="19">
        <v>3.1</v>
      </c>
      <c r="D92" s="19">
        <v>3.34</v>
      </c>
    </row>
    <row r="93" spans="1:4" x14ac:dyDescent="0.35">
      <c r="A93" s="10" t="s">
        <v>90</v>
      </c>
      <c r="B93" s="11" t="s">
        <v>88</v>
      </c>
      <c r="C93" s="19">
        <v>2.83</v>
      </c>
      <c r="D93" s="19">
        <v>3.43</v>
      </c>
    </row>
    <row r="94" spans="1:4" x14ac:dyDescent="0.35">
      <c r="A94" s="10" t="s">
        <v>90</v>
      </c>
      <c r="B94" s="11" t="s">
        <v>77</v>
      </c>
      <c r="C94" s="19">
        <v>2.85</v>
      </c>
      <c r="D94" s="19">
        <v>3.63</v>
      </c>
    </row>
    <row r="95" spans="1:4" x14ac:dyDescent="0.35">
      <c r="A95" s="10" t="s">
        <v>90</v>
      </c>
      <c r="B95" s="11" t="s">
        <v>79</v>
      </c>
      <c r="C95" s="19">
        <v>2.48</v>
      </c>
      <c r="D95" s="19">
        <v>3.57</v>
      </c>
    </row>
    <row r="96" spans="1:4" x14ac:dyDescent="0.35">
      <c r="A96" s="10" t="s">
        <v>90</v>
      </c>
      <c r="B96" s="11" t="s">
        <v>83</v>
      </c>
      <c r="C96" s="19">
        <v>2.17</v>
      </c>
      <c r="D96" s="19">
        <v>3.52</v>
      </c>
    </row>
    <row r="97" spans="1:4" x14ac:dyDescent="0.35">
      <c r="A97" s="10" t="s">
        <v>90</v>
      </c>
      <c r="B97" s="11" t="s">
        <v>78</v>
      </c>
      <c r="C97" s="19">
        <v>2.2000000000000002</v>
      </c>
      <c r="D97" s="19">
        <v>3.98</v>
      </c>
    </row>
    <row r="98" spans="1:4" x14ac:dyDescent="0.35">
      <c r="A98" s="10" t="s">
        <v>91</v>
      </c>
      <c r="B98" s="11" t="s">
        <v>75</v>
      </c>
      <c r="C98" s="19">
        <v>3.45</v>
      </c>
      <c r="D98" s="19">
        <v>2.34</v>
      </c>
    </row>
    <row r="99" spans="1:4" x14ac:dyDescent="0.35">
      <c r="A99" s="10" t="s">
        <v>91</v>
      </c>
      <c r="B99" s="11" t="s">
        <v>69</v>
      </c>
      <c r="C99" s="19">
        <v>3.61</v>
      </c>
      <c r="D99" s="19">
        <v>2.57</v>
      </c>
    </row>
    <row r="100" spans="1:4" x14ac:dyDescent="0.35">
      <c r="A100" s="10" t="s">
        <v>91</v>
      </c>
      <c r="B100" s="11" t="s">
        <v>71</v>
      </c>
      <c r="C100" s="19">
        <v>3.39</v>
      </c>
      <c r="D100" s="19">
        <v>2.57</v>
      </c>
    </row>
    <row r="101" spans="1:4" x14ac:dyDescent="0.35">
      <c r="A101" s="10" t="s">
        <v>91</v>
      </c>
      <c r="B101" s="11" t="s">
        <v>73</v>
      </c>
      <c r="C101" s="19">
        <v>3.42</v>
      </c>
      <c r="D101" s="19">
        <v>2.65</v>
      </c>
    </row>
    <row r="102" spans="1:4" x14ac:dyDescent="0.35">
      <c r="A102" s="10" t="s">
        <v>91</v>
      </c>
      <c r="B102" s="11" t="s">
        <v>58</v>
      </c>
      <c r="C102" s="19">
        <v>3.37</v>
      </c>
      <c r="D102" s="19">
        <v>2.79</v>
      </c>
    </row>
    <row r="103" spans="1:4" x14ac:dyDescent="0.35">
      <c r="A103" s="10" t="s">
        <v>91</v>
      </c>
      <c r="B103" s="11" t="s">
        <v>59</v>
      </c>
      <c r="C103" s="19">
        <v>3.22</v>
      </c>
      <c r="D103" s="19">
        <v>2.64</v>
      </c>
    </row>
    <row r="104" spans="1:4" x14ac:dyDescent="0.35">
      <c r="A104" s="10" t="s">
        <v>91</v>
      </c>
      <c r="B104" s="11" t="s">
        <v>57</v>
      </c>
      <c r="C104" s="19">
        <v>3.14</v>
      </c>
      <c r="D104" s="19">
        <v>2.69</v>
      </c>
    </row>
    <row r="105" spans="1:4" x14ac:dyDescent="0.35">
      <c r="A105" s="10" t="s">
        <v>91</v>
      </c>
      <c r="B105" s="11" t="s">
        <v>60</v>
      </c>
      <c r="C105" s="19">
        <v>3.26</v>
      </c>
      <c r="D105" s="19">
        <v>2.97</v>
      </c>
    </row>
    <row r="106" spans="1:4" x14ac:dyDescent="0.35">
      <c r="A106" s="10" t="s">
        <v>91</v>
      </c>
      <c r="B106" s="11" t="s">
        <v>63</v>
      </c>
      <c r="C106" s="19">
        <v>3.57</v>
      </c>
      <c r="D106" s="19">
        <v>2.64</v>
      </c>
    </row>
    <row r="107" spans="1:4" x14ac:dyDescent="0.35">
      <c r="A107" s="10" t="s">
        <v>91</v>
      </c>
      <c r="B107" s="11" t="s">
        <v>70</v>
      </c>
      <c r="C107" s="19">
        <v>2.89</v>
      </c>
      <c r="D107" s="19">
        <v>2.52</v>
      </c>
    </row>
    <row r="108" spans="1:4" x14ac:dyDescent="0.35">
      <c r="A108" s="10" t="s">
        <v>91</v>
      </c>
      <c r="B108" s="11" t="s">
        <v>61</v>
      </c>
      <c r="C108" s="19">
        <v>2.7</v>
      </c>
      <c r="D108" s="19">
        <v>2.79</v>
      </c>
    </row>
    <row r="109" spans="1:4" x14ac:dyDescent="0.35">
      <c r="A109" s="10" t="s">
        <v>91</v>
      </c>
      <c r="B109" s="11" t="s">
        <v>67</v>
      </c>
      <c r="C109" s="19">
        <v>3.24</v>
      </c>
      <c r="D109" s="19">
        <v>2.94</v>
      </c>
    </row>
    <row r="110" spans="1:4" x14ac:dyDescent="0.35">
      <c r="A110" s="10" t="s">
        <v>91</v>
      </c>
      <c r="B110" s="11" t="s">
        <v>65</v>
      </c>
      <c r="C110" s="19">
        <v>3.01</v>
      </c>
      <c r="D110" s="19">
        <v>2.84</v>
      </c>
    </row>
    <row r="111" spans="1:4" x14ac:dyDescent="0.35">
      <c r="A111" s="10" t="s">
        <v>91</v>
      </c>
      <c r="B111" s="11" t="s">
        <v>84</v>
      </c>
      <c r="C111" s="19">
        <v>2.95</v>
      </c>
      <c r="D111" s="19">
        <v>2.64</v>
      </c>
    </row>
    <row r="112" spans="1:4" x14ac:dyDescent="0.35">
      <c r="A112" s="10" t="s">
        <v>91</v>
      </c>
      <c r="B112" s="11" t="s">
        <v>82</v>
      </c>
      <c r="C112" s="19">
        <v>2.92</v>
      </c>
      <c r="D112" s="19">
        <v>2.87</v>
      </c>
    </row>
    <row r="113" spans="1:4" x14ac:dyDescent="0.35">
      <c r="A113" s="10" t="s">
        <v>91</v>
      </c>
      <c r="B113" s="11" t="s">
        <v>74</v>
      </c>
      <c r="C113" s="19">
        <v>2.86</v>
      </c>
      <c r="D113" s="19">
        <v>3.07</v>
      </c>
    </row>
    <row r="114" spans="1:4" x14ac:dyDescent="0.35">
      <c r="A114" s="10" t="s">
        <v>91</v>
      </c>
      <c r="B114" s="11" t="s">
        <v>62</v>
      </c>
      <c r="C114" s="19">
        <v>2.61</v>
      </c>
      <c r="D114" s="19">
        <v>2.94</v>
      </c>
    </row>
    <row r="115" spans="1:4" x14ac:dyDescent="0.35">
      <c r="A115" s="10" t="s">
        <v>91</v>
      </c>
      <c r="B115" s="11" t="s">
        <v>92</v>
      </c>
      <c r="C115" s="19">
        <v>2.78</v>
      </c>
      <c r="D115" s="19">
        <v>3.05</v>
      </c>
    </row>
    <row r="116" spans="1:4" x14ac:dyDescent="0.35">
      <c r="A116" s="10" t="s">
        <v>91</v>
      </c>
      <c r="B116" s="11" t="s">
        <v>88</v>
      </c>
      <c r="C116" s="19">
        <v>2.97</v>
      </c>
      <c r="D116" s="19">
        <v>3.35</v>
      </c>
    </row>
    <row r="117" spans="1:4" x14ac:dyDescent="0.35">
      <c r="A117" s="10" t="s">
        <v>91</v>
      </c>
      <c r="B117" s="11" t="s">
        <v>64</v>
      </c>
      <c r="C117" s="19">
        <v>2.97</v>
      </c>
      <c r="D117" s="19">
        <v>3.03</v>
      </c>
    </row>
    <row r="118" spans="1:4" x14ac:dyDescent="0.35">
      <c r="A118" s="10" t="s">
        <v>91</v>
      </c>
      <c r="B118" s="11" t="s">
        <v>77</v>
      </c>
      <c r="C118" s="19">
        <v>3.18</v>
      </c>
      <c r="D118" s="19">
        <v>3.35</v>
      </c>
    </row>
    <row r="119" spans="1:4" x14ac:dyDescent="0.35">
      <c r="A119" s="10" t="s">
        <v>91</v>
      </c>
      <c r="B119" s="11" t="s">
        <v>76</v>
      </c>
      <c r="C119" s="19">
        <v>2.72</v>
      </c>
      <c r="D119" s="19">
        <v>2.99</v>
      </c>
    </row>
    <row r="120" spans="1:4" x14ac:dyDescent="0.35">
      <c r="A120" s="10" t="s">
        <v>91</v>
      </c>
      <c r="B120" s="11" t="s">
        <v>81</v>
      </c>
      <c r="C120" s="19">
        <v>2.85</v>
      </c>
      <c r="D120" s="19">
        <v>3.21</v>
      </c>
    </row>
    <row r="121" spans="1:4" x14ac:dyDescent="0.35">
      <c r="A121" s="10" t="s">
        <v>91</v>
      </c>
      <c r="B121" s="11" t="s">
        <v>79</v>
      </c>
      <c r="C121" s="19">
        <v>2.72</v>
      </c>
      <c r="D121" s="19">
        <v>3.13</v>
      </c>
    </row>
    <row r="122" spans="1:4" x14ac:dyDescent="0.35">
      <c r="A122" s="10" t="s">
        <v>91</v>
      </c>
      <c r="B122" s="11" t="s">
        <v>66</v>
      </c>
      <c r="C122" s="19">
        <v>2.63</v>
      </c>
      <c r="D122" s="19">
        <v>3.3</v>
      </c>
    </row>
    <row r="123" spans="1:4" x14ac:dyDescent="0.35">
      <c r="A123" s="10" t="s">
        <v>91</v>
      </c>
      <c r="B123" s="11" t="s">
        <v>68</v>
      </c>
      <c r="C123" s="19">
        <v>2.92</v>
      </c>
      <c r="D123" s="19">
        <v>3.62</v>
      </c>
    </row>
    <row r="124" spans="1:4" x14ac:dyDescent="0.35">
      <c r="A124" s="10" t="s">
        <v>91</v>
      </c>
      <c r="B124" s="11" t="s">
        <v>86</v>
      </c>
      <c r="C124" s="19">
        <v>3.03</v>
      </c>
      <c r="D124" s="19">
        <v>3.21</v>
      </c>
    </row>
    <row r="125" spans="1:4" x14ac:dyDescent="0.35">
      <c r="A125" s="10" t="s">
        <v>91</v>
      </c>
      <c r="B125" s="11" t="s">
        <v>85</v>
      </c>
      <c r="C125" s="19">
        <v>2.74</v>
      </c>
      <c r="D125" s="19">
        <v>3.45</v>
      </c>
    </row>
    <row r="126" spans="1:4" x14ac:dyDescent="0.35">
      <c r="A126" s="10" t="s">
        <v>91</v>
      </c>
      <c r="B126" s="11" t="s">
        <v>80</v>
      </c>
      <c r="C126" s="19">
        <v>3.15</v>
      </c>
      <c r="D126" s="19">
        <v>3.49</v>
      </c>
    </row>
    <row r="127" spans="1:4" x14ac:dyDescent="0.35">
      <c r="A127" s="10" t="s">
        <v>91</v>
      </c>
      <c r="B127" s="11" t="s">
        <v>72</v>
      </c>
      <c r="C127" s="19">
        <v>2.54</v>
      </c>
      <c r="D127" s="19">
        <v>3.22</v>
      </c>
    </row>
    <row r="128" spans="1:4" x14ac:dyDescent="0.35">
      <c r="A128" s="10" t="s">
        <v>91</v>
      </c>
      <c r="B128" s="11" t="s">
        <v>83</v>
      </c>
      <c r="C128" s="19">
        <v>2.71</v>
      </c>
      <c r="D128" s="19">
        <v>3.59</v>
      </c>
    </row>
    <row r="129" spans="1:4" x14ac:dyDescent="0.35">
      <c r="A129" s="12" t="s">
        <v>91</v>
      </c>
      <c r="B129" s="13" t="s">
        <v>78</v>
      </c>
      <c r="C129" s="20">
        <v>2.62</v>
      </c>
      <c r="D129" s="20">
        <v>3.66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E31A5-42A7-4F9A-836C-DF231F7D7F4E}">
  <dimension ref="A1:AF129"/>
  <sheetViews>
    <sheetView zoomScale="90" zoomScaleNormal="90" workbookViewId="0">
      <selection activeCell="A3" sqref="A3:AF3"/>
    </sheetView>
  </sheetViews>
  <sheetFormatPr defaultRowHeight="14.5" x14ac:dyDescent="0.35"/>
  <cols>
    <col min="1" max="1" width="9.81640625" bestFit="1" customWidth="1"/>
    <col min="2" max="2" width="7.7265625" bestFit="1" customWidth="1"/>
    <col min="3" max="3" width="19.54296875" bestFit="1" customWidth="1"/>
    <col min="4" max="4" width="12.81640625" style="1" bestFit="1" customWidth="1"/>
    <col min="5" max="5" width="13" style="1" bestFit="1" customWidth="1"/>
    <col min="6" max="6" width="7.7265625" style="1" bestFit="1" customWidth="1"/>
    <col min="7" max="7" width="8.453125" style="1" bestFit="1" customWidth="1"/>
    <col min="8" max="8" width="12.7265625" style="1" customWidth="1"/>
    <col min="9" max="9" width="12.54296875" style="1" bestFit="1" customWidth="1"/>
    <col min="10" max="10" width="7.54296875" style="1" bestFit="1" customWidth="1"/>
    <col min="11" max="11" width="11.81640625" style="1" customWidth="1"/>
    <col min="12" max="12" width="10.1796875" style="1" customWidth="1"/>
    <col min="13" max="13" width="11.81640625" style="1" customWidth="1"/>
    <col min="14" max="14" width="14.81640625" style="1" bestFit="1" customWidth="1"/>
    <col min="15" max="16" width="11.54296875" style="1" bestFit="1" customWidth="1"/>
    <col min="17" max="17" width="22.453125" style="1" customWidth="1"/>
    <col min="18" max="18" width="10.54296875" style="1" bestFit="1" customWidth="1"/>
    <col min="19" max="19" width="11.54296875" style="1" customWidth="1"/>
    <col min="20" max="20" width="12.26953125" style="1" bestFit="1" customWidth="1"/>
    <col min="21" max="21" width="9.7265625" style="1" bestFit="1" customWidth="1"/>
    <col min="22" max="22" width="11.7265625" style="1" bestFit="1" customWidth="1"/>
    <col min="23" max="23" width="12.1796875" style="1" bestFit="1" customWidth="1"/>
    <col min="24" max="24" width="9.453125" style="1" bestFit="1" customWidth="1"/>
    <col min="25" max="25" width="11.81640625" style="1" bestFit="1" customWidth="1"/>
    <col min="26" max="26" width="9.453125" style="1" bestFit="1" customWidth="1"/>
    <col min="27" max="27" width="11.1796875" style="1" bestFit="1" customWidth="1"/>
    <col min="28" max="28" width="10.1796875" style="1" bestFit="1" customWidth="1"/>
    <col min="29" max="29" width="10.1796875" style="1" customWidth="1"/>
    <col min="30" max="30" width="10.26953125" style="1" bestFit="1" customWidth="1"/>
    <col min="32" max="32" width="10.81640625" style="1" bestFit="1" customWidth="1"/>
  </cols>
  <sheetData>
    <row r="1" spans="1:32" x14ac:dyDescent="0.3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9</v>
      </c>
      <c r="H1" s="1" t="s">
        <v>93</v>
      </c>
      <c r="I1" s="1" t="s">
        <v>10</v>
      </c>
      <c r="J1" s="1" t="s">
        <v>11</v>
      </c>
      <c r="K1" s="1" t="s">
        <v>17</v>
      </c>
      <c r="L1" s="1" t="s">
        <v>12</v>
      </c>
      <c r="M1" s="1" t="s">
        <v>18</v>
      </c>
      <c r="N1" s="1" t="s">
        <v>94</v>
      </c>
      <c r="O1" s="1" t="s">
        <v>21</v>
      </c>
      <c r="P1" s="1" t="s">
        <v>24</v>
      </c>
      <c r="Q1" s="1" t="s">
        <v>95</v>
      </c>
      <c r="R1" s="1" t="s">
        <v>30</v>
      </c>
      <c r="S1" s="1" t="s">
        <v>96</v>
      </c>
      <c r="T1" s="1" t="s">
        <v>32</v>
      </c>
      <c r="U1" s="1" t="s">
        <v>34</v>
      </c>
      <c r="V1" s="1" t="s">
        <v>37</v>
      </c>
      <c r="W1" s="1" t="s">
        <v>40</v>
      </c>
      <c r="X1" s="1" t="s">
        <v>41</v>
      </c>
      <c r="Y1" s="1" t="s">
        <v>97</v>
      </c>
      <c r="Z1" s="1" t="s">
        <v>42</v>
      </c>
      <c r="AA1" s="1" t="s">
        <v>98</v>
      </c>
      <c r="AB1" s="1" t="s">
        <v>52</v>
      </c>
      <c r="AC1" s="1" t="s">
        <v>99</v>
      </c>
      <c r="AD1" s="1" t="s">
        <v>54</v>
      </c>
      <c r="AE1" s="1" t="s">
        <v>100</v>
      </c>
      <c r="AF1" s="1" t="s">
        <v>27</v>
      </c>
    </row>
    <row r="2" spans="1:32" x14ac:dyDescent="0.35">
      <c r="A2" t="s">
        <v>56</v>
      </c>
      <c r="B2">
        <v>1</v>
      </c>
      <c r="C2" t="s">
        <v>57</v>
      </c>
      <c r="D2" s="1">
        <v>1</v>
      </c>
      <c r="E2" s="1">
        <v>27.8</v>
      </c>
      <c r="F2" s="1">
        <v>82</v>
      </c>
      <c r="G2" s="1">
        <v>122</v>
      </c>
      <c r="H2" s="2">
        <f>Table14[[#This Row],[PTS]]/Table14[[#This Row],[GP]]</f>
        <v>1.4878048780487805</v>
      </c>
      <c r="I2" s="2">
        <v>0.74399999999999999</v>
      </c>
      <c r="J2" s="1">
        <v>337</v>
      </c>
      <c r="K2" s="3">
        <f>Table14[[#This Row],[GF]]/Table14[[#This Row],[GP]]</f>
        <v>4.1097560975609753</v>
      </c>
      <c r="L2" s="1">
        <v>242</v>
      </c>
      <c r="M2" s="1">
        <v>2.95</v>
      </c>
      <c r="N2" s="2">
        <f>(Table14[[#This Row],[GF]]^2)/((Table14[[#This Row],[GF]]^2)+(Table14[[#This Row],[GA]]^2))</f>
        <v>0.65977470909122593</v>
      </c>
      <c r="O2" s="1">
        <v>24.43</v>
      </c>
      <c r="P2" s="1">
        <v>79.540000000000006</v>
      </c>
      <c r="Q2" s="1">
        <f>Table14[[#This Row],[PP_PCT]]+Table14[[#This Row],[PK_PCT]]</f>
        <v>103.97</v>
      </c>
      <c r="R2" s="3">
        <v>11</v>
      </c>
      <c r="S2" s="3">
        <f>Table14[[#This Row],[GA]]/Table14[[#This Row],[GP]]</f>
        <v>2.9512195121951219</v>
      </c>
      <c r="T2" s="2">
        <v>0.91800000000000004</v>
      </c>
      <c r="U2" s="1">
        <v>99.3</v>
      </c>
      <c r="V2" s="1">
        <v>47.6</v>
      </c>
      <c r="W2" s="1">
        <v>47.6</v>
      </c>
      <c r="X2" s="1">
        <v>169.8</v>
      </c>
      <c r="Y2" s="3">
        <f>Table135[[#This Row],[XGF]]/Table14[[#This Row],[GP]]</f>
        <v>2.0707317073170732</v>
      </c>
      <c r="Z2" s="1">
        <v>186.9</v>
      </c>
      <c r="AA2" s="3">
        <f>Table135[[#This Row],[XGA]]/Table14[[#This Row],[GP]]</f>
        <v>2.2792682926829269</v>
      </c>
      <c r="AB2" s="1">
        <v>72</v>
      </c>
      <c r="AC2" s="2">
        <f>Table135[[#This Row],[HDGF]]/Table14[[#This Row],[GP]]</f>
        <v>0.87804878048780488</v>
      </c>
      <c r="AD2" s="1">
        <v>61</v>
      </c>
      <c r="AE2" s="2">
        <f>Table135[[#This Row],[HDGA]]/Table14[[#This Row],[GP]]</f>
        <v>0.74390243902439024</v>
      </c>
      <c r="AF2" s="1">
        <v>10.1</v>
      </c>
    </row>
    <row r="3" spans="1:32" x14ac:dyDescent="0.35">
      <c r="A3" s="4" t="s">
        <v>56</v>
      </c>
      <c r="B3" s="4">
        <v>2</v>
      </c>
      <c r="C3" s="4" t="s">
        <v>58</v>
      </c>
      <c r="D3" s="5">
        <v>1</v>
      </c>
      <c r="E3" s="5">
        <v>28.2</v>
      </c>
      <c r="F3" s="5">
        <v>82</v>
      </c>
      <c r="G3" s="5">
        <v>119</v>
      </c>
      <c r="H3" s="6">
        <f>Table14[[#This Row],[PTS]]/Table14[[#This Row],[GP]]</f>
        <v>1.4512195121951219</v>
      </c>
      <c r="I3" s="6">
        <v>0.72599999999999998</v>
      </c>
      <c r="J3" s="5">
        <v>308</v>
      </c>
      <c r="K3" s="7">
        <f>Table14[[#This Row],[GF]]/Table14[[#This Row],[GP]]</f>
        <v>3.7560975609756095</v>
      </c>
      <c r="L3" s="5">
        <v>232</v>
      </c>
      <c r="M3" s="5">
        <v>2.83</v>
      </c>
      <c r="N3" s="6">
        <f>(Table14[[#This Row],[GF]]^2)/((Table14[[#This Row],[GF]]^2)+(Table14[[#This Row],[GA]]^2))</f>
        <v>0.63800710211987521</v>
      </c>
      <c r="O3" s="5">
        <v>24.01</v>
      </c>
      <c r="P3" s="5">
        <v>79.66</v>
      </c>
      <c r="Q3" s="5">
        <f>Table14[[#This Row],[PP_PCT]]+Table14[[#This Row],[PK_PCT]]</f>
        <v>103.67</v>
      </c>
      <c r="R3" s="7">
        <v>10.7</v>
      </c>
      <c r="S3" s="7">
        <f>Table14[[#This Row],[GA]]/Table14[[#This Row],[GP]]</f>
        <v>2.8292682926829267</v>
      </c>
      <c r="T3" s="6">
        <v>0.91800000000000004</v>
      </c>
      <c r="U3" s="5">
        <v>99.3</v>
      </c>
      <c r="V3" s="5">
        <v>42.6</v>
      </c>
      <c r="W3" s="5">
        <v>41.6</v>
      </c>
      <c r="X3" s="5">
        <v>152.9</v>
      </c>
      <c r="Y3" s="7">
        <f>Table135[[#This Row],[XGF]]/Table14[[#This Row],[GP]]</f>
        <v>1.8646341463414635</v>
      </c>
      <c r="Z3" s="5">
        <v>237.8</v>
      </c>
      <c r="AA3" s="7">
        <f>Table135[[#This Row],[XGA]]/Table14[[#This Row],[GP]]</f>
        <v>2.9000000000000004</v>
      </c>
      <c r="AB3" s="5">
        <v>53</v>
      </c>
      <c r="AC3" s="6">
        <f>Table135[[#This Row],[HDGF]]/Table14[[#This Row],[GP]]</f>
        <v>0.64634146341463417</v>
      </c>
      <c r="AD3" s="5">
        <v>80</v>
      </c>
      <c r="AE3" s="6">
        <f>Table135[[#This Row],[HDGA]]/Table14[[#This Row],[GP]]</f>
        <v>0.97560975609756095</v>
      </c>
      <c r="AF3" s="5">
        <v>9</v>
      </c>
    </row>
    <row r="4" spans="1:32" x14ac:dyDescent="0.35">
      <c r="A4" t="s">
        <v>56</v>
      </c>
      <c r="B4">
        <v>3</v>
      </c>
      <c r="C4" t="s">
        <v>59</v>
      </c>
      <c r="D4" s="1">
        <v>1</v>
      </c>
      <c r="E4" s="1">
        <v>28.3</v>
      </c>
      <c r="F4" s="1">
        <v>82</v>
      </c>
      <c r="G4" s="1">
        <v>116</v>
      </c>
      <c r="H4" s="2">
        <f>Table14[[#This Row],[PTS]]/Table14[[#This Row],[GP]]</f>
        <v>1.4146341463414633</v>
      </c>
      <c r="I4" s="2">
        <v>0.70699999999999996</v>
      </c>
      <c r="J4" s="1">
        <v>277</v>
      </c>
      <c r="K4" s="3">
        <f>Table14[[#This Row],[GF]]/Table14[[#This Row],[GP]]</f>
        <v>3.3780487804878048</v>
      </c>
      <c r="L4" s="1">
        <v>200</v>
      </c>
      <c r="M4" s="1">
        <v>2.44</v>
      </c>
      <c r="N4" s="2">
        <f>(Table14[[#This Row],[GF]]^2)/((Table14[[#This Row],[GF]]^2)+(Table14[[#This Row],[GA]]^2))</f>
        <v>0.65732594299617064</v>
      </c>
      <c r="O4" s="1">
        <v>21.98</v>
      </c>
      <c r="P4" s="1">
        <v>88.04</v>
      </c>
      <c r="Q4" s="1">
        <f>Table14[[#This Row],[PP_PCT]]+Table14[[#This Row],[PK_PCT]]</f>
        <v>110.02000000000001</v>
      </c>
      <c r="R4" s="3">
        <v>9.9</v>
      </c>
      <c r="S4" s="3">
        <f>Table14[[#This Row],[GA]]/Table14[[#This Row],[GP]]</f>
        <v>2.4390243902439024</v>
      </c>
      <c r="T4" s="2">
        <v>0.91700000000000004</v>
      </c>
      <c r="U4" s="1">
        <v>98.8</v>
      </c>
      <c r="V4" s="1">
        <v>46.9</v>
      </c>
      <c r="W4" s="1">
        <v>46.5</v>
      </c>
      <c r="X4" s="1">
        <v>142.30000000000001</v>
      </c>
      <c r="Y4" s="3">
        <f>Table135[[#This Row],[XGF]]/Table14[[#This Row],[GP]]</f>
        <v>1.7353658536585368</v>
      </c>
      <c r="Z4" s="1">
        <v>173.3</v>
      </c>
      <c r="AA4" s="3">
        <f>Table135[[#This Row],[XGA]]/Table14[[#This Row],[GP]]</f>
        <v>2.1134146341463418</v>
      </c>
      <c r="AB4" s="1">
        <v>52</v>
      </c>
      <c r="AC4" s="2">
        <f>Table135[[#This Row],[HDGF]]/Table14[[#This Row],[GP]]</f>
        <v>0.63414634146341464</v>
      </c>
      <c r="AD4" s="1">
        <v>78</v>
      </c>
      <c r="AE4" s="2">
        <f>Table135[[#This Row],[HDGA]]/Table14[[#This Row],[GP]]</f>
        <v>0.95121951219512191</v>
      </c>
      <c r="AF4" s="1">
        <v>9.1999999999999993</v>
      </c>
    </row>
    <row r="5" spans="1:32" x14ac:dyDescent="0.35">
      <c r="A5" t="s">
        <v>56</v>
      </c>
      <c r="B5">
        <v>4</v>
      </c>
      <c r="C5" t="s">
        <v>60</v>
      </c>
      <c r="D5" s="1">
        <v>1</v>
      </c>
      <c r="E5" s="1">
        <v>28.4</v>
      </c>
      <c r="F5" s="1">
        <v>82</v>
      </c>
      <c r="G5" s="1">
        <v>115</v>
      </c>
      <c r="H5" s="2">
        <f>Table14[[#This Row],[PTS]]/Table14[[#This Row],[GP]]</f>
        <v>1.4024390243902438</v>
      </c>
      <c r="I5" s="2">
        <v>0.70099999999999996</v>
      </c>
      <c r="J5" s="1">
        <v>312</v>
      </c>
      <c r="K5" s="3">
        <f>Table14[[#This Row],[GF]]/Table14[[#This Row],[GP]]</f>
        <v>3.8048780487804876</v>
      </c>
      <c r="L5" s="1">
        <v>252</v>
      </c>
      <c r="M5" s="1">
        <v>3.07</v>
      </c>
      <c r="N5" s="2">
        <f>(Table14[[#This Row],[GF]]^2)/((Table14[[#This Row],[GF]]^2)+(Table14[[#This Row],[GA]]^2))</f>
        <v>0.60519247985675917</v>
      </c>
      <c r="O5" s="1">
        <v>27.27</v>
      </c>
      <c r="P5" s="1">
        <v>82.05</v>
      </c>
      <c r="Q5" s="1">
        <f>Table14[[#This Row],[PP_PCT]]+Table14[[#This Row],[PK_PCT]]</f>
        <v>109.32</v>
      </c>
      <c r="R5" s="3">
        <v>11</v>
      </c>
      <c r="S5" s="3">
        <f>Table14[[#This Row],[GA]]/Table14[[#This Row],[GP]]</f>
        <v>3.0731707317073171</v>
      </c>
      <c r="T5" s="2">
        <v>0.92700000000000005</v>
      </c>
      <c r="U5" s="1">
        <v>101</v>
      </c>
      <c r="V5" s="1">
        <v>46.4</v>
      </c>
      <c r="W5" s="1">
        <v>45.9</v>
      </c>
      <c r="X5" s="1">
        <v>141.30000000000001</v>
      </c>
      <c r="Y5" s="3">
        <f>Table135[[#This Row],[XGF]]/Table14[[#This Row],[GP]]</f>
        <v>1.7231707317073173</v>
      </c>
      <c r="Z5" s="1">
        <v>169.6</v>
      </c>
      <c r="AA5" s="3">
        <f>Table135[[#This Row],[XGA]]/Table14[[#This Row],[GP]]</f>
        <v>2.0682926829268293</v>
      </c>
      <c r="AB5" s="1">
        <v>50</v>
      </c>
      <c r="AC5" s="2">
        <f>Table135[[#This Row],[HDGF]]/Table14[[#This Row],[GP]]</f>
        <v>0.6097560975609756</v>
      </c>
      <c r="AD5" s="1">
        <v>61</v>
      </c>
      <c r="AE5" s="2">
        <f>Table135[[#This Row],[HDGA]]/Table14[[#This Row],[GP]]</f>
        <v>0.74390243902439024</v>
      </c>
      <c r="AF5" s="1">
        <v>8.6</v>
      </c>
    </row>
    <row r="6" spans="1:32" x14ac:dyDescent="0.35">
      <c r="A6" t="s">
        <v>56</v>
      </c>
      <c r="B6">
        <v>5</v>
      </c>
      <c r="C6" t="s">
        <v>61</v>
      </c>
      <c r="D6" s="1">
        <v>1</v>
      </c>
      <c r="E6" s="1">
        <v>29.4</v>
      </c>
      <c r="F6" s="1">
        <v>82</v>
      </c>
      <c r="G6" s="1">
        <v>113</v>
      </c>
      <c r="H6" s="2">
        <f>Table14[[#This Row],[PTS]]/Table14[[#This Row],[GP]]</f>
        <v>1.3780487804878048</v>
      </c>
      <c r="I6" s="2">
        <v>0.68899999999999995</v>
      </c>
      <c r="J6" s="1">
        <v>305</v>
      </c>
      <c r="K6" s="3">
        <f>Table14[[#This Row],[GF]]/Table14[[#This Row],[GP]]</f>
        <v>3.7195121951219514</v>
      </c>
      <c r="L6" s="1">
        <v>249</v>
      </c>
      <c r="M6" s="1">
        <v>3.04</v>
      </c>
      <c r="N6" s="2">
        <f>(Table14[[#This Row],[GF]]^2)/((Table14[[#This Row],[GF]]^2)+(Table14[[#This Row],[GA]]^2))</f>
        <v>0.60006063499025974</v>
      </c>
      <c r="O6" s="1">
        <v>20.54</v>
      </c>
      <c r="P6" s="1">
        <v>76.14</v>
      </c>
      <c r="Q6" s="1">
        <f>Table14[[#This Row],[PP_PCT]]+Table14[[#This Row],[PK_PCT]]</f>
        <v>96.68</v>
      </c>
      <c r="R6" s="3">
        <v>11.4</v>
      </c>
      <c r="S6" s="3">
        <f>Table14[[#This Row],[GA]]/Table14[[#This Row],[GP]]</f>
        <v>3.0365853658536586</v>
      </c>
      <c r="T6" s="2">
        <v>0.91</v>
      </c>
      <c r="U6" s="1">
        <v>99.7</v>
      </c>
      <c r="V6" s="1">
        <v>43.9</v>
      </c>
      <c r="W6" s="1">
        <v>43.5</v>
      </c>
      <c r="X6" s="1">
        <v>148.6</v>
      </c>
      <c r="Y6" s="3">
        <f>Table135[[#This Row],[XGF]]/Table14[[#This Row],[GP]]</f>
        <v>1.8121951219512193</v>
      </c>
      <c r="Z6" s="1">
        <v>206.2</v>
      </c>
      <c r="AA6" s="3">
        <f>Table135[[#This Row],[XGA]]/Table14[[#This Row],[GP]]</f>
        <v>2.5146341463414634</v>
      </c>
      <c r="AB6" s="1">
        <v>66</v>
      </c>
      <c r="AC6" s="2">
        <f>Table135[[#This Row],[HDGF]]/Table14[[#This Row],[GP]]</f>
        <v>0.80487804878048785</v>
      </c>
      <c r="AD6" s="1">
        <v>95</v>
      </c>
      <c r="AE6" s="2">
        <f>Table135[[#This Row],[HDGA]]/Table14[[#This Row],[GP]]</f>
        <v>1.1585365853658536</v>
      </c>
      <c r="AF6" s="1">
        <v>10.8</v>
      </c>
    </row>
    <row r="7" spans="1:32" x14ac:dyDescent="0.35">
      <c r="A7" t="s">
        <v>56</v>
      </c>
      <c r="B7">
        <v>6</v>
      </c>
      <c r="C7" t="s">
        <v>62</v>
      </c>
      <c r="D7" s="1">
        <v>1</v>
      </c>
      <c r="E7" s="1">
        <v>28.8</v>
      </c>
      <c r="F7" s="1">
        <v>82</v>
      </c>
      <c r="G7" s="1">
        <v>111</v>
      </c>
      <c r="H7" s="2">
        <f>Table14[[#This Row],[PTS]]/Table14[[#This Row],[GP]]</f>
        <v>1.3536585365853659</v>
      </c>
      <c r="I7" s="2">
        <v>0.67700000000000005</v>
      </c>
      <c r="J7" s="1">
        <v>291</v>
      </c>
      <c r="K7" s="3">
        <f>Table14[[#This Row],[GF]]/Table14[[#This Row],[GP]]</f>
        <v>3.5487804878048781</v>
      </c>
      <c r="L7" s="1">
        <v>206</v>
      </c>
      <c r="M7" s="1">
        <v>2.5099999999999998</v>
      </c>
      <c r="N7" s="2">
        <f>(Table14[[#This Row],[GF]]^2)/((Table14[[#This Row],[GF]]^2)+(Table14[[#This Row],[GA]]^2))</f>
        <v>0.66616581574455025</v>
      </c>
      <c r="O7" s="1">
        <v>22.88</v>
      </c>
      <c r="P7" s="1">
        <v>83.2</v>
      </c>
      <c r="Q7" s="1">
        <f>Table14[[#This Row],[PP_PCT]]+Table14[[#This Row],[PK_PCT]]</f>
        <v>106.08</v>
      </c>
      <c r="R7" s="3">
        <v>10</v>
      </c>
      <c r="S7" s="3">
        <f>Table14[[#This Row],[GA]]/Table14[[#This Row],[GP]]</f>
        <v>2.5121951219512195</v>
      </c>
      <c r="T7" s="2">
        <v>0.92</v>
      </c>
      <c r="U7" s="1">
        <v>100.4</v>
      </c>
      <c r="V7" s="1">
        <v>45</v>
      </c>
      <c r="W7" s="1">
        <v>44.6</v>
      </c>
      <c r="X7" s="1">
        <v>153.9</v>
      </c>
      <c r="Y7" s="3">
        <f>Table135[[#This Row],[XGF]]/Table14[[#This Row],[GP]]</f>
        <v>1.876829268292683</v>
      </c>
      <c r="Z7" s="1">
        <v>193</v>
      </c>
      <c r="AA7" s="3">
        <f>Table135[[#This Row],[XGA]]/Table14[[#This Row],[GP]]</f>
        <v>2.3536585365853657</v>
      </c>
      <c r="AB7" s="1">
        <v>60</v>
      </c>
      <c r="AC7" s="2">
        <f>Table135[[#This Row],[HDGF]]/Table14[[#This Row],[GP]]</f>
        <v>0.73170731707317072</v>
      </c>
      <c r="AD7" s="1">
        <v>72</v>
      </c>
      <c r="AE7" s="2">
        <f>Table135[[#This Row],[HDGA]]/Table14[[#This Row],[GP]]</f>
        <v>0.87804878048780488</v>
      </c>
      <c r="AF7" s="1">
        <v>9.1</v>
      </c>
    </row>
    <row r="8" spans="1:32" x14ac:dyDescent="0.35">
      <c r="A8" t="s">
        <v>56</v>
      </c>
      <c r="B8">
        <v>7</v>
      </c>
      <c r="C8" t="s">
        <v>63</v>
      </c>
      <c r="D8" s="1">
        <v>1</v>
      </c>
      <c r="E8" s="1">
        <v>29.6</v>
      </c>
      <c r="F8" s="1">
        <v>82</v>
      </c>
      <c r="G8" s="1">
        <v>110</v>
      </c>
      <c r="H8" s="2">
        <f>Table14[[#This Row],[PTS]]/Table14[[#This Row],[GP]]</f>
        <v>1.3414634146341464</v>
      </c>
      <c r="I8" s="2">
        <v>0.67100000000000004</v>
      </c>
      <c r="J8" s="1">
        <v>285</v>
      </c>
      <c r="K8" s="3">
        <f>Table14[[#This Row],[GF]]/Table14[[#This Row],[GP]]</f>
        <v>3.475609756097561</v>
      </c>
      <c r="L8" s="1">
        <v>228</v>
      </c>
      <c r="M8" s="1">
        <v>2.78</v>
      </c>
      <c r="N8" s="2">
        <f>(Table14[[#This Row],[GF]]^2)/((Table14[[#This Row],[GF]]^2)+(Table14[[#This Row],[GA]]^2))</f>
        <v>0.6097560975609756</v>
      </c>
      <c r="O8" s="1">
        <v>23.94</v>
      </c>
      <c r="P8" s="1">
        <v>80.56</v>
      </c>
      <c r="Q8" s="1">
        <f>Table14[[#This Row],[PP_PCT]]+Table14[[#This Row],[PK_PCT]]</f>
        <v>104.5</v>
      </c>
      <c r="R8" s="3">
        <v>11.2</v>
      </c>
      <c r="S8" s="3">
        <f>Table14[[#This Row],[GA]]/Table14[[#This Row],[GP]]</f>
        <v>2.7804878048780486</v>
      </c>
      <c r="T8" s="2">
        <v>0.92</v>
      </c>
      <c r="U8" s="1">
        <v>100.8</v>
      </c>
      <c r="V8" s="1">
        <v>49</v>
      </c>
      <c r="W8" s="1">
        <v>47.8</v>
      </c>
      <c r="X8" s="1">
        <v>160.9</v>
      </c>
      <c r="Y8" s="3">
        <f>Table135[[#This Row],[XGF]]/Table14[[#This Row],[GP]]</f>
        <v>1.9621951219512195</v>
      </c>
      <c r="Z8" s="1">
        <v>180.1</v>
      </c>
      <c r="AA8" s="3">
        <f>Table135[[#This Row],[XGA]]/Table14[[#This Row],[GP]]</f>
        <v>2.1963414634146341</v>
      </c>
      <c r="AB8" s="1">
        <v>67</v>
      </c>
      <c r="AC8" s="2">
        <f>Table135[[#This Row],[HDGF]]/Table14[[#This Row],[GP]]</f>
        <v>0.81707317073170727</v>
      </c>
      <c r="AD8" s="1">
        <v>63</v>
      </c>
      <c r="AE8" s="2">
        <f>Table135[[#This Row],[HDGA]]/Table14[[#This Row],[GP]]</f>
        <v>0.76829268292682928</v>
      </c>
      <c r="AF8" s="1">
        <v>11</v>
      </c>
    </row>
    <row r="9" spans="1:32" x14ac:dyDescent="0.35">
      <c r="A9" t="s">
        <v>56</v>
      </c>
      <c r="B9">
        <v>8</v>
      </c>
      <c r="C9" t="s">
        <v>64</v>
      </c>
      <c r="D9" s="1">
        <v>1</v>
      </c>
      <c r="E9" s="1">
        <v>26.7</v>
      </c>
      <c r="F9" s="1">
        <v>82</v>
      </c>
      <c r="G9" s="1">
        <v>110</v>
      </c>
      <c r="H9" s="2">
        <f>Table14[[#This Row],[PTS]]/Table14[[#This Row],[GP]]</f>
        <v>1.3414634146341464</v>
      </c>
      <c r="I9" s="2">
        <v>0.67100000000000004</v>
      </c>
      <c r="J9" s="1">
        <v>250</v>
      </c>
      <c r="K9" s="3">
        <f>Table14[[#This Row],[GF]]/Table14[[#This Row],[GP]]</f>
        <v>3.0487804878048781</v>
      </c>
      <c r="L9" s="1">
        <v>204</v>
      </c>
      <c r="M9" s="1">
        <v>2.4900000000000002</v>
      </c>
      <c r="N9" s="2">
        <f>(Table14[[#This Row],[GF]]^2)/((Table14[[#This Row],[GF]]^2)+(Table14[[#This Row],[GA]]^2))</f>
        <v>0.60029198202005452</v>
      </c>
      <c r="O9" s="1">
        <v>25.23</v>
      </c>
      <c r="P9" s="1">
        <v>82.3</v>
      </c>
      <c r="Q9" s="1">
        <f>Table14[[#This Row],[PP_PCT]]+Table14[[#This Row],[PK_PCT]]</f>
        <v>107.53</v>
      </c>
      <c r="R9" s="3">
        <v>10.5</v>
      </c>
      <c r="S9" s="3">
        <f>Table14[[#This Row],[GA]]/Table14[[#This Row],[GP]]</f>
        <v>2.4878048780487805</v>
      </c>
      <c r="T9" s="2">
        <v>0.92300000000000004</v>
      </c>
      <c r="U9" s="1">
        <v>99.1</v>
      </c>
      <c r="V9" s="1">
        <v>54.5</v>
      </c>
      <c r="W9" s="1">
        <v>55.8</v>
      </c>
      <c r="X9" s="1">
        <v>199.5</v>
      </c>
      <c r="Y9" s="3">
        <f>Table135[[#This Row],[XGF]]/Table14[[#This Row],[GP]]</f>
        <v>2.4329268292682928</v>
      </c>
      <c r="Z9" s="1">
        <v>143.5</v>
      </c>
      <c r="AA9" s="3">
        <f>Table135[[#This Row],[XGA]]/Table14[[#This Row],[GP]]</f>
        <v>1.75</v>
      </c>
      <c r="AB9" s="1">
        <v>80</v>
      </c>
      <c r="AC9" s="2">
        <f>Table135[[#This Row],[HDGF]]/Table14[[#This Row],[GP]]</f>
        <v>0.97560975609756095</v>
      </c>
      <c r="AD9" s="1">
        <v>71</v>
      </c>
      <c r="AE9" s="2">
        <f>Table135[[#This Row],[HDGA]]/Table14[[#This Row],[GP]]</f>
        <v>0.86585365853658536</v>
      </c>
      <c r="AF9" s="1">
        <v>8.1999999999999993</v>
      </c>
    </row>
    <row r="10" spans="1:32" x14ac:dyDescent="0.35">
      <c r="A10" t="s">
        <v>56</v>
      </c>
      <c r="B10">
        <v>9</v>
      </c>
      <c r="C10" t="s">
        <v>65</v>
      </c>
      <c r="D10" s="1">
        <v>1</v>
      </c>
      <c r="E10" s="1">
        <v>28.8</v>
      </c>
      <c r="F10" s="1">
        <v>82</v>
      </c>
      <c r="G10" s="1">
        <v>109</v>
      </c>
      <c r="H10" s="2">
        <f>Table14[[#This Row],[PTS]]/Table14[[#This Row],[GP]]</f>
        <v>1.3292682926829269</v>
      </c>
      <c r="I10" s="2">
        <v>0.66500000000000004</v>
      </c>
      <c r="J10" s="1">
        <v>309</v>
      </c>
      <c r="K10" s="3">
        <f>Table14[[#This Row],[GF]]/Table14[[#This Row],[GP]]</f>
        <v>3.7682926829268291</v>
      </c>
      <c r="L10" s="1">
        <v>239</v>
      </c>
      <c r="M10" s="1">
        <v>2.91</v>
      </c>
      <c r="N10" s="2">
        <f>(Table14[[#This Row],[GF]]^2)/((Table14[[#This Row],[GF]]^2)+(Table14[[#This Row],[GA]]^2))</f>
        <v>0.62568642612809788</v>
      </c>
      <c r="O10" s="1">
        <v>26.97</v>
      </c>
      <c r="P10" s="1">
        <v>84.09</v>
      </c>
      <c r="Q10" s="1">
        <f>Table14[[#This Row],[PP_PCT]]+Table14[[#This Row],[PK_PCT]]</f>
        <v>111.06</v>
      </c>
      <c r="R10" s="3">
        <v>12.4</v>
      </c>
      <c r="S10" s="3">
        <f>Table14[[#This Row],[GA]]/Table14[[#This Row],[GP]]</f>
        <v>2.9146341463414633</v>
      </c>
      <c r="T10" s="2">
        <v>0.94</v>
      </c>
      <c r="U10" s="1">
        <v>103</v>
      </c>
      <c r="V10" s="1">
        <v>51.5</v>
      </c>
      <c r="W10" s="1">
        <v>52.1</v>
      </c>
      <c r="X10" s="1">
        <v>190.6</v>
      </c>
      <c r="Y10" s="3">
        <f>Table135[[#This Row],[XGF]]/Table14[[#This Row],[GP]]</f>
        <v>2.3243902439024389</v>
      </c>
      <c r="Z10" s="1">
        <v>164.2</v>
      </c>
      <c r="AA10" s="3">
        <f>Table135[[#This Row],[XGA]]/Table14[[#This Row],[GP]]</f>
        <v>2.0024390243902439</v>
      </c>
      <c r="AB10" s="1">
        <v>65</v>
      </c>
      <c r="AC10" s="2">
        <f>Table135[[#This Row],[HDGF]]/Table14[[#This Row],[GP]]</f>
        <v>0.79268292682926833</v>
      </c>
      <c r="AD10" s="1">
        <v>49</v>
      </c>
      <c r="AE10" s="2">
        <f>Table135[[#This Row],[HDGA]]/Table14[[#This Row],[GP]]</f>
        <v>0.59756097560975607</v>
      </c>
      <c r="AF10" s="1">
        <v>7.5</v>
      </c>
    </row>
    <row r="11" spans="1:32" x14ac:dyDescent="0.35">
      <c r="A11" t="s">
        <v>56</v>
      </c>
      <c r="B11">
        <v>10</v>
      </c>
      <c r="C11" t="s">
        <v>66</v>
      </c>
      <c r="D11" s="1">
        <v>1</v>
      </c>
      <c r="E11" s="1">
        <v>28.5</v>
      </c>
      <c r="F11" s="1">
        <v>82</v>
      </c>
      <c r="G11" s="1">
        <v>107</v>
      </c>
      <c r="H11" s="2">
        <f>Table14[[#This Row],[PTS]]/Table14[[#This Row],[GP]]</f>
        <v>1.3048780487804879</v>
      </c>
      <c r="I11" s="2">
        <v>0.65200000000000002</v>
      </c>
      <c r="J11" s="1">
        <v>253</v>
      </c>
      <c r="K11" s="3">
        <f>Table14[[#This Row],[GF]]/Table14[[#This Row],[GP]]</f>
        <v>3.0853658536585367</v>
      </c>
      <c r="L11" s="1">
        <v>218</v>
      </c>
      <c r="M11" s="1">
        <v>2.66</v>
      </c>
      <c r="N11" s="2">
        <f>(Table14[[#This Row],[GF]]^2)/((Table14[[#This Row],[GF]]^2)+(Table14[[#This Row],[GA]]^2))</f>
        <v>0.5739018945065586</v>
      </c>
      <c r="O11" s="1">
        <v>21.19</v>
      </c>
      <c r="P11" s="1">
        <v>81.3</v>
      </c>
      <c r="Q11" s="1">
        <f>Table14[[#This Row],[PP_PCT]]+Table14[[#This Row],[PK_PCT]]</f>
        <v>102.49</v>
      </c>
      <c r="R11" s="3">
        <v>8.5</v>
      </c>
      <c r="S11" s="3">
        <f>Table14[[#This Row],[GA]]/Table14[[#This Row],[GP]]</f>
        <v>2.6585365853658538</v>
      </c>
      <c r="T11" s="2">
        <v>0.93400000000000005</v>
      </c>
      <c r="U11" s="1">
        <v>102.3</v>
      </c>
      <c r="V11" s="1">
        <v>47.7</v>
      </c>
      <c r="W11" s="1">
        <v>47.5</v>
      </c>
      <c r="X11" s="1">
        <v>169.7</v>
      </c>
      <c r="Y11" s="3">
        <f>Table135[[#This Row],[XGF]]/Table14[[#This Row],[GP]]</f>
        <v>2.0695121951219511</v>
      </c>
      <c r="Z11" s="1">
        <v>163.4</v>
      </c>
      <c r="AA11" s="3">
        <f>Table135[[#This Row],[XGA]]/Table14[[#This Row],[GP]]</f>
        <v>1.9926829268292683</v>
      </c>
      <c r="AB11" s="1">
        <v>81</v>
      </c>
      <c r="AC11" s="2">
        <f>Table135[[#This Row],[HDGF]]/Table14[[#This Row],[GP]]</f>
        <v>0.98780487804878048</v>
      </c>
      <c r="AD11" s="1">
        <v>76</v>
      </c>
      <c r="AE11" s="2">
        <f>Table135[[#This Row],[HDGA]]/Table14[[#This Row],[GP]]</f>
        <v>0.92682926829268297</v>
      </c>
      <c r="AF11" s="1">
        <v>9.9</v>
      </c>
    </row>
    <row r="12" spans="1:32" x14ac:dyDescent="0.35">
      <c r="A12" t="s">
        <v>56</v>
      </c>
      <c r="B12">
        <v>11</v>
      </c>
      <c r="C12" t="s">
        <v>67</v>
      </c>
      <c r="D12" s="1">
        <v>1</v>
      </c>
      <c r="E12" s="1">
        <v>29.1</v>
      </c>
      <c r="F12" s="1">
        <v>82</v>
      </c>
      <c r="G12" s="1">
        <v>104</v>
      </c>
      <c r="H12" s="2">
        <f>Table14[[#This Row],[PTS]]/Table14[[#This Row],[GP]]</f>
        <v>1.2682926829268293</v>
      </c>
      <c r="I12" s="2">
        <v>0.63400000000000001</v>
      </c>
      <c r="J12" s="1">
        <v>285</v>
      </c>
      <c r="K12" s="3">
        <f>Table14[[#This Row],[GF]]/Table14[[#This Row],[GP]]</f>
        <v>3.475609756097561</v>
      </c>
      <c r="L12" s="1">
        <v>251</v>
      </c>
      <c r="M12" s="1">
        <v>3.06</v>
      </c>
      <c r="N12" s="2">
        <f>(Table14[[#This Row],[GF]]^2)/((Table14[[#This Row],[GF]]^2)+(Table14[[#This Row],[GA]]^2))</f>
        <v>0.56317862243978201</v>
      </c>
      <c r="O12" s="1">
        <v>25.96</v>
      </c>
      <c r="P12" s="1">
        <v>79.37</v>
      </c>
      <c r="Q12" s="1">
        <f>Table14[[#This Row],[PP_PCT]]+Table14[[#This Row],[PK_PCT]]</f>
        <v>105.33000000000001</v>
      </c>
      <c r="R12" s="3">
        <v>10.199999999999999</v>
      </c>
      <c r="S12" s="3">
        <f>Table14[[#This Row],[GA]]/Table14[[#This Row],[GP]]</f>
        <v>3.0609756097560976</v>
      </c>
      <c r="T12" s="2">
        <v>0.91700000000000004</v>
      </c>
      <c r="U12" s="1">
        <v>99.8</v>
      </c>
      <c r="V12" s="1">
        <v>48.6</v>
      </c>
      <c r="W12" s="1">
        <v>47.5</v>
      </c>
      <c r="X12" s="1">
        <v>128.9</v>
      </c>
      <c r="Y12" s="3">
        <f>Table135[[#This Row],[XGF]]/Table14[[#This Row],[GP]]</f>
        <v>1.5719512195121952</v>
      </c>
      <c r="Z12" s="1">
        <v>145.19999999999999</v>
      </c>
      <c r="AA12" s="3">
        <f>Table135[[#This Row],[XGA]]/Table14[[#This Row],[GP]]</f>
        <v>1.770731707317073</v>
      </c>
      <c r="AB12" s="1">
        <v>51</v>
      </c>
      <c r="AC12" s="2">
        <f>Table135[[#This Row],[HDGF]]/Table14[[#This Row],[GP]]</f>
        <v>0.62195121951219512</v>
      </c>
      <c r="AD12" s="1">
        <v>48</v>
      </c>
      <c r="AE12" s="2">
        <f>Table135[[#This Row],[HDGA]]/Table14[[#This Row],[GP]]</f>
        <v>0.58536585365853655</v>
      </c>
      <c r="AF12" s="1">
        <v>8.1</v>
      </c>
    </row>
    <row r="13" spans="1:32" x14ac:dyDescent="0.35">
      <c r="A13" t="s">
        <v>56</v>
      </c>
      <c r="B13">
        <v>12</v>
      </c>
      <c r="C13" t="s">
        <v>68</v>
      </c>
      <c r="D13" s="1">
        <v>1</v>
      </c>
      <c r="E13" s="1">
        <v>29.7</v>
      </c>
      <c r="F13" s="1">
        <v>82</v>
      </c>
      <c r="G13" s="1">
        <v>103</v>
      </c>
      <c r="H13" s="2">
        <f>Table14[[#This Row],[PTS]]/Table14[[#This Row],[GP]]</f>
        <v>1.2560975609756098</v>
      </c>
      <c r="I13" s="2">
        <v>0.628</v>
      </c>
      <c r="J13" s="1">
        <v>269</v>
      </c>
      <c r="K13" s="3">
        <f>Table14[[#This Row],[GF]]/Table14[[#This Row],[GP]]</f>
        <v>3.2804878048780486</v>
      </c>
      <c r="L13" s="1">
        <v>222</v>
      </c>
      <c r="M13" s="1">
        <v>2.71</v>
      </c>
      <c r="N13" s="2">
        <f>(Table14[[#This Row],[GF]]^2)/((Table14[[#This Row],[GF]]^2)+(Table14[[#This Row],[GA]]^2))</f>
        <v>0.59485387808787871</v>
      </c>
      <c r="O13" s="1">
        <v>20.16</v>
      </c>
      <c r="P13" s="1">
        <v>84.43</v>
      </c>
      <c r="Q13" s="1">
        <f>Table14[[#This Row],[PP_PCT]]+Table14[[#This Row],[PK_PCT]]</f>
        <v>104.59</v>
      </c>
      <c r="R13" s="3">
        <v>9.4</v>
      </c>
      <c r="S13" s="3">
        <f>Table14[[#This Row],[GA]]/Table14[[#This Row],[GP]]</f>
        <v>2.7073170731707319</v>
      </c>
      <c r="T13" s="2">
        <v>0.91400000000000003</v>
      </c>
      <c r="U13" s="1">
        <v>99</v>
      </c>
      <c r="V13" s="1">
        <v>48.5</v>
      </c>
      <c r="W13" s="1">
        <v>47.5</v>
      </c>
      <c r="X13" s="1">
        <v>158.5</v>
      </c>
      <c r="Y13" s="3">
        <f>Table135[[#This Row],[XGF]]/Table14[[#This Row],[GP]]</f>
        <v>1.9329268292682926</v>
      </c>
      <c r="Z13" s="1">
        <v>187</v>
      </c>
      <c r="AA13" s="3">
        <f>Table135[[#This Row],[XGA]]/Table14[[#This Row],[GP]]</f>
        <v>2.2804878048780486</v>
      </c>
      <c r="AB13" s="1">
        <v>66</v>
      </c>
      <c r="AC13" s="2">
        <f>Table135[[#This Row],[HDGF]]/Table14[[#This Row],[GP]]</f>
        <v>0.80487804878048785</v>
      </c>
      <c r="AD13" s="1">
        <v>82</v>
      </c>
      <c r="AE13" s="2">
        <f>Table135[[#This Row],[HDGA]]/Table14[[#This Row],[GP]]</f>
        <v>1</v>
      </c>
      <c r="AF13" s="1">
        <v>6.9</v>
      </c>
    </row>
    <row r="14" spans="1:32" x14ac:dyDescent="0.35">
      <c r="A14" t="s">
        <v>56</v>
      </c>
      <c r="B14">
        <v>13</v>
      </c>
      <c r="C14" t="s">
        <v>69</v>
      </c>
      <c r="D14" s="1">
        <v>1</v>
      </c>
      <c r="E14" s="1">
        <v>29.5</v>
      </c>
      <c r="F14" s="1">
        <v>82</v>
      </c>
      <c r="G14" s="1">
        <v>100</v>
      </c>
      <c r="H14" s="2">
        <f>Table14[[#This Row],[PTS]]/Table14[[#This Row],[GP]]</f>
        <v>1.2195121951219512</v>
      </c>
      <c r="I14" s="2">
        <v>0.61</v>
      </c>
      <c r="J14" s="1">
        <v>270</v>
      </c>
      <c r="K14" s="3">
        <f>Table14[[#This Row],[GF]]/Table14[[#This Row],[GP]]</f>
        <v>3.2926829268292681</v>
      </c>
      <c r="L14" s="1">
        <v>242</v>
      </c>
      <c r="M14" s="1">
        <v>2.95</v>
      </c>
      <c r="N14" s="2">
        <f>(Table14[[#This Row],[GF]]^2)/((Table14[[#This Row],[GF]]^2)+(Table14[[#This Row],[GA]]^2))</f>
        <v>0.55452443254427064</v>
      </c>
      <c r="O14" s="1">
        <v>18.75</v>
      </c>
      <c r="P14" s="1">
        <v>80.44</v>
      </c>
      <c r="Q14" s="1">
        <f>Table14[[#This Row],[PP_PCT]]+Table14[[#This Row],[PK_PCT]]</f>
        <v>99.19</v>
      </c>
      <c r="R14" s="3">
        <v>10.5</v>
      </c>
      <c r="S14" s="3">
        <f>Table14[[#This Row],[GA]]/Table14[[#This Row],[GP]]</f>
        <v>2.9512195121951219</v>
      </c>
      <c r="T14" s="2">
        <v>0.91100000000000003</v>
      </c>
      <c r="U14" s="1">
        <v>99.8</v>
      </c>
      <c r="V14" s="1">
        <v>51.4</v>
      </c>
      <c r="W14" s="1">
        <v>50.3</v>
      </c>
      <c r="X14" s="1">
        <v>194.1</v>
      </c>
      <c r="Y14" s="3">
        <f>Table135[[#This Row],[XGF]]/Table14[[#This Row],[GP]]</f>
        <v>2.3670731707317074</v>
      </c>
      <c r="Z14" s="1">
        <v>207</v>
      </c>
      <c r="AA14" s="3">
        <f>Table135[[#This Row],[XGA]]/Table14[[#This Row],[GP]]</f>
        <v>2.524390243902439</v>
      </c>
      <c r="AB14" s="1">
        <v>65</v>
      </c>
      <c r="AC14" s="2">
        <f>Table135[[#This Row],[HDGF]]/Table14[[#This Row],[GP]]</f>
        <v>0.79268292682926833</v>
      </c>
      <c r="AD14" s="1">
        <v>81</v>
      </c>
      <c r="AE14" s="2">
        <f>Table135[[#This Row],[HDGA]]/Table14[[#This Row],[GP]]</f>
        <v>0.98780487804878048</v>
      </c>
      <c r="AF14" s="1">
        <v>7.7</v>
      </c>
    </row>
    <row r="15" spans="1:32" x14ac:dyDescent="0.35">
      <c r="A15" t="s">
        <v>56</v>
      </c>
      <c r="B15">
        <v>14</v>
      </c>
      <c r="C15" t="s">
        <v>70</v>
      </c>
      <c r="D15" s="1">
        <v>1</v>
      </c>
      <c r="E15" s="1">
        <v>28</v>
      </c>
      <c r="F15" s="1">
        <v>82</v>
      </c>
      <c r="G15" s="1">
        <v>99</v>
      </c>
      <c r="H15" s="2">
        <f>Table14[[#This Row],[PTS]]/Table14[[#This Row],[GP]]</f>
        <v>1.2073170731707317</v>
      </c>
      <c r="I15" s="2">
        <v>0.60399999999999998</v>
      </c>
      <c r="J15" s="1">
        <v>235</v>
      </c>
      <c r="K15" s="3">
        <f>Table14[[#This Row],[GF]]/Table14[[#This Row],[GP]]</f>
        <v>2.8658536585365852</v>
      </c>
      <c r="L15" s="1">
        <v>232</v>
      </c>
      <c r="M15" s="1">
        <v>2.83</v>
      </c>
      <c r="N15" s="2">
        <f>(Table14[[#This Row],[GF]]^2)/((Table14[[#This Row],[GF]]^2)+(Table14[[#This Row],[GA]]^2))</f>
        <v>0.50642371777824646</v>
      </c>
      <c r="O15" s="1">
        <v>16.13</v>
      </c>
      <c r="P15" s="1">
        <v>76.650000000000006</v>
      </c>
      <c r="Q15" s="1">
        <f>Table14[[#This Row],[PP_PCT]]+Table14[[#This Row],[PK_PCT]]</f>
        <v>92.78</v>
      </c>
      <c r="R15" s="3">
        <v>8.1999999999999993</v>
      </c>
      <c r="S15" s="3">
        <f>Table14[[#This Row],[GA]]/Table14[[#This Row],[GP]]</f>
        <v>2.8292682926829267</v>
      </c>
      <c r="T15" s="2">
        <v>0.92</v>
      </c>
      <c r="U15" s="1">
        <v>100.1</v>
      </c>
      <c r="V15" s="1">
        <v>51.2</v>
      </c>
      <c r="W15" s="1">
        <v>50.6</v>
      </c>
      <c r="X15" s="1">
        <v>168</v>
      </c>
      <c r="Y15" s="3">
        <f>Table135[[#This Row],[XGF]]/Table14[[#This Row],[GP]]</f>
        <v>2.0487804878048781</v>
      </c>
      <c r="Z15" s="1">
        <v>172.8</v>
      </c>
      <c r="AA15" s="3">
        <f>Table135[[#This Row],[XGA]]/Table14[[#This Row],[GP]]</f>
        <v>2.1073170731707318</v>
      </c>
      <c r="AB15" s="1">
        <v>57</v>
      </c>
      <c r="AC15" s="2">
        <f>Table135[[#This Row],[HDGF]]/Table14[[#This Row],[GP]]</f>
        <v>0.69512195121951215</v>
      </c>
      <c r="AD15" s="1">
        <v>63</v>
      </c>
      <c r="AE15" s="2">
        <f>Table135[[#This Row],[HDGA]]/Table14[[#This Row],[GP]]</f>
        <v>0.76829268292682928</v>
      </c>
      <c r="AF15" s="1">
        <v>7.7</v>
      </c>
    </row>
    <row r="16" spans="1:32" x14ac:dyDescent="0.35">
      <c r="A16" t="s">
        <v>56</v>
      </c>
      <c r="B16">
        <v>15</v>
      </c>
      <c r="C16" t="s">
        <v>71</v>
      </c>
      <c r="D16" s="1">
        <v>1</v>
      </c>
      <c r="E16" s="1">
        <v>29.4</v>
      </c>
      <c r="F16" s="1">
        <v>82</v>
      </c>
      <c r="G16" s="1">
        <v>98</v>
      </c>
      <c r="H16" s="2">
        <f>Table14[[#This Row],[PTS]]/Table14[[#This Row],[GP]]</f>
        <v>1.1951219512195121</v>
      </c>
      <c r="I16" s="2">
        <v>0.59799999999999998</v>
      </c>
      <c r="J16" s="1">
        <v>233</v>
      </c>
      <c r="K16" s="3">
        <f>Table14[[#This Row],[GF]]/Table14[[#This Row],[GP]]</f>
        <v>2.8414634146341462</v>
      </c>
      <c r="L16" s="1">
        <v>244</v>
      </c>
      <c r="M16" s="1">
        <v>2.98</v>
      </c>
      <c r="N16" s="2">
        <f>(Table14[[#This Row],[GF]]^2)/((Table14[[#This Row],[GF]]^2)+(Table14[[#This Row],[GA]]^2))</f>
        <v>0.47695146057544474</v>
      </c>
      <c r="O16" s="1">
        <v>22.41</v>
      </c>
      <c r="P16" s="1">
        <v>79</v>
      </c>
      <c r="Q16" s="1">
        <f>Table14[[#This Row],[PP_PCT]]+Table14[[#This Row],[PK_PCT]]</f>
        <v>101.41</v>
      </c>
      <c r="R16" s="3">
        <v>9.4</v>
      </c>
      <c r="S16" s="3">
        <f>Table14[[#This Row],[GA]]/Table14[[#This Row],[GP]]</f>
        <v>2.975609756097561</v>
      </c>
      <c r="T16" s="2">
        <v>0.90900000000000003</v>
      </c>
      <c r="U16" s="1">
        <v>100.5</v>
      </c>
      <c r="V16" s="1">
        <v>50.8</v>
      </c>
      <c r="W16" s="1">
        <v>49.8</v>
      </c>
      <c r="X16" s="1">
        <v>134.80000000000001</v>
      </c>
      <c r="Y16" s="3">
        <f>Table135[[#This Row],[XGF]]/Table14[[#This Row],[GP]]</f>
        <v>1.6439024390243904</v>
      </c>
      <c r="Z16" s="1">
        <v>154.1</v>
      </c>
      <c r="AA16" s="3">
        <f>Table135[[#This Row],[XGA]]/Table14[[#This Row],[GP]]</f>
        <v>1.8792682926829267</v>
      </c>
      <c r="AB16" s="1">
        <v>46</v>
      </c>
      <c r="AC16" s="2">
        <f>Table135[[#This Row],[HDGF]]/Table14[[#This Row],[GP]]</f>
        <v>0.56097560975609762</v>
      </c>
      <c r="AD16" s="1">
        <v>67</v>
      </c>
      <c r="AE16" s="2">
        <f>Table135[[#This Row],[HDGA]]/Table14[[#This Row],[GP]]</f>
        <v>0.81707317073170727</v>
      </c>
      <c r="AF16" s="1">
        <v>6.7</v>
      </c>
    </row>
    <row r="17" spans="1:32" x14ac:dyDescent="0.35">
      <c r="A17" t="s">
        <v>56</v>
      </c>
      <c r="B17">
        <v>16</v>
      </c>
      <c r="C17" t="s">
        <v>72</v>
      </c>
      <c r="D17" s="1">
        <v>1</v>
      </c>
      <c r="E17" s="1">
        <v>27.7</v>
      </c>
      <c r="F17" s="1">
        <v>82</v>
      </c>
      <c r="G17" s="1">
        <v>97</v>
      </c>
      <c r="H17" s="2">
        <f>Table14[[#This Row],[PTS]]/Table14[[#This Row],[GP]]</f>
        <v>1.1829268292682926</v>
      </c>
      <c r="I17" s="2">
        <v>0.59099999999999997</v>
      </c>
      <c r="J17" s="1">
        <v>262</v>
      </c>
      <c r="K17" s="3">
        <f>Table14[[#This Row],[GF]]/Table14[[#This Row],[GP]]</f>
        <v>3.1951219512195124</v>
      </c>
      <c r="L17" s="1">
        <v>250</v>
      </c>
      <c r="M17" s="1">
        <v>3.05</v>
      </c>
      <c r="N17" s="2">
        <f>(Table14[[#This Row],[GF]]^2)/((Table14[[#This Row],[GF]]^2)+(Table14[[#This Row],[GA]]^2))</f>
        <v>0.52342463246507653</v>
      </c>
      <c r="O17" s="1">
        <v>24.42</v>
      </c>
      <c r="P17" s="1">
        <v>79.23</v>
      </c>
      <c r="Q17" s="1">
        <f>Table14[[#This Row],[PP_PCT]]+Table14[[#This Row],[PK_PCT]]</f>
        <v>103.65</v>
      </c>
      <c r="R17" s="3">
        <v>10.7</v>
      </c>
      <c r="S17" s="3">
        <f>Table14[[#This Row],[GA]]/Table14[[#This Row],[GP]]</f>
        <v>3.0487804878048781</v>
      </c>
      <c r="T17" s="2">
        <v>0.92900000000000005</v>
      </c>
      <c r="U17" s="1">
        <v>100.9</v>
      </c>
      <c r="V17" s="1">
        <v>55.7</v>
      </c>
      <c r="W17" s="1">
        <v>55.4</v>
      </c>
      <c r="X17" s="1">
        <v>199.1</v>
      </c>
      <c r="Y17" s="3">
        <f>Table135[[#This Row],[XGF]]/Table14[[#This Row],[GP]]</f>
        <v>2.4280487804878046</v>
      </c>
      <c r="Z17" s="1">
        <v>157</v>
      </c>
      <c r="AA17" s="3">
        <f>Table135[[#This Row],[XGA]]/Table14[[#This Row],[GP]]</f>
        <v>1.9146341463414633</v>
      </c>
      <c r="AB17" s="1">
        <v>66</v>
      </c>
      <c r="AC17" s="2">
        <f>Table135[[#This Row],[HDGF]]/Table14[[#This Row],[GP]]</f>
        <v>0.80487804878048785</v>
      </c>
      <c r="AD17" s="1">
        <v>54</v>
      </c>
      <c r="AE17" s="2">
        <f>Table135[[#This Row],[HDGA]]/Table14[[#This Row],[GP]]</f>
        <v>0.65853658536585369</v>
      </c>
      <c r="AF17" s="1">
        <v>12.6</v>
      </c>
    </row>
    <row r="18" spans="1:32" x14ac:dyDescent="0.35">
      <c r="A18" t="s">
        <v>56</v>
      </c>
      <c r="B18">
        <v>17</v>
      </c>
      <c r="C18" t="s">
        <v>73</v>
      </c>
      <c r="D18" s="1">
        <v>0</v>
      </c>
      <c r="E18" s="1">
        <v>28.5</v>
      </c>
      <c r="F18" s="1">
        <v>82</v>
      </c>
      <c r="G18" s="1">
        <v>94</v>
      </c>
      <c r="H18" s="2">
        <f>Table14[[#This Row],[PTS]]/Table14[[#This Row],[GP]]</f>
        <v>1.1463414634146341</v>
      </c>
      <c r="I18" s="2">
        <v>0.57299999999999995</v>
      </c>
      <c r="J18" s="1">
        <v>262</v>
      </c>
      <c r="K18" s="3">
        <f>Table14[[#This Row],[GF]]/Table14[[#This Row],[GP]]</f>
        <v>3.1951219512195124</v>
      </c>
      <c r="L18" s="1">
        <v>244</v>
      </c>
      <c r="M18" s="1">
        <v>2.98</v>
      </c>
      <c r="N18" s="2">
        <f>(Table14[[#This Row],[GF]]^2)/((Table14[[#This Row],[GF]]^2)+(Table14[[#This Row],[GA]]^2))</f>
        <v>0.53552816352004995</v>
      </c>
      <c r="O18" s="1">
        <v>18.399999999999999</v>
      </c>
      <c r="P18" s="1">
        <v>77.400000000000006</v>
      </c>
      <c r="Q18" s="1">
        <f>Table14[[#This Row],[PP_PCT]]+Table14[[#This Row],[PK_PCT]]</f>
        <v>95.800000000000011</v>
      </c>
      <c r="R18" s="3">
        <v>9.3000000000000007</v>
      </c>
      <c r="S18" s="3">
        <f>Table14[[#This Row],[GA]]/Table14[[#This Row],[GP]]</f>
        <v>2.975609756097561</v>
      </c>
      <c r="T18" s="2">
        <v>0.90900000000000003</v>
      </c>
      <c r="U18" s="1">
        <v>98.4</v>
      </c>
      <c r="V18" s="1">
        <v>57.2</v>
      </c>
      <c r="W18" s="1">
        <v>56.8</v>
      </c>
      <c r="X18" s="1">
        <v>196</v>
      </c>
      <c r="Y18" s="3">
        <f>Table135[[#This Row],[XGF]]/Table14[[#This Row],[GP]]</f>
        <v>2.3902439024390243</v>
      </c>
      <c r="Z18" s="1">
        <v>161.30000000000001</v>
      </c>
      <c r="AA18" s="3">
        <f>Table135[[#This Row],[XGA]]/Table14[[#This Row],[GP]]</f>
        <v>1.9670731707317075</v>
      </c>
      <c r="AB18" s="1">
        <v>79</v>
      </c>
      <c r="AC18" s="2">
        <f>Table135[[#This Row],[HDGF]]/Table14[[#This Row],[GP]]</f>
        <v>0.96341463414634143</v>
      </c>
      <c r="AD18" s="1">
        <v>74</v>
      </c>
      <c r="AE18" s="2">
        <f>Table135[[#This Row],[HDGA]]/Table14[[#This Row],[GP]]</f>
        <v>0.90243902439024393</v>
      </c>
      <c r="AF18" s="1">
        <v>7.6</v>
      </c>
    </row>
    <row r="19" spans="1:32" x14ac:dyDescent="0.35">
      <c r="A19" t="s">
        <v>56</v>
      </c>
      <c r="B19">
        <v>18</v>
      </c>
      <c r="C19" t="s">
        <v>74</v>
      </c>
      <c r="D19" s="1">
        <v>0</v>
      </c>
      <c r="E19" s="1">
        <v>27.7</v>
      </c>
      <c r="F19" s="1">
        <v>82</v>
      </c>
      <c r="G19" s="1">
        <v>92</v>
      </c>
      <c r="H19" s="2">
        <f>Table14[[#This Row],[PTS]]/Table14[[#This Row],[GP]]</f>
        <v>1.1219512195121952</v>
      </c>
      <c r="I19" s="2">
        <v>0.56100000000000005</v>
      </c>
      <c r="J19" s="1">
        <v>246</v>
      </c>
      <c r="K19" s="3">
        <f>Table14[[#This Row],[GF]]/Table14[[#This Row],[GP]]</f>
        <v>3</v>
      </c>
      <c r="L19" s="1">
        <v>231</v>
      </c>
      <c r="M19" s="1">
        <v>2.82</v>
      </c>
      <c r="N19" s="2">
        <f>(Table14[[#This Row],[GF]]^2)/((Table14[[#This Row],[GF]]^2)+(Table14[[#This Row],[GA]]^2))</f>
        <v>0.53141547459100613</v>
      </c>
      <c r="O19" s="1">
        <v>23.48</v>
      </c>
      <c r="P19" s="1">
        <v>74.89</v>
      </c>
      <c r="Q19" s="1">
        <f>Table14[[#This Row],[PP_PCT]]+Table14[[#This Row],[PK_PCT]]</f>
        <v>98.37</v>
      </c>
      <c r="R19" s="3">
        <v>9.4</v>
      </c>
      <c r="S19" s="3">
        <f>Table14[[#This Row],[GA]]/Table14[[#This Row],[GP]]</f>
        <v>2.8170731707317072</v>
      </c>
      <c r="T19" s="2">
        <v>0.91300000000000003</v>
      </c>
      <c r="U19" s="1">
        <v>99</v>
      </c>
      <c r="V19" s="1">
        <v>51.7</v>
      </c>
      <c r="W19" s="1">
        <v>51.6</v>
      </c>
      <c r="X19" s="1">
        <v>170.3</v>
      </c>
      <c r="Y19" s="3">
        <f>Table135[[#This Row],[XGF]]/Table14[[#This Row],[GP]]</f>
        <v>2.0768292682926832</v>
      </c>
      <c r="Z19" s="1">
        <v>172.5</v>
      </c>
      <c r="AA19" s="3">
        <f>Table135[[#This Row],[XGA]]/Table14[[#This Row],[GP]]</f>
        <v>2.1036585365853657</v>
      </c>
      <c r="AB19" s="1">
        <v>63</v>
      </c>
      <c r="AC19" s="2">
        <f>Table135[[#This Row],[HDGF]]/Table14[[#This Row],[GP]]</f>
        <v>0.76829268292682928</v>
      </c>
      <c r="AD19" s="1">
        <v>61</v>
      </c>
      <c r="AE19" s="2">
        <f>Table135[[#This Row],[HDGA]]/Table14[[#This Row],[GP]]</f>
        <v>0.74390243902439024</v>
      </c>
      <c r="AF19" s="1">
        <v>8</v>
      </c>
    </row>
    <row r="20" spans="1:32" x14ac:dyDescent="0.35">
      <c r="A20" t="s">
        <v>56</v>
      </c>
      <c r="B20">
        <v>19</v>
      </c>
      <c r="C20" t="s">
        <v>75</v>
      </c>
      <c r="D20" s="1">
        <v>0</v>
      </c>
      <c r="E20" s="1">
        <v>28.2</v>
      </c>
      <c r="F20" s="1">
        <v>82</v>
      </c>
      <c r="G20" s="1">
        <v>89</v>
      </c>
      <c r="H20" s="2">
        <f>Table14[[#This Row],[PTS]]/Table14[[#This Row],[GP]]</f>
        <v>1.0853658536585367</v>
      </c>
      <c r="I20" s="2">
        <v>0.54300000000000004</v>
      </c>
      <c r="J20" s="1">
        <v>250</v>
      </c>
      <c r="K20" s="3">
        <f>Table14[[#This Row],[GF]]/Table14[[#This Row],[GP]]</f>
        <v>3.0487804878048781</v>
      </c>
      <c r="L20" s="1">
        <v>253</v>
      </c>
      <c r="M20" s="1">
        <v>3.09</v>
      </c>
      <c r="N20" s="2">
        <f>(Table14[[#This Row],[GF]]^2)/((Table14[[#This Row],[GF]]^2)+(Table14[[#This Row],[GA]]^2))</f>
        <v>0.49403599743891741</v>
      </c>
      <c r="O20" s="1">
        <v>21.05</v>
      </c>
      <c r="P20" s="1">
        <v>75</v>
      </c>
      <c r="Q20" s="1">
        <f>Table14[[#This Row],[PP_PCT]]+Table14[[#This Row],[PK_PCT]]</f>
        <v>96.05</v>
      </c>
      <c r="R20" s="3">
        <v>9.5</v>
      </c>
      <c r="S20" s="3">
        <f>Table14[[#This Row],[GA]]/Table14[[#This Row],[GP]]</f>
        <v>3.0853658536585367</v>
      </c>
      <c r="T20" s="2">
        <v>0.92900000000000005</v>
      </c>
      <c r="U20" s="1">
        <v>99.3</v>
      </c>
      <c r="V20" s="1">
        <v>52.3</v>
      </c>
      <c r="W20" s="1">
        <v>51.3</v>
      </c>
      <c r="X20" s="1">
        <v>137.30000000000001</v>
      </c>
      <c r="Y20" s="3">
        <f>Table135[[#This Row],[XGF]]/Table14[[#This Row],[GP]]</f>
        <v>1.6743902439024392</v>
      </c>
      <c r="Z20" s="1">
        <v>146.5</v>
      </c>
      <c r="AA20" s="3">
        <f>Table135[[#This Row],[XGA]]/Table14[[#This Row],[GP]]</f>
        <v>1.7865853658536586</v>
      </c>
      <c r="AB20" s="1">
        <v>44</v>
      </c>
      <c r="AC20" s="2">
        <f>Table135[[#This Row],[HDGF]]/Table14[[#This Row],[GP]]</f>
        <v>0.53658536585365857</v>
      </c>
      <c r="AD20" s="1">
        <v>52</v>
      </c>
      <c r="AE20" s="2">
        <f>Table135[[#This Row],[HDGA]]/Table14[[#This Row],[GP]]</f>
        <v>0.63414634146341464</v>
      </c>
      <c r="AF20" s="1">
        <v>8.8000000000000007</v>
      </c>
    </row>
    <row r="21" spans="1:32" x14ac:dyDescent="0.35">
      <c r="A21" t="s">
        <v>56</v>
      </c>
      <c r="B21">
        <v>20</v>
      </c>
      <c r="C21" t="s">
        <v>76</v>
      </c>
      <c r="D21" s="1">
        <v>0</v>
      </c>
      <c r="E21" s="1">
        <v>30.1</v>
      </c>
      <c r="F21" s="1">
        <v>82</v>
      </c>
      <c r="G21" s="1">
        <v>84</v>
      </c>
      <c r="H21" s="2">
        <f>Table14[[#This Row],[PTS]]/Table14[[#This Row],[GP]]</f>
        <v>1.024390243902439</v>
      </c>
      <c r="I21" s="2">
        <v>0.51200000000000001</v>
      </c>
      <c r="J21" s="1">
        <v>229</v>
      </c>
      <c r="K21" s="3">
        <f>Table14[[#This Row],[GF]]/Table14[[#This Row],[GP]]</f>
        <v>2.7926829268292681</v>
      </c>
      <c r="L21" s="1">
        <v>231</v>
      </c>
      <c r="M21" s="1">
        <v>2.82</v>
      </c>
      <c r="N21" s="2">
        <f>(Table14[[#This Row],[GF]]^2)/((Table14[[#This Row],[GF]]^2)+(Table14[[#This Row],[GA]]^2))</f>
        <v>0.49565225610101887</v>
      </c>
      <c r="O21" s="1">
        <v>22.12</v>
      </c>
      <c r="P21" s="1">
        <v>84.19</v>
      </c>
      <c r="Q21" s="1">
        <f>Table14[[#This Row],[PP_PCT]]+Table14[[#This Row],[PK_PCT]]</f>
        <v>106.31</v>
      </c>
      <c r="R21" s="3">
        <v>9.6999999999999993</v>
      </c>
      <c r="S21" s="3">
        <f>Table14[[#This Row],[GA]]/Table14[[#This Row],[GP]]</f>
        <v>2.8170731707317072</v>
      </c>
      <c r="T21" s="2">
        <v>0.92700000000000005</v>
      </c>
      <c r="U21" s="1">
        <v>100.8</v>
      </c>
      <c r="V21" s="1">
        <v>56.3</v>
      </c>
      <c r="W21" s="1">
        <v>55.9</v>
      </c>
      <c r="X21" s="1">
        <v>187.4</v>
      </c>
      <c r="Y21" s="3">
        <f>Table135[[#This Row],[XGF]]/Table14[[#This Row],[GP]]</f>
        <v>2.2853658536585368</v>
      </c>
      <c r="Z21" s="1">
        <v>163.69999999999999</v>
      </c>
      <c r="AA21" s="3">
        <f>Table135[[#This Row],[XGA]]/Table14[[#This Row],[GP]]</f>
        <v>1.9963414634146339</v>
      </c>
      <c r="AB21" s="1">
        <v>90</v>
      </c>
      <c r="AC21" s="2">
        <f>Table135[[#This Row],[HDGF]]/Table14[[#This Row],[GP]]</f>
        <v>1.0975609756097562</v>
      </c>
      <c r="AD21" s="1">
        <v>66</v>
      </c>
      <c r="AE21" s="2">
        <f>Table135[[#This Row],[HDGA]]/Table14[[#This Row],[GP]]</f>
        <v>0.80487804878048785</v>
      </c>
      <c r="AF21" s="1">
        <v>8.9</v>
      </c>
    </row>
    <row r="22" spans="1:32" x14ac:dyDescent="0.35">
      <c r="A22" t="s">
        <v>56</v>
      </c>
      <c r="B22">
        <v>21</v>
      </c>
      <c r="C22" t="s">
        <v>77</v>
      </c>
      <c r="D22" s="1">
        <v>0</v>
      </c>
      <c r="E22" s="1">
        <v>26.6</v>
      </c>
      <c r="F22" s="1">
        <v>82</v>
      </c>
      <c r="G22" s="1">
        <v>81</v>
      </c>
      <c r="H22" s="2">
        <f>Table14[[#This Row],[PTS]]/Table14[[#This Row],[GP]]</f>
        <v>0.98780487804878048</v>
      </c>
      <c r="I22" s="2">
        <v>0.49399999999999999</v>
      </c>
      <c r="J22" s="1">
        <v>258</v>
      </c>
      <c r="K22" s="3">
        <f>Table14[[#This Row],[GF]]/Table14[[#This Row],[GP]]</f>
        <v>3.1463414634146343</v>
      </c>
      <c r="L22" s="1">
        <v>297</v>
      </c>
      <c r="M22" s="1">
        <v>3.62</v>
      </c>
      <c r="N22" s="2">
        <f>(Table14[[#This Row],[GF]]^2)/((Table14[[#This Row],[GF]]^2)+(Table14[[#This Row],[GA]]^2))</f>
        <v>0.4300750130836774</v>
      </c>
      <c r="O22" s="1">
        <v>18.64</v>
      </c>
      <c r="P22" s="1">
        <v>78.569999999999993</v>
      </c>
      <c r="Q22" s="1">
        <f>Table14[[#This Row],[PP_PCT]]+Table14[[#This Row],[PK_PCT]]</f>
        <v>97.21</v>
      </c>
      <c r="R22" s="3">
        <v>10.5</v>
      </c>
      <c r="S22" s="3">
        <f>Table14[[#This Row],[GA]]/Table14[[#This Row],[GP]]</f>
        <v>3.6219512195121952</v>
      </c>
      <c r="T22" s="2">
        <v>0.92</v>
      </c>
      <c r="U22" s="1">
        <v>99.3</v>
      </c>
      <c r="V22" s="1">
        <v>60.2</v>
      </c>
      <c r="W22" s="1">
        <v>59.7</v>
      </c>
      <c r="X22" s="1">
        <v>196.3</v>
      </c>
      <c r="Y22" s="3">
        <f>Table135[[#This Row],[XGF]]/Table14[[#This Row],[GP]]</f>
        <v>2.3939024390243904</v>
      </c>
      <c r="Z22" s="1">
        <v>148.6</v>
      </c>
      <c r="AA22" s="3">
        <f>Table135[[#This Row],[XGA]]/Table14[[#This Row],[GP]]</f>
        <v>1.8121951219512193</v>
      </c>
      <c r="AB22" s="1">
        <v>72</v>
      </c>
      <c r="AC22" s="2">
        <f>Table135[[#This Row],[HDGF]]/Table14[[#This Row],[GP]]</f>
        <v>0.87804878048780488</v>
      </c>
      <c r="AD22" s="1">
        <v>39</v>
      </c>
      <c r="AE22" s="2">
        <f>Table135[[#This Row],[HDGA]]/Table14[[#This Row],[GP]]</f>
        <v>0.47560975609756095</v>
      </c>
      <c r="AF22" s="1">
        <v>7.7</v>
      </c>
    </row>
    <row r="23" spans="1:32" x14ac:dyDescent="0.35">
      <c r="A23" t="s">
        <v>56</v>
      </c>
      <c r="B23">
        <v>22</v>
      </c>
      <c r="C23" t="s">
        <v>78</v>
      </c>
      <c r="D23" s="1">
        <v>0</v>
      </c>
      <c r="E23" s="1">
        <v>29</v>
      </c>
      <c r="F23" s="1">
        <v>82</v>
      </c>
      <c r="G23" s="1">
        <v>77</v>
      </c>
      <c r="H23" s="2">
        <f>Table14[[#This Row],[PTS]]/Table14[[#This Row],[GP]]</f>
        <v>0.93902439024390238</v>
      </c>
      <c r="I23" s="2">
        <v>0.47</v>
      </c>
      <c r="J23" s="1">
        <v>211</v>
      </c>
      <c r="K23" s="3">
        <f>Table14[[#This Row],[GF]]/Table14[[#This Row],[GP]]</f>
        <v>2.5731707317073171</v>
      </c>
      <c r="L23" s="1">
        <v>261</v>
      </c>
      <c r="M23" s="1">
        <v>3.18</v>
      </c>
      <c r="N23" s="2">
        <f>(Table14[[#This Row],[GF]]^2)/((Table14[[#This Row],[GF]]^2)+(Table14[[#This Row],[GA]]^2))</f>
        <v>0.39524333729869854</v>
      </c>
      <c r="O23" s="1">
        <v>18.98</v>
      </c>
      <c r="P23" s="1">
        <v>85.2</v>
      </c>
      <c r="Q23" s="1">
        <f>Table14[[#This Row],[PP_PCT]]+Table14[[#This Row],[PK_PCT]]</f>
        <v>104.18</v>
      </c>
      <c r="R23" s="3">
        <v>8.8000000000000007</v>
      </c>
      <c r="S23" s="3">
        <f>Table14[[#This Row],[GA]]/Table14[[#This Row],[GP]]</f>
        <v>3.1829268292682928</v>
      </c>
      <c r="T23" s="2">
        <v>0.91900000000000004</v>
      </c>
      <c r="U23" s="1">
        <v>99.3</v>
      </c>
      <c r="V23" s="1">
        <v>60.1</v>
      </c>
      <c r="W23" s="1">
        <v>58.5</v>
      </c>
      <c r="X23" s="1">
        <v>172.8</v>
      </c>
      <c r="Y23" s="3">
        <f>Table135[[#This Row],[XGF]]/Table14[[#This Row],[GP]]</f>
        <v>2.1073170731707318</v>
      </c>
      <c r="Z23" s="1">
        <v>151.5</v>
      </c>
      <c r="AA23" s="3">
        <f>Table135[[#This Row],[XGA]]/Table14[[#This Row],[GP]]</f>
        <v>1.8475609756097562</v>
      </c>
      <c r="AB23" s="1">
        <v>61</v>
      </c>
      <c r="AC23" s="2">
        <f>Table135[[#This Row],[HDGF]]/Table14[[#This Row],[GP]]</f>
        <v>0.74390243902439024</v>
      </c>
      <c r="AD23" s="1">
        <v>58</v>
      </c>
      <c r="AE23" s="2">
        <f>Table135[[#This Row],[HDGA]]/Table14[[#This Row],[GP]]</f>
        <v>0.70731707317073167</v>
      </c>
      <c r="AF23" s="1">
        <v>8.8000000000000007</v>
      </c>
    </row>
    <row r="24" spans="1:32" x14ac:dyDescent="0.35">
      <c r="A24" t="s">
        <v>56</v>
      </c>
      <c r="B24">
        <v>23</v>
      </c>
      <c r="C24" t="s">
        <v>79</v>
      </c>
      <c r="D24" s="1">
        <v>0</v>
      </c>
      <c r="E24" s="1">
        <v>27.9</v>
      </c>
      <c r="F24" s="1">
        <v>82</v>
      </c>
      <c r="G24" s="1">
        <v>76</v>
      </c>
      <c r="H24" s="2">
        <f>Table14[[#This Row],[PTS]]/Table14[[#This Row],[GP]]</f>
        <v>0.92682926829268297</v>
      </c>
      <c r="I24" s="2">
        <v>0.46300000000000002</v>
      </c>
      <c r="J24" s="1">
        <v>228</v>
      </c>
      <c r="K24" s="3">
        <f>Table14[[#This Row],[GF]]/Table14[[#This Row],[GP]]</f>
        <v>2.7804878048780486</v>
      </c>
      <c r="L24" s="1">
        <v>266</v>
      </c>
      <c r="M24" s="1">
        <v>3.24</v>
      </c>
      <c r="N24" s="2">
        <f>(Table14[[#This Row],[GF]]^2)/((Table14[[#This Row],[GF]]^2)+(Table14[[#This Row],[GA]]^2))</f>
        <v>0.42352941176470588</v>
      </c>
      <c r="O24" s="1">
        <v>21.92</v>
      </c>
      <c r="P24" s="1">
        <v>80.8</v>
      </c>
      <c r="Q24" s="1">
        <f>Table14[[#This Row],[PP_PCT]]+Table14[[#This Row],[PK_PCT]]</f>
        <v>102.72</v>
      </c>
      <c r="R24" s="3">
        <v>9.5</v>
      </c>
      <c r="S24" s="3">
        <f>Table14[[#This Row],[GA]]/Table14[[#This Row],[GP]]</f>
        <v>3.2439024390243905</v>
      </c>
      <c r="T24" s="2">
        <v>0.91</v>
      </c>
      <c r="U24" s="1">
        <v>98.9</v>
      </c>
      <c r="V24" s="1">
        <v>59.8</v>
      </c>
      <c r="W24" s="1">
        <v>58.1</v>
      </c>
      <c r="X24" s="1">
        <v>160.30000000000001</v>
      </c>
      <c r="Y24" s="3">
        <f>Table135[[#This Row],[XGF]]/Table14[[#This Row],[GP]]</f>
        <v>1.954878048780488</v>
      </c>
      <c r="Z24" s="1">
        <v>136.5</v>
      </c>
      <c r="AA24" s="3">
        <f>Table135[[#This Row],[XGA]]/Table14[[#This Row],[GP]]</f>
        <v>1.6646341463414633</v>
      </c>
      <c r="AB24" s="1">
        <v>49</v>
      </c>
      <c r="AC24" s="2">
        <f>Table135[[#This Row],[HDGF]]/Table14[[#This Row],[GP]]</f>
        <v>0.59756097560975607</v>
      </c>
      <c r="AD24" s="1">
        <v>45</v>
      </c>
      <c r="AE24" s="2">
        <f>Table135[[#This Row],[HDGA]]/Table14[[#This Row],[GP]]</f>
        <v>0.54878048780487809</v>
      </c>
      <c r="AF24" s="1">
        <v>9.3000000000000007</v>
      </c>
    </row>
    <row r="25" spans="1:32" x14ac:dyDescent="0.35">
      <c r="A25" t="s">
        <v>56</v>
      </c>
      <c r="B25">
        <v>24</v>
      </c>
      <c r="C25" t="s">
        <v>80</v>
      </c>
      <c r="D25" s="1">
        <v>0</v>
      </c>
      <c r="E25" s="1">
        <v>27.5</v>
      </c>
      <c r="F25" s="1">
        <v>82</v>
      </c>
      <c r="G25" s="1">
        <v>75</v>
      </c>
      <c r="H25" s="2">
        <f>Table14[[#This Row],[PTS]]/Table14[[#This Row],[GP]]</f>
        <v>0.91463414634146345</v>
      </c>
      <c r="I25" s="2">
        <v>0.45700000000000002</v>
      </c>
      <c r="J25" s="1">
        <v>229</v>
      </c>
      <c r="K25" s="3">
        <f>Table14[[#This Row],[GF]]/Table14[[#This Row],[GP]]</f>
        <v>2.7926829268292681</v>
      </c>
      <c r="L25" s="1">
        <v>287</v>
      </c>
      <c r="M25" s="1">
        <v>3.5</v>
      </c>
      <c r="N25" s="2">
        <f>(Table14[[#This Row],[GF]]^2)/((Table14[[#This Row],[GF]]^2)+(Table14[[#This Row],[GA]]^2))</f>
        <v>0.38899933239373935</v>
      </c>
      <c r="O25" s="1">
        <v>21.17</v>
      </c>
      <c r="P25" s="1">
        <v>76.42</v>
      </c>
      <c r="Q25" s="1">
        <f>Table14[[#This Row],[PP_PCT]]+Table14[[#This Row],[PK_PCT]]</f>
        <v>97.59</v>
      </c>
      <c r="R25" s="3">
        <v>9.3000000000000007</v>
      </c>
      <c r="S25" s="3">
        <f>Table14[[#This Row],[GA]]/Table14[[#This Row],[GP]]</f>
        <v>3.5</v>
      </c>
      <c r="T25" s="2">
        <v>0.91700000000000004</v>
      </c>
      <c r="U25" s="1">
        <v>99</v>
      </c>
      <c r="V25" s="1">
        <v>46</v>
      </c>
      <c r="W25" s="1">
        <v>45.9</v>
      </c>
      <c r="X25" s="1">
        <v>157.30000000000001</v>
      </c>
      <c r="Y25" s="3">
        <f>Table135[[#This Row],[XGF]]/Table14[[#This Row],[GP]]</f>
        <v>1.9182926829268294</v>
      </c>
      <c r="Z25" s="1">
        <v>179</v>
      </c>
      <c r="AA25" s="3">
        <f>Table135[[#This Row],[XGA]]/Table14[[#This Row],[GP]]</f>
        <v>2.1829268292682928</v>
      </c>
      <c r="AB25" s="1">
        <v>52</v>
      </c>
      <c r="AC25" s="2">
        <f>Table135[[#This Row],[HDGF]]/Table14[[#This Row],[GP]]</f>
        <v>0.63414634146341464</v>
      </c>
      <c r="AD25" s="1">
        <v>79</v>
      </c>
      <c r="AE25" s="2">
        <f>Table135[[#This Row],[HDGA]]/Table14[[#This Row],[GP]]</f>
        <v>0.96341463414634143</v>
      </c>
      <c r="AF25" s="1">
        <v>8.1</v>
      </c>
    </row>
    <row r="26" spans="1:32" x14ac:dyDescent="0.35">
      <c r="A26" t="s">
        <v>56</v>
      </c>
      <c r="B26">
        <v>25</v>
      </c>
      <c r="C26" t="s">
        <v>81</v>
      </c>
      <c r="D26" s="1">
        <v>0</v>
      </c>
      <c r="E26" s="1">
        <v>26.9</v>
      </c>
      <c r="F26" s="1">
        <v>82</v>
      </c>
      <c r="G26" s="1">
        <v>74</v>
      </c>
      <c r="H26" s="2">
        <f>Table14[[#This Row],[PTS]]/Table14[[#This Row],[GP]]</f>
        <v>0.90243902439024393</v>
      </c>
      <c r="I26" s="2">
        <v>0.45100000000000001</v>
      </c>
      <c r="J26" s="1">
        <v>227</v>
      </c>
      <c r="K26" s="3">
        <f>Table14[[#This Row],[GF]]/Table14[[#This Row],[GP]]</f>
        <v>2.7682926829268291</v>
      </c>
      <c r="L26" s="1">
        <v>310</v>
      </c>
      <c r="M26" s="1">
        <v>3.78</v>
      </c>
      <c r="N26" s="2">
        <f>(Table14[[#This Row],[GF]]^2)/((Table14[[#This Row],[GF]]^2)+(Table14[[#This Row],[GA]]^2))</f>
        <v>0.34904388704116401</v>
      </c>
      <c r="O26" s="1">
        <v>16.3</v>
      </c>
      <c r="P26" s="1">
        <v>73.78</v>
      </c>
      <c r="Q26" s="1">
        <f>Table14[[#This Row],[PP_PCT]]+Table14[[#This Row],[PK_PCT]]</f>
        <v>90.08</v>
      </c>
      <c r="R26" s="3">
        <v>9.4</v>
      </c>
      <c r="S26" s="3">
        <f>Table14[[#This Row],[GA]]/Table14[[#This Row],[GP]]</f>
        <v>3.7804878048780486</v>
      </c>
      <c r="T26" s="2">
        <v>0.91400000000000003</v>
      </c>
      <c r="U26" s="1">
        <v>98.7</v>
      </c>
      <c r="V26" s="1">
        <v>43.9</v>
      </c>
      <c r="W26" s="1">
        <v>44.1</v>
      </c>
      <c r="X26" s="1">
        <v>153.9</v>
      </c>
      <c r="Y26" s="3">
        <f>Table135[[#This Row],[XGF]]/Table14[[#This Row],[GP]]</f>
        <v>1.876829268292683</v>
      </c>
      <c r="Z26" s="1">
        <v>208.4</v>
      </c>
      <c r="AA26" s="3">
        <f>Table135[[#This Row],[XGA]]/Table14[[#This Row],[GP]]</f>
        <v>2.5414634146341464</v>
      </c>
      <c r="AB26" s="1">
        <v>61</v>
      </c>
      <c r="AC26" s="2">
        <f>Table135[[#This Row],[HDGF]]/Table14[[#This Row],[GP]]</f>
        <v>0.74390243902439024</v>
      </c>
      <c r="AD26" s="1">
        <v>80</v>
      </c>
      <c r="AE26" s="2">
        <f>Table135[[#This Row],[HDGA]]/Table14[[#This Row],[GP]]</f>
        <v>0.97560975609756095</v>
      </c>
      <c r="AF26" s="1">
        <v>8.9</v>
      </c>
    </row>
    <row r="27" spans="1:32" x14ac:dyDescent="0.35">
      <c r="A27" t="s">
        <v>56</v>
      </c>
      <c r="B27">
        <v>26</v>
      </c>
      <c r="C27" t="s">
        <v>82</v>
      </c>
      <c r="D27" s="1">
        <v>0</v>
      </c>
      <c r="E27" s="1">
        <v>26.6</v>
      </c>
      <c r="F27" s="1">
        <v>82</v>
      </c>
      <c r="G27" s="1">
        <v>73</v>
      </c>
      <c r="H27" s="2">
        <f>Table14[[#This Row],[PTS]]/Table14[[#This Row],[GP]]</f>
        <v>0.8902439024390244</v>
      </c>
      <c r="I27" s="2">
        <v>0.44500000000000001</v>
      </c>
      <c r="J27" s="1">
        <v>224</v>
      </c>
      <c r="K27" s="3">
        <f>Table14[[#This Row],[GF]]/Table14[[#This Row],[GP]]</f>
        <v>2.7317073170731709</v>
      </c>
      <c r="L27" s="1">
        <v>264</v>
      </c>
      <c r="M27" s="1">
        <v>3.22</v>
      </c>
      <c r="N27" s="2">
        <f>(Table14[[#This Row],[GF]]^2)/((Table14[[#This Row],[GF]]^2)+(Table14[[#This Row],[GA]]^2))</f>
        <v>0.41857981847303793</v>
      </c>
      <c r="O27" s="1">
        <v>19.34</v>
      </c>
      <c r="P27" s="1">
        <v>80.319999999999993</v>
      </c>
      <c r="Q27" s="1">
        <f>Table14[[#This Row],[PP_PCT]]+Table14[[#This Row],[PK_PCT]]</f>
        <v>99.66</v>
      </c>
      <c r="R27" s="3">
        <v>9.1</v>
      </c>
      <c r="S27" s="3">
        <f>Table14[[#This Row],[GA]]/Table14[[#This Row],[GP]]</f>
        <v>3.2195121951219514</v>
      </c>
      <c r="T27" s="2">
        <v>0.91500000000000004</v>
      </c>
      <c r="U27" s="1">
        <v>98.1</v>
      </c>
      <c r="V27" s="1">
        <v>44.3</v>
      </c>
      <c r="W27" s="1">
        <v>43.4</v>
      </c>
      <c r="X27" s="1">
        <v>143.80000000000001</v>
      </c>
      <c r="Y27" s="3">
        <f>Table135[[#This Row],[XGF]]/Table14[[#This Row],[GP]]</f>
        <v>1.7536585365853661</v>
      </c>
      <c r="Z27" s="1">
        <v>194</v>
      </c>
      <c r="AA27" s="3">
        <f>Table135[[#This Row],[XGA]]/Table14[[#This Row],[GP]]</f>
        <v>2.3658536585365852</v>
      </c>
      <c r="AB27" s="1">
        <v>51</v>
      </c>
      <c r="AC27" s="2">
        <f>Table135[[#This Row],[HDGF]]/Table14[[#This Row],[GP]]</f>
        <v>0.62195121951219512</v>
      </c>
      <c r="AD27" s="1">
        <v>68</v>
      </c>
      <c r="AE27" s="2">
        <f>Table135[[#This Row],[HDGA]]/Table14[[#This Row],[GP]]</f>
        <v>0.82926829268292679</v>
      </c>
      <c r="AF27" s="1">
        <v>10</v>
      </c>
    </row>
    <row r="28" spans="1:32" x14ac:dyDescent="0.35">
      <c r="A28" t="s">
        <v>56</v>
      </c>
      <c r="B28">
        <v>27</v>
      </c>
      <c r="C28" t="s">
        <v>83</v>
      </c>
      <c r="D28" s="1">
        <v>0</v>
      </c>
      <c r="E28" s="1">
        <v>28</v>
      </c>
      <c r="F28" s="1">
        <v>82</v>
      </c>
      <c r="G28" s="1">
        <v>68</v>
      </c>
      <c r="H28" s="2">
        <f>Table14[[#This Row],[PTS]]/Table14[[#This Row],[GP]]</f>
        <v>0.82926829268292679</v>
      </c>
      <c r="I28" s="2">
        <v>0.41499999999999998</v>
      </c>
      <c r="J28" s="1">
        <v>213</v>
      </c>
      <c r="K28" s="3">
        <f>Table14[[#This Row],[GF]]/Table14[[#This Row],[GP]]</f>
        <v>2.5975609756097562</v>
      </c>
      <c r="L28" s="1">
        <v>289</v>
      </c>
      <c r="M28" s="1">
        <v>3.52</v>
      </c>
      <c r="N28" s="2">
        <f>(Table14[[#This Row],[GF]]^2)/((Table14[[#This Row],[GF]]^2)+(Table14[[#This Row],[GA]]^2))</f>
        <v>0.35199782760493442</v>
      </c>
      <c r="O28" s="1">
        <v>19.18</v>
      </c>
      <c r="P28" s="1">
        <v>76.23</v>
      </c>
      <c r="Q28" s="1">
        <f>Table14[[#This Row],[PP_PCT]]+Table14[[#This Row],[PK_PCT]]</f>
        <v>95.41</v>
      </c>
      <c r="R28" s="3">
        <v>9</v>
      </c>
      <c r="S28" s="3">
        <f>Table14[[#This Row],[GA]]/Table14[[#This Row],[GP]]</f>
        <v>3.524390243902439</v>
      </c>
      <c r="T28" s="2">
        <v>0.90700000000000003</v>
      </c>
      <c r="U28" s="1">
        <v>99.2</v>
      </c>
      <c r="V28" s="1">
        <v>44.8</v>
      </c>
      <c r="W28" s="1">
        <v>43.7</v>
      </c>
      <c r="X28" s="1">
        <v>129.30000000000001</v>
      </c>
      <c r="Y28" s="3">
        <f>Table135[[#This Row],[XGF]]/Table14[[#This Row],[GP]]</f>
        <v>1.576829268292683</v>
      </c>
      <c r="Z28" s="1">
        <v>171.5</v>
      </c>
      <c r="AA28" s="3">
        <f>Table135[[#This Row],[XGA]]/Table14[[#This Row],[GP]]</f>
        <v>2.0914634146341462</v>
      </c>
      <c r="AB28" s="1">
        <v>43</v>
      </c>
      <c r="AC28" s="2">
        <f>Table135[[#This Row],[HDGF]]/Table14[[#This Row],[GP]]</f>
        <v>0.52439024390243905</v>
      </c>
      <c r="AD28" s="1">
        <v>72</v>
      </c>
      <c r="AE28" s="2">
        <f>Table135[[#This Row],[HDGA]]/Table14[[#This Row],[GP]]</f>
        <v>0.87804878048780488</v>
      </c>
      <c r="AF28" s="1">
        <v>7.9</v>
      </c>
    </row>
    <row r="29" spans="1:32" x14ac:dyDescent="0.35">
      <c r="A29" t="s">
        <v>56</v>
      </c>
      <c r="B29">
        <v>28</v>
      </c>
      <c r="C29" t="s">
        <v>84</v>
      </c>
      <c r="D29" s="1">
        <v>0</v>
      </c>
      <c r="E29" s="1">
        <v>25.8</v>
      </c>
      <c r="F29" s="1">
        <v>82</v>
      </c>
      <c r="G29" s="1">
        <v>63</v>
      </c>
      <c r="H29" s="2">
        <f>Table14[[#This Row],[PTS]]/Table14[[#This Row],[GP]]</f>
        <v>0.76829268292682928</v>
      </c>
      <c r="I29" s="2">
        <v>0.38400000000000001</v>
      </c>
      <c r="J29" s="1">
        <v>245</v>
      </c>
      <c r="K29" s="3">
        <f>Table14[[#This Row],[GF]]/Table14[[#This Row],[GP]]</f>
        <v>2.9878048780487805</v>
      </c>
      <c r="L29" s="1">
        <v>302</v>
      </c>
      <c r="M29" s="1">
        <v>3.68</v>
      </c>
      <c r="N29" s="2">
        <f>(Table14[[#This Row],[GF]]^2)/((Table14[[#This Row],[GF]]^2)+(Table14[[#This Row],[GA]]^2))</f>
        <v>0.39691461293799468</v>
      </c>
      <c r="O29" s="1">
        <v>15.56</v>
      </c>
      <c r="P29" s="1">
        <v>80.19</v>
      </c>
      <c r="Q29" s="1">
        <f>Table14[[#This Row],[PP_PCT]]+Table14[[#This Row],[PK_PCT]]</f>
        <v>95.75</v>
      </c>
      <c r="R29" s="3">
        <v>9.6</v>
      </c>
      <c r="S29" s="3">
        <f>Table14[[#This Row],[GA]]/Table14[[#This Row],[GP]]</f>
        <v>3.6829268292682928</v>
      </c>
      <c r="T29" s="2">
        <v>0.92700000000000005</v>
      </c>
      <c r="U29" s="1">
        <v>101.2</v>
      </c>
      <c r="V29" s="1">
        <v>53</v>
      </c>
      <c r="W29" s="1">
        <v>52</v>
      </c>
      <c r="X29" s="1">
        <v>187.1</v>
      </c>
      <c r="Y29" s="3">
        <f>Table135[[#This Row],[XGF]]/Table14[[#This Row],[GP]]</f>
        <v>2.2817073170731708</v>
      </c>
      <c r="Z29" s="1">
        <v>172.9</v>
      </c>
      <c r="AA29" s="3">
        <f>Table135[[#This Row],[XGA]]/Table14[[#This Row],[GP]]</f>
        <v>2.1085365853658535</v>
      </c>
      <c r="AB29" s="1">
        <v>75</v>
      </c>
      <c r="AC29" s="2">
        <f>Table135[[#This Row],[HDGF]]/Table14[[#This Row],[GP]]</f>
        <v>0.91463414634146345</v>
      </c>
      <c r="AD29" s="1">
        <v>75</v>
      </c>
      <c r="AE29" s="2">
        <f>Table135[[#This Row],[HDGA]]/Table14[[#This Row],[GP]]</f>
        <v>0.91463414634146345</v>
      </c>
      <c r="AF29" s="1">
        <v>8.1</v>
      </c>
    </row>
    <row r="30" spans="1:32" x14ac:dyDescent="0.35">
      <c r="A30" t="s">
        <v>56</v>
      </c>
      <c r="B30">
        <v>29</v>
      </c>
      <c r="C30" t="s">
        <v>85</v>
      </c>
      <c r="D30" s="1">
        <v>0</v>
      </c>
      <c r="E30" s="1">
        <v>28.3</v>
      </c>
      <c r="F30" s="1">
        <v>82</v>
      </c>
      <c r="G30" s="1">
        <v>61</v>
      </c>
      <c r="H30" s="2">
        <f>Table14[[#This Row],[PTS]]/Table14[[#This Row],[GP]]</f>
        <v>0.74390243902439024</v>
      </c>
      <c r="I30" s="2">
        <v>0.372</v>
      </c>
      <c r="J30" s="1">
        <v>210</v>
      </c>
      <c r="K30" s="3">
        <f>Table14[[#This Row],[GF]]/Table14[[#This Row],[GP]]</f>
        <v>2.5609756097560976</v>
      </c>
      <c r="L30" s="1">
        <v>294</v>
      </c>
      <c r="M30" s="1">
        <v>3.59</v>
      </c>
      <c r="N30" s="2">
        <f>(Table14[[#This Row],[GF]]^2)/((Table14[[#This Row],[GF]]^2)+(Table14[[#This Row],[GA]]^2))</f>
        <v>0.33783783783783783</v>
      </c>
      <c r="O30" s="1">
        <v>12.55</v>
      </c>
      <c r="P30" s="1">
        <v>75.739999999999995</v>
      </c>
      <c r="Q30" s="1">
        <f>Table14[[#This Row],[PP_PCT]]+Table14[[#This Row],[PK_PCT]]</f>
        <v>88.289999999999992</v>
      </c>
      <c r="R30" s="3">
        <v>8.3000000000000007</v>
      </c>
      <c r="S30" s="3">
        <f>Table14[[#This Row],[GA]]/Table14[[#This Row],[GP]]</f>
        <v>3.5853658536585367</v>
      </c>
      <c r="T30" s="2">
        <v>0.93100000000000005</v>
      </c>
      <c r="U30" s="1">
        <v>100.8</v>
      </c>
      <c r="V30" s="1">
        <v>52.4</v>
      </c>
      <c r="W30" s="1">
        <v>51.6</v>
      </c>
      <c r="X30" s="1">
        <v>190.4</v>
      </c>
      <c r="Y30" s="3">
        <f>Table135[[#This Row],[XGF]]/Table14[[#This Row],[GP]]</f>
        <v>2.3219512195121954</v>
      </c>
      <c r="Z30" s="1">
        <v>173.6</v>
      </c>
      <c r="AA30" s="3">
        <f>Table135[[#This Row],[XGA]]/Table14[[#This Row],[GP]]</f>
        <v>2.1170731707317074</v>
      </c>
      <c r="AB30" s="1">
        <v>70</v>
      </c>
      <c r="AC30" s="2">
        <f>Table135[[#This Row],[HDGF]]/Table14[[#This Row],[GP]]</f>
        <v>0.85365853658536583</v>
      </c>
      <c r="AD30" s="1">
        <v>47</v>
      </c>
      <c r="AE30" s="2">
        <f>Table135[[#This Row],[HDGA]]/Table14[[#This Row],[GP]]</f>
        <v>0.57317073170731703</v>
      </c>
      <c r="AF30" s="1">
        <v>9</v>
      </c>
    </row>
    <row r="31" spans="1:32" x14ac:dyDescent="0.35">
      <c r="A31" t="s">
        <v>56</v>
      </c>
      <c r="B31">
        <v>30</v>
      </c>
      <c r="C31" t="s">
        <v>86</v>
      </c>
      <c r="D31" s="1">
        <v>0</v>
      </c>
      <c r="E31" s="1">
        <v>28.7</v>
      </c>
      <c r="F31" s="1">
        <v>82</v>
      </c>
      <c r="G31" s="1">
        <v>60</v>
      </c>
      <c r="H31" s="2">
        <f>Table14[[#This Row],[PTS]]/Table14[[#This Row],[GP]]</f>
        <v>0.73170731707317072</v>
      </c>
      <c r="I31" s="2">
        <v>0.36599999999999999</v>
      </c>
      <c r="J31" s="1">
        <v>213</v>
      </c>
      <c r="K31" s="3">
        <f>Table14[[#This Row],[GF]]/Table14[[#This Row],[GP]]</f>
        <v>2.5975609756097562</v>
      </c>
      <c r="L31" s="1">
        <v>284</v>
      </c>
      <c r="M31" s="1">
        <v>3.46</v>
      </c>
      <c r="N31" s="2">
        <f>(Table14[[#This Row],[GF]]^2)/((Table14[[#This Row],[GF]]^2)+(Table14[[#This Row],[GA]]^2))</f>
        <v>0.36</v>
      </c>
      <c r="O31" s="1">
        <v>14.55</v>
      </c>
      <c r="P31" s="1">
        <v>74.89</v>
      </c>
      <c r="Q31" s="1">
        <f>Table14[[#This Row],[PP_PCT]]+Table14[[#This Row],[PK_PCT]]</f>
        <v>89.44</v>
      </c>
      <c r="R31" s="3">
        <v>8.9</v>
      </c>
      <c r="S31" s="3">
        <f>Table14[[#This Row],[GA]]/Table14[[#This Row],[GP]]</f>
        <v>3.4634146341463414</v>
      </c>
      <c r="T31" s="2">
        <v>0.91700000000000004</v>
      </c>
      <c r="U31" s="1">
        <v>100.4</v>
      </c>
      <c r="V31" s="1">
        <v>53.2</v>
      </c>
      <c r="W31" s="1">
        <v>52.1</v>
      </c>
      <c r="X31" s="1">
        <v>184.5</v>
      </c>
      <c r="Y31" s="3">
        <f>Table135[[#This Row],[XGF]]/Table14[[#This Row],[GP]]</f>
        <v>2.25</v>
      </c>
      <c r="Z31" s="1">
        <v>163.6</v>
      </c>
      <c r="AA31" s="3">
        <f>Table135[[#This Row],[XGA]]/Table14[[#This Row],[GP]]</f>
        <v>1.9951219512195122</v>
      </c>
      <c r="AB31" s="1">
        <v>64</v>
      </c>
      <c r="AC31" s="2">
        <f>Table135[[#This Row],[HDGF]]/Table14[[#This Row],[GP]]</f>
        <v>0.78048780487804881</v>
      </c>
      <c r="AD31" s="1">
        <v>70</v>
      </c>
      <c r="AE31" s="2">
        <f>Table135[[#This Row],[HDGA]]/Table14[[#This Row],[GP]]</f>
        <v>0.85365853658536583</v>
      </c>
      <c r="AF31" s="1">
        <v>8.5</v>
      </c>
    </row>
    <row r="32" spans="1:32" x14ac:dyDescent="0.35">
      <c r="A32" t="s">
        <v>56</v>
      </c>
      <c r="B32">
        <v>31</v>
      </c>
      <c r="C32" t="s">
        <v>87</v>
      </c>
      <c r="D32" s="1">
        <v>0</v>
      </c>
      <c r="E32" s="1">
        <v>28</v>
      </c>
      <c r="F32" s="1">
        <v>82</v>
      </c>
      <c r="G32" s="1">
        <v>57</v>
      </c>
      <c r="H32" s="2">
        <f>Table14[[#This Row],[PTS]]/Table14[[#This Row],[GP]]</f>
        <v>0.69512195121951215</v>
      </c>
      <c r="I32" s="2">
        <v>0.34799999999999998</v>
      </c>
      <c r="J32" s="1">
        <v>206</v>
      </c>
      <c r="K32" s="3">
        <f>Table14[[#This Row],[GF]]/Table14[[#This Row],[GP]]</f>
        <v>2.5121951219512195</v>
      </c>
      <c r="L32" s="1">
        <v>309</v>
      </c>
      <c r="M32" s="1">
        <v>3.77</v>
      </c>
      <c r="N32" s="2">
        <f>(Table14[[#This Row],[GF]]^2)/((Table14[[#This Row],[GF]]^2)+(Table14[[#This Row],[GA]]^2))</f>
        <v>0.30769230769230771</v>
      </c>
      <c r="O32" s="1">
        <v>13.86</v>
      </c>
      <c r="P32" s="1">
        <v>75</v>
      </c>
      <c r="Q32" s="1">
        <f>Table14[[#This Row],[PP_PCT]]+Table14[[#This Row],[PK_PCT]]</f>
        <v>88.86</v>
      </c>
      <c r="R32" s="3">
        <v>9.6999999999999993</v>
      </c>
      <c r="S32" s="3">
        <f>Table14[[#This Row],[GA]]/Table14[[#This Row],[GP]]</f>
        <v>3.7682926829268291</v>
      </c>
      <c r="T32" s="2">
        <v>0.91600000000000004</v>
      </c>
      <c r="U32" s="1">
        <v>99.5</v>
      </c>
      <c r="V32" s="1">
        <v>54.8</v>
      </c>
      <c r="W32" s="1">
        <v>53.7</v>
      </c>
      <c r="X32" s="1">
        <v>163.1</v>
      </c>
      <c r="Y32" s="3">
        <f>Table135[[#This Row],[XGF]]/Table14[[#This Row],[GP]]</f>
        <v>1.9890243902439024</v>
      </c>
      <c r="Z32" s="1">
        <v>141.9</v>
      </c>
      <c r="AA32" s="3">
        <f>Table135[[#This Row],[XGA]]/Table14[[#This Row],[GP]]</f>
        <v>1.7304878048780488</v>
      </c>
      <c r="AB32" s="1">
        <v>55</v>
      </c>
      <c r="AC32" s="2">
        <f>Table135[[#This Row],[HDGF]]/Table14[[#This Row],[GP]]</f>
        <v>0.67073170731707321</v>
      </c>
      <c r="AD32" s="1">
        <v>60</v>
      </c>
      <c r="AE32" s="2">
        <f>Table135[[#This Row],[HDGA]]/Table14[[#This Row],[GP]]</f>
        <v>0.73170731707317072</v>
      </c>
      <c r="AF32" s="1">
        <v>10.199999999999999</v>
      </c>
    </row>
    <row r="33" spans="1:32" x14ac:dyDescent="0.35">
      <c r="A33" t="s">
        <v>56</v>
      </c>
      <c r="B33">
        <v>32</v>
      </c>
      <c r="C33" t="s">
        <v>88</v>
      </c>
      <c r="D33" s="1">
        <v>0</v>
      </c>
      <c r="E33" s="1">
        <v>27.8</v>
      </c>
      <c r="F33" s="1">
        <v>82</v>
      </c>
      <c r="G33" s="1">
        <v>55</v>
      </c>
      <c r="H33" s="2">
        <f>Table14[[#This Row],[PTS]]/Table14[[#This Row],[GP]]</f>
        <v>0.67073170731707321</v>
      </c>
      <c r="I33" s="2">
        <v>0.33500000000000002</v>
      </c>
      <c r="J33" s="1">
        <v>218</v>
      </c>
      <c r="K33" s="3">
        <f>Table14[[#This Row],[GF]]/Table14[[#This Row],[GP]]</f>
        <v>2.6585365853658538</v>
      </c>
      <c r="L33" s="1">
        <v>317</v>
      </c>
      <c r="M33" s="1">
        <v>3.87</v>
      </c>
      <c r="N33" s="2">
        <f>(Table14[[#This Row],[GF]]^2)/((Table14[[#This Row],[GF]]^2)+(Table14[[#This Row],[GA]]^2))</f>
        <v>0.32107990514346713</v>
      </c>
      <c r="O33" s="1">
        <v>13.71</v>
      </c>
      <c r="P33" s="1">
        <v>75.55</v>
      </c>
      <c r="Q33" s="1">
        <f>Table14[[#This Row],[PP_PCT]]+Table14[[#This Row],[PK_PCT]]</f>
        <v>89.259999999999991</v>
      </c>
      <c r="R33" s="3">
        <v>8.9</v>
      </c>
      <c r="S33" s="3">
        <f>Table14[[#This Row],[GA]]/Table14[[#This Row],[GP]]</f>
        <v>3.8658536585365852</v>
      </c>
      <c r="T33" s="2">
        <v>0.91500000000000004</v>
      </c>
      <c r="U33" s="1">
        <v>99.9</v>
      </c>
      <c r="V33" s="1">
        <v>47.9</v>
      </c>
      <c r="W33" s="1">
        <v>46.8</v>
      </c>
      <c r="X33" s="1">
        <v>162.69999999999999</v>
      </c>
      <c r="Y33" s="3">
        <f>Table135[[#This Row],[XGF]]/Table14[[#This Row],[GP]]</f>
        <v>1.9841463414634144</v>
      </c>
      <c r="Z33" s="1">
        <v>212.4</v>
      </c>
      <c r="AA33" s="3">
        <f>Table135[[#This Row],[XGA]]/Table14[[#This Row],[GP]]</f>
        <v>2.5902439024390245</v>
      </c>
      <c r="AB33" s="1">
        <v>73</v>
      </c>
      <c r="AC33" s="2">
        <f>Table135[[#This Row],[HDGF]]/Table14[[#This Row],[GP]]</f>
        <v>0.8902439024390244</v>
      </c>
      <c r="AD33" s="1">
        <v>71</v>
      </c>
      <c r="AE33" s="2">
        <f>Table135[[#This Row],[HDGA]]/Table14[[#This Row],[GP]]</f>
        <v>0.86585365853658536</v>
      </c>
      <c r="AF33" s="1">
        <v>10.199999999999999</v>
      </c>
    </row>
    <row r="34" spans="1:32" hidden="1" x14ac:dyDescent="0.35">
      <c r="A34" t="s">
        <v>89</v>
      </c>
      <c r="B34">
        <v>1</v>
      </c>
      <c r="C34" t="s">
        <v>66</v>
      </c>
      <c r="D34" s="1">
        <v>1</v>
      </c>
      <c r="E34" s="1">
        <v>29.5</v>
      </c>
      <c r="F34" s="1">
        <v>82</v>
      </c>
      <c r="G34" s="1">
        <v>135</v>
      </c>
      <c r="H34" s="2">
        <f>Table14[[#This Row],[PTS]]/Table14[[#This Row],[GP]]</f>
        <v>1.6463414634146341</v>
      </c>
      <c r="I34" s="2">
        <v>0.82299999999999995</v>
      </c>
      <c r="J34" s="1">
        <v>301</v>
      </c>
      <c r="K34" s="3">
        <f>Table14[[#This Row],[GF]]/Table14[[#This Row],[GP]]</f>
        <v>3.6707317073170733</v>
      </c>
      <c r="L34" s="1">
        <v>174</v>
      </c>
      <c r="M34" s="1">
        <v>2.12</v>
      </c>
      <c r="N34" s="2">
        <f>(Table14[[#This Row],[GF]]^2)/((Table14[[#This Row],[GF]]^2)+(Table14[[#This Row],[GA]]^2))</f>
        <v>0.74953051448993602</v>
      </c>
      <c r="O34" s="1">
        <v>22.22</v>
      </c>
      <c r="P34" s="1">
        <v>87.28</v>
      </c>
      <c r="Q34" s="1">
        <f>Table14[[#This Row],[PP_PCT]]+Table14[[#This Row],[PK_PCT]]</f>
        <v>109.5</v>
      </c>
      <c r="R34" s="3">
        <v>11.1</v>
      </c>
      <c r="S34" s="3">
        <f>Table14[[#This Row],[GA]]/Table14[[#This Row],[GP]]</f>
        <v>2.1219512195121952</v>
      </c>
      <c r="T34" s="2">
        <v>0.90900000000000003</v>
      </c>
      <c r="U34" s="1">
        <v>98.1</v>
      </c>
      <c r="V34" s="1">
        <v>45</v>
      </c>
      <c r="W34" s="1">
        <v>44.5</v>
      </c>
      <c r="X34" s="1">
        <v>163.30000000000001</v>
      </c>
      <c r="Y34" s="3">
        <f>Table135[[#This Row],[XGF]]/Table14[[#This Row],[GP]]</f>
        <v>1.9914634146341466</v>
      </c>
      <c r="Z34" s="1">
        <v>209.4</v>
      </c>
      <c r="AA34" s="3">
        <f>Table135[[#This Row],[XGA]]/Table14[[#This Row],[GP]]</f>
        <v>2.5536585365853659</v>
      </c>
      <c r="AB34" s="1">
        <v>52</v>
      </c>
      <c r="AC34" s="2">
        <f>Table135[[#This Row],[HDGF]]/Table14[[#This Row],[GP]]</f>
        <v>0.63414634146341464</v>
      </c>
      <c r="AD34" s="1">
        <v>90</v>
      </c>
      <c r="AE34" s="2">
        <f>Table135[[#This Row],[HDGA]]/Table14[[#This Row],[GP]]</f>
        <v>1.0975609756097562</v>
      </c>
      <c r="AF34" s="1">
        <v>10.5</v>
      </c>
    </row>
    <row r="35" spans="1:32" hidden="1" x14ac:dyDescent="0.35">
      <c r="A35" t="s">
        <v>89</v>
      </c>
      <c r="B35">
        <v>2</v>
      </c>
      <c r="C35" t="s">
        <v>59</v>
      </c>
      <c r="D35" s="1">
        <v>1</v>
      </c>
      <c r="E35" s="1">
        <v>29.3</v>
      </c>
      <c r="F35" s="1">
        <v>82</v>
      </c>
      <c r="G35" s="1">
        <v>113</v>
      </c>
      <c r="H35" s="2">
        <f>Table14[[#This Row],[PTS]]/Table14[[#This Row],[GP]]</f>
        <v>1.3780487804878048</v>
      </c>
      <c r="I35" s="2">
        <v>0.68899999999999995</v>
      </c>
      <c r="J35" s="1">
        <v>262</v>
      </c>
      <c r="K35" s="3">
        <f>Table14[[#This Row],[GF]]/Table14[[#This Row],[GP]]</f>
        <v>3.1951219512195124</v>
      </c>
      <c r="L35" s="1">
        <v>210</v>
      </c>
      <c r="M35" s="1">
        <v>2.56</v>
      </c>
      <c r="N35" s="2">
        <f>(Table14[[#This Row],[GF]]^2)/((Table14[[#This Row],[GF]]^2)+(Table14[[#This Row],[GA]]^2))</f>
        <v>0.6088483644362449</v>
      </c>
      <c r="O35" s="1">
        <v>19.760000000000002</v>
      </c>
      <c r="P35" s="1">
        <v>84.38</v>
      </c>
      <c r="Q35" s="1">
        <f>Table14[[#This Row],[PP_PCT]]+Table14[[#This Row],[PK_PCT]]</f>
        <v>104.14</v>
      </c>
      <c r="R35" s="3">
        <v>9.1999999999999993</v>
      </c>
      <c r="S35" s="3">
        <f>Table14[[#This Row],[GA]]/Table14[[#This Row],[GP]]</f>
        <v>2.5609756097560976</v>
      </c>
      <c r="T35" s="2">
        <v>0.91900000000000004</v>
      </c>
      <c r="U35" s="1">
        <v>100.2</v>
      </c>
      <c r="V35" s="1">
        <v>48.3</v>
      </c>
      <c r="W35" s="1">
        <v>47.4</v>
      </c>
      <c r="X35" s="1">
        <v>165.1</v>
      </c>
      <c r="Y35" s="3">
        <f>Table135[[#This Row],[XGF]]/Table14[[#This Row],[GP]]</f>
        <v>2.0134146341463413</v>
      </c>
      <c r="Z35" s="1">
        <v>195.1</v>
      </c>
      <c r="AA35" s="3">
        <f>Table135[[#This Row],[XGA]]/Table14[[#This Row],[GP]]</f>
        <v>2.3792682926829269</v>
      </c>
      <c r="AB35" s="1">
        <v>72</v>
      </c>
      <c r="AC35" s="2">
        <f>Table135[[#This Row],[HDGF]]/Table14[[#This Row],[GP]]</f>
        <v>0.87804878048780488</v>
      </c>
      <c r="AD35" s="1">
        <v>71</v>
      </c>
      <c r="AE35" s="2">
        <f>Table135[[#This Row],[HDGA]]/Table14[[#This Row],[GP]]</f>
        <v>0.86585365853658536</v>
      </c>
      <c r="AF35" s="1">
        <v>7.5</v>
      </c>
    </row>
    <row r="36" spans="1:32" hidden="1" x14ac:dyDescent="0.35">
      <c r="A36" t="s">
        <v>89</v>
      </c>
      <c r="B36">
        <v>3</v>
      </c>
      <c r="C36" t="s">
        <v>84</v>
      </c>
      <c r="D36" s="1">
        <v>1</v>
      </c>
      <c r="E36" s="1">
        <v>26.7</v>
      </c>
      <c r="F36" s="1">
        <v>82</v>
      </c>
      <c r="G36" s="1">
        <v>112</v>
      </c>
      <c r="H36" s="2">
        <f>Table14[[#This Row],[PTS]]/Table14[[#This Row],[GP]]</f>
        <v>1.3658536585365855</v>
      </c>
      <c r="I36" s="2">
        <v>0.68300000000000005</v>
      </c>
      <c r="J36" s="1">
        <v>289</v>
      </c>
      <c r="K36" s="3">
        <f>Table14[[#This Row],[GF]]/Table14[[#This Row],[GP]]</f>
        <v>3.524390243902439</v>
      </c>
      <c r="L36" s="1">
        <v>222</v>
      </c>
      <c r="M36" s="1">
        <v>2.71</v>
      </c>
      <c r="N36" s="2">
        <f>(Table14[[#This Row],[GF]]^2)/((Table14[[#This Row],[GF]]^2)+(Table14[[#This Row],[GA]]^2))</f>
        <v>0.62889951432551483</v>
      </c>
      <c r="O36" s="1">
        <v>21.88</v>
      </c>
      <c r="P36" s="1">
        <v>82.61</v>
      </c>
      <c r="Q36" s="1">
        <f>Table14[[#This Row],[PP_PCT]]+Table14[[#This Row],[PK_PCT]]</f>
        <v>104.49</v>
      </c>
      <c r="R36" s="3">
        <v>10.199999999999999</v>
      </c>
      <c r="S36" s="3">
        <f>Table14[[#This Row],[GA]]/Table14[[#This Row],[GP]]</f>
        <v>2.7073170731707319</v>
      </c>
      <c r="T36" s="2">
        <v>0.91500000000000004</v>
      </c>
      <c r="U36" s="1">
        <v>100.7</v>
      </c>
      <c r="V36" s="1">
        <v>49</v>
      </c>
      <c r="W36" s="1">
        <v>48.9</v>
      </c>
      <c r="X36" s="1">
        <v>146.1</v>
      </c>
      <c r="Y36" s="3">
        <f>Table135[[#This Row],[XGF]]/Table14[[#This Row],[GP]]</f>
        <v>1.7817073170731708</v>
      </c>
      <c r="Z36" s="1">
        <v>157.9</v>
      </c>
      <c r="AA36" s="3">
        <f>Table135[[#This Row],[XGA]]/Table14[[#This Row],[GP]]</f>
        <v>1.9256097560975611</v>
      </c>
      <c r="AB36" s="1">
        <v>57</v>
      </c>
      <c r="AC36" s="2">
        <f>Table135[[#This Row],[HDGF]]/Table14[[#This Row],[GP]]</f>
        <v>0.69512195121951215</v>
      </c>
      <c r="AD36" s="1">
        <v>65</v>
      </c>
      <c r="AE36" s="2">
        <f>Table135[[#This Row],[HDGA]]/Table14[[#This Row],[GP]]</f>
        <v>0.79268292682926833</v>
      </c>
      <c r="AF36" s="1">
        <v>7.7</v>
      </c>
    </row>
    <row r="37" spans="1:32" hidden="1" x14ac:dyDescent="0.35">
      <c r="A37" t="s">
        <v>89</v>
      </c>
      <c r="B37">
        <v>4</v>
      </c>
      <c r="C37" t="s">
        <v>73</v>
      </c>
      <c r="D37" s="1">
        <v>1</v>
      </c>
      <c r="E37" s="1">
        <v>29.1</v>
      </c>
      <c r="F37" s="1">
        <v>82</v>
      </c>
      <c r="G37" s="1">
        <v>111</v>
      </c>
      <c r="H37" s="2">
        <f>Table14[[#This Row],[PTS]]/Table14[[#This Row],[GP]]</f>
        <v>1.3536585365853659</v>
      </c>
      <c r="I37" s="2">
        <v>0.67700000000000005</v>
      </c>
      <c r="J37" s="1">
        <v>267</v>
      </c>
      <c r="K37" s="3">
        <f>Table14[[#This Row],[GF]]/Table14[[#This Row],[GP]]</f>
        <v>3.2560975609756095</v>
      </c>
      <c r="L37" s="1">
        <v>225</v>
      </c>
      <c r="M37" s="1">
        <v>2.74</v>
      </c>
      <c r="N37" s="2">
        <f>(Table14[[#This Row],[GF]]^2)/((Table14[[#This Row],[GF]]^2)+(Table14[[#This Row],[GA]]^2))</f>
        <v>0.58474826517053002</v>
      </c>
      <c r="O37" s="1">
        <v>20.29</v>
      </c>
      <c r="P37" s="1">
        <v>77.44</v>
      </c>
      <c r="Q37" s="1">
        <f>Table14[[#This Row],[PP_PCT]]+Table14[[#This Row],[PK_PCT]]</f>
        <v>97.72999999999999</v>
      </c>
      <c r="R37" s="3">
        <v>10.3</v>
      </c>
      <c r="S37" s="3">
        <f>Table14[[#This Row],[GA]]/Table14[[#This Row],[GP]]</f>
        <v>2.7439024390243905</v>
      </c>
      <c r="T37" s="2">
        <v>0.92500000000000004</v>
      </c>
      <c r="U37" s="1">
        <v>99.7</v>
      </c>
      <c r="V37" s="1">
        <v>48.9</v>
      </c>
      <c r="W37" s="1">
        <v>49.2</v>
      </c>
      <c r="X37" s="1">
        <v>176</v>
      </c>
      <c r="Y37" s="3">
        <f>Table135[[#This Row],[XGF]]/Table14[[#This Row],[GP]]</f>
        <v>2.1463414634146343</v>
      </c>
      <c r="Z37" s="1">
        <v>172.7</v>
      </c>
      <c r="AA37" s="3">
        <f>Table135[[#This Row],[XGA]]/Table14[[#This Row],[GP]]</f>
        <v>2.1060975609756096</v>
      </c>
      <c r="AB37" s="1">
        <v>67</v>
      </c>
      <c r="AC37" s="2">
        <f>Table135[[#This Row],[HDGF]]/Table14[[#This Row],[GP]]</f>
        <v>0.81707317073170727</v>
      </c>
      <c r="AD37" s="1">
        <v>64</v>
      </c>
      <c r="AE37" s="2">
        <f>Table135[[#This Row],[HDGA]]/Table14[[#This Row],[GP]]</f>
        <v>0.78048780487804881</v>
      </c>
      <c r="AF37" s="1">
        <v>7.2</v>
      </c>
    </row>
    <row r="38" spans="1:32" hidden="1" x14ac:dyDescent="0.35">
      <c r="A38" t="s">
        <v>89</v>
      </c>
      <c r="B38">
        <v>5</v>
      </c>
      <c r="C38" t="s">
        <v>60</v>
      </c>
      <c r="D38" s="1">
        <v>1</v>
      </c>
      <c r="E38" s="1">
        <v>28.6</v>
      </c>
      <c r="F38" s="1">
        <v>82</v>
      </c>
      <c r="G38" s="1">
        <v>111</v>
      </c>
      <c r="H38" s="2">
        <f>Table14[[#This Row],[PTS]]/Table14[[#This Row],[GP]]</f>
        <v>1.3536585365853659</v>
      </c>
      <c r="I38" s="2">
        <v>0.67700000000000005</v>
      </c>
      <c r="J38" s="1">
        <v>278</v>
      </c>
      <c r="K38" s="3">
        <f>Table14[[#This Row],[GF]]/Table14[[#This Row],[GP]]</f>
        <v>3.3902439024390243</v>
      </c>
      <c r="L38" s="1">
        <v>220</v>
      </c>
      <c r="M38" s="1">
        <v>2.68</v>
      </c>
      <c r="N38" s="2">
        <f>(Table14[[#This Row],[GF]]^2)/((Table14[[#This Row],[GF]]^2)+(Table14[[#This Row],[GA]]^2))</f>
        <v>0.61490722765029759</v>
      </c>
      <c r="O38" s="1">
        <v>26.02</v>
      </c>
      <c r="P38" s="1">
        <v>81.849999999999994</v>
      </c>
      <c r="Q38" s="1">
        <f>Table14[[#This Row],[PP_PCT]]+Table14[[#This Row],[PK_PCT]]</f>
        <v>107.86999999999999</v>
      </c>
      <c r="R38" s="3">
        <v>10.6</v>
      </c>
      <c r="S38" s="3">
        <f>Table14[[#This Row],[GA]]/Table14[[#This Row],[GP]]</f>
        <v>2.6829268292682928</v>
      </c>
      <c r="T38" s="2">
        <v>0.92800000000000005</v>
      </c>
      <c r="U38" s="1">
        <v>101</v>
      </c>
      <c r="V38" s="1">
        <v>51.6</v>
      </c>
      <c r="W38" s="1">
        <v>50.7</v>
      </c>
      <c r="X38" s="1">
        <v>181.8</v>
      </c>
      <c r="Y38" s="3">
        <f>Table135[[#This Row],[XGF]]/Table14[[#This Row],[GP]]</f>
        <v>2.2170731707317075</v>
      </c>
      <c r="Z38" s="1">
        <v>164.6</v>
      </c>
      <c r="AA38" s="3">
        <f>Table135[[#This Row],[XGA]]/Table14[[#This Row],[GP]]</f>
        <v>2.0073170731707317</v>
      </c>
      <c r="AB38" s="1">
        <v>72</v>
      </c>
      <c r="AC38" s="2">
        <f>Table135[[#This Row],[HDGF]]/Table14[[#This Row],[GP]]</f>
        <v>0.87804878048780488</v>
      </c>
      <c r="AD38" s="1">
        <v>54</v>
      </c>
      <c r="AE38" s="2">
        <f>Table135[[#This Row],[HDGA]]/Table14[[#This Row],[GP]]</f>
        <v>0.65853658536585369</v>
      </c>
      <c r="AF38" s="1">
        <v>8.4</v>
      </c>
    </row>
    <row r="39" spans="1:32" hidden="1" x14ac:dyDescent="0.35">
      <c r="A39" t="s">
        <v>89</v>
      </c>
      <c r="B39">
        <v>6</v>
      </c>
      <c r="C39" t="s">
        <v>58</v>
      </c>
      <c r="D39" s="1">
        <v>1</v>
      </c>
      <c r="E39" s="1">
        <v>28.1</v>
      </c>
      <c r="F39" s="1">
        <v>82</v>
      </c>
      <c r="G39" s="1">
        <v>109</v>
      </c>
      <c r="H39" s="2">
        <f>Table14[[#This Row],[PTS]]/Table14[[#This Row],[GP]]</f>
        <v>1.3292682926829269</v>
      </c>
      <c r="I39" s="2">
        <v>0.66500000000000004</v>
      </c>
      <c r="J39" s="1">
        <v>274</v>
      </c>
      <c r="K39" s="3">
        <f>Table14[[#This Row],[GF]]/Table14[[#This Row],[GP]]</f>
        <v>3.3414634146341462</v>
      </c>
      <c r="L39" s="1">
        <v>223</v>
      </c>
      <c r="M39" s="1">
        <v>2.72</v>
      </c>
      <c r="N39" s="2">
        <f>(Table14[[#This Row],[GF]]^2)/((Table14[[#This Row],[GF]]^2)+(Table14[[#This Row],[GA]]^2))</f>
        <v>0.60154641240334927</v>
      </c>
      <c r="O39" s="1">
        <v>24.52</v>
      </c>
      <c r="P39" s="1">
        <v>79.03</v>
      </c>
      <c r="Q39" s="1">
        <f>Table14[[#This Row],[PP_PCT]]+Table14[[#This Row],[PK_PCT]]</f>
        <v>103.55</v>
      </c>
      <c r="R39" s="3">
        <v>10</v>
      </c>
      <c r="S39" s="3">
        <f>Table14[[#This Row],[GA]]/Table14[[#This Row],[GP]]</f>
        <v>2.7195121951219514</v>
      </c>
      <c r="T39" s="2">
        <v>0.91900000000000004</v>
      </c>
      <c r="U39" s="1">
        <v>100.5</v>
      </c>
      <c r="V39" s="1">
        <v>53.7</v>
      </c>
      <c r="W39" s="1">
        <v>53.1</v>
      </c>
      <c r="X39" s="1">
        <v>182.3</v>
      </c>
      <c r="Y39" s="3">
        <f>Table135[[#This Row],[XGF]]/Table14[[#This Row],[GP]]</f>
        <v>2.223170731707317</v>
      </c>
      <c r="Z39" s="1">
        <v>151.5</v>
      </c>
      <c r="AA39" s="3">
        <f>Table135[[#This Row],[XGA]]/Table14[[#This Row],[GP]]</f>
        <v>1.8475609756097562</v>
      </c>
      <c r="AB39" s="1">
        <v>73</v>
      </c>
      <c r="AC39" s="2">
        <f>Table135[[#This Row],[HDGF]]/Table14[[#This Row],[GP]]</f>
        <v>0.8902439024390244</v>
      </c>
      <c r="AD39" s="1">
        <v>71</v>
      </c>
      <c r="AE39" s="2">
        <f>Table135[[#This Row],[HDGA]]/Table14[[#This Row],[GP]]</f>
        <v>0.86585365853658536</v>
      </c>
      <c r="AF39" s="1">
        <v>8.1999999999999993</v>
      </c>
    </row>
    <row r="40" spans="1:32" hidden="1" x14ac:dyDescent="0.35">
      <c r="A40" t="s">
        <v>89</v>
      </c>
      <c r="B40">
        <v>7</v>
      </c>
      <c r="C40" t="s">
        <v>67</v>
      </c>
      <c r="D40" s="1">
        <v>1</v>
      </c>
      <c r="E40" s="1">
        <v>27.9</v>
      </c>
      <c r="F40" s="1">
        <v>82</v>
      </c>
      <c r="G40" s="1">
        <v>109</v>
      </c>
      <c r="H40" s="2">
        <f>Table14[[#This Row],[PTS]]/Table14[[#This Row],[GP]]</f>
        <v>1.3292682926829269</v>
      </c>
      <c r="I40" s="2">
        <v>0.66500000000000004</v>
      </c>
      <c r="J40" s="1">
        <v>325</v>
      </c>
      <c r="K40" s="3">
        <f>Table14[[#This Row],[GF]]/Table14[[#This Row],[GP]]</f>
        <v>3.9634146341463414</v>
      </c>
      <c r="L40" s="1">
        <v>256</v>
      </c>
      <c r="M40" s="1">
        <v>3.12</v>
      </c>
      <c r="N40" s="2">
        <f>(Table14[[#This Row],[GF]]^2)/((Table14[[#This Row],[GF]]^2)+(Table14[[#This Row],[GA]]^2))</f>
        <v>0.61710903768966063</v>
      </c>
      <c r="O40" s="1">
        <v>32.36</v>
      </c>
      <c r="P40" s="1">
        <v>76.98</v>
      </c>
      <c r="Q40" s="1">
        <f>Table14[[#This Row],[PP_PCT]]+Table14[[#This Row],[PK_PCT]]</f>
        <v>109.34</v>
      </c>
      <c r="R40" s="3">
        <v>11.8</v>
      </c>
      <c r="S40" s="3">
        <f>Table14[[#This Row],[GA]]/Table14[[#This Row],[GP]]</f>
        <v>3.1219512195121952</v>
      </c>
      <c r="T40" s="2">
        <v>0.92400000000000004</v>
      </c>
      <c r="U40" s="1">
        <v>101.6</v>
      </c>
      <c r="V40" s="1">
        <v>50.6</v>
      </c>
      <c r="W40" s="1">
        <v>49.1</v>
      </c>
      <c r="X40" s="1">
        <v>155.1</v>
      </c>
      <c r="Y40" s="3">
        <f>Table135[[#This Row],[XGF]]/Table14[[#This Row],[GP]]</f>
        <v>1.8914634146341462</v>
      </c>
      <c r="Z40" s="1">
        <v>140</v>
      </c>
      <c r="AA40" s="3">
        <f>Table135[[#This Row],[XGA]]/Table14[[#This Row],[GP]]</f>
        <v>1.7073170731707317</v>
      </c>
      <c r="AB40" s="1">
        <v>66</v>
      </c>
      <c r="AC40" s="2">
        <f>Table135[[#This Row],[HDGF]]/Table14[[#This Row],[GP]]</f>
        <v>0.80487804878048785</v>
      </c>
      <c r="AD40" s="1">
        <v>53</v>
      </c>
      <c r="AE40" s="2">
        <f>Table135[[#This Row],[HDGA]]/Table14[[#This Row],[GP]]</f>
        <v>0.64634146341463417</v>
      </c>
      <c r="AF40" s="1">
        <v>8.6</v>
      </c>
    </row>
    <row r="41" spans="1:32" hidden="1" x14ac:dyDescent="0.35">
      <c r="A41" t="s">
        <v>89</v>
      </c>
      <c r="B41">
        <v>8</v>
      </c>
      <c r="C41" t="s">
        <v>71</v>
      </c>
      <c r="D41" s="1">
        <v>1</v>
      </c>
      <c r="E41" s="1">
        <v>28.4</v>
      </c>
      <c r="F41" s="1">
        <v>82</v>
      </c>
      <c r="G41" s="1">
        <v>108</v>
      </c>
      <c r="H41" s="2">
        <f>Table14[[#This Row],[PTS]]/Table14[[#This Row],[GP]]</f>
        <v>1.3170731707317074</v>
      </c>
      <c r="I41" s="2">
        <v>0.65900000000000003</v>
      </c>
      <c r="J41" s="1">
        <v>281</v>
      </c>
      <c r="K41" s="3">
        <f>Table14[[#This Row],[GF]]/Table14[[#This Row],[GP]]</f>
        <v>3.4268292682926829</v>
      </c>
      <c r="L41" s="1">
        <v>215</v>
      </c>
      <c r="M41" s="1">
        <v>2.62</v>
      </c>
      <c r="N41" s="2">
        <f>(Table14[[#This Row],[GF]]^2)/((Table14[[#This Row],[GF]]^2)+(Table14[[#This Row],[GA]]^2))</f>
        <v>0.63074944482609874</v>
      </c>
      <c r="O41" s="1">
        <v>25</v>
      </c>
      <c r="P41" s="1">
        <v>83.47</v>
      </c>
      <c r="Q41" s="1">
        <f>Table14[[#This Row],[PP_PCT]]+Table14[[#This Row],[PK_PCT]]</f>
        <v>108.47</v>
      </c>
      <c r="R41" s="3">
        <v>10.7</v>
      </c>
      <c r="S41" s="3">
        <f>Table14[[#This Row],[GA]]/Table14[[#This Row],[GP]]</f>
        <v>2.6219512195121952</v>
      </c>
      <c r="T41" s="2">
        <v>0.91400000000000003</v>
      </c>
      <c r="U41" s="1">
        <v>99.4</v>
      </c>
      <c r="V41" s="1">
        <v>46</v>
      </c>
      <c r="W41" s="1">
        <v>45.3</v>
      </c>
      <c r="X41" s="1">
        <v>173.4</v>
      </c>
      <c r="Y41" s="3">
        <f>Table135[[#This Row],[XGF]]/Table14[[#This Row],[GP]]</f>
        <v>2.1146341463414635</v>
      </c>
      <c r="Z41" s="1">
        <v>206.7</v>
      </c>
      <c r="AA41" s="3">
        <f>Table135[[#This Row],[XGA]]/Table14[[#This Row],[GP]]</f>
        <v>2.520731707317073</v>
      </c>
      <c r="AB41" s="1">
        <v>65</v>
      </c>
      <c r="AC41" s="2">
        <f>Table135[[#This Row],[HDGF]]/Table14[[#This Row],[GP]]</f>
        <v>0.79268292682926833</v>
      </c>
      <c r="AD41" s="1">
        <v>79</v>
      </c>
      <c r="AE41" s="2">
        <f>Table135[[#This Row],[HDGA]]/Table14[[#This Row],[GP]]</f>
        <v>0.96341463414634143</v>
      </c>
      <c r="AF41" s="1">
        <v>7.8</v>
      </c>
    </row>
    <row r="42" spans="1:32" hidden="1" x14ac:dyDescent="0.35">
      <c r="A42" t="s">
        <v>89</v>
      </c>
      <c r="B42">
        <v>9</v>
      </c>
      <c r="C42" t="s">
        <v>64</v>
      </c>
      <c r="D42" s="1">
        <v>1</v>
      </c>
      <c r="E42" s="1">
        <v>27.7</v>
      </c>
      <c r="F42" s="1">
        <v>82</v>
      </c>
      <c r="G42" s="1">
        <v>107</v>
      </c>
      <c r="H42" s="2">
        <f>Table14[[#This Row],[PTS]]/Table14[[#This Row],[GP]]</f>
        <v>1.3048780487804879</v>
      </c>
      <c r="I42" s="2">
        <v>0.65200000000000002</v>
      </c>
      <c r="J42" s="1">
        <v>273</v>
      </c>
      <c r="K42" s="3">
        <f>Table14[[#This Row],[GF]]/Table14[[#This Row],[GP]]</f>
        <v>3.3292682926829267</v>
      </c>
      <c r="L42" s="1">
        <v>216</v>
      </c>
      <c r="M42" s="1">
        <v>2.63</v>
      </c>
      <c r="N42" s="2">
        <f>(Table14[[#This Row],[GF]]^2)/((Table14[[#This Row],[GF]]^2)+(Table14[[#This Row],[GA]]^2))</f>
        <v>0.61500185666542884</v>
      </c>
      <c r="O42" s="1">
        <v>24.08</v>
      </c>
      <c r="P42" s="1">
        <v>81.17</v>
      </c>
      <c r="Q42" s="1">
        <f>Table14[[#This Row],[PP_PCT]]+Table14[[#This Row],[PK_PCT]]</f>
        <v>105.25</v>
      </c>
      <c r="R42" s="3">
        <v>10.6</v>
      </c>
      <c r="S42" s="3">
        <f>Table14[[#This Row],[GA]]/Table14[[#This Row],[GP]]</f>
        <v>2.6341463414634148</v>
      </c>
      <c r="T42" s="2">
        <v>0.91300000000000003</v>
      </c>
      <c r="U42" s="1">
        <v>99.1</v>
      </c>
      <c r="V42" s="1">
        <v>46.1</v>
      </c>
      <c r="W42" s="1">
        <v>46.6</v>
      </c>
      <c r="X42" s="1">
        <v>154</v>
      </c>
      <c r="Y42" s="3">
        <f>Table135[[#This Row],[XGF]]/Table14[[#This Row],[GP]]</f>
        <v>1.8780487804878048</v>
      </c>
      <c r="Z42" s="1">
        <v>163.4</v>
      </c>
      <c r="AA42" s="3">
        <f>Table135[[#This Row],[XGA]]/Table14[[#This Row],[GP]]</f>
        <v>1.9926829268292683</v>
      </c>
      <c r="AB42" s="1">
        <v>51</v>
      </c>
      <c r="AC42" s="2">
        <f>Table135[[#This Row],[HDGF]]/Table14[[#This Row],[GP]]</f>
        <v>0.62195121951219512</v>
      </c>
      <c r="AD42" s="1">
        <v>73</v>
      </c>
      <c r="AE42" s="2">
        <f>Table135[[#This Row],[HDGA]]/Table14[[#This Row],[GP]]</f>
        <v>0.8902439024390244</v>
      </c>
      <c r="AF42" s="1">
        <v>7.6</v>
      </c>
    </row>
    <row r="43" spans="1:32" hidden="1" x14ac:dyDescent="0.35">
      <c r="A43" t="s">
        <v>89</v>
      </c>
      <c r="B43">
        <v>10</v>
      </c>
      <c r="C43" t="s">
        <v>70</v>
      </c>
      <c r="D43" s="1">
        <v>1</v>
      </c>
      <c r="E43" s="1">
        <v>28.7</v>
      </c>
      <c r="F43" s="1">
        <v>82</v>
      </c>
      <c r="G43" s="1">
        <v>104</v>
      </c>
      <c r="H43" s="2">
        <f>Table14[[#This Row],[PTS]]/Table14[[#This Row],[GP]]</f>
        <v>1.2682926829268293</v>
      </c>
      <c r="I43" s="2">
        <v>0.63400000000000001</v>
      </c>
      <c r="J43" s="1">
        <v>274</v>
      </c>
      <c r="K43" s="3">
        <f>Table14[[#This Row],[GF]]/Table14[[#This Row],[GP]]</f>
        <v>3.3414634146341462</v>
      </c>
      <c r="L43" s="1">
        <v>254</v>
      </c>
      <c r="M43" s="1">
        <v>3.1</v>
      </c>
      <c r="N43" s="2">
        <f>(Table14[[#This Row],[GF]]^2)/((Table14[[#This Row],[GF]]^2)+(Table14[[#This Row],[GA]]^2))</f>
        <v>0.53782451716430746</v>
      </c>
      <c r="O43" s="1">
        <v>25.28</v>
      </c>
      <c r="P43" s="1">
        <v>75.84</v>
      </c>
      <c r="Q43" s="1">
        <f>Table14[[#This Row],[PP_PCT]]+Table14[[#This Row],[PK_PCT]]</f>
        <v>101.12</v>
      </c>
      <c r="R43" s="3">
        <v>10.3</v>
      </c>
      <c r="S43" s="3">
        <f>Table14[[#This Row],[GA]]/Table14[[#This Row],[GP]]</f>
        <v>3.0975609756097562</v>
      </c>
      <c r="T43" s="2">
        <v>0.91500000000000004</v>
      </c>
      <c r="U43" s="1">
        <v>100.7</v>
      </c>
      <c r="V43" s="1">
        <v>46.5</v>
      </c>
      <c r="W43" s="1">
        <v>45.9</v>
      </c>
      <c r="X43" s="1">
        <v>150.6</v>
      </c>
      <c r="Y43" s="3">
        <f>Table135[[#This Row],[XGF]]/Table14[[#This Row],[GP]]</f>
        <v>1.8365853658536584</v>
      </c>
      <c r="Z43" s="1">
        <v>177</v>
      </c>
      <c r="AA43" s="3">
        <f>Table135[[#This Row],[XGA]]/Table14[[#This Row],[GP]]</f>
        <v>2.1585365853658538</v>
      </c>
      <c r="AB43" s="1">
        <v>71</v>
      </c>
      <c r="AC43" s="2">
        <f>Table135[[#This Row],[HDGF]]/Table14[[#This Row],[GP]]</f>
        <v>0.86585365853658536</v>
      </c>
      <c r="AD43" s="1">
        <v>74</v>
      </c>
      <c r="AE43" s="2">
        <f>Table135[[#This Row],[HDGA]]/Table14[[#This Row],[GP]]</f>
        <v>0.90243902439024393</v>
      </c>
      <c r="AF43" s="1">
        <v>8.6</v>
      </c>
    </row>
    <row r="44" spans="1:32" hidden="1" x14ac:dyDescent="0.35">
      <c r="A44" t="s">
        <v>89</v>
      </c>
      <c r="B44">
        <v>11</v>
      </c>
      <c r="C44" t="s">
        <v>61</v>
      </c>
      <c r="D44" s="1">
        <v>1</v>
      </c>
      <c r="E44" s="1">
        <v>29.3</v>
      </c>
      <c r="F44" s="1">
        <v>82</v>
      </c>
      <c r="G44" s="1">
        <v>103</v>
      </c>
      <c r="H44" s="2">
        <f>Table14[[#This Row],[PTS]]/Table14[[#This Row],[GP]]</f>
        <v>1.2560975609756098</v>
      </c>
      <c r="I44" s="2">
        <v>0.628</v>
      </c>
      <c r="J44" s="1">
        <v>239</v>
      </c>
      <c r="K44" s="3">
        <f>Table14[[#This Row],[GF]]/Table14[[#This Row],[GP]]</f>
        <v>2.9146341463414633</v>
      </c>
      <c r="L44" s="1">
        <v>219</v>
      </c>
      <c r="M44" s="1">
        <v>2.67</v>
      </c>
      <c r="N44" s="2">
        <f>(Table14[[#This Row],[GF]]^2)/((Table14[[#This Row],[GF]]^2)+(Table14[[#This Row],[GA]]^2))</f>
        <v>0.54358500980186897</v>
      </c>
      <c r="O44" s="1">
        <v>21.43</v>
      </c>
      <c r="P44" s="1">
        <v>82.03</v>
      </c>
      <c r="Q44" s="1">
        <f>Table14[[#This Row],[PP_PCT]]+Table14[[#This Row],[PK_PCT]]</f>
        <v>103.46000000000001</v>
      </c>
      <c r="R44" s="3">
        <v>9.4</v>
      </c>
      <c r="S44" s="3">
        <f>Table14[[#This Row],[GA]]/Table14[[#This Row],[GP]]</f>
        <v>2.6707317073170733</v>
      </c>
      <c r="T44" s="2">
        <v>0.92</v>
      </c>
      <c r="U44" s="1">
        <v>99.4</v>
      </c>
      <c r="V44" s="1">
        <v>48.6</v>
      </c>
      <c r="W44" s="1">
        <v>47.7</v>
      </c>
      <c r="X44" s="1">
        <v>140.5</v>
      </c>
      <c r="Y44" s="3">
        <f>Table135[[#This Row],[XGF]]/Table14[[#This Row],[GP]]</f>
        <v>1.7134146341463414</v>
      </c>
      <c r="Z44" s="1">
        <v>146.1</v>
      </c>
      <c r="AA44" s="3">
        <f>Table135[[#This Row],[XGA]]/Table14[[#This Row],[GP]]</f>
        <v>1.7817073170731708</v>
      </c>
      <c r="AB44" s="1">
        <v>41</v>
      </c>
      <c r="AC44" s="2">
        <f>Table135[[#This Row],[HDGF]]/Table14[[#This Row],[GP]]</f>
        <v>0.5</v>
      </c>
      <c r="AD44" s="1">
        <v>39</v>
      </c>
      <c r="AE44" s="2">
        <f>Table135[[#This Row],[HDGA]]/Table14[[#This Row],[GP]]</f>
        <v>0.47560975609756095</v>
      </c>
      <c r="AF44" s="1">
        <v>11.3</v>
      </c>
    </row>
    <row r="45" spans="1:32" hidden="1" x14ac:dyDescent="0.35">
      <c r="A45" t="s">
        <v>89</v>
      </c>
      <c r="B45">
        <v>12</v>
      </c>
      <c r="C45" t="s">
        <v>86</v>
      </c>
      <c r="D45" s="1">
        <v>1</v>
      </c>
      <c r="E45" s="1">
        <v>29</v>
      </c>
      <c r="F45" s="1">
        <v>82</v>
      </c>
      <c r="G45" s="1">
        <v>100</v>
      </c>
      <c r="H45" s="2">
        <f>Table14[[#This Row],[PTS]]/Table14[[#This Row],[GP]]</f>
        <v>1.2195121951219512</v>
      </c>
      <c r="I45" s="2">
        <v>0.61</v>
      </c>
      <c r="J45" s="1">
        <v>289</v>
      </c>
      <c r="K45" s="3">
        <f>Table14[[#This Row],[GF]]/Table14[[#This Row],[GP]]</f>
        <v>3.524390243902439</v>
      </c>
      <c r="L45" s="1">
        <v>252</v>
      </c>
      <c r="M45" s="1">
        <v>3.07</v>
      </c>
      <c r="N45" s="2">
        <f>(Table14[[#This Row],[GF]]^2)/((Table14[[#This Row],[GF]]^2)+(Table14[[#This Row],[GA]]^2))</f>
        <v>0.56807345689508582</v>
      </c>
      <c r="O45" s="1">
        <v>19.75</v>
      </c>
      <c r="P45" s="1">
        <v>76.69</v>
      </c>
      <c r="Q45" s="1">
        <f>Table14[[#This Row],[PP_PCT]]+Table14[[#This Row],[PK_PCT]]</f>
        <v>96.44</v>
      </c>
      <c r="R45" s="3">
        <v>11.6</v>
      </c>
      <c r="S45" s="3">
        <f>Table14[[#This Row],[GA]]/Table14[[#This Row],[GP]]</f>
        <v>3.0731707317073171</v>
      </c>
      <c r="T45" s="2">
        <v>0.92100000000000004</v>
      </c>
      <c r="U45" s="1">
        <v>99.9</v>
      </c>
      <c r="V45" s="1">
        <v>52.5</v>
      </c>
      <c r="W45" s="1">
        <v>51.6</v>
      </c>
      <c r="X45" s="1">
        <v>192.1</v>
      </c>
      <c r="Y45" s="3">
        <f>Table135[[#This Row],[XGF]]/Table14[[#This Row],[GP]]</f>
        <v>2.3426829268292684</v>
      </c>
      <c r="Z45" s="1">
        <v>182.9</v>
      </c>
      <c r="AA45" s="3">
        <f>Table135[[#This Row],[XGA]]/Table14[[#This Row],[GP]]</f>
        <v>2.2304878048780488</v>
      </c>
      <c r="AB45" s="1">
        <v>86</v>
      </c>
      <c r="AC45" s="2">
        <f>Table135[[#This Row],[HDGF]]/Table14[[#This Row],[GP]]</f>
        <v>1.0487804878048781</v>
      </c>
      <c r="AD45" s="1">
        <v>67</v>
      </c>
      <c r="AE45" s="2">
        <f>Table135[[#This Row],[HDGA]]/Table14[[#This Row],[GP]]</f>
        <v>0.81707317073170727</v>
      </c>
      <c r="AF45" s="1">
        <v>8.5</v>
      </c>
    </row>
    <row r="46" spans="1:32" hidden="1" x14ac:dyDescent="0.35">
      <c r="A46" t="s">
        <v>89</v>
      </c>
      <c r="B46">
        <v>13</v>
      </c>
      <c r="C46" t="s">
        <v>63</v>
      </c>
      <c r="D46" s="1">
        <v>1</v>
      </c>
      <c r="E46" s="1">
        <v>29.9</v>
      </c>
      <c r="F46" s="1">
        <v>82</v>
      </c>
      <c r="G46" s="1">
        <v>98</v>
      </c>
      <c r="H46" s="2">
        <f>Table14[[#This Row],[PTS]]/Table14[[#This Row],[GP]]</f>
        <v>1.1951219512195121</v>
      </c>
      <c r="I46" s="2">
        <v>0.59799999999999998</v>
      </c>
      <c r="J46" s="1">
        <v>280</v>
      </c>
      <c r="K46" s="3">
        <f>Table14[[#This Row],[GF]]/Table14[[#This Row],[GP]]</f>
        <v>3.4146341463414633</v>
      </c>
      <c r="L46" s="1">
        <v>252</v>
      </c>
      <c r="M46" s="1">
        <v>3.07</v>
      </c>
      <c r="N46" s="2">
        <f>(Table14[[#This Row],[GF]]^2)/((Table14[[#This Row],[GF]]^2)+(Table14[[#This Row],[GA]]^2))</f>
        <v>0.5524861878453039</v>
      </c>
      <c r="O46" s="1">
        <v>25.36</v>
      </c>
      <c r="P46" s="1">
        <v>79.69</v>
      </c>
      <c r="Q46" s="1">
        <f>Table14[[#This Row],[PP_PCT]]+Table14[[#This Row],[PK_PCT]]</f>
        <v>105.05</v>
      </c>
      <c r="R46" s="3">
        <v>10.7</v>
      </c>
      <c r="S46" s="3">
        <f>Table14[[#This Row],[GA]]/Table14[[#This Row],[GP]]</f>
        <v>3.0731707317073171</v>
      </c>
      <c r="T46" s="2">
        <v>0.92</v>
      </c>
      <c r="U46" s="1">
        <v>100.5</v>
      </c>
      <c r="V46" s="1">
        <v>52.2</v>
      </c>
      <c r="W46" s="1">
        <v>51.6</v>
      </c>
      <c r="X46" s="1">
        <v>203.1</v>
      </c>
      <c r="Y46" s="3">
        <f>Table135[[#This Row],[XGF]]/Table14[[#This Row],[GP]]</f>
        <v>2.4768292682926827</v>
      </c>
      <c r="Z46" s="1">
        <v>174</v>
      </c>
      <c r="AA46" s="3">
        <f>Table135[[#This Row],[XGA]]/Table14[[#This Row],[GP]]</f>
        <v>2.1219512195121952</v>
      </c>
      <c r="AB46" s="1">
        <v>70</v>
      </c>
      <c r="AC46" s="2">
        <f>Table135[[#This Row],[HDGF]]/Table14[[#This Row],[GP]]</f>
        <v>0.85365853658536583</v>
      </c>
      <c r="AD46" s="1">
        <v>71</v>
      </c>
      <c r="AE46" s="2">
        <f>Table135[[#This Row],[HDGA]]/Table14[[#This Row],[GP]]</f>
        <v>0.86585365853658536</v>
      </c>
      <c r="AF46" s="1">
        <v>12.1</v>
      </c>
    </row>
    <row r="47" spans="1:32" hidden="1" x14ac:dyDescent="0.35">
      <c r="A47" t="s">
        <v>89</v>
      </c>
      <c r="B47">
        <v>14</v>
      </c>
      <c r="C47" t="s">
        <v>75</v>
      </c>
      <c r="D47" s="1">
        <v>1</v>
      </c>
      <c r="E47" s="1">
        <v>28.7</v>
      </c>
      <c r="F47" s="1">
        <v>82</v>
      </c>
      <c r="G47" s="1">
        <v>95</v>
      </c>
      <c r="H47" s="2">
        <f>Table14[[#This Row],[PTS]]/Table14[[#This Row],[GP]]</f>
        <v>1.1585365853658536</v>
      </c>
      <c r="I47" s="2">
        <v>0.57899999999999996</v>
      </c>
      <c r="J47" s="1">
        <v>246</v>
      </c>
      <c r="K47" s="3">
        <f>Table14[[#This Row],[GF]]/Table14[[#This Row],[GP]]</f>
        <v>3</v>
      </c>
      <c r="L47" s="1">
        <v>224</v>
      </c>
      <c r="M47" s="1">
        <v>2.73</v>
      </c>
      <c r="N47" s="2">
        <f>(Table14[[#This Row],[GF]]^2)/((Table14[[#This Row],[GF]]^2)+(Table14[[#This Row],[GA]]^2))</f>
        <v>0.54670617569472046</v>
      </c>
      <c r="O47" s="1">
        <v>19.260000000000002</v>
      </c>
      <c r="P47" s="1">
        <v>82.43</v>
      </c>
      <c r="Q47" s="1">
        <f>Table14[[#This Row],[PP_PCT]]+Table14[[#This Row],[PK_PCT]]</f>
        <v>101.69000000000001</v>
      </c>
      <c r="R47" s="3">
        <v>9.9</v>
      </c>
      <c r="S47" s="3">
        <f>Table14[[#This Row],[GA]]/Table14[[#This Row],[GP]]</f>
        <v>2.7317073170731709</v>
      </c>
      <c r="T47" s="2">
        <v>0.92100000000000004</v>
      </c>
      <c r="U47" s="1">
        <v>100.2</v>
      </c>
      <c r="V47" s="1">
        <v>55.6</v>
      </c>
      <c r="W47" s="1">
        <v>54.8</v>
      </c>
      <c r="X47" s="1">
        <v>209</v>
      </c>
      <c r="Y47" s="3">
        <f>Table135[[#This Row],[XGF]]/Table14[[#This Row],[GP]]</f>
        <v>2.5487804878048781</v>
      </c>
      <c r="Z47" s="1">
        <v>158.69999999999999</v>
      </c>
      <c r="AA47" s="3">
        <f>Table135[[#This Row],[XGA]]/Table14[[#This Row],[GP]]</f>
        <v>1.9353658536585365</v>
      </c>
      <c r="AB47" s="1">
        <v>93</v>
      </c>
      <c r="AC47" s="2">
        <f>Table135[[#This Row],[HDGF]]/Table14[[#This Row],[GP]]</f>
        <v>1.1341463414634145</v>
      </c>
      <c r="AD47" s="1">
        <v>61</v>
      </c>
      <c r="AE47" s="2">
        <f>Table135[[#This Row],[HDGA]]/Table14[[#This Row],[GP]]</f>
        <v>0.74390243902439024</v>
      </c>
      <c r="AF47" s="1">
        <v>8.5</v>
      </c>
    </row>
    <row r="48" spans="1:32" hidden="1" x14ac:dyDescent="0.35">
      <c r="A48" t="s">
        <v>89</v>
      </c>
      <c r="B48">
        <v>15</v>
      </c>
      <c r="C48" t="s">
        <v>62</v>
      </c>
      <c r="D48" s="1">
        <v>0</v>
      </c>
      <c r="E48" s="1">
        <v>29.8</v>
      </c>
      <c r="F48" s="1">
        <v>82</v>
      </c>
      <c r="G48" s="1">
        <v>93</v>
      </c>
      <c r="H48" s="2">
        <f>Table14[[#This Row],[PTS]]/Table14[[#This Row],[GP]]</f>
        <v>1.1341463414634145</v>
      </c>
      <c r="I48" s="2">
        <v>0.56699999999999995</v>
      </c>
      <c r="J48" s="1">
        <v>258</v>
      </c>
      <c r="K48" s="3">
        <f>Table14[[#This Row],[GF]]/Table14[[#This Row],[GP]]</f>
        <v>3.1463414634146343</v>
      </c>
      <c r="L48" s="1">
        <v>247</v>
      </c>
      <c r="M48" s="1">
        <v>3.01</v>
      </c>
      <c r="N48" s="2">
        <f>(Table14[[#This Row],[GF]]^2)/((Table14[[#This Row],[GF]]^2)+(Table14[[#This Row],[GA]]^2))</f>
        <v>0.52177184827510525</v>
      </c>
      <c r="O48" s="1">
        <v>19.84</v>
      </c>
      <c r="P48" s="1">
        <v>82.59</v>
      </c>
      <c r="Q48" s="1">
        <f>Table14[[#This Row],[PP_PCT]]+Table14[[#This Row],[PK_PCT]]</f>
        <v>102.43</v>
      </c>
      <c r="R48" s="3">
        <v>8.8000000000000007</v>
      </c>
      <c r="S48" s="3">
        <f>Table14[[#This Row],[GA]]/Table14[[#This Row],[GP]]</f>
        <v>3.0121951219512195</v>
      </c>
      <c r="T48" s="2">
        <v>0.91100000000000003</v>
      </c>
      <c r="U48" s="1">
        <v>98.6</v>
      </c>
      <c r="V48" s="1">
        <v>54.5</v>
      </c>
      <c r="W48" s="1">
        <v>54.1</v>
      </c>
      <c r="X48" s="1">
        <v>174.2</v>
      </c>
      <c r="Y48" s="3">
        <f>Table135[[#This Row],[XGF]]/Table14[[#This Row],[GP]]</f>
        <v>2.1243902439024387</v>
      </c>
      <c r="Z48" s="1">
        <v>146.19999999999999</v>
      </c>
      <c r="AA48" s="3">
        <f>Table135[[#This Row],[XGA]]/Table14[[#This Row],[GP]]</f>
        <v>1.7829268292682925</v>
      </c>
      <c r="AB48" s="1">
        <v>64</v>
      </c>
      <c r="AC48" s="2">
        <f>Table135[[#This Row],[HDGF]]/Table14[[#This Row],[GP]]</f>
        <v>0.78048780487804881</v>
      </c>
      <c r="AD48" s="1">
        <v>56</v>
      </c>
      <c r="AE48" s="2">
        <f>Table135[[#This Row],[HDGA]]/Table14[[#This Row],[GP]]</f>
        <v>0.68292682926829273</v>
      </c>
      <c r="AF48" s="1">
        <v>9.1999999999999993</v>
      </c>
    </row>
    <row r="49" spans="1:32" hidden="1" x14ac:dyDescent="0.35">
      <c r="A49" t="s">
        <v>89</v>
      </c>
      <c r="B49">
        <v>16</v>
      </c>
      <c r="C49" t="s">
        <v>76</v>
      </c>
      <c r="D49" s="1">
        <v>1</v>
      </c>
      <c r="E49" s="1">
        <v>29.3</v>
      </c>
      <c r="F49" s="1">
        <v>82</v>
      </c>
      <c r="G49" s="1">
        <v>93</v>
      </c>
      <c r="H49" s="2">
        <f>Table14[[#This Row],[PTS]]/Table14[[#This Row],[GP]]</f>
        <v>1.1341463414634145</v>
      </c>
      <c r="I49" s="2">
        <v>0.56699999999999995</v>
      </c>
      <c r="J49" s="1">
        <v>242</v>
      </c>
      <c r="K49" s="3">
        <f>Table14[[#This Row],[GF]]/Table14[[#This Row],[GP]]</f>
        <v>2.9512195121951219</v>
      </c>
      <c r="L49" s="1">
        <v>217</v>
      </c>
      <c r="M49" s="1">
        <v>2.65</v>
      </c>
      <c r="N49" s="2">
        <f>(Table14[[#This Row],[GF]]^2)/((Table14[[#This Row],[GF]]^2)+(Table14[[#This Row],[GA]]^2))</f>
        <v>0.55430513094753575</v>
      </c>
      <c r="O49" s="1">
        <v>15.77</v>
      </c>
      <c r="P49" s="1">
        <v>82.19</v>
      </c>
      <c r="Q49" s="1">
        <f>Table14[[#This Row],[PP_PCT]]+Table14[[#This Row],[PK_PCT]]</f>
        <v>97.96</v>
      </c>
      <c r="R49" s="3">
        <v>9.6</v>
      </c>
      <c r="S49" s="3">
        <f>Table14[[#This Row],[GA]]/Table14[[#This Row],[GP]]</f>
        <v>2.6463414634146343</v>
      </c>
      <c r="T49" s="2">
        <v>0.91900000000000004</v>
      </c>
      <c r="U49" s="1">
        <v>100.4</v>
      </c>
      <c r="V49" s="1">
        <v>56.6</v>
      </c>
      <c r="W49" s="1">
        <v>56.3</v>
      </c>
      <c r="X49" s="1">
        <v>231.9</v>
      </c>
      <c r="Y49" s="3">
        <f>Table135[[#This Row],[XGF]]/Table14[[#This Row],[GP]]</f>
        <v>2.8280487804878049</v>
      </c>
      <c r="Z49" s="1">
        <v>171.7</v>
      </c>
      <c r="AA49" s="3">
        <f>Table135[[#This Row],[XGA]]/Table14[[#This Row],[GP]]</f>
        <v>2.0939024390243901</v>
      </c>
      <c r="AB49" s="1">
        <v>90</v>
      </c>
      <c r="AC49" s="2">
        <f>Table135[[#This Row],[HDGF]]/Table14[[#This Row],[GP]]</f>
        <v>1.0975609756097562</v>
      </c>
      <c r="AD49" s="1">
        <v>64</v>
      </c>
      <c r="AE49" s="2">
        <f>Table135[[#This Row],[HDGA]]/Table14[[#This Row],[GP]]</f>
        <v>0.78048780487804881</v>
      </c>
      <c r="AF49" s="1">
        <v>8</v>
      </c>
    </row>
    <row r="50" spans="1:32" hidden="1" x14ac:dyDescent="0.35">
      <c r="A50" t="s">
        <v>89</v>
      </c>
      <c r="B50">
        <v>17</v>
      </c>
      <c r="C50" t="s">
        <v>57</v>
      </c>
      <c r="D50" s="1">
        <v>1</v>
      </c>
      <c r="E50" s="1">
        <v>28.7</v>
      </c>
      <c r="F50" s="1">
        <v>82</v>
      </c>
      <c r="G50" s="1">
        <v>92</v>
      </c>
      <c r="H50" s="2">
        <f>Table14[[#This Row],[PTS]]/Table14[[#This Row],[GP]]</f>
        <v>1.1219512195121952</v>
      </c>
      <c r="I50" s="2">
        <v>0.56100000000000005</v>
      </c>
      <c r="J50" s="1">
        <v>288</v>
      </c>
      <c r="K50" s="3">
        <f>Table14[[#This Row],[GF]]/Table14[[#This Row],[GP]]</f>
        <v>3.5121951219512195</v>
      </c>
      <c r="L50" s="1">
        <v>272</v>
      </c>
      <c r="M50" s="1">
        <v>3.32</v>
      </c>
      <c r="N50" s="2">
        <f>(Table14[[#This Row],[GF]]^2)/((Table14[[#This Row],[GF]]^2)+(Table14[[#This Row],[GA]]^2))</f>
        <v>0.52854812398042417</v>
      </c>
      <c r="O50" s="1">
        <v>22.83</v>
      </c>
      <c r="P50" s="1">
        <v>75.95</v>
      </c>
      <c r="Q50" s="1">
        <f>Table14[[#This Row],[PP_PCT]]+Table14[[#This Row],[PK_PCT]]</f>
        <v>98.78</v>
      </c>
      <c r="R50" s="3">
        <v>9.5</v>
      </c>
      <c r="S50" s="3">
        <f>Table14[[#This Row],[GA]]/Table14[[#This Row],[GP]]</f>
        <v>3.3170731707317072</v>
      </c>
      <c r="T50" s="2">
        <v>0.92200000000000004</v>
      </c>
      <c r="U50" s="1">
        <v>100.2</v>
      </c>
      <c r="V50" s="1">
        <v>54.3</v>
      </c>
      <c r="W50" s="1">
        <v>53.5</v>
      </c>
      <c r="X50" s="1">
        <v>210.5</v>
      </c>
      <c r="Y50" s="3">
        <f>Table135[[#This Row],[XGF]]/Table14[[#This Row],[GP]]</f>
        <v>2.5670731707317072</v>
      </c>
      <c r="Z50" s="1">
        <v>184.9</v>
      </c>
      <c r="AA50" s="3">
        <f>Table135[[#This Row],[XGA]]/Table14[[#This Row],[GP]]</f>
        <v>2.2548780487804878</v>
      </c>
      <c r="AB50" s="1">
        <v>73</v>
      </c>
      <c r="AC50" s="2">
        <f>Table135[[#This Row],[HDGF]]/Table14[[#This Row],[GP]]</f>
        <v>0.8902439024390244</v>
      </c>
      <c r="AD50" s="1">
        <v>59</v>
      </c>
      <c r="AE50" s="2">
        <f>Table135[[#This Row],[HDGA]]/Table14[[#This Row],[GP]]</f>
        <v>0.71951219512195119</v>
      </c>
      <c r="AF50" s="1">
        <v>12.2</v>
      </c>
    </row>
    <row r="51" spans="1:32" hidden="1" x14ac:dyDescent="0.35">
      <c r="A51" t="s">
        <v>89</v>
      </c>
      <c r="B51">
        <v>18</v>
      </c>
      <c r="C51" t="s">
        <v>72</v>
      </c>
      <c r="D51" s="1">
        <v>0</v>
      </c>
      <c r="E51" s="1">
        <v>28.3</v>
      </c>
      <c r="F51" s="1">
        <v>82</v>
      </c>
      <c r="G51" s="1">
        <v>92</v>
      </c>
      <c r="H51" s="2">
        <f>Table14[[#This Row],[PTS]]/Table14[[#This Row],[GP]]</f>
        <v>1.1219512195121952</v>
      </c>
      <c r="I51" s="2">
        <v>0.56100000000000005</v>
      </c>
      <c r="J51" s="1">
        <v>223</v>
      </c>
      <c r="K51" s="3">
        <f>Table14[[#This Row],[GF]]/Table14[[#This Row],[GP]]</f>
        <v>2.7195121951219514</v>
      </c>
      <c r="L51" s="1">
        <v>236</v>
      </c>
      <c r="M51" s="1">
        <v>2.88</v>
      </c>
      <c r="N51" s="2">
        <f>(Table14[[#This Row],[GF]]^2)/((Table14[[#This Row],[GF]]^2)+(Table14[[#This Row],[GA]]^2))</f>
        <v>0.47170026084894473</v>
      </c>
      <c r="O51" s="1">
        <v>17.600000000000001</v>
      </c>
      <c r="P51" s="1">
        <v>82.55</v>
      </c>
      <c r="Q51" s="1">
        <f>Table14[[#This Row],[PP_PCT]]+Table14[[#This Row],[PK_PCT]]</f>
        <v>100.15</v>
      </c>
      <c r="R51" s="3">
        <v>9.1999999999999993</v>
      </c>
      <c r="S51" s="3">
        <f>Table14[[#This Row],[GA]]/Table14[[#This Row],[GP]]</f>
        <v>2.8780487804878048</v>
      </c>
      <c r="T51" s="2">
        <v>0.93500000000000005</v>
      </c>
      <c r="U51" s="1">
        <v>100.6</v>
      </c>
      <c r="V51" s="1">
        <v>56.2</v>
      </c>
      <c r="W51" s="1">
        <v>53.8</v>
      </c>
      <c r="X51" s="1">
        <v>166.2</v>
      </c>
      <c r="Y51" s="3">
        <f>Table135[[#This Row],[XGF]]/Table14[[#This Row],[GP]]</f>
        <v>2.026829268292683</v>
      </c>
      <c r="Z51" s="1">
        <v>144.80000000000001</v>
      </c>
      <c r="AA51" s="3">
        <f>Table135[[#This Row],[XGA]]/Table14[[#This Row],[GP]]</f>
        <v>1.7658536585365856</v>
      </c>
      <c r="AB51" s="1">
        <v>51</v>
      </c>
      <c r="AC51" s="2">
        <f>Table135[[#This Row],[HDGF]]/Table14[[#This Row],[GP]]</f>
        <v>0.62195121951219512</v>
      </c>
      <c r="AD51" s="1">
        <v>57</v>
      </c>
      <c r="AE51" s="2">
        <f>Table135[[#This Row],[HDGA]]/Table14[[#This Row],[GP]]</f>
        <v>0.69512195121951215</v>
      </c>
      <c r="AF51" s="1">
        <v>9.6</v>
      </c>
    </row>
    <row r="52" spans="1:32" hidden="1" x14ac:dyDescent="0.35">
      <c r="A52" t="s">
        <v>89</v>
      </c>
      <c r="B52">
        <v>19</v>
      </c>
      <c r="C52" t="s">
        <v>80</v>
      </c>
      <c r="D52" s="1">
        <v>0</v>
      </c>
      <c r="E52" s="1">
        <v>26.1</v>
      </c>
      <c r="F52" s="1">
        <v>82</v>
      </c>
      <c r="G52" s="1">
        <v>91</v>
      </c>
      <c r="H52" s="2">
        <f>Table14[[#This Row],[PTS]]/Table14[[#This Row],[GP]]</f>
        <v>1.1097560975609757</v>
      </c>
      <c r="I52" s="2">
        <v>0.55500000000000005</v>
      </c>
      <c r="J52" s="1">
        <v>293</v>
      </c>
      <c r="K52" s="3">
        <f>Table14[[#This Row],[GF]]/Table14[[#This Row],[GP]]</f>
        <v>3.5731707317073171</v>
      </c>
      <c r="L52" s="1">
        <v>297</v>
      </c>
      <c r="M52" s="1">
        <v>3.62</v>
      </c>
      <c r="N52" s="2">
        <f>(Table14[[#This Row],[GF]]^2)/((Table14[[#This Row],[GF]]^2)+(Table14[[#This Row],[GA]]^2))</f>
        <v>0.49322065058773512</v>
      </c>
      <c r="O52" s="1">
        <v>23.42</v>
      </c>
      <c r="P52" s="1">
        <v>73.010000000000005</v>
      </c>
      <c r="Q52" s="1">
        <f>Table14[[#This Row],[PP_PCT]]+Table14[[#This Row],[PK_PCT]]</f>
        <v>96.43</v>
      </c>
      <c r="R52" s="3">
        <v>11</v>
      </c>
      <c r="S52" s="3">
        <f>Table14[[#This Row],[GA]]/Table14[[#This Row],[GP]]</f>
        <v>3.6219512195121952</v>
      </c>
      <c r="T52" s="2">
        <v>0.92200000000000004</v>
      </c>
      <c r="U52" s="1">
        <v>99.7</v>
      </c>
      <c r="V52" s="1">
        <v>55.4</v>
      </c>
      <c r="W52" s="1">
        <v>54</v>
      </c>
      <c r="X52" s="1">
        <v>161.9</v>
      </c>
      <c r="Y52" s="3">
        <f>Table135[[#This Row],[XGF]]/Table14[[#This Row],[GP]]</f>
        <v>1.974390243902439</v>
      </c>
      <c r="Z52" s="1">
        <v>127.5</v>
      </c>
      <c r="AA52" s="3">
        <f>Table135[[#This Row],[XGA]]/Table14[[#This Row],[GP]]</f>
        <v>1.5548780487804879</v>
      </c>
      <c r="AB52" s="1">
        <v>53</v>
      </c>
      <c r="AC52" s="2">
        <f>Table135[[#This Row],[HDGF]]/Table14[[#This Row],[GP]]</f>
        <v>0.64634146341463417</v>
      </c>
      <c r="AD52" s="1">
        <v>48</v>
      </c>
      <c r="AE52" s="2">
        <f>Table135[[#This Row],[HDGA]]/Table14[[#This Row],[GP]]</f>
        <v>0.58536585365853655</v>
      </c>
      <c r="AF52" s="1">
        <v>7.4</v>
      </c>
    </row>
    <row r="53" spans="1:32" hidden="1" x14ac:dyDescent="0.35">
      <c r="A53" t="s">
        <v>89</v>
      </c>
      <c r="B53">
        <v>20</v>
      </c>
      <c r="C53" t="s">
        <v>68</v>
      </c>
      <c r="D53" s="1">
        <v>0</v>
      </c>
      <c r="E53" s="1">
        <v>31</v>
      </c>
      <c r="F53" s="1">
        <v>82</v>
      </c>
      <c r="G53" s="1">
        <v>91</v>
      </c>
      <c r="H53" s="2">
        <f>Table14[[#This Row],[PTS]]/Table14[[#This Row],[GP]]</f>
        <v>1.1097560975609757</v>
      </c>
      <c r="I53" s="2">
        <v>0.55500000000000005</v>
      </c>
      <c r="J53" s="1">
        <v>261</v>
      </c>
      <c r="K53" s="3">
        <f>Table14[[#This Row],[GF]]/Table14[[#This Row],[GP]]</f>
        <v>3.1829268292682928</v>
      </c>
      <c r="L53" s="1">
        <v>263</v>
      </c>
      <c r="M53" s="1">
        <v>3.21</v>
      </c>
      <c r="N53" s="2">
        <f>(Table14[[#This Row],[GF]]^2)/((Table14[[#This Row],[GF]]^2)+(Table14[[#This Row],[GA]]^2))</f>
        <v>0.49618326170879162</v>
      </c>
      <c r="O53" s="1">
        <v>21.72</v>
      </c>
      <c r="P53" s="1">
        <v>79.09</v>
      </c>
      <c r="Q53" s="1">
        <f>Table14[[#This Row],[PP_PCT]]+Table14[[#This Row],[PK_PCT]]</f>
        <v>100.81</v>
      </c>
      <c r="R53" s="3">
        <v>9.3000000000000007</v>
      </c>
      <c r="S53" s="3">
        <f>Table14[[#This Row],[GA]]/Table14[[#This Row],[GP]]</f>
        <v>3.2073170731707319</v>
      </c>
      <c r="T53" s="2">
        <v>0.92</v>
      </c>
      <c r="U53" s="1">
        <v>98.7</v>
      </c>
      <c r="V53" s="1">
        <v>54.1</v>
      </c>
      <c r="W53" s="1">
        <v>54.8</v>
      </c>
      <c r="X53" s="1">
        <v>183.5</v>
      </c>
      <c r="Y53" s="3">
        <f>Table135[[#This Row],[XGF]]/Table14[[#This Row],[GP]]</f>
        <v>2.2378048780487805</v>
      </c>
      <c r="Z53" s="1">
        <v>167.3</v>
      </c>
      <c r="AA53" s="3">
        <f>Table135[[#This Row],[XGA]]/Table14[[#This Row],[GP]]</f>
        <v>2.0402439024390246</v>
      </c>
      <c r="AB53" s="1">
        <v>75</v>
      </c>
      <c r="AC53" s="2">
        <f>Table135[[#This Row],[HDGF]]/Table14[[#This Row],[GP]]</f>
        <v>0.91463414634146345</v>
      </c>
      <c r="AD53" s="1">
        <v>68</v>
      </c>
      <c r="AE53" s="2">
        <f>Table135[[#This Row],[HDGA]]/Table14[[#This Row],[GP]]</f>
        <v>0.82926829268292679</v>
      </c>
      <c r="AF53" s="1">
        <v>8.6</v>
      </c>
    </row>
    <row r="54" spans="1:32" hidden="1" x14ac:dyDescent="0.35">
      <c r="A54" t="s">
        <v>89</v>
      </c>
      <c r="B54">
        <v>21</v>
      </c>
      <c r="C54" t="s">
        <v>82</v>
      </c>
      <c r="D54" s="1">
        <v>0</v>
      </c>
      <c r="E54" s="1">
        <v>27.3</v>
      </c>
      <c r="F54" s="1">
        <v>82</v>
      </c>
      <c r="G54" s="1">
        <v>86</v>
      </c>
      <c r="H54" s="2">
        <f>Table14[[#This Row],[PTS]]/Table14[[#This Row],[GP]]</f>
        <v>1.0487804878048781</v>
      </c>
      <c r="I54" s="2">
        <v>0.52400000000000002</v>
      </c>
      <c r="J54" s="1">
        <v>259</v>
      </c>
      <c r="K54" s="3">
        <f>Table14[[#This Row],[GF]]/Table14[[#This Row],[GP]]</f>
        <v>3.1585365853658538</v>
      </c>
      <c r="L54" s="1">
        <v>270</v>
      </c>
      <c r="M54" s="1">
        <v>3.29</v>
      </c>
      <c r="N54" s="2">
        <f>(Table14[[#This Row],[GF]]^2)/((Table14[[#This Row],[GF]]^2)+(Table14[[#This Row],[GA]]^2))</f>
        <v>0.47921503632635859</v>
      </c>
      <c r="O54" s="1">
        <v>23.53</v>
      </c>
      <c r="P54" s="1">
        <v>80.069999999999993</v>
      </c>
      <c r="Q54" s="1">
        <f>Table14[[#This Row],[PP_PCT]]+Table14[[#This Row],[PK_PCT]]</f>
        <v>103.6</v>
      </c>
      <c r="R54" s="3">
        <v>9.4</v>
      </c>
      <c r="S54" s="3">
        <f>Table14[[#This Row],[GA]]/Table14[[#This Row],[GP]]</f>
        <v>3.2926829268292681</v>
      </c>
      <c r="T54" s="2">
        <v>0.91400000000000003</v>
      </c>
      <c r="U54" s="1">
        <v>99.1</v>
      </c>
      <c r="V54" s="1">
        <v>52.3</v>
      </c>
      <c r="W54" s="1">
        <v>53.8</v>
      </c>
      <c r="X54" s="1">
        <v>184.3</v>
      </c>
      <c r="Y54" s="3">
        <f>Table135[[#This Row],[XGF]]/Table14[[#This Row],[GP]]</f>
        <v>2.2475609756097561</v>
      </c>
      <c r="Z54" s="1">
        <v>161.1</v>
      </c>
      <c r="AA54" s="3">
        <f>Table135[[#This Row],[XGA]]/Table14[[#This Row],[GP]]</f>
        <v>1.9646341463414634</v>
      </c>
      <c r="AB54" s="1">
        <v>61</v>
      </c>
      <c r="AC54" s="2">
        <f>Table135[[#This Row],[HDGF]]/Table14[[#This Row],[GP]]</f>
        <v>0.74390243902439024</v>
      </c>
      <c r="AD54" s="1">
        <v>59</v>
      </c>
      <c r="AE54" s="2">
        <f>Table135[[#This Row],[HDGA]]/Table14[[#This Row],[GP]]</f>
        <v>0.71951219512195119</v>
      </c>
      <c r="AF54" s="1">
        <v>12.4</v>
      </c>
    </row>
    <row r="55" spans="1:32" hidden="1" x14ac:dyDescent="0.35">
      <c r="A55" t="s">
        <v>89</v>
      </c>
      <c r="B55">
        <v>22</v>
      </c>
      <c r="C55" t="s">
        <v>74</v>
      </c>
      <c r="D55" s="1">
        <v>0</v>
      </c>
      <c r="E55" s="1">
        <v>27.3</v>
      </c>
      <c r="F55" s="1">
        <v>82</v>
      </c>
      <c r="G55" s="1">
        <v>83</v>
      </c>
      <c r="H55" s="2">
        <f>Table14[[#This Row],[PTS]]/Table14[[#This Row],[GP]]</f>
        <v>1.0121951219512195</v>
      </c>
      <c r="I55" s="2">
        <v>0.50600000000000001</v>
      </c>
      <c r="J55" s="1">
        <v>270</v>
      </c>
      <c r="K55" s="3">
        <f>Table14[[#This Row],[GF]]/Table14[[#This Row],[GP]]</f>
        <v>3.2926829268292681</v>
      </c>
      <c r="L55" s="1">
        <v>296</v>
      </c>
      <c r="M55" s="1">
        <v>3.61</v>
      </c>
      <c r="N55" s="2">
        <f>(Table14[[#This Row],[GF]]^2)/((Table14[[#This Row],[GF]]^2)+(Table14[[#This Row],[GA]]^2))</f>
        <v>0.45416033292631264</v>
      </c>
      <c r="O55" s="1">
        <v>22.71</v>
      </c>
      <c r="P55" s="1">
        <v>71.599999999999994</v>
      </c>
      <c r="Q55" s="1">
        <f>Table14[[#This Row],[PP_PCT]]+Table14[[#This Row],[PK_PCT]]</f>
        <v>94.31</v>
      </c>
      <c r="R55" s="3">
        <v>11.1</v>
      </c>
      <c r="S55" s="3">
        <f>Table14[[#This Row],[GA]]/Table14[[#This Row],[GP]]</f>
        <v>3.6097560975609757</v>
      </c>
      <c r="T55" s="2">
        <v>0.92300000000000004</v>
      </c>
      <c r="U55" s="1">
        <v>99.6</v>
      </c>
      <c r="V55" s="1">
        <v>54.4</v>
      </c>
      <c r="W55" s="1">
        <v>54.9</v>
      </c>
      <c r="X55" s="1">
        <v>169.6</v>
      </c>
      <c r="Y55" s="3">
        <f>Table135[[#This Row],[XGF]]/Table14[[#This Row],[GP]]</f>
        <v>2.0682926829268293</v>
      </c>
      <c r="Z55" s="1">
        <v>146.30000000000001</v>
      </c>
      <c r="AA55" s="3">
        <f>Table135[[#This Row],[XGA]]/Table14[[#This Row],[GP]]</f>
        <v>1.7841463414634147</v>
      </c>
      <c r="AB55" s="1">
        <v>67</v>
      </c>
      <c r="AC55" s="2">
        <f>Table135[[#This Row],[HDGF]]/Table14[[#This Row],[GP]]</f>
        <v>0.81707317073170727</v>
      </c>
      <c r="AD55" s="1">
        <v>61</v>
      </c>
      <c r="AE55" s="2">
        <f>Table135[[#This Row],[HDGA]]/Table14[[#This Row],[GP]]</f>
        <v>0.74390243902439024</v>
      </c>
      <c r="AF55" s="1">
        <v>9</v>
      </c>
    </row>
    <row r="56" spans="1:32" hidden="1" x14ac:dyDescent="0.35">
      <c r="A56" t="s">
        <v>89</v>
      </c>
      <c r="B56">
        <v>23</v>
      </c>
      <c r="C56" t="s">
        <v>65</v>
      </c>
      <c r="D56" s="1">
        <v>0</v>
      </c>
      <c r="E56" s="1">
        <v>29.3</v>
      </c>
      <c r="F56" s="1">
        <v>82</v>
      </c>
      <c r="G56" s="1">
        <v>81</v>
      </c>
      <c r="H56" s="2">
        <f>Table14[[#This Row],[PTS]]/Table14[[#This Row],[GP]]</f>
        <v>0.98780487804878048</v>
      </c>
      <c r="I56" s="2">
        <v>0.49399999999999999</v>
      </c>
      <c r="J56" s="1">
        <v>260</v>
      </c>
      <c r="K56" s="3">
        <f>Table14[[#This Row],[GF]]/Table14[[#This Row],[GP]]</f>
        <v>3.1707317073170733</v>
      </c>
      <c r="L56" s="1">
        <v>298</v>
      </c>
      <c r="M56" s="1">
        <v>3.63</v>
      </c>
      <c r="N56" s="2">
        <f>(Table14[[#This Row],[GF]]^2)/((Table14[[#This Row],[GF]]^2)+(Table14[[#This Row],[GA]]^2))</f>
        <v>0.43221400987187031</v>
      </c>
      <c r="O56" s="1">
        <v>19.329999999999998</v>
      </c>
      <c r="P56" s="1">
        <v>72.349999999999994</v>
      </c>
      <c r="Q56" s="1">
        <f>Table14[[#This Row],[PP_PCT]]+Table14[[#This Row],[PK_PCT]]</f>
        <v>91.679999999999993</v>
      </c>
      <c r="R56" s="3">
        <v>11.1</v>
      </c>
      <c r="S56" s="3">
        <f>Table14[[#This Row],[GA]]/Table14[[#This Row],[GP]]</f>
        <v>3.6341463414634148</v>
      </c>
      <c r="T56" s="2">
        <v>0.92600000000000005</v>
      </c>
      <c r="U56" s="1">
        <v>101</v>
      </c>
      <c r="V56" s="1">
        <v>53.8</v>
      </c>
      <c r="W56" s="1">
        <v>54.2</v>
      </c>
      <c r="X56" s="1">
        <v>138.1</v>
      </c>
      <c r="Y56" s="3">
        <f>Table135[[#This Row],[XGF]]/Table14[[#This Row],[GP]]</f>
        <v>1.6841463414634146</v>
      </c>
      <c r="Z56" s="1">
        <v>132.69999999999999</v>
      </c>
      <c r="AA56" s="3">
        <f>Table135[[#This Row],[XGA]]/Table14[[#This Row],[GP]]</f>
        <v>1.6182926829268292</v>
      </c>
      <c r="AB56" s="1">
        <v>57</v>
      </c>
      <c r="AC56" s="2">
        <f>Table135[[#This Row],[HDGF]]/Table14[[#This Row],[GP]]</f>
        <v>0.69512195121951215</v>
      </c>
      <c r="AD56" s="1">
        <v>48</v>
      </c>
      <c r="AE56" s="2">
        <f>Table135[[#This Row],[HDGA]]/Table14[[#This Row],[GP]]</f>
        <v>0.58536585365853655</v>
      </c>
      <c r="AF56" s="1">
        <v>7.8</v>
      </c>
    </row>
    <row r="57" spans="1:32" hidden="1" x14ac:dyDescent="0.35">
      <c r="A57" t="s">
        <v>89</v>
      </c>
      <c r="B57">
        <v>24</v>
      </c>
      <c r="C57" t="s">
        <v>69</v>
      </c>
      <c r="D57" s="1">
        <v>0</v>
      </c>
      <c r="E57" s="1">
        <v>30.9</v>
      </c>
      <c r="F57" s="1">
        <v>82</v>
      </c>
      <c r="G57" s="1">
        <v>80</v>
      </c>
      <c r="H57" s="2">
        <f>Table14[[#This Row],[PTS]]/Table14[[#This Row],[GP]]</f>
        <v>0.97560975609756095</v>
      </c>
      <c r="I57" s="2">
        <v>0.48799999999999999</v>
      </c>
      <c r="J57" s="1">
        <v>253</v>
      </c>
      <c r="K57" s="3">
        <f>Table14[[#This Row],[GF]]/Table14[[#This Row],[GP]]</f>
        <v>3.0853658536585367</v>
      </c>
      <c r="L57" s="1">
        <v>261</v>
      </c>
      <c r="M57" s="1">
        <v>3.18</v>
      </c>
      <c r="N57" s="2">
        <f>(Table14[[#This Row],[GF]]^2)/((Table14[[#This Row],[GF]]^2)+(Table14[[#This Row],[GA]]^2))</f>
        <v>0.48443956709301444</v>
      </c>
      <c r="O57" s="1">
        <v>21.22</v>
      </c>
      <c r="P57" s="1">
        <v>81.86</v>
      </c>
      <c r="Q57" s="1">
        <f>Table14[[#This Row],[PP_PCT]]+Table14[[#This Row],[PK_PCT]]</f>
        <v>103.08</v>
      </c>
      <c r="R57" s="3">
        <v>9.9</v>
      </c>
      <c r="S57" s="3">
        <f>Table14[[#This Row],[GA]]/Table14[[#This Row],[GP]]</f>
        <v>3.1829268292682928</v>
      </c>
      <c r="T57" s="2">
        <v>0.92600000000000005</v>
      </c>
      <c r="U57" s="1">
        <v>101.9</v>
      </c>
      <c r="V57" s="1">
        <v>51.3</v>
      </c>
      <c r="W57" s="1">
        <v>51.3</v>
      </c>
      <c r="X57" s="1">
        <v>182.8</v>
      </c>
      <c r="Y57" s="3">
        <f>Table135[[#This Row],[XGF]]/Table14[[#This Row],[GP]]</f>
        <v>2.229268292682927</v>
      </c>
      <c r="Z57" s="1">
        <v>156.19999999999999</v>
      </c>
      <c r="AA57" s="3">
        <f>Table135[[#This Row],[XGA]]/Table14[[#This Row],[GP]]</f>
        <v>1.9048780487804877</v>
      </c>
      <c r="AB57" s="1">
        <v>83</v>
      </c>
      <c r="AC57" s="2">
        <f>Table135[[#This Row],[HDGF]]/Table14[[#This Row],[GP]]</f>
        <v>1.0121951219512195</v>
      </c>
      <c r="AD57" s="1">
        <v>60</v>
      </c>
      <c r="AE57" s="2">
        <f>Table135[[#This Row],[HDGA]]/Table14[[#This Row],[GP]]</f>
        <v>0.73170731707317072</v>
      </c>
      <c r="AF57" s="1">
        <v>8.6999999999999993</v>
      </c>
    </row>
    <row r="58" spans="1:32" hidden="1" x14ac:dyDescent="0.35">
      <c r="A58" t="s">
        <v>89</v>
      </c>
      <c r="B58">
        <v>25</v>
      </c>
      <c r="C58" t="s">
        <v>81</v>
      </c>
      <c r="D58" s="1">
        <v>0</v>
      </c>
      <c r="E58" s="1">
        <v>27.3</v>
      </c>
      <c r="F58" s="1">
        <v>82</v>
      </c>
      <c r="G58" s="1">
        <v>80</v>
      </c>
      <c r="H58" s="2">
        <f>Table14[[#This Row],[PTS]]/Table14[[#This Row],[GP]]</f>
        <v>0.97560975609756095</v>
      </c>
      <c r="I58" s="2">
        <v>0.48799999999999999</v>
      </c>
      <c r="J58" s="1">
        <v>237</v>
      </c>
      <c r="K58" s="3">
        <f>Table14[[#This Row],[GF]]/Table14[[#This Row],[GP]]</f>
        <v>2.8902439024390243</v>
      </c>
      <c r="L58" s="1">
        <v>275</v>
      </c>
      <c r="M58" s="1">
        <v>3.35</v>
      </c>
      <c r="N58" s="2">
        <f>(Table14[[#This Row],[GF]]^2)/((Table14[[#This Row],[GF]]^2)+(Table14[[#This Row],[GA]]^2))</f>
        <v>0.4261878385965977</v>
      </c>
      <c r="O58" s="1">
        <v>21.11</v>
      </c>
      <c r="P58" s="1">
        <v>78.31</v>
      </c>
      <c r="Q58" s="1">
        <f>Table14[[#This Row],[PP_PCT]]+Table14[[#This Row],[PK_PCT]]</f>
        <v>99.42</v>
      </c>
      <c r="R58" s="3">
        <v>10.3</v>
      </c>
      <c r="S58" s="3">
        <f>Table14[[#This Row],[GA]]/Table14[[#This Row],[GP]]</f>
        <v>3.3536585365853657</v>
      </c>
      <c r="T58" s="2">
        <v>0.93200000000000005</v>
      </c>
      <c r="U58" s="1">
        <v>100.5</v>
      </c>
      <c r="V58" s="1">
        <v>49.6</v>
      </c>
      <c r="W58" s="1">
        <v>50.2</v>
      </c>
      <c r="X58" s="1">
        <v>167.2</v>
      </c>
      <c r="Y58" s="3">
        <f>Table135[[#This Row],[XGF]]/Table14[[#This Row],[GP]]</f>
        <v>2.0390243902439025</v>
      </c>
      <c r="Z58" s="1">
        <v>170.2</v>
      </c>
      <c r="AA58" s="3">
        <f>Table135[[#This Row],[XGA]]/Table14[[#This Row],[GP]]</f>
        <v>2.075609756097561</v>
      </c>
      <c r="AB58" s="1">
        <v>69</v>
      </c>
      <c r="AC58" s="2">
        <f>Table135[[#This Row],[HDGF]]/Table14[[#This Row],[GP]]</f>
        <v>0.84146341463414631</v>
      </c>
      <c r="AD58" s="1">
        <v>64</v>
      </c>
      <c r="AE58" s="2">
        <f>Table135[[#This Row],[HDGA]]/Table14[[#This Row],[GP]]</f>
        <v>0.78048780487804881</v>
      </c>
      <c r="AF58" s="1">
        <v>8.1</v>
      </c>
    </row>
    <row r="59" spans="1:32" hidden="1" x14ac:dyDescent="0.35">
      <c r="A59" t="s">
        <v>89</v>
      </c>
      <c r="B59">
        <v>26</v>
      </c>
      <c r="C59" t="s">
        <v>85</v>
      </c>
      <c r="D59" s="1">
        <v>0</v>
      </c>
      <c r="E59" s="1">
        <v>26.8</v>
      </c>
      <c r="F59" s="1">
        <v>82</v>
      </c>
      <c r="G59" s="1">
        <v>75</v>
      </c>
      <c r="H59" s="2">
        <f>Table14[[#This Row],[PTS]]/Table14[[#This Row],[GP]]</f>
        <v>0.91463414634146345</v>
      </c>
      <c r="I59" s="2">
        <v>0.45700000000000002</v>
      </c>
      <c r="J59" s="1">
        <v>220</v>
      </c>
      <c r="K59" s="3">
        <f>Table14[[#This Row],[GF]]/Table14[[#This Row],[GP]]</f>
        <v>2.6829268292682928</v>
      </c>
      <c r="L59" s="1">
        <v>276</v>
      </c>
      <c r="M59" s="1">
        <v>3.37</v>
      </c>
      <c r="N59" s="2">
        <f>(Table14[[#This Row],[GF]]^2)/((Table14[[#This Row],[GF]]^2)+(Table14[[#This Row],[GA]]^2))</f>
        <v>0.38851785255586951</v>
      </c>
      <c r="O59" s="1">
        <v>15.56</v>
      </c>
      <c r="P59" s="1">
        <v>74.680000000000007</v>
      </c>
      <c r="Q59" s="1">
        <f>Table14[[#This Row],[PP_PCT]]+Table14[[#This Row],[PK_PCT]]</f>
        <v>90.240000000000009</v>
      </c>
      <c r="R59" s="3">
        <v>9.1</v>
      </c>
      <c r="S59" s="3">
        <f>Table14[[#This Row],[GA]]/Table14[[#This Row],[GP]]</f>
        <v>3.3658536585365852</v>
      </c>
      <c r="T59" s="2">
        <v>0.91700000000000004</v>
      </c>
      <c r="U59" s="1">
        <v>99.9</v>
      </c>
      <c r="V59" s="1">
        <v>50.3</v>
      </c>
      <c r="W59" s="1">
        <v>50</v>
      </c>
      <c r="X59" s="1">
        <v>151.19999999999999</v>
      </c>
      <c r="Y59" s="3">
        <f>Table135[[#This Row],[XGF]]/Table14[[#This Row],[GP]]</f>
        <v>1.8439024390243901</v>
      </c>
      <c r="Z59" s="1">
        <v>149.30000000000001</v>
      </c>
      <c r="AA59" s="3">
        <f>Table135[[#This Row],[XGA]]/Table14[[#This Row],[GP]]</f>
        <v>1.8207317073170732</v>
      </c>
      <c r="AB59" s="1">
        <v>64</v>
      </c>
      <c r="AC59" s="2">
        <f>Table135[[#This Row],[HDGF]]/Table14[[#This Row],[GP]]</f>
        <v>0.78048780487804881</v>
      </c>
      <c r="AD59" s="1">
        <v>52</v>
      </c>
      <c r="AE59" s="2">
        <f>Table135[[#This Row],[HDGA]]/Table14[[#This Row],[GP]]</f>
        <v>0.63414634146341464</v>
      </c>
      <c r="AF59" s="1">
        <v>10.4</v>
      </c>
    </row>
    <row r="60" spans="1:32" hidden="1" x14ac:dyDescent="0.35">
      <c r="A60" t="s">
        <v>89</v>
      </c>
      <c r="B60">
        <v>27</v>
      </c>
      <c r="C60" t="s">
        <v>87</v>
      </c>
      <c r="D60" s="1">
        <v>0</v>
      </c>
      <c r="E60" s="1">
        <v>26.4</v>
      </c>
      <c r="F60" s="1">
        <v>82</v>
      </c>
      <c r="G60" s="1">
        <v>70</v>
      </c>
      <c r="H60" s="2">
        <f>Table14[[#This Row],[PTS]]/Table14[[#This Row],[GP]]</f>
        <v>0.85365853658536583</v>
      </c>
      <c r="I60" s="2">
        <v>0.42699999999999999</v>
      </c>
      <c r="J60" s="1">
        <v>225</v>
      </c>
      <c r="K60" s="3">
        <f>Table14[[#This Row],[GF]]/Table14[[#This Row],[GP]]</f>
        <v>2.7439024390243905</v>
      </c>
      <c r="L60" s="1">
        <v>295</v>
      </c>
      <c r="M60" s="1">
        <v>3.6</v>
      </c>
      <c r="N60" s="2">
        <f>(Table14[[#This Row],[GF]]^2)/((Table14[[#This Row],[GF]]^2)+(Table14[[#This Row],[GA]]^2))</f>
        <v>0.36778060297856885</v>
      </c>
      <c r="O60" s="1">
        <v>18.91</v>
      </c>
      <c r="P60" s="1">
        <v>74.61</v>
      </c>
      <c r="Q60" s="1">
        <f>Table14[[#This Row],[PP_PCT]]+Table14[[#This Row],[PK_PCT]]</f>
        <v>93.52</v>
      </c>
      <c r="R60" s="3">
        <v>10.6</v>
      </c>
      <c r="S60" s="3">
        <f>Table14[[#This Row],[GA]]/Table14[[#This Row],[GP]]</f>
        <v>3.5975609756097562</v>
      </c>
      <c r="T60" s="2">
        <v>0.93200000000000005</v>
      </c>
      <c r="U60" s="1">
        <v>100.6</v>
      </c>
      <c r="V60" s="1">
        <v>48</v>
      </c>
      <c r="W60" s="1">
        <v>47.7</v>
      </c>
      <c r="X60" s="1">
        <v>135.6</v>
      </c>
      <c r="Y60" s="3">
        <f>Table135[[#This Row],[XGF]]/Table14[[#This Row],[GP]]</f>
        <v>1.6536585365853658</v>
      </c>
      <c r="Z60" s="1">
        <v>146.80000000000001</v>
      </c>
      <c r="AA60" s="3">
        <f>Table135[[#This Row],[XGA]]/Table14[[#This Row],[GP]]</f>
        <v>1.7902439024390244</v>
      </c>
      <c r="AB60" s="1">
        <v>37</v>
      </c>
      <c r="AC60" s="2">
        <f>Table135[[#This Row],[HDGF]]/Table14[[#This Row],[GP]]</f>
        <v>0.45121951219512196</v>
      </c>
      <c r="AD60" s="1">
        <v>50</v>
      </c>
      <c r="AE60" s="2">
        <f>Table135[[#This Row],[HDGA]]/Table14[[#This Row],[GP]]</f>
        <v>0.6097560975609756</v>
      </c>
      <c r="AF60" s="1">
        <v>11.9</v>
      </c>
    </row>
    <row r="61" spans="1:32" hidden="1" x14ac:dyDescent="0.35">
      <c r="A61" t="s">
        <v>89</v>
      </c>
      <c r="B61">
        <v>28</v>
      </c>
      <c r="C61" t="s">
        <v>88</v>
      </c>
      <c r="D61" s="1">
        <v>0</v>
      </c>
      <c r="E61" s="1">
        <v>27.3</v>
      </c>
      <c r="F61" s="1">
        <v>82</v>
      </c>
      <c r="G61" s="1">
        <v>68</v>
      </c>
      <c r="H61" s="2">
        <f>Table14[[#This Row],[PTS]]/Table14[[#This Row],[GP]]</f>
        <v>0.82926829268292679</v>
      </c>
      <c r="I61" s="2">
        <v>0.41499999999999998</v>
      </c>
      <c r="J61" s="1">
        <v>227</v>
      </c>
      <c r="K61" s="3">
        <f>Table14[[#This Row],[GF]]/Table14[[#This Row],[GP]]</f>
        <v>2.7682926829268291</v>
      </c>
      <c r="L61" s="1">
        <v>305</v>
      </c>
      <c r="M61" s="1">
        <v>3.72</v>
      </c>
      <c r="N61" s="2">
        <f>(Table14[[#This Row],[GF]]^2)/((Table14[[#This Row],[GF]]^2)+(Table14[[#This Row],[GA]]^2))</f>
        <v>0.35646886284710211</v>
      </c>
      <c r="O61" s="1">
        <v>16.100000000000001</v>
      </c>
      <c r="P61" s="1">
        <v>72.73</v>
      </c>
      <c r="Q61" s="1">
        <f>Table14[[#This Row],[PP_PCT]]+Table14[[#This Row],[PK_PCT]]</f>
        <v>88.830000000000013</v>
      </c>
      <c r="R61" s="3">
        <v>10.1</v>
      </c>
      <c r="S61" s="3">
        <f>Table14[[#This Row],[GA]]/Table14[[#This Row],[GP]]</f>
        <v>3.7195121951219514</v>
      </c>
      <c r="T61" s="2">
        <v>0.91500000000000004</v>
      </c>
      <c r="U61" s="1">
        <v>99.1</v>
      </c>
      <c r="V61" s="1">
        <v>47</v>
      </c>
      <c r="W61" s="1">
        <v>46.6</v>
      </c>
      <c r="X61" s="1">
        <v>164.9</v>
      </c>
      <c r="Y61" s="3">
        <f>Table135[[#This Row],[XGF]]/Table14[[#This Row],[GP]]</f>
        <v>2.0109756097560978</v>
      </c>
      <c r="Z61" s="1">
        <v>199.6</v>
      </c>
      <c r="AA61" s="3">
        <f>Table135[[#This Row],[XGA]]/Table14[[#This Row],[GP]]</f>
        <v>2.4341463414634146</v>
      </c>
      <c r="AB61" s="1">
        <v>69</v>
      </c>
      <c r="AC61" s="2">
        <f>Table135[[#This Row],[HDGF]]/Table14[[#This Row],[GP]]</f>
        <v>0.84146341463414631</v>
      </c>
      <c r="AD61" s="1">
        <v>95</v>
      </c>
      <c r="AE61" s="2">
        <f>Table135[[#This Row],[HDGA]]/Table14[[#This Row],[GP]]</f>
        <v>1.1585365853658536</v>
      </c>
      <c r="AF61" s="1">
        <v>11.6</v>
      </c>
    </row>
    <row r="62" spans="1:32" hidden="1" x14ac:dyDescent="0.35">
      <c r="A62" t="s">
        <v>89</v>
      </c>
      <c r="B62">
        <v>29</v>
      </c>
      <c r="C62" t="s">
        <v>78</v>
      </c>
      <c r="D62" s="1">
        <v>0</v>
      </c>
      <c r="E62" s="1">
        <v>29.4</v>
      </c>
      <c r="F62" s="1">
        <v>82</v>
      </c>
      <c r="G62" s="1">
        <v>60</v>
      </c>
      <c r="H62" s="2">
        <f>Table14[[#This Row],[PTS]]/Table14[[#This Row],[GP]]</f>
        <v>0.73170731707317072</v>
      </c>
      <c r="I62" s="2">
        <v>0.36599999999999999</v>
      </c>
      <c r="J62" s="1">
        <v>233</v>
      </c>
      <c r="K62" s="3">
        <f>Table14[[#This Row],[GF]]/Table14[[#This Row],[GP]]</f>
        <v>2.8414634146341462</v>
      </c>
      <c r="L62" s="1">
        <v>315</v>
      </c>
      <c r="M62" s="1">
        <v>3.84</v>
      </c>
      <c r="N62" s="2">
        <f>(Table14[[#This Row],[GF]]^2)/((Table14[[#This Row],[GF]]^2)+(Table14[[#This Row],[GA]]^2))</f>
        <v>0.3536420131062965</v>
      </c>
      <c r="O62" s="1">
        <v>18.39</v>
      </c>
      <c r="P62" s="1">
        <v>82.38</v>
      </c>
      <c r="Q62" s="1">
        <f>Table14[[#This Row],[PP_PCT]]+Table14[[#This Row],[PK_PCT]]</f>
        <v>100.77</v>
      </c>
      <c r="R62" s="3">
        <v>9.6</v>
      </c>
      <c r="S62" s="3">
        <f>Table14[[#This Row],[GA]]/Table14[[#This Row],[GP]]</f>
        <v>3.8414634146341462</v>
      </c>
      <c r="T62" s="2">
        <v>0.91100000000000003</v>
      </c>
      <c r="U62" s="1">
        <v>99.7</v>
      </c>
      <c r="V62" s="1">
        <v>45.4</v>
      </c>
      <c r="W62" s="1">
        <v>45.4</v>
      </c>
      <c r="X62" s="1">
        <v>153.5</v>
      </c>
      <c r="Y62" s="3">
        <f>Table135[[#This Row],[XGF]]/Table14[[#This Row],[GP]]</f>
        <v>1.8719512195121952</v>
      </c>
      <c r="Z62" s="1">
        <v>199.4</v>
      </c>
      <c r="AA62" s="3">
        <f>Table135[[#This Row],[XGA]]/Table14[[#This Row],[GP]]</f>
        <v>2.4317073170731707</v>
      </c>
      <c r="AB62" s="1">
        <v>66</v>
      </c>
      <c r="AC62" s="2">
        <f>Table135[[#This Row],[HDGF]]/Table14[[#This Row],[GP]]</f>
        <v>0.80487804878048785</v>
      </c>
      <c r="AD62" s="1">
        <v>90</v>
      </c>
      <c r="AE62" s="2">
        <f>Table135[[#This Row],[HDGA]]/Table14[[#This Row],[GP]]</f>
        <v>1.0975609756097562</v>
      </c>
      <c r="AF62" s="1">
        <v>8</v>
      </c>
    </row>
    <row r="63" spans="1:32" hidden="1" x14ac:dyDescent="0.35">
      <c r="A63" t="s">
        <v>89</v>
      </c>
      <c r="B63">
        <v>30</v>
      </c>
      <c r="C63" t="s">
        <v>83</v>
      </c>
      <c r="D63" s="1">
        <v>0</v>
      </c>
      <c r="E63" s="1">
        <v>28.7</v>
      </c>
      <c r="F63" s="1">
        <v>82</v>
      </c>
      <c r="G63" s="1">
        <v>59</v>
      </c>
      <c r="H63" s="2">
        <f>Table14[[#This Row],[PTS]]/Table14[[#This Row],[GP]]</f>
        <v>0.71951219512195119</v>
      </c>
      <c r="I63" s="2">
        <v>0.36</v>
      </c>
      <c r="J63" s="1">
        <v>202</v>
      </c>
      <c r="K63" s="3">
        <f>Table14[[#This Row],[GF]]/Table14[[#This Row],[GP]]</f>
        <v>2.4634146341463414</v>
      </c>
      <c r="L63" s="1">
        <v>299</v>
      </c>
      <c r="M63" s="1">
        <v>3.65</v>
      </c>
      <c r="N63" s="2">
        <f>(Table14[[#This Row],[GF]]^2)/((Table14[[#This Row],[GF]]^2)+(Table14[[#This Row],[GA]]^2))</f>
        <v>0.31338274259821053</v>
      </c>
      <c r="O63" s="1">
        <v>16.38</v>
      </c>
      <c r="P63" s="1">
        <v>76.19</v>
      </c>
      <c r="Q63" s="1">
        <f>Table14[[#This Row],[PP_PCT]]+Table14[[#This Row],[PK_PCT]]</f>
        <v>92.57</v>
      </c>
      <c r="R63" s="3">
        <v>9.1</v>
      </c>
      <c r="S63" s="3">
        <f>Table14[[#This Row],[GA]]/Table14[[#This Row],[GP]]</f>
        <v>3.6463414634146343</v>
      </c>
      <c r="T63" s="2">
        <v>0.92500000000000004</v>
      </c>
      <c r="U63" s="1">
        <v>100.9</v>
      </c>
      <c r="V63" s="1">
        <v>46.3</v>
      </c>
      <c r="W63" s="1">
        <v>46.2</v>
      </c>
      <c r="X63" s="1">
        <v>157.6</v>
      </c>
      <c r="Y63" s="3">
        <f>Table135[[#This Row],[XGF]]/Table14[[#This Row],[GP]]</f>
        <v>1.9219512195121951</v>
      </c>
      <c r="Z63" s="1">
        <v>174.5</v>
      </c>
      <c r="AA63" s="3">
        <f>Table135[[#This Row],[XGA]]/Table14[[#This Row],[GP]]</f>
        <v>2.1280487804878048</v>
      </c>
      <c r="AB63" s="1">
        <v>73</v>
      </c>
      <c r="AC63" s="2">
        <f>Table135[[#This Row],[HDGF]]/Table14[[#This Row],[GP]]</f>
        <v>0.8902439024390244</v>
      </c>
      <c r="AD63" s="1">
        <v>59</v>
      </c>
      <c r="AE63" s="2">
        <f>Table135[[#This Row],[HDGA]]/Table14[[#This Row],[GP]]</f>
        <v>0.71951219512195119</v>
      </c>
      <c r="AF63" s="1">
        <v>8.6</v>
      </c>
    </row>
    <row r="64" spans="1:32" hidden="1" x14ac:dyDescent="0.35">
      <c r="A64" t="s">
        <v>89</v>
      </c>
      <c r="B64">
        <v>31</v>
      </c>
      <c r="C64" t="s">
        <v>77</v>
      </c>
      <c r="D64" s="1">
        <v>0</v>
      </c>
      <c r="E64" s="1">
        <v>26.7</v>
      </c>
      <c r="F64" s="1">
        <v>82</v>
      </c>
      <c r="G64" s="1">
        <v>59</v>
      </c>
      <c r="H64" s="2">
        <f>Table14[[#This Row],[PTS]]/Table14[[#This Row],[GP]]</f>
        <v>0.71951219512195119</v>
      </c>
      <c r="I64" s="2">
        <v>0.36</v>
      </c>
      <c r="J64" s="1">
        <v>213</v>
      </c>
      <c r="K64" s="3">
        <f>Table14[[#This Row],[GF]]/Table14[[#This Row],[GP]]</f>
        <v>2.5975609756097562</v>
      </c>
      <c r="L64" s="1">
        <v>329</v>
      </c>
      <c r="M64" s="1">
        <v>4.01</v>
      </c>
      <c r="N64" s="2">
        <f>(Table14[[#This Row],[GF]]^2)/((Table14[[#This Row],[GF]]^2)+(Table14[[#This Row],[GA]]^2))</f>
        <v>0.29535186511294836</v>
      </c>
      <c r="O64" s="1">
        <v>18.3</v>
      </c>
      <c r="P64" s="1">
        <v>75.11</v>
      </c>
      <c r="Q64" s="1">
        <f>Table14[[#This Row],[PP_PCT]]+Table14[[#This Row],[PK_PCT]]</f>
        <v>93.41</v>
      </c>
      <c r="R64" s="3">
        <v>8.9</v>
      </c>
      <c r="S64" s="3">
        <f>Table14[[#This Row],[GA]]/Table14[[#This Row],[GP]]</f>
        <v>4.0121951219512191</v>
      </c>
      <c r="T64" s="2">
        <v>0.90500000000000003</v>
      </c>
      <c r="U64" s="1">
        <v>99.2</v>
      </c>
      <c r="V64" s="1">
        <v>48.5</v>
      </c>
      <c r="W64" s="1">
        <v>47.7</v>
      </c>
      <c r="X64" s="1">
        <v>144.4</v>
      </c>
      <c r="Y64" s="3">
        <f>Table135[[#This Row],[XGF]]/Table14[[#This Row],[GP]]</f>
        <v>1.7609756097560976</v>
      </c>
      <c r="Z64" s="1">
        <v>156.5</v>
      </c>
      <c r="AA64" s="3">
        <f>Table135[[#This Row],[XGA]]/Table14[[#This Row],[GP]]</f>
        <v>1.9085365853658536</v>
      </c>
      <c r="AB64" s="1">
        <v>40</v>
      </c>
      <c r="AC64" s="2">
        <f>Table135[[#This Row],[HDGF]]/Table14[[#This Row],[GP]]</f>
        <v>0.48780487804878048</v>
      </c>
      <c r="AD64" s="1">
        <v>53</v>
      </c>
      <c r="AE64" s="2">
        <f>Table135[[#This Row],[HDGA]]/Table14[[#This Row],[GP]]</f>
        <v>0.64634146341463417</v>
      </c>
      <c r="AF64" s="1">
        <v>8</v>
      </c>
    </row>
    <row r="65" spans="1:32" hidden="1" x14ac:dyDescent="0.35">
      <c r="A65" t="s">
        <v>89</v>
      </c>
      <c r="B65">
        <v>32</v>
      </c>
      <c r="C65" t="s">
        <v>79</v>
      </c>
      <c r="D65" s="1">
        <v>0</v>
      </c>
      <c r="E65" s="1">
        <v>28.2</v>
      </c>
      <c r="F65" s="1">
        <v>82</v>
      </c>
      <c r="G65" s="1">
        <v>58</v>
      </c>
      <c r="H65" s="2">
        <f>Table14[[#This Row],[PTS]]/Table14[[#This Row],[GP]]</f>
        <v>0.70731707317073167</v>
      </c>
      <c r="I65" s="2">
        <v>0.35399999999999998</v>
      </c>
      <c r="J65" s="1">
        <v>206</v>
      </c>
      <c r="K65" s="3">
        <f>Table14[[#This Row],[GF]]/Table14[[#This Row],[GP]]</f>
        <v>2.5121951219512195</v>
      </c>
      <c r="L65" s="1">
        <v>335</v>
      </c>
      <c r="M65" s="1">
        <v>4.09</v>
      </c>
      <c r="N65" s="2">
        <f>(Table14[[#This Row],[GF]]^2)/((Table14[[#This Row],[GF]]^2)+(Table14[[#This Row],[GA]]^2))</f>
        <v>0.27438074239788957</v>
      </c>
      <c r="O65" s="1">
        <v>15.72</v>
      </c>
      <c r="P65" s="1">
        <v>72.14</v>
      </c>
      <c r="Q65" s="1">
        <f>Table14[[#This Row],[PP_PCT]]+Table14[[#This Row],[PK_PCT]]</f>
        <v>87.86</v>
      </c>
      <c r="R65" s="3">
        <v>8.9</v>
      </c>
      <c r="S65" s="3">
        <f>Table14[[#This Row],[GA]]/Table14[[#This Row],[GP]]</f>
        <v>4.0853658536585362</v>
      </c>
      <c r="T65" s="2">
        <v>0.92500000000000004</v>
      </c>
      <c r="U65" s="1">
        <v>100.7</v>
      </c>
      <c r="V65" s="1">
        <v>49.5</v>
      </c>
      <c r="W65" s="1">
        <v>49.8</v>
      </c>
      <c r="X65" s="1">
        <v>161.4</v>
      </c>
      <c r="Y65" s="3">
        <f>Table135[[#This Row],[XGF]]/Table14[[#This Row],[GP]]</f>
        <v>1.9682926829268292</v>
      </c>
      <c r="Z65" s="1">
        <v>169.1</v>
      </c>
      <c r="AA65" s="3">
        <f>Table135[[#This Row],[XGA]]/Table14[[#This Row],[GP]]</f>
        <v>2.0621951219512193</v>
      </c>
      <c r="AB65" s="1">
        <v>76</v>
      </c>
      <c r="AC65" s="2">
        <f>Table135[[#This Row],[HDGF]]/Table14[[#This Row],[GP]]</f>
        <v>0.92682926829268297</v>
      </c>
      <c r="AD65" s="1">
        <v>69</v>
      </c>
      <c r="AE65" s="2">
        <f>Table135[[#This Row],[HDGA]]/Table14[[#This Row],[GP]]</f>
        <v>0.84146341463414631</v>
      </c>
      <c r="AF65" s="1">
        <v>11.3</v>
      </c>
    </row>
    <row r="66" spans="1:32" hidden="1" x14ac:dyDescent="0.35">
      <c r="A66" t="s">
        <v>90</v>
      </c>
      <c r="B66">
        <v>1</v>
      </c>
      <c r="C66" t="s">
        <v>64</v>
      </c>
      <c r="D66" s="1">
        <v>1</v>
      </c>
      <c r="E66" s="1">
        <v>29.1</v>
      </c>
      <c r="F66" s="1">
        <v>82</v>
      </c>
      <c r="G66" s="1">
        <v>114</v>
      </c>
      <c r="H66" s="2">
        <f>Table14[[#This Row],[PTS]]/Table14[[#This Row],[GP]]</f>
        <v>1.3902439024390243</v>
      </c>
      <c r="I66" s="2">
        <v>0.69499999999999995</v>
      </c>
      <c r="J66" s="1">
        <v>278</v>
      </c>
      <c r="K66" s="3">
        <f>Table14[[#This Row],[GF]]/Table14[[#This Row],[GP]]</f>
        <v>3.3902439024390243</v>
      </c>
      <c r="L66" s="1">
        <v>226</v>
      </c>
      <c r="M66" s="1">
        <v>2.76</v>
      </c>
      <c r="N66" s="2">
        <f>(Table14[[#This Row],[GF]]^2)/((Table14[[#This Row],[GF]]^2)+(Table14[[#This Row],[GA]]^2))</f>
        <v>0.60208787784356499</v>
      </c>
      <c r="O66" s="1">
        <v>26.42</v>
      </c>
      <c r="P66" s="1">
        <v>84.48</v>
      </c>
      <c r="Q66" s="1">
        <f>Table14[[#This Row],[PP_PCT]]+Table14[[#This Row],[PK_PCT]]</f>
        <v>110.9</v>
      </c>
      <c r="R66" s="3">
        <v>10.8</v>
      </c>
      <c r="S66" s="3">
        <f>Table14[[#This Row],[GA]]/Table14[[#This Row],[GP]]</f>
        <v>2.7560975609756095</v>
      </c>
      <c r="T66" s="2">
        <v>0.93</v>
      </c>
      <c r="U66" s="1">
        <v>100.6</v>
      </c>
      <c r="V66" s="1">
        <v>47.1</v>
      </c>
      <c r="W66" s="1">
        <v>46.7</v>
      </c>
      <c r="X66" s="1">
        <v>169.6</v>
      </c>
      <c r="Y66" s="3">
        <f>Table135[[#This Row],[XGF]]/Table14[[#This Row],[GP]]</f>
        <v>2.0682926829268293</v>
      </c>
      <c r="Z66" s="1">
        <v>189.3</v>
      </c>
      <c r="AA66" s="3">
        <f>Table135[[#This Row],[XGA]]/Table14[[#This Row],[GP]]</f>
        <v>2.3085365853658537</v>
      </c>
      <c r="AB66" s="1">
        <v>67</v>
      </c>
      <c r="AC66" s="2">
        <f>Table135[[#This Row],[HDGF]]/Table14[[#This Row],[GP]]</f>
        <v>0.81707317073170727</v>
      </c>
      <c r="AD66" s="1">
        <v>65</v>
      </c>
      <c r="AE66" s="2">
        <f>Table135[[#This Row],[HDGA]]/Table14[[#This Row],[GP]]</f>
        <v>0.79268292682926833</v>
      </c>
      <c r="AF66" s="1">
        <v>9.4</v>
      </c>
    </row>
    <row r="67" spans="1:32" hidden="1" x14ac:dyDescent="0.35">
      <c r="A67" t="s">
        <v>90</v>
      </c>
      <c r="B67">
        <v>2</v>
      </c>
      <c r="C67" t="s">
        <v>71</v>
      </c>
      <c r="D67" s="1">
        <v>1</v>
      </c>
      <c r="E67" s="1">
        <v>29.3</v>
      </c>
      <c r="F67" s="1">
        <v>82</v>
      </c>
      <c r="G67" s="1">
        <v>113</v>
      </c>
      <c r="H67" s="2">
        <f>Table14[[#This Row],[PTS]]/Table14[[#This Row],[GP]]</f>
        <v>1.3780487804878048</v>
      </c>
      <c r="I67" s="2">
        <v>0.68899999999999995</v>
      </c>
      <c r="J67" s="1">
        <v>294</v>
      </c>
      <c r="K67" s="3">
        <f>Table14[[#This Row],[GF]]/Table14[[#This Row],[GP]]</f>
        <v>3.5853658536585367</v>
      </c>
      <c r="L67" s="1">
        <v>232</v>
      </c>
      <c r="M67" s="1">
        <v>2.83</v>
      </c>
      <c r="N67" s="2">
        <f>(Table14[[#This Row],[GF]]^2)/((Table14[[#This Row],[GF]]^2)+(Table14[[#This Row],[GA]]^2))</f>
        <v>0.61625552545273066</v>
      </c>
      <c r="O67" s="1">
        <v>24.17</v>
      </c>
      <c r="P67" s="1">
        <v>82.01</v>
      </c>
      <c r="Q67" s="1">
        <f>Table14[[#This Row],[PP_PCT]]+Table14[[#This Row],[PK_PCT]]</f>
        <v>106.18</v>
      </c>
      <c r="R67" s="3">
        <v>11.4</v>
      </c>
      <c r="S67" s="3">
        <f>Table14[[#This Row],[GA]]/Table14[[#This Row],[GP]]</f>
        <v>2.8292682926829267</v>
      </c>
      <c r="T67" s="2">
        <v>0.92700000000000005</v>
      </c>
      <c r="U67" s="1">
        <v>100.4</v>
      </c>
      <c r="V67" s="1">
        <v>51.8</v>
      </c>
      <c r="W67" s="1">
        <v>51.8</v>
      </c>
      <c r="X67" s="1">
        <v>182.3</v>
      </c>
      <c r="Y67" s="3">
        <f>Table135[[#This Row],[XGF]]/Table14[[#This Row],[GP]]</f>
        <v>2.223170731707317</v>
      </c>
      <c r="Z67" s="1">
        <v>168.7</v>
      </c>
      <c r="AA67" s="3">
        <f>Table135[[#This Row],[XGA]]/Table14[[#This Row],[GP]]</f>
        <v>2.0573170731707315</v>
      </c>
      <c r="AB67" s="1">
        <v>72</v>
      </c>
      <c r="AC67" s="2">
        <f>Table135[[#This Row],[HDGF]]/Table14[[#This Row],[GP]]</f>
        <v>0.87804878048780488</v>
      </c>
      <c r="AD67" s="1">
        <v>55</v>
      </c>
      <c r="AE67" s="2">
        <f>Table135[[#This Row],[HDGA]]/Table14[[#This Row],[GP]]</f>
        <v>0.67073170731707321</v>
      </c>
      <c r="AF67" s="1">
        <v>6.8</v>
      </c>
    </row>
    <row r="68" spans="1:32" hidden="1" x14ac:dyDescent="0.35">
      <c r="A68" t="s">
        <v>90</v>
      </c>
      <c r="B68">
        <v>3</v>
      </c>
      <c r="C68" t="s">
        <v>59</v>
      </c>
      <c r="D68" s="1">
        <v>1</v>
      </c>
      <c r="E68" s="1">
        <v>29.4</v>
      </c>
      <c r="F68" s="1">
        <v>82</v>
      </c>
      <c r="G68" s="1">
        <v>111</v>
      </c>
      <c r="H68" s="2">
        <f>Table14[[#This Row],[PTS]]/Table14[[#This Row],[GP]]</f>
        <v>1.3536585365853659</v>
      </c>
      <c r="I68" s="2">
        <v>0.67700000000000005</v>
      </c>
      <c r="J68" s="1">
        <v>277</v>
      </c>
      <c r="K68" s="3">
        <f>Table14[[#This Row],[GF]]/Table14[[#This Row],[GP]]</f>
        <v>3.3780487804878048</v>
      </c>
      <c r="L68" s="1">
        <v>211</v>
      </c>
      <c r="M68" s="1">
        <v>2.57</v>
      </c>
      <c r="N68" s="2">
        <f>(Table14[[#This Row],[GF]]^2)/((Table14[[#This Row],[GF]]^2)+(Table14[[#This Row],[GA]]^2))</f>
        <v>0.63281649484536084</v>
      </c>
      <c r="O68" s="1">
        <v>26.91</v>
      </c>
      <c r="P68" s="1">
        <v>86.43</v>
      </c>
      <c r="Q68" s="1">
        <f>Table14[[#This Row],[PP_PCT]]+Table14[[#This Row],[PK_PCT]]</f>
        <v>113.34</v>
      </c>
      <c r="R68" s="3">
        <v>10.1</v>
      </c>
      <c r="S68" s="3">
        <f>Table14[[#This Row],[GA]]/Table14[[#This Row],[GP]]</f>
        <v>2.5731707317073171</v>
      </c>
      <c r="T68" s="2">
        <v>0.91200000000000003</v>
      </c>
      <c r="U68" s="1">
        <v>97.6</v>
      </c>
      <c r="V68" s="1">
        <v>51.4</v>
      </c>
      <c r="W68" s="1">
        <v>50.2</v>
      </c>
      <c r="X68" s="1">
        <v>149.80000000000001</v>
      </c>
      <c r="Y68" s="3">
        <f>Table135[[#This Row],[XGF]]/Table14[[#This Row],[GP]]</f>
        <v>1.826829268292683</v>
      </c>
      <c r="Z68" s="1">
        <v>145.4</v>
      </c>
      <c r="AA68" s="3">
        <f>Table135[[#This Row],[XGA]]/Table14[[#This Row],[GP]]</f>
        <v>1.7731707317073171</v>
      </c>
      <c r="AB68" s="1">
        <v>48</v>
      </c>
      <c r="AC68" s="2">
        <f>Table135[[#This Row],[HDGF]]/Table14[[#This Row],[GP]]</f>
        <v>0.58536585365853655</v>
      </c>
      <c r="AD68" s="1">
        <v>44</v>
      </c>
      <c r="AE68" s="2">
        <f>Table135[[#This Row],[HDGA]]/Table14[[#This Row],[GP]]</f>
        <v>0.53658536585365857</v>
      </c>
      <c r="AF68" s="1">
        <v>8.5</v>
      </c>
    </row>
    <row r="69" spans="1:32" hidden="1" x14ac:dyDescent="0.35">
      <c r="A69" t="s">
        <v>90</v>
      </c>
      <c r="B69">
        <v>4</v>
      </c>
      <c r="C69" t="s">
        <v>75</v>
      </c>
      <c r="D69" s="1">
        <v>1</v>
      </c>
      <c r="E69" s="1">
        <v>29.4</v>
      </c>
      <c r="F69" s="1">
        <v>82</v>
      </c>
      <c r="G69" s="1">
        <v>110</v>
      </c>
      <c r="H69" s="2">
        <f>Table14[[#This Row],[PTS]]/Table14[[#This Row],[GP]]</f>
        <v>1.3414634146341464</v>
      </c>
      <c r="I69" s="2">
        <v>0.67100000000000004</v>
      </c>
      <c r="J69" s="1">
        <v>259</v>
      </c>
      <c r="K69" s="3">
        <f>Table14[[#This Row],[GF]]/Table14[[#This Row],[GP]]</f>
        <v>3.1585365853658538</v>
      </c>
      <c r="L69" s="1">
        <v>198</v>
      </c>
      <c r="M69" s="1">
        <v>2.41</v>
      </c>
      <c r="N69" s="2">
        <f>(Table14[[#This Row],[GF]]^2)/((Table14[[#This Row],[GF]]^2)+(Table14[[#This Row],[GA]]^2))</f>
        <v>0.63114268241050009</v>
      </c>
      <c r="O69" s="1">
        <v>18.75</v>
      </c>
      <c r="P69" s="1">
        <v>77.13</v>
      </c>
      <c r="Q69" s="1">
        <f>Table14[[#This Row],[PP_PCT]]+Table14[[#This Row],[PK_PCT]]</f>
        <v>95.88</v>
      </c>
      <c r="R69" s="3">
        <v>10.4</v>
      </c>
      <c r="S69" s="3">
        <f>Table14[[#This Row],[GA]]/Table14[[#This Row],[GP]]</f>
        <v>2.4146341463414633</v>
      </c>
      <c r="T69" s="2">
        <v>0.90500000000000003</v>
      </c>
      <c r="U69" s="1">
        <v>98.6</v>
      </c>
      <c r="V69" s="1">
        <v>50.4</v>
      </c>
      <c r="W69" s="1">
        <v>50.1</v>
      </c>
      <c r="X69" s="1">
        <v>185.4</v>
      </c>
      <c r="Y69" s="3">
        <f>Table135[[#This Row],[XGF]]/Table14[[#This Row],[GP]]</f>
        <v>2.2609756097560978</v>
      </c>
      <c r="Z69" s="1">
        <v>180.3</v>
      </c>
      <c r="AA69" s="3">
        <f>Table135[[#This Row],[XGA]]/Table14[[#This Row],[GP]]</f>
        <v>2.198780487804878</v>
      </c>
      <c r="AB69" s="1">
        <v>82</v>
      </c>
      <c r="AC69" s="2">
        <f>Table135[[#This Row],[HDGF]]/Table14[[#This Row],[GP]]</f>
        <v>1</v>
      </c>
      <c r="AD69" s="1">
        <v>92</v>
      </c>
      <c r="AE69" s="2">
        <f>Table135[[#This Row],[HDGA]]/Table14[[#This Row],[GP]]</f>
        <v>1.1219512195121952</v>
      </c>
      <c r="AF69" s="1">
        <v>8.1999999999999993</v>
      </c>
    </row>
    <row r="70" spans="1:32" hidden="1" x14ac:dyDescent="0.35">
      <c r="A70" t="s">
        <v>90</v>
      </c>
      <c r="B70">
        <v>5</v>
      </c>
      <c r="C70" t="s">
        <v>57</v>
      </c>
      <c r="D70" s="1">
        <v>1</v>
      </c>
      <c r="E70" s="1">
        <v>29.5</v>
      </c>
      <c r="F70" s="1">
        <v>82</v>
      </c>
      <c r="G70" s="1">
        <v>110</v>
      </c>
      <c r="H70" s="2">
        <f>Table14[[#This Row],[PTS]]/Table14[[#This Row],[GP]]</f>
        <v>1.3414634146341464</v>
      </c>
      <c r="I70" s="2">
        <v>0.67100000000000004</v>
      </c>
      <c r="J70" s="1">
        <v>265</v>
      </c>
      <c r="K70" s="3">
        <f>Table14[[#This Row],[GF]]/Table14[[#This Row],[GP]]</f>
        <v>3.2317073170731709</v>
      </c>
      <c r="L70" s="1">
        <v>198</v>
      </c>
      <c r="M70" s="1">
        <v>2.41</v>
      </c>
      <c r="N70" s="2">
        <f>(Table14[[#This Row],[GF]]^2)/((Table14[[#This Row],[GF]]^2)+(Table14[[#This Row],[GA]]^2))</f>
        <v>0.64174030650010505</v>
      </c>
      <c r="O70" s="1">
        <v>23.51</v>
      </c>
      <c r="P70" s="1">
        <v>82.47</v>
      </c>
      <c r="Q70" s="1">
        <f>Table14[[#This Row],[PP_PCT]]+Table14[[#This Row],[PK_PCT]]</f>
        <v>105.98</v>
      </c>
      <c r="R70" s="3">
        <v>9.6</v>
      </c>
      <c r="S70" s="3">
        <f>Table14[[#This Row],[GA]]/Table14[[#This Row],[GP]]</f>
        <v>2.4146341463414633</v>
      </c>
      <c r="T70" s="2">
        <v>0.92200000000000004</v>
      </c>
      <c r="U70" s="1">
        <v>100.4</v>
      </c>
      <c r="V70" s="1">
        <v>53.8</v>
      </c>
      <c r="W70" s="1">
        <v>54</v>
      </c>
      <c r="X70" s="1">
        <v>201.7</v>
      </c>
      <c r="Y70" s="3">
        <f>Table135[[#This Row],[XGF]]/Table14[[#This Row],[GP]]</f>
        <v>2.4597560975609754</v>
      </c>
      <c r="Z70" s="1">
        <v>155.6</v>
      </c>
      <c r="AA70" s="3">
        <f>Table135[[#This Row],[XGA]]/Table14[[#This Row],[GP]]</f>
        <v>1.897560975609756</v>
      </c>
      <c r="AB70" s="1">
        <v>84</v>
      </c>
      <c r="AC70" s="2">
        <f>Table135[[#This Row],[HDGF]]/Table14[[#This Row],[GP]]</f>
        <v>1.024390243902439</v>
      </c>
      <c r="AD70" s="1">
        <v>62</v>
      </c>
      <c r="AE70" s="2">
        <f>Table135[[#This Row],[HDGA]]/Table14[[#This Row],[GP]]</f>
        <v>0.75609756097560976</v>
      </c>
      <c r="AF70" s="1">
        <v>13.6</v>
      </c>
    </row>
    <row r="71" spans="1:32" hidden="1" x14ac:dyDescent="0.35">
      <c r="A71" t="s">
        <v>90</v>
      </c>
      <c r="B71">
        <v>6</v>
      </c>
      <c r="C71" t="s">
        <v>66</v>
      </c>
      <c r="D71" s="1">
        <v>1</v>
      </c>
      <c r="E71" s="1">
        <v>28.6</v>
      </c>
      <c r="F71" s="1">
        <v>82</v>
      </c>
      <c r="G71" s="1">
        <v>109</v>
      </c>
      <c r="H71" s="2">
        <f>Table14[[#This Row],[PTS]]/Table14[[#This Row],[GP]]</f>
        <v>1.3292682926829269</v>
      </c>
      <c r="I71" s="2">
        <v>0.66500000000000004</v>
      </c>
      <c r="J71" s="1">
        <v>263</v>
      </c>
      <c r="K71" s="3">
        <f>Table14[[#This Row],[GF]]/Table14[[#This Row],[GP]]</f>
        <v>3.2073170731707319</v>
      </c>
      <c r="L71" s="1">
        <v>221</v>
      </c>
      <c r="M71" s="1">
        <v>2.7</v>
      </c>
      <c r="N71" s="2">
        <f>(Table14[[#This Row],[GF]]^2)/((Table14[[#This Row],[GF]]^2)+(Table14[[#This Row],[GA]]^2))</f>
        <v>0.58612829421235491</v>
      </c>
      <c r="O71" s="1">
        <v>22.22</v>
      </c>
      <c r="P71" s="1">
        <v>82.46</v>
      </c>
      <c r="Q71" s="1">
        <f>Table14[[#This Row],[PP_PCT]]+Table14[[#This Row],[PK_PCT]]</f>
        <v>104.67999999999999</v>
      </c>
      <c r="R71" s="3">
        <v>11</v>
      </c>
      <c r="S71" s="3">
        <f>Table14[[#This Row],[GA]]/Table14[[#This Row],[GP]]</f>
        <v>2.6951219512195124</v>
      </c>
      <c r="T71" s="2">
        <v>0.91200000000000003</v>
      </c>
      <c r="U71" s="1">
        <v>99.5</v>
      </c>
      <c r="V71" s="1">
        <v>52.6</v>
      </c>
      <c r="W71" s="1">
        <v>50.8</v>
      </c>
      <c r="X71" s="1">
        <v>177.2</v>
      </c>
      <c r="Y71" s="3">
        <f>Table135[[#This Row],[XGF]]/Table14[[#This Row],[GP]]</f>
        <v>2.1609756097560973</v>
      </c>
      <c r="Z71" s="1">
        <v>173.8</v>
      </c>
      <c r="AA71" s="3">
        <f>Table135[[#This Row],[XGA]]/Table14[[#This Row],[GP]]</f>
        <v>2.1195121951219513</v>
      </c>
      <c r="AB71" s="1">
        <v>69</v>
      </c>
      <c r="AC71" s="2">
        <f>Table135[[#This Row],[HDGF]]/Table14[[#This Row],[GP]]</f>
        <v>0.84146341463414631</v>
      </c>
      <c r="AD71" s="1">
        <v>77</v>
      </c>
      <c r="AE71" s="2">
        <f>Table135[[#This Row],[HDGA]]/Table14[[#This Row],[GP]]</f>
        <v>0.93902439024390238</v>
      </c>
      <c r="AF71" s="1">
        <v>9.5</v>
      </c>
    </row>
    <row r="72" spans="1:32" hidden="1" x14ac:dyDescent="0.35">
      <c r="A72" t="s">
        <v>90</v>
      </c>
      <c r="B72">
        <v>7</v>
      </c>
      <c r="C72" t="s">
        <v>74</v>
      </c>
      <c r="D72" s="1">
        <v>1</v>
      </c>
      <c r="E72" s="1">
        <v>28.6</v>
      </c>
      <c r="F72" s="1">
        <v>82</v>
      </c>
      <c r="G72" s="1">
        <v>109</v>
      </c>
      <c r="H72" s="2">
        <f>Table14[[#This Row],[PTS]]/Table14[[#This Row],[GP]]</f>
        <v>1.3292682926829269</v>
      </c>
      <c r="I72" s="2">
        <v>0.66500000000000004</v>
      </c>
      <c r="J72" s="1">
        <v>279</v>
      </c>
      <c r="K72" s="3">
        <f>Table14[[#This Row],[GF]]/Table14[[#This Row],[GP]]</f>
        <v>3.4024390243902438</v>
      </c>
      <c r="L72" s="1">
        <v>221</v>
      </c>
      <c r="M72" s="1">
        <v>2.7</v>
      </c>
      <c r="N72" s="2">
        <f>(Table14[[#This Row],[GF]]^2)/((Table14[[#This Row],[GF]]^2)+(Table14[[#This Row],[GA]]^2))</f>
        <v>0.6144598285470706</v>
      </c>
      <c r="O72" s="1">
        <v>22.57</v>
      </c>
      <c r="P72" s="1">
        <v>79.13</v>
      </c>
      <c r="Q72" s="1">
        <f>Table14[[#This Row],[PP_PCT]]+Table14[[#This Row],[PK_PCT]]</f>
        <v>101.69999999999999</v>
      </c>
      <c r="R72" s="3">
        <v>12</v>
      </c>
      <c r="S72" s="3">
        <f>Table14[[#This Row],[GA]]/Table14[[#This Row],[GP]]</f>
        <v>2.6951219512195124</v>
      </c>
      <c r="T72" s="2">
        <v>0.92200000000000004</v>
      </c>
      <c r="U72" s="1">
        <v>100.1</v>
      </c>
      <c r="V72" s="1">
        <v>51.4</v>
      </c>
      <c r="W72" s="1">
        <v>49.8</v>
      </c>
      <c r="X72" s="1">
        <v>152.80000000000001</v>
      </c>
      <c r="Y72" s="3">
        <f>Table135[[#This Row],[XGF]]/Table14[[#This Row],[GP]]</f>
        <v>1.8634146341463416</v>
      </c>
      <c r="Z72" s="1">
        <v>141.69999999999999</v>
      </c>
      <c r="AA72" s="3">
        <f>Table135[[#This Row],[XGA]]/Table14[[#This Row],[GP]]</f>
        <v>1.7280487804878046</v>
      </c>
      <c r="AB72" s="1">
        <v>51</v>
      </c>
      <c r="AC72" s="2">
        <f>Table135[[#This Row],[HDGF]]/Table14[[#This Row],[GP]]</f>
        <v>0.62195121951219512</v>
      </c>
      <c r="AD72" s="1">
        <v>46</v>
      </c>
      <c r="AE72" s="2">
        <f>Table135[[#This Row],[HDGA]]/Table14[[#This Row],[GP]]</f>
        <v>0.56097560975609762</v>
      </c>
      <c r="AF72" s="1">
        <v>9.6</v>
      </c>
    </row>
    <row r="73" spans="1:32" hidden="1" x14ac:dyDescent="0.35">
      <c r="A73" t="s">
        <v>90</v>
      </c>
      <c r="B73">
        <v>8</v>
      </c>
      <c r="C73" t="s">
        <v>58</v>
      </c>
      <c r="D73" s="1">
        <v>1</v>
      </c>
      <c r="E73" s="1">
        <v>28.8</v>
      </c>
      <c r="F73" s="1">
        <v>82</v>
      </c>
      <c r="G73" s="1">
        <v>107</v>
      </c>
      <c r="H73" s="2">
        <f>Table14[[#This Row],[PTS]]/Table14[[#This Row],[GP]]</f>
        <v>1.3048780487804879</v>
      </c>
      <c r="I73" s="2">
        <v>0.65200000000000002</v>
      </c>
      <c r="J73" s="1">
        <v>302</v>
      </c>
      <c r="K73" s="3">
        <f>Table14[[#This Row],[GF]]/Table14[[#This Row],[GP]]</f>
        <v>3.6829268292682928</v>
      </c>
      <c r="L73" s="1">
        <v>252</v>
      </c>
      <c r="M73" s="1">
        <v>3.07</v>
      </c>
      <c r="N73" s="2">
        <f>(Table14[[#This Row],[GF]]^2)/((Table14[[#This Row],[GF]]^2)+(Table14[[#This Row],[GA]]^2))</f>
        <v>0.58952348941231225</v>
      </c>
      <c r="O73" s="1">
        <v>24.46</v>
      </c>
      <c r="P73" s="1">
        <v>79.92</v>
      </c>
      <c r="Q73" s="1">
        <f>Table14[[#This Row],[PP_PCT]]+Table14[[#This Row],[PK_PCT]]</f>
        <v>104.38</v>
      </c>
      <c r="R73" s="3">
        <v>11.2</v>
      </c>
      <c r="S73" s="3">
        <f>Table14[[#This Row],[GA]]/Table14[[#This Row],[GP]]</f>
        <v>3.0731707317073171</v>
      </c>
      <c r="T73" s="2">
        <v>0.93</v>
      </c>
      <c r="U73" s="1">
        <v>100.9</v>
      </c>
      <c r="V73" s="1">
        <v>46</v>
      </c>
      <c r="W73" s="1">
        <v>46.1</v>
      </c>
      <c r="X73" s="1">
        <v>174.9</v>
      </c>
      <c r="Y73" s="3">
        <f>Table135[[#This Row],[XGF]]/Table14[[#This Row],[GP]]</f>
        <v>2.1329268292682926</v>
      </c>
      <c r="Z73" s="1">
        <v>196.6</v>
      </c>
      <c r="AA73" s="3">
        <f>Table135[[#This Row],[XGA]]/Table14[[#This Row],[GP]]</f>
        <v>2.397560975609756</v>
      </c>
      <c r="AB73" s="1">
        <v>74</v>
      </c>
      <c r="AC73" s="2">
        <f>Table135[[#This Row],[HDGF]]/Table14[[#This Row],[GP]]</f>
        <v>0.90243902439024393</v>
      </c>
      <c r="AD73" s="1">
        <v>66</v>
      </c>
      <c r="AE73" s="2">
        <f>Table135[[#This Row],[HDGA]]/Table14[[#This Row],[GP]]</f>
        <v>0.80487804878048785</v>
      </c>
      <c r="AF73" s="1">
        <v>8.9</v>
      </c>
    </row>
    <row r="74" spans="1:32" hidden="1" x14ac:dyDescent="0.35">
      <c r="A74" t="s">
        <v>90</v>
      </c>
      <c r="B74">
        <v>9</v>
      </c>
      <c r="C74" t="s">
        <v>67</v>
      </c>
      <c r="D74" s="1">
        <v>1</v>
      </c>
      <c r="E74" s="1">
        <v>29.4</v>
      </c>
      <c r="F74" s="1">
        <v>82</v>
      </c>
      <c r="G74" s="1">
        <v>104</v>
      </c>
      <c r="H74" s="2">
        <f>Table14[[#This Row],[PTS]]/Table14[[#This Row],[GP]]</f>
        <v>1.2682926829268293</v>
      </c>
      <c r="I74" s="2">
        <v>0.63400000000000001</v>
      </c>
      <c r="J74" s="1">
        <v>292</v>
      </c>
      <c r="K74" s="3">
        <f>Table14[[#This Row],[GF]]/Table14[[#This Row],[GP]]</f>
        <v>3.5609756097560976</v>
      </c>
      <c r="L74" s="1">
        <v>236</v>
      </c>
      <c r="M74" s="1">
        <v>2.88</v>
      </c>
      <c r="N74" s="2">
        <f>(Table14[[#This Row],[GF]]^2)/((Table14[[#This Row],[GF]]^2)+(Table14[[#This Row],[GA]]^2))</f>
        <v>0.60488081725312148</v>
      </c>
      <c r="O74" s="1">
        <v>26.34</v>
      </c>
      <c r="P74" s="1">
        <v>79.459999999999994</v>
      </c>
      <c r="Q74" s="1">
        <f>Table14[[#This Row],[PP_PCT]]+Table14[[#This Row],[PK_PCT]]</f>
        <v>105.8</v>
      </c>
      <c r="R74" s="3">
        <v>10.5</v>
      </c>
      <c r="S74" s="3">
        <f>Table14[[#This Row],[GA]]/Table14[[#This Row],[GP]]</f>
        <v>2.8780487804878048</v>
      </c>
      <c r="T74" s="2">
        <v>0.93100000000000005</v>
      </c>
      <c r="U74" s="1">
        <v>101.3</v>
      </c>
      <c r="V74" s="1">
        <v>49.8</v>
      </c>
      <c r="W74" s="1">
        <v>49.5</v>
      </c>
      <c r="X74" s="1">
        <v>188.3</v>
      </c>
      <c r="Y74" s="3">
        <f>Table135[[#This Row],[XGF]]/Table14[[#This Row],[GP]]</f>
        <v>2.2963414634146342</v>
      </c>
      <c r="Z74" s="1">
        <v>183.8</v>
      </c>
      <c r="AA74" s="3">
        <f>Table135[[#This Row],[XGA]]/Table14[[#This Row],[GP]]</f>
        <v>2.2414634146341466</v>
      </c>
      <c r="AB74" s="1">
        <v>71</v>
      </c>
      <c r="AC74" s="2">
        <f>Table135[[#This Row],[HDGF]]/Table14[[#This Row],[GP]]</f>
        <v>0.86585365853658536</v>
      </c>
      <c r="AD74" s="1">
        <v>65</v>
      </c>
      <c r="AE74" s="2">
        <f>Table135[[#This Row],[HDGA]]/Table14[[#This Row],[GP]]</f>
        <v>0.79268292682926833</v>
      </c>
      <c r="AF74" s="1">
        <v>9.5</v>
      </c>
    </row>
    <row r="75" spans="1:32" hidden="1" x14ac:dyDescent="0.35">
      <c r="A75" t="s">
        <v>90</v>
      </c>
      <c r="B75">
        <v>10</v>
      </c>
      <c r="C75" t="s">
        <v>60</v>
      </c>
      <c r="D75" s="1">
        <v>1</v>
      </c>
      <c r="E75" s="1">
        <v>28.9</v>
      </c>
      <c r="F75" s="1">
        <v>82</v>
      </c>
      <c r="G75" s="1">
        <v>102</v>
      </c>
      <c r="H75" s="2">
        <f>Table14[[#This Row],[PTS]]/Table14[[#This Row],[GP]]</f>
        <v>1.2439024390243902</v>
      </c>
      <c r="I75" s="2">
        <v>0.622</v>
      </c>
      <c r="J75" s="1">
        <v>298</v>
      </c>
      <c r="K75" s="3">
        <f>Table14[[#This Row],[GF]]/Table14[[#This Row],[GP]]</f>
        <v>3.6341463414634148</v>
      </c>
      <c r="L75" s="1">
        <v>261</v>
      </c>
      <c r="M75" s="1">
        <v>3.18</v>
      </c>
      <c r="N75" s="2">
        <f>(Table14[[#This Row],[GF]]^2)/((Table14[[#This Row],[GF]]^2)+(Table14[[#This Row],[GA]]^2))</f>
        <v>0.56590090807710691</v>
      </c>
      <c r="O75" s="1">
        <v>23.95</v>
      </c>
      <c r="P75" s="1">
        <v>76.89</v>
      </c>
      <c r="Q75" s="1">
        <f>Table14[[#This Row],[PP_PCT]]+Table14[[#This Row],[PK_PCT]]</f>
        <v>100.84</v>
      </c>
      <c r="R75" s="3">
        <v>11.2</v>
      </c>
      <c r="S75" s="3">
        <f>Table14[[#This Row],[GA]]/Table14[[#This Row],[GP]]</f>
        <v>3.1829268292682928</v>
      </c>
      <c r="T75" s="2">
        <v>0.93</v>
      </c>
      <c r="U75" s="1">
        <v>100.7</v>
      </c>
      <c r="V75" s="1">
        <v>47.5</v>
      </c>
      <c r="W75" s="1">
        <v>48.3</v>
      </c>
      <c r="X75" s="1">
        <v>174.4</v>
      </c>
      <c r="Y75" s="3">
        <f>Table135[[#This Row],[XGF]]/Table14[[#This Row],[GP]]</f>
        <v>2.126829268292683</v>
      </c>
      <c r="Z75" s="1">
        <v>177.4</v>
      </c>
      <c r="AA75" s="3">
        <f>Table135[[#This Row],[XGA]]/Table14[[#This Row],[GP]]</f>
        <v>2.1634146341463416</v>
      </c>
      <c r="AB75" s="1">
        <v>65</v>
      </c>
      <c r="AC75" s="2">
        <f>Table135[[#This Row],[HDGF]]/Table14[[#This Row],[GP]]</f>
        <v>0.79268292682926833</v>
      </c>
      <c r="AD75" s="1">
        <v>60</v>
      </c>
      <c r="AE75" s="2">
        <f>Table135[[#This Row],[HDGA]]/Table14[[#This Row],[GP]]</f>
        <v>0.73170731707317072</v>
      </c>
      <c r="AF75" s="1">
        <v>9.9</v>
      </c>
    </row>
    <row r="76" spans="1:32" hidden="1" x14ac:dyDescent="0.35">
      <c r="A76" t="s">
        <v>90</v>
      </c>
      <c r="B76">
        <v>11</v>
      </c>
      <c r="C76" t="s">
        <v>72</v>
      </c>
      <c r="D76" s="1">
        <v>1</v>
      </c>
      <c r="E76" s="1">
        <v>29.5</v>
      </c>
      <c r="F76" s="1">
        <v>82</v>
      </c>
      <c r="G76" s="1">
        <v>99</v>
      </c>
      <c r="H76" s="2">
        <f>Table14[[#This Row],[PTS]]/Table14[[#This Row],[GP]]</f>
        <v>1.2073170731707317</v>
      </c>
      <c r="I76" s="2">
        <v>0.60399999999999998</v>
      </c>
      <c r="J76" s="1">
        <v>266</v>
      </c>
      <c r="K76" s="3">
        <f>Table14[[#This Row],[GF]]/Table14[[#This Row],[GP]]</f>
        <v>3.2439024390243905</v>
      </c>
      <c r="L76" s="1">
        <v>248</v>
      </c>
      <c r="M76" s="1">
        <v>3.02</v>
      </c>
      <c r="N76" s="2">
        <f>(Table14[[#This Row],[GF]]^2)/((Table14[[#This Row],[GF]]^2)+(Table14[[#This Row],[GA]]^2))</f>
        <v>0.53497656131861482</v>
      </c>
      <c r="O76" s="1">
        <v>21.56</v>
      </c>
      <c r="P76" s="1">
        <v>76.92</v>
      </c>
      <c r="Q76" s="1">
        <f>Table14[[#This Row],[PP_PCT]]+Table14[[#This Row],[PK_PCT]]</f>
        <v>98.48</v>
      </c>
      <c r="R76" s="3">
        <v>10.1</v>
      </c>
      <c r="S76" s="3">
        <f>Table14[[#This Row],[GA]]/Table14[[#This Row],[GP]]</f>
        <v>3.024390243902439</v>
      </c>
      <c r="T76" s="2">
        <v>0.92500000000000004</v>
      </c>
      <c r="U76" s="1">
        <v>100.5</v>
      </c>
      <c r="V76" s="1">
        <v>50.4</v>
      </c>
      <c r="W76" s="1">
        <v>50.4</v>
      </c>
      <c r="X76" s="1">
        <v>148.5</v>
      </c>
      <c r="Y76" s="3">
        <f>Table135[[#This Row],[XGF]]/Table14[[#This Row],[GP]]</f>
        <v>1.8109756097560976</v>
      </c>
      <c r="Z76" s="1">
        <v>152.80000000000001</v>
      </c>
      <c r="AA76" s="3">
        <f>Table135[[#This Row],[XGA]]/Table14[[#This Row],[GP]]</f>
        <v>1.8634146341463416</v>
      </c>
      <c r="AB76" s="1">
        <v>49</v>
      </c>
      <c r="AC76" s="2">
        <f>Table135[[#This Row],[HDGF]]/Table14[[#This Row],[GP]]</f>
        <v>0.59756097560975607</v>
      </c>
      <c r="AD76" s="1">
        <v>41</v>
      </c>
      <c r="AE76" s="2">
        <f>Table135[[#This Row],[HDGA]]/Table14[[#This Row],[GP]]</f>
        <v>0.5</v>
      </c>
      <c r="AF76" s="1">
        <v>9.6999999999999993</v>
      </c>
    </row>
    <row r="77" spans="1:32" hidden="1" x14ac:dyDescent="0.35">
      <c r="A77" t="s">
        <v>90</v>
      </c>
      <c r="B77">
        <v>12</v>
      </c>
      <c r="C77" t="s">
        <v>70</v>
      </c>
      <c r="D77" s="1">
        <v>1</v>
      </c>
      <c r="E77" s="1">
        <v>29.5</v>
      </c>
      <c r="F77" s="1">
        <v>82</v>
      </c>
      <c r="G77" s="1">
        <v>99</v>
      </c>
      <c r="H77" s="2">
        <f>Table14[[#This Row],[PTS]]/Table14[[#This Row],[GP]]</f>
        <v>1.2073170731707317</v>
      </c>
      <c r="I77" s="2">
        <v>0.60399999999999998</v>
      </c>
      <c r="J77" s="1">
        <v>254</v>
      </c>
      <c r="K77" s="3">
        <f>Table14[[#This Row],[GF]]/Table14[[#This Row],[GP]]</f>
        <v>3.0975609756097562</v>
      </c>
      <c r="L77" s="1">
        <v>210</v>
      </c>
      <c r="M77" s="1">
        <v>2.56</v>
      </c>
      <c r="N77" s="2">
        <f>(Table14[[#This Row],[GF]]^2)/((Table14[[#This Row],[GF]]^2)+(Table14[[#This Row],[GA]]^2))</f>
        <v>0.59398247035427565</v>
      </c>
      <c r="O77" s="1">
        <v>22.58</v>
      </c>
      <c r="P77" s="1">
        <v>84.58</v>
      </c>
      <c r="Q77" s="1">
        <f>Table14[[#This Row],[PP_PCT]]+Table14[[#This Row],[PK_PCT]]</f>
        <v>107.16</v>
      </c>
      <c r="R77" s="3">
        <v>9.6999999999999993</v>
      </c>
      <c r="S77" s="3">
        <f>Table14[[#This Row],[GA]]/Table14[[#This Row],[GP]]</f>
        <v>2.5609756097560976</v>
      </c>
      <c r="T77" s="2">
        <v>0.93</v>
      </c>
      <c r="U77" s="1">
        <v>101</v>
      </c>
      <c r="V77" s="1">
        <v>47.1</v>
      </c>
      <c r="W77" s="1">
        <v>47.4</v>
      </c>
      <c r="X77" s="1">
        <v>163.9</v>
      </c>
      <c r="Y77" s="3">
        <f>Table135[[#This Row],[XGF]]/Table14[[#This Row],[GP]]</f>
        <v>1.998780487804878</v>
      </c>
      <c r="Z77" s="1">
        <v>177.1</v>
      </c>
      <c r="AA77" s="3">
        <f>Table135[[#This Row],[XGA]]/Table14[[#This Row],[GP]]</f>
        <v>2.1597560975609755</v>
      </c>
      <c r="AB77" s="1">
        <v>75</v>
      </c>
      <c r="AC77" s="2">
        <f>Table135[[#This Row],[HDGF]]/Table14[[#This Row],[GP]]</f>
        <v>0.91463414634146345</v>
      </c>
      <c r="AD77" s="1">
        <v>64</v>
      </c>
      <c r="AE77" s="2">
        <f>Table135[[#This Row],[HDGA]]/Table14[[#This Row],[GP]]</f>
        <v>0.78048780487804881</v>
      </c>
      <c r="AF77" s="1">
        <v>8.6999999999999993</v>
      </c>
    </row>
    <row r="78" spans="1:32" hidden="1" x14ac:dyDescent="0.35">
      <c r="A78" t="s">
        <v>90</v>
      </c>
      <c r="B78">
        <v>13</v>
      </c>
      <c r="C78" t="s">
        <v>63</v>
      </c>
      <c r="D78" s="1">
        <v>1</v>
      </c>
      <c r="E78" s="1">
        <v>29.1</v>
      </c>
      <c r="F78" s="1">
        <v>82</v>
      </c>
      <c r="G78" s="1">
        <v>98</v>
      </c>
      <c r="H78" s="2">
        <f>Table14[[#This Row],[PTS]]/Table14[[#This Row],[GP]]</f>
        <v>1.1951219512195121</v>
      </c>
      <c r="I78" s="2">
        <v>0.59799999999999998</v>
      </c>
      <c r="J78" s="1">
        <v>288</v>
      </c>
      <c r="K78" s="3">
        <f>Table14[[#This Row],[GF]]/Table14[[#This Row],[GP]]</f>
        <v>3.5121951219512195</v>
      </c>
      <c r="L78" s="1">
        <v>267</v>
      </c>
      <c r="M78" s="1">
        <v>3.26</v>
      </c>
      <c r="N78" s="2">
        <f>(Table14[[#This Row],[GF]]^2)/((Table14[[#This Row],[GF]]^2)+(Table14[[#This Row],[GA]]^2))</f>
        <v>0.53778374277878271</v>
      </c>
      <c r="O78" s="1">
        <v>28.63</v>
      </c>
      <c r="P78" s="1">
        <v>83.33</v>
      </c>
      <c r="Q78" s="1">
        <f>Table14[[#This Row],[PP_PCT]]+Table14[[#This Row],[PK_PCT]]</f>
        <v>111.96</v>
      </c>
      <c r="R78" s="3">
        <v>12</v>
      </c>
      <c r="S78" s="3">
        <f>Table14[[#This Row],[GA]]/Table14[[#This Row],[GP]]</f>
        <v>3.2560975609756095</v>
      </c>
      <c r="T78" s="2">
        <v>0.92600000000000005</v>
      </c>
      <c r="U78" s="1">
        <v>101.1</v>
      </c>
      <c r="V78" s="1">
        <v>49.8</v>
      </c>
      <c r="W78" s="1">
        <v>50.3</v>
      </c>
      <c r="X78" s="1">
        <v>178.5</v>
      </c>
      <c r="Y78" s="3">
        <f>Table135[[#This Row],[XGF]]/Table14[[#This Row],[GP]]</f>
        <v>2.1768292682926829</v>
      </c>
      <c r="Z78" s="1">
        <v>180.7</v>
      </c>
      <c r="AA78" s="3">
        <f>Table135[[#This Row],[XGA]]/Table14[[#This Row],[GP]]</f>
        <v>2.2036585365853658</v>
      </c>
      <c r="AB78" s="1">
        <v>72</v>
      </c>
      <c r="AC78" s="2">
        <f>Table135[[#This Row],[HDGF]]/Table14[[#This Row],[GP]]</f>
        <v>0.87804878048780488</v>
      </c>
      <c r="AD78" s="1">
        <v>54</v>
      </c>
      <c r="AE78" s="2">
        <f>Table135[[#This Row],[HDGA]]/Table14[[#This Row],[GP]]</f>
        <v>0.65853658536585369</v>
      </c>
      <c r="AF78" s="1">
        <v>11</v>
      </c>
    </row>
    <row r="79" spans="1:32" hidden="1" x14ac:dyDescent="0.35">
      <c r="A79" t="s">
        <v>90</v>
      </c>
      <c r="B79">
        <v>14</v>
      </c>
      <c r="C79" t="s">
        <v>73</v>
      </c>
      <c r="D79" s="1">
        <v>1</v>
      </c>
      <c r="E79" s="1">
        <v>29</v>
      </c>
      <c r="F79" s="1">
        <v>82</v>
      </c>
      <c r="G79" s="1">
        <v>98</v>
      </c>
      <c r="H79" s="2">
        <f>Table14[[#This Row],[PTS]]/Table14[[#This Row],[GP]]</f>
        <v>1.1951219512195121</v>
      </c>
      <c r="I79" s="2">
        <v>0.59799999999999998</v>
      </c>
      <c r="J79" s="1">
        <v>263</v>
      </c>
      <c r="K79" s="3">
        <f>Table14[[#This Row],[GF]]/Table14[[#This Row],[GP]]</f>
        <v>3.2073170731707319</v>
      </c>
      <c r="L79" s="1">
        <v>243</v>
      </c>
      <c r="M79" s="1">
        <v>2.96</v>
      </c>
      <c r="N79" s="2">
        <f>(Table14[[#This Row],[GF]]^2)/((Table14[[#This Row],[GF]]^2)+(Table14[[#This Row],[GA]]^2))</f>
        <v>0.53946403781060381</v>
      </c>
      <c r="O79" s="1">
        <v>20.239999999999998</v>
      </c>
      <c r="P79" s="1">
        <v>79.34</v>
      </c>
      <c r="Q79" s="1">
        <f>Table14[[#This Row],[PP_PCT]]+Table14[[#This Row],[PK_PCT]]</f>
        <v>99.58</v>
      </c>
      <c r="R79" s="3">
        <v>10.3</v>
      </c>
      <c r="S79" s="3">
        <f>Table14[[#This Row],[GA]]/Table14[[#This Row],[GP]]</f>
        <v>2.9634146341463414</v>
      </c>
      <c r="T79" s="2">
        <v>0.92100000000000004</v>
      </c>
      <c r="U79" s="1">
        <v>99.9</v>
      </c>
      <c r="V79" s="1">
        <v>50.5</v>
      </c>
      <c r="W79" s="1">
        <v>50.4</v>
      </c>
      <c r="X79" s="1">
        <v>169</v>
      </c>
      <c r="Y79" s="3">
        <f>Table135[[#This Row],[XGF]]/Table14[[#This Row],[GP]]</f>
        <v>2.0609756097560976</v>
      </c>
      <c r="Z79" s="1">
        <v>167.8</v>
      </c>
      <c r="AA79" s="3">
        <f>Table135[[#This Row],[XGA]]/Table14[[#This Row],[GP]]</f>
        <v>2.0463414634146342</v>
      </c>
      <c r="AB79" s="1">
        <v>55</v>
      </c>
      <c r="AC79" s="2">
        <f>Table135[[#This Row],[HDGF]]/Table14[[#This Row],[GP]]</f>
        <v>0.67073170731707321</v>
      </c>
      <c r="AD79" s="1">
        <v>73</v>
      </c>
      <c r="AE79" s="2">
        <f>Table135[[#This Row],[HDGA]]/Table14[[#This Row],[GP]]</f>
        <v>0.8902439024390244</v>
      </c>
      <c r="AF79" s="1">
        <v>7.4</v>
      </c>
    </row>
    <row r="80" spans="1:32" hidden="1" x14ac:dyDescent="0.35">
      <c r="A80" t="s">
        <v>90</v>
      </c>
      <c r="B80">
        <v>15</v>
      </c>
      <c r="C80" t="s">
        <v>76</v>
      </c>
      <c r="D80" s="1">
        <v>1</v>
      </c>
      <c r="E80" s="1">
        <v>29.6</v>
      </c>
      <c r="F80" s="1">
        <v>82</v>
      </c>
      <c r="G80" s="1">
        <v>94</v>
      </c>
      <c r="H80" s="2">
        <f>Table14[[#This Row],[PTS]]/Table14[[#This Row],[GP]]</f>
        <v>1.1463414634146341</v>
      </c>
      <c r="I80" s="2">
        <v>0.57299999999999995</v>
      </c>
      <c r="J80" s="1">
        <v>245</v>
      </c>
      <c r="K80" s="3">
        <f>Table14[[#This Row],[GF]]/Table14[[#This Row],[GP]]</f>
        <v>2.9878048780487805</v>
      </c>
      <c r="L80" s="1">
        <v>258</v>
      </c>
      <c r="M80" s="1">
        <v>3.15</v>
      </c>
      <c r="N80" s="2">
        <f>(Table14[[#This Row],[GF]]^2)/((Table14[[#This Row],[GF]]^2)+(Table14[[#This Row],[GA]]^2))</f>
        <v>0.47417232144973104</v>
      </c>
      <c r="O80" s="1">
        <v>20.350000000000001</v>
      </c>
      <c r="P80" s="1">
        <v>71.489999999999995</v>
      </c>
      <c r="Q80" s="1">
        <f>Table14[[#This Row],[PP_PCT]]+Table14[[#This Row],[PK_PCT]]</f>
        <v>91.84</v>
      </c>
      <c r="R80" s="3">
        <v>9.9</v>
      </c>
      <c r="S80" s="3">
        <f>Table14[[#This Row],[GA]]/Table14[[#This Row],[GP]]</f>
        <v>3.1463414634146343</v>
      </c>
      <c r="T80" s="2">
        <v>0.91800000000000004</v>
      </c>
      <c r="U80" s="1">
        <v>100.4</v>
      </c>
      <c r="V80" s="1">
        <v>49.3</v>
      </c>
      <c r="W80" s="1">
        <v>48.7</v>
      </c>
      <c r="X80" s="1">
        <v>145</v>
      </c>
      <c r="Y80" s="3">
        <f>Table135[[#This Row],[XGF]]/Table14[[#This Row],[GP]]</f>
        <v>1.7682926829268293</v>
      </c>
      <c r="Z80" s="1">
        <v>172.4</v>
      </c>
      <c r="AA80" s="3">
        <f>Table135[[#This Row],[XGA]]/Table14[[#This Row],[GP]]</f>
        <v>2.102439024390244</v>
      </c>
      <c r="AB80" s="1">
        <v>57</v>
      </c>
      <c r="AC80" s="2">
        <f>Table135[[#This Row],[HDGF]]/Table14[[#This Row],[GP]]</f>
        <v>0.69512195121951215</v>
      </c>
      <c r="AD80" s="1">
        <v>52</v>
      </c>
      <c r="AE80" s="2">
        <f>Table135[[#This Row],[HDGA]]/Table14[[#This Row],[GP]]</f>
        <v>0.63414634146341464</v>
      </c>
      <c r="AF80" s="1">
        <v>7.1</v>
      </c>
    </row>
    <row r="81" spans="1:32" hidden="1" x14ac:dyDescent="0.35">
      <c r="A81" t="s">
        <v>90</v>
      </c>
      <c r="B81">
        <v>16</v>
      </c>
      <c r="C81" t="s">
        <v>65</v>
      </c>
      <c r="D81" s="1">
        <v>0</v>
      </c>
      <c r="E81" s="1">
        <v>29</v>
      </c>
      <c r="F81" s="1">
        <v>82</v>
      </c>
      <c r="G81" s="1">
        <v>92</v>
      </c>
      <c r="H81" s="2">
        <f>Table14[[#This Row],[PTS]]/Table14[[#This Row],[GP]]</f>
        <v>1.1219512195121952</v>
      </c>
      <c r="I81" s="2">
        <v>0.56100000000000005</v>
      </c>
      <c r="J81" s="1">
        <v>234</v>
      </c>
      <c r="K81" s="3">
        <f>Table14[[#This Row],[GF]]/Table14[[#This Row],[GP]]</f>
        <v>2.8536585365853657</v>
      </c>
      <c r="L81" s="1">
        <v>248</v>
      </c>
      <c r="M81" s="1">
        <v>3.02</v>
      </c>
      <c r="N81" s="2">
        <f>(Table14[[#This Row],[GF]]^2)/((Table14[[#This Row],[GF]]^2)+(Table14[[#This Row],[GA]]^2))</f>
        <v>0.4709788405298469</v>
      </c>
      <c r="O81" s="1">
        <v>18</v>
      </c>
      <c r="P81" s="1">
        <v>78.599999999999994</v>
      </c>
      <c r="Q81" s="1">
        <f>Table14[[#This Row],[PP_PCT]]+Table14[[#This Row],[PK_PCT]]</f>
        <v>96.6</v>
      </c>
      <c r="R81" s="3">
        <v>9.9</v>
      </c>
      <c r="S81" s="3">
        <f>Table14[[#This Row],[GA]]/Table14[[#This Row],[GP]]</f>
        <v>3.024390243902439</v>
      </c>
      <c r="T81" s="2">
        <v>0.92300000000000004</v>
      </c>
      <c r="U81" s="1">
        <v>99.5</v>
      </c>
      <c r="V81" s="1">
        <v>47.9</v>
      </c>
      <c r="W81" s="1">
        <v>48.1</v>
      </c>
      <c r="X81" s="1">
        <v>161.6</v>
      </c>
      <c r="Y81" s="3">
        <f>Table135[[#This Row],[XGF]]/Table14[[#This Row],[GP]]</f>
        <v>1.9707317073170731</v>
      </c>
      <c r="Z81" s="1">
        <v>187.8</v>
      </c>
      <c r="AA81" s="3">
        <f>Table135[[#This Row],[XGA]]/Table14[[#This Row],[GP]]</f>
        <v>2.2902439024390246</v>
      </c>
      <c r="AB81" s="1">
        <v>55</v>
      </c>
      <c r="AC81" s="2">
        <f>Table135[[#This Row],[HDGF]]/Table14[[#This Row],[GP]]</f>
        <v>0.67073170731707321</v>
      </c>
      <c r="AD81" s="1">
        <v>79</v>
      </c>
      <c r="AE81" s="2">
        <f>Table135[[#This Row],[HDGA]]/Table14[[#This Row],[GP]]</f>
        <v>0.96341463414634143</v>
      </c>
      <c r="AF81" s="1">
        <v>7.4</v>
      </c>
    </row>
    <row r="82" spans="1:32" hidden="1" x14ac:dyDescent="0.35">
      <c r="A82" t="s">
        <v>90</v>
      </c>
      <c r="B82">
        <v>17</v>
      </c>
      <c r="C82" t="s">
        <v>69</v>
      </c>
      <c r="D82" s="1">
        <v>1</v>
      </c>
      <c r="E82" s="1">
        <v>30</v>
      </c>
      <c r="F82" s="1">
        <v>82</v>
      </c>
      <c r="G82" s="1">
        <v>91</v>
      </c>
      <c r="H82" s="2">
        <f>Table14[[#This Row],[PTS]]/Table14[[#This Row],[GP]]</f>
        <v>1.1097560975609757</v>
      </c>
      <c r="I82" s="2">
        <v>0.55500000000000005</v>
      </c>
      <c r="J82" s="1">
        <v>216</v>
      </c>
      <c r="K82" s="3">
        <f>Table14[[#This Row],[GF]]/Table14[[#This Row],[GP]]</f>
        <v>2.6341463414634148</v>
      </c>
      <c r="L82" s="1">
        <v>252</v>
      </c>
      <c r="M82" s="1">
        <v>3.07</v>
      </c>
      <c r="N82" s="2">
        <f>(Table14[[#This Row],[GF]]^2)/((Table14[[#This Row],[GF]]^2)+(Table14[[#This Row],[GA]]^2))</f>
        <v>0.42352941176470588</v>
      </c>
      <c r="O82" s="1">
        <v>20.61</v>
      </c>
      <c r="P82" s="1">
        <v>78.97</v>
      </c>
      <c r="Q82" s="1">
        <f>Table14[[#This Row],[PP_PCT]]+Table14[[#This Row],[PK_PCT]]</f>
        <v>99.58</v>
      </c>
      <c r="R82" s="3">
        <v>9.9</v>
      </c>
      <c r="S82" s="3">
        <f>Table14[[#This Row],[GA]]/Table14[[#This Row],[GP]]</f>
        <v>3.0731707317073171</v>
      </c>
      <c r="T82" s="2">
        <v>0.91400000000000003</v>
      </c>
      <c r="U82" s="1">
        <v>98.5</v>
      </c>
      <c r="V82" s="1">
        <v>51.5</v>
      </c>
      <c r="W82" s="1">
        <v>52.1</v>
      </c>
      <c r="X82" s="1">
        <v>176.7</v>
      </c>
      <c r="Y82" s="3">
        <f>Table135[[#This Row],[XGF]]/Table14[[#This Row],[GP]]</f>
        <v>2.1548780487804877</v>
      </c>
      <c r="Z82" s="1">
        <v>168.5</v>
      </c>
      <c r="AA82" s="3">
        <f>Table135[[#This Row],[XGA]]/Table14[[#This Row],[GP]]</f>
        <v>2.0548780487804876</v>
      </c>
      <c r="AB82" s="1">
        <v>68</v>
      </c>
      <c r="AC82" s="2">
        <f>Table135[[#This Row],[HDGF]]/Table14[[#This Row],[GP]]</f>
        <v>0.82926829268292679</v>
      </c>
      <c r="AD82" s="1">
        <v>76</v>
      </c>
      <c r="AE82" s="2">
        <f>Table135[[#This Row],[HDGA]]/Table14[[#This Row],[GP]]</f>
        <v>0.92682926829268297</v>
      </c>
      <c r="AF82" s="1">
        <v>7.7</v>
      </c>
    </row>
    <row r="83" spans="1:32" hidden="1" x14ac:dyDescent="0.35">
      <c r="A83" t="s">
        <v>90</v>
      </c>
      <c r="B83">
        <v>18</v>
      </c>
      <c r="C83" t="s">
        <v>81</v>
      </c>
      <c r="D83" s="1">
        <v>0</v>
      </c>
      <c r="E83" s="1">
        <v>29.3</v>
      </c>
      <c r="F83" s="1">
        <v>82</v>
      </c>
      <c r="G83" s="1">
        <v>91</v>
      </c>
      <c r="H83" s="2">
        <f>Table14[[#This Row],[PTS]]/Table14[[#This Row],[GP]]</f>
        <v>1.1097560975609757</v>
      </c>
      <c r="I83" s="2">
        <v>0.55500000000000005</v>
      </c>
      <c r="J83" s="1">
        <v>275</v>
      </c>
      <c r="K83" s="3">
        <f>Table14[[#This Row],[GF]]/Table14[[#This Row],[GP]]</f>
        <v>3.3536585365853657</v>
      </c>
      <c r="L83" s="1">
        <v>273</v>
      </c>
      <c r="M83" s="1">
        <v>3.33</v>
      </c>
      <c r="N83" s="2">
        <f>(Table14[[#This Row],[GF]]^2)/((Table14[[#This Row],[GF]]^2)+(Table14[[#This Row],[GA]]^2))</f>
        <v>0.50364958642460411</v>
      </c>
      <c r="O83" s="1">
        <v>23.08</v>
      </c>
      <c r="P83" s="1">
        <v>79.58</v>
      </c>
      <c r="Q83" s="1">
        <f>Table14[[#This Row],[PP_PCT]]+Table14[[#This Row],[PK_PCT]]</f>
        <v>102.66</v>
      </c>
      <c r="R83" s="3">
        <v>11.6</v>
      </c>
      <c r="S83" s="3">
        <f>Table14[[#This Row],[GA]]/Table14[[#This Row],[GP]]</f>
        <v>3.3292682926829267</v>
      </c>
      <c r="T83" s="2">
        <v>0.90900000000000003</v>
      </c>
      <c r="U83" s="1">
        <v>98.6</v>
      </c>
      <c r="V83" s="1">
        <v>51</v>
      </c>
      <c r="W83" s="1">
        <v>51.2</v>
      </c>
      <c r="X83" s="1">
        <v>166.7</v>
      </c>
      <c r="Y83" s="3">
        <f>Table135[[#This Row],[XGF]]/Table14[[#This Row],[GP]]</f>
        <v>2.0329268292682925</v>
      </c>
      <c r="Z83" s="1">
        <v>163.9</v>
      </c>
      <c r="AA83" s="3">
        <f>Table135[[#This Row],[XGA]]/Table14[[#This Row],[GP]]</f>
        <v>1.998780487804878</v>
      </c>
      <c r="AB83" s="1">
        <v>75</v>
      </c>
      <c r="AC83" s="2">
        <f>Table135[[#This Row],[HDGF]]/Table14[[#This Row],[GP]]</f>
        <v>0.91463414634146345</v>
      </c>
      <c r="AD83" s="1">
        <v>66</v>
      </c>
      <c r="AE83" s="2">
        <f>Table135[[#This Row],[HDGA]]/Table14[[#This Row],[GP]]</f>
        <v>0.80487804878048785</v>
      </c>
      <c r="AF83" s="1">
        <v>8.6999999999999993</v>
      </c>
    </row>
    <row r="84" spans="1:32" hidden="1" x14ac:dyDescent="0.35">
      <c r="A84" t="s">
        <v>90</v>
      </c>
      <c r="B84">
        <v>19</v>
      </c>
      <c r="C84" t="s">
        <v>68</v>
      </c>
      <c r="D84" s="1">
        <v>0</v>
      </c>
      <c r="E84" s="1">
        <v>31.3</v>
      </c>
      <c r="F84" s="1">
        <v>82</v>
      </c>
      <c r="G84" s="1">
        <v>88</v>
      </c>
      <c r="H84" s="2">
        <f>Table14[[#This Row],[PTS]]/Table14[[#This Row],[GP]]</f>
        <v>1.0731707317073171</v>
      </c>
      <c r="I84" s="2">
        <v>0.53700000000000003</v>
      </c>
      <c r="J84" s="1">
        <v>253</v>
      </c>
      <c r="K84" s="3">
        <f>Table14[[#This Row],[GF]]/Table14[[#This Row],[GP]]</f>
        <v>3.0853658536585367</v>
      </c>
      <c r="L84" s="1">
        <v>248</v>
      </c>
      <c r="M84" s="1">
        <v>3.02</v>
      </c>
      <c r="N84" s="2">
        <f>(Table14[[#This Row],[GF]]^2)/((Table14[[#This Row],[GF]]^2)+(Table14[[#This Row],[GA]]^2))</f>
        <v>0.50997904599523558</v>
      </c>
      <c r="O84" s="1">
        <v>15.27</v>
      </c>
      <c r="P84" s="1">
        <v>80.66</v>
      </c>
      <c r="Q84" s="1">
        <f>Table14[[#This Row],[PP_PCT]]+Table14[[#This Row],[PK_PCT]]</f>
        <v>95.929999999999993</v>
      </c>
      <c r="R84" s="3">
        <v>9.4</v>
      </c>
      <c r="S84" s="3">
        <f>Table14[[#This Row],[GA]]/Table14[[#This Row],[GP]]</f>
        <v>3.024390243902439</v>
      </c>
      <c r="T84" s="2">
        <v>0.91900000000000004</v>
      </c>
      <c r="U84" s="1">
        <v>98.8</v>
      </c>
      <c r="V84" s="1">
        <v>50.8</v>
      </c>
      <c r="W84" s="1">
        <v>50.5</v>
      </c>
      <c r="X84" s="1">
        <v>136.19999999999999</v>
      </c>
      <c r="Y84" s="3">
        <f>Table135[[#This Row],[XGF]]/Table14[[#This Row],[GP]]</f>
        <v>1.6609756097560975</v>
      </c>
      <c r="Z84" s="1">
        <v>140.30000000000001</v>
      </c>
      <c r="AA84" s="3">
        <f>Table135[[#This Row],[XGA]]/Table14[[#This Row],[GP]]</f>
        <v>1.7109756097560977</v>
      </c>
      <c r="AB84" s="1">
        <v>44</v>
      </c>
      <c r="AC84" s="2">
        <f>Table135[[#This Row],[HDGF]]/Table14[[#This Row],[GP]]</f>
        <v>0.53658536585365857</v>
      </c>
      <c r="AD84" s="1">
        <v>55</v>
      </c>
      <c r="AE84" s="2">
        <f>Table135[[#This Row],[HDGA]]/Table14[[#This Row],[GP]]</f>
        <v>0.67073170731707321</v>
      </c>
      <c r="AF84" s="1">
        <v>7.4</v>
      </c>
    </row>
    <row r="85" spans="1:32" hidden="1" x14ac:dyDescent="0.35">
      <c r="A85" t="s">
        <v>90</v>
      </c>
      <c r="B85">
        <v>20</v>
      </c>
      <c r="C85" t="s">
        <v>61</v>
      </c>
      <c r="D85" s="1">
        <v>0</v>
      </c>
      <c r="E85" s="1">
        <v>29.3</v>
      </c>
      <c r="F85" s="1">
        <v>82</v>
      </c>
      <c r="G85" s="1">
        <v>87</v>
      </c>
      <c r="H85" s="2">
        <f>Table14[[#This Row],[PTS]]/Table14[[#This Row],[GP]]</f>
        <v>1.0609756097560976</v>
      </c>
      <c r="I85" s="2">
        <v>0.53</v>
      </c>
      <c r="J85" s="1">
        <v>248</v>
      </c>
      <c r="K85" s="3">
        <f>Table14[[#This Row],[GF]]/Table14[[#This Row],[GP]]</f>
        <v>3.024390243902439</v>
      </c>
      <c r="L85" s="1">
        <v>260</v>
      </c>
      <c r="M85" s="1">
        <v>3.17</v>
      </c>
      <c r="N85" s="2">
        <f>(Table14[[#This Row],[GF]]^2)/((Table14[[#This Row],[GF]]^2)+(Table14[[#This Row],[GA]]^2))</f>
        <v>0.47639112653364729</v>
      </c>
      <c r="O85" s="1">
        <v>22.71</v>
      </c>
      <c r="P85" s="1">
        <v>74.52</v>
      </c>
      <c r="Q85" s="1">
        <f>Table14[[#This Row],[PP_PCT]]+Table14[[#This Row],[PK_PCT]]</f>
        <v>97.22999999999999</v>
      </c>
      <c r="R85" s="3">
        <v>10</v>
      </c>
      <c r="S85" s="3">
        <f>Table14[[#This Row],[GA]]/Table14[[#This Row],[GP]]</f>
        <v>3.1707317073170733</v>
      </c>
      <c r="T85" s="2">
        <v>0.91900000000000004</v>
      </c>
      <c r="U85" s="1">
        <v>99.5</v>
      </c>
      <c r="V85" s="1">
        <v>46.6</v>
      </c>
      <c r="W85" s="1">
        <v>46.7</v>
      </c>
      <c r="X85" s="1">
        <v>164.1</v>
      </c>
      <c r="Y85" s="3">
        <f>Table135[[#This Row],[XGF]]/Table14[[#This Row],[GP]]</f>
        <v>2.0012195121951217</v>
      </c>
      <c r="Z85" s="1">
        <v>185.4</v>
      </c>
      <c r="AA85" s="3">
        <f>Table135[[#This Row],[XGA]]/Table14[[#This Row],[GP]]</f>
        <v>2.2609756097560978</v>
      </c>
      <c r="AB85" s="1">
        <v>74</v>
      </c>
      <c r="AC85" s="2">
        <f>Table135[[#This Row],[HDGF]]/Table14[[#This Row],[GP]]</f>
        <v>0.90243902439024393</v>
      </c>
      <c r="AD85" s="1">
        <v>76</v>
      </c>
      <c r="AE85" s="2">
        <f>Table135[[#This Row],[HDGA]]/Table14[[#This Row],[GP]]</f>
        <v>0.92682926829268297</v>
      </c>
      <c r="AF85" s="1">
        <v>11.4</v>
      </c>
    </row>
    <row r="86" spans="1:32" hidden="1" x14ac:dyDescent="0.35">
      <c r="A86" t="s">
        <v>90</v>
      </c>
      <c r="B86">
        <v>21</v>
      </c>
      <c r="C86" t="s">
        <v>85</v>
      </c>
      <c r="D86" s="1">
        <v>0</v>
      </c>
      <c r="E86" s="1">
        <v>27.1</v>
      </c>
      <c r="F86" s="1">
        <v>82</v>
      </c>
      <c r="G86" s="1">
        <v>87</v>
      </c>
      <c r="H86" s="2">
        <f>Table14[[#This Row],[PTS]]/Table14[[#This Row],[GP]]</f>
        <v>1.0609756097560976</v>
      </c>
      <c r="I86" s="2">
        <v>0.53</v>
      </c>
      <c r="J86" s="1">
        <v>231</v>
      </c>
      <c r="K86" s="3">
        <f>Table14[[#This Row],[GF]]/Table14[[#This Row],[GP]]</f>
        <v>2.8170731707317072</v>
      </c>
      <c r="L86" s="1">
        <v>258</v>
      </c>
      <c r="M86" s="1">
        <v>3.15</v>
      </c>
      <c r="N86" s="2">
        <f>(Table14[[#This Row],[GF]]^2)/((Table14[[#This Row],[GF]]^2)+(Table14[[#This Row],[GA]]^2))</f>
        <v>0.44495309568480301</v>
      </c>
      <c r="O86" s="1">
        <v>12.2</v>
      </c>
      <c r="P86" s="1">
        <v>83.4</v>
      </c>
      <c r="Q86" s="1">
        <f>Table14[[#This Row],[PP_PCT]]+Table14[[#This Row],[PK_PCT]]</f>
        <v>95.600000000000009</v>
      </c>
      <c r="R86" s="3">
        <v>8.5</v>
      </c>
      <c r="S86" s="3">
        <f>Table14[[#This Row],[GA]]/Table14[[#This Row],[GP]]</f>
        <v>3.1463414634146343</v>
      </c>
      <c r="T86" s="2">
        <v>0.92</v>
      </c>
      <c r="U86" s="1">
        <v>99.3</v>
      </c>
      <c r="V86" s="1">
        <v>47.4</v>
      </c>
      <c r="W86" s="1">
        <v>48.7</v>
      </c>
      <c r="X86" s="1">
        <v>169.2</v>
      </c>
      <c r="Y86" s="3">
        <f>Table135[[#This Row],[XGF]]/Table14[[#This Row],[GP]]</f>
        <v>2.0634146341463415</v>
      </c>
      <c r="Z86" s="1">
        <v>178.2</v>
      </c>
      <c r="AA86" s="3">
        <f>Table135[[#This Row],[XGA]]/Table14[[#This Row],[GP]]</f>
        <v>2.1731707317073168</v>
      </c>
      <c r="AB86" s="1">
        <v>65</v>
      </c>
      <c r="AC86" s="2">
        <f>Table135[[#This Row],[HDGF]]/Table14[[#This Row],[GP]]</f>
        <v>0.79268292682926833</v>
      </c>
      <c r="AD86" s="1">
        <v>74</v>
      </c>
      <c r="AE86" s="2">
        <f>Table135[[#This Row],[HDGA]]/Table14[[#This Row],[GP]]</f>
        <v>0.90243902439024393</v>
      </c>
      <c r="AF86" s="1">
        <v>10.1</v>
      </c>
    </row>
    <row r="87" spans="1:32" hidden="1" x14ac:dyDescent="0.35">
      <c r="A87" t="s">
        <v>90</v>
      </c>
      <c r="B87">
        <v>22</v>
      </c>
      <c r="C87" t="s">
        <v>80</v>
      </c>
      <c r="D87" s="1">
        <v>0</v>
      </c>
      <c r="E87" s="1">
        <v>25.7</v>
      </c>
      <c r="F87" s="1">
        <v>82</v>
      </c>
      <c r="G87" s="1">
        <v>84</v>
      </c>
      <c r="H87" s="2">
        <f>Table14[[#This Row],[PTS]]/Table14[[#This Row],[GP]]</f>
        <v>1.024390243902439</v>
      </c>
      <c r="I87" s="2">
        <v>0.51200000000000001</v>
      </c>
      <c r="J87" s="1">
        <v>244</v>
      </c>
      <c r="K87" s="3">
        <f>Table14[[#This Row],[GF]]/Table14[[#This Row],[GP]]</f>
        <v>2.975609756097561</v>
      </c>
      <c r="L87" s="1">
        <v>243</v>
      </c>
      <c r="M87" s="1">
        <v>2.96</v>
      </c>
      <c r="N87" s="2">
        <f>(Table14[[#This Row],[GF]]^2)/((Table14[[#This Row],[GF]]^2)+(Table14[[#This Row],[GA]]^2))</f>
        <v>0.50205337943247463</v>
      </c>
      <c r="O87" s="1">
        <v>16.59</v>
      </c>
      <c r="P87" s="1">
        <v>79.84</v>
      </c>
      <c r="Q87" s="1">
        <f>Table14[[#This Row],[PP_PCT]]+Table14[[#This Row],[PK_PCT]]</f>
        <v>96.43</v>
      </c>
      <c r="R87" s="3">
        <v>9.6</v>
      </c>
      <c r="S87" s="3">
        <f>Table14[[#This Row],[GA]]/Table14[[#This Row],[GP]]</f>
        <v>2.9634146341463414</v>
      </c>
      <c r="T87" s="2">
        <v>0.90500000000000003</v>
      </c>
      <c r="U87" s="1">
        <v>97.6</v>
      </c>
      <c r="V87" s="1">
        <v>52.1</v>
      </c>
      <c r="W87" s="1">
        <v>54</v>
      </c>
      <c r="X87" s="1">
        <v>177.5</v>
      </c>
      <c r="Y87" s="3">
        <f>Table135[[#This Row],[XGF]]/Table14[[#This Row],[GP]]</f>
        <v>2.1646341463414633</v>
      </c>
      <c r="Z87" s="1">
        <v>149.80000000000001</v>
      </c>
      <c r="AA87" s="3">
        <f>Table135[[#This Row],[XGA]]/Table14[[#This Row],[GP]]</f>
        <v>1.826829268292683</v>
      </c>
      <c r="AB87" s="1">
        <v>66</v>
      </c>
      <c r="AC87" s="2">
        <f>Table135[[#This Row],[HDGF]]/Table14[[#This Row],[GP]]</f>
        <v>0.80487804878048785</v>
      </c>
      <c r="AD87" s="1">
        <v>70</v>
      </c>
      <c r="AE87" s="2">
        <f>Table135[[#This Row],[HDGA]]/Table14[[#This Row],[GP]]</f>
        <v>0.85365853658536583</v>
      </c>
      <c r="AF87" s="1">
        <v>9.8000000000000007</v>
      </c>
    </row>
    <row r="88" spans="1:32" hidden="1" x14ac:dyDescent="0.35">
      <c r="A88" t="s">
        <v>90</v>
      </c>
      <c r="B88">
        <v>23</v>
      </c>
      <c r="C88" t="s">
        <v>84</v>
      </c>
      <c r="D88" s="1">
        <v>0</v>
      </c>
      <c r="E88" s="1">
        <v>26.8</v>
      </c>
      <c r="F88" s="1">
        <v>82</v>
      </c>
      <c r="G88" s="1">
        <v>81</v>
      </c>
      <c r="H88" s="2">
        <f>Table14[[#This Row],[PTS]]/Table14[[#This Row],[GP]]</f>
        <v>0.98780487804878048</v>
      </c>
      <c r="I88" s="2">
        <v>0.49399999999999999</v>
      </c>
      <c r="J88" s="1">
        <v>264</v>
      </c>
      <c r="K88" s="3">
        <f>Table14[[#This Row],[GF]]/Table14[[#This Row],[GP]]</f>
        <v>3.2195121951219514</v>
      </c>
      <c r="L88" s="1">
        <v>281</v>
      </c>
      <c r="M88" s="1">
        <v>3.43</v>
      </c>
      <c r="N88" s="2">
        <f>(Table14[[#This Row],[GF]]^2)/((Table14[[#This Row],[GF]]^2)+(Table14[[#This Row],[GA]]^2))</f>
        <v>0.46883765984783765</v>
      </c>
      <c r="O88" s="1">
        <v>22.45</v>
      </c>
      <c r="P88" s="1">
        <v>80.66</v>
      </c>
      <c r="Q88" s="1">
        <f>Table14[[#This Row],[PP_PCT]]+Table14[[#This Row],[PK_PCT]]</f>
        <v>103.11</v>
      </c>
      <c r="R88" s="3">
        <v>10.5</v>
      </c>
      <c r="S88" s="3">
        <f>Table14[[#This Row],[GA]]/Table14[[#This Row],[GP]]</f>
        <v>3.4268292682926829</v>
      </c>
      <c r="T88" s="2">
        <v>0.89800000000000002</v>
      </c>
      <c r="U88" s="1">
        <v>98.1</v>
      </c>
      <c r="V88" s="1">
        <v>49</v>
      </c>
      <c r="W88" s="1">
        <v>50.4</v>
      </c>
      <c r="X88" s="1">
        <v>159.30000000000001</v>
      </c>
      <c r="Y88" s="3">
        <f>Table135[[#This Row],[XGF]]/Table14[[#This Row],[GP]]</f>
        <v>1.9426829268292685</v>
      </c>
      <c r="Z88" s="1">
        <v>144.5</v>
      </c>
      <c r="AA88" s="3">
        <f>Table135[[#This Row],[XGA]]/Table14[[#This Row],[GP]]</f>
        <v>1.7621951219512195</v>
      </c>
      <c r="AB88" s="1">
        <v>54</v>
      </c>
      <c r="AC88" s="2">
        <f>Table135[[#This Row],[HDGF]]/Table14[[#This Row],[GP]]</f>
        <v>0.65853658536585369</v>
      </c>
      <c r="AD88" s="1">
        <v>55</v>
      </c>
      <c r="AE88" s="2">
        <f>Table135[[#This Row],[HDGA]]/Table14[[#This Row],[GP]]</f>
        <v>0.67073170731707321</v>
      </c>
      <c r="AF88" s="1">
        <v>9.1</v>
      </c>
    </row>
    <row r="89" spans="1:32" hidden="1" x14ac:dyDescent="0.35">
      <c r="A89" t="s">
        <v>90</v>
      </c>
      <c r="B89">
        <v>24</v>
      </c>
      <c r="C89" t="s">
        <v>86</v>
      </c>
      <c r="D89" s="1">
        <v>0</v>
      </c>
      <c r="E89" s="1">
        <v>29.4</v>
      </c>
      <c r="F89" s="1">
        <v>82</v>
      </c>
      <c r="G89" s="1">
        <v>81</v>
      </c>
      <c r="H89" s="2">
        <f>Table14[[#This Row],[PTS]]/Table14[[#This Row],[GP]]</f>
        <v>0.98780487804878048</v>
      </c>
      <c r="I89" s="2">
        <v>0.49399999999999999</v>
      </c>
      <c r="J89" s="1">
        <v>214</v>
      </c>
      <c r="K89" s="3">
        <f>Table14[[#This Row],[GF]]/Table14[[#This Row],[GP]]</f>
        <v>2.6097560975609757</v>
      </c>
      <c r="L89" s="1">
        <v>232</v>
      </c>
      <c r="M89" s="1">
        <v>2.83</v>
      </c>
      <c r="N89" s="2">
        <f>(Table14[[#This Row],[GF]]^2)/((Table14[[#This Row],[GF]]^2)+(Table14[[#This Row],[GA]]^2))</f>
        <v>0.45970688616743627</v>
      </c>
      <c r="O89" s="1">
        <v>20.66</v>
      </c>
      <c r="P89" s="1">
        <v>78.83</v>
      </c>
      <c r="Q89" s="1">
        <f>Table14[[#This Row],[PP_PCT]]+Table14[[#This Row],[PK_PCT]]</f>
        <v>99.49</v>
      </c>
      <c r="R89" s="3">
        <v>9.1</v>
      </c>
      <c r="S89" s="3">
        <f>Table14[[#This Row],[GA]]/Table14[[#This Row],[GP]]</f>
        <v>2.8292682926829267</v>
      </c>
      <c r="T89" s="2">
        <v>0.93</v>
      </c>
      <c r="U89" s="1">
        <v>100.5</v>
      </c>
      <c r="V89" s="1">
        <v>52.1</v>
      </c>
      <c r="W89" s="1">
        <v>52.9</v>
      </c>
      <c r="X89" s="1">
        <v>198.7</v>
      </c>
      <c r="Y89" s="3">
        <f>Table135[[#This Row],[XGF]]/Table14[[#This Row],[GP]]</f>
        <v>2.4231707317073168</v>
      </c>
      <c r="Z89" s="1">
        <v>174.7</v>
      </c>
      <c r="AA89" s="3">
        <f>Table135[[#This Row],[XGA]]/Table14[[#This Row],[GP]]</f>
        <v>2.1304878048780487</v>
      </c>
      <c r="AB89" s="1">
        <v>80</v>
      </c>
      <c r="AC89" s="2">
        <f>Table135[[#This Row],[HDGF]]/Table14[[#This Row],[GP]]</f>
        <v>0.97560975609756095</v>
      </c>
      <c r="AD89" s="1">
        <v>69</v>
      </c>
      <c r="AE89" s="2">
        <f>Table135[[#This Row],[HDGA]]/Table14[[#This Row],[GP]]</f>
        <v>0.84146341463414631</v>
      </c>
      <c r="AF89" s="1">
        <v>8</v>
      </c>
    </row>
    <row r="90" spans="1:32" hidden="1" x14ac:dyDescent="0.35">
      <c r="A90" t="s">
        <v>90</v>
      </c>
      <c r="B90">
        <v>25</v>
      </c>
      <c r="C90" t="s">
        <v>62</v>
      </c>
      <c r="D90" s="1">
        <v>0</v>
      </c>
      <c r="E90" s="1">
        <v>29.2</v>
      </c>
      <c r="F90" s="1">
        <v>82</v>
      </c>
      <c r="G90" s="1">
        <v>81</v>
      </c>
      <c r="H90" s="2">
        <f>Table14[[#This Row],[PTS]]/Table14[[#This Row],[GP]]</f>
        <v>0.98780487804878048</v>
      </c>
      <c r="I90" s="2">
        <v>0.49399999999999999</v>
      </c>
      <c r="J90" s="1">
        <v>253</v>
      </c>
      <c r="K90" s="3">
        <f>Table14[[#This Row],[GF]]/Table14[[#This Row],[GP]]</f>
        <v>3.0853658536585367</v>
      </c>
      <c r="L90" s="1">
        <v>267</v>
      </c>
      <c r="M90" s="1">
        <v>3.26</v>
      </c>
      <c r="N90" s="2">
        <f>(Table14[[#This Row],[GF]]^2)/((Table14[[#This Row],[GF]]^2)+(Table14[[#This Row],[GA]]^2))</f>
        <v>0.47309642418956671</v>
      </c>
      <c r="O90" s="1">
        <v>17.86</v>
      </c>
      <c r="P90" s="1">
        <v>80.819999999999993</v>
      </c>
      <c r="Q90" s="1">
        <f>Table14[[#This Row],[PP_PCT]]+Table14[[#This Row],[PK_PCT]]</f>
        <v>98.679999999999993</v>
      </c>
      <c r="R90" s="3">
        <v>9.8000000000000007</v>
      </c>
      <c r="S90" s="3">
        <f>Table14[[#This Row],[GA]]/Table14[[#This Row],[GP]]</f>
        <v>3.2560975609756095</v>
      </c>
      <c r="T90" s="2">
        <v>0.92200000000000004</v>
      </c>
      <c r="U90" s="1">
        <v>99.4</v>
      </c>
      <c r="V90" s="1">
        <v>52</v>
      </c>
      <c r="W90" s="1">
        <v>52.1</v>
      </c>
      <c r="X90" s="1">
        <v>201.9</v>
      </c>
      <c r="Y90" s="3">
        <f>Table135[[#This Row],[XGF]]/Table14[[#This Row],[GP]]</f>
        <v>2.4621951219512197</v>
      </c>
      <c r="Z90" s="1">
        <v>188.1</v>
      </c>
      <c r="AA90" s="3">
        <f>Table135[[#This Row],[XGA]]/Table14[[#This Row],[GP]]</f>
        <v>2.2939024390243903</v>
      </c>
      <c r="AB90" s="1">
        <v>75</v>
      </c>
      <c r="AC90" s="2">
        <f>Table135[[#This Row],[HDGF]]/Table14[[#This Row],[GP]]</f>
        <v>0.91463414634146345</v>
      </c>
      <c r="AD90" s="1">
        <v>77</v>
      </c>
      <c r="AE90" s="2">
        <f>Table135[[#This Row],[HDGA]]/Table14[[#This Row],[GP]]</f>
        <v>0.93902439024390238</v>
      </c>
      <c r="AF90" s="1">
        <v>9.4</v>
      </c>
    </row>
    <row r="91" spans="1:32" hidden="1" x14ac:dyDescent="0.35">
      <c r="A91" t="s">
        <v>90</v>
      </c>
      <c r="B91">
        <v>26</v>
      </c>
      <c r="C91" t="s">
        <v>82</v>
      </c>
      <c r="D91" s="1">
        <v>0</v>
      </c>
      <c r="E91" s="1">
        <v>27</v>
      </c>
      <c r="F91" s="1">
        <v>82</v>
      </c>
      <c r="G91" s="1">
        <v>78</v>
      </c>
      <c r="H91" s="2">
        <f>Table14[[#This Row],[PTS]]/Table14[[#This Row],[GP]]</f>
        <v>0.95121951219512191</v>
      </c>
      <c r="I91" s="2">
        <v>0.47599999999999998</v>
      </c>
      <c r="J91" s="1">
        <v>250</v>
      </c>
      <c r="K91" s="3">
        <f>Table14[[#This Row],[GF]]/Table14[[#This Row],[GP]]</f>
        <v>3.0487804878048781</v>
      </c>
      <c r="L91" s="1">
        <v>281</v>
      </c>
      <c r="M91" s="1">
        <v>3.43</v>
      </c>
      <c r="N91" s="2">
        <f>(Table14[[#This Row],[GF]]^2)/((Table14[[#This Row],[GF]]^2)+(Table14[[#This Row],[GA]]^2))</f>
        <v>0.4418178862018507</v>
      </c>
      <c r="O91" s="1">
        <v>18.02</v>
      </c>
      <c r="P91" s="1">
        <v>75.099999999999994</v>
      </c>
      <c r="Q91" s="1">
        <f>Table14[[#This Row],[PP_PCT]]+Table14[[#This Row],[PK_PCT]]</f>
        <v>93.11999999999999</v>
      </c>
      <c r="R91" s="3">
        <v>9.6</v>
      </c>
      <c r="S91" s="3">
        <f>Table14[[#This Row],[GA]]/Table14[[#This Row],[GP]]</f>
        <v>3.4268292682926829</v>
      </c>
      <c r="T91" s="2">
        <v>0.91900000000000004</v>
      </c>
      <c r="U91" s="1">
        <v>99.8</v>
      </c>
      <c r="V91" s="1">
        <v>51.7</v>
      </c>
      <c r="W91" s="1">
        <v>50.7</v>
      </c>
      <c r="X91" s="1">
        <v>184.6</v>
      </c>
      <c r="Y91" s="3">
        <f>Table135[[#This Row],[XGF]]/Table14[[#This Row],[GP]]</f>
        <v>2.2512195121951217</v>
      </c>
      <c r="Z91" s="1">
        <v>171.3</v>
      </c>
      <c r="AA91" s="3">
        <f>Table135[[#This Row],[XGA]]/Table14[[#This Row],[GP]]</f>
        <v>2.0890243902439027</v>
      </c>
      <c r="AB91" s="1">
        <v>71</v>
      </c>
      <c r="AC91" s="2">
        <f>Table135[[#This Row],[HDGF]]/Table14[[#This Row],[GP]]</f>
        <v>0.86585365853658536</v>
      </c>
      <c r="AD91" s="1">
        <v>73</v>
      </c>
      <c r="AE91" s="2">
        <f>Table135[[#This Row],[HDGA]]/Table14[[#This Row],[GP]]</f>
        <v>0.8902439024390244</v>
      </c>
      <c r="AF91" s="1">
        <v>10.4</v>
      </c>
    </row>
    <row r="92" spans="1:32" hidden="1" x14ac:dyDescent="0.35">
      <c r="A92" t="s">
        <v>90</v>
      </c>
      <c r="B92">
        <v>27</v>
      </c>
      <c r="C92" t="s">
        <v>87</v>
      </c>
      <c r="D92" s="1">
        <v>0</v>
      </c>
      <c r="E92" s="1">
        <v>26.7</v>
      </c>
      <c r="F92" s="1">
        <v>82</v>
      </c>
      <c r="G92" s="1">
        <v>77</v>
      </c>
      <c r="H92" s="2">
        <f>Table14[[#This Row],[PTS]]/Table14[[#This Row],[GP]]</f>
        <v>0.93902439024390238</v>
      </c>
      <c r="I92" s="2">
        <v>0.47</v>
      </c>
      <c r="J92" s="1">
        <v>254</v>
      </c>
      <c r="K92" s="3">
        <f>Table14[[#This Row],[GF]]/Table14[[#This Row],[GP]]</f>
        <v>3.0975609756097562</v>
      </c>
      <c r="L92" s="1">
        <v>274</v>
      </c>
      <c r="M92" s="1">
        <v>3.34</v>
      </c>
      <c r="N92" s="2">
        <f>(Table14[[#This Row],[GF]]^2)/((Table14[[#This Row],[GF]]^2)+(Table14[[#This Row],[GA]]^2))</f>
        <v>0.4621754828356926</v>
      </c>
      <c r="O92" s="1">
        <v>21.99</v>
      </c>
      <c r="P92" s="1">
        <v>76.319999999999993</v>
      </c>
      <c r="Q92" s="1">
        <f>Table14[[#This Row],[PP_PCT]]+Table14[[#This Row],[PK_PCT]]</f>
        <v>98.309999999999988</v>
      </c>
      <c r="R92" s="3">
        <v>11.2</v>
      </c>
      <c r="S92" s="3">
        <f>Table14[[#This Row],[GA]]/Table14[[#This Row],[GP]]</f>
        <v>3.3414634146341462</v>
      </c>
      <c r="T92" s="2">
        <v>0.90500000000000003</v>
      </c>
      <c r="U92" s="1">
        <v>98.6</v>
      </c>
      <c r="V92" s="1">
        <v>51</v>
      </c>
      <c r="W92" s="1">
        <v>49.4</v>
      </c>
      <c r="X92" s="1">
        <v>151.30000000000001</v>
      </c>
      <c r="Y92" s="3">
        <f>Table135[[#This Row],[XGF]]/Table14[[#This Row],[GP]]</f>
        <v>1.8451219512195123</v>
      </c>
      <c r="Z92" s="1">
        <v>166.5</v>
      </c>
      <c r="AA92" s="3">
        <f>Table135[[#This Row],[XGA]]/Table14[[#This Row],[GP]]</f>
        <v>2.0304878048780486</v>
      </c>
      <c r="AB92" s="1">
        <v>52</v>
      </c>
      <c r="AC92" s="2">
        <f>Table135[[#This Row],[HDGF]]/Table14[[#This Row],[GP]]</f>
        <v>0.63414634146341464</v>
      </c>
      <c r="AD92" s="1">
        <v>59</v>
      </c>
      <c r="AE92" s="2">
        <f>Table135[[#This Row],[HDGA]]/Table14[[#This Row],[GP]]</f>
        <v>0.71951219512195119</v>
      </c>
      <c r="AF92" s="1">
        <v>11.5</v>
      </c>
    </row>
    <row r="93" spans="1:32" hidden="1" x14ac:dyDescent="0.35">
      <c r="A93" t="s">
        <v>90</v>
      </c>
      <c r="B93">
        <v>28</v>
      </c>
      <c r="C93" t="s">
        <v>88</v>
      </c>
      <c r="D93" s="1">
        <v>0</v>
      </c>
      <c r="E93" s="1">
        <v>26.7</v>
      </c>
      <c r="F93" s="1">
        <v>82</v>
      </c>
      <c r="G93" s="1">
        <v>76</v>
      </c>
      <c r="H93" s="2">
        <f>Table14[[#This Row],[PTS]]/Table14[[#This Row],[GP]]</f>
        <v>0.92682926829268297</v>
      </c>
      <c r="I93" s="2">
        <v>0.46300000000000002</v>
      </c>
      <c r="J93" s="1">
        <v>232</v>
      </c>
      <c r="K93" s="3">
        <f>Table14[[#This Row],[GF]]/Table14[[#This Row],[GP]]</f>
        <v>2.8292682926829267</v>
      </c>
      <c r="L93" s="1">
        <v>281</v>
      </c>
      <c r="M93" s="1">
        <v>3.43</v>
      </c>
      <c r="N93" s="2">
        <f>(Table14[[#This Row],[GF]]^2)/((Table14[[#This Row],[GF]]^2)+(Table14[[#This Row],[GA]]^2))</f>
        <v>0.40534698949429526</v>
      </c>
      <c r="O93" s="1">
        <v>17.46</v>
      </c>
      <c r="P93" s="1">
        <v>76.53</v>
      </c>
      <c r="Q93" s="1">
        <f>Table14[[#This Row],[PP_PCT]]+Table14[[#This Row],[PK_PCT]]</f>
        <v>93.990000000000009</v>
      </c>
      <c r="R93" s="3">
        <v>10.199999999999999</v>
      </c>
      <c r="S93" s="3">
        <f>Table14[[#This Row],[GA]]/Table14[[#This Row],[GP]]</f>
        <v>3.4268292682926829</v>
      </c>
      <c r="T93" s="2">
        <v>0.92</v>
      </c>
      <c r="U93" s="1">
        <v>99.2</v>
      </c>
      <c r="V93" s="1">
        <v>45.5</v>
      </c>
      <c r="W93" s="1">
        <v>46.8</v>
      </c>
      <c r="X93" s="1">
        <v>160.5</v>
      </c>
      <c r="Y93" s="3">
        <f>Table135[[#This Row],[XGF]]/Table14[[#This Row],[GP]]</f>
        <v>1.9573170731707317</v>
      </c>
      <c r="Z93" s="1">
        <v>180</v>
      </c>
      <c r="AA93" s="3">
        <f>Table135[[#This Row],[XGA]]/Table14[[#This Row],[GP]]</f>
        <v>2.1951219512195124</v>
      </c>
      <c r="AB93" s="1">
        <v>63</v>
      </c>
      <c r="AC93" s="2">
        <f>Table135[[#This Row],[HDGF]]/Table14[[#This Row],[GP]]</f>
        <v>0.76829268292682928</v>
      </c>
      <c r="AD93" s="1">
        <v>69</v>
      </c>
      <c r="AE93" s="2">
        <f>Table135[[#This Row],[HDGA]]/Table14[[#This Row],[GP]]</f>
        <v>0.84146341463414631</v>
      </c>
      <c r="AF93" s="1">
        <v>10.199999999999999</v>
      </c>
    </row>
    <row r="94" spans="1:32" hidden="1" x14ac:dyDescent="0.35">
      <c r="A94" t="s">
        <v>90</v>
      </c>
      <c r="B94">
        <v>29</v>
      </c>
      <c r="C94" t="s">
        <v>77</v>
      </c>
      <c r="D94" s="1">
        <v>0</v>
      </c>
      <c r="E94" s="1">
        <v>26.8</v>
      </c>
      <c r="F94" s="1">
        <v>82</v>
      </c>
      <c r="G94" s="1">
        <v>66</v>
      </c>
      <c r="H94" s="2">
        <f>Table14[[#This Row],[PTS]]/Table14[[#This Row],[GP]]</f>
        <v>0.80487804878048785</v>
      </c>
      <c r="I94" s="2">
        <v>0.40200000000000002</v>
      </c>
      <c r="J94" s="1">
        <v>234</v>
      </c>
      <c r="K94" s="3">
        <f>Table14[[#This Row],[GF]]/Table14[[#This Row],[GP]]</f>
        <v>2.8536585365853657</v>
      </c>
      <c r="L94" s="1">
        <v>298</v>
      </c>
      <c r="M94" s="1">
        <v>3.63</v>
      </c>
      <c r="N94" s="2">
        <f>(Table14[[#This Row],[GF]]^2)/((Table14[[#This Row],[GF]]^2)+(Table14[[#This Row],[GA]]^2))</f>
        <v>0.38141543605461131</v>
      </c>
      <c r="O94" s="1">
        <v>15.09</v>
      </c>
      <c r="P94" s="1">
        <v>76.27</v>
      </c>
      <c r="Q94" s="1">
        <f>Table14[[#This Row],[PP_PCT]]+Table14[[#This Row],[PK_PCT]]</f>
        <v>91.36</v>
      </c>
      <c r="R94" s="3">
        <v>9.5</v>
      </c>
      <c r="S94" s="3">
        <f>Table14[[#This Row],[GA]]/Table14[[#This Row],[GP]]</f>
        <v>3.6341463414634148</v>
      </c>
      <c r="T94" s="2">
        <v>0.90200000000000002</v>
      </c>
      <c r="U94" s="1">
        <v>98.3</v>
      </c>
      <c r="V94" s="1">
        <v>48.6</v>
      </c>
      <c r="W94" s="1">
        <v>48.4</v>
      </c>
      <c r="X94" s="1">
        <v>179.7</v>
      </c>
      <c r="Y94" s="3">
        <f>Table135[[#This Row],[XGF]]/Table14[[#This Row],[GP]]</f>
        <v>2.1914634146341463</v>
      </c>
      <c r="Z94" s="1">
        <v>187</v>
      </c>
      <c r="AA94" s="3">
        <f>Table135[[#This Row],[XGA]]/Table14[[#This Row],[GP]]</f>
        <v>2.2804878048780486</v>
      </c>
      <c r="AB94" s="1">
        <v>70</v>
      </c>
      <c r="AC94" s="2">
        <f>Table135[[#This Row],[HDGF]]/Table14[[#This Row],[GP]]</f>
        <v>0.85365853658536583</v>
      </c>
      <c r="AD94" s="1">
        <v>94</v>
      </c>
      <c r="AE94" s="2">
        <f>Table135[[#This Row],[HDGA]]/Table14[[#This Row],[GP]]</f>
        <v>1.1463414634146341</v>
      </c>
      <c r="AF94" s="1">
        <v>8.1999999999999993</v>
      </c>
    </row>
    <row r="95" spans="1:32" hidden="1" x14ac:dyDescent="0.35">
      <c r="A95" t="s">
        <v>90</v>
      </c>
      <c r="B95">
        <v>30</v>
      </c>
      <c r="C95" t="s">
        <v>79</v>
      </c>
      <c r="D95" s="1">
        <v>0</v>
      </c>
      <c r="E95" s="1">
        <v>27.7</v>
      </c>
      <c r="F95" s="1">
        <v>82</v>
      </c>
      <c r="G95" s="1">
        <v>59</v>
      </c>
      <c r="H95" s="2">
        <f>Table14[[#This Row],[PTS]]/Table14[[#This Row],[GP]]</f>
        <v>0.71951219512195119</v>
      </c>
      <c r="I95" s="2">
        <v>0.36</v>
      </c>
      <c r="J95" s="1">
        <v>203</v>
      </c>
      <c r="K95" s="3">
        <f>Table14[[#This Row],[GF]]/Table14[[#This Row],[GP]]</f>
        <v>2.475609756097561</v>
      </c>
      <c r="L95" s="1">
        <v>293</v>
      </c>
      <c r="M95" s="1">
        <v>3.57</v>
      </c>
      <c r="N95" s="2">
        <f>(Table14[[#This Row],[GF]]^2)/((Table14[[#This Row],[GF]]^2)+(Table14[[#This Row],[GA]]^2))</f>
        <v>0.32433219474570668</v>
      </c>
      <c r="O95" s="1">
        <v>18.3</v>
      </c>
      <c r="P95" s="1">
        <v>72.42</v>
      </c>
      <c r="Q95" s="1">
        <f>Table14[[#This Row],[PP_PCT]]+Table14[[#This Row],[PK_PCT]]</f>
        <v>90.72</v>
      </c>
      <c r="R95" s="3">
        <v>9.3000000000000007</v>
      </c>
      <c r="S95" s="3">
        <f>Table14[[#This Row],[GA]]/Table14[[#This Row],[GP]]</f>
        <v>3.5731707317073171</v>
      </c>
      <c r="T95" s="2">
        <v>0.90900000000000003</v>
      </c>
      <c r="U95" s="1">
        <v>97.5</v>
      </c>
      <c r="V95" s="1">
        <v>44.4</v>
      </c>
      <c r="W95" s="1">
        <v>43.3</v>
      </c>
      <c r="X95" s="1">
        <v>135.80000000000001</v>
      </c>
      <c r="Y95" s="3">
        <f>Table135[[#This Row],[XGF]]/Table14[[#This Row],[GP]]</f>
        <v>1.6560975609756099</v>
      </c>
      <c r="Z95" s="1">
        <v>210.9</v>
      </c>
      <c r="AA95" s="3">
        <f>Table135[[#This Row],[XGA]]/Table14[[#This Row],[GP]]</f>
        <v>2.5719512195121954</v>
      </c>
      <c r="AB95" s="1">
        <v>44</v>
      </c>
      <c r="AC95" s="2">
        <f>Table135[[#This Row],[HDGF]]/Table14[[#This Row],[GP]]</f>
        <v>0.53658536585365857</v>
      </c>
      <c r="AD95" s="1">
        <v>82</v>
      </c>
      <c r="AE95" s="2">
        <f>Table135[[#This Row],[HDGA]]/Table14[[#This Row],[GP]]</f>
        <v>1</v>
      </c>
      <c r="AF95" s="1">
        <v>13.5</v>
      </c>
    </row>
    <row r="96" spans="1:32" hidden="1" x14ac:dyDescent="0.35">
      <c r="A96" t="s">
        <v>90</v>
      </c>
      <c r="B96">
        <v>31</v>
      </c>
      <c r="C96" t="s">
        <v>83</v>
      </c>
      <c r="D96" s="1">
        <v>0</v>
      </c>
      <c r="E96" s="1">
        <v>27.4</v>
      </c>
      <c r="F96" s="1">
        <v>82</v>
      </c>
      <c r="G96" s="1">
        <v>52</v>
      </c>
      <c r="H96" s="2">
        <f>Table14[[#This Row],[PTS]]/Table14[[#This Row],[GP]]</f>
        <v>0.63414634146341464</v>
      </c>
      <c r="I96" s="2">
        <v>0.317</v>
      </c>
      <c r="J96" s="1">
        <v>178</v>
      </c>
      <c r="K96" s="3">
        <f>Table14[[#This Row],[GF]]/Table14[[#This Row],[GP]]</f>
        <v>2.1707317073170733</v>
      </c>
      <c r="L96" s="1">
        <v>289</v>
      </c>
      <c r="M96" s="1">
        <v>3.52</v>
      </c>
      <c r="N96" s="2">
        <f>(Table14[[#This Row],[GF]]^2)/((Table14[[#This Row],[GF]]^2)+(Table14[[#This Row],[GA]]^2))</f>
        <v>0.27502278546938069</v>
      </c>
      <c r="O96" s="1">
        <v>16.600000000000001</v>
      </c>
      <c r="P96" s="1">
        <v>75.760000000000005</v>
      </c>
      <c r="Q96" s="1">
        <f>Table14[[#This Row],[PP_PCT]]+Table14[[#This Row],[PK_PCT]]</f>
        <v>92.360000000000014</v>
      </c>
      <c r="R96" s="3">
        <v>8.3000000000000007</v>
      </c>
      <c r="S96" s="3">
        <f>Table14[[#This Row],[GA]]/Table14[[#This Row],[GP]]</f>
        <v>3.524390243902439</v>
      </c>
      <c r="T96" s="2">
        <v>0.91100000000000003</v>
      </c>
      <c r="U96" s="1">
        <v>98.9</v>
      </c>
      <c r="V96" s="1">
        <v>46.3</v>
      </c>
      <c r="W96" s="1">
        <v>45.6</v>
      </c>
      <c r="X96" s="1">
        <v>132.6</v>
      </c>
      <c r="Y96" s="3">
        <f>Table135[[#This Row],[XGF]]/Table14[[#This Row],[GP]]</f>
        <v>1.6170731707317072</v>
      </c>
      <c r="Z96" s="1">
        <v>165.1</v>
      </c>
      <c r="AA96" s="3">
        <f>Table135[[#This Row],[XGA]]/Table14[[#This Row],[GP]]</f>
        <v>2.0134146341463413</v>
      </c>
      <c r="AB96" s="1">
        <v>46</v>
      </c>
      <c r="AC96" s="2">
        <f>Table135[[#This Row],[HDGF]]/Table14[[#This Row],[GP]]</f>
        <v>0.56097560975609762</v>
      </c>
      <c r="AD96" s="1">
        <v>60</v>
      </c>
      <c r="AE96" s="2">
        <f>Table135[[#This Row],[HDGA]]/Table14[[#This Row],[GP]]</f>
        <v>0.73170731707317072</v>
      </c>
      <c r="AF96" s="1">
        <v>8.6999999999999993</v>
      </c>
    </row>
    <row r="97" spans="1:32" hidden="1" x14ac:dyDescent="0.35">
      <c r="A97" t="s">
        <v>90</v>
      </c>
      <c r="B97">
        <v>32</v>
      </c>
      <c r="C97" t="s">
        <v>78</v>
      </c>
      <c r="D97" s="1">
        <v>0</v>
      </c>
      <c r="E97" s="1">
        <v>27.7</v>
      </c>
      <c r="F97" s="1">
        <v>82</v>
      </c>
      <c r="G97" s="1">
        <v>47</v>
      </c>
      <c r="H97" s="2">
        <f>Table14[[#This Row],[PTS]]/Table14[[#This Row],[GP]]</f>
        <v>0.57317073170731703</v>
      </c>
      <c r="I97" s="2">
        <v>0.28699999999999998</v>
      </c>
      <c r="J97" s="1">
        <v>180</v>
      </c>
      <c r="K97" s="3">
        <f>Table14[[#This Row],[GF]]/Table14[[#This Row],[GP]]</f>
        <v>2.1951219512195124</v>
      </c>
      <c r="L97" s="1">
        <v>326</v>
      </c>
      <c r="M97" s="1">
        <v>3.98</v>
      </c>
      <c r="N97" s="2">
        <f>(Table14[[#This Row],[GF]]^2)/((Table14[[#This Row],[GF]]^2)+(Table14[[#This Row],[GA]]^2))</f>
        <v>0.23363812051111946</v>
      </c>
      <c r="O97" s="1">
        <v>20.190000000000001</v>
      </c>
      <c r="P97" s="1">
        <v>75.400000000000006</v>
      </c>
      <c r="Q97" s="1">
        <f>Table14[[#This Row],[PP_PCT]]+Table14[[#This Row],[PK_PCT]]</f>
        <v>95.59</v>
      </c>
      <c r="R97" s="3">
        <v>8.6999999999999993</v>
      </c>
      <c r="S97" s="3">
        <f>Table14[[#This Row],[GA]]/Table14[[#This Row],[GP]]</f>
        <v>3.975609756097561</v>
      </c>
      <c r="T97" s="2">
        <v>0.90800000000000003</v>
      </c>
      <c r="U97" s="1">
        <v>98.3</v>
      </c>
      <c r="V97" s="1">
        <v>50.7</v>
      </c>
      <c r="W97" s="1">
        <v>50.2</v>
      </c>
      <c r="X97" s="1">
        <v>160.19999999999999</v>
      </c>
      <c r="Y97" s="3">
        <f>Table135[[#This Row],[XGF]]/Table14[[#This Row],[GP]]</f>
        <v>1.9536585365853658</v>
      </c>
      <c r="Z97" s="1">
        <v>160.30000000000001</v>
      </c>
      <c r="AA97" s="3">
        <f>Table135[[#This Row],[XGA]]/Table14[[#This Row],[GP]]</f>
        <v>1.954878048780488</v>
      </c>
      <c r="AB97" s="1">
        <v>45</v>
      </c>
      <c r="AC97" s="2">
        <f>Table135[[#This Row],[HDGF]]/Table14[[#This Row],[GP]]</f>
        <v>0.54878048780487809</v>
      </c>
      <c r="AD97" s="1">
        <v>77</v>
      </c>
      <c r="AE97" s="2">
        <f>Table135[[#This Row],[HDGA]]/Table14[[#This Row],[GP]]</f>
        <v>0.93902439024390238</v>
      </c>
      <c r="AF97" s="1">
        <v>9.5</v>
      </c>
    </row>
    <row r="98" spans="1:32" hidden="1" x14ac:dyDescent="0.35">
      <c r="A98" t="s">
        <v>91</v>
      </c>
      <c r="B98">
        <v>1</v>
      </c>
      <c r="C98" t="s">
        <v>75</v>
      </c>
      <c r="D98" s="1">
        <v>1</v>
      </c>
      <c r="E98" s="1">
        <v>29.6</v>
      </c>
      <c r="F98" s="1">
        <v>73</v>
      </c>
      <c r="G98" s="1">
        <v>104</v>
      </c>
      <c r="H98" s="2">
        <f>Table14[[#This Row],[PTS]]/Table14[[#This Row],[GP]]</f>
        <v>1.4246575342465753</v>
      </c>
      <c r="I98" s="2">
        <v>0.71199999999999997</v>
      </c>
      <c r="J98" s="1">
        <v>252</v>
      </c>
      <c r="K98" s="3">
        <f>Table14[[#This Row],[GF]]/Table14[[#This Row],[GP]]</f>
        <v>3.452054794520548</v>
      </c>
      <c r="L98" s="1">
        <v>171</v>
      </c>
      <c r="M98" s="1">
        <v>2.34</v>
      </c>
      <c r="N98" s="2">
        <f>(Table14[[#This Row],[GF]]^2)/((Table14[[#This Row],[GF]]^2)+(Table14[[#This Row],[GA]]^2))</f>
        <v>0.68471615720524015</v>
      </c>
      <c r="O98" s="1">
        <v>30.1</v>
      </c>
      <c r="P98" s="1">
        <v>79.349999999999994</v>
      </c>
      <c r="Q98" s="1">
        <f>Table14[[#This Row],[PP_PCT]]+Table14[[#This Row],[PK_PCT]]</f>
        <v>109.44999999999999</v>
      </c>
      <c r="R98" s="3">
        <v>12.3</v>
      </c>
      <c r="S98" s="3">
        <f>Table14[[#This Row],[GA]]/Table14[[#This Row],[GP]]</f>
        <v>2.3424657534246576</v>
      </c>
      <c r="T98" s="2">
        <v>0.91300000000000003</v>
      </c>
      <c r="U98" s="1">
        <v>100.8</v>
      </c>
      <c r="V98" s="1">
        <v>52.9</v>
      </c>
      <c r="W98" s="1">
        <v>53.7</v>
      </c>
      <c r="X98" s="1">
        <v>178.1</v>
      </c>
      <c r="Y98" s="3">
        <f>Table135[[#This Row],[XGF]]/Table14[[#This Row],[GP]]</f>
        <v>2.4397260273972603</v>
      </c>
      <c r="Z98" s="1">
        <v>154.5</v>
      </c>
      <c r="AA98" s="3">
        <f>Table135[[#This Row],[XGA]]/Table14[[#This Row],[GP]]</f>
        <v>2.1164383561643834</v>
      </c>
      <c r="AB98" s="1">
        <v>82</v>
      </c>
      <c r="AC98" s="2">
        <f>Table135[[#This Row],[HDGF]]/Table14[[#This Row],[GP]]</f>
        <v>1.1232876712328768</v>
      </c>
      <c r="AD98" s="1">
        <v>87</v>
      </c>
      <c r="AE98" s="2">
        <f>Table135[[#This Row],[HDGA]]/Table14[[#This Row],[GP]]</f>
        <v>1.1917808219178083</v>
      </c>
      <c r="AF98" s="1">
        <v>7.6</v>
      </c>
    </row>
    <row r="99" spans="1:32" hidden="1" x14ac:dyDescent="0.35">
      <c r="A99" t="s">
        <v>91</v>
      </c>
      <c r="B99">
        <v>2</v>
      </c>
      <c r="C99" t="s">
        <v>69</v>
      </c>
      <c r="D99" s="1">
        <v>1</v>
      </c>
      <c r="E99" s="1">
        <v>29.4</v>
      </c>
      <c r="F99" s="1">
        <v>72</v>
      </c>
      <c r="G99" s="1">
        <v>103</v>
      </c>
      <c r="H99" s="2">
        <f>Table14[[#This Row],[PTS]]/Table14[[#This Row],[GP]]</f>
        <v>1.4305555555555556</v>
      </c>
      <c r="I99" s="2">
        <v>0.71499999999999997</v>
      </c>
      <c r="J99" s="1">
        <v>260</v>
      </c>
      <c r="K99" s="3">
        <f>Table14[[#This Row],[GF]]/Table14[[#This Row],[GP]]</f>
        <v>3.6111111111111112</v>
      </c>
      <c r="L99" s="1">
        <v>185</v>
      </c>
      <c r="M99" s="1">
        <v>2.57</v>
      </c>
      <c r="N99" s="2">
        <f>(Table14[[#This Row],[GF]]^2)/((Table14[[#This Row],[GF]]^2)+(Table14[[#This Row],[GA]]^2))</f>
        <v>0.66388411490301991</v>
      </c>
      <c r="O99" s="1">
        <v>21.54</v>
      </c>
      <c r="P99" s="1">
        <v>82.69</v>
      </c>
      <c r="Q99" s="1">
        <f>Table14[[#This Row],[PP_PCT]]+Table14[[#This Row],[PK_PCT]]</f>
        <v>104.22999999999999</v>
      </c>
      <c r="R99" s="3">
        <v>13.1</v>
      </c>
      <c r="S99" s="3">
        <f>Table14[[#This Row],[GA]]/Table14[[#This Row],[GP]]</f>
        <v>2.5694444444444446</v>
      </c>
      <c r="T99" s="2">
        <v>0.92800000000000005</v>
      </c>
      <c r="U99" s="1">
        <v>100</v>
      </c>
      <c r="V99" s="1">
        <v>51.8</v>
      </c>
      <c r="W99" s="1">
        <v>49.7</v>
      </c>
      <c r="X99" s="1">
        <v>155.1</v>
      </c>
      <c r="Y99" s="3">
        <f>Table135[[#This Row],[XGF]]/Table14[[#This Row],[GP]]</f>
        <v>2.1541666666666668</v>
      </c>
      <c r="Z99" s="1">
        <v>148.1</v>
      </c>
      <c r="AA99" s="3">
        <f>Table135[[#This Row],[XGA]]/Table14[[#This Row],[GP]]</f>
        <v>2.0569444444444445</v>
      </c>
      <c r="AB99" s="1">
        <v>46</v>
      </c>
      <c r="AC99" s="2">
        <f>Table135[[#This Row],[HDGF]]/Table14[[#This Row],[GP]]</f>
        <v>0.63888888888888884</v>
      </c>
      <c r="AD99" s="1">
        <v>52</v>
      </c>
      <c r="AE99" s="2">
        <f>Table135[[#This Row],[HDGA]]/Table14[[#This Row],[GP]]</f>
        <v>0.72222222222222221</v>
      </c>
      <c r="AF99" s="1">
        <v>8.3000000000000007</v>
      </c>
    </row>
    <row r="100" spans="1:32" hidden="1" x14ac:dyDescent="0.35">
      <c r="A100" t="s">
        <v>91</v>
      </c>
      <c r="B100">
        <v>3</v>
      </c>
      <c r="C100" t="s">
        <v>71</v>
      </c>
      <c r="D100" s="1">
        <v>1</v>
      </c>
      <c r="E100" s="1">
        <v>28.4</v>
      </c>
      <c r="F100" s="1">
        <v>72</v>
      </c>
      <c r="G100" s="1">
        <v>98</v>
      </c>
      <c r="H100" s="2">
        <f>Table14[[#This Row],[PTS]]/Table14[[#This Row],[GP]]</f>
        <v>1.3611111111111112</v>
      </c>
      <c r="I100" s="2">
        <v>0.68100000000000005</v>
      </c>
      <c r="J100" s="1">
        <v>244</v>
      </c>
      <c r="K100" s="3">
        <f>Table14[[#This Row],[GF]]/Table14[[#This Row],[GP]]</f>
        <v>3.3888888888888888</v>
      </c>
      <c r="L100" s="1">
        <v>185</v>
      </c>
      <c r="M100" s="1">
        <v>2.57</v>
      </c>
      <c r="N100" s="2">
        <f>(Table14[[#This Row],[GF]]^2)/((Table14[[#This Row],[GF]]^2)+(Table14[[#This Row],[GA]]^2))</f>
        <v>0.6349761627968985</v>
      </c>
      <c r="O100" s="1">
        <v>22.43</v>
      </c>
      <c r="P100" s="1">
        <v>84.18</v>
      </c>
      <c r="Q100" s="1">
        <f>Table14[[#This Row],[PP_PCT]]+Table14[[#This Row],[PK_PCT]]</f>
        <v>106.61000000000001</v>
      </c>
      <c r="R100" s="3">
        <v>11.8</v>
      </c>
      <c r="S100" s="3">
        <f>Table14[[#This Row],[GA]]/Table14[[#This Row],[GP]]</f>
        <v>2.5694444444444446</v>
      </c>
      <c r="T100" s="2">
        <v>0.91200000000000003</v>
      </c>
      <c r="U100" s="1">
        <v>99.9</v>
      </c>
      <c r="V100" s="1">
        <v>48.6</v>
      </c>
      <c r="W100" s="1">
        <v>48.2</v>
      </c>
      <c r="X100" s="1">
        <v>136.9</v>
      </c>
      <c r="Y100" s="3">
        <f>Table135[[#This Row],[XGF]]/Table14[[#This Row],[GP]]</f>
        <v>1.901388888888889</v>
      </c>
      <c r="Z100" s="1">
        <v>153.4</v>
      </c>
      <c r="AA100" s="3">
        <f>Table135[[#This Row],[XGA]]/Table14[[#This Row],[GP]]</f>
        <v>2.1305555555555555</v>
      </c>
      <c r="AB100" s="1">
        <v>48</v>
      </c>
      <c r="AC100" s="2">
        <f>Table135[[#This Row],[HDGF]]/Table14[[#This Row],[GP]]</f>
        <v>0.66666666666666663</v>
      </c>
      <c r="AD100" s="1">
        <v>57</v>
      </c>
      <c r="AE100" s="2">
        <f>Table135[[#This Row],[HDGA]]/Table14[[#This Row],[GP]]</f>
        <v>0.79166666666666663</v>
      </c>
      <c r="AF100" s="1">
        <v>6.9</v>
      </c>
    </row>
    <row r="101" spans="1:32" hidden="1" x14ac:dyDescent="0.35">
      <c r="A101" t="s">
        <v>91</v>
      </c>
      <c r="B101">
        <v>4</v>
      </c>
      <c r="C101" t="s">
        <v>73</v>
      </c>
      <c r="D101" s="1">
        <v>1</v>
      </c>
      <c r="E101" s="1">
        <v>29.3</v>
      </c>
      <c r="F101" s="1">
        <v>72</v>
      </c>
      <c r="G101" s="1">
        <v>96</v>
      </c>
      <c r="H101" s="2">
        <f>Table14[[#This Row],[PTS]]/Table14[[#This Row],[GP]]</f>
        <v>1.3333333333333333</v>
      </c>
      <c r="I101" s="2">
        <v>0.66700000000000004</v>
      </c>
      <c r="J101" s="1">
        <v>246</v>
      </c>
      <c r="K101" s="3">
        <f>Table14[[#This Row],[GF]]/Table14[[#This Row],[GP]]</f>
        <v>3.4166666666666665</v>
      </c>
      <c r="L101" s="1">
        <v>191</v>
      </c>
      <c r="M101" s="1">
        <v>2.65</v>
      </c>
      <c r="N101" s="2">
        <f>(Table14[[#This Row],[GF]]^2)/((Table14[[#This Row],[GF]]^2)+(Table14[[#This Row],[GA]]^2))</f>
        <v>0.62389558439951753</v>
      </c>
      <c r="O101" s="1">
        <v>30.36</v>
      </c>
      <c r="P101" s="1">
        <v>76.03</v>
      </c>
      <c r="Q101" s="1">
        <f>Table14[[#This Row],[PP_PCT]]+Table14[[#This Row],[PK_PCT]]</f>
        <v>106.39</v>
      </c>
      <c r="R101" s="3">
        <v>11.2</v>
      </c>
      <c r="S101" s="3">
        <f>Table14[[#This Row],[GA]]/Table14[[#This Row],[GP]]</f>
        <v>2.6527777777777777</v>
      </c>
      <c r="T101" s="2">
        <v>0.92400000000000004</v>
      </c>
      <c r="U101" s="1">
        <v>102</v>
      </c>
      <c r="V101" s="1">
        <v>47.2</v>
      </c>
      <c r="W101" s="1">
        <v>46.7</v>
      </c>
      <c r="X101" s="1">
        <v>182.1</v>
      </c>
      <c r="Y101" s="3">
        <f>Table135[[#This Row],[XGF]]/Table14[[#This Row],[GP]]</f>
        <v>2.5291666666666668</v>
      </c>
      <c r="Z101" s="1">
        <v>188.6</v>
      </c>
      <c r="AA101" s="3">
        <f>Table135[[#This Row],[XGA]]/Table14[[#This Row],[GP]]</f>
        <v>2.6194444444444445</v>
      </c>
      <c r="AB101" s="1">
        <v>67</v>
      </c>
      <c r="AC101" s="2">
        <f>Table135[[#This Row],[HDGF]]/Table14[[#This Row],[GP]]</f>
        <v>0.93055555555555558</v>
      </c>
      <c r="AD101" s="1">
        <v>68</v>
      </c>
      <c r="AE101" s="2">
        <f>Table135[[#This Row],[HDGA]]/Table14[[#This Row],[GP]]</f>
        <v>0.94444444444444442</v>
      </c>
      <c r="AF101" s="1">
        <v>5.7</v>
      </c>
    </row>
    <row r="102" spans="1:32" hidden="1" x14ac:dyDescent="0.35">
      <c r="A102" t="s">
        <v>91</v>
      </c>
      <c r="B102">
        <v>5</v>
      </c>
      <c r="C102" t="s">
        <v>58</v>
      </c>
      <c r="D102" s="1">
        <v>1</v>
      </c>
      <c r="E102" s="1">
        <v>28.6</v>
      </c>
      <c r="F102" s="1">
        <v>73</v>
      </c>
      <c r="G102" s="1">
        <v>93</v>
      </c>
      <c r="H102" s="2">
        <f>Table14[[#This Row],[PTS]]/Table14[[#This Row],[GP]]</f>
        <v>1.273972602739726</v>
      </c>
      <c r="I102" s="2">
        <v>0.63700000000000001</v>
      </c>
      <c r="J102" s="1">
        <v>246</v>
      </c>
      <c r="K102" s="3">
        <f>Table14[[#This Row],[GF]]/Table14[[#This Row],[GP]]</f>
        <v>3.3698630136986303</v>
      </c>
      <c r="L102" s="1">
        <v>204</v>
      </c>
      <c r="M102" s="1">
        <v>2.79</v>
      </c>
      <c r="N102" s="2">
        <f>(Table14[[#This Row],[GF]]^2)/((Table14[[#This Row],[GF]]^2)+(Table14[[#This Row],[GA]]^2))</f>
        <v>0.59252731758900246</v>
      </c>
      <c r="O102" s="1">
        <v>25.71</v>
      </c>
      <c r="P102" s="1">
        <v>79.12</v>
      </c>
      <c r="Q102" s="1">
        <f>Table14[[#This Row],[PP_PCT]]+Table14[[#This Row],[PK_PCT]]</f>
        <v>104.83000000000001</v>
      </c>
      <c r="R102" s="3">
        <v>11.3</v>
      </c>
      <c r="S102" s="3">
        <f>Table14[[#This Row],[GA]]/Table14[[#This Row],[GP]]</f>
        <v>2.7945205479452055</v>
      </c>
      <c r="T102" s="2">
        <v>0.91700000000000004</v>
      </c>
      <c r="U102" s="1">
        <v>100.5</v>
      </c>
      <c r="V102" s="1">
        <v>46.1</v>
      </c>
      <c r="W102" s="1">
        <v>46.4</v>
      </c>
      <c r="X102" s="1">
        <v>174.3</v>
      </c>
      <c r="Y102" s="3">
        <f>Table135[[#This Row],[XGF]]/Table14[[#This Row],[GP]]</f>
        <v>2.3876712328767127</v>
      </c>
      <c r="Z102" s="1">
        <v>202.5</v>
      </c>
      <c r="AA102" s="3">
        <f>Table135[[#This Row],[XGA]]/Table14[[#This Row],[GP]]</f>
        <v>2.7739726027397262</v>
      </c>
      <c r="AB102" s="1">
        <v>67</v>
      </c>
      <c r="AC102" s="2">
        <f>Table135[[#This Row],[HDGF]]/Table14[[#This Row],[GP]]</f>
        <v>0.9178082191780822</v>
      </c>
      <c r="AD102" s="1">
        <v>91</v>
      </c>
      <c r="AE102" s="2">
        <f>Table135[[#This Row],[HDGA]]/Table14[[#This Row],[GP]]</f>
        <v>1.2465753424657535</v>
      </c>
      <c r="AF102" s="1">
        <v>6.8</v>
      </c>
    </row>
    <row r="103" spans="1:32" hidden="1" x14ac:dyDescent="0.35">
      <c r="A103" t="s">
        <v>91</v>
      </c>
      <c r="B103">
        <v>6</v>
      </c>
      <c r="C103" t="s">
        <v>59</v>
      </c>
      <c r="D103" s="1">
        <v>1</v>
      </c>
      <c r="E103" s="1">
        <v>29.6</v>
      </c>
      <c r="F103" s="1">
        <v>72</v>
      </c>
      <c r="G103" s="1">
        <v>92</v>
      </c>
      <c r="H103" s="2">
        <f>Table14[[#This Row],[PTS]]/Table14[[#This Row],[GP]]</f>
        <v>1.2777777777777777</v>
      </c>
      <c r="I103" s="2">
        <v>0.63900000000000001</v>
      </c>
      <c r="J103" s="1">
        <v>232</v>
      </c>
      <c r="K103" s="3">
        <f>Table14[[#This Row],[GF]]/Table14[[#This Row],[GP]]</f>
        <v>3.2222222222222223</v>
      </c>
      <c r="L103" s="1">
        <v>190</v>
      </c>
      <c r="M103" s="1">
        <v>2.64</v>
      </c>
      <c r="N103" s="2">
        <f>(Table14[[#This Row],[GF]]^2)/((Table14[[#This Row],[GF]]^2)+(Table14[[#This Row],[GA]]^2))</f>
        <v>0.59854988657088204</v>
      </c>
      <c r="O103" s="1">
        <v>18.350000000000001</v>
      </c>
      <c r="P103" s="1">
        <v>84.76</v>
      </c>
      <c r="Q103" s="1">
        <f>Table14[[#This Row],[PP_PCT]]+Table14[[#This Row],[PK_PCT]]</f>
        <v>103.11000000000001</v>
      </c>
      <c r="R103" s="3">
        <v>10.199999999999999</v>
      </c>
      <c r="S103" s="3">
        <f>Table14[[#This Row],[GA]]/Table14[[#This Row],[GP]]</f>
        <v>2.6388888888888888</v>
      </c>
      <c r="T103" s="2">
        <v>0.92700000000000005</v>
      </c>
      <c r="U103" s="1">
        <v>100.4</v>
      </c>
      <c r="V103" s="1">
        <v>45.9</v>
      </c>
      <c r="W103" s="1">
        <v>45.5</v>
      </c>
      <c r="X103" s="1">
        <v>157.5</v>
      </c>
      <c r="Y103" s="3">
        <f>Table135[[#This Row],[XGF]]/Table14[[#This Row],[GP]]</f>
        <v>2.1875</v>
      </c>
      <c r="Z103" s="1">
        <v>183.7</v>
      </c>
      <c r="AA103" s="3">
        <f>Table135[[#This Row],[XGA]]/Table14[[#This Row],[GP]]</f>
        <v>2.5513888888888889</v>
      </c>
      <c r="AB103" s="1">
        <v>54</v>
      </c>
      <c r="AC103" s="2">
        <f>Table135[[#This Row],[HDGF]]/Table14[[#This Row],[GP]]</f>
        <v>0.75</v>
      </c>
      <c r="AD103" s="1">
        <v>67</v>
      </c>
      <c r="AE103" s="2">
        <f>Table135[[#This Row],[HDGA]]/Table14[[#This Row],[GP]]</f>
        <v>0.93055555555555558</v>
      </c>
      <c r="AF103" s="1">
        <v>7</v>
      </c>
    </row>
    <row r="104" spans="1:32" hidden="1" x14ac:dyDescent="0.35">
      <c r="A104" t="s">
        <v>91</v>
      </c>
      <c r="B104">
        <v>7</v>
      </c>
      <c r="C104" t="s">
        <v>57</v>
      </c>
      <c r="D104" s="1">
        <v>1</v>
      </c>
      <c r="E104" s="1">
        <v>29.5</v>
      </c>
      <c r="F104" s="1">
        <v>72</v>
      </c>
      <c r="G104" s="1">
        <v>91</v>
      </c>
      <c r="H104" s="2">
        <f>Table14[[#This Row],[PTS]]/Table14[[#This Row],[GP]]</f>
        <v>1.2638888888888888</v>
      </c>
      <c r="I104" s="2">
        <v>0.63200000000000001</v>
      </c>
      <c r="J104" s="1">
        <v>226</v>
      </c>
      <c r="K104" s="3">
        <f>Table14[[#This Row],[GF]]/Table14[[#This Row],[GP]]</f>
        <v>3.1388888888888888</v>
      </c>
      <c r="L104" s="1">
        <v>194</v>
      </c>
      <c r="M104" s="1">
        <v>2.69</v>
      </c>
      <c r="N104" s="2">
        <f>(Table14[[#This Row],[GF]]^2)/((Table14[[#This Row],[GF]]^2)+(Table14[[#This Row],[GA]]^2))</f>
        <v>0.57575074398052128</v>
      </c>
      <c r="O104" s="1">
        <v>24.07</v>
      </c>
      <c r="P104" s="1">
        <v>81.22</v>
      </c>
      <c r="Q104" s="1">
        <f>Table14[[#This Row],[PP_PCT]]+Table14[[#This Row],[PK_PCT]]</f>
        <v>105.28999999999999</v>
      </c>
      <c r="R104" s="3">
        <v>9.9</v>
      </c>
      <c r="S104" s="3">
        <f>Table14[[#This Row],[GA]]/Table14[[#This Row],[GP]]</f>
        <v>2.6944444444444446</v>
      </c>
      <c r="T104" s="2">
        <v>0.92500000000000004</v>
      </c>
      <c r="U104" s="1">
        <v>101.5</v>
      </c>
      <c r="V104" s="1">
        <v>49.7</v>
      </c>
      <c r="W104" s="1">
        <v>48.9</v>
      </c>
      <c r="X104" s="1">
        <v>155</v>
      </c>
      <c r="Y104" s="3">
        <f>Table135[[#This Row],[XGF]]/Table14[[#This Row],[GP]]</f>
        <v>2.1527777777777777</v>
      </c>
      <c r="Z104" s="1">
        <v>137.6</v>
      </c>
      <c r="AA104" s="3">
        <f>Table135[[#This Row],[XGA]]/Table14[[#This Row],[GP]]</f>
        <v>1.911111111111111</v>
      </c>
      <c r="AB104" s="1">
        <v>61</v>
      </c>
      <c r="AC104" s="2">
        <f>Table135[[#This Row],[HDGF]]/Table14[[#This Row],[GP]]</f>
        <v>0.84722222222222221</v>
      </c>
      <c r="AD104" s="1">
        <v>43</v>
      </c>
      <c r="AE104" s="2">
        <f>Table135[[#This Row],[HDGA]]/Table14[[#This Row],[GP]]</f>
        <v>0.59722222222222221</v>
      </c>
      <c r="AF104" s="1">
        <v>9.8000000000000007</v>
      </c>
    </row>
    <row r="105" spans="1:32" hidden="1" x14ac:dyDescent="0.35">
      <c r="A105" t="s">
        <v>91</v>
      </c>
      <c r="B105">
        <v>8</v>
      </c>
      <c r="C105" t="s">
        <v>60</v>
      </c>
      <c r="D105" s="1">
        <v>1</v>
      </c>
      <c r="E105" s="1">
        <v>29.3</v>
      </c>
      <c r="F105" s="1">
        <v>72</v>
      </c>
      <c r="G105" s="1">
        <v>90</v>
      </c>
      <c r="H105" s="2">
        <f>Table14[[#This Row],[PTS]]/Table14[[#This Row],[GP]]</f>
        <v>1.25</v>
      </c>
      <c r="I105" s="2">
        <v>0.625</v>
      </c>
      <c r="J105" s="1">
        <v>235</v>
      </c>
      <c r="K105" s="3">
        <f>Table14[[#This Row],[GF]]/Table14[[#This Row],[GP]]</f>
        <v>3.2638888888888888</v>
      </c>
      <c r="L105" s="1">
        <v>214</v>
      </c>
      <c r="M105" s="1">
        <v>2.97</v>
      </c>
      <c r="N105" s="2">
        <f>(Table14[[#This Row],[GF]]^2)/((Table14[[#This Row],[GF]]^2)+(Table14[[#This Row],[GA]]^2))</f>
        <v>0.54666851446728892</v>
      </c>
      <c r="O105" s="1">
        <v>26.53</v>
      </c>
      <c r="P105" s="1">
        <v>78.099999999999994</v>
      </c>
      <c r="Q105" s="1">
        <f>Table14[[#This Row],[PP_PCT]]+Table14[[#This Row],[PK_PCT]]</f>
        <v>104.63</v>
      </c>
      <c r="R105" s="3">
        <v>11.5</v>
      </c>
      <c r="S105" s="3">
        <f>Table14[[#This Row],[GA]]/Table14[[#This Row],[GP]]</f>
        <v>2.9722222222222223</v>
      </c>
      <c r="T105" s="2">
        <v>0.92500000000000004</v>
      </c>
      <c r="U105" s="1">
        <v>101.4</v>
      </c>
      <c r="V105" s="1">
        <v>50.9</v>
      </c>
      <c r="W105" s="1">
        <v>51.1</v>
      </c>
      <c r="X105" s="1">
        <v>181.2</v>
      </c>
      <c r="Y105" s="3">
        <f>Table135[[#This Row],[XGF]]/Table14[[#This Row],[GP]]</f>
        <v>2.5166666666666666</v>
      </c>
      <c r="Z105" s="1">
        <v>168.5</v>
      </c>
      <c r="AA105" s="3">
        <f>Table135[[#This Row],[XGA]]/Table14[[#This Row],[GP]]</f>
        <v>2.3402777777777777</v>
      </c>
      <c r="AB105" s="1">
        <v>77</v>
      </c>
      <c r="AC105" s="2">
        <f>Table135[[#This Row],[HDGF]]/Table14[[#This Row],[GP]]</f>
        <v>1.0694444444444444</v>
      </c>
      <c r="AD105" s="1">
        <v>70</v>
      </c>
      <c r="AE105" s="2">
        <f>Table135[[#This Row],[HDGA]]/Table14[[#This Row],[GP]]</f>
        <v>0.97222222222222221</v>
      </c>
      <c r="AF105" s="1">
        <v>7.9</v>
      </c>
    </row>
    <row r="106" spans="1:32" hidden="1" x14ac:dyDescent="0.35">
      <c r="A106" t="s">
        <v>91</v>
      </c>
      <c r="B106">
        <v>9</v>
      </c>
      <c r="C106" t="s">
        <v>63</v>
      </c>
      <c r="D106" s="1">
        <v>1</v>
      </c>
      <c r="E106" s="1">
        <v>29.6</v>
      </c>
      <c r="F106" s="1">
        <v>72</v>
      </c>
      <c r="G106" s="1">
        <v>89</v>
      </c>
      <c r="H106" s="2">
        <f>Table14[[#This Row],[PTS]]/Table14[[#This Row],[GP]]</f>
        <v>1.2361111111111112</v>
      </c>
      <c r="I106" s="2">
        <v>0.61799999999999999</v>
      </c>
      <c r="J106" s="1">
        <v>257</v>
      </c>
      <c r="K106" s="3">
        <f>Table14[[#This Row],[GF]]/Table14[[#This Row],[GP]]</f>
        <v>3.5694444444444446</v>
      </c>
      <c r="L106" s="1">
        <v>190</v>
      </c>
      <c r="M106" s="1">
        <v>2.64</v>
      </c>
      <c r="N106" s="2">
        <f>(Table14[[#This Row],[GF]]^2)/((Table14[[#This Row],[GF]]^2)+(Table14[[#This Row],[GA]]^2))</f>
        <v>0.64659468031992484</v>
      </c>
      <c r="O106" s="1">
        <v>25.98</v>
      </c>
      <c r="P106" s="1">
        <v>82.32</v>
      </c>
      <c r="Q106" s="1">
        <f>Table14[[#This Row],[PP_PCT]]+Table14[[#This Row],[PK_PCT]]</f>
        <v>108.3</v>
      </c>
      <c r="R106" s="3">
        <v>12.4</v>
      </c>
      <c r="S106" s="3">
        <f>Table14[[#This Row],[GA]]/Table14[[#This Row],[GP]]</f>
        <v>2.6388888888888888</v>
      </c>
      <c r="T106" s="2">
        <v>0.92300000000000004</v>
      </c>
      <c r="U106" s="1">
        <v>100.5</v>
      </c>
      <c r="V106" s="1">
        <v>51.6</v>
      </c>
      <c r="W106" s="1">
        <v>51.5</v>
      </c>
      <c r="X106" s="1">
        <v>196.1</v>
      </c>
      <c r="Y106" s="3">
        <f>Table135[[#This Row],[XGF]]/Table14[[#This Row],[GP]]</f>
        <v>2.723611111111111</v>
      </c>
      <c r="Z106" s="1">
        <v>187.7</v>
      </c>
      <c r="AA106" s="3">
        <f>Table135[[#This Row],[XGA]]/Table14[[#This Row],[GP]]</f>
        <v>2.6069444444444443</v>
      </c>
      <c r="AB106" s="1">
        <v>80</v>
      </c>
      <c r="AC106" s="2">
        <f>Table135[[#This Row],[HDGF]]/Table14[[#This Row],[GP]]</f>
        <v>1.1111111111111112</v>
      </c>
      <c r="AD106" s="1">
        <v>58</v>
      </c>
      <c r="AE106" s="2">
        <f>Table135[[#This Row],[HDGA]]/Table14[[#This Row],[GP]]</f>
        <v>0.80555555555555558</v>
      </c>
      <c r="AF106" s="1">
        <v>8.1999999999999993</v>
      </c>
    </row>
    <row r="107" spans="1:32" hidden="1" x14ac:dyDescent="0.35">
      <c r="A107" t="s">
        <v>91</v>
      </c>
      <c r="B107">
        <v>10</v>
      </c>
      <c r="C107" t="s">
        <v>70</v>
      </c>
      <c r="D107" s="1">
        <v>1</v>
      </c>
      <c r="E107" s="1">
        <v>29.3</v>
      </c>
      <c r="F107" s="1">
        <v>71</v>
      </c>
      <c r="G107" s="1">
        <v>89</v>
      </c>
      <c r="H107" s="2">
        <f>Table14[[#This Row],[PTS]]/Table14[[#This Row],[GP]]</f>
        <v>1.2535211267605635</v>
      </c>
      <c r="I107" s="2">
        <v>0.627</v>
      </c>
      <c r="J107" s="1">
        <v>205</v>
      </c>
      <c r="K107" s="3">
        <f>Table14[[#This Row],[GF]]/Table14[[#This Row],[GP]]</f>
        <v>2.887323943661972</v>
      </c>
      <c r="L107" s="1">
        <v>179</v>
      </c>
      <c r="M107" s="1">
        <v>2.52</v>
      </c>
      <c r="N107" s="2">
        <f>(Table14[[#This Row],[GF]]^2)/((Table14[[#This Row],[GF]]^2)+(Table14[[#This Row],[GA]]^2))</f>
        <v>0.56739934652877166</v>
      </c>
      <c r="O107" s="1">
        <v>16.27</v>
      </c>
      <c r="P107" s="1">
        <v>81.37</v>
      </c>
      <c r="Q107" s="1">
        <f>Table14[[#This Row],[PP_PCT]]+Table14[[#This Row],[PK_PCT]]</f>
        <v>97.64</v>
      </c>
      <c r="R107" s="3">
        <v>10.4</v>
      </c>
      <c r="S107" s="3">
        <f>Table14[[#This Row],[GA]]/Table14[[#This Row],[GP]]</f>
        <v>2.5211267605633805</v>
      </c>
      <c r="T107" s="2">
        <v>0.90900000000000003</v>
      </c>
      <c r="U107" s="1">
        <v>99.5</v>
      </c>
      <c r="V107" s="1">
        <v>51.1</v>
      </c>
      <c r="W107" s="1">
        <v>50.2</v>
      </c>
      <c r="X107" s="1">
        <v>167.7</v>
      </c>
      <c r="Y107" s="3">
        <f>Table135[[#This Row],[XGF]]/Table14[[#This Row],[GP]]</f>
        <v>2.3619718309859152</v>
      </c>
      <c r="Z107" s="1">
        <v>166.6</v>
      </c>
      <c r="AA107" s="3">
        <f>Table135[[#This Row],[XGA]]/Table14[[#This Row],[GP]]</f>
        <v>2.3464788732394366</v>
      </c>
      <c r="AB107" s="1">
        <v>69</v>
      </c>
      <c r="AC107" s="2">
        <f>Table135[[#This Row],[HDGF]]/Table14[[#This Row],[GP]]</f>
        <v>0.971830985915493</v>
      </c>
      <c r="AD107" s="1">
        <v>74</v>
      </c>
      <c r="AE107" s="2">
        <f>Table135[[#This Row],[HDGA]]/Table14[[#This Row],[GP]]</f>
        <v>1.0422535211267605</v>
      </c>
      <c r="AF107" s="1">
        <v>7.8</v>
      </c>
    </row>
    <row r="108" spans="1:32" hidden="1" x14ac:dyDescent="0.35">
      <c r="A108" t="s">
        <v>91</v>
      </c>
      <c r="B108">
        <v>11</v>
      </c>
      <c r="C108" t="s">
        <v>61</v>
      </c>
      <c r="D108" s="1">
        <v>1</v>
      </c>
      <c r="E108" s="1">
        <v>29.6</v>
      </c>
      <c r="F108" s="1">
        <v>73</v>
      </c>
      <c r="G108" s="1">
        <v>87</v>
      </c>
      <c r="H108" s="2">
        <f>Table14[[#This Row],[PTS]]/Table14[[#This Row],[GP]]</f>
        <v>1.1917808219178083</v>
      </c>
      <c r="I108" s="2">
        <v>0.59599999999999997</v>
      </c>
      <c r="J108" s="1">
        <v>197</v>
      </c>
      <c r="K108" s="3">
        <f>Table14[[#This Row],[GF]]/Table14[[#This Row],[GP]]</f>
        <v>2.6986301369863015</v>
      </c>
      <c r="L108" s="1">
        <v>204</v>
      </c>
      <c r="M108" s="1">
        <v>2.79</v>
      </c>
      <c r="N108" s="2">
        <f>(Table14[[#This Row],[GF]]^2)/((Table14[[#This Row],[GF]]^2)+(Table14[[#This Row],[GA]]^2))</f>
        <v>0.48254895865713399</v>
      </c>
      <c r="O108" s="1">
        <v>20.65</v>
      </c>
      <c r="P108" s="1">
        <v>71.739999999999995</v>
      </c>
      <c r="Q108" s="1">
        <f>Table14[[#This Row],[PP_PCT]]+Table14[[#This Row],[PK_PCT]]</f>
        <v>92.389999999999986</v>
      </c>
      <c r="R108" s="3">
        <v>9.9</v>
      </c>
      <c r="S108" s="3">
        <f>Table14[[#This Row],[GA]]/Table14[[#This Row],[GP]]</f>
        <v>2.7945205479452055</v>
      </c>
      <c r="T108" s="2">
        <v>0.92800000000000005</v>
      </c>
      <c r="U108" s="1">
        <v>102</v>
      </c>
      <c r="V108" s="1">
        <v>51</v>
      </c>
      <c r="W108" s="1">
        <v>50.3</v>
      </c>
      <c r="X108" s="1">
        <v>163.19999999999999</v>
      </c>
      <c r="Y108" s="3">
        <f>Table135[[#This Row],[XGF]]/Table14[[#This Row],[GP]]</f>
        <v>2.2356164383561641</v>
      </c>
      <c r="Z108" s="1">
        <v>150.19999999999999</v>
      </c>
      <c r="AA108" s="3">
        <f>Table135[[#This Row],[XGA]]/Table14[[#This Row],[GP]]</f>
        <v>2.0575342465753423</v>
      </c>
      <c r="AB108" s="1">
        <v>59</v>
      </c>
      <c r="AC108" s="2">
        <f>Table135[[#This Row],[HDGF]]/Table14[[#This Row],[GP]]</f>
        <v>0.80821917808219179</v>
      </c>
      <c r="AD108" s="1">
        <v>31</v>
      </c>
      <c r="AE108" s="2">
        <f>Table135[[#This Row],[HDGA]]/Table14[[#This Row],[GP]]</f>
        <v>0.42465753424657532</v>
      </c>
      <c r="AF108" s="1">
        <v>7.6</v>
      </c>
    </row>
    <row r="109" spans="1:32" hidden="1" x14ac:dyDescent="0.35">
      <c r="A109" t="s">
        <v>91</v>
      </c>
      <c r="B109">
        <v>12</v>
      </c>
      <c r="C109" t="s">
        <v>67</v>
      </c>
      <c r="D109" s="1">
        <v>1</v>
      </c>
      <c r="E109" s="1">
        <v>30.4</v>
      </c>
      <c r="F109" s="1">
        <v>72</v>
      </c>
      <c r="G109" s="1">
        <v>87</v>
      </c>
      <c r="H109" s="2">
        <f>Table14[[#This Row],[PTS]]/Table14[[#This Row],[GP]]</f>
        <v>1.2083333333333333</v>
      </c>
      <c r="I109" s="2">
        <v>0.60399999999999998</v>
      </c>
      <c r="J109" s="1">
        <v>233</v>
      </c>
      <c r="K109" s="3">
        <f>Table14[[#This Row],[GF]]/Table14[[#This Row],[GP]]</f>
        <v>3.2361111111111112</v>
      </c>
      <c r="L109" s="1">
        <v>212</v>
      </c>
      <c r="M109" s="1">
        <v>2.94</v>
      </c>
      <c r="N109" s="2">
        <f>(Table14[[#This Row],[GF]]^2)/((Table14[[#This Row],[GF]]^2)+(Table14[[#This Row],[GA]]^2))</f>
        <v>0.54708615077645539</v>
      </c>
      <c r="O109" s="1">
        <v>25.41</v>
      </c>
      <c r="P109" s="1">
        <v>76.540000000000006</v>
      </c>
      <c r="Q109" s="1">
        <f>Table14[[#This Row],[PP_PCT]]+Table14[[#This Row],[PK_PCT]]</f>
        <v>101.95</v>
      </c>
      <c r="R109" s="3">
        <v>10.1</v>
      </c>
      <c r="S109" s="3">
        <f>Table14[[#This Row],[GA]]/Table14[[#This Row],[GP]]</f>
        <v>2.9444444444444446</v>
      </c>
      <c r="T109" s="2">
        <v>0.91500000000000004</v>
      </c>
      <c r="U109" s="1">
        <v>100.2</v>
      </c>
      <c r="V109" s="1">
        <v>53.4</v>
      </c>
      <c r="W109" s="1">
        <v>53</v>
      </c>
      <c r="X109" s="1">
        <v>210.6</v>
      </c>
      <c r="Y109" s="3">
        <f>Table135[[#This Row],[XGF]]/Table14[[#This Row],[GP]]</f>
        <v>2.9249999999999998</v>
      </c>
      <c r="Z109" s="1">
        <v>170.8</v>
      </c>
      <c r="AA109" s="3">
        <f>Table135[[#This Row],[XGA]]/Table14[[#This Row],[GP]]</f>
        <v>2.3722222222222222</v>
      </c>
      <c r="AB109" s="1">
        <v>81</v>
      </c>
      <c r="AC109" s="2">
        <f>Table135[[#This Row],[HDGF]]/Table14[[#This Row],[GP]]</f>
        <v>1.125</v>
      </c>
      <c r="AD109" s="1">
        <v>75</v>
      </c>
      <c r="AE109" s="2">
        <f>Table135[[#This Row],[HDGA]]/Table14[[#This Row],[GP]]</f>
        <v>1.0416666666666667</v>
      </c>
      <c r="AF109" s="1">
        <v>6.9</v>
      </c>
    </row>
    <row r="110" spans="1:32" hidden="1" x14ac:dyDescent="0.35">
      <c r="A110" t="s">
        <v>91</v>
      </c>
      <c r="B110">
        <v>13</v>
      </c>
      <c r="C110" t="s">
        <v>65</v>
      </c>
      <c r="D110" s="1">
        <v>1</v>
      </c>
      <c r="E110" s="1">
        <v>29.2</v>
      </c>
      <c r="F110" s="1">
        <v>74</v>
      </c>
      <c r="G110" s="1">
        <v>85</v>
      </c>
      <c r="H110" s="2">
        <f>Table14[[#This Row],[PTS]]/Table14[[#This Row],[GP]]</f>
        <v>1.1486486486486487</v>
      </c>
      <c r="I110" s="2">
        <v>0.57399999999999995</v>
      </c>
      <c r="J110" s="1">
        <v>223</v>
      </c>
      <c r="K110" s="3">
        <f>Table14[[#This Row],[GF]]/Table14[[#This Row],[GP]]</f>
        <v>3.0135135135135136</v>
      </c>
      <c r="L110" s="1">
        <v>210</v>
      </c>
      <c r="M110" s="1">
        <v>2.84</v>
      </c>
      <c r="N110" s="2">
        <f>(Table14[[#This Row],[GF]]^2)/((Table14[[#This Row],[GF]]^2)+(Table14[[#This Row],[GA]]^2))</f>
        <v>0.52999605665625771</v>
      </c>
      <c r="O110" s="1">
        <v>21.3</v>
      </c>
      <c r="P110" s="1">
        <v>72.989999999999995</v>
      </c>
      <c r="Q110" s="1">
        <f>Table14[[#This Row],[PP_PCT]]+Table14[[#This Row],[PK_PCT]]</f>
        <v>94.289999999999992</v>
      </c>
      <c r="R110" s="3">
        <v>11.2</v>
      </c>
      <c r="S110" s="3">
        <f>Table14[[#This Row],[GA]]/Table14[[#This Row],[GP]]</f>
        <v>2.8378378378378377</v>
      </c>
      <c r="T110" s="2">
        <v>0.92800000000000005</v>
      </c>
      <c r="U110" s="1">
        <v>101.2</v>
      </c>
      <c r="V110" s="1">
        <v>50.9</v>
      </c>
      <c r="W110" s="1">
        <v>51.7</v>
      </c>
      <c r="X110" s="1">
        <v>201.5</v>
      </c>
      <c r="Y110" s="3">
        <f>Table135[[#This Row],[XGF]]/Table14[[#This Row],[GP]]</f>
        <v>2.7229729729729728</v>
      </c>
      <c r="Z110" s="1">
        <v>167.4</v>
      </c>
      <c r="AA110" s="3">
        <f>Table135[[#This Row],[XGA]]/Table14[[#This Row],[GP]]</f>
        <v>2.2621621621621624</v>
      </c>
      <c r="AB110" s="1">
        <v>76</v>
      </c>
      <c r="AC110" s="2">
        <f>Table135[[#This Row],[HDGF]]/Table14[[#This Row],[GP]]</f>
        <v>1.027027027027027</v>
      </c>
      <c r="AD110" s="1">
        <v>58</v>
      </c>
      <c r="AE110" s="2">
        <f>Table135[[#This Row],[HDGA]]/Table14[[#This Row],[GP]]</f>
        <v>0.78378378378378377</v>
      </c>
      <c r="AF110" s="1">
        <v>7.7</v>
      </c>
    </row>
    <row r="111" spans="1:32" hidden="1" x14ac:dyDescent="0.35">
      <c r="A111" t="s">
        <v>91</v>
      </c>
      <c r="B111">
        <v>14</v>
      </c>
      <c r="C111" t="s">
        <v>84</v>
      </c>
      <c r="D111" s="1">
        <v>1</v>
      </c>
      <c r="E111" s="1">
        <v>29.5</v>
      </c>
      <c r="F111" s="1">
        <v>74</v>
      </c>
      <c r="G111" s="1">
        <v>83</v>
      </c>
      <c r="H111" s="2">
        <f>Table14[[#This Row],[PTS]]/Table14[[#This Row],[GP]]</f>
        <v>1.1216216216216217</v>
      </c>
      <c r="I111" s="2">
        <v>0.56100000000000005</v>
      </c>
      <c r="J111" s="1">
        <v>218</v>
      </c>
      <c r="K111" s="3">
        <f>Table14[[#This Row],[GF]]/Table14[[#This Row],[GP]]</f>
        <v>2.9459459459459461</v>
      </c>
      <c r="L111" s="1">
        <v>195</v>
      </c>
      <c r="M111" s="1">
        <v>2.64</v>
      </c>
      <c r="N111" s="2">
        <f>(Table14[[#This Row],[GF]]^2)/((Table14[[#This Row],[GF]]^2)+(Table14[[#This Row],[GA]]^2))</f>
        <v>0.55551789033185661</v>
      </c>
      <c r="O111" s="1">
        <v>27.72</v>
      </c>
      <c r="P111" s="1">
        <v>81.86</v>
      </c>
      <c r="Q111" s="1">
        <f>Table14[[#This Row],[PP_PCT]]+Table14[[#This Row],[PK_PCT]]</f>
        <v>109.58</v>
      </c>
      <c r="R111" s="3">
        <v>10.4</v>
      </c>
      <c r="S111" s="3">
        <f>Table14[[#This Row],[GA]]/Table14[[#This Row],[GP]]</f>
        <v>2.6351351351351351</v>
      </c>
      <c r="T111" s="2">
        <v>0.91700000000000004</v>
      </c>
      <c r="U111" s="1">
        <v>100.5</v>
      </c>
      <c r="V111" s="1">
        <v>51.5</v>
      </c>
      <c r="W111" s="1">
        <v>51.4</v>
      </c>
      <c r="X111" s="1">
        <v>191.4</v>
      </c>
      <c r="Y111" s="3">
        <f>Table135[[#This Row],[XGF]]/Table14[[#This Row],[GP]]</f>
        <v>2.5864864864864865</v>
      </c>
      <c r="Z111" s="1">
        <v>163.69999999999999</v>
      </c>
      <c r="AA111" s="3">
        <f>Table135[[#This Row],[XGA]]/Table14[[#This Row],[GP]]</f>
        <v>2.2121621621621621</v>
      </c>
      <c r="AB111" s="1">
        <v>81</v>
      </c>
      <c r="AC111" s="2">
        <f>Table135[[#This Row],[HDGF]]/Table14[[#This Row],[GP]]</f>
        <v>1.0945945945945945</v>
      </c>
      <c r="AD111" s="1">
        <v>67</v>
      </c>
      <c r="AE111" s="2">
        <f>Table135[[#This Row],[HDGA]]/Table14[[#This Row],[GP]]</f>
        <v>0.90540540540540537</v>
      </c>
      <c r="AF111" s="1">
        <v>8.3000000000000007</v>
      </c>
    </row>
    <row r="112" spans="1:32" hidden="1" x14ac:dyDescent="0.35">
      <c r="A112" t="s">
        <v>91</v>
      </c>
      <c r="B112">
        <v>15</v>
      </c>
      <c r="C112" t="s">
        <v>82</v>
      </c>
      <c r="D112" s="1">
        <v>1</v>
      </c>
      <c r="E112" s="1">
        <v>28.1</v>
      </c>
      <c r="F112" s="1">
        <v>71</v>
      </c>
      <c r="G112" s="1">
        <v>81</v>
      </c>
      <c r="H112" s="2">
        <f>Table14[[#This Row],[PTS]]/Table14[[#This Row],[GP]]</f>
        <v>1.1408450704225352</v>
      </c>
      <c r="I112" s="2">
        <v>0.56999999999999995</v>
      </c>
      <c r="J112" s="1">
        <v>207</v>
      </c>
      <c r="K112" s="3">
        <f>Table14[[#This Row],[GF]]/Table14[[#This Row],[GP]]</f>
        <v>2.915492957746479</v>
      </c>
      <c r="L112" s="1">
        <v>204</v>
      </c>
      <c r="M112" s="1">
        <v>2.87</v>
      </c>
      <c r="N112" s="2">
        <f>(Table14[[#This Row],[GF]]^2)/((Table14[[#This Row],[GF]]^2)+(Table14[[#This Row],[GA]]^2))</f>
        <v>0.50729888119339372</v>
      </c>
      <c r="O112" s="1">
        <v>24.02</v>
      </c>
      <c r="P112" s="1">
        <v>77.290000000000006</v>
      </c>
      <c r="Q112" s="1">
        <f>Table14[[#This Row],[PP_PCT]]+Table14[[#This Row],[PK_PCT]]</f>
        <v>101.31</v>
      </c>
      <c r="R112" s="3">
        <v>10</v>
      </c>
      <c r="S112" s="3">
        <f>Table14[[#This Row],[GA]]/Table14[[#This Row],[GP]]</f>
        <v>2.8732394366197185</v>
      </c>
      <c r="T112" s="2">
        <v>0.92600000000000005</v>
      </c>
      <c r="U112" s="1">
        <v>101.1</v>
      </c>
      <c r="V112" s="1">
        <v>48.8</v>
      </c>
      <c r="W112" s="1">
        <v>48.7</v>
      </c>
      <c r="X112" s="1">
        <v>153.80000000000001</v>
      </c>
      <c r="Y112" s="3">
        <f>Table135[[#This Row],[XGF]]/Table14[[#This Row],[GP]]</f>
        <v>2.1661971830985918</v>
      </c>
      <c r="Z112" s="1">
        <v>144.5</v>
      </c>
      <c r="AA112" s="3">
        <f>Table135[[#This Row],[XGA]]/Table14[[#This Row],[GP]]</f>
        <v>2.035211267605634</v>
      </c>
      <c r="AB112" s="1">
        <v>52</v>
      </c>
      <c r="AC112" s="2">
        <f>Table135[[#This Row],[HDGF]]/Table14[[#This Row],[GP]]</f>
        <v>0.73239436619718312</v>
      </c>
      <c r="AD112" s="1">
        <v>54</v>
      </c>
      <c r="AE112" s="2">
        <f>Table135[[#This Row],[HDGA]]/Table14[[#This Row],[GP]]</f>
        <v>0.76056338028169013</v>
      </c>
      <c r="AF112" s="1">
        <v>8.6999999999999993</v>
      </c>
    </row>
    <row r="113" spans="1:32" hidden="1" x14ac:dyDescent="0.35">
      <c r="A113" t="s">
        <v>91</v>
      </c>
      <c r="B113">
        <v>16</v>
      </c>
      <c r="C113" t="s">
        <v>74</v>
      </c>
      <c r="D113" s="1">
        <v>1</v>
      </c>
      <c r="E113" s="1">
        <v>28.7</v>
      </c>
      <c r="F113" s="1">
        <v>73</v>
      </c>
      <c r="G113" s="1">
        <v>81</v>
      </c>
      <c r="H113" s="2">
        <f>Table14[[#This Row],[PTS]]/Table14[[#This Row],[GP]]</f>
        <v>1.1095890410958904</v>
      </c>
      <c r="I113" s="2">
        <v>0.55500000000000005</v>
      </c>
      <c r="J113" s="1">
        <v>209</v>
      </c>
      <c r="K113" s="3">
        <f>Table14[[#This Row],[GF]]/Table14[[#This Row],[GP]]</f>
        <v>2.8630136986301369</v>
      </c>
      <c r="L113" s="1">
        <v>224</v>
      </c>
      <c r="M113" s="1">
        <v>3.07</v>
      </c>
      <c r="N113" s="2">
        <f>(Table14[[#This Row],[GF]]^2)/((Table14[[#This Row],[GF]]^2)+(Table14[[#This Row],[GA]]^2))</f>
        <v>0.46539949071459774</v>
      </c>
      <c r="O113" s="1">
        <v>22.73</v>
      </c>
      <c r="P113" s="1">
        <v>82.5</v>
      </c>
      <c r="Q113" s="1">
        <f>Table14[[#This Row],[PP_PCT]]+Table14[[#This Row],[PK_PCT]]</f>
        <v>105.23</v>
      </c>
      <c r="R113" s="3">
        <v>11.2</v>
      </c>
      <c r="S113" s="3">
        <f>Table14[[#This Row],[GA]]/Table14[[#This Row],[GP]]</f>
        <v>3.0684931506849313</v>
      </c>
      <c r="T113" s="2">
        <v>0.91700000000000004</v>
      </c>
      <c r="U113" s="1">
        <v>99.3</v>
      </c>
      <c r="V113" s="1">
        <v>53.8</v>
      </c>
      <c r="W113" s="1">
        <v>53</v>
      </c>
      <c r="X113" s="1">
        <v>150.4</v>
      </c>
      <c r="Y113" s="3">
        <f>Table135[[#This Row],[XGF]]/Table14[[#This Row],[GP]]</f>
        <v>2.0602739726027397</v>
      </c>
      <c r="Z113" s="1">
        <v>139.30000000000001</v>
      </c>
      <c r="AA113" s="3">
        <f>Table135[[#This Row],[XGA]]/Table14[[#This Row],[GP]]</f>
        <v>1.908219178082192</v>
      </c>
      <c r="AB113" s="1">
        <v>52</v>
      </c>
      <c r="AC113" s="2">
        <f>Table135[[#This Row],[HDGF]]/Table14[[#This Row],[GP]]</f>
        <v>0.71232876712328763</v>
      </c>
      <c r="AD113" s="1">
        <v>55</v>
      </c>
      <c r="AE113" s="2">
        <f>Table135[[#This Row],[HDGA]]/Table14[[#This Row],[GP]]</f>
        <v>0.75342465753424659</v>
      </c>
      <c r="AF113" s="1">
        <v>9.4</v>
      </c>
    </row>
    <row r="114" spans="1:32" hidden="1" x14ac:dyDescent="0.35">
      <c r="A114" t="s">
        <v>91</v>
      </c>
      <c r="B114">
        <v>17</v>
      </c>
      <c r="C114" t="s">
        <v>62</v>
      </c>
      <c r="D114" s="1">
        <v>0</v>
      </c>
      <c r="E114" s="1">
        <v>28.4</v>
      </c>
      <c r="F114" s="1">
        <v>71</v>
      </c>
      <c r="G114" s="1">
        <v>79</v>
      </c>
      <c r="H114" s="2">
        <f>Table14[[#This Row],[PTS]]/Table14[[#This Row],[GP]]</f>
        <v>1.1126760563380282</v>
      </c>
      <c r="I114" s="2">
        <v>0.55600000000000005</v>
      </c>
      <c r="J114" s="1">
        <v>185</v>
      </c>
      <c r="K114" s="3">
        <f>Table14[[#This Row],[GF]]/Table14[[#This Row],[GP]]</f>
        <v>2.6056338028169015</v>
      </c>
      <c r="L114" s="1">
        <v>209</v>
      </c>
      <c r="M114" s="1">
        <v>2.94</v>
      </c>
      <c r="N114" s="2">
        <f>(Table14[[#This Row],[GF]]^2)/((Table14[[#This Row],[GF]]^2)+(Table14[[#This Row],[GA]]^2))</f>
        <v>0.43931147793494724</v>
      </c>
      <c r="O114" s="1">
        <v>21.46</v>
      </c>
      <c r="P114" s="1">
        <v>74.63</v>
      </c>
      <c r="Q114" s="1">
        <f>Table14[[#This Row],[PP_PCT]]+Table14[[#This Row],[PK_PCT]]</f>
        <v>96.09</v>
      </c>
      <c r="R114" s="3">
        <v>8.9</v>
      </c>
      <c r="S114" s="3">
        <f>Table14[[#This Row],[GA]]/Table14[[#This Row],[GP]]</f>
        <v>2.943661971830986</v>
      </c>
      <c r="T114" s="2">
        <v>0.93300000000000005</v>
      </c>
      <c r="U114" s="1">
        <v>100.7</v>
      </c>
      <c r="V114" s="1">
        <v>49.6</v>
      </c>
      <c r="W114" s="1">
        <v>49.8</v>
      </c>
      <c r="X114" s="1">
        <v>172.6</v>
      </c>
      <c r="Y114" s="3">
        <f>Table135[[#This Row],[XGF]]/Table14[[#This Row],[GP]]</f>
        <v>2.4309859154929576</v>
      </c>
      <c r="Z114" s="1">
        <v>179.3</v>
      </c>
      <c r="AA114" s="3">
        <f>Table135[[#This Row],[XGA]]/Table14[[#This Row],[GP]]</f>
        <v>2.5253521126760563</v>
      </c>
      <c r="AB114" s="1">
        <v>60</v>
      </c>
      <c r="AC114" s="2">
        <f>Table135[[#This Row],[HDGF]]/Table14[[#This Row],[GP]]</f>
        <v>0.84507042253521125</v>
      </c>
      <c r="AD114" s="1">
        <v>62</v>
      </c>
      <c r="AE114" s="2">
        <f>Table135[[#This Row],[HDGA]]/Table14[[#This Row],[GP]]</f>
        <v>0.87323943661971826</v>
      </c>
      <c r="AF114" s="1">
        <v>10</v>
      </c>
    </row>
    <row r="115" spans="1:32" hidden="1" x14ac:dyDescent="0.35">
      <c r="A115" t="s">
        <v>91</v>
      </c>
      <c r="B115">
        <v>18</v>
      </c>
      <c r="C115" t="s">
        <v>92</v>
      </c>
      <c r="D115" s="1">
        <v>0</v>
      </c>
      <c r="E115" s="1">
        <v>27.6</v>
      </c>
      <c r="F115" s="1">
        <v>73</v>
      </c>
      <c r="G115" s="1">
        <v>76</v>
      </c>
      <c r="H115" s="2">
        <f>Table14[[#This Row],[PTS]]/Table14[[#This Row],[GP]]</f>
        <v>1.0410958904109588</v>
      </c>
      <c r="I115" s="2">
        <v>0.52100000000000002</v>
      </c>
      <c r="J115" s="1">
        <v>203</v>
      </c>
      <c r="K115" s="3">
        <f>Table14[[#This Row],[GF]]/Table14[[#This Row],[GP]]</f>
        <v>2.7808219178082192</v>
      </c>
      <c r="L115" s="1">
        <v>223</v>
      </c>
      <c r="M115" s="1">
        <v>3.05</v>
      </c>
      <c r="N115" s="2">
        <f>(Table14[[#This Row],[GF]]^2)/((Table14[[#This Row],[GF]]^2)+(Table14[[#This Row],[GA]]^2))</f>
        <v>0.45315489674283577</v>
      </c>
      <c r="O115" s="1">
        <v>21.63</v>
      </c>
      <c r="P115" s="1">
        <v>80.45</v>
      </c>
      <c r="Q115" s="1">
        <f>Table14[[#This Row],[PP_PCT]]+Table14[[#This Row],[PK_PCT]]</f>
        <v>102.08</v>
      </c>
      <c r="R115" s="3">
        <v>9.9</v>
      </c>
      <c r="S115" s="3">
        <f>Table14[[#This Row],[GA]]/Table14[[#This Row],[GP]]</f>
        <v>3.0547945205479454</v>
      </c>
      <c r="T115" s="2">
        <v>0.91100000000000003</v>
      </c>
      <c r="U115" s="1">
        <v>99.6</v>
      </c>
      <c r="V115" s="1">
        <v>47.6</v>
      </c>
      <c r="W115" s="1">
        <v>47.5</v>
      </c>
      <c r="X115" s="1">
        <v>172.1</v>
      </c>
      <c r="Y115" s="3">
        <f>Table135[[#This Row],[XGF]]/Table14[[#This Row],[GP]]</f>
        <v>2.3575342465753426</v>
      </c>
      <c r="Z115" s="1">
        <v>182.7</v>
      </c>
      <c r="AA115" s="3">
        <f>Table135[[#This Row],[XGA]]/Table14[[#This Row],[GP]]</f>
        <v>2.5027397260273969</v>
      </c>
      <c r="AB115" s="1">
        <v>79</v>
      </c>
      <c r="AC115" s="2">
        <f>Table135[[#This Row],[HDGF]]/Table14[[#This Row],[GP]]</f>
        <v>1.0821917808219179</v>
      </c>
      <c r="AD115" s="1">
        <v>74</v>
      </c>
      <c r="AE115" s="2">
        <f>Table135[[#This Row],[HDGA]]/Table14[[#This Row],[GP]]</f>
        <v>1.0136986301369864</v>
      </c>
      <c r="AF115" s="1">
        <v>9.5</v>
      </c>
    </row>
    <row r="116" spans="1:32" hidden="1" x14ac:dyDescent="0.35">
      <c r="A116" t="s">
        <v>91</v>
      </c>
      <c r="B116">
        <v>19</v>
      </c>
      <c r="C116" t="s">
        <v>88</v>
      </c>
      <c r="D116" s="1">
        <v>0</v>
      </c>
      <c r="E116" s="1">
        <v>26.8</v>
      </c>
      <c r="F116" s="1">
        <v>72</v>
      </c>
      <c r="G116" s="1">
        <v>75</v>
      </c>
      <c r="H116" s="2">
        <f>Table14[[#This Row],[PTS]]/Table14[[#This Row],[GP]]</f>
        <v>1.0416666666666667</v>
      </c>
      <c r="I116" s="2">
        <v>0.52100000000000002</v>
      </c>
      <c r="J116" s="1">
        <v>214</v>
      </c>
      <c r="K116" s="3">
        <f>Table14[[#This Row],[GF]]/Table14[[#This Row],[GP]]</f>
        <v>2.9722222222222223</v>
      </c>
      <c r="L116" s="1">
        <v>241</v>
      </c>
      <c r="M116" s="1">
        <v>3.35</v>
      </c>
      <c r="N116" s="2">
        <f>(Table14[[#This Row],[GF]]^2)/((Table14[[#This Row],[GF]]^2)+(Table14[[#This Row],[GA]]^2))</f>
        <v>0.44086756452342674</v>
      </c>
      <c r="O116" s="1">
        <v>20.85</v>
      </c>
      <c r="P116" s="1">
        <v>80.260000000000005</v>
      </c>
      <c r="Q116" s="1">
        <f>Table14[[#This Row],[PP_PCT]]+Table14[[#This Row],[PK_PCT]]</f>
        <v>101.11000000000001</v>
      </c>
      <c r="R116" s="3">
        <v>11.4</v>
      </c>
      <c r="S116" s="3">
        <f>Table14[[#This Row],[GA]]/Table14[[#This Row],[GP]]</f>
        <v>3.3472222222222223</v>
      </c>
      <c r="T116" s="2">
        <v>0.92800000000000005</v>
      </c>
      <c r="U116" s="1">
        <v>102.4</v>
      </c>
      <c r="V116" s="1">
        <v>52</v>
      </c>
      <c r="W116" s="1">
        <v>51.2</v>
      </c>
      <c r="X116" s="1">
        <v>168.1</v>
      </c>
      <c r="Y116" s="3">
        <f>Table135[[#This Row],[XGF]]/Table14[[#This Row],[GP]]</f>
        <v>2.3347222222222221</v>
      </c>
      <c r="Z116" s="1">
        <v>159.1</v>
      </c>
      <c r="AA116" s="3">
        <f>Table135[[#This Row],[XGA]]/Table14[[#This Row],[GP]]</f>
        <v>2.2097222222222221</v>
      </c>
      <c r="AB116" s="1">
        <v>82</v>
      </c>
      <c r="AC116" s="2">
        <f>Table135[[#This Row],[HDGF]]/Table14[[#This Row],[GP]]</f>
        <v>1.1388888888888888</v>
      </c>
      <c r="AD116" s="1">
        <v>57</v>
      </c>
      <c r="AE116" s="2">
        <f>Table135[[#This Row],[HDGA]]/Table14[[#This Row],[GP]]</f>
        <v>0.79166666666666663</v>
      </c>
      <c r="AF116" s="1">
        <v>9.3000000000000007</v>
      </c>
    </row>
    <row r="117" spans="1:32" hidden="1" x14ac:dyDescent="0.35">
      <c r="A117" t="s">
        <v>91</v>
      </c>
      <c r="B117">
        <v>20</v>
      </c>
      <c r="C117" t="s">
        <v>64</v>
      </c>
      <c r="D117" s="1">
        <v>0</v>
      </c>
      <c r="E117" s="1">
        <v>28.9</v>
      </c>
      <c r="F117" s="1">
        <v>73</v>
      </c>
      <c r="G117" s="1">
        <v>75</v>
      </c>
      <c r="H117" s="2">
        <f>Table14[[#This Row],[PTS]]/Table14[[#This Row],[GP]]</f>
        <v>1.0273972602739727</v>
      </c>
      <c r="I117" s="2">
        <v>0.51400000000000001</v>
      </c>
      <c r="J117" s="1">
        <v>217</v>
      </c>
      <c r="K117" s="3">
        <f>Table14[[#This Row],[GF]]/Table14[[#This Row],[GP]]</f>
        <v>2.9726027397260273</v>
      </c>
      <c r="L117" s="1">
        <v>221</v>
      </c>
      <c r="M117" s="1">
        <v>3.03</v>
      </c>
      <c r="N117" s="2">
        <f>(Table14[[#This Row],[GF]]^2)/((Table14[[#This Row],[GF]]^2)+(Table14[[#This Row],[GA]]^2))</f>
        <v>0.49086834149900971</v>
      </c>
      <c r="O117" s="1">
        <v>17.89</v>
      </c>
      <c r="P117" s="1">
        <v>82.19</v>
      </c>
      <c r="Q117" s="1">
        <f>Table14[[#This Row],[PP_PCT]]+Table14[[#This Row],[PK_PCT]]</f>
        <v>100.08</v>
      </c>
      <c r="R117" s="3">
        <v>10.5</v>
      </c>
      <c r="S117" s="3">
        <f>Table14[[#This Row],[GA]]/Table14[[#This Row],[GP]]</f>
        <v>3.0273972602739727</v>
      </c>
      <c r="T117" s="2">
        <v>0.91200000000000003</v>
      </c>
      <c r="U117" s="1">
        <v>99.8</v>
      </c>
      <c r="V117" s="1">
        <v>49.7</v>
      </c>
      <c r="W117" s="1">
        <v>48.9</v>
      </c>
      <c r="X117" s="1">
        <v>137.19999999999999</v>
      </c>
      <c r="Y117" s="3">
        <f>Table135[[#This Row],[XGF]]/Table14[[#This Row],[GP]]</f>
        <v>1.8794520547945204</v>
      </c>
      <c r="Z117" s="1">
        <v>138</v>
      </c>
      <c r="AA117" s="3">
        <f>Table135[[#This Row],[XGA]]/Table14[[#This Row],[GP]]</f>
        <v>1.8904109589041096</v>
      </c>
      <c r="AB117" s="1">
        <v>52</v>
      </c>
      <c r="AC117" s="2">
        <f>Table135[[#This Row],[HDGF]]/Table14[[#This Row],[GP]]</f>
        <v>0.71232876712328763</v>
      </c>
      <c r="AD117" s="1">
        <v>53</v>
      </c>
      <c r="AE117" s="2">
        <f>Table135[[#This Row],[HDGA]]/Table14[[#This Row],[GP]]</f>
        <v>0.72602739726027399</v>
      </c>
      <c r="AF117" s="1">
        <v>8.6</v>
      </c>
    </row>
    <row r="118" spans="1:32" hidden="1" x14ac:dyDescent="0.35">
      <c r="A118" t="s">
        <v>91</v>
      </c>
      <c r="B118">
        <v>21</v>
      </c>
      <c r="C118" t="s">
        <v>77</v>
      </c>
      <c r="D118" s="1">
        <v>0</v>
      </c>
      <c r="E118" s="1">
        <v>27.6</v>
      </c>
      <c r="F118" s="1">
        <v>71</v>
      </c>
      <c r="G118" s="1">
        <v>75</v>
      </c>
      <c r="H118" s="2">
        <f>Table14[[#This Row],[PTS]]/Table14[[#This Row],[GP]]</f>
        <v>1.056338028169014</v>
      </c>
      <c r="I118" s="2">
        <v>0.52800000000000002</v>
      </c>
      <c r="J118" s="1">
        <v>226</v>
      </c>
      <c r="K118" s="3">
        <f>Table14[[#This Row],[GF]]/Table14[[#This Row],[GP]]</f>
        <v>3.183098591549296</v>
      </c>
      <c r="L118" s="1">
        <v>238</v>
      </c>
      <c r="M118" s="1">
        <v>3.35</v>
      </c>
      <c r="N118" s="2">
        <f>(Table14[[#This Row],[GF]]^2)/((Table14[[#This Row],[GF]]^2)+(Table14[[#This Row],[GA]]^2))</f>
        <v>0.47415521722985515</v>
      </c>
      <c r="O118" s="1">
        <v>18.79</v>
      </c>
      <c r="P118" s="1">
        <v>75</v>
      </c>
      <c r="Q118" s="1">
        <f>Table14[[#This Row],[PP_PCT]]+Table14[[#This Row],[PK_PCT]]</f>
        <v>93.789999999999992</v>
      </c>
      <c r="R118" s="3">
        <v>11</v>
      </c>
      <c r="S118" s="3">
        <f>Table14[[#This Row],[GA]]/Table14[[#This Row],[GP]]</f>
        <v>3.352112676056338</v>
      </c>
      <c r="T118" s="2">
        <v>0.92</v>
      </c>
      <c r="U118" s="1">
        <v>99.6</v>
      </c>
      <c r="V118" s="1">
        <v>52.6</v>
      </c>
      <c r="W118" s="1">
        <v>53.7</v>
      </c>
      <c r="X118" s="1">
        <v>205.7</v>
      </c>
      <c r="Y118" s="3">
        <f>Table135[[#This Row],[XGF]]/Table14[[#This Row],[GP]]</f>
        <v>2.8971830985915492</v>
      </c>
      <c r="Z118" s="1">
        <v>176.9</v>
      </c>
      <c r="AA118" s="3">
        <f>Table135[[#This Row],[XGA]]/Table14[[#This Row],[GP]]</f>
        <v>2.4915492957746479</v>
      </c>
      <c r="AB118" s="1">
        <v>83</v>
      </c>
      <c r="AC118" s="2">
        <f>Table135[[#This Row],[HDGF]]/Table14[[#This Row],[GP]]</f>
        <v>1.1690140845070423</v>
      </c>
      <c r="AD118" s="1">
        <v>86</v>
      </c>
      <c r="AE118" s="2">
        <f>Table135[[#This Row],[HDGA]]/Table14[[#This Row],[GP]]</f>
        <v>1.2112676056338028</v>
      </c>
      <c r="AF118" s="1">
        <v>8.1</v>
      </c>
    </row>
    <row r="119" spans="1:32" hidden="1" x14ac:dyDescent="0.35">
      <c r="A119" t="s">
        <v>91</v>
      </c>
      <c r="B119">
        <v>22</v>
      </c>
      <c r="C119" t="s">
        <v>76</v>
      </c>
      <c r="D119" s="1">
        <v>0</v>
      </c>
      <c r="E119" s="1">
        <v>29.7</v>
      </c>
      <c r="F119" s="1">
        <v>71</v>
      </c>
      <c r="G119" s="1">
        <v>74</v>
      </c>
      <c r="H119" s="2">
        <f>Table14[[#This Row],[PTS]]/Table14[[#This Row],[GP]]</f>
        <v>1.0422535211267605</v>
      </c>
      <c r="I119" s="2">
        <v>0.52100000000000002</v>
      </c>
      <c r="J119" s="1">
        <v>193</v>
      </c>
      <c r="K119" s="3">
        <f>Table14[[#This Row],[GF]]/Table14[[#This Row],[GP]]</f>
        <v>2.7183098591549295</v>
      </c>
      <c r="L119" s="1">
        <v>212</v>
      </c>
      <c r="M119" s="1">
        <v>2.99</v>
      </c>
      <c r="N119" s="2">
        <f>(Table14[[#This Row],[GF]]^2)/((Table14[[#This Row],[GF]]^2)+(Table14[[#This Row],[GA]]^2))</f>
        <v>0.45318944435657538</v>
      </c>
      <c r="O119" s="1">
        <v>12</v>
      </c>
      <c r="P119" s="1">
        <v>72.260000000000005</v>
      </c>
      <c r="Q119" s="1">
        <f>Table14[[#This Row],[PP_PCT]]+Table14[[#This Row],[PK_PCT]]</f>
        <v>84.26</v>
      </c>
      <c r="R119" s="3">
        <v>9.3000000000000007</v>
      </c>
      <c r="S119" s="3">
        <f>Table14[[#This Row],[GA]]/Table14[[#This Row],[GP]]</f>
        <v>2.9859154929577465</v>
      </c>
      <c r="T119" s="2">
        <v>0.92700000000000005</v>
      </c>
      <c r="U119" s="1">
        <v>101</v>
      </c>
      <c r="V119" s="1">
        <v>48.4</v>
      </c>
      <c r="W119" s="1">
        <v>49.2</v>
      </c>
      <c r="X119" s="1">
        <v>187.3</v>
      </c>
      <c r="Y119" s="3">
        <f>Table135[[#This Row],[XGF]]/Table14[[#This Row],[GP]]</f>
        <v>2.6380281690140848</v>
      </c>
      <c r="Z119" s="1">
        <v>174.7</v>
      </c>
      <c r="AA119" s="3">
        <f>Table135[[#This Row],[XGA]]/Table14[[#This Row],[GP]]</f>
        <v>2.4605633802816902</v>
      </c>
      <c r="AB119" s="1">
        <v>81</v>
      </c>
      <c r="AC119" s="2">
        <f>Table135[[#This Row],[HDGF]]/Table14[[#This Row],[GP]]</f>
        <v>1.1408450704225352</v>
      </c>
      <c r="AD119" s="1">
        <v>56</v>
      </c>
      <c r="AE119" s="2">
        <f>Table135[[#This Row],[HDGA]]/Table14[[#This Row],[GP]]</f>
        <v>0.78873239436619713</v>
      </c>
      <c r="AF119" s="1">
        <v>5.8</v>
      </c>
    </row>
    <row r="120" spans="1:32" hidden="1" x14ac:dyDescent="0.35">
      <c r="A120" t="s">
        <v>91</v>
      </c>
      <c r="B120">
        <v>23</v>
      </c>
      <c r="C120" t="s">
        <v>81</v>
      </c>
      <c r="D120" s="1">
        <v>0</v>
      </c>
      <c r="E120" s="1">
        <v>29.4</v>
      </c>
      <c r="F120" s="1">
        <v>72</v>
      </c>
      <c r="G120" s="1">
        <v>72</v>
      </c>
      <c r="H120" s="2">
        <f>Table14[[#This Row],[PTS]]/Table14[[#This Row],[GP]]</f>
        <v>1</v>
      </c>
      <c r="I120" s="2">
        <v>0.5</v>
      </c>
      <c r="J120" s="1">
        <v>205</v>
      </c>
      <c r="K120" s="3">
        <f>Table14[[#This Row],[GF]]/Table14[[#This Row],[GP]]</f>
        <v>2.8472222222222223</v>
      </c>
      <c r="L120" s="1">
        <v>231</v>
      </c>
      <c r="M120" s="1">
        <v>3.21</v>
      </c>
      <c r="N120" s="2">
        <f>(Table14[[#This Row],[GF]]^2)/((Table14[[#This Row],[GF]]^2)+(Table14[[#This Row],[GA]]^2))</f>
        <v>0.44057828192816556</v>
      </c>
      <c r="O120" s="1">
        <v>28.71</v>
      </c>
      <c r="P120" s="1">
        <v>68.86</v>
      </c>
      <c r="Q120" s="1">
        <f>Table14[[#This Row],[PP_PCT]]+Table14[[#This Row],[PK_PCT]]</f>
        <v>97.57</v>
      </c>
      <c r="R120" s="3">
        <v>10.4</v>
      </c>
      <c r="S120" s="3">
        <f>Table14[[#This Row],[GA]]/Table14[[#This Row],[GP]]</f>
        <v>3.2083333333333335</v>
      </c>
      <c r="T120" s="2">
        <v>0.92300000000000004</v>
      </c>
      <c r="U120" s="1">
        <v>100.4</v>
      </c>
      <c r="V120" s="1">
        <v>49</v>
      </c>
      <c r="W120" s="1">
        <v>49.5</v>
      </c>
      <c r="X120" s="1">
        <v>174</v>
      </c>
      <c r="Y120" s="3">
        <f>Table135[[#This Row],[XGF]]/Table14[[#This Row],[GP]]</f>
        <v>2.4166666666666665</v>
      </c>
      <c r="Z120" s="1">
        <v>164.6</v>
      </c>
      <c r="AA120" s="3">
        <f>Table135[[#This Row],[XGA]]/Table14[[#This Row],[GP]]</f>
        <v>2.286111111111111</v>
      </c>
      <c r="AB120" s="1">
        <v>64</v>
      </c>
      <c r="AC120" s="2">
        <f>Table135[[#This Row],[HDGF]]/Table14[[#This Row],[GP]]</f>
        <v>0.88888888888888884</v>
      </c>
      <c r="AD120" s="1">
        <v>67</v>
      </c>
      <c r="AE120" s="2">
        <f>Table135[[#This Row],[HDGA]]/Table14[[#This Row],[GP]]</f>
        <v>0.93055555555555558</v>
      </c>
      <c r="AF120" s="1">
        <v>6.9</v>
      </c>
    </row>
    <row r="121" spans="1:32" hidden="1" x14ac:dyDescent="0.35">
      <c r="A121" t="s">
        <v>91</v>
      </c>
      <c r="B121">
        <v>24</v>
      </c>
      <c r="C121" t="s">
        <v>79</v>
      </c>
      <c r="D121" s="1">
        <v>0</v>
      </c>
      <c r="E121" s="1">
        <v>27.5</v>
      </c>
      <c r="F121" s="1">
        <v>72</v>
      </c>
      <c r="G121" s="1">
        <v>72</v>
      </c>
      <c r="H121" s="2">
        <f>Table14[[#This Row],[PTS]]/Table14[[#This Row],[GP]]</f>
        <v>1</v>
      </c>
      <c r="I121" s="2">
        <v>0.5</v>
      </c>
      <c r="J121" s="1">
        <v>196</v>
      </c>
      <c r="K121" s="3">
        <f>Table14[[#This Row],[GF]]/Table14[[#This Row],[GP]]</f>
        <v>2.7222222222222223</v>
      </c>
      <c r="L121" s="1">
        <v>225</v>
      </c>
      <c r="M121" s="1">
        <v>3.13</v>
      </c>
      <c r="N121" s="2">
        <f>(Table14[[#This Row],[GF]]^2)/((Table14[[#This Row],[GF]]^2)+(Table14[[#This Row],[GA]]^2))</f>
        <v>0.43144169539874888</v>
      </c>
      <c r="O121" s="1">
        <v>12.12</v>
      </c>
      <c r="P121" s="1">
        <v>73.11</v>
      </c>
      <c r="Q121" s="1">
        <f>Table14[[#This Row],[PP_PCT]]+Table14[[#This Row],[PK_PCT]]</f>
        <v>85.23</v>
      </c>
      <c r="R121" s="3">
        <v>9.8000000000000007</v>
      </c>
      <c r="S121" s="3">
        <f>Table14[[#This Row],[GA]]/Table14[[#This Row],[GP]]</f>
        <v>3.125</v>
      </c>
      <c r="T121" s="2">
        <v>0.91900000000000004</v>
      </c>
      <c r="U121" s="1">
        <v>100.2</v>
      </c>
      <c r="V121" s="1">
        <v>51.7</v>
      </c>
      <c r="W121" s="1">
        <v>51.5</v>
      </c>
      <c r="X121" s="1">
        <v>166.9</v>
      </c>
      <c r="Y121" s="3">
        <f>Table135[[#This Row],[XGF]]/Table14[[#This Row],[GP]]</f>
        <v>2.3180555555555555</v>
      </c>
      <c r="Z121" s="1">
        <v>141.4</v>
      </c>
      <c r="AA121" s="3">
        <f>Table135[[#This Row],[XGA]]/Table14[[#This Row],[GP]]</f>
        <v>1.963888888888889</v>
      </c>
      <c r="AB121" s="1">
        <v>55</v>
      </c>
      <c r="AC121" s="2">
        <f>Table135[[#This Row],[HDGF]]/Table14[[#This Row],[GP]]</f>
        <v>0.76388888888888884</v>
      </c>
      <c r="AD121" s="1">
        <v>51</v>
      </c>
      <c r="AE121" s="2">
        <f>Table135[[#This Row],[HDGA]]/Table14[[#This Row],[GP]]</f>
        <v>0.70833333333333337</v>
      </c>
      <c r="AF121" s="1">
        <v>8.9</v>
      </c>
    </row>
    <row r="122" spans="1:32" hidden="1" x14ac:dyDescent="0.35">
      <c r="A122" t="s">
        <v>91</v>
      </c>
      <c r="B122">
        <v>25</v>
      </c>
      <c r="C122" t="s">
        <v>66</v>
      </c>
      <c r="D122" s="1">
        <v>0</v>
      </c>
      <c r="E122" s="1">
        <v>28.2</v>
      </c>
      <c r="F122" s="1">
        <v>73</v>
      </c>
      <c r="G122" s="1">
        <v>69</v>
      </c>
      <c r="H122" s="2">
        <f>Table14[[#This Row],[PTS]]/Table14[[#This Row],[GP]]</f>
        <v>0.9452054794520548</v>
      </c>
      <c r="I122" s="2">
        <v>0.47299999999999998</v>
      </c>
      <c r="J122" s="1">
        <v>192</v>
      </c>
      <c r="K122" s="3">
        <f>Table14[[#This Row],[GF]]/Table14[[#This Row],[GP]]</f>
        <v>2.6301369863013697</v>
      </c>
      <c r="L122" s="1">
        <v>241</v>
      </c>
      <c r="M122" s="1">
        <v>3.3</v>
      </c>
      <c r="N122" s="2">
        <f>(Table14[[#This Row],[GF]]^2)/((Table14[[#This Row],[GF]]^2)+(Table14[[#This Row],[GA]]^2))</f>
        <v>0.38826689135815473</v>
      </c>
      <c r="O122" s="1">
        <v>14.69</v>
      </c>
      <c r="P122" s="1">
        <v>76.709999999999994</v>
      </c>
      <c r="Q122" s="1">
        <f>Table14[[#This Row],[PP_PCT]]+Table14[[#This Row],[PK_PCT]]</f>
        <v>91.399999999999991</v>
      </c>
      <c r="R122" s="3">
        <v>9.9</v>
      </c>
      <c r="S122" s="3">
        <f>Table14[[#This Row],[GA]]/Table14[[#This Row],[GP]]</f>
        <v>3.3013698630136985</v>
      </c>
      <c r="T122" s="2">
        <v>0.92200000000000004</v>
      </c>
      <c r="U122" s="1">
        <v>100.5</v>
      </c>
      <c r="V122" s="1">
        <v>50.6</v>
      </c>
      <c r="W122" s="1">
        <v>51.4</v>
      </c>
      <c r="X122" s="1">
        <v>173.2</v>
      </c>
      <c r="Y122" s="3">
        <f>Table135[[#This Row],[XGF]]/Table14[[#This Row],[GP]]</f>
        <v>2.3726027397260272</v>
      </c>
      <c r="Z122" s="1">
        <v>165.1</v>
      </c>
      <c r="AA122" s="3">
        <f>Table135[[#This Row],[XGA]]/Table14[[#This Row],[GP]]</f>
        <v>2.2616438356164381</v>
      </c>
      <c r="AB122" s="1">
        <v>70</v>
      </c>
      <c r="AC122" s="2">
        <f>Table135[[#This Row],[HDGF]]/Table14[[#This Row],[GP]]</f>
        <v>0.95890410958904104</v>
      </c>
      <c r="AD122" s="1">
        <v>70</v>
      </c>
      <c r="AE122" s="2">
        <f>Table135[[#This Row],[HDGA]]/Table14[[#This Row],[GP]]</f>
        <v>0.95890410958904104</v>
      </c>
      <c r="AF122" s="1">
        <v>10.199999999999999</v>
      </c>
    </row>
    <row r="123" spans="1:32" hidden="1" x14ac:dyDescent="0.35">
      <c r="A123" t="s">
        <v>91</v>
      </c>
      <c r="B123">
        <v>26</v>
      </c>
      <c r="C123" t="s">
        <v>68</v>
      </c>
      <c r="D123" s="1">
        <v>0</v>
      </c>
      <c r="E123" s="1">
        <v>30.9</v>
      </c>
      <c r="F123" s="1">
        <v>74</v>
      </c>
      <c r="G123" s="1">
        <v>69</v>
      </c>
      <c r="H123" s="2">
        <f>Table14[[#This Row],[PTS]]/Table14[[#This Row],[GP]]</f>
        <v>0.93243243243243246</v>
      </c>
      <c r="I123" s="2">
        <v>0.46600000000000003</v>
      </c>
      <c r="J123" s="1">
        <v>216</v>
      </c>
      <c r="K123" s="3">
        <f>Table14[[#This Row],[GF]]/Table14[[#This Row],[GP]]</f>
        <v>2.9189189189189189</v>
      </c>
      <c r="L123" s="1">
        <v>268</v>
      </c>
      <c r="M123" s="1">
        <v>3.62</v>
      </c>
      <c r="N123" s="2">
        <f>(Table14[[#This Row],[GF]]^2)/((Table14[[#This Row],[GF]]^2)+(Table14[[#This Row],[GA]]^2))</f>
        <v>0.39378798109385549</v>
      </c>
      <c r="O123" s="1">
        <v>24</v>
      </c>
      <c r="P123" s="1">
        <v>77.66</v>
      </c>
      <c r="Q123" s="1">
        <f>Table14[[#This Row],[PP_PCT]]+Table14[[#This Row],[PK_PCT]]</f>
        <v>101.66</v>
      </c>
      <c r="R123" s="3">
        <v>10.4</v>
      </c>
      <c r="S123" s="3">
        <f>Table14[[#This Row],[GA]]/Table14[[#This Row],[GP]]</f>
        <v>3.6216216216216215</v>
      </c>
      <c r="T123" s="2">
        <v>0.91600000000000004</v>
      </c>
      <c r="U123" s="1">
        <v>99.6</v>
      </c>
      <c r="V123" s="1">
        <v>49.8</v>
      </c>
      <c r="W123" s="1">
        <v>49.5</v>
      </c>
      <c r="X123" s="1">
        <v>182.2</v>
      </c>
      <c r="Y123" s="3">
        <f>Table135[[#This Row],[XGF]]/Table14[[#This Row],[GP]]</f>
        <v>2.4621621621621621</v>
      </c>
      <c r="Z123" s="1">
        <v>181.9</v>
      </c>
      <c r="AA123" s="3">
        <f>Table135[[#This Row],[XGA]]/Table14[[#This Row],[GP]]</f>
        <v>2.458108108108108</v>
      </c>
      <c r="AB123" s="1">
        <v>68</v>
      </c>
      <c r="AC123" s="2">
        <f>Table135[[#This Row],[HDGF]]/Table14[[#This Row],[GP]]</f>
        <v>0.91891891891891897</v>
      </c>
      <c r="AD123" s="1">
        <v>65</v>
      </c>
      <c r="AE123" s="2">
        <f>Table135[[#This Row],[HDGA]]/Table14[[#This Row],[GP]]</f>
        <v>0.8783783783783784</v>
      </c>
      <c r="AF123" s="1">
        <v>7</v>
      </c>
    </row>
    <row r="124" spans="1:32" hidden="1" x14ac:dyDescent="0.35">
      <c r="A124" t="s">
        <v>91</v>
      </c>
      <c r="B124">
        <v>27</v>
      </c>
      <c r="C124" t="s">
        <v>86</v>
      </c>
      <c r="D124" s="1">
        <v>0</v>
      </c>
      <c r="E124" s="1">
        <v>28.9</v>
      </c>
      <c r="F124" s="1">
        <v>73</v>
      </c>
      <c r="G124" s="1">
        <v>68</v>
      </c>
      <c r="H124" s="2">
        <f>Table14[[#This Row],[PTS]]/Table14[[#This Row],[GP]]</f>
        <v>0.93150684931506844</v>
      </c>
      <c r="I124" s="2">
        <v>0.46600000000000003</v>
      </c>
      <c r="J124" s="1">
        <v>221</v>
      </c>
      <c r="K124" s="3">
        <f>Table14[[#This Row],[GF]]/Table14[[#This Row],[GP]]</f>
        <v>3.0273972602739727</v>
      </c>
      <c r="L124" s="1">
        <v>234</v>
      </c>
      <c r="M124" s="1">
        <v>3.21</v>
      </c>
      <c r="N124" s="2">
        <f>(Table14[[#This Row],[GF]]^2)/((Table14[[#This Row],[GF]]^2)+(Table14[[#This Row],[GA]]^2))</f>
        <v>0.47145187601957583</v>
      </c>
      <c r="O124" s="1">
        <v>19.600000000000001</v>
      </c>
      <c r="P124" s="1">
        <v>76.97</v>
      </c>
      <c r="Q124" s="1">
        <f>Table14[[#This Row],[PP_PCT]]+Table14[[#This Row],[PK_PCT]]</f>
        <v>96.57</v>
      </c>
      <c r="R124" s="3">
        <v>11</v>
      </c>
      <c r="S124" s="3">
        <f>Table14[[#This Row],[GA]]/Table14[[#This Row],[GP]]</f>
        <v>3.2054794520547945</v>
      </c>
      <c r="T124" s="2">
        <v>0.91800000000000004</v>
      </c>
      <c r="U124" s="1">
        <v>99.6</v>
      </c>
      <c r="V124" s="1">
        <v>47.2</v>
      </c>
      <c r="W124" s="1">
        <v>46.3</v>
      </c>
      <c r="X124" s="1">
        <v>150.1</v>
      </c>
      <c r="Y124" s="3">
        <f>Table135[[#This Row],[XGF]]/Table14[[#This Row],[GP]]</f>
        <v>2.0561643835616437</v>
      </c>
      <c r="Z124" s="1">
        <v>167.1</v>
      </c>
      <c r="AA124" s="3">
        <f>Table135[[#This Row],[XGA]]/Table14[[#This Row],[GP]]</f>
        <v>2.2890410958904108</v>
      </c>
      <c r="AB124" s="1">
        <v>63</v>
      </c>
      <c r="AC124" s="2">
        <f>Table135[[#This Row],[HDGF]]/Table14[[#This Row],[GP]]</f>
        <v>0.86301369863013699</v>
      </c>
      <c r="AD124" s="1">
        <v>69</v>
      </c>
      <c r="AE124" s="2">
        <f>Table135[[#This Row],[HDGA]]/Table14[[#This Row],[GP]]</f>
        <v>0.9452054794520548</v>
      </c>
      <c r="AF124" s="1">
        <v>6.6</v>
      </c>
    </row>
    <row r="125" spans="1:32" hidden="1" x14ac:dyDescent="0.35">
      <c r="A125" t="s">
        <v>91</v>
      </c>
      <c r="B125">
        <v>28</v>
      </c>
      <c r="C125" t="s">
        <v>85</v>
      </c>
      <c r="D125" s="1">
        <v>0</v>
      </c>
      <c r="E125" s="1">
        <v>26.8</v>
      </c>
      <c r="F125" s="1">
        <v>74</v>
      </c>
      <c r="G125" s="1">
        <v>67</v>
      </c>
      <c r="H125" s="2">
        <f>Table14[[#This Row],[PTS]]/Table14[[#This Row],[GP]]</f>
        <v>0.90540540540540537</v>
      </c>
      <c r="I125" s="2">
        <v>0.45300000000000001</v>
      </c>
      <c r="J125" s="1">
        <v>203</v>
      </c>
      <c r="K125" s="3">
        <f>Table14[[#This Row],[GF]]/Table14[[#This Row],[GP]]</f>
        <v>2.7432432432432434</v>
      </c>
      <c r="L125" s="1">
        <v>255</v>
      </c>
      <c r="M125" s="1">
        <v>3.45</v>
      </c>
      <c r="N125" s="2">
        <f>(Table14[[#This Row],[GF]]^2)/((Table14[[#This Row],[GF]]^2)+(Table14[[#This Row],[GA]]^2))</f>
        <v>0.38790782611969804</v>
      </c>
      <c r="O125" s="1">
        <v>13.92</v>
      </c>
      <c r="P125" s="1">
        <v>77.599999999999994</v>
      </c>
      <c r="Q125" s="1">
        <f>Table14[[#This Row],[PP_PCT]]+Table14[[#This Row],[PK_PCT]]</f>
        <v>91.52</v>
      </c>
      <c r="R125" s="3">
        <v>10.199999999999999</v>
      </c>
      <c r="S125" s="3">
        <f>Table14[[#This Row],[GA]]/Table14[[#This Row],[GP]]</f>
        <v>3.4459459459459461</v>
      </c>
      <c r="T125" s="2">
        <v>0.92300000000000004</v>
      </c>
      <c r="U125" s="1">
        <v>102.6</v>
      </c>
      <c r="V125" s="1">
        <v>51.2</v>
      </c>
      <c r="W125" s="1">
        <v>51.4</v>
      </c>
      <c r="X125" s="1">
        <v>153.69999999999999</v>
      </c>
      <c r="Y125" s="3">
        <f>Table135[[#This Row],[XGF]]/Table14[[#This Row],[GP]]</f>
        <v>2.077027027027027</v>
      </c>
      <c r="Z125" s="1">
        <v>142.5</v>
      </c>
      <c r="AA125" s="3">
        <f>Table135[[#This Row],[XGA]]/Table14[[#This Row],[GP]]</f>
        <v>1.9256756756756757</v>
      </c>
      <c r="AB125" s="1">
        <v>67</v>
      </c>
      <c r="AC125" s="2">
        <f>Table135[[#This Row],[HDGF]]/Table14[[#This Row],[GP]]</f>
        <v>0.90540540540540537</v>
      </c>
      <c r="AD125" s="1">
        <v>46</v>
      </c>
      <c r="AE125" s="2">
        <f>Table135[[#This Row],[HDGA]]/Table14[[#This Row],[GP]]</f>
        <v>0.6216216216216216</v>
      </c>
      <c r="AF125" s="1">
        <v>7.5</v>
      </c>
    </row>
    <row r="126" spans="1:32" hidden="1" x14ac:dyDescent="0.35">
      <c r="A126" t="s">
        <v>91</v>
      </c>
      <c r="B126">
        <v>29</v>
      </c>
      <c r="C126" t="s">
        <v>80</v>
      </c>
      <c r="D126" s="1">
        <v>0</v>
      </c>
      <c r="E126" s="1">
        <v>25.9</v>
      </c>
      <c r="F126" s="1">
        <v>71</v>
      </c>
      <c r="G126" s="1">
        <v>66</v>
      </c>
      <c r="H126" s="2">
        <f>Table14[[#This Row],[PTS]]/Table14[[#This Row],[GP]]</f>
        <v>0.92957746478873238</v>
      </c>
      <c r="I126" s="2">
        <v>0.46500000000000002</v>
      </c>
      <c r="J126" s="1">
        <v>224</v>
      </c>
      <c r="K126" s="3">
        <f>Table14[[#This Row],[GF]]/Table14[[#This Row],[GP]]</f>
        <v>3.1549295774647885</v>
      </c>
      <c r="L126" s="1">
        <v>248</v>
      </c>
      <c r="M126" s="1">
        <v>3.49</v>
      </c>
      <c r="N126" s="2">
        <f>(Table14[[#This Row],[GF]]^2)/((Table14[[#This Row],[GF]]^2)+(Table14[[#This Row],[GA]]^2))</f>
        <v>0.44928366762177652</v>
      </c>
      <c r="O126" s="1">
        <v>17.559999999999999</v>
      </c>
      <c r="P126" s="1">
        <v>76.739999999999995</v>
      </c>
      <c r="Q126" s="1">
        <f>Table14[[#This Row],[PP_PCT]]+Table14[[#This Row],[PK_PCT]]</f>
        <v>94.3</v>
      </c>
      <c r="R126" s="3">
        <v>11.4</v>
      </c>
      <c r="S126" s="3">
        <f>Table14[[#This Row],[GA]]/Table14[[#This Row],[GP]]</f>
        <v>3.492957746478873</v>
      </c>
      <c r="T126" s="2">
        <v>0.92700000000000005</v>
      </c>
      <c r="U126" s="1">
        <v>100</v>
      </c>
      <c r="V126" s="1">
        <v>49.4</v>
      </c>
      <c r="W126" s="1">
        <v>49.5</v>
      </c>
      <c r="X126" s="1">
        <v>186.6</v>
      </c>
      <c r="Y126" s="3">
        <f>Table135[[#This Row],[XGF]]/Table14[[#This Row],[GP]]</f>
        <v>2.6281690140845071</v>
      </c>
      <c r="Z126" s="1">
        <v>190.9</v>
      </c>
      <c r="AA126" s="3">
        <f>Table135[[#This Row],[XGA]]/Table14[[#This Row],[GP]]</f>
        <v>2.6887323943661974</v>
      </c>
      <c r="AB126" s="1">
        <v>72</v>
      </c>
      <c r="AC126" s="2">
        <f>Table135[[#This Row],[HDGF]]/Table14[[#This Row],[GP]]</f>
        <v>1.0140845070422535</v>
      </c>
      <c r="AD126" s="1">
        <v>66</v>
      </c>
      <c r="AE126" s="2">
        <f>Table135[[#This Row],[HDGA]]/Table14[[#This Row],[GP]]</f>
        <v>0.92957746478873238</v>
      </c>
      <c r="AF126" s="1">
        <v>10.8</v>
      </c>
    </row>
    <row r="127" spans="1:32" hidden="1" x14ac:dyDescent="0.35">
      <c r="A127" t="s">
        <v>91</v>
      </c>
      <c r="B127">
        <v>30</v>
      </c>
      <c r="C127" t="s">
        <v>72</v>
      </c>
      <c r="D127" s="1">
        <v>0</v>
      </c>
      <c r="E127" s="1">
        <v>30</v>
      </c>
      <c r="F127" s="1">
        <v>72</v>
      </c>
      <c r="G127" s="1">
        <v>62</v>
      </c>
      <c r="H127" s="2">
        <f>Table14[[#This Row],[PTS]]/Table14[[#This Row],[GP]]</f>
        <v>0.86111111111111116</v>
      </c>
      <c r="I127" s="2">
        <v>0.43099999999999999</v>
      </c>
      <c r="J127" s="1">
        <v>183</v>
      </c>
      <c r="K127" s="3">
        <f>Table14[[#This Row],[GF]]/Table14[[#This Row],[GP]]</f>
        <v>2.5416666666666665</v>
      </c>
      <c r="L127" s="1">
        <v>232</v>
      </c>
      <c r="M127" s="1">
        <v>3.22</v>
      </c>
      <c r="N127" s="2">
        <f>(Table14[[#This Row],[GF]]^2)/((Table14[[#This Row],[GF]]^2)+(Table14[[#This Row],[GA]]^2))</f>
        <v>0.38355113213381742</v>
      </c>
      <c r="O127" s="1">
        <v>21.18</v>
      </c>
      <c r="P127" s="1">
        <v>81.31</v>
      </c>
      <c r="Q127" s="1">
        <f>Table14[[#This Row],[PP_PCT]]+Table14[[#This Row],[PK_PCT]]</f>
        <v>102.49000000000001</v>
      </c>
      <c r="R127" s="3">
        <v>8.6999999999999993</v>
      </c>
      <c r="S127" s="3">
        <f>Table14[[#This Row],[GA]]/Table14[[#This Row],[GP]]</f>
        <v>3.2222222222222223</v>
      </c>
      <c r="T127" s="2">
        <v>0.92800000000000005</v>
      </c>
      <c r="U127" s="1">
        <v>100.5</v>
      </c>
      <c r="V127" s="1">
        <v>51.7</v>
      </c>
      <c r="W127" s="1">
        <v>51.6</v>
      </c>
      <c r="X127" s="1">
        <v>170.9</v>
      </c>
      <c r="Y127" s="3">
        <f>Table135[[#This Row],[XGF]]/Table14[[#This Row],[GP]]</f>
        <v>2.3736111111111113</v>
      </c>
      <c r="Z127" s="1">
        <v>170.4</v>
      </c>
      <c r="AA127" s="3">
        <f>Table135[[#This Row],[XGA]]/Table14[[#This Row],[GP]]</f>
        <v>2.3666666666666667</v>
      </c>
      <c r="AB127" s="1">
        <v>58</v>
      </c>
      <c r="AC127" s="2">
        <f>Table135[[#This Row],[HDGF]]/Table14[[#This Row],[GP]]</f>
        <v>0.80555555555555558</v>
      </c>
      <c r="AD127" s="1">
        <v>64</v>
      </c>
      <c r="AE127" s="2">
        <f>Table135[[#This Row],[HDGA]]/Table14[[#This Row],[GP]]</f>
        <v>0.88888888888888884</v>
      </c>
      <c r="AF127" s="1">
        <v>10.1</v>
      </c>
    </row>
    <row r="128" spans="1:32" hidden="1" x14ac:dyDescent="0.35">
      <c r="A128" t="s">
        <v>91</v>
      </c>
      <c r="B128">
        <v>31</v>
      </c>
      <c r="C128" t="s">
        <v>83</v>
      </c>
      <c r="D128" s="1">
        <v>0</v>
      </c>
      <c r="E128" s="1">
        <v>28.4</v>
      </c>
      <c r="F128" s="1">
        <v>73</v>
      </c>
      <c r="G128" s="1">
        <v>51</v>
      </c>
      <c r="H128" s="2">
        <f>Table14[[#This Row],[PTS]]/Table14[[#This Row],[GP]]</f>
        <v>0.69863013698630139</v>
      </c>
      <c r="I128" s="2">
        <v>0.34899999999999998</v>
      </c>
      <c r="J128" s="1">
        <v>198</v>
      </c>
      <c r="K128" s="3">
        <f>Table14[[#This Row],[GF]]/Table14[[#This Row],[GP]]</f>
        <v>2.7123287671232879</v>
      </c>
      <c r="L128" s="1">
        <v>262</v>
      </c>
      <c r="M128" s="1">
        <v>3.59</v>
      </c>
      <c r="N128" s="2">
        <f>(Table14[[#This Row],[GF]]^2)/((Table14[[#This Row],[GF]]^2)+(Table14[[#This Row],[GA]]^2))</f>
        <v>0.36351160893108819</v>
      </c>
      <c r="O128" s="1">
        <v>25.6</v>
      </c>
      <c r="P128" s="1">
        <v>80.599999999999994</v>
      </c>
      <c r="Q128" s="1">
        <f>Table14[[#This Row],[PP_PCT]]+Table14[[#This Row],[PK_PCT]]</f>
        <v>106.19999999999999</v>
      </c>
      <c r="R128" s="3">
        <v>11.1</v>
      </c>
      <c r="S128" s="3">
        <f>Table14[[#This Row],[GA]]/Table14[[#This Row],[GP]]</f>
        <v>3.5890410958904111</v>
      </c>
      <c r="T128" s="2">
        <v>0.94</v>
      </c>
      <c r="U128" s="1">
        <v>102.2</v>
      </c>
      <c r="V128" s="1">
        <v>51.6</v>
      </c>
      <c r="W128" s="1">
        <v>51.4</v>
      </c>
      <c r="X128" s="1">
        <v>171.1</v>
      </c>
      <c r="Y128" s="3">
        <f>Table135[[#This Row],[XGF]]/Table14[[#This Row],[GP]]</f>
        <v>2.3438356164383563</v>
      </c>
      <c r="Z128" s="1">
        <v>161.9</v>
      </c>
      <c r="AA128" s="3">
        <f>Table135[[#This Row],[XGA]]/Table14[[#This Row],[GP]]</f>
        <v>2.2178082191780821</v>
      </c>
      <c r="AB128" s="1">
        <v>65</v>
      </c>
      <c r="AC128" s="2">
        <f>Table135[[#This Row],[HDGF]]/Table14[[#This Row],[GP]]</f>
        <v>0.8904109589041096</v>
      </c>
      <c r="AD128" s="1">
        <v>49</v>
      </c>
      <c r="AE128" s="2">
        <f>Table135[[#This Row],[HDGA]]/Table14[[#This Row],[GP]]</f>
        <v>0.67123287671232879</v>
      </c>
      <c r="AF128" s="1">
        <v>8.8000000000000007</v>
      </c>
    </row>
    <row r="129" spans="1:32" hidden="1" x14ac:dyDescent="0.35">
      <c r="A129" t="s">
        <v>91</v>
      </c>
      <c r="B129">
        <v>32</v>
      </c>
      <c r="C129" t="s">
        <v>78</v>
      </c>
      <c r="D129" s="1">
        <v>0</v>
      </c>
      <c r="E129" s="1">
        <v>27.3</v>
      </c>
      <c r="F129" s="1">
        <v>71</v>
      </c>
      <c r="G129" s="1">
        <v>49</v>
      </c>
      <c r="H129" s="2">
        <f>Table14[[#This Row],[PTS]]/Table14[[#This Row],[GP]]</f>
        <v>0.6901408450704225</v>
      </c>
      <c r="I129" s="2">
        <v>0.34499999999999997</v>
      </c>
      <c r="J129" s="1">
        <v>186</v>
      </c>
      <c r="K129" s="3">
        <f>Table14[[#This Row],[GF]]/Table14[[#This Row],[GP]]</f>
        <v>2.619718309859155</v>
      </c>
      <c r="L129" s="1">
        <v>260</v>
      </c>
      <c r="M129" s="1">
        <v>3.66</v>
      </c>
      <c r="N129" s="2">
        <f>(Table14[[#This Row],[GF]]^2)/((Table14[[#This Row],[GF]]^2)+(Table14[[#This Row],[GA]]^2))</f>
        <v>0.33852596970527221</v>
      </c>
      <c r="O129" s="1">
        <v>19.399999999999999</v>
      </c>
      <c r="P129" s="1">
        <v>74.31</v>
      </c>
      <c r="Q129" s="1">
        <f>Table14[[#This Row],[PP_PCT]]+Table14[[#This Row],[PK_PCT]]</f>
        <v>93.710000000000008</v>
      </c>
      <c r="R129" s="3">
        <v>9.6999999999999993</v>
      </c>
      <c r="S129" s="3">
        <f>Table14[[#This Row],[GA]]/Table14[[#This Row],[GP]]</f>
        <v>3.6619718309859155</v>
      </c>
      <c r="T129" s="2">
        <v>0.93700000000000006</v>
      </c>
      <c r="U129" s="1">
        <v>102.3</v>
      </c>
      <c r="V129" s="1">
        <v>50.5</v>
      </c>
      <c r="W129" s="1">
        <v>50.6</v>
      </c>
      <c r="X129" s="1">
        <v>145.69999999999999</v>
      </c>
      <c r="Y129" s="3">
        <f>Table135[[#This Row],[XGF]]/Table14[[#This Row],[GP]]</f>
        <v>2.0521126760563377</v>
      </c>
      <c r="Z129" s="1">
        <v>134.4</v>
      </c>
      <c r="AA129" s="3">
        <f>Table135[[#This Row],[XGA]]/Table14[[#This Row],[GP]]</f>
        <v>1.8929577464788734</v>
      </c>
      <c r="AB129" s="1">
        <v>58</v>
      </c>
      <c r="AC129" s="2">
        <f>Table135[[#This Row],[HDGF]]/Table14[[#This Row],[GP]]</f>
        <v>0.81690140845070425</v>
      </c>
      <c r="AD129" s="1">
        <v>39</v>
      </c>
      <c r="AE129" s="2">
        <f>Table135[[#This Row],[HDGA]]/Table14[[#This Row],[GP]]</f>
        <v>0.54929577464788737</v>
      </c>
      <c r="AF129" s="1">
        <v>8.6</v>
      </c>
    </row>
  </sheetData>
  <conditionalFormatting sqref="I2:I12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129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129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:N12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12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R12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:S129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:T12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:W12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:Y129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:AA129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:AC129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:AE129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:AF12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87C31-29DD-4055-A833-61BD199B94D1}">
  <dimension ref="A1:AF129"/>
  <sheetViews>
    <sheetView zoomScale="90" zoomScaleNormal="90" workbookViewId="0">
      <selection activeCell="L136" sqref="L136"/>
    </sheetView>
  </sheetViews>
  <sheetFormatPr defaultRowHeight="14.5" x14ac:dyDescent="0.35"/>
  <cols>
    <col min="1" max="1" width="9.81640625" bestFit="1" customWidth="1"/>
    <col min="2" max="2" width="7.7265625" bestFit="1" customWidth="1"/>
    <col min="3" max="3" width="19.54296875" bestFit="1" customWidth="1"/>
    <col min="4" max="4" width="12.81640625" style="1" bestFit="1" customWidth="1"/>
    <col min="5" max="5" width="13" style="1" bestFit="1" customWidth="1"/>
    <col min="6" max="6" width="7.7265625" style="1" bestFit="1" customWidth="1"/>
    <col min="7" max="7" width="8.453125" style="1" bestFit="1" customWidth="1"/>
    <col min="8" max="8" width="12.7265625" style="1" customWidth="1"/>
    <col min="9" max="9" width="12.54296875" style="1" bestFit="1" customWidth="1"/>
    <col min="10" max="10" width="7.54296875" style="1" bestFit="1" customWidth="1"/>
    <col min="11" max="11" width="11.81640625" style="1" customWidth="1"/>
    <col min="12" max="12" width="10.1796875" style="1" customWidth="1"/>
    <col min="13" max="13" width="11.81640625" style="1" customWidth="1"/>
    <col min="14" max="14" width="14.81640625" style="1" bestFit="1" customWidth="1"/>
    <col min="15" max="16" width="11.54296875" style="1" bestFit="1" customWidth="1"/>
    <col min="17" max="17" width="22.453125" style="1" customWidth="1"/>
    <col min="18" max="18" width="10.54296875" style="1" bestFit="1" customWidth="1"/>
    <col min="19" max="19" width="11.54296875" style="1" customWidth="1"/>
    <col min="20" max="20" width="12.26953125" style="1" bestFit="1" customWidth="1"/>
    <col min="21" max="21" width="9.7265625" style="1" bestFit="1" customWidth="1"/>
    <col min="22" max="22" width="11.7265625" style="1" bestFit="1" customWidth="1"/>
    <col min="23" max="23" width="12.1796875" style="1" bestFit="1" customWidth="1"/>
    <col min="24" max="24" width="9.453125" style="1" bestFit="1" customWidth="1"/>
    <col min="25" max="25" width="11.81640625" style="1" bestFit="1" customWidth="1"/>
    <col min="26" max="26" width="9.453125" style="1" bestFit="1" customWidth="1"/>
    <col min="27" max="27" width="11.1796875" style="1" bestFit="1" customWidth="1"/>
    <col min="28" max="28" width="10.1796875" style="1" bestFit="1" customWidth="1"/>
    <col min="29" max="29" width="10.1796875" style="1" customWidth="1"/>
    <col min="30" max="30" width="10.26953125" style="1" bestFit="1" customWidth="1"/>
    <col min="32" max="32" width="10.81640625" style="1" bestFit="1" customWidth="1"/>
  </cols>
  <sheetData>
    <row r="1" spans="1:32" x14ac:dyDescent="0.3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9</v>
      </c>
      <c r="H1" s="1" t="s">
        <v>93</v>
      </c>
      <c r="I1" s="1" t="s">
        <v>10</v>
      </c>
      <c r="J1" s="1" t="s">
        <v>11</v>
      </c>
      <c r="K1" s="1" t="s">
        <v>17</v>
      </c>
      <c r="L1" s="1" t="s">
        <v>12</v>
      </c>
      <c r="M1" s="1" t="s">
        <v>18</v>
      </c>
      <c r="N1" s="1" t="s">
        <v>94</v>
      </c>
      <c r="O1" s="1" t="s">
        <v>21</v>
      </c>
      <c r="P1" s="1" t="s">
        <v>24</v>
      </c>
      <c r="Q1" s="1" t="s">
        <v>95</v>
      </c>
      <c r="R1" s="1" t="s">
        <v>30</v>
      </c>
      <c r="S1" s="1" t="s">
        <v>96</v>
      </c>
      <c r="T1" s="1" t="s">
        <v>32</v>
      </c>
      <c r="U1" s="1" t="s">
        <v>34</v>
      </c>
      <c r="V1" s="1" t="s">
        <v>37</v>
      </c>
      <c r="W1" s="1" t="s">
        <v>40</v>
      </c>
      <c r="X1" s="1" t="s">
        <v>41</v>
      </c>
      <c r="Y1" s="1" t="s">
        <v>97</v>
      </c>
      <c r="Z1" s="1" t="s">
        <v>42</v>
      </c>
      <c r="AA1" s="1" t="s">
        <v>98</v>
      </c>
      <c r="AB1" s="1" t="s">
        <v>52</v>
      </c>
      <c r="AC1" s="1" t="s">
        <v>99</v>
      </c>
      <c r="AD1" s="1" t="s">
        <v>54</v>
      </c>
      <c r="AE1" s="1" t="s">
        <v>100</v>
      </c>
      <c r="AF1" s="1" t="s">
        <v>27</v>
      </c>
    </row>
    <row r="2" spans="1:32" hidden="1" x14ac:dyDescent="0.35">
      <c r="A2" t="s">
        <v>56</v>
      </c>
      <c r="B2">
        <v>1</v>
      </c>
      <c r="C2" t="s">
        <v>57</v>
      </c>
      <c r="D2" s="1">
        <v>1</v>
      </c>
      <c r="E2" s="1">
        <v>27.8</v>
      </c>
      <c r="F2" s="1">
        <v>82</v>
      </c>
      <c r="G2" s="1">
        <v>122</v>
      </c>
      <c r="H2" s="2">
        <f>Table14710[[#This Row],[PTS]]/Table14710[[#This Row],[GP]]</f>
        <v>1.4878048780487805</v>
      </c>
      <c r="I2" s="2">
        <v>0.74399999999999999</v>
      </c>
      <c r="J2" s="1">
        <v>337</v>
      </c>
      <c r="K2" s="3">
        <f>Table14710[[#This Row],[GF]]/Table14710[[#This Row],[GP]]</f>
        <v>4.1097560975609753</v>
      </c>
      <c r="L2" s="1">
        <v>242</v>
      </c>
      <c r="M2" s="1">
        <v>2.95</v>
      </c>
      <c r="N2" s="2">
        <f>(Table14710[[#This Row],[GF]]^2)/((Table14710[[#This Row],[GF]]^2)+(Table14710[[#This Row],[GA]]^2))</f>
        <v>0.65977470909122593</v>
      </c>
      <c r="O2" s="1">
        <v>24.43</v>
      </c>
      <c r="P2" s="1">
        <v>79.540000000000006</v>
      </c>
      <c r="Q2" s="1">
        <f>Table14710[[#This Row],[PP_PCT]]+Table14710[[#This Row],[PK_PCT]]</f>
        <v>103.97</v>
      </c>
      <c r="R2" s="3">
        <v>11</v>
      </c>
      <c r="S2" s="3">
        <f>Table14710[[#This Row],[GA]]/Table14710[[#This Row],[GP]]</f>
        <v>2.9512195121951219</v>
      </c>
      <c r="T2" s="2">
        <v>0.91800000000000004</v>
      </c>
      <c r="U2" s="1">
        <v>99.3</v>
      </c>
      <c r="V2" s="1">
        <v>47.6</v>
      </c>
      <c r="W2" s="1">
        <v>47.6</v>
      </c>
      <c r="X2" s="1">
        <v>169.8</v>
      </c>
      <c r="Y2" s="3">
        <f>Table135811[[#This Row],[XGF]]/Table14710[[#This Row],[GP]]</f>
        <v>2.0707317073170732</v>
      </c>
      <c r="Z2" s="1">
        <v>186.9</v>
      </c>
      <c r="AA2" s="3">
        <f>Table135811[[#This Row],[XGA]]/Table14710[[#This Row],[GP]]</f>
        <v>2.2792682926829269</v>
      </c>
      <c r="AB2" s="1">
        <v>72</v>
      </c>
      <c r="AC2" s="2">
        <f>Table135811[[#This Row],[HDGF]]/Table14710[[#This Row],[GP]]</f>
        <v>0.87804878048780488</v>
      </c>
      <c r="AD2" s="1">
        <v>61</v>
      </c>
      <c r="AE2" s="2">
        <f>Table135811[[#This Row],[HDGA]]/Table14710[[#This Row],[GP]]</f>
        <v>0.74390243902439024</v>
      </c>
      <c r="AF2" s="1">
        <v>10.1</v>
      </c>
    </row>
    <row r="3" spans="1:32" hidden="1" x14ac:dyDescent="0.35">
      <c r="A3" t="s">
        <v>56</v>
      </c>
      <c r="B3">
        <v>2</v>
      </c>
      <c r="C3" t="s">
        <v>58</v>
      </c>
      <c r="D3" s="1">
        <v>1</v>
      </c>
      <c r="E3" s="1">
        <v>28.2</v>
      </c>
      <c r="F3" s="1">
        <v>82</v>
      </c>
      <c r="G3" s="1">
        <v>119</v>
      </c>
      <c r="H3" s="2">
        <f>Table14710[[#This Row],[PTS]]/Table14710[[#This Row],[GP]]</f>
        <v>1.4512195121951219</v>
      </c>
      <c r="I3" s="2">
        <v>0.72599999999999998</v>
      </c>
      <c r="J3" s="1">
        <v>308</v>
      </c>
      <c r="K3" s="3">
        <f>Table14710[[#This Row],[GF]]/Table14710[[#This Row],[GP]]</f>
        <v>3.7560975609756095</v>
      </c>
      <c r="L3" s="1">
        <v>232</v>
      </c>
      <c r="M3" s="1">
        <v>2.83</v>
      </c>
      <c r="N3" s="2">
        <f>(Table14710[[#This Row],[GF]]^2)/((Table14710[[#This Row],[GF]]^2)+(Table14710[[#This Row],[GA]]^2))</f>
        <v>0.63800710211987521</v>
      </c>
      <c r="O3" s="1">
        <v>24.01</v>
      </c>
      <c r="P3" s="1">
        <v>79.66</v>
      </c>
      <c r="Q3" s="1">
        <f>Table14710[[#This Row],[PP_PCT]]+Table14710[[#This Row],[PK_PCT]]</f>
        <v>103.67</v>
      </c>
      <c r="R3" s="3">
        <v>10.7</v>
      </c>
      <c r="S3" s="3">
        <f>Table14710[[#This Row],[GA]]/Table14710[[#This Row],[GP]]</f>
        <v>2.8292682926829267</v>
      </c>
      <c r="T3" s="2">
        <v>0.91800000000000004</v>
      </c>
      <c r="U3" s="1">
        <v>99.3</v>
      </c>
      <c r="V3" s="1">
        <v>42.6</v>
      </c>
      <c r="W3" s="1">
        <v>41.6</v>
      </c>
      <c r="X3" s="1">
        <v>152.9</v>
      </c>
      <c r="Y3" s="3">
        <f>Table135811[[#This Row],[XGF]]/Table14710[[#This Row],[GP]]</f>
        <v>1.8646341463414635</v>
      </c>
      <c r="Z3" s="1">
        <v>237.8</v>
      </c>
      <c r="AA3" s="3">
        <f>Table135811[[#This Row],[XGA]]/Table14710[[#This Row],[GP]]</f>
        <v>2.9000000000000004</v>
      </c>
      <c r="AB3" s="1">
        <v>53</v>
      </c>
      <c r="AC3" s="2">
        <f>Table135811[[#This Row],[HDGF]]/Table14710[[#This Row],[GP]]</f>
        <v>0.64634146341463417</v>
      </c>
      <c r="AD3" s="1">
        <v>80</v>
      </c>
      <c r="AE3" s="2">
        <f>Table135811[[#This Row],[HDGA]]/Table14710[[#This Row],[GP]]</f>
        <v>0.97560975609756095</v>
      </c>
      <c r="AF3" s="1">
        <v>9</v>
      </c>
    </row>
    <row r="4" spans="1:32" hidden="1" x14ac:dyDescent="0.35">
      <c r="A4" t="s">
        <v>56</v>
      </c>
      <c r="B4">
        <v>3</v>
      </c>
      <c r="C4" t="s">
        <v>59</v>
      </c>
      <c r="D4" s="1">
        <v>1</v>
      </c>
      <c r="E4" s="1">
        <v>28.3</v>
      </c>
      <c r="F4" s="1">
        <v>82</v>
      </c>
      <c r="G4" s="1">
        <v>116</v>
      </c>
      <c r="H4" s="2">
        <f>Table14710[[#This Row],[PTS]]/Table14710[[#This Row],[GP]]</f>
        <v>1.4146341463414633</v>
      </c>
      <c r="I4" s="2">
        <v>0.70699999999999996</v>
      </c>
      <c r="J4" s="1">
        <v>277</v>
      </c>
      <c r="K4" s="3">
        <f>Table14710[[#This Row],[GF]]/Table14710[[#This Row],[GP]]</f>
        <v>3.3780487804878048</v>
      </c>
      <c r="L4" s="1">
        <v>200</v>
      </c>
      <c r="M4" s="1">
        <v>2.44</v>
      </c>
      <c r="N4" s="2">
        <f>(Table14710[[#This Row],[GF]]^2)/((Table14710[[#This Row],[GF]]^2)+(Table14710[[#This Row],[GA]]^2))</f>
        <v>0.65732594299617064</v>
      </c>
      <c r="O4" s="1">
        <v>21.98</v>
      </c>
      <c r="P4" s="1">
        <v>88.04</v>
      </c>
      <c r="Q4" s="1">
        <f>Table14710[[#This Row],[PP_PCT]]+Table14710[[#This Row],[PK_PCT]]</f>
        <v>110.02000000000001</v>
      </c>
      <c r="R4" s="3">
        <v>9.9</v>
      </c>
      <c r="S4" s="3">
        <f>Table14710[[#This Row],[GA]]/Table14710[[#This Row],[GP]]</f>
        <v>2.4390243902439024</v>
      </c>
      <c r="T4" s="2">
        <v>0.91700000000000004</v>
      </c>
      <c r="U4" s="1">
        <v>98.8</v>
      </c>
      <c r="V4" s="1">
        <v>46.9</v>
      </c>
      <c r="W4" s="1">
        <v>46.5</v>
      </c>
      <c r="X4" s="1">
        <v>142.30000000000001</v>
      </c>
      <c r="Y4" s="3">
        <f>Table135811[[#This Row],[XGF]]/Table14710[[#This Row],[GP]]</f>
        <v>1.7353658536585368</v>
      </c>
      <c r="Z4" s="1">
        <v>173.3</v>
      </c>
      <c r="AA4" s="3">
        <f>Table135811[[#This Row],[XGA]]/Table14710[[#This Row],[GP]]</f>
        <v>2.1134146341463418</v>
      </c>
      <c r="AB4" s="1">
        <v>52</v>
      </c>
      <c r="AC4" s="2">
        <f>Table135811[[#This Row],[HDGF]]/Table14710[[#This Row],[GP]]</f>
        <v>0.63414634146341464</v>
      </c>
      <c r="AD4" s="1">
        <v>78</v>
      </c>
      <c r="AE4" s="2">
        <f>Table135811[[#This Row],[HDGA]]/Table14710[[#This Row],[GP]]</f>
        <v>0.95121951219512191</v>
      </c>
      <c r="AF4" s="1">
        <v>9.1999999999999993</v>
      </c>
    </row>
    <row r="5" spans="1:32" hidden="1" x14ac:dyDescent="0.35">
      <c r="A5" t="s">
        <v>56</v>
      </c>
      <c r="B5">
        <v>4</v>
      </c>
      <c r="C5" t="s">
        <v>60</v>
      </c>
      <c r="D5" s="1">
        <v>1</v>
      </c>
      <c r="E5" s="1">
        <v>28.4</v>
      </c>
      <c r="F5" s="1">
        <v>82</v>
      </c>
      <c r="G5" s="1">
        <v>115</v>
      </c>
      <c r="H5" s="2">
        <f>Table14710[[#This Row],[PTS]]/Table14710[[#This Row],[GP]]</f>
        <v>1.4024390243902438</v>
      </c>
      <c r="I5" s="2">
        <v>0.70099999999999996</v>
      </c>
      <c r="J5" s="1">
        <v>312</v>
      </c>
      <c r="K5" s="3">
        <f>Table14710[[#This Row],[GF]]/Table14710[[#This Row],[GP]]</f>
        <v>3.8048780487804876</v>
      </c>
      <c r="L5" s="1">
        <v>252</v>
      </c>
      <c r="M5" s="1">
        <v>3.07</v>
      </c>
      <c r="N5" s="2">
        <f>(Table14710[[#This Row],[GF]]^2)/((Table14710[[#This Row],[GF]]^2)+(Table14710[[#This Row],[GA]]^2))</f>
        <v>0.60519247985675917</v>
      </c>
      <c r="O5" s="1">
        <v>27.27</v>
      </c>
      <c r="P5" s="1">
        <v>82.05</v>
      </c>
      <c r="Q5" s="1">
        <f>Table14710[[#This Row],[PP_PCT]]+Table14710[[#This Row],[PK_PCT]]</f>
        <v>109.32</v>
      </c>
      <c r="R5" s="3">
        <v>11</v>
      </c>
      <c r="S5" s="3">
        <f>Table14710[[#This Row],[GA]]/Table14710[[#This Row],[GP]]</f>
        <v>3.0731707317073171</v>
      </c>
      <c r="T5" s="2">
        <v>0.92700000000000005</v>
      </c>
      <c r="U5" s="1">
        <v>101</v>
      </c>
      <c r="V5" s="1">
        <v>46.4</v>
      </c>
      <c r="W5" s="1">
        <v>45.9</v>
      </c>
      <c r="X5" s="1">
        <v>141.30000000000001</v>
      </c>
      <c r="Y5" s="3">
        <f>Table135811[[#This Row],[XGF]]/Table14710[[#This Row],[GP]]</f>
        <v>1.7231707317073173</v>
      </c>
      <c r="Z5" s="1">
        <v>169.6</v>
      </c>
      <c r="AA5" s="3">
        <f>Table135811[[#This Row],[XGA]]/Table14710[[#This Row],[GP]]</f>
        <v>2.0682926829268293</v>
      </c>
      <c r="AB5" s="1">
        <v>50</v>
      </c>
      <c r="AC5" s="2">
        <f>Table135811[[#This Row],[HDGF]]/Table14710[[#This Row],[GP]]</f>
        <v>0.6097560975609756</v>
      </c>
      <c r="AD5" s="1">
        <v>61</v>
      </c>
      <c r="AE5" s="2">
        <f>Table135811[[#This Row],[HDGA]]/Table14710[[#This Row],[GP]]</f>
        <v>0.74390243902439024</v>
      </c>
      <c r="AF5" s="1">
        <v>8.6</v>
      </c>
    </row>
    <row r="6" spans="1:32" hidden="1" x14ac:dyDescent="0.35">
      <c r="A6" t="s">
        <v>56</v>
      </c>
      <c r="B6">
        <v>5</v>
      </c>
      <c r="C6" t="s">
        <v>61</v>
      </c>
      <c r="D6" s="1">
        <v>1</v>
      </c>
      <c r="E6" s="1">
        <v>29.4</v>
      </c>
      <c r="F6" s="1">
        <v>82</v>
      </c>
      <c r="G6" s="1">
        <v>113</v>
      </c>
      <c r="H6" s="2">
        <f>Table14710[[#This Row],[PTS]]/Table14710[[#This Row],[GP]]</f>
        <v>1.3780487804878048</v>
      </c>
      <c r="I6" s="2">
        <v>0.68899999999999995</v>
      </c>
      <c r="J6" s="1">
        <v>305</v>
      </c>
      <c r="K6" s="3">
        <f>Table14710[[#This Row],[GF]]/Table14710[[#This Row],[GP]]</f>
        <v>3.7195121951219514</v>
      </c>
      <c r="L6" s="1">
        <v>249</v>
      </c>
      <c r="M6" s="1">
        <v>3.04</v>
      </c>
      <c r="N6" s="2">
        <f>(Table14710[[#This Row],[GF]]^2)/((Table14710[[#This Row],[GF]]^2)+(Table14710[[#This Row],[GA]]^2))</f>
        <v>0.60006063499025974</v>
      </c>
      <c r="O6" s="1">
        <v>20.54</v>
      </c>
      <c r="P6" s="1">
        <v>76.14</v>
      </c>
      <c r="Q6" s="1">
        <f>Table14710[[#This Row],[PP_PCT]]+Table14710[[#This Row],[PK_PCT]]</f>
        <v>96.68</v>
      </c>
      <c r="R6" s="3">
        <v>11.4</v>
      </c>
      <c r="S6" s="3">
        <f>Table14710[[#This Row],[GA]]/Table14710[[#This Row],[GP]]</f>
        <v>3.0365853658536586</v>
      </c>
      <c r="T6" s="2">
        <v>0.91</v>
      </c>
      <c r="U6" s="1">
        <v>99.7</v>
      </c>
      <c r="V6" s="1">
        <v>43.9</v>
      </c>
      <c r="W6" s="1">
        <v>43.5</v>
      </c>
      <c r="X6" s="1">
        <v>148.6</v>
      </c>
      <c r="Y6" s="3">
        <f>Table135811[[#This Row],[XGF]]/Table14710[[#This Row],[GP]]</f>
        <v>1.8121951219512193</v>
      </c>
      <c r="Z6" s="1">
        <v>206.2</v>
      </c>
      <c r="AA6" s="3">
        <f>Table135811[[#This Row],[XGA]]/Table14710[[#This Row],[GP]]</f>
        <v>2.5146341463414634</v>
      </c>
      <c r="AB6" s="1">
        <v>66</v>
      </c>
      <c r="AC6" s="2">
        <f>Table135811[[#This Row],[HDGF]]/Table14710[[#This Row],[GP]]</f>
        <v>0.80487804878048785</v>
      </c>
      <c r="AD6" s="1">
        <v>95</v>
      </c>
      <c r="AE6" s="2">
        <f>Table135811[[#This Row],[HDGA]]/Table14710[[#This Row],[GP]]</f>
        <v>1.1585365853658536</v>
      </c>
      <c r="AF6" s="1">
        <v>10.8</v>
      </c>
    </row>
    <row r="7" spans="1:32" hidden="1" x14ac:dyDescent="0.35">
      <c r="A7" t="s">
        <v>56</v>
      </c>
      <c r="B7">
        <v>6</v>
      </c>
      <c r="C7" t="s">
        <v>62</v>
      </c>
      <c r="D7" s="1">
        <v>1</v>
      </c>
      <c r="E7" s="1">
        <v>28.8</v>
      </c>
      <c r="F7" s="1">
        <v>82</v>
      </c>
      <c r="G7" s="1">
        <v>111</v>
      </c>
      <c r="H7" s="2">
        <f>Table14710[[#This Row],[PTS]]/Table14710[[#This Row],[GP]]</f>
        <v>1.3536585365853659</v>
      </c>
      <c r="I7" s="2">
        <v>0.67700000000000005</v>
      </c>
      <c r="J7" s="1">
        <v>291</v>
      </c>
      <c r="K7" s="3">
        <f>Table14710[[#This Row],[GF]]/Table14710[[#This Row],[GP]]</f>
        <v>3.5487804878048781</v>
      </c>
      <c r="L7" s="1">
        <v>206</v>
      </c>
      <c r="M7" s="1">
        <v>2.5099999999999998</v>
      </c>
      <c r="N7" s="2">
        <f>(Table14710[[#This Row],[GF]]^2)/((Table14710[[#This Row],[GF]]^2)+(Table14710[[#This Row],[GA]]^2))</f>
        <v>0.66616581574455025</v>
      </c>
      <c r="O7" s="1">
        <v>22.88</v>
      </c>
      <c r="P7" s="1">
        <v>83.2</v>
      </c>
      <c r="Q7" s="1">
        <f>Table14710[[#This Row],[PP_PCT]]+Table14710[[#This Row],[PK_PCT]]</f>
        <v>106.08</v>
      </c>
      <c r="R7" s="3">
        <v>10</v>
      </c>
      <c r="S7" s="3">
        <f>Table14710[[#This Row],[GA]]/Table14710[[#This Row],[GP]]</f>
        <v>2.5121951219512195</v>
      </c>
      <c r="T7" s="2">
        <v>0.92</v>
      </c>
      <c r="U7" s="1">
        <v>100.4</v>
      </c>
      <c r="V7" s="1">
        <v>45</v>
      </c>
      <c r="W7" s="1">
        <v>44.6</v>
      </c>
      <c r="X7" s="1">
        <v>153.9</v>
      </c>
      <c r="Y7" s="3">
        <f>Table135811[[#This Row],[XGF]]/Table14710[[#This Row],[GP]]</f>
        <v>1.876829268292683</v>
      </c>
      <c r="Z7" s="1">
        <v>193</v>
      </c>
      <c r="AA7" s="3">
        <f>Table135811[[#This Row],[XGA]]/Table14710[[#This Row],[GP]]</f>
        <v>2.3536585365853657</v>
      </c>
      <c r="AB7" s="1">
        <v>60</v>
      </c>
      <c r="AC7" s="2">
        <f>Table135811[[#This Row],[HDGF]]/Table14710[[#This Row],[GP]]</f>
        <v>0.73170731707317072</v>
      </c>
      <c r="AD7" s="1">
        <v>72</v>
      </c>
      <c r="AE7" s="2">
        <f>Table135811[[#This Row],[HDGA]]/Table14710[[#This Row],[GP]]</f>
        <v>0.87804878048780488</v>
      </c>
      <c r="AF7" s="1">
        <v>9.1</v>
      </c>
    </row>
    <row r="8" spans="1:32" hidden="1" x14ac:dyDescent="0.35">
      <c r="A8" t="s">
        <v>56</v>
      </c>
      <c r="B8">
        <v>7</v>
      </c>
      <c r="C8" t="s">
        <v>63</v>
      </c>
      <c r="D8" s="1">
        <v>1</v>
      </c>
      <c r="E8" s="1">
        <v>29.6</v>
      </c>
      <c r="F8" s="1">
        <v>82</v>
      </c>
      <c r="G8" s="1">
        <v>110</v>
      </c>
      <c r="H8" s="2">
        <f>Table14710[[#This Row],[PTS]]/Table14710[[#This Row],[GP]]</f>
        <v>1.3414634146341464</v>
      </c>
      <c r="I8" s="2">
        <v>0.67100000000000004</v>
      </c>
      <c r="J8" s="1">
        <v>285</v>
      </c>
      <c r="K8" s="3">
        <f>Table14710[[#This Row],[GF]]/Table14710[[#This Row],[GP]]</f>
        <v>3.475609756097561</v>
      </c>
      <c r="L8" s="1">
        <v>228</v>
      </c>
      <c r="M8" s="1">
        <v>2.78</v>
      </c>
      <c r="N8" s="2">
        <f>(Table14710[[#This Row],[GF]]^2)/((Table14710[[#This Row],[GF]]^2)+(Table14710[[#This Row],[GA]]^2))</f>
        <v>0.6097560975609756</v>
      </c>
      <c r="O8" s="1">
        <v>23.94</v>
      </c>
      <c r="P8" s="1">
        <v>80.56</v>
      </c>
      <c r="Q8" s="1">
        <f>Table14710[[#This Row],[PP_PCT]]+Table14710[[#This Row],[PK_PCT]]</f>
        <v>104.5</v>
      </c>
      <c r="R8" s="3">
        <v>11.2</v>
      </c>
      <c r="S8" s="3">
        <f>Table14710[[#This Row],[GA]]/Table14710[[#This Row],[GP]]</f>
        <v>2.7804878048780486</v>
      </c>
      <c r="T8" s="2">
        <v>0.92</v>
      </c>
      <c r="U8" s="1">
        <v>100.8</v>
      </c>
      <c r="V8" s="1">
        <v>49</v>
      </c>
      <c r="W8" s="1">
        <v>47.8</v>
      </c>
      <c r="X8" s="1">
        <v>160.9</v>
      </c>
      <c r="Y8" s="3">
        <f>Table135811[[#This Row],[XGF]]/Table14710[[#This Row],[GP]]</f>
        <v>1.9621951219512195</v>
      </c>
      <c r="Z8" s="1">
        <v>180.1</v>
      </c>
      <c r="AA8" s="3">
        <f>Table135811[[#This Row],[XGA]]/Table14710[[#This Row],[GP]]</f>
        <v>2.1963414634146341</v>
      </c>
      <c r="AB8" s="1">
        <v>67</v>
      </c>
      <c r="AC8" s="2">
        <f>Table135811[[#This Row],[HDGF]]/Table14710[[#This Row],[GP]]</f>
        <v>0.81707317073170727</v>
      </c>
      <c r="AD8" s="1">
        <v>63</v>
      </c>
      <c r="AE8" s="2">
        <f>Table135811[[#This Row],[HDGA]]/Table14710[[#This Row],[GP]]</f>
        <v>0.76829268292682928</v>
      </c>
      <c r="AF8" s="1">
        <v>11</v>
      </c>
    </row>
    <row r="9" spans="1:32" hidden="1" x14ac:dyDescent="0.35">
      <c r="A9" t="s">
        <v>56</v>
      </c>
      <c r="B9">
        <v>8</v>
      </c>
      <c r="C9" t="s">
        <v>64</v>
      </c>
      <c r="D9" s="1">
        <v>1</v>
      </c>
      <c r="E9" s="1">
        <v>26.7</v>
      </c>
      <c r="F9" s="1">
        <v>82</v>
      </c>
      <c r="G9" s="1">
        <v>110</v>
      </c>
      <c r="H9" s="2">
        <f>Table14710[[#This Row],[PTS]]/Table14710[[#This Row],[GP]]</f>
        <v>1.3414634146341464</v>
      </c>
      <c r="I9" s="2">
        <v>0.67100000000000004</v>
      </c>
      <c r="J9" s="1">
        <v>250</v>
      </c>
      <c r="K9" s="3">
        <f>Table14710[[#This Row],[GF]]/Table14710[[#This Row],[GP]]</f>
        <v>3.0487804878048781</v>
      </c>
      <c r="L9" s="1">
        <v>204</v>
      </c>
      <c r="M9" s="1">
        <v>2.4900000000000002</v>
      </c>
      <c r="N9" s="2">
        <f>(Table14710[[#This Row],[GF]]^2)/((Table14710[[#This Row],[GF]]^2)+(Table14710[[#This Row],[GA]]^2))</f>
        <v>0.60029198202005452</v>
      </c>
      <c r="O9" s="1">
        <v>25.23</v>
      </c>
      <c r="P9" s="1">
        <v>82.3</v>
      </c>
      <c r="Q9" s="1">
        <f>Table14710[[#This Row],[PP_PCT]]+Table14710[[#This Row],[PK_PCT]]</f>
        <v>107.53</v>
      </c>
      <c r="R9" s="3">
        <v>10.5</v>
      </c>
      <c r="S9" s="3">
        <f>Table14710[[#This Row],[GA]]/Table14710[[#This Row],[GP]]</f>
        <v>2.4878048780487805</v>
      </c>
      <c r="T9" s="2">
        <v>0.92300000000000004</v>
      </c>
      <c r="U9" s="1">
        <v>99.1</v>
      </c>
      <c r="V9" s="1">
        <v>54.5</v>
      </c>
      <c r="W9" s="1">
        <v>55.8</v>
      </c>
      <c r="X9" s="1">
        <v>199.5</v>
      </c>
      <c r="Y9" s="3">
        <f>Table135811[[#This Row],[XGF]]/Table14710[[#This Row],[GP]]</f>
        <v>2.4329268292682928</v>
      </c>
      <c r="Z9" s="1">
        <v>143.5</v>
      </c>
      <c r="AA9" s="3">
        <f>Table135811[[#This Row],[XGA]]/Table14710[[#This Row],[GP]]</f>
        <v>1.75</v>
      </c>
      <c r="AB9" s="1">
        <v>80</v>
      </c>
      <c r="AC9" s="2">
        <f>Table135811[[#This Row],[HDGF]]/Table14710[[#This Row],[GP]]</f>
        <v>0.97560975609756095</v>
      </c>
      <c r="AD9" s="1">
        <v>71</v>
      </c>
      <c r="AE9" s="2">
        <f>Table135811[[#This Row],[HDGA]]/Table14710[[#This Row],[GP]]</f>
        <v>0.86585365853658536</v>
      </c>
      <c r="AF9" s="1">
        <v>8.1999999999999993</v>
      </c>
    </row>
    <row r="10" spans="1:32" hidden="1" x14ac:dyDescent="0.35">
      <c r="A10" t="s">
        <v>56</v>
      </c>
      <c r="B10">
        <v>9</v>
      </c>
      <c r="C10" t="s">
        <v>65</v>
      </c>
      <c r="D10" s="1">
        <v>1</v>
      </c>
      <c r="E10" s="1">
        <v>28.8</v>
      </c>
      <c r="F10" s="1">
        <v>82</v>
      </c>
      <c r="G10" s="1">
        <v>109</v>
      </c>
      <c r="H10" s="2">
        <f>Table14710[[#This Row],[PTS]]/Table14710[[#This Row],[GP]]</f>
        <v>1.3292682926829269</v>
      </c>
      <c r="I10" s="2">
        <v>0.66500000000000004</v>
      </c>
      <c r="J10" s="1">
        <v>309</v>
      </c>
      <c r="K10" s="3">
        <f>Table14710[[#This Row],[GF]]/Table14710[[#This Row],[GP]]</f>
        <v>3.7682926829268291</v>
      </c>
      <c r="L10" s="1">
        <v>239</v>
      </c>
      <c r="M10" s="1">
        <v>2.91</v>
      </c>
      <c r="N10" s="2">
        <f>(Table14710[[#This Row],[GF]]^2)/((Table14710[[#This Row],[GF]]^2)+(Table14710[[#This Row],[GA]]^2))</f>
        <v>0.62568642612809788</v>
      </c>
      <c r="O10" s="1">
        <v>26.97</v>
      </c>
      <c r="P10" s="1">
        <v>84.09</v>
      </c>
      <c r="Q10" s="1">
        <f>Table14710[[#This Row],[PP_PCT]]+Table14710[[#This Row],[PK_PCT]]</f>
        <v>111.06</v>
      </c>
      <c r="R10" s="3">
        <v>12.4</v>
      </c>
      <c r="S10" s="3">
        <f>Table14710[[#This Row],[GA]]/Table14710[[#This Row],[GP]]</f>
        <v>2.9146341463414633</v>
      </c>
      <c r="T10" s="2">
        <v>0.94</v>
      </c>
      <c r="U10" s="1">
        <v>103</v>
      </c>
      <c r="V10" s="1">
        <v>51.5</v>
      </c>
      <c r="W10" s="1">
        <v>52.1</v>
      </c>
      <c r="X10" s="1">
        <v>190.6</v>
      </c>
      <c r="Y10" s="3">
        <f>Table135811[[#This Row],[XGF]]/Table14710[[#This Row],[GP]]</f>
        <v>2.3243902439024389</v>
      </c>
      <c r="Z10" s="1">
        <v>164.2</v>
      </c>
      <c r="AA10" s="3">
        <f>Table135811[[#This Row],[XGA]]/Table14710[[#This Row],[GP]]</f>
        <v>2.0024390243902439</v>
      </c>
      <c r="AB10" s="1">
        <v>65</v>
      </c>
      <c r="AC10" s="2">
        <f>Table135811[[#This Row],[HDGF]]/Table14710[[#This Row],[GP]]</f>
        <v>0.79268292682926833</v>
      </c>
      <c r="AD10" s="1">
        <v>49</v>
      </c>
      <c r="AE10" s="2">
        <f>Table135811[[#This Row],[HDGA]]/Table14710[[#This Row],[GP]]</f>
        <v>0.59756097560975607</v>
      </c>
      <c r="AF10" s="1">
        <v>7.5</v>
      </c>
    </row>
    <row r="11" spans="1:32" hidden="1" x14ac:dyDescent="0.35">
      <c r="A11" t="s">
        <v>56</v>
      </c>
      <c r="B11">
        <v>10</v>
      </c>
      <c r="C11" t="s">
        <v>66</v>
      </c>
      <c r="D11" s="1">
        <v>1</v>
      </c>
      <c r="E11" s="1">
        <v>28.5</v>
      </c>
      <c r="F11" s="1">
        <v>82</v>
      </c>
      <c r="G11" s="1">
        <v>107</v>
      </c>
      <c r="H11" s="2">
        <f>Table14710[[#This Row],[PTS]]/Table14710[[#This Row],[GP]]</f>
        <v>1.3048780487804879</v>
      </c>
      <c r="I11" s="2">
        <v>0.65200000000000002</v>
      </c>
      <c r="J11" s="1">
        <v>253</v>
      </c>
      <c r="K11" s="3">
        <f>Table14710[[#This Row],[GF]]/Table14710[[#This Row],[GP]]</f>
        <v>3.0853658536585367</v>
      </c>
      <c r="L11" s="1">
        <v>218</v>
      </c>
      <c r="M11" s="1">
        <v>2.66</v>
      </c>
      <c r="N11" s="2">
        <f>(Table14710[[#This Row],[GF]]^2)/((Table14710[[#This Row],[GF]]^2)+(Table14710[[#This Row],[GA]]^2))</f>
        <v>0.5739018945065586</v>
      </c>
      <c r="O11" s="1">
        <v>21.19</v>
      </c>
      <c r="P11" s="1">
        <v>81.3</v>
      </c>
      <c r="Q11" s="1">
        <f>Table14710[[#This Row],[PP_PCT]]+Table14710[[#This Row],[PK_PCT]]</f>
        <v>102.49</v>
      </c>
      <c r="R11" s="3">
        <v>8.5</v>
      </c>
      <c r="S11" s="3">
        <f>Table14710[[#This Row],[GA]]/Table14710[[#This Row],[GP]]</f>
        <v>2.6585365853658538</v>
      </c>
      <c r="T11" s="2">
        <v>0.93400000000000005</v>
      </c>
      <c r="U11" s="1">
        <v>102.3</v>
      </c>
      <c r="V11" s="1">
        <v>47.7</v>
      </c>
      <c r="W11" s="1">
        <v>47.5</v>
      </c>
      <c r="X11" s="1">
        <v>169.7</v>
      </c>
      <c r="Y11" s="3">
        <f>Table135811[[#This Row],[XGF]]/Table14710[[#This Row],[GP]]</f>
        <v>2.0695121951219511</v>
      </c>
      <c r="Z11" s="1">
        <v>163.4</v>
      </c>
      <c r="AA11" s="3">
        <f>Table135811[[#This Row],[XGA]]/Table14710[[#This Row],[GP]]</f>
        <v>1.9926829268292683</v>
      </c>
      <c r="AB11" s="1">
        <v>81</v>
      </c>
      <c r="AC11" s="2">
        <f>Table135811[[#This Row],[HDGF]]/Table14710[[#This Row],[GP]]</f>
        <v>0.98780487804878048</v>
      </c>
      <c r="AD11" s="1">
        <v>76</v>
      </c>
      <c r="AE11" s="2">
        <f>Table135811[[#This Row],[HDGA]]/Table14710[[#This Row],[GP]]</f>
        <v>0.92682926829268297</v>
      </c>
      <c r="AF11" s="1">
        <v>9.9</v>
      </c>
    </row>
    <row r="12" spans="1:32" hidden="1" x14ac:dyDescent="0.35">
      <c r="A12" t="s">
        <v>56</v>
      </c>
      <c r="B12">
        <v>11</v>
      </c>
      <c r="C12" t="s">
        <v>67</v>
      </c>
      <c r="D12" s="1">
        <v>1</v>
      </c>
      <c r="E12" s="1">
        <v>29.1</v>
      </c>
      <c r="F12" s="1">
        <v>82</v>
      </c>
      <c r="G12" s="1">
        <v>104</v>
      </c>
      <c r="H12" s="2">
        <f>Table14710[[#This Row],[PTS]]/Table14710[[#This Row],[GP]]</f>
        <v>1.2682926829268293</v>
      </c>
      <c r="I12" s="2">
        <v>0.63400000000000001</v>
      </c>
      <c r="J12" s="1">
        <v>285</v>
      </c>
      <c r="K12" s="3">
        <f>Table14710[[#This Row],[GF]]/Table14710[[#This Row],[GP]]</f>
        <v>3.475609756097561</v>
      </c>
      <c r="L12" s="1">
        <v>251</v>
      </c>
      <c r="M12" s="1">
        <v>3.06</v>
      </c>
      <c r="N12" s="2">
        <f>(Table14710[[#This Row],[GF]]^2)/((Table14710[[#This Row],[GF]]^2)+(Table14710[[#This Row],[GA]]^2))</f>
        <v>0.56317862243978201</v>
      </c>
      <c r="O12" s="1">
        <v>25.96</v>
      </c>
      <c r="P12" s="1">
        <v>79.37</v>
      </c>
      <c r="Q12" s="1">
        <f>Table14710[[#This Row],[PP_PCT]]+Table14710[[#This Row],[PK_PCT]]</f>
        <v>105.33000000000001</v>
      </c>
      <c r="R12" s="3">
        <v>10.199999999999999</v>
      </c>
      <c r="S12" s="3">
        <f>Table14710[[#This Row],[GA]]/Table14710[[#This Row],[GP]]</f>
        <v>3.0609756097560976</v>
      </c>
      <c r="T12" s="2">
        <v>0.91700000000000004</v>
      </c>
      <c r="U12" s="1">
        <v>99.8</v>
      </c>
      <c r="V12" s="1">
        <v>48.6</v>
      </c>
      <c r="W12" s="1">
        <v>47.5</v>
      </c>
      <c r="X12" s="1">
        <v>128.9</v>
      </c>
      <c r="Y12" s="3">
        <f>Table135811[[#This Row],[XGF]]/Table14710[[#This Row],[GP]]</f>
        <v>1.5719512195121952</v>
      </c>
      <c r="Z12" s="1">
        <v>145.19999999999999</v>
      </c>
      <c r="AA12" s="3">
        <f>Table135811[[#This Row],[XGA]]/Table14710[[#This Row],[GP]]</f>
        <v>1.770731707317073</v>
      </c>
      <c r="AB12" s="1">
        <v>51</v>
      </c>
      <c r="AC12" s="2">
        <f>Table135811[[#This Row],[HDGF]]/Table14710[[#This Row],[GP]]</f>
        <v>0.62195121951219512</v>
      </c>
      <c r="AD12" s="1">
        <v>48</v>
      </c>
      <c r="AE12" s="2">
        <f>Table135811[[#This Row],[HDGA]]/Table14710[[#This Row],[GP]]</f>
        <v>0.58536585365853655</v>
      </c>
      <c r="AF12" s="1">
        <v>8.1</v>
      </c>
    </row>
    <row r="13" spans="1:32" hidden="1" x14ac:dyDescent="0.35">
      <c r="A13" t="s">
        <v>56</v>
      </c>
      <c r="B13">
        <v>12</v>
      </c>
      <c r="C13" t="s">
        <v>68</v>
      </c>
      <c r="D13" s="1">
        <v>1</v>
      </c>
      <c r="E13" s="1">
        <v>29.7</v>
      </c>
      <c r="F13" s="1">
        <v>82</v>
      </c>
      <c r="G13" s="1">
        <v>103</v>
      </c>
      <c r="H13" s="2">
        <f>Table14710[[#This Row],[PTS]]/Table14710[[#This Row],[GP]]</f>
        <v>1.2560975609756098</v>
      </c>
      <c r="I13" s="2">
        <v>0.628</v>
      </c>
      <c r="J13" s="1">
        <v>269</v>
      </c>
      <c r="K13" s="3">
        <f>Table14710[[#This Row],[GF]]/Table14710[[#This Row],[GP]]</f>
        <v>3.2804878048780486</v>
      </c>
      <c r="L13" s="1">
        <v>222</v>
      </c>
      <c r="M13" s="1">
        <v>2.71</v>
      </c>
      <c r="N13" s="2">
        <f>(Table14710[[#This Row],[GF]]^2)/((Table14710[[#This Row],[GF]]^2)+(Table14710[[#This Row],[GA]]^2))</f>
        <v>0.59485387808787871</v>
      </c>
      <c r="O13" s="1">
        <v>20.16</v>
      </c>
      <c r="P13" s="1">
        <v>84.43</v>
      </c>
      <c r="Q13" s="1">
        <f>Table14710[[#This Row],[PP_PCT]]+Table14710[[#This Row],[PK_PCT]]</f>
        <v>104.59</v>
      </c>
      <c r="R13" s="3">
        <v>9.4</v>
      </c>
      <c r="S13" s="3">
        <f>Table14710[[#This Row],[GA]]/Table14710[[#This Row],[GP]]</f>
        <v>2.7073170731707319</v>
      </c>
      <c r="T13" s="2">
        <v>0.91400000000000003</v>
      </c>
      <c r="U13" s="1">
        <v>99</v>
      </c>
      <c r="V13" s="1">
        <v>48.5</v>
      </c>
      <c r="W13" s="1">
        <v>47.5</v>
      </c>
      <c r="X13" s="1">
        <v>158.5</v>
      </c>
      <c r="Y13" s="3">
        <f>Table135811[[#This Row],[XGF]]/Table14710[[#This Row],[GP]]</f>
        <v>1.9329268292682926</v>
      </c>
      <c r="Z13" s="1">
        <v>187</v>
      </c>
      <c r="AA13" s="3">
        <f>Table135811[[#This Row],[XGA]]/Table14710[[#This Row],[GP]]</f>
        <v>2.2804878048780486</v>
      </c>
      <c r="AB13" s="1">
        <v>66</v>
      </c>
      <c r="AC13" s="2">
        <f>Table135811[[#This Row],[HDGF]]/Table14710[[#This Row],[GP]]</f>
        <v>0.80487804878048785</v>
      </c>
      <c r="AD13" s="1">
        <v>82</v>
      </c>
      <c r="AE13" s="2">
        <f>Table135811[[#This Row],[HDGA]]/Table14710[[#This Row],[GP]]</f>
        <v>1</v>
      </c>
      <c r="AF13" s="1">
        <v>6.9</v>
      </c>
    </row>
    <row r="14" spans="1:32" hidden="1" x14ac:dyDescent="0.35">
      <c r="A14" t="s">
        <v>56</v>
      </c>
      <c r="B14">
        <v>13</v>
      </c>
      <c r="C14" t="s">
        <v>69</v>
      </c>
      <c r="D14" s="1">
        <v>1</v>
      </c>
      <c r="E14" s="1">
        <v>29.5</v>
      </c>
      <c r="F14" s="1">
        <v>82</v>
      </c>
      <c r="G14" s="1">
        <v>100</v>
      </c>
      <c r="H14" s="2">
        <f>Table14710[[#This Row],[PTS]]/Table14710[[#This Row],[GP]]</f>
        <v>1.2195121951219512</v>
      </c>
      <c r="I14" s="2">
        <v>0.61</v>
      </c>
      <c r="J14" s="1">
        <v>270</v>
      </c>
      <c r="K14" s="3">
        <f>Table14710[[#This Row],[GF]]/Table14710[[#This Row],[GP]]</f>
        <v>3.2926829268292681</v>
      </c>
      <c r="L14" s="1">
        <v>242</v>
      </c>
      <c r="M14" s="1">
        <v>2.95</v>
      </c>
      <c r="N14" s="2">
        <f>(Table14710[[#This Row],[GF]]^2)/((Table14710[[#This Row],[GF]]^2)+(Table14710[[#This Row],[GA]]^2))</f>
        <v>0.55452443254427064</v>
      </c>
      <c r="O14" s="1">
        <v>18.75</v>
      </c>
      <c r="P14" s="1">
        <v>80.44</v>
      </c>
      <c r="Q14" s="1">
        <f>Table14710[[#This Row],[PP_PCT]]+Table14710[[#This Row],[PK_PCT]]</f>
        <v>99.19</v>
      </c>
      <c r="R14" s="3">
        <v>10.5</v>
      </c>
      <c r="S14" s="3">
        <f>Table14710[[#This Row],[GA]]/Table14710[[#This Row],[GP]]</f>
        <v>2.9512195121951219</v>
      </c>
      <c r="T14" s="2">
        <v>0.91100000000000003</v>
      </c>
      <c r="U14" s="1">
        <v>99.8</v>
      </c>
      <c r="V14" s="1">
        <v>51.4</v>
      </c>
      <c r="W14" s="1">
        <v>50.3</v>
      </c>
      <c r="X14" s="1">
        <v>194.1</v>
      </c>
      <c r="Y14" s="3">
        <f>Table135811[[#This Row],[XGF]]/Table14710[[#This Row],[GP]]</f>
        <v>2.3670731707317074</v>
      </c>
      <c r="Z14" s="1">
        <v>207</v>
      </c>
      <c r="AA14" s="3">
        <f>Table135811[[#This Row],[XGA]]/Table14710[[#This Row],[GP]]</f>
        <v>2.524390243902439</v>
      </c>
      <c r="AB14" s="1">
        <v>65</v>
      </c>
      <c r="AC14" s="2">
        <f>Table135811[[#This Row],[HDGF]]/Table14710[[#This Row],[GP]]</f>
        <v>0.79268292682926833</v>
      </c>
      <c r="AD14" s="1">
        <v>81</v>
      </c>
      <c r="AE14" s="2">
        <f>Table135811[[#This Row],[HDGA]]/Table14710[[#This Row],[GP]]</f>
        <v>0.98780487804878048</v>
      </c>
      <c r="AF14" s="1">
        <v>7.7</v>
      </c>
    </row>
    <row r="15" spans="1:32" hidden="1" x14ac:dyDescent="0.35">
      <c r="A15" t="s">
        <v>56</v>
      </c>
      <c r="B15">
        <v>14</v>
      </c>
      <c r="C15" t="s">
        <v>70</v>
      </c>
      <c r="D15" s="1">
        <v>1</v>
      </c>
      <c r="E15" s="1">
        <v>28</v>
      </c>
      <c r="F15" s="1">
        <v>82</v>
      </c>
      <c r="G15" s="1">
        <v>99</v>
      </c>
      <c r="H15" s="2">
        <f>Table14710[[#This Row],[PTS]]/Table14710[[#This Row],[GP]]</f>
        <v>1.2073170731707317</v>
      </c>
      <c r="I15" s="2">
        <v>0.60399999999999998</v>
      </c>
      <c r="J15" s="1">
        <v>235</v>
      </c>
      <c r="K15" s="3">
        <f>Table14710[[#This Row],[GF]]/Table14710[[#This Row],[GP]]</f>
        <v>2.8658536585365852</v>
      </c>
      <c r="L15" s="1">
        <v>232</v>
      </c>
      <c r="M15" s="1">
        <v>2.83</v>
      </c>
      <c r="N15" s="2">
        <f>(Table14710[[#This Row],[GF]]^2)/((Table14710[[#This Row],[GF]]^2)+(Table14710[[#This Row],[GA]]^2))</f>
        <v>0.50642371777824646</v>
      </c>
      <c r="O15" s="1">
        <v>16.13</v>
      </c>
      <c r="P15" s="1">
        <v>76.650000000000006</v>
      </c>
      <c r="Q15" s="1">
        <f>Table14710[[#This Row],[PP_PCT]]+Table14710[[#This Row],[PK_PCT]]</f>
        <v>92.78</v>
      </c>
      <c r="R15" s="3">
        <v>8.1999999999999993</v>
      </c>
      <c r="S15" s="3">
        <f>Table14710[[#This Row],[GA]]/Table14710[[#This Row],[GP]]</f>
        <v>2.8292682926829267</v>
      </c>
      <c r="T15" s="2">
        <v>0.92</v>
      </c>
      <c r="U15" s="1">
        <v>100.1</v>
      </c>
      <c r="V15" s="1">
        <v>51.2</v>
      </c>
      <c r="W15" s="1">
        <v>50.6</v>
      </c>
      <c r="X15" s="1">
        <v>168</v>
      </c>
      <c r="Y15" s="3">
        <f>Table135811[[#This Row],[XGF]]/Table14710[[#This Row],[GP]]</f>
        <v>2.0487804878048781</v>
      </c>
      <c r="Z15" s="1">
        <v>172.8</v>
      </c>
      <c r="AA15" s="3">
        <f>Table135811[[#This Row],[XGA]]/Table14710[[#This Row],[GP]]</f>
        <v>2.1073170731707318</v>
      </c>
      <c r="AB15" s="1">
        <v>57</v>
      </c>
      <c r="AC15" s="2">
        <f>Table135811[[#This Row],[HDGF]]/Table14710[[#This Row],[GP]]</f>
        <v>0.69512195121951215</v>
      </c>
      <c r="AD15" s="1">
        <v>63</v>
      </c>
      <c r="AE15" s="2">
        <f>Table135811[[#This Row],[HDGA]]/Table14710[[#This Row],[GP]]</f>
        <v>0.76829268292682928</v>
      </c>
      <c r="AF15" s="1">
        <v>7.7</v>
      </c>
    </row>
    <row r="16" spans="1:32" hidden="1" x14ac:dyDescent="0.35">
      <c r="A16" t="s">
        <v>56</v>
      </c>
      <c r="B16">
        <v>15</v>
      </c>
      <c r="C16" t="s">
        <v>71</v>
      </c>
      <c r="D16" s="1">
        <v>1</v>
      </c>
      <c r="E16" s="1">
        <v>29.4</v>
      </c>
      <c r="F16" s="1">
        <v>82</v>
      </c>
      <c r="G16" s="1">
        <v>98</v>
      </c>
      <c r="H16" s="2">
        <f>Table14710[[#This Row],[PTS]]/Table14710[[#This Row],[GP]]</f>
        <v>1.1951219512195121</v>
      </c>
      <c r="I16" s="2">
        <v>0.59799999999999998</v>
      </c>
      <c r="J16" s="1">
        <v>233</v>
      </c>
      <c r="K16" s="3">
        <f>Table14710[[#This Row],[GF]]/Table14710[[#This Row],[GP]]</f>
        <v>2.8414634146341462</v>
      </c>
      <c r="L16" s="1">
        <v>244</v>
      </c>
      <c r="M16" s="1">
        <v>2.98</v>
      </c>
      <c r="N16" s="2">
        <f>(Table14710[[#This Row],[GF]]^2)/((Table14710[[#This Row],[GF]]^2)+(Table14710[[#This Row],[GA]]^2))</f>
        <v>0.47695146057544474</v>
      </c>
      <c r="O16" s="1">
        <v>22.41</v>
      </c>
      <c r="P16" s="1">
        <v>79</v>
      </c>
      <c r="Q16" s="1">
        <f>Table14710[[#This Row],[PP_PCT]]+Table14710[[#This Row],[PK_PCT]]</f>
        <v>101.41</v>
      </c>
      <c r="R16" s="3">
        <v>9.4</v>
      </c>
      <c r="S16" s="3">
        <f>Table14710[[#This Row],[GA]]/Table14710[[#This Row],[GP]]</f>
        <v>2.975609756097561</v>
      </c>
      <c r="T16" s="2">
        <v>0.90900000000000003</v>
      </c>
      <c r="U16" s="1">
        <v>100.5</v>
      </c>
      <c r="V16" s="1">
        <v>50.8</v>
      </c>
      <c r="W16" s="1">
        <v>49.8</v>
      </c>
      <c r="X16" s="1">
        <v>134.80000000000001</v>
      </c>
      <c r="Y16" s="3">
        <f>Table135811[[#This Row],[XGF]]/Table14710[[#This Row],[GP]]</f>
        <v>1.6439024390243904</v>
      </c>
      <c r="Z16" s="1">
        <v>154.1</v>
      </c>
      <c r="AA16" s="3">
        <f>Table135811[[#This Row],[XGA]]/Table14710[[#This Row],[GP]]</f>
        <v>1.8792682926829267</v>
      </c>
      <c r="AB16" s="1">
        <v>46</v>
      </c>
      <c r="AC16" s="2">
        <f>Table135811[[#This Row],[HDGF]]/Table14710[[#This Row],[GP]]</f>
        <v>0.56097560975609762</v>
      </c>
      <c r="AD16" s="1">
        <v>67</v>
      </c>
      <c r="AE16" s="2">
        <f>Table135811[[#This Row],[HDGA]]/Table14710[[#This Row],[GP]]</f>
        <v>0.81707317073170727</v>
      </c>
      <c r="AF16" s="1">
        <v>6.7</v>
      </c>
    </row>
    <row r="17" spans="1:32" hidden="1" x14ac:dyDescent="0.35">
      <c r="A17" t="s">
        <v>56</v>
      </c>
      <c r="B17">
        <v>16</v>
      </c>
      <c r="C17" t="s">
        <v>72</v>
      </c>
      <c r="D17" s="1">
        <v>1</v>
      </c>
      <c r="E17" s="1">
        <v>27.7</v>
      </c>
      <c r="F17" s="1">
        <v>82</v>
      </c>
      <c r="G17" s="1">
        <v>97</v>
      </c>
      <c r="H17" s="2">
        <f>Table14710[[#This Row],[PTS]]/Table14710[[#This Row],[GP]]</f>
        <v>1.1829268292682926</v>
      </c>
      <c r="I17" s="2">
        <v>0.59099999999999997</v>
      </c>
      <c r="J17" s="1">
        <v>262</v>
      </c>
      <c r="K17" s="3">
        <f>Table14710[[#This Row],[GF]]/Table14710[[#This Row],[GP]]</f>
        <v>3.1951219512195124</v>
      </c>
      <c r="L17" s="1">
        <v>250</v>
      </c>
      <c r="M17" s="1">
        <v>3.05</v>
      </c>
      <c r="N17" s="2">
        <f>(Table14710[[#This Row],[GF]]^2)/((Table14710[[#This Row],[GF]]^2)+(Table14710[[#This Row],[GA]]^2))</f>
        <v>0.52342463246507653</v>
      </c>
      <c r="O17" s="1">
        <v>24.42</v>
      </c>
      <c r="P17" s="1">
        <v>79.23</v>
      </c>
      <c r="Q17" s="1">
        <f>Table14710[[#This Row],[PP_PCT]]+Table14710[[#This Row],[PK_PCT]]</f>
        <v>103.65</v>
      </c>
      <c r="R17" s="3">
        <v>10.7</v>
      </c>
      <c r="S17" s="3">
        <f>Table14710[[#This Row],[GA]]/Table14710[[#This Row],[GP]]</f>
        <v>3.0487804878048781</v>
      </c>
      <c r="T17" s="2">
        <v>0.92900000000000005</v>
      </c>
      <c r="U17" s="1">
        <v>100.9</v>
      </c>
      <c r="V17" s="1">
        <v>55.7</v>
      </c>
      <c r="W17" s="1">
        <v>55.4</v>
      </c>
      <c r="X17" s="1">
        <v>199.1</v>
      </c>
      <c r="Y17" s="3">
        <f>Table135811[[#This Row],[XGF]]/Table14710[[#This Row],[GP]]</f>
        <v>2.4280487804878046</v>
      </c>
      <c r="Z17" s="1">
        <v>157</v>
      </c>
      <c r="AA17" s="3">
        <f>Table135811[[#This Row],[XGA]]/Table14710[[#This Row],[GP]]</f>
        <v>1.9146341463414633</v>
      </c>
      <c r="AB17" s="1">
        <v>66</v>
      </c>
      <c r="AC17" s="2">
        <f>Table135811[[#This Row],[HDGF]]/Table14710[[#This Row],[GP]]</f>
        <v>0.80487804878048785</v>
      </c>
      <c r="AD17" s="1">
        <v>54</v>
      </c>
      <c r="AE17" s="2">
        <f>Table135811[[#This Row],[HDGA]]/Table14710[[#This Row],[GP]]</f>
        <v>0.65853658536585369</v>
      </c>
      <c r="AF17" s="1">
        <v>12.6</v>
      </c>
    </row>
    <row r="18" spans="1:32" hidden="1" x14ac:dyDescent="0.35">
      <c r="A18" t="s">
        <v>56</v>
      </c>
      <c r="B18">
        <v>17</v>
      </c>
      <c r="C18" t="s">
        <v>73</v>
      </c>
      <c r="D18" s="1">
        <v>0</v>
      </c>
      <c r="E18" s="1">
        <v>28.5</v>
      </c>
      <c r="F18" s="1">
        <v>82</v>
      </c>
      <c r="G18" s="1">
        <v>94</v>
      </c>
      <c r="H18" s="2">
        <f>Table14710[[#This Row],[PTS]]/Table14710[[#This Row],[GP]]</f>
        <v>1.1463414634146341</v>
      </c>
      <c r="I18" s="2">
        <v>0.57299999999999995</v>
      </c>
      <c r="J18" s="1">
        <v>262</v>
      </c>
      <c r="K18" s="3">
        <f>Table14710[[#This Row],[GF]]/Table14710[[#This Row],[GP]]</f>
        <v>3.1951219512195124</v>
      </c>
      <c r="L18" s="1">
        <v>244</v>
      </c>
      <c r="M18" s="1">
        <v>2.98</v>
      </c>
      <c r="N18" s="2">
        <f>(Table14710[[#This Row],[GF]]^2)/((Table14710[[#This Row],[GF]]^2)+(Table14710[[#This Row],[GA]]^2))</f>
        <v>0.53552816352004995</v>
      </c>
      <c r="O18" s="1">
        <v>18.399999999999999</v>
      </c>
      <c r="P18" s="1">
        <v>77.400000000000006</v>
      </c>
      <c r="Q18" s="1">
        <f>Table14710[[#This Row],[PP_PCT]]+Table14710[[#This Row],[PK_PCT]]</f>
        <v>95.800000000000011</v>
      </c>
      <c r="R18" s="3">
        <v>9.3000000000000007</v>
      </c>
      <c r="S18" s="3">
        <f>Table14710[[#This Row],[GA]]/Table14710[[#This Row],[GP]]</f>
        <v>2.975609756097561</v>
      </c>
      <c r="T18" s="2">
        <v>0.90900000000000003</v>
      </c>
      <c r="U18" s="1">
        <v>98.4</v>
      </c>
      <c r="V18" s="1">
        <v>57.2</v>
      </c>
      <c r="W18" s="1">
        <v>56.8</v>
      </c>
      <c r="X18" s="1">
        <v>196</v>
      </c>
      <c r="Y18" s="3">
        <f>Table135811[[#This Row],[XGF]]/Table14710[[#This Row],[GP]]</f>
        <v>2.3902439024390243</v>
      </c>
      <c r="Z18" s="1">
        <v>161.30000000000001</v>
      </c>
      <c r="AA18" s="3">
        <f>Table135811[[#This Row],[XGA]]/Table14710[[#This Row],[GP]]</f>
        <v>1.9670731707317075</v>
      </c>
      <c r="AB18" s="1">
        <v>79</v>
      </c>
      <c r="AC18" s="2">
        <f>Table135811[[#This Row],[HDGF]]/Table14710[[#This Row],[GP]]</f>
        <v>0.96341463414634143</v>
      </c>
      <c r="AD18" s="1">
        <v>74</v>
      </c>
      <c r="AE18" s="2">
        <f>Table135811[[#This Row],[HDGA]]/Table14710[[#This Row],[GP]]</f>
        <v>0.90243902439024393</v>
      </c>
      <c r="AF18" s="1">
        <v>7.6</v>
      </c>
    </row>
    <row r="19" spans="1:32" hidden="1" x14ac:dyDescent="0.35">
      <c r="A19" t="s">
        <v>56</v>
      </c>
      <c r="B19">
        <v>18</v>
      </c>
      <c r="C19" t="s">
        <v>74</v>
      </c>
      <c r="D19" s="1">
        <v>0</v>
      </c>
      <c r="E19" s="1">
        <v>27.7</v>
      </c>
      <c r="F19" s="1">
        <v>82</v>
      </c>
      <c r="G19" s="1">
        <v>92</v>
      </c>
      <c r="H19" s="2">
        <f>Table14710[[#This Row],[PTS]]/Table14710[[#This Row],[GP]]</f>
        <v>1.1219512195121952</v>
      </c>
      <c r="I19" s="2">
        <v>0.56100000000000005</v>
      </c>
      <c r="J19" s="1">
        <v>246</v>
      </c>
      <c r="K19" s="3">
        <f>Table14710[[#This Row],[GF]]/Table14710[[#This Row],[GP]]</f>
        <v>3</v>
      </c>
      <c r="L19" s="1">
        <v>231</v>
      </c>
      <c r="M19" s="1">
        <v>2.82</v>
      </c>
      <c r="N19" s="2">
        <f>(Table14710[[#This Row],[GF]]^2)/((Table14710[[#This Row],[GF]]^2)+(Table14710[[#This Row],[GA]]^2))</f>
        <v>0.53141547459100613</v>
      </c>
      <c r="O19" s="1">
        <v>23.48</v>
      </c>
      <c r="P19" s="1">
        <v>74.89</v>
      </c>
      <c r="Q19" s="1">
        <f>Table14710[[#This Row],[PP_PCT]]+Table14710[[#This Row],[PK_PCT]]</f>
        <v>98.37</v>
      </c>
      <c r="R19" s="3">
        <v>9.4</v>
      </c>
      <c r="S19" s="3">
        <f>Table14710[[#This Row],[GA]]/Table14710[[#This Row],[GP]]</f>
        <v>2.8170731707317072</v>
      </c>
      <c r="T19" s="2">
        <v>0.91300000000000003</v>
      </c>
      <c r="U19" s="1">
        <v>99</v>
      </c>
      <c r="V19" s="1">
        <v>51.7</v>
      </c>
      <c r="W19" s="1">
        <v>51.6</v>
      </c>
      <c r="X19" s="1">
        <v>170.3</v>
      </c>
      <c r="Y19" s="3">
        <f>Table135811[[#This Row],[XGF]]/Table14710[[#This Row],[GP]]</f>
        <v>2.0768292682926832</v>
      </c>
      <c r="Z19" s="1">
        <v>172.5</v>
      </c>
      <c r="AA19" s="3">
        <f>Table135811[[#This Row],[XGA]]/Table14710[[#This Row],[GP]]</f>
        <v>2.1036585365853657</v>
      </c>
      <c r="AB19" s="1">
        <v>63</v>
      </c>
      <c r="AC19" s="2">
        <f>Table135811[[#This Row],[HDGF]]/Table14710[[#This Row],[GP]]</f>
        <v>0.76829268292682928</v>
      </c>
      <c r="AD19" s="1">
        <v>61</v>
      </c>
      <c r="AE19" s="2">
        <f>Table135811[[#This Row],[HDGA]]/Table14710[[#This Row],[GP]]</f>
        <v>0.74390243902439024</v>
      </c>
      <c r="AF19" s="1">
        <v>8</v>
      </c>
    </row>
    <row r="20" spans="1:32" hidden="1" x14ac:dyDescent="0.35">
      <c r="A20" t="s">
        <v>56</v>
      </c>
      <c r="B20">
        <v>19</v>
      </c>
      <c r="C20" t="s">
        <v>75</v>
      </c>
      <c r="D20" s="1">
        <v>0</v>
      </c>
      <c r="E20" s="1">
        <v>28.2</v>
      </c>
      <c r="F20" s="1">
        <v>82</v>
      </c>
      <c r="G20" s="1">
        <v>89</v>
      </c>
      <c r="H20" s="2">
        <f>Table14710[[#This Row],[PTS]]/Table14710[[#This Row],[GP]]</f>
        <v>1.0853658536585367</v>
      </c>
      <c r="I20" s="2">
        <v>0.54300000000000004</v>
      </c>
      <c r="J20" s="1">
        <v>250</v>
      </c>
      <c r="K20" s="3">
        <f>Table14710[[#This Row],[GF]]/Table14710[[#This Row],[GP]]</f>
        <v>3.0487804878048781</v>
      </c>
      <c r="L20" s="1">
        <v>253</v>
      </c>
      <c r="M20" s="1">
        <v>3.09</v>
      </c>
      <c r="N20" s="2">
        <f>(Table14710[[#This Row],[GF]]^2)/((Table14710[[#This Row],[GF]]^2)+(Table14710[[#This Row],[GA]]^2))</f>
        <v>0.49403599743891741</v>
      </c>
      <c r="O20" s="1">
        <v>21.05</v>
      </c>
      <c r="P20" s="1">
        <v>75</v>
      </c>
      <c r="Q20" s="1">
        <f>Table14710[[#This Row],[PP_PCT]]+Table14710[[#This Row],[PK_PCT]]</f>
        <v>96.05</v>
      </c>
      <c r="R20" s="3">
        <v>9.5</v>
      </c>
      <c r="S20" s="3">
        <f>Table14710[[#This Row],[GA]]/Table14710[[#This Row],[GP]]</f>
        <v>3.0853658536585367</v>
      </c>
      <c r="T20" s="2">
        <v>0.92900000000000005</v>
      </c>
      <c r="U20" s="1">
        <v>99.3</v>
      </c>
      <c r="V20" s="1">
        <v>52.3</v>
      </c>
      <c r="W20" s="1">
        <v>51.3</v>
      </c>
      <c r="X20" s="1">
        <v>137.30000000000001</v>
      </c>
      <c r="Y20" s="3">
        <f>Table135811[[#This Row],[XGF]]/Table14710[[#This Row],[GP]]</f>
        <v>1.6743902439024392</v>
      </c>
      <c r="Z20" s="1">
        <v>146.5</v>
      </c>
      <c r="AA20" s="3">
        <f>Table135811[[#This Row],[XGA]]/Table14710[[#This Row],[GP]]</f>
        <v>1.7865853658536586</v>
      </c>
      <c r="AB20" s="1">
        <v>44</v>
      </c>
      <c r="AC20" s="2">
        <f>Table135811[[#This Row],[HDGF]]/Table14710[[#This Row],[GP]]</f>
        <v>0.53658536585365857</v>
      </c>
      <c r="AD20" s="1">
        <v>52</v>
      </c>
      <c r="AE20" s="2">
        <f>Table135811[[#This Row],[HDGA]]/Table14710[[#This Row],[GP]]</f>
        <v>0.63414634146341464</v>
      </c>
      <c r="AF20" s="1">
        <v>8.8000000000000007</v>
      </c>
    </row>
    <row r="21" spans="1:32" hidden="1" x14ac:dyDescent="0.35">
      <c r="A21" t="s">
        <v>56</v>
      </c>
      <c r="B21">
        <v>20</v>
      </c>
      <c r="C21" t="s">
        <v>76</v>
      </c>
      <c r="D21" s="1">
        <v>0</v>
      </c>
      <c r="E21" s="1">
        <v>30.1</v>
      </c>
      <c r="F21" s="1">
        <v>82</v>
      </c>
      <c r="G21" s="1">
        <v>84</v>
      </c>
      <c r="H21" s="2">
        <f>Table14710[[#This Row],[PTS]]/Table14710[[#This Row],[GP]]</f>
        <v>1.024390243902439</v>
      </c>
      <c r="I21" s="2">
        <v>0.51200000000000001</v>
      </c>
      <c r="J21" s="1">
        <v>229</v>
      </c>
      <c r="K21" s="3">
        <f>Table14710[[#This Row],[GF]]/Table14710[[#This Row],[GP]]</f>
        <v>2.7926829268292681</v>
      </c>
      <c r="L21" s="1">
        <v>231</v>
      </c>
      <c r="M21" s="1">
        <v>2.82</v>
      </c>
      <c r="N21" s="2">
        <f>(Table14710[[#This Row],[GF]]^2)/((Table14710[[#This Row],[GF]]^2)+(Table14710[[#This Row],[GA]]^2))</f>
        <v>0.49565225610101887</v>
      </c>
      <c r="O21" s="1">
        <v>22.12</v>
      </c>
      <c r="P21" s="1">
        <v>84.19</v>
      </c>
      <c r="Q21" s="1">
        <f>Table14710[[#This Row],[PP_PCT]]+Table14710[[#This Row],[PK_PCT]]</f>
        <v>106.31</v>
      </c>
      <c r="R21" s="3">
        <v>9.6999999999999993</v>
      </c>
      <c r="S21" s="3">
        <f>Table14710[[#This Row],[GA]]/Table14710[[#This Row],[GP]]</f>
        <v>2.8170731707317072</v>
      </c>
      <c r="T21" s="2">
        <v>0.92700000000000005</v>
      </c>
      <c r="U21" s="1">
        <v>100.8</v>
      </c>
      <c r="V21" s="1">
        <v>56.3</v>
      </c>
      <c r="W21" s="1">
        <v>55.9</v>
      </c>
      <c r="X21" s="1">
        <v>187.4</v>
      </c>
      <c r="Y21" s="3">
        <f>Table135811[[#This Row],[XGF]]/Table14710[[#This Row],[GP]]</f>
        <v>2.2853658536585368</v>
      </c>
      <c r="Z21" s="1">
        <v>163.69999999999999</v>
      </c>
      <c r="AA21" s="3">
        <f>Table135811[[#This Row],[XGA]]/Table14710[[#This Row],[GP]]</f>
        <v>1.9963414634146339</v>
      </c>
      <c r="AB21" s="1">
        <v>90</v>
      </c>
      <c r="AC21" s="2">
        <f>Table135811[[#This Row],[HDGF]]/Table14710[[#This Row],[GP]]</f>
        <v>1.0975609756097562</v>
      </c>
      <c r="AD21" s="1">
        <v>66</v>
      </c>
      <c r="AE21" s="2">
        <f>Table135811[[#This Row],[HDGA]]/Table14710[[#This Row],[GP]]</f>
        <v>0.80487804878048785</v>
      </c>
      <c r="AF21" s="1">
        <v>8.9</v>
      </c>
    </row>
    <row r="22" spans="1:32" hidden="1" x14ac:dyDescent="0.35">
      <c r="A22" t="s">
        <v>56</v>
      </c>
      <c r="B22">
        <v>21</v>
      </c>
      <c r="C22" t="s">
        <v>77</v>
      </c>
      <c r="D22" s="1">
        <v>0</v>
      </c>
      <c r="E22" s="1">
        <v>26.6</v>
      </c>
      <c r="F22" s="1">
        <v>82</v>
      </c>
      <c r="G22" s="1">
        <v>81</v>
      </c>
      <c r="H22" s="2">
        <f>Table14710[[#This Row],[PTS]]/Table14710[[#This Row],[GP]]</f>
        <v>0.98780487804878048</v>
      </c>
      <c r="I22" s="2">
        <v>0.49399999999999999</v>
      </c>
      <c r="J22" s="1">
        <v>258</v>
      </c>
      <c r="K22" s="3">
        <f>Table14710[[#This Row],[GF]]/Table14710[[#This Row],[GP]]</f>
        <v>3.1463414634146343</v>
      </c>
      <c r="L22" s="1">
        <v>297</v>
      </c>
      <c r="M22" s="1">
        <v>3.62</v>
      </c>
      <c r="N22" s="2">
        <f>(Table14710[[#This Row],[GF]]^2)/((Table14710[[#This Row],[GF]]^2)+(Table14710[[#This Row],[GA]]^2))</f>
        <v>0.4300750130836774</v>
      </c>
      <c r="O22" s="1">
        <v>18.64</v>
      </c>
      <c r="P22" s="1">
        <v>78.569999999999993</v>
      </c>
      <c r="Q22" s="1">
        <f>Table14710[[#This Row],[PP_PCT]]+Table14710[[#This Row],[PK_PCT]]</f>
        <v>97.21</v>
      </c>
      <c r="R22" s="3">
        <v>10.5</v>
      </c>
      <c r="S22" s="3">
        <f>Table14710[[#This Row],[GA]]/Table14710[[#This Row],[GP]]</f>
        <v>3.6219512195121952</v>
      </c>
      <c r="T22" s="2">
        <v>0.92</v>
      </c>
      <c r="U22" s="1">
        <v>99.3</v>
      </c>
      <c r="V22" s="1">
        <v>60.2</v>
      </c>
      <c r="W22" s="1">
        <v>59.7</v>
      </c>
      <c r="X22" s="1">
        <v>196.3</v>
      </c>
      <c r="Y22" s="3">
        <f>Table135811[[#This Row],[XGF]]/Table14710[[#This Row],[GP]]</f>
        <v>2.3939024390243904</v>
      </c>
      <c r="Z22" s="1">
        <v>148.6</v>
      </c>
      <c r="AA22" s="3">
        <f>Table135811[[#This Row],[XGA]]/Table14710[[#This Row],[GP]]</f>
        <v>1.8121951219512193</v>
      </c>
      <c r="AB22" s="1">
        <v>72</v>
      </c>
      <c r="AC22" s="2">
        <f>Table135811[[#This Row],[HDGF]]/Table14710[[#This Row],[GP]]</f>
        <v>0.87804878048780488</v>
      </c>
      <c r="AD22" s="1">
        <v>39</v>
      </c>
      <c r="AE22" s="2">
        <f>Table135811[[#This Row],[HDGA]]/Table14710[[#This Row],[GP]]</f>
        <v>0.47560975609756095</v>
      </c>
      <c r="AF22" s="1">
        <v>7.7</v>
      </c>
    </row>
    <row r="23" spans="1:32" hidden="1" x14ac:dyDescent="0.35">
      <c r="A23" t="s">
        <v>56</v>
      </c>
      <c r="B23">
        <v>22</v>
      </c>
      <c r="C23" t="s">
        <v>78</v>
      </c>
      <c r="D23" s="1">
        <v>0</v>
      </c>
      <c r="E23" s="1">
        <v>29</v>
      </c>
      <c r="F23" s="1">
        <v>82</v>
      </c>
      <c r="G23" s="1">
        <v>77</v>
      </c>
      <c r="H23" s="2">
        <f>Table14710[[#This Row],[PTS]]/Table14710[[#This Row],[GP]]</f>
        <v>0.93902439024390238</v>
      </c>
      <c r="I23" s="2">
        <v>0.47</v>
      </c>
      <c r="J23" s="1">
        <v>211</v>
      </c>
      <c r="K23" s="3">
        <f>Table14710[[#This Row],[GF]]/Table14710[[#This Row],[GP]]</f>
        <v>2.5731707317073171</v>
      </c>
      <c r="L23" s="1">
        <v>261</v>
      </c>
      <c r="M23" s="1">
        <v>3.18</v>
      </c>
      <c r="N23" s="2">
        <f>(Table14710[[#This Row],[GF]]^2)/((Table14710[[#This Row],[GF]]^2)+(Table14710[[#This Row],[GA]]^2))</f>
        <v>0.39524333729869854</v>
      </c>
      <c r="O23" s="1">
        <v>18.98</v>
      </c>
      <c r="P23" s="1">
        <v>85.2</v>
      </c>
      <c r="Q23" s="1">
        <f>Table14710[[#This Row],[PP_PCT]]+Table14710[[#This Row],[PK_PCT]]</f>
        <v>104.18</v>
      </c>
      <c r="R23" s="3">
        <v>8.8000000000000007</v>
      </c>
      <c r="S23" s="3">
        <f>Table14710[[#This Row],[GA]]/Table14710[[#This Row],[GP]]</f>
        <v>3.1829268292682928</v>
      </c>
      <c r="T23" s="2">
        <v>0.91900000000000004</v>
      </c>
      <c r="U23" s="1">
        <v>99.3</v>
      </c>
      <c r="V23" s="1">
        <v>60.1</v>
      </c>
      <c r="W23" s="1">
        <v>58.5</v>
      </c>
      <c r="X23" s="1">
        <v>172.8</v>
      </c>
      <c r="Y23" s="3">
        <f>Table135811[[#This Row],[XGF]]/Table14710[[#This Row],[GP]]</f>
        <v>2.1073170731707318</v>
      </c>
      <c r="Z23" s="1">
        <v>151.5</v>
      </c>
      <c r="AA23" s="3">
        <f>Table135811[[#This Row],[XGA]]/Table14710[[#This Row],[GP]]</f>
        <v>1.8475609756097562</v>
      </c>
      <c r="AB23" s="1">
        <v>61</v>
      </c>
      <c r="AC23" s="2">
        <f>Table135811[[#This Row],[HDGF]]/Table14710[[#This Row],[GP]]</f>
        <v>0.74390243902439024</v>
      </c>
      <c r="AD23" s="1">
        <v>58</v>
      </c>
      <c r="AE23" s="2">
        <f>Table135811[[#This Row],[HDGA]]/Table14710[[#This Row],[GP]]</f>
        <v>0.70731707317073167</v>
      </c>
      <c r="AF23" s="1">
        <v>8.8000000000000007</v>
      </c>
    </row>
    <row r="24" spans="1:32" hidden="1" x14ac:dyDescent="0.35">
      <c r="A24" t="s">
        <v>56</v>
      </c>
      <c r="B24">
        <v>23</v>
      </c>
      <c r="C24" t="s">
        <v>79</v>
      </c>
      <c r="D24" s="1">
        <v>0</v>
      </c>
      <c r="E24" s="1">
        <v>27.9</v>
      </c>
      <c r="F24" s="1">
        <v>82</v>
      </c>
      <c r="G24" s="1">
        <v>76</v>
      </c>
      <c r="H24" s="2">
        <f>Table14710[[#This Row],[PTS]]/Table14710[[#This Row],[GP]]</f>
        <v>0.92682926829268297</v>
      </c>
      <c r="I24" s="2">
        <v>0.46300000000000002</v>
      </c>
      <c r="J24" s="1">
        <v>228</v>
      </c>
      <c r="K24" s="3">
        <f>Table14710[[#This Row],[GF]]/Table14710[[#This Row],[GP]]</f>
        <v>2.7804878048780486</v>
      </c>
      <c r="L24" s="1">
        <v>266</v>
      </c>
      <c r="M24" s="1">
        <v>3.24</v>
      </c>
      <c r="N24" s="2">
        <f>(Table14710[[#This Row],[GF]]^2)/((Table14710[[#This Row],[GF]]^2)+(Table14710[[#This Row],[GA]]^2))</f>
        <v>0.42352941176470588</v>
      </c>
      <c r="O24" s="1">
        <v>21.92</v>
      </c>
      <c r="P24" s="1">
        <v>80.8</v>
      </c>
      <c r="Q24" s="1">
        <f>Table14710[[#This Row],[PP_PCT]]+Table14710[[#This Row],[PK_PCT]]</f>
        <v>102.72</v>
      </c>
      <c r="R24" s="3">
        <v>9.5</v>
      </c>
      <c r="S24" s="3">
        <f>Table14710[[#This Row],[GA]]/Table14710[[#This Row],[GP]]</f>
        <v>3.2439024390243905</v>
      </c>
      <c r="T24" s="2">
        <v>0.91</v>
      </c>
      <c r="U24" s="1">
        <v>98.9</v>
      </c>
      <c r="V24" s="1">
        <v>59.8</v>
      </c>
      <c r="W24" s="1">
        <v>58.1</v>
      </c>
      <c r="X24" s="1">
        <v>160.30000000000001</v>
      </c>
      <c r="Y24" s="3">
        <f>Table135811[[#This Row],[XGF]]/Table14710[[#This Row],[GP]]</f>
        <v>1.954878048780488</v>
      </c>
      <c r="Z24" s="1">
        <v>136.5</v>
      </c>
      <c r="AA24" s="3">
        <f>Table135811[[#This Row],[XGA]]/Table14710[[#This Row],[GP]]</f>
        <v>1.6646341463414633</v>
      </c>
      <c r="AB24" s="1">
        <v>49</v>
      </c>
      <c r="AC24" s="2">
        <f>Table135811[[#This Row],[HDGF]]/Table14710[[#This Row],[GP]]</f>
        <v>0.59756097560975607</v>
      </c>
      <c r="AD24" s="1">
        <v>45</v>
      </c>
      <c r="AE24" s="2">
        <f>Table135811[[#This Row],[HDGA]]/Table14710[[#This Row],[GP]]</f>
        <v>0.54878048780487809</v>
      </c>
      <c r="AF24" s="1">
        <v>9.3000000000000007</v>
      </c>
    </row>
    <row r="25" spans="1:32" hidden="1" x14ac:dyDescent="0.35">
      <c r="A25" t="s">
        <v>56</v>
      </c>
      <c r="B25">
        <v>24</v>
      </c>
      <c r="C25" t="s">
        <v>80</v>
      </c>
      <c r="D25" s="1">
        <v>0</v>
      </c>
      <c r="E25" s="1">
        <v>27.5</v>
      </c>
      <c r="F25" s="1">
        <v>82</v>
      </c>
      <c r="G25" s="1">
        <v>75</v>
      </c>
      <c r="H25" s="2">
        <f>Table14710[[#This Row],[PTS]]/Table14710[[#This Row],[GP]]</f>
        <v>0.91463414634146345</v>
      </c>
      <c r="I25" s="2">
        <v>0.45700000000000002</v>
      </c>
      <c r="J25" s="1">
        <v>229</v>
      </c>
      <c r="K25" s="3">
        <f>Table14710[[#This Row],[GF]]/Table14710[[#This Row],[GP]]</f>
        <v>2.7926829268292681</v>
      </c>
      <c r="L25" s="1">
        <v>287</v>
      </c>
      <c r="M25" s="1">
        <v>3.5</v>
      </c>
      <c r="N25" s="2">
        <f>(Table14710[[#This Row],[GF]]^2)/((Table14710[[#This Row],[GF]]^2)+(Table14710[[#This Row],[GA]]^2))</f>
        <v>0.38899933239373935</v>
      </c>
      <c r="O25" s="1">
        <v>21.17</v>
      </c>
      <c r="P25" s="1">
        <v>76.42</v>
      </c>
      <c r="Q25" s="1">
        <f>Table14710[[#This Row],[PP_PCT]]+Table14710[[#This Row],[PK_PCT]]</f>
        <v>97.59</v>
      </c>
      <c r="R25" s="3">
        <v>9.3000000000000007</v>
      </c>
      <c r="S25" s="3">
        <f>Table14710[[#This Row],[GA]]/Table14710[[#This Row],[GP]]</f>
        <v>3.5</v>
      </c>
      <c r="T25" s="2">
        <v>0.91700000000000004</v>
      </c>
      <c r="U25" s="1">
        <v>99</v>
      </c>
      <c r="V25" s="1">
        <v>46</v>
      </c>
      <c r="W25" s="1">
        <v>45.9</v>
      </c>
      <c r="X25" s="1">
        <v>157.30000000000001</v>
      </c>
      <c r="Y25" s="3">
        <f>Table135811[[#This Row],[XGF]]/Table14710[[#This Row],[GP]]</f>
        <v>1.9182926829268294</v>
      </c>
      <c r="Z25" s="1">
        <v>179</v>
      </c>
      <c r="AA25" s="3">
        <f>Table135811[[#This Row],[XGA]]/Table14710[[#This Row],[GP]]</f>
        <v>2.1829268292682928</v>
      </c>
      <c r="AB25" s="1">
        <v>52</v>
      </c>
      <c r="AC25" s="2">
        <f>Table135811[[#This Row],[HDGF]]/Table14710[[#This Row],[GP]]</f>
        <v>0.63414634146341464</v>
      </c>
      <c r="AD25" s="1">
        <v>79</v>
      </c>
      <c r="AE25" s="2">
        <f>Table135811[[#This Row],[HDGA]]/Table14710[[#This Row],[GP]]</f>
        <v>0.96341463414634143</v>
      </c>
      <c r="AF25" s="1">
        <v>8.1</v>
      </c>
    </row>
    <row r="26" spans="1:32" hidden="1" x14ac:dyDescent="0.35">
      <c r="A26" t="s">
        <v>56</v>
      </c>
      <c r="B26">
        <v>25</v>
      </c>
      <c r="C26" t="s">
        <v>81</v>
      </c>
      <c r="D26" s="1">
        <v>0</v>
      </c>
      <c r="E26" s="1">
        <v>26.9</v>
      </c>
      <c r="F26" s="1">
        <v>82</v>
      </c>
      <c r="G26" s="1">
        <v>74</v>
      </c>
      <c r="H26" s="2">
        <f>Table14710[[#This Row],[PTS]]/Table14710[[#This Row],[GP]]</f>
        <v>0.90243902439024393</v>
      </c>
      <c r="I26" s="2">
        <v>0.45100000000000001</v>
      </c>
      <c r="J26" s="1">
        <v>227</v>
      </c>
      <c r="K26" s="3">
        <f>Table14710[[#This Row],[GF]]/Table14710[[#This Row],[GP]]</f>
        <v>2.7682926829268291</v>
      </c>
      <c r="L26" s="1">
        <v>310</v>
      </c>
      <c r="M26" s="1">
        <v>3.78</v>
      </c>
      <c r="N26" s="2">
        <f>(Table14710[[#This Row],[GF]]^2)/((Table14710[[#This Row],[GF]]^2)+(Table14710[[#This Row],[GA]]^2))</f>
        <v>0.34904388704116401</v>
      </c>
      <c r="O26" s="1">
        <v>16.3</v>
      </c>
      <c r="P26" s="1">
        <v>73.78</v>
      </c>
      <c r="Q26" s="1">
        <f>Table14710[[#This Row],[PP_PCT]]+Table14710[[#This Row],[PK_PCT]]</f>
        <v>90.08</v>
      </c>
      <c r="R26" s="3">
        <v>9.4</v>
      </c>
      <c r="S26" s="3">
        <f>Table14710[[#This Row],[GA]]/Table14710[[#This Row],[GP]]</f>
        <v>3.7804878048780486</v>
      </c>
      <c r="T26" s="2">
        <v>0.91400000000000003</v>
      </c>
      <c r="U26" s="1">
        <v>98.7</v>
      </c>
      <c r="V26" s="1">
        <v>43.9</v>
      </c>
      <c r="W26" s="1">
        <v>44.1</v>
      </c>
      <c r="X26" s="1">
        <v>153.9</v>
      </c>
      <c r="Y26" s="3">
        <f>Table135811[[#This Row],[XGF]]/Table14710[[#This Row],[GP]]</f>
        <v>1.876829268292683</v>
      </c>
      <c r="Z26" s="1">
        <v>208.4</v>
      </c>
      <c r="AA26" s="3">
        <f>Table135811[[#This Row],[XGA]]/Table14710[[#This Row],[GP]]</f>
        <v>2.5414634146341464</v>
      </c>
      <c r="AB26" s="1">
        <v>61</v>
      </c>
      <c r="AC26" s="2">
        <f>Table135811[[#This Row],[HDGF]]/Table14710[[#This Row],[GP]]</f>
        <v>0.74390243902439024</v>
      </c>
      <c r="AD26" s="1">
        <v>80</v>
      </c>
      <c r="AE26" s="2">
        <f>Table135811[[#This Row],[HDGA]]/Table14710[[#This Row],[GP]]</f>
        <v>0.97560975609756095</v>
      </c>
      <c r="AF26" s="1">
        <v>8.9</v>
      </c>
    </row>
    <row r="27" spans="1:32" hidden="1" x14ac:dyDescent="0.35">
      <c r="A27" t="s">
        <v>56</v>
      </c>
      <c r="B27">
        <v>26</v>
      </c>
      <c r="C27" t="s">
        <v>82</v>
      </c>
      <c r="D27" s="1">
        <v>0</v>
      </c>
      <c r="E27" s="1">
        <v>26.6</v>
      </c>
      <c r="F27" s="1">
        <v>82</v>
      </c>
      <c r="G27" s="1">
        <v>73</v>
      </c>
      <c r="H27" s="2">
        <f>Table14710[[#This Row],[PTS]]/Table14710[[#This Row],[GP]]</f>
        <v>0.8902439024390244</v>
      </c>
      <c r="I27" s="2">
        <v>0.44500000000000001</v>
      </c>
      <c r="J27" s="1">
        <v>224</v>
      </c>
      <c r="K27" s="3">
        <f>Table14710[[#This Row],[GF]]/Table14710[[#This Row],[GP]]</f>
        <v>2.7317073170731709</v>
      </c>
      <c r="L27" s="1">
        <v>264</v>
      </c>
      <c r="M27" s="1">
        <v>3.22</v>
      </c>
      <c r="N27" s="2">
        <f>(Table14710[[#This Row],[GF]]^2)/((Table14710[[#This Row],[GF]]^2)+(Table14710[[#This Row],[GA]]^2))</f>
        <v>0.41857981847303793</v>
      </c>
      <c r="O27" s="1">
        <v>19.34</v>
      </c>
      <c r="P27" s="1">
        <v>80.319999999999993</v>
      </c>
      <c r="Q27" s="1">
        <f>Table14710[[#This Row],[PP_PCT]]+Table14710[[#This Row],[PK_PCT]]</f>
        <v>99.66</v>
      </c>
      <c r="R27" s="3">
        <v>9.1</v>
      </c>
      <c r="S27" s="3">
        <f>Table14710[[#This Row],[GA]]/Table14710[[#This Row],[GP]]</f>
        <v>3.2195121951219514</v>
      </c>
      <c r="T27" s="2">
        <v>0.91500000000000004</v>
      </c>
      <c r="U27" s="1">
        <v>98.1</v>
      </c>
      <c r="V27" s="1">
        <v>44.3</v>
      </c>
      <c r="W27" s="1">
        <v>43.4</v>
      </c>
      <c r="X27" s="1">
        <v>143.80000000000001</v>
      </c>
      <c r="Y27" s="3">
        <f>Table135811[[#This Row],[XGF]]/Table14710[[#This Row],[GP]]</f>
        <v>1.7536585365853661</v>
      </c>
      <c r="Z27" s="1">
        <v>194</v>
      </c>
      <c r="AA27" s="3">
        <f>Table135811[[#This Row],[XGA]]/Table14710[[#This Row],[GP]]</f>
        <v>2.3658536585365852</v>
      </c>
      <c r="AB27" s="1">
        <v>51</v>
      </c>
      <c r="AC27" s="2">
        <f>Table135811[[#This Row],[HDGF]]/Table14710[[#This Row],[GP]]</f>
        <v>0.62195121951219512</v>
      </c>
      <c r="AD27" s="1">
        <v>68</v>
      </c>
      <c r="AE27" s="2">
        <f>Table135811[[#This Row],[HDGA]]/Table14710[[#This Row],[GP]]</f>
        <v>0.82926829268292679</v>
      </c>
      <c r="AF27" s="1">
        <v>10</v>
      </c>
    </row>
    <row r="28" spans="1:32" hidden="1" x14ac:dyDescent="0.35">
      <c r="A28" t="s">
        <v>56</v>
      </c>
      <c r="B28">
        <v>27</v>
      </c>
      <c r="C28" t="s">
        <v>83</v>
      </c>
      <c r="D28" s="1">
        <v>0</v>
      </c>
      <c r="E28" s="1">
        <v>28</v>
      </c>
      <c r="F28" s="1">
        <v>82</v>
      </c>
      <c r="G28" s="1">
        <v>68</v>
      </c>
      <c r="H28" s="2">
        <f>Table14710[[#This Row],[PTS]]/Table14710[[#This Row],[GP]]</f>
        <v>0.82926829268292679</v>
      </c>
      <c r="I28" s="2">
        <v>0.41499999999999998</v>
      </c>
      <c r="J28" s="1">
        <v>213</v>
      </c>
      <c r="K28" s="3">
        <f>Table14710[[#This Row],[GF]]/Table14710[[#This Row],[GP]]</f>
        <v>2.5975609756097562</v>
      </c>
      <c r="L28" s="1">
        <v>289</v>
      </c>
      <c r="M28" s="1">
        <v>3.52</v>
      </c>
      <c r="N28" s="2">
        <f>(Table14710[[#This Row],[GF]]^2)/((Table14710[[#This Row],[GF]]^2)+(Table14710[[#This Row],[GA]]^2))</f>
        <v>0.35199782760493442</v>
      </c>
      <c r="O28" s="1">
        <v>19.18</v>
      </c>
      <c r="P28" s="1">
        <v>76.23</v>
      </c>
      <c r="Q28" s="1">
        <f>Table14710[[#This Row],[PP_PCT]]+Table14710[[#This Row],[PK_PCT]]</f>
        <v>95.41</v>
      </c>
      <c r="R28" s="3">
        <v>9</v>
      </c>
      <c r="S28" s="3">
        <f>Table14710[[#This Row],[GA]]/Table14710[[#This Row],[GP]]</f>
        <v>3.524390243902439</v>
      </c>
      <c r="T28" s="2">
        <v>0.90700000000000003</v>
      </c>
      <c r="U28" s="1">
        <v>99.2</v>
      </c>
      <c r="V28" s="1">
        <v>44.8</v>
      </c>
      <c r="W28" s="1">
        <v>43.7</v>
      </c>
      <c r="X28" s="1">
        <v>129.30000000000001</v>
      </c>
      <c r="Y28" s="3">
        <f>Table135811[[#This Row],[XGF]]/Table14710[[#This Row],[GP]]</f>
        <v>1.576829268292683</v>
      </c>
      <c r="Z28" s="1">
        <v>171.5</v>
      </c>
      <c r="AA28" s="3">
        <f>Table135811[[#This Row],[XGA]]/Table14710[[#This Row],[GP]]</f>
        <v>2.0914634146341462</v>
      </c>
      <c r="AB28" s="1">
        <v>43</v>
      </c>
      <c r="AC28" s="2">
        <f>Table135811[[#This Row],[HDGF]]/Table14710[[#This Row],[GP]]</f>
        <v>0.52439024390243905</v>
      </c>
      <c r="AD28" s="1">
        <v>72</v>
      </c>
      <c r="AE28" s="2">
        <f>Table135811[[#This Row],[HDGA]]/Table14710[[#This Row],[GP]]</f>
        <v>0.87804878048780488</v>
      </c>
      <c r="AF28" s="1">
        <v>7.9</v>
      </c>
    </row>
    <row r="29" spans="1:32" hidden="1" x14ac:dyDescent="0.35">
      <c r="A29" t="s">
        <v>56</v>
      </c>
      <c r="B29">
        <v>28</v>
      </c>
      <c r="C29" t="s">
        <v>84</v>
      </c>
      <c r="D29" s="1">
        <v>0</v>
      </c>
      <c r="E29" s="1">
        <v>25.8</v>
      </c>
      <c r="F29" s="1">
        <v>82</v>
      </c>
      <c r="G29" s="1">
        <v>63</v>
      </c>
      <c r="H29" s="2">
        <f>Table14710[[#This Row],[PTS]]/Table14710[[#This Row],[GP]]</f>
        <v>0.76829268292682928</v>
      </c>
      <c r="I29" s="2">
        <v>0.38400000000000001</v>
      </c>
      <c r="J29" s="1">
        <v>245</v>
      </c>
      <c r="K29" s="3">
        <f>Table14710[[#This Row],[GF]]/Table14710[[#This Row],[GP]]</f>
        <v>2.9878048780487805</v>
      </c>
      <c r="L29" s="1">
        <v>302</v>
      </c>
      <c r="M29" s="1">
        <v>3.68</v>
      </c>
      <c r="N29" s="2">
        <f>(Table14710[[#This Row],[GF]]^2)/((Table14710[[#This Row],[GF]]^2)+(Table14710[[#This Row],[GA]]^2))</f>
        <v>0.39691461293799468</v>
      </c>
      <c r="O29" s="1">
        <v>15.56</v>
      </c>
      <c r="P29" s="1">
        <v>80.19</v>
      </c>
      <c r="Q29" s="1">
        <f>Table14710[[#This Row],[PP_PCT]]+Table14710[[#This Row],[PK_PCT]]</f>
        <v>95.75</v>
      </c>
      <c r="R29" s="3">
        <v>9.6</v>
      </c>
      <c r="S29" s="3">
        <f>Table14710[[#This Row],[GA]]/Table14710[[#This Row],[GP]]</f>
        <v>3.6829268292682928</v>
      </c>
      <c r="T29" s="2">
        <v>0.92700000000000005</v>
      </c>
      <c r="U29" s="1">
        <v>101.2</v>
      </c>
      <c r="V29" s="1">
        <v>53</v>
      </c>
      <c r="W29" s="1">
        <v>52</v>
      </c>
      <c r="X29" s="1">
        <v>187.1</v>
      </c>
      <c r="Y29" s="3">
        <f>Table135811[[#This Row],[XGF]]/Table14710[[#This Row],[GP]]</f>
        <v>2.2817073170731708</v>
      </c>
      <c r="Z29" s="1">
        <v>172.9</v>
      </c>
      <c r="AA29" s="3">
        <f>Table135811[[#This Row],[XGA]]/Table14710[[#This Row],[GP]]</f>
        <v>2.1085365853658535</v>
      </c>
      <c r="AB29" s="1">
        <v>75</v>
      </c>
      <c r="AC29" s="2">
        <f>Table135811[[#This Row],[HDGF]]/Table14710[[#This Row],[GP]]</f>
        <v>0.91463414634146345</v>
      </c>
      <c r="AD29" s="1">
        <v>75</v>
      </c>
      <c r="AE29" s="2">
        <f>Table135811[[#This Row],[HDGA]]/Table14710[[#This Row],[GP]]</f>
        <v>0.91463414634146345</v>
      </c>
      <c r="AF29" s="1">
        <v>8.1</v>
      </c>
    </row>
    <row r="30" spans="1:32" hidden="1" x14ac:dyDescent="0.35">
      <c r="A30" t="s">
        <v>56</v>
      </c>
      <c r="B30">
        <v>29</v>
      </c>
      <c r="C30" t="s">
        <v>85</v>
      </c>
      <c r="D30" s="1">
        <v>0</v>
      </c>
      <c r="E30" s="1">
        <v>28.3</v>
      </c>
      <c r="F30" s="1">
        <v>82</v>
      </c>
      <c r="G30" s="1">
        <v>61</v>
      </c>
      <c r="H30" s="2">
        <f>Table14710[[#This Row],[PTS]]/Table14710[[#This Row],[GP]]</f>
        <v>0.74390243902439024</v>
      </c>
      <c r="I30" s="2">
        <v>0.372</v>
      </c>
      <c r="J30" s="1">
        <v>210</v>
      </c>
      <c r="K30" s="3">
        <f>Table14710[[#This Row],[GF]]/Table14710[[#This Row],[GP]]</f>
        <v>2.5609756097560976</v>
      </c>
      <c r="L30" s="1">
        <v>294</v>
      </c>
      <c r="M30" s="1">
        <v>3.59</v>
      </c>
      <c r="N30" s="2">
        <f>(Table14710[[#This Row],[GF]]^2)/((Table14710[[#This Row],[GF]]^2)+(Table14710[[#This Row],[GA]]^2))</f>
        <v>0.33783783783783783</v>
      </c>
      <c r="O30" s="1">
        <v>12.55</v>
      </c>
      <c r="P30" s="1">
        <v>75.739999999999995</v>
      </c>
      <c r="Q30" s="1">
        <f>Table14710[[#This Row],[PP_PCT]]+Table14710[[#This Row],[PK_PCT]]</f>
        <v>88.289999999999992</v>
      </c>
      <c r="R30" s="3">
        <v>8.3000000000000007</v>
      </c>
      <c r="S30" s="3">
        <f>Table14710[[#This Row],[GA]]/Table14710[[#This Row],[GP]]</f>
        <v>3.5853658536585367</v>
      </c>
      <c r="T30" s="2">
        <v>0.93100000000000005</v>
      </c>
      <c r="U30" s="1">
        <v>100.8</v>
      </c>
      <c r="V30" s="1">
        <v>52.4</v>
      </c>
      <c r="W30" s="1">
        <v>51.6</v>
      </c>
      <c r="X30" s="1">
        <v>190.4</v>
      </c>
      <c r="Y30" s="3">
        <f>Table135811[[#This Row],[XGF]]/Table14710[[#This Row],[GP]]</f>
        <v>2.3219512195121954</v>
      </c>
      <c r="Z30" s="1">
        <v>173.6</v>
      </c>
      <c r="AA30" s="3">
        <f>Table135811[[#This Row],[XGA]]/Table14710[[#This Row],[GP]]</f>
        <v>2.1170731707317074</v>
      </c>
      <c r="AB30" s="1">
        <v>70</v>
      </c>
      <c r="AC30" s="2">
        <f>Table135811[[#This Row],[HDGF]]/Table14710[[#This Row],[GP]]</f>
        <v>0.85365853658536583</v>
      </c>
      <c r="AD30" s="1">
        <v>47</v>
      </c>
      <c r="AE30" s="2">
        <f>Table135811[[#This Row],[HDGA]]/Table14710[[#This Row],[GP]]</f>
        <v>0.57317073170731703</v>
      </c>
      <c r="AF30" s="1">
        <v>9</v>
      </c>
    </row>
    <row r="31" spans="1:32" hidden="1" x14ac:dyDescent="0.35">
      <c r="A31" t="s">
        <v>56</v>
      </c>
      <c r="B31">
        <v>30</v>
      </c>
      <c r="C31" t="s">
        <v>86</v>
      </c>
      <c r="D31" s="1">
        <v>0</v>
      </c>
      <c r="E31" s="1">
        <v>28.7</v>
      </c>
      <c r="F31" s="1">
        <v>82</v>
      </c>
      <c r="G31" s="1">
        <v>60</v>
      </c>
      <c r="H31" s="2">
        <f>Table14710[[#This Row],[PTS]]/Table14710[[#This Row],[GP]]</f>
        <v>0.73170731707317072</v>
      </c>
      <c r="I31" s="2">
        <v>0.36599999999999999</v>
      </c>
      <c r="J31" s="1">
        <v>213</v>
      </c>
      <c r="K31" s="3">
        <f>Table14710[[#This Row],[GF]]/Table14710[[#This Row],[GP]]</f>
        <v>2.5975609756097562</v>
      </c>
      <c r="L31" s="1">
        <v>284</v>
      </c>
      <c r="M31" s="1">
        <v>3.46</v>
      </c>
      <c r="N31" s="2">
        <f>(Table14710[[#This Row],[GF]]^2)/((Table14710[[#This Row],[GF]]^2)+(Table14710[[#This Row],[GA]]^2))</f>
        <v>0.36</v>
      </c>
      <c r="O31" s="1">
        <v>14.55</v>
      </c>
      <c r="P31" s="1">
        <v>74.89</v>
      </c>
      <c r="Q31" s="1">
        <f>Table14710[[#This Row],[PP_PCT]]+Table14710[[#This Row],[PK_PCT]]</f>
        <v>89.44</v>
      </c>
      <c r="R31" s="3">
        <v>8.9</v>
      </c>
      <c r="S31" s="3">
        <f>Table14710[[#This Row],[GA]]/Table14710[[#This Row],[GP]]</f>
        <v>3.4634146341463414</v>
      </c>
      <c r="T31" s="2">
        <v>0.91700000000000004</v>
      </c>
      <c r="U31" s="1">
        <v>100.4</v>
      </c>
      <c r="V31" s="1">
        <v>53.2</v>
      </c>
      <c r="W31" s="1">
        <v>52.1</v>
      </c>
      <c r="X31" s="1">
        <v>184.5</v>
      </c>
      <c r="Y31" s="3">
        <f>Table135811[[#This Row],[XGF]]/Table14710[[#This Row],[GP]]</f>
        <v>2.25</v>
      </c>
      <c r="Z31" s="1">
        <v>163.6</v>
      </c>
      <c r="AA31" s="3">
        <f>Table135811[[#This Row],[XGA]]/Table14710[[#This Row],[GP]]</f>
        <v>1.9951219512195122</v>
      </c>
      <c r="AB31" s="1">
        <v>64</v>
      </c>
      <c r="AC31" s="2">
        <f>Table135811[[#This Row],[HDGF]]/Table14710[[#This Row],[GP]]</f>
        <v>0.78048780487804881</v>
      </c>
      <c r="AD31" s="1">
        <v>70</v>
      </c>
      <c r="AE31" s="2">
        <f>Table135811[[#This Row],[HDGA]]/Table14710[[#This Row],[GP]]</f>
        <v>0.85365853658536583</v>
      </c>
      <c r="AF31" s="1">
        <v>8.5</v>
      </c>
    </row>
    <row r="32" spans="1:32" hidden="1" x14ac:dyDescent="0.35">
      <c r="A32" t="s">
        <v>56</v>
      </c>
      <c r="B32">
        <v>31</v>
      </c>
      <c r="C32" t="s">
        <v>87</v>
      </c>
      <c r="D32" s="1">
        <v>0</v>
      </c>
      <c r="E32" s="1">
        <v>28</v>
      </c>
      <c r="F32" s="1">
        <v>82</v>
      </c>
      <c r="G32" s="1">
        <v>57</v>
      </c>
      <c r="H32" s="2">
        <f>Table14710[[#This Row],[PTS]]/Table14710[[#This Row],[GP]]</f>
        <v>0.69512195121951215</v>
      </c>
      <c r="I32" s="2">
        <v>0.34799999999999998</v>
      </c>
      <c r="J32" s="1">
        <v>206</v>
      </c>
      <c r="K32" s="3">
        <f>Table14710[[#This Row],[GF]]/Table14710[[#This Row],[GP]]</f>
        <v>2.5121951219512195</v>
      </c>
      <c r="L32" s="1">
        <v>309</v>
      </c>
      <c r="M32" s="1">
        <v>3.77</v>
      </c>
      <c r="N32" s="2">
        <f>(Table14710[[#This Row],[GF]]^2)/((Table14710[[#This Row],[GF]]^2)+(Table14710[[#This Row],[GA]]^2))</f>
        <v>0.30769230769230771</v>
      </c>
      <c r="O32" s="1">
        <v>13.86</v>
      </c>
      <c r="P32" s="1">
        <v>75</v>
      </c>
      <c r="Q32" s="1">
        <f>Table14710[[#This Row],[PP_PCT]]+Table14710[[#This Row],[PK_PCT]]</f>
        <v>88.86</v>
      </c>
      <c r="R32" s="3">
        <v>9.6999999999999993</v>
      </c>
      <c r="S32" s="3">
        <f>Table14710[[#This Row],[GA]]/Table14710[[#This Row],[GP]]</f>
        <v>3.7682926829268291</v>
      </c>
      <c r="T32" s="2">
        <v>0.91600000000000004</v>
      </c>
      <c r="U32" s="1">
        <v>99.5</v>
      </c>
      <c r="V32" s="1">
        <v>54.8</v>
      </c>
      <c r="W32" s="1">
        <v>53.7</v>
      </c>
      <c r="X32" s="1">
        <v>163.1</v>
      </c>
      <c r="Y32" s="3">
        <f>Table135811[[#This Row],[XGF]]/Table14710[[#This Row],[GP]]</f>
        <v>1.9890243902439024</v>
      </c>
      <c r="Z32" s="1">
        <v>141.9</v>
      </c>
      <c r="AA32" s="3">
        <f>Table135811[[#This Row],[XGA]]/Table14710[[#This Row],[GP]]</f>
        <v>1.7304878048780488</v>
      </c>
      <c r="AB32" s="1">
        <v>55</v>
      </c>
      <c r="AC32" s="2">
        <f>Table135811[[#This Row],[HDGF]]/Table14710[[#This Row],[GP]]</f>
        <v>0.67073170731707321</v>
      </c>
      <c r="AD32" s="1">
        <v>60</v>
      </c>
      <c r="AE32" s="2">
        <f>Table135811[[#This Row],[HDGA]]/Table14710[[#This Row],[GP]]</f>
        <v>0.73170731707317072</v>
      </c>
      <c r="AF32" s="1">
        <v>10.199999999999999</v>
      </c>
    </row>
    <row r="33" spans="1:32" hidden="1" x14ac:dyDescent="0.35">
      <c r="A33" t="s">
        <v>56</v>
      </c>
      <c r="B33">
        <v>32</v>
      </c>
      <c r="C33" t="s">
        <v>88</v>
      </c>
      <c r="D33" s="1">
        <v>0</v>
      </c>
      <c r="E33" s="1">
        <v>27.8</v>
      </c>
      <c r="F33" s="1">
        <v>82</v>
      </c>
      <c r="G33" s="1">
        <v>55</v>
      </c>
      <c r="H33" s="2">
        <f>Table14710[[#This Row],[PTS]]/Table14710[[#This Row],[GP]]</f>
        <v>0.67073170731707321</v>
      </c>
      <c r="I33" s="2">
        <v>0.33500000000000002</v>
      </c>
      <c r="J33" s="1">
        <v>218</v>
      </c>
      <c r="K33" s="3">
        <f>Table14710[[#This Row],[GF]]/Table14710[[#This Row],[GP]]</f>
        <v>2.6585365853658538</v>
      </c>
      <c r="L33" s="1">
        <v>317</v>
      </c>
      <c r="M33" s="1">
        <v>3.87</v>
      </c>
      <c r="N33" s="2">
        <f>(Table14710[[#This Row],[GF]]^2)/((Table14710[[#This Row],[GF]]^2)+(Table14710[[#This Row],[GA]]^2))</f>
        <v>0.32107990514346713</v>
      </c>
      <c r="O33" s="1">
        <v>13.71</v>
      </c>
      <c r="P33" s="1">
        <v>75.55</v>
      </c>
      <c r="Q33" s="1">
        <f>Table14710[[#This Row],[PP_PCT]]+Table14710[[#This Row],[PK_PCT]]</f>
        <v>89.259999999999991</v>
      </c>
      <c r="R33" s="3">
        <v>8.9</v>
      </c>
      <c r="S33" s="3">
        <f>Table14710[[#This Row],[GA]]/Table14710[[#This Row],[GP]]</f>
        <v>3.8658536585365852</v>
      </c>
      <c r="T33" s="2">
        <v>0.91500000000000004</v>
      </c>
      <c r="U33" s="1">
        <v>99.9</v>
      </c>
      <c r="V33" s="1">
        <v>47.9</v>
      </c>
      <c r="W33" s="1">
        <v>46.8</v>
      </c>
      <c r="X33" s="1">
        <v>162.69999999999999</v>
      </c>
      <c r="Y33" s="3">
        <f>Table135811[[#This Row],[XGF]]/Table14710[[#This Row],[GP]]</f>
        <v>1.9841463414634144</v>
      </c>
      <c r="Z33" s="1">
        <v>212.4</v>
      </c>
      <c r="AA33" s="3">
        <f>Table135811[[#This Row],[XGA]]/Table14710[[#This Row],[GP]]</f>
        <v>2.5902439024390245</v>
      </c>
      <c r="AB33" s="1">
        <v>73</v>
      </c>
      <c r="AC33" s="2">
        <f>Table135811[[#This Row],[HDGF]]/Table14710[[#This Row],[GP]]</f>
        <v>0.8902439024390244</v>
      </c>
      <c r="AD33" s="1">
        <v>71</v>
      </c>
      <c r="AE33" s="2">
        <f>Table135811[[#This Row],[HDGA]]/Table14710[[#This Row],[GP]]</f>
        <v>0.86585365853658536</v>
      </c>
      <c r="AF33" s="1">
        <v>10.199999999999999</v>
      </c>
    </row>
    <row r="34" spans="1:32" x14ac:dyDescent="0.35">
      <c r="A34" t="s">
        <v>89</v>
      </c>
      <c r="B34">
        <v>1</v>
      </c>
      <c r="C34" t="s">
        <v>66</v>
      </c>
      <c r="D34" s="1">
        <v>1</v>
      </c>
      <c r="E34" s="1">
        <v>29.5</v>
      </c>
      <c r="F34" s="1">
        <v>82</v>
      </c>
      <c r="G34" s="1">
        <v>135</v>
      </c>
      <c r="H34" s="2">
        <f>Table14710[[#This Row],[PTS]]/Table14710[[#This Row],[GP]]</f>
        <v>1.6463414634146341</v>
      </c>
      <c r="I34" s="2">
        <v>0.82299999999999995</v>
      </c>
      <c r="J34" s="1">
        <v>301</v>
      </c>
      <c r="K34" s="3">
        <f>Table14710[[#This Row],[GF]]/Table14710[[#This Row],[GP]]</f>
        <v>3.6707317073170733</v>
      </c>
      <c r="L34" s="1">
        <v>174</v>
      </c>
      <c r="M34" s="1">
        <v>2.12</v>
      </c>
      <c r="N34" s="2">
        <f>(Table14710[[#This Row],[GF]]^2)/((Table14710[[#This Row],[GF]]^2)+(Table14710[[#This Row],[GA]]^2))</f>
        <v>0.74953051448993602</v>
      </c>
      <c r="O34" s="1">
        <v>22.22</v>
      </c>
      <c r="P34" s="1">
        <v>87.28</v>
      </c>
      <c r="Q34" s="1">
        <f>Table14710[[#This Row],[PP_PCT]]+Table14710[[#This Row],[PK_PCT]]</f>
        <v>109.5</v>
      </c>
      <c r="R34" s="3">
        <v>11.1</v>
      </c>
      <c r="S34" s="3">
        <f>Table14710[[#This Row],[GA]]/Table14710[[#This Row],[GP]]</f>
        <v>2.1219512195121952</v>
      </c>
      <c r="T34" s="2">
        <v>0.90900000000000003</v>
      </c>
      <c r="U34" s="1">
        <v>98.1</v>
      </c>
      <c r="V34" s="1">
        <v>45</v>
      </c>
      <c r="W34" s="1">
        <v>44.5</v>
      </c>
      <c r="X34" s="1">
        <v>163.30000000000001</v>
      </c>
      <c r="Y34" s="3">
        <f>Table135811[[#This Row],[XGF]]/Table14710[[#This Row],[GP]]</f>
        <v>1.9914634146341466</v>
      </c>
      <c r="Z34" s="1">
        <v>209.4</v>
      </c>
      <c r="AA34" s="3">
        <f>Table135811[[#This Row],[XGA]]/Table14710[[#This Row],[GP]]</f>
        <v>2.5536585365853659</v>
      </c>
      <c r="AB34" s="1">
        <v>52</v>
      </c>
      <c r="AC34" s="2">
        <f>Table135811[[#This Row],[HDGF]]/Table14710[[#This Row],[GP]]</f>
        <v>0.63414634146341464</v>
      </c>
      <c r="AD34" s="1">
        <v>90</v>
      </c>
      <c r="AE34" s="2">
        <f>Table135811[[#This Row],[HDGA]]/Table14710[[#This Row],[GP]]</f>
        <v>1.0975609756097562</v>
      </c>
      <c r="AF34" s="1">
        <v>10.5</v>
      </c>
    </row>
    <row r="35" spans="1:32" x14ac:dyDescent="0.35">
      <c r="A35" t="s">
        <v>89</v>
      </c>
      <c r="B35">
        <v>2</v>
      </c>
      <c r="C35" t="s">
        <v>59</v>
      </c>
      <c r="D35" s="1">
        <v>1</v>
      </c>
      <c r="E35" s="1">
        <v>29.3</v>
      </c>
      <c r="F35" s="1">
        <v>82</v>
      </c>
      <c r="G35" s="1">
        <v>113</v>
      </c>
      <c r="H35" s="2">
        <f>Table14710[[#This Row],[PTS]]/Table14710[[#This Row],[GP]]</f>
        <v>1.3780487804878048</v>
      </c>
      <c r="I35" s="2">
        <v>0.68899999999999995</v>
      </c>
      <c r="J35" s="1">
        <v>262</v>
      </c>
      <c r="K35" s="3">
        <f>Table14710[[#This Row],[GF]]/Table14710[[#This Row],[GP]]</f>
        <v>3.1951219512195124</v>
      </c>
      <c r="L35" s="1">
        <v>210</v>
      </c>
      <c r="M35" s="1">
        <v>2.56</v>
      </c>
      <c r="N35" s="2">
        <f>(Table14710[[#This Row],[GF]]^2)/((Table14710[[#This Row],[GF]]^2)+(Table14710[[#This Row],[GA]]^2))</f>
        <v>0.6088483644362449</v>
      </c>
      <c r="O35" s="1">
        <v>19.760000000000002</v>
      </c>
      <c r="P35" s="1">
        <v>84.38</v>
      </c>
      <c r="Q35" s="1">
        <f>Table14710[[#This Row],[PP_PCT]]+Table14710[[#This Row],[PK_PCT]]</f>
        <v>104.14</v>
      </c>
      <c r="R35" s="3">
        <v>9.1999999999999993</v>
      </c>
      <c r="S35" s="3">
        <f>Table14710[[#This Row],[GA]]/Table14710[[#This Row],[GP]]</f>
        <v>2.5609756097560976</v>
      </c>
      <c r="T35" s="2">
        <v>0.91900000000000004</v>
      </c>
      <c r="U35" s="1">
        <v>100.2</v>
      </c>
      <c r="V35" s="1">
        <v>48.3</v>
      </c>
      <c r="W35" s="1">
        <v>47.4</v>
      </c>
      <c r="X35" s="1">
        <v>165.1</v>
      </c>
      <c r="Y35" s="3">
        <f>Table135811[[#This Row],[XGF]]/Table14710[[#This Row],[GP]]</f>
        <v>2.0134146341463413</v>
      </c>
      <c r="Z35" s="1">
        <v>195.1</v>
      </c>
      <c r="AA35" s="3">
        <f>Table135811[[#This Row],[XGA]]/Table14710[[#This Row],[GP]]</f>
        <v>2.3792682926829269</v>
      </c>
      <c r="AB35" s="1">
        <v>72</v>
      </c>
      <c r="AC35" s="2">
        <f>Table135811[[#This Row],[HDGF]]/Table14710[[#This Row],[GP]]</f>
        <v>0.87804878048780488</v>
      </c>
      <c r="AD35" s="1">
        <v>71</v>
      </c>
      <c r="AE35" s="2">
        <f>Table135811[[#This Row],[HDGA]]/Table14710[[#This Row],[GP]]</f>
        <v>0.86585365853658536</v>
      </c>
      <c r="AF35" s="1">
        <v>7.5</v>
      </c>
    </row>
    <row r="36" spans="1:32" x14ac:dyDescent="0.35">
      <c r="A36" t="s">
        <v>89</v>
      </c>
      <c r="B36">
        <v>3</v>
      </c>
      <c r="C36" t="s">
        <v>84</v>
      </c>
      <c r="D36" s="1">
        <v>1</v>
      </c>
      <c r="E36" s="1">
        <v>26.7</v>
      </c>
      <c r="F36" s="1">
        <v>82</v>
      </c>
      <c r="G36" s="1">
        <v>112</v>
      </c>
      <c r="H36" s="2">
        <f>Table14710[[#This Row],[PTS]]/Table14710[[#This Row],[GP]]</f>
        <v>1.3658536585365855</v>
      </c>
      <c r="I36" s="2">
        <v>0.68300000000000005</v>
      </c>
      <c r="J36" s="1">
        <v>289</v>
      </c>
      <c r="K36" s="3">
        <f>Table14710[[#This Row],[GF]]/Table14710[[#This Row],[GP]]</f>
        <v>3.524390243902439</v>
      </c>
      <c r="L36" s="1">
        <v>222</v>
      </c>
      <c r="M36" s="1">
        <v>2.71</v>
      </c>
      <c r="N36" s="2">
        <f>(Table14710[[#This Row],[GF]]^2)/((Table14710[[#This Row],[GF]]^2)+(Table14710[[#This Row],[GA]]^2))</f>
        <v>0.62889951432551483</v>
      </c>
      <c r="O36" s="1">
        <v>21.88</v>
      </c>
      <c r="P36" s="1">
        <v>82.61</v>
      </c>
      <c r="Q36" s="1">
        <f>Table14710[[#This Row],[PP_PCT]]+Table14710[[#This Row],[PK_PCT]]</f>
        <v>104.49</v>
      </c>
      <c r="R36" s="3">
        <v>10.199999999999999</v>
      </c>
      <c r="S36" s="3">
        <f>Table14710[[#This Row],[GA]]/Table14710[[#This Row],[GP]]</f>
        <v>2.7073170731707319</v>
      </c>
      <c r="T36" s="2">
        <v>0.91500000000000004</v>
      </c>
      <c r="U36" s="1">
        <v>100.7</v>
      </c>
      <c r="V36" s="1">
        <v>49</v>
      </c>
      <c r="W36" s="1">
        <v>48.9</v>
      </c>
      <c r="X36" s="1">
        <v>146.1</v>
      </c>
      <c r="Y36" s="3">
        <f>Table135811[[#This Row],[XGF]]/Table14710[[#This Row],[GP]]</f>
        <v>1.7817073170731708</v>
      </c>
      <c r="Z36" s="1">
        <v>157.9</v>
      </c>
      <c r="AA36" s="3">
        <f>Table135811[[#This Row],[XGA]]/Table14710[[#This Row],[GP]]</f>
        <v>1.9256097560975611</v>
      </c>
      <c r="AB36" s="1">
        <v>57</v>
      </c>
      <c r="AC36" s="2">
        <f>Table135811[[#This Row],[HDGF]]/Table14710[[#This Row],[GP]]</f>
        <v>0.69512195121951215</v>
      </c>
      <c r="AD36" s="1">
        <v>65</v>
      </c>
      <c r="AE36" s="2">
        <f>Table135811[[#This Row],[HDGA]]/Table14710[[#This Row],[GP]]</f>
        <v>0.79268292682926833</v>
      </c>
      <c r="AF36" s="1">
        <v>7.7</v>
      </c>
    </row>
    <row r="37" spans="1:32" x14ac:dyDescent="0.35">
      <c r="A37" s="4" t="s">
        <v>89</v>
      </c>
      <c r="B37" s="4">
        <v>4</v>
      </c>
      <c r="C37" s="4" t="s">
        <v>73</v>
      </c>
      <c r="D37" s="5">
        <v>1</v>
      </c>
      <c r="E37" s="5">
        <v>29.1</v>
      </c>
      <c r="F37" s="5">
        <v>82</v>
      </c>
      <c r="G37" s="5">
        <v>111</v>
      </c>
      <c r="H37" s="6">
        <f>Table14710[[#This Row],[PTS]]/Table14710[[#This Row],[GP]]</f>
        <v>1.3536585365853659</v>
      </c>
      <c r="I37" s="6">
        <v>0.67700000000000005</v>
      </c>
      <c r="J37" s="5">
        <v>267</v>
      </c>
      <c r="K37" s="7">
        <f>Table14710[[#This Row],[GF]]/Table14710[[#This Row],[GP]]</f>
        <v>3.2560975609756095</v>
      </c>
      <c r="L37" s="5">
        <v>225</v>
      </c>
      <c r="M37" s="5">
        <v>2.74</v>
      </c>
      <c r="N37" s="6">
        <f>(Table14710[[#This Row],[GF]]^2)/((Table14710[[#This Row],[GF]]^2)+(Table14710[[#This Row],[GA]]^2))</f>
        <v>0.58474826517053002</v>
      </c>
      <c r="O37" s="5">
        <v>20.29</v>
      </c>
      <c r="P37" s="5">
        <v>77.44</v>
      </c>
      <c r="Q37" s="5">
        <f>Table14710[[#This Row],[PP_PCT]]+Table14710[[#This Row],[PK_PCT]]</f>
        <v>97.72999999999999</v>
      </c>
      <c r="R37" s="7">
        <v>10.3</v>
      </c>
      <c r="S37" s="7">
        <f>Table14710[[#This Row],[GA]]/Table14710[[#This Row],[GP]]</f>
        <v>2.7439024390243905</v>
      </c>
      <c r="T37" s="6">
        <v>0.92500000000000004</v>
      </c>
      <c r="U37" s="5">
        <v>99.7</v>
      </c>
      <c r="V37" s="5">
        <v>48.9</v>
      </c>
      <c r="W37" s="5">
        <v>49.2</v>
      </c>
      <c r="X37" s="5">
        <v>176</v>
      </c>
      <c r="Y37" s="7">
        <f>Table135811[[#This Row],[XGF]]/Table14710[[#This Row],[GP]]</f>
        <v>2.1463414634146343</v>
      </c>
      <c r="Z37" s="5">
        <v>172.7</v>
      </c>
      <c r="AA37" s="7">
        <f>Table135811[[#This Row],[XGA]]/Table14710[[#This Row],[GP]]</f>
        <v>2.1060975609756096</v>
      </c>
      <c r="AB37" s="5">
        <v>67</v>
      </c>
      <c r="AC37" s="6">
        <f>Table135811[[#This Row],[HDGF]]/Table14710[[#This Row],[GP]]</f>
        <v>0.81707317073170727</v>
      </c>
      <c r="AD37" s="5">
        <v>64</v>
      </c>
      <c r="AE37" s="6">
        <f>Table135811[[#This Row],[HDGA]]/Table14710[[#This Row],[GP]]</f>
        <v>0.78048780487804881</v>
      </c>
      <c r="AF37" s="5">
        <v>7.2</v>
      </c>
    </row>
    <row r="38" spans="1:32" x14ac:dyDescent="0.35">
      <c r="A38" t="s">
        <v>89</v>
      </c>
      <c r="B38">
        <v>5</v>
      </c>
      <c r="C38" t="s">
        <v>60</v>
      </c>
      <c r="D38" s="1">
        <v>1</v>
      </c>
      <c r="E38" s="1">
        <v>28.6</v>
      </c>
      <c r="F38" s="1">
        <v>82</v>
      </c>
      <c r="G38" s="1">
        <v>111</v>
      </c>
      <c r="H38" s="2">
        <f>Table14710[[#This Row],[PTS]]/Table14710[[#This Row],[GP]]</f>
        <v>1.3536585365853659</v>
      </c>
      <c r="I38" s="2">
        <v>0.67700000000000005</v>
      </c>
      <c r="J38" s="1">
        <v>278</v>
      </c>
      <c r="K38" s="3">
        <f>Table14710[[#This Row],[GF]]/Table14710[[#This Row],[GP]]</f>
        <v>3.3902439024390243</v>
      </c>
      <c r="L38" s="1">
        <v>220</v>
      </c>
      <c r="M38" s="1">
        <v>2.68</v>
      </c>
      <c r="N38" s="2">
        <f>(Table14710[[#This Row],[GF]]^2)/((Table14710[[#This Row],[GF]]^2)+(Table14710[[#This Row],[GA]]^2))</f>
        <v>0.61490722765029759</v>
      </c>
      <c r="O38" s="1">
        <v>26.02</v>
      </c>
      <c r="P38" s="1">
        <v>81.849999999999994</v>
      </c>
      <c r="Q38" s="1">
        <f>Table14710[[#This Row],[PP_PCT]]+Table14710[[#This Row],[PK_PCT]]</f>
        <v>107.86999999999999</v>
      </c>
      <c r="R38" s="3">
        <v>10.6</v>
      </c>
      <c r="S38" s="3">
        <f>Table14710[[#This Row],[GA]]/Table14710[[#This Row],[GP]]</f>
        <v>2.6829268292682928</v>
      </c>
      <c r="T38" s="2">
        <v>0.92800000000000005</v>
      </c>
      <c r="U38" s="1">
        <v>101</v>
      </c>
      <c r="V38" s="1">
        <v>51.6</v>
      </c>
      <c r="W38" s="1">
        <v>50.7</v>
      </c>
      <c r="X38" s="1">
        <v>181.8</v>
      </c>
      <c r="Y38" s="3">
        <f>Table135811[[#This Row],[XGF]]/Table14710[[#This Row],[GP]]</f>
        <v>2.2170731707317075</v>
      </c>
      <c r="Z38" s="1">
        <v>164.6</v>
      </c>
      <c r="AA38" s="3">
        <f>Table135811[[#This Row],[XGA]]/Table14710[[#This Row],[GP]]</f>
        <v>2.0073170731707317</v>
      </c>
      <c r="AB38" s="1">
        <v>72</v>
      </c>
      <c r="AC38" s="2">
        <f>Table135811[[#This Row],[HDGF]]/Table14710[[#This Row],[GP]]</f>
        <v>0.87804878048780488</v>
      </c>
      <c r="AD38" s="1">
        <v>54</v>
      </c>
      <c r="AE38" s="2">
        <f>Table135811[[#This Row],[HDGA]]/Table14710[[#This Row],[GP]]</f>
        <v>0.65853658536585369</v>
      </c>
      <c r="AF38" s="1">
        <v>8.4</v>
      </c>
    </row>
    <row r="39" spans="1:32" x14ac:dyDescent="0.35">
      <c r="A39" t="s">
        <v>89</v>
      </c>
      <c r="B39">
        <v>6</v>
      </c>
      <c r="C39" t="s">
        <v>58</v>
      </c>
      <c r="D39" s="1">
        <v>1</v>
      </c>
      <c r="E39" s="1">
        <v>28.1</v>
      </c>
      <c r="F39" s="1">
        <v>82</v>
      </c>
      <c r="G39" s="1">
        <v>109</v>
      </c>
      <c r="H39" s="2">
        <f>Table14710[[#This Row],[PTS]]/Table14710[[#This Row],[GP]]</f>
        <v>1.3292682926829269</v>
      </c>
      <c r="I39" s="2">
        <v>0.66500000000000004</v>
      </c>
      <c r="J39" s="1">
        <v>274</v>
      </c>
      <c r="K39" s="3">
        <f>Table14710[[#This Row],[GF]]/Table14710[[#This Row],[GP]]</f>
        <v>3.3414634146341462</v>
      </c>
      <c r="L39" s="1">
        <v>223</v>
      </c>
      <c r="M39" s="1">
        <v>2.72</v>
      </c>
      <c r="N39" s="2">
        <f>(Table14710[[#This Row],[GF]]^2)/((Table14710[[#This Row],[GF]]^2)+(Table14710[[#This Row],[GA]]^2))</f>
        <v>0.60154641240334927</v>
      </c>
      <c r="O39" s="1">
        <v>24.52</v>
      </c>
      <c r="P39" s="1">
        <v>79.03</v>
      </c>
      <c r="Q39" s="1">
        <f>Table14710[[#This Row],[PP_PCT]]+Table14710[[#This Row],[PK_PCT]]</f>
        <v>103.55</v>
      </c>
      <c r="R39" s="3">
        <v>10</v>
      </c>
      <c r="S39" s="3">
        <f>Table14710[[#This Row],[GA]]/Table14710[[#This Row],[GP]]</f>
        <v>2.7195121951219514</v>
      </c>
      <c r="T39" s="2">
        <v>0.91900000000000004</v>
      </c>
      <c r="U39" s="1">
        <v>100.5</v>
      </c>
      <c r="V39" s="1">
        <v>53.7</v>
      </c>
      <c r="W39" s="1">
        <v>53.1</v>
      </c>
      <c r="X39" s="1">
        <v>182.3</v>
      </c>
      <c r="Y39" s="3">
        <f>Table135811[[#This Row],[XGF]]/Table14710[[#This Row],[GP]]</f>
        <v>2.223170731707317</v>
      </c>
      <c r="Z39" s="1">
        <v>151.5</v>
      </c>
      <c r="AA39" s="3">
        <f>Table135811[[#This Row],[XGA]]/Table14710[[#This Row],[GP]]</f>
        <v>1.8475609756097562</v>
      </c>
      <c r="AB39" s="1">
        <v>73</v>
      </c>
      <c r="AC39" s="2">
        <f>Table135811[[#This Row],[HDGF]]/Table14710[[#This Row],[GP]]</f>
        <v>0.8902439024390244</v>
      </c>
      <c r="AD39" s="1">
        <v>71</v>
      </c>
      <c r="AE39" s="2">
        <f>Table135811[[#This Row],[HDGA]]/Table14710[[#This Row],[GP]]</f>
        <v>0.86585365853658536</v>
      </c>
      <c r="AF39" s="1">
        <v>8.1999999999999993</v>
      </c>
    </row>
    <row r="40" spans="1:32" x14ac:dyDescent="0.35">
      <c r="A40" t="s">
        <v>89</v>
      </c>
      <c r="B40">
        <v>7</v>
      </c>
      <c r="C40" t="s">
        <v>67</v>
      </c>
      <c r="D40" s="1">
        <v>1</v>
      </c>
      <c r="E40" s="1">
        <v>27.9</v>
      </c>
      <c r="F40" s="1">
        <v>82</v>
      </c>
      <c r="G40" s="1">
        <v>109</v>
      </c>
      <c r="H40" s="2">
        <f>Table14710[[#This Row],[PTS]]/Table14710[[#This Row],[GP]]</f>
        <v>1.3292682926829269</v>
      </c>
      <c r="I40" s="2">
        <v>0.66500000000000004</v>
      </c>
      <c r="J40" s="1">
        <v>325</v>
      </c>
      <c r="K40" s="3">
        <f>Table14710[[#This Row],[GF]]/Table14710[[#This Row],[GP]]</f>
        <v>3.9634146341463414</v>
      </c>
      <c r="L40" s="1">
        <v>256</v>
      </c>
      <c r="M40" s="1">
        <v>3.12</v>
      </c>
      <c r="N40" s="2">
        <f>(Table14710[[#This Row],[GF]]^2)/((Table14710[[#This Row],[GF]]^2)+(Table14710[[#This Row],[GA]]^2))</f>
        <v>0.61710903768966063</v>
      </c>
      <c r="O40" s="1">
        <v>32.36</v>
      </c>
      <c r="P40" s="1">
        <v>76.98</v>
      </c>
      <c r="Q40" s="1">
        <f>Table14710[[#This Row],[PP_PCT]]+Table14710[[#This Row],[PK_PCT]]</f>
        <v>109.34</v>
      </c>
      <c r="R40" s="3">
        <v>11.8</v>
      </c>
      <c r="S40" s="3">
        <f>Table14710[[#This Row],[GA]]/Table14710[[#This Row],[GP]]</f>
        <v>3.1219512195121952</v>
      </c>
      <c r="T40" s="2">
        <v>0.92400000000000004</v>
      </c>
      <c r="U40" s="1">
        <v>101.6</v>
      </c>
      <c r="V40" s="1">
        <v>50.6</v>
      </c>
      <c r="W40" s="1">
        <v>49.1</v>
      </c>
      <c r="X40" s="1">
        <v>155.1</v>
      </c>
      <c r="Y40" s="3">
        <f>Table135811[[#This Row],[XGF]]/Table14710[[#This Row],[GP]]</f>
        <v>1.8914634146341462</v>
      </c>
      <c r="Z40" s="1">
        <v>140</v>
      </c>
      <c r="AA40" s="3">
        <f>Table135811[[#This Row],[XGA]]/Table14710[[#This Row],[GP]]</f>
        <v>1.7073170731707317</v>
      </c>
      <c r="AB40" s="1">
        <v>66</v>
      </c>
      <c r="AC40" s="2">
        <f>Table135811[[#This Row],[HDGF]]/Table14710[[#This Row],[GP]]</f>
        <v>0.80487804878048785</v>
      </c>
      <c r="AD40" s="1">
        <v>53</v>
      </c>
      <c r="AE40" s="2">
        <f>Table135811[[#This Row],[HDGA]]/Table14710[[#This Row],[GP]]</f>
        <v>0.64634146341463417</v>
      </c>
      <c r="AF40" s="1">
        <v>8.6</v>
      </c>
    </row>
    <row r="41" spans="1:32" x14ac:dyDescent="0.35">
      <c r="A41" t="s">
        <v>89</v>
      </c>
      <c r="B41">
        <v>8</v>
      </c>
      <c r="C41" t="s">
        <v>71</v>
      </c>
      <c r="D41" s="1">
        <v>1</v>
      </c>
      <c r="E41" s="1">
        <v>28.4</v>
      </c>
      <c r="F41" s="1">
        <v>82</v>
      </c>
      <c r="G41" s="1">
        <v>108</v>
      </c>
      <c r="H41" s="2">
        <f>Table14710[[#This Row],[PTS]]/Table14710[[#This Row],[GP]]</f>
        <v>1.3170731707317074</v>
      </c>
      <c r="I41" s="2">
        <v>0.65900000000000003</v>
      </c>
      <c r="J41" s="1">
        <v>281</v>
      </c>
      <c r="K41" s="3">
        <f>Table14710[[#This Row],[GF]]/Table14710[[#This Row],[GP]]</f>
        <v>3.4268292682926829</v>
      </c>
      <c r="L41" s="1">
        <v>215</v>
      </c>
      <c r="M41" s="1">
        <v>2.62</v>
      </c>
      <c r="N41" s="2">
        <f>(Table14710[[#This Row],[GF]]^2)/((Table14710[[#This Row],[GF]]^2)+(Table14710[[#This Row],[GA]]^2))</f>
        <v>0.63074944482609874</v>
      </c>
      <c r="O41" s="1">
        <v>25</v>
      </c>
      <c r="P41" s="1">
        <v>83.47</v>
      </c>
      <c r="Q41" s="1">
        <f>Table14710[[#This Row],[PP_PCT]]+Table14710[[#This Row],[PK_PCT]]</f>
        <v>108.47</v>
      </c>
      <c r="R41" s="3">
        <v>10.7</v>
      </c>
      <c r="S41" s="3">
        <f>Table14710[[#This Row],[GA]]/Table14710[[#This Row],[GP]]</f>
        <v>2.6219512195121952</v>
      </c>
      <c r="T41" s="2">
        <v>0.91400000000000003</v>
      </c>
      <c r="U41" s="1">
        <v>99.4</v>
      </c>
      <c r="V41" s="1">
        <v>46</v>
      </c>
      <c r="W41" s="1">
        <v>45.3</v>
      </c>
      <c r="X41" s="1">
        <v>173.4</v>
      </c>
      <c r="Y41" s="3">
        <f>Table135811[[#This Row],[XGF]]/Table14710[[#This Row],[GP]]</f>
        <v>2.1146341463414635</v>
      </c>
      <c r="Z41" s="1">
        <v>206.7</v>
      </c>
      <c r="AA41" s="3">
        <f>Table135811[[#This Row],[XGA]]/Table14710[[#This Row],[GP]]</f>
        <v>2.520731707317073</v>
      </c>
      <c r="AB41" s="1">
        <v>65</v>
      </c>
      <c r="AC41" s="2">
        <f>Table135811[[#This Row],[HDGF]]/Table14710[[#This Row],[GP]]</f>
        <v>0.79268292682926833</v>
      </c>
      <c r="AD41" s="1">
        <v>79</v>
      </c>
      <c r="AE41" s="2">
        <f>Table135811[[#This Row],[HDGA]]/Table14710[[#This Row],[GP]]</f>
        <v>0.96341463414634143</v>
      </c>
      <c r="AF41" s="1">
        <v>7.8</v>
      </c>
    </row>
    <row r="42" spans="1:32" x14ac:dyDescent="0.35">
      <c r="A42" t="s">
        <v>89</v>
      </c>
      <c r="B42">
        <v>9</v>
      </c>
      <c r="C42" t="s">
        <v>64</v>
      </c>
      <c r="D42" s="1">
        <v>1</v>
      </c>
      <c r="E42" s="1">
        <v>27.7</v>
      </c>
      <c r="F42" s="1">
        <v>82</v>
      </c>
      <c r="G42" s="1">
        <v>107</v>
      </c>
      <c r="H42" s="2">
        <f>Table14710[[#This Row],[PTS]]/Table14710[[#This Row],[GP]]</f>
        <v>1.3048780487804879</v>
      </c>
      <c r="I42" s="2">
        <v>0.65200000000000002</v>
      </c>
      <c r="J42" s="1">
        <v>273</v>
      </c>
      <c r="K42" s="3">
        <f>Table14710[[#This Row],[GF]]/Table14710[[#This Row],[GP]]</f>
        <v>3.3292682926829267</v>
      </c>
      <c r="L42" s="1">
        <v>216</v>
      </c>
      <c r="M42" s="1">
        <v>2.63</v>
      </c>
      <c r="N42" s="2">
        <f>(Table14710[[#This Row],[GF]]^2)/((Table14710[[#This Row],[GF]]^2)+(Table14710[[#This Row],[GA]]^2))</f>
        <v>0.61500185666542884</v>
      </c>
      <c r="O42" s="1">
        <v>24.08</v>
      </c>
      <c r="P42" s="1">
        <v>81.17</v>
      </c>
      <c r="Q42" s="1">
        <f>Table14710[[#This Row],[PP_PCT]]+Table14710[[#This Row],[PK_PCT]]</f>
        <v>105.25</v>
      </c>
      <c r="R42" s="3">
        <v>10.6</v>
      </c>
      <c r="S42" s="3">
        <f>Table14710[[#This Row],[GA]]/Table14710[[#This Row],[GP]]</f>
        <v>2.6341463414634148</v>
      </c>
      <c r="T42" s="2">
        <v>0.91300000000000003</v>
      </c>
      <c r="U42" s="1">
        <v>99.1</v>
      </c>
      <c r="V42" s="1">
        <v>46.1</v>
      </c>
      <c r="W42" s="1">
        <v>46.6</v>
      </c>
      <c r="X42" s="1">
        <v>154</v>
      </c>
      <c r="Y42" s="3">
        <f>Table135811[[#This Row],[XGF]]/Table14710[[#This Row],[GP]]</f>
        <v>1.8780487804878048</v>
      </c>
      <c r="Z42" s="1">
        <v>163.4</v>
      </c>
      <c r="AA42" s="3">
        <f>Table135811[[#This Row],[XGA]]/Table14710[[#This Row],[GP]]</f>
        <v>1.9926829268292683</v>
      </c>
      <c r="AB42" s="1">
        <v>51</v>
      </c>
      <c r="AC42" s="2">
        <f>Table135811[[#This Row],[HDGF]]/Table14710[[#This Row],[GP]]</f>
        <v>0.62195121951219512</v>
      </c>
      <c r="AD42" s="1">
        <v>73</v>
      </c>
      <c r="AE42" s="2">
        <f>Table135811[[#This Row],[HDGA]]/Table14710[[#This Row],[GP]]</f>
        <v>0.8902439024390244</v>
      </c>
      <c r="AF42" s="1">
        <v>7.6</v>
      </c>
    </row>
    <row r="43" spans="1:32" x14ac:dyDescent="0.35">
      <c r="A43" t="s">
        <v>89</v>
      </c>
      <c r="B43">
        <v>10</v>
      </c>
      <c r="C43" t="s">
        <v>70</v>
      </c>
      <c r="D43" s="1">
        <v>1</v>
      </c>
      <c r="E43" s="1">
        <v>28.7</v>
      </c>
      <c r="F43" s="1">
        <v>82</v>
      </c>
      <c r="G43" s="1">
        <v>104</v>
      </c>
      <c r="H43" s="2">
        <f>Table14710[[#This Row],[PTS]]/Table14710[[#This Row],[GP]]</f>
        <v>1.2682926829268293</v>
      </c>
      <c r="I43" s="2">
        <v>0.63400000000000001</v>
      </c>
      <c r="J43" s="1">
        <v>274</v>
      </c>
      <c r="K43" s="3">
        <f>Table14710[[#This Row],[GF]]/Table14710[[#This Row],[GP]]</f>
        <v>3.3414634146341462</v>
      </c>
      <c r="L43" s="1">
        <v>254</v>
      </c>
      <c r="M43" s="1">
        <v>3.1</v>
      </c>
      <c r="N43" s="2">
        <f>(Table14710[[#This Row],[GF]]^2)/((Table14710[[#This Row],[GF]]^2)+(Table14710[[#This Row],[GA]]^2))</f>
        <v>0.53782451716430746</v>
      </c>
      <c r="O43" s="1">
        <v>25.28</v>
      </c>
      <c r="P43" s="1">
        <v>75.84</v>
      </c>
      <c r="Q43" s="1">
        <f>Table14710[[#This Row],[PP_PCT]]+Table14710[[#This Row],[PK_PCT]]</f>
        <v>101.12</v>
      </c>
      <c r="R43" s="3">
        <v>10.3</v>
      </c>
      <c r="S43" s="3">
        <f>Table14710[[#This Row],[GA]]/Table14710[[#This Row],[GP]]</f>
        <v>3.0975609756097562</v>
      </c>
      <c r="T43" s="2">
        <v>0.91500000000000004</v>
      </c>
      <c r="U43" s="1">
        <v>100.7</v>
      </c>
      <c r="V43" s="1">
        <v>46.5</v>
      </c>
      <c r="W43" s="1">
        <v>45.9</v>
      </c>
      <c r="X43" s="1">
        <v>150.6</v>
      </c>
      <c r="Y43" s="3">
        <f>Table135811[[#This Row],[XGF]]/Table14710[[#This Row],[GP]]</f>
        <v>1.8365853658536584</v>
      </c>
      <c r="Z43" s="1">
        <v>177</v>
      </c>
      <c r="AA43" s="3">
        <f>Table135811[[#This Row],[XGA]]/Table14710[[#This Row],[GP]]</f>
        <v>2.1585365853658538</v>
      </c>
      <c r="AB43" s="1">
        <v>71</v>
      </c>
      <c r="AC43" s="2">
        <f>Table135811[[#This Row],[HDGF]]/Table14710[[#This Row],[GP]]</f>
        <v>0.86585365853658536</v>
      </c>
      <c r="AD43" s="1">
        <v>74</v>
      </c>
      <c r="AE43" s="2">
        <f>Table135811[[#This Row],[HDGA]]/Table14710[[#This Row],[GP]]</f>
        <v>0.90243902439024393</v>
      </c>
      <c r="AF43" s="1">
        <v>8.6</v>
      </c>
    </row>
    <row r="44" spans="1:32" x14ac:dyDescent="0.35">
      <c r="A44" t="s">
        <v>89</v>
      </c>
      <c r="B44">
        <v>11</v>
      </c>
      <c r="C44" t="s">
        <v>61</v>
      </c>
      <c r="D44" s="1">
        <v>1</v>
      </c>
      <c r="E44" s="1">
        <v>29.3</v>
      </c>
      <c r="F44" s="1">
        <v>82</v>
      </c>
      <c r="G44" s="1">
        <v>103</v>
      </c>
      <c r="H44" s="2">
        <f>Table14710[[#This Row],[PTS]]/Table14710[[#This Row],[GP]]</f>
        <v>1.2560975609756098</v>
      </c>
      <c r="I44" s="2">
        <v>0.628</v>
      </c>
      <c r="J44" s="1">
        <v>239</v>
      </c>
      <c r="K44" s="3">
        <f>Table14710[[#This Row],[GF]]/Table14710[[#This Row],[GP]]</f>
        <v>2.9146341463414633</v>
      </c>
      <c r="L44" s="1">
        <v>219</v>
      </c>
      <c r="M44" s="1">
        <v>2.67</v>
      </c>
      <c r="N44" s="2">
        <f>(Table14710[[#This Row],[GF]]^2)/((Table14710[[#This Row],[GF]]^2)+(Table14710[[#This Row],[GA]]^2))</f>
        <v>0.54358500980186897</v>
      </c>
      <c r="O44" s="1">
        <v>21.43</v>
      </c>
      <c r="P44" s="1">
        <v>82.03</v>
      </c>
      <c r="Q44" s="1">
        <f>Table14710[[#This Row],[PP_PCT]]+Table14710[[#This Row],[PK_PCT]]</f>
        <v>103.46000000000001</v>
      </c>
      <c r="R44" s="3">
        <v>9.4</v>
      </c>
      <c r="S44" s="3">
        <f>Table14710[[#This Row],[GA]]/Table14710[[#This Row],[GP]]</f>
        <v>2.6707317073170733</v>
      </c>
      <c r="T44" s="2">
        <v>0.92</v>
      </c>
      <c r="U44" s="1">
        <v>99.4</v>
      </c>
      <c r="V44" s="1">
        <v>48.6</v>
      </c>
      <c r="W44" s="1">
        <v>47.7</v>
      </c>
      <c r="X44" s="1">
        <v>140.5</v>
      </c>
      <c r="Y44" s="3">
        <f>Table135811[[#This Row],[XGF]]/Table14710[[#This Row],[GP]]</f>
        <v>1.7134146341463414</v>
      </c>
      <c r="Z44" s="1">
        <v>146.1</v>
      </c>
      <c r="AA44" s="3">
        <f>Table135811[[#This Row],[XGA]]/Table14710[[#This Row],[GP]]</f>
        <v>1.7817073170731708</v>
      </c>
      <c r="AB44" s="1">
        <v>41</v>
      </c>
      <c r="AC44" s="2">
        <f>Table135811[[#This Row],[HDGF]]/Table14710[[#This Row],[GP]]</f>
        <v>0.5</v>
      </c>
      <c r="AD44" s="1">
        <v>39</v>
      </c>
      <c r="AE44" s="2">
        <f>Table135811[[#This Row],[HDGA]]/Table14710[[#This Row],[GP]]</f>
        <v>0.47560975609756095</v>
      </c>
      <c r="AF44" s="1">
        <v>11.3</v>
      </c>
    </row>
    <row r="45" spans="1:32" x14ac:dyDescent="0.35">
      <c r="A45" t="s">
        <v>89</v>
      </c>
      <c r="B45">
        <v>12</v>
      </c>
      <c r="C45" t="s">
        <v>86</v>
      </c>
      <c r="D45" s="1">
        <v>1</v>
      </c>
      <c r="E45" s="1">
        <v>29</v>
      </c>
      <c r="F45" s="1">
        <v>82</v>
      </c>
      <c r="G45" s="1">
        <v>100</v>
      </c>
      <c r="H45" s="2">
        <f>Table14710[[#This Row],[PTS]]/Table14710[[#This Row],[GP]]</f>
        <v>1.2195121951219512</v>
      </c>
      <c r="I45" s="2">
        <v>0.61</v>
      </c>
      <c r="J45" s="1">
        <v>289</v>
      </c>
      <c r="K45" s="3">
        <f>Table14710[[#This Row],[GF]]/Table14710[[#This Row],[GP]]</f>
        <v>3.524390243902439</v>
      </c>
      <c r="L45" s="1">
        <v>252</v>
      </c>
      <c r="M45" s="1">
        <v>3.07</v>
      </c>
      <c r="N45" s="2">
        <f>(Table14710[[#This Row],[GF]]^2)/((Table14710[[#This Row],[GF]]^2)+(Table14710[[#This Row],[GA]]^2))</f>
        <v>0.56807345689508582</v>
      </c>
      <c r="O45" s="1">
        <v>19.75</v>
      </c>
      <c r="P45" s="1">
        <v>76.69</v>
      </c>
      <c r="Q45" s="1">
        <f>Table14710[[#This Row],[PP_PCT]]+Table14710[[#This Row],[PK_PCT]]</f>
        <v>96.44</v>
      </c>
      <c r="R45" s="3">
        <v>11.6</v>
      </c>
      <c r="S45" s="3">
        <f>Table14710[[#This Row],[GA]]/Table14710[[#This Row],[GP]]</f>
        <v>3.0731707317073171</v>
      </c>
      <c r="T45" s="2">
        <v>0.92100000000000004</v>
      </c>
      <c r="U45" s="1">
        <v>99.9</v>
      </c>
      <c r="V45" s="1">
        <v>52.5</v>
      </c>
      <c r="W45" s="1">
        <v>51.6</v>
      </c>
      <c r="X45" s="1">
        <v>192.1</v>
      </c>
      <c r="Y45" s="3">
        <f>Table135811[[#This Row],[XGF]]/Table14710[[#This Row],[GP]]</f>
        <v>2.3426829268292684</v>
      </c>
      <c r="Z45" s="1">
        <v>182.9</v>
      </c>
      <c r="AA45" s="3">
        <f>Table135811[[#This Row],[XGA]]/Table14710[[#This Row],[GP]]</f>
        <v>2.2304878048780488</v>
      </c>
      <c r="AB45" s="1">
        <v>86</v>
      </c>
      <c r="AC45" s="2">
        <f>Table135811[[#This Row],[HDGF]]/Table14710[[#This Row],[GP]]</f>
        <v>1.0487804878048781</v>
      </c>
      <c r="AD45" s="1">
        <v>67</v>
      </c>
      <c r="AE45" s="2">
        <f>Table135811[[#This Row],[HDGA]]/Table14710[[#This Row],[GP]]</f>
        <v>0.81707317073170727</v>
      </c>
      <c r="AF45" s="1">
        <v>8.5</v>
      </c>
    </row>
    <row r="46" spans="1:32" x14ac:dyDescent="0.35">
      <c r="A46" t="s">
        <v>89</v>
      </c>
      <c r="B46">
        <v>13</v>
      </c>
      <c r="C46" t="s">
        <v>63</v>
      </c>
      <c r="D46" s="1">
        <v>1</v>
      </c>
      <c r="E46" s="1">
        <v>29.9</v>
      </c>
      <c r="F46" s="1">
        <v>82</v>
      </c>
      <c r="G46" s="1">
        <v>98</v>
      </c>
      <c r="H46" s="2">
        <f>Table14710[[#This Row],[PTS]]/Table14710[[#This Row],[GP]]</f>
        <v>1.1951219512195121</v>
      </c>
      <c r="I46" s="2">
        <v>0.59799999999999998</v>
      </c>
      <c r="J46" s="1">
        <v>280</v>
      </c>
      <c r="K46" s="3">
        <f>Table14710[[#This Row],[GF]]/Table14710[[#This Row],[GP]]</f>
        <v>3.4146341463414633</v>
      </c>
      <c r="L46" s="1">
        <v>252</v>
      </c>
      <c r="M46" s="1">
        <v>3.07</v>
      </c>
      <c r="N46" s="2">
        <f>(Table14710[[#This Row],[GF]]^2)/((Table14710[[#This Row],[GF]]^2)+(Table14710[[#This Row],[GA]]^2))</f>
        <v>0.5524861878453039</v>
      </c>
      <c r="O46" s="1">
        <v>25.36</v>
      </c>
      <c r="P46" s="1">
        <v>79.69</v>
      </c>
      <c r="Q46" s="1">
        <f>Table14710[[#This Row],[PP_PCT]]+Table14710[[#This Row],[PK_PCT]]</f>
        <v>105.05</v>
      </c>
      <c r="R46" s="3">
        <v>10.7</v>
      </c>
      <c r="S46" s="3">
        <f>Table14710[[#This Row],[GA]]/Table14710[[#This Row],[GP]]</f>
        <v>3.0731707317073171</v>
      </c>
      <c r="T46" s="2">
        <v>0.92</v>
      </c>
      <c r="U46" s="1">
        <v>100.5</v>
      </c>
      <c r="V46" s="1">
        <v>52.2</v>
      </c>
      <c r="W46" s="1">
        <v>51.6</v>
      </c>
      <c r="X46" s="1">
        <v>203.1</v>
      </c>
      <c r="Y46" s="3">
        <f>Table135811[[#This Row],[XGF]]/Table14710[[#This Row],[GP]]</f>
        <v>2.4768292682926827</v>
      </c>
      <c r="Z46" s="1">
        <v>174</v>
      </c>
      <c r="AA46" s="3">
        <f>Table135811[[#This Row],[XGA]]/Table14710[[#This Row],[GP]]</f>
        <v>2.1219512195121952</v>
      </c>
      <c r="AB46" s="1">
        <v>70</v>
      </c>
      <c r="AC46" s="2">
        <f>Table135811[[#This Row],[HDGF]]/Table14710[[#This Row],[GP]]</f>
        <v>0.85365853658536583</v>
      </c>
      <c r="AD46" s="1">
        <v>71</v>
      </c>
      <c r="AE46" s="2">
        <f>Table135811[[#This Row],[HDGA]]/Table14710[[#This Row],[GP]]</f>
        <v>0.86585365853658536</v>
      </c>
      <c r="AF46" s="1">
        <v>12.1</v>
      </c>
    </row>
    <row r="47" spans="1:32" x14ac:dyDescent="0.35">
      <c r="A47" t="s">
        <v>89</v>
      </c>
      <c r="B47">
        <v>14</v>
      </c>
      <c r="C47" t="s">
        <v>75</v>
      </c>
      <c r="D47" s="1">
        <v>1</v>
      </c>
      <c r="E47" s="1">
        <v>28.7</v>
      </c>
      <c r="F47" s="1">
        <v>82</v>
      </c>
      <c r="G47" s="1">
        <v>95</v>
      </c>
      <c r="H47" s="2">
        <f>Table14710[[#This Row],[PTS]]/Table14710[[#This Row],[GP]]</f>
        <v>1.1585365853658536</v>
      </c>
      <c r="I47" s="2">
        <v>0.57899999999999996</v>
      </c>
      <c r="J47" s="1">
        <v>246</v>
      </c>
      <c r="K47" s="3">
        <f>Table14710[[#This Row],[GF]]/Table14710[[#This Row],[GP]]</f>
        <v>3</v>
      </c>
      <c r="L47" s="1">
        <v>224</v>
      </c>
      <c r="M47" s="1">
        <v>2.73</v>
      </c>
      <c r="N47" s="2">
        <f>(Table14710[[#This Row],[GF]]^2)/((Table14710[[#This Row],[GF]]^2)+(Table14710[[#This Row],[GA]]^2))</f>
        <v>0.54670617569472046</v>
      </c>
      <c r="O47" s="1">
        <v>19.260000000000002</v>
      </c>
      <c r="P47" s="1">
        <v>82.43</v>
      </c>
      <c r="Q47" s="1">
        <f>Table14710[[#This Row],[PP_PCT]]+Table14710[[#This Row],[PK_PCT]]</f>
        <v>101.69000000000001</v>
      </c>
      <c r="R47" s="3">
        <v>9.9</v>
      </c>
      <c r="S47" s="3">
        <f>Table14710[[#This Row],[GA]]/Table14710[[#This Row],[GP]]</f>
        <v>2.7317073170731709</v>
      </c>
      <c r="T47" s="2">
        <v>0.92100000000000004</v>
      </c>
      <c r="U47" s="1">
        <v>100.2</v>
      </c>
      <c r="V47" s="1">
        <v>55.6</v>
      </c>
      <c r="W47" s="1">
        <v>54.8</v>
      </c>
      <c r="X47" s="1">
        <v>209</v>
      </c>
      <c r="Y47" s="3">
        <f>Table135811[[#This Row],[XGF]]/Table14710[[#This Row],[GP]]</f>
        <v>2.5487804878048781</v>
      </c>
      <c r="Z47" s="1">
        <v>158.69999999999999</v>
      </c>
      <c r="AA47" s="3">
        <f>Table135811[[#This Row],[XGA]]/Table14710[[#This Row],[GP]]</f>
        <v>1.9353658536585365</v>
      </c>
      <c r="AB47" s="1">
        <v>93</v>
      </c>
      <c r="AC47" s="2">
        <f>Table135811[[#This Row],[HDGF]]/Table14710[[#This Row],[GP]]</f>
        <v>1.1341463414634145</v>
      </c>
      <c r="AD47" s="1">
        <v>61</v>
      </c>
      <c r="AE47" s="2">
        <f>Table135811[[#This Row],[HDGA]]/Table14710[[#This Row],[GP]]</f>
        <v>0.74390243902439024</v>
      </c>
      <c r="AF47" s="1">
        <v>8.5</v>
      </c>
    </row>
    <row r="48" spans="1:32" x14ac:dyDescent="0.35">
      <c r="A48" t="s">
        <v>89</v>
      </c>
      <c r="B48">
        <v>15</v>
      </c>
      <c r="C48" t="s">
        <v>62</v>
      </c>
      <c r="D48" s="1">
        <v>0</v>
      </c>
      <c r="E48" s="1">
        <v>29.8</v>
      </c>
      <c r="F48" s="1">
        <v>82</v>
      </c>
      <c r="G48" s="1">
        <v>93</v>
      </c>
      <c r="H48" s="2">
        <f>Table14710[[#This Row],[PTS]]/Table14710[[#This Row],[GP]]</f>
        <v>1.1341463414634145</v>
      </c>
      <c r="I48" s="2">
        <v>0.56699999999999995</v>
      </c>
      <c r="J48" s="1">
        <v>258</v>
      </c>
      <c r="K48" s="3">
        <f>Table14710[[#This Row],[GF]]/Table14710[[#This Row],[GP]]</f>
        <v>3.1463414634146343</v>
      </c>
      <c r="L48" s="1">
        <v>247</v>
      </c>
      <c r="M48" s="1">
        <v>3.01</v>
      </c>
      <c r="N48" s="2">
        <f>(Table14710[[#This Row],[GF]]^2)/((Table14710[[#This Row],[GF]]^2)+(Table14710[[#This Row],[GA]]^2))</f>
        <v>0.52177184827510525</v>
      </c>
      <c r="O48" s="1">
        <v>19.84</v>
      </c>
      <c r="P48" s="1">
        <v>82.59</v>
      </c>
      <c r="Q48" s="1">
        <f>Table14710[[#This Row],[PP_PCT]]+Table14710[[#This Row],[PK_PCT]]</f>
        <v>102.43</v>
      </c>
      <c r="R48" s="3">
        <v>8.8000000000000007</v>
      </c>
      <c r="S48" s="3">
        <f>Table14710[[#This Row],[GA]]/Table14710[[#This Row],[GP]]</f>
        <v>3.0121951219512195</v>
      </c>
      <c r="T48" s="2">
        <v>0.91100000000000003</v>
      </c>
      <c r="U48" s="1">
        <v>98.6</v>
      </c>
      <c r="V48" s="1">
        <v>54.5</v>
      </c>
      <c r="W48" s="1">
        <v>54.1</v>
      </c>
      <c r="X48" s="1">
        <v>174.2</v>
      </c>
      <c r="Y48" s="3">
        <f>Table135811[[#This Row],[XGF]]/Table14710[[#This Row],[GP]]</f>
        <v>2.1243902439024387</v>
      </c>
      <c r="Z48" s="1">
        <v>146.19999999999999</v>
      </c>
      <c r="AA48" s="3">
        <f>Table135811[[#This Row],[XGA]]/Table14710[[#This Row],[GP]]</f>
        <v>1.7829268292682925</v>
      </c>
      <c r="AB48" s="1">
        <v>64</v>
      </c>
      <c r="AC48" s="2">
        <f>Table135811[[#This Row],[HDGF]]/Table14710[[#This Row],[GP]]</f>
        <v>0.78048780487804881</v>
      </c>
      <c r="AD48" s="1">
        <v>56</v>
      </c>
      <c r="AE48" s="2">
        <f>Table135811[[#This Row],[HDGA]]/Table14710[[#This Row],[GP]]</f>
        <v>0.68292682926829273</v>
      </c>
      <c r="AF48" s="1">
        <v>9.1999999999999993</v>
      </c>
    </row>
    <row r="49" spans="1:32" x14ac:dyDescent="0.35">
      <c r="A49" t="s">
        <v>89</v>
      </c>
      <c r="B49">
        <v>16</v>
      </c>
      <c r="C49" t="s">
        <v>76</v>
      </c>
      <c r="D49" s="1">
        <v>1</v>
      </c>
      <c r="E49" s="1">
        <v>29.3</v>
      </c>
      <c r="F49" s="1">
        <v>82</v>
      </c>
      <c r="G49" s="1">
        <v>93</v>
      </c>
      <c r="H49" s="2">
        <f>Table14710[[#This Row],[PTS]]/Table14710[[#This Row],[GP]]</f>
        <v>1.1341463414634145</v>
      </c>
      <c r="I49" s="2">
        <v>0.56699999999999995</v>
      </c>
      <c r="J49" s="1">
        <v>242</v>
      </c>
      <c r="K49" s="3">
        <f>Table14710[[#This Row],[GF]]/Table14710[[#This Row],[GP]]</f>
        <v>2.9512195121951219</v>
      </c>
      <c r="L49" s="1">
        <v>217</v>
      </c>
      <c r="M49" s="1">
        <v>2.65</v>
      </c>
      <c r="N49" s="2">
        <f>(Table14710[[#This Row],[GF]]^2)/((Table14710[[#This Row],[GF]]^2)+(Table14710[[#This Row],[GA]]^2))</f>
        <v>0.55430513094753575</v>
      </c>
      <c r="O49" s="1">
        <v>15.77</v>
      </c>
      <c r="P49" s="1">
        <v>82.19</v>
      </c>
      <c r="Q49" s="1">
        <f>Table14710[[#This Row],[PP_PCT]]+Table14710[[#This Row],[PK_PCT]]</f>
        <v>97.96</v>
      </c>
      <c r="R49" s="3">
        <v>9.6</v>
      </c>
      <c r="S49" s="3">
        <f>Table14710[[#This Row],[GA]]/Table14710[[#This Row],[GP]]</f>
        <v>2.6463414634146343</v>
      </c>
      <c r="T49" s="2">
        <v>0.91900000000000004</v>
      </c>
      <c r="U49" s="1">
        <v>100.4</v>
      </c>
      <c r="V49" s="1">
        <v>56.6</v>
      </c>
      <c r="W49" s="1">
        <v>56.3</v>
      </c>
      <c r="X49" s="1">
        <v>231.9</v>
      </c>
      <c r="Y49" s="3">
        <f>Table135811[[#This Row],[XGF]]/Table14710[[#This Row],[GP]]</f>
        <v>2.8280487804878049</v>
      </c>
      <c r="Z49" s="1">
        <v>171.7</v>
      </c>
      <c r="AA49" s="3">
        <f>Table135811[[#This Row],[XGA]]/Table14710[[#This Row],[GP]]</f>
        <v>2.0939024390243901</v>
      </c>
      <c r="AB49" s="1">
        <v>90</v>
      </c>
      <c r="AC49" s="2">
        <f>Table135811[[#This Row],[HDGF]]/Table14710[[#This Row],[GP]]</f>
        <v>1.0975609756097562</v>
      </c>
      <c r="AD49" s="1">
        <v>64</v>
      </c>
      <c r="AE49" s="2">
        <f>Table135811[[#This Row],[HDGA]]/Table14710[[#This Row],[GP]]</f>
        <v>0.78048780487804881</v>
      </c>
      <c r="AF49" s="1">
        <v>8</v>
      </c>
    </row>
    <row r="50" spans="1:32" x14ac:dyDescent="0.35">
      <c r="A50" t="s">
        <v>89</v>
      </c>
      <c r="B50">
        <v>17</v>
      </c>
      <c r="C50" t="s">
        <v>57</v>
      </c>
      <c r="D50" s="1">
        <v>1</v>
      </c>
      <c r="E50" s="1">
        <v>28.7</v>
      </c>
      <c r="F50" s="1">
        <v>82</v>
      </c>
      <c r="G50" s="1">
        <v>92</v>
      </c>
      <c r="H50" s="2">
        <f>Table14710[[#This Row],[PTS]]/Table14710[[#This Row],[GP]]</f>
        <v>1.1219512195121952</v>
      </c>
      <c r="I50" s="2">
        <v>0.56100000000000005</v>
      </c>
      <c r="J50" s="1">
        <v>288</v>
      </c>
      <c r="K50" s="3">
        <f>Table14710[[#This Row],[GF]]/Table14710[[#This Row],[GP]]</f>
        <v>3.5121951219512195</v>
      </c>
      <c r="L50" s="1">
        <v>272</v>
      </c>
      <c r="M50" s="1">
        <v>3.32</v>
      </c>
      <c r="N50" s="2">
        <f>(Table14710[[#This Row],[GF]]^2)/((Table14710[[#This Row],[GF]]^2)+(Table14710[[#This Row],[GA]]^2))</f>
        <v>0.52854812398042417</v>
      </c>
      <c r="O50" s="1">
        <v>22.83</v>
      </c>
      <c r="P50" s="1">
        <v>75.95</v>
      </c>
      <c r="Q50" s="1">
        <f>Table14710[[#This Row],[PP_PCT]]+Table14710[[#This Row],[PK_PCT]]</f>
        <v>98.78</v>
      </c>
      <c r="R50" s="3">
        <v>9.5</v>
      </c>
      <c r="S50" s="3">
        <f>Table14710[[#This Row],[GA]]/Table14710[[#This Row],[GP]]</f>
        <v>3.3170731707317072</v>
      </c>
      <c r="T50" s="2">
        <v>0.92200000000000004</v>
      </c>
      <c r="U50" s="1">
        <v>100.2</v>
      </c>
      <c r="V50" s="1">
        <v>54.3</v>
      </c>
      <c r="W50" s="1">
        <v>53.5</v>
      </c>
      <c r="X50" s="1">
        <v>210.5</v>
      </c>
      <c r="Y50" s="3">
        <f>Table135811[[#This Row],[XGF]]/Table14710[[#This Row],[GP]]</f>
        <v>2.5670731707317072</v>
      </c>
      <c r="Z50" s="1">
        <v>184.9</v>
      </c>
      <c r="AA50" s="3">
        <f>Table135811[[#This Row],[XGA]]/Table14710[[#This Row],[GP]]</f>
        <v>2.2548780487804878</v>
      </c>
      <c r="AB50" s="1">
        <v>73</v>
      </c>
      <c r="AC50" s="2">
        <f>Table135811[[#This Row],[HDGF]]/Table14710[[#This Row],[GP]]</f>
        <v>0.8902439024390244</v>
      </c>
      <c r="AD50" s="1">
        <v>59</v>
      </c>
      <c r="AE50" s="2">
        <f>Table135811[[#This Row],[HDGA]]/Table14710[[#This Row],[GP]]</f>
        <v>0.71951219512195119</v>
      </c>
      <c r="AF50" s="1">
        <v>12.2</v>
      </c>
    </row>
    <row r="51" spans="1:32" x14ac:dyDescent="0.35">
      <c r="A51" t="s">
        <v>89</v>
      </c>
      <c r="B51">
        <v>18</v>
      </c>
      <c r="C51" t="s">
        <v>72</v>
      </c>
      <c r="D51" s="1">
        <v>0</v>
      </c>
      <c r="E51" s="1">
        <v>28.3</v>
      </c>
      <c r="F51" s="1">
        <v>82</v>
      </c>
      <c r="G51" s="1">
        <v>92</v>
      </c>
      <c r="H51" s="2">
        <f>Table14710[[#This Row],[PTS]]/Table14710[[#This Row],[GP]]</f>
        <v>1.1219512195121952</v>
      </c>
      <c r="I51" s="2">
        <v>0.56100000000000005</v>
      </c>
      <c r="J51" s="1">
        <v>223</v>
      </c>
      <c r="K51" s="3">
        <f>Table14710[[#This Row],[GF]]/Table14710[[#This Row],[GP]]</f>
        <v>2.7195121951219514</v>
      </c>
      <c r="L51" s="1">
        <v>236</v>
      </c>
      <c r="M51" s="1">
        <v>2.88</v>
      </c>
      <c r="N51" s="2">
        <f>(Table14710[[#This Row],[GF]]^2)/((Table14710[[#This Row],[GF]]^2)+(Table14710[[#This Row],[GA]]^2))</f>
        <v>0.47170026084894473</v>
      </c>
      <c r="O51" s="1">
        <v>17.600000000000001</v>
      </c>
      <c r="P51" s="1">
        <v>82.55</v>
      </c>
      <c r="Q51" s="1">
        <f>Table14710[[#This Row],[PP_PCT]]+Table14710[[#This Row],[PK_PCT]]</f>
        <v>100.15</v>
      </c>
      <c r="R51" s="3">
        <v>9.1999999999999993</v>
      </c>
      <c r="S51" s="3">
        <f>Table14710[[#This Row],[GA]]/Table14710[[#This Row],[GP]]</f>
        <v>2.8780487804878048</v>
      </c>
      <c r="T51" s="2">
        <v>0.93500000000000005</v>
      </c>
      <c r="U51" s="1">
        <v>100.6</v>
      </c>
      <c r="V51" s="1">
        <v>56.2</v>
      </c>
      <c r="W51" s="1">
        <v>53.8</v>
      </c>
      <c r="X51" s="1">
        <v>166.2</v>
      </c>
      <c r="Y51" s="3">
        <f>Table135811[[#This Row],[XGF]]/Table14710[[#This Row],[GP]]</f>
        <v>2.026829268292683</v>
      </c>
      <c r="Z51" s="1">
        <v>144.80000000000001</v>
      </c>
      <c r="AA51" s="3">
        <f>Table135811[[#This Row],[XGA]]/Table14710[[#This Row],[GP]]</f>
        <v>1.7658536585365856</v>
      </c>
      <c r="AB51" s="1">
        <v>51</v>
      </c>
      <c r="AC51" s="2">
        <f>Table135811[[#This Row],[HDGF]]/Table14710[[#This Row],[GP]]</f>
        <v>0.62195121951219512</v>
      </c>
      <c r="AD51" s="1">
        <v>57</v>
      </c>
      <c r="AE51" s="2">
        <f>Table135811[[#This Row],[HDGA]]/Table14710[[#This Row],[GP]]</f>
        <v>0.69512195121951215</v>
      </c>
      <c r="AF51" s="1">
        <v>9.6</v>
      </c>
    </row>
    <row r="52" spans="1:32" x14ac:dyDescent="0.35">
      <c r="A52" t="s">
        <v>89</v>
      </c>
      <c r="B52">
        <v>19</v>
      </c>
      <c r="C52" t="s">
        <v>80</v>
      </c>
      <c r="D52" s="1">
        <v>0</v>
      </c>
      <c r="E52" s="1">
        <v>26.1</v>
      </c>
      <c r="F52" s="1">
        <v>82</v>
      </c>
      <c r="G52" s="1">
        <v>91</v>
      </c>
      <c r="H52" s="2">
        <f>Table14710[[#This Row],[PTS]]/Table14710[[#This Row],[GP]]</f>
        <v>1.1097560975609757</v>
      </c>
      <c r="I52" s="2">
        <v>0.55500000000000005</v>
      </c>
      <c r="J52" s="1">
        <v>293</v>
      </c>
      <c r="K52" s="3">
        <f>Table14710[[#This Row],[GF]]/Table14710[[#This Row],[GP]]</f>
        <v>3.5731707317073171</v>
      </c>
      <c r="L52" s="1">
        <v>297</v>
      </c>
      <c r="M52" s="1">
        <v>3.62</v>
      </c>
      <c r="N52" s="2">
        <f>(Table14710[[#This Row],[GF]]^2)/((Table14710[[#This Row],[GF]]^2)+(Table14710[[#This Row],[GA]]^2))</f>
        <v>0.49322065058773512</v>
      </c>
      <c r="O52" s="1">
        <v>23.42</v>
      </c>
      <c r="P52" s="1">
        <v>73.010000000000005</v>
      </c>
      <c r="Q52" s="1">
        <f>Table14710[[#This Row],[PP_PCT]]+Table14710[[#This Row],[PK_PCT]]</f>
        <v>96.43</v>
      </c>
      <c r="R52" s="3">
        <v>11</v>
      </c>
      <c r="S52" s="3">
        <f>Table14710[[#This Row],[GA]]/Table14710[[#This Row],[GP]]</f>
        <v>3.6219512195121952</v>
      </c>
      <c r="T52" s="2">
        <v>0.92200000000000004</v>
      </c>
      <c r="U52" s="1">
        <v>99.7</v>
      </c>
      <c r="V52" s="1">
        <v>55.4</v>
      </c>
      <c r="W52" s="1">
        <v>54</v>
      </c>
      <c r="X52" s="1">
        <v>161.9</v>
      </c>
      <c r="Y52" s="3">
        <f>Table135811[[#This Row],[XGF]]/Table14710[[#This Row],[GP]]</f>
        <v>1.974390243902439</v>
      </c>
      <c r="Z52" s="1">
        <v>127.5</v>
      </c>
      <c r="AA52" s="3">
        <f>Table135811[[#This Row],[XGA]]/Table14710[[#This Row],[GP]]</f>
        <v>1.5548780487804879</v>
      </c>
      <c r="AB52" s="1">
        <v>53</v>
      </c>
      <c r="AC52" s="2">
        <f>Table135811[[#This Row],[HDGF]]/Table14710[[#This Row],[GP]]</f>
        <v>0.64634146341463417</v>
      </c>
      <c r="AD52" s="1">
        <v>48</v>
      </c>
      <c r="AE52" s="2">
        <f>Table135811[[#This Row],[HDGA]]/Table14710[[#This Row],[GP]]</f>
        <v>0.58536585365853655</v>
      </c>
      <c r="AF52" s="1">
        <v>7.4</v>
      </c>
    </row>
    <row r="53" spans="1:32" x14ac:dyDescent="0.35">
      <c r="A53" t="s">
        <v>89</v>
      </c>
      <c r="B53">
        <v>20</v>
      </c>
      <c r="C53" t="s">
        <v>68</v>
      </c>
      <c r="D53" s="1">
        <v>0</v>
      </c>
      <c r="E53" s="1">
        <v>31</v>
      </c>
      <c r="F53" s="1">
        <v>82</v>
      </c>
      <c r="G53" s="1">
        <v>91</v>
      </c>
      <c r="H53" s="2">
        <f>Table14710[[#This Row],[PTS]]/Table14710[[#This Row],[GP]]</f>
        <v>1.1097560975609757</v>
      </c>
      <c r="I53" s="2">
        <v>0.55500000000000005</v>
      </c>
      <c r="J53" s="1">
        <v>261</v>
      </c>
      <c r="K53" s="3">
        <f>Table14710[[#This Row],[GF]]/Table14710[[#This Row],[GP]]</f>
        <v>3.1829268292682928</v>
      </c>
      <c r="L53" s="1">
        <v>263</v>
      </c>
      <c r="M53" s="1">
        <v>3.21</v>
      </c>
      <c r="N53" s="2">
        <f>(Table14710[[#This Row],[GF]]^2)/((Table14710[[#This Row],[GF]]^2)+(Table14710[[#This Row],[GA]]^2))</f>
        <v>0.49618326170879162</v>
      </c>
      <c r="O53" s="1">
        <v>21.72</v>
      </c>
      <c r="P53" s="1">
        <v>79.09</v>
      </c>
      <c r="Q53" s="1">
        <f>Table14710[[#This Row],[PP_PCT]]+Table14710[[#This Row],[PK_PCT]]</f>
        <v>100.81</v>
      </c>
      <c r="R53" s="3">
        <v>9.3000000000000007</v>
      </c>
      <c r="S53" s="3">
        <f>Table14710[[#This Row],[GA]]/Table14710[[#This Row],[GP]]</f>
        <v>3.2073170731707319</v>
      </c>
      <c r="T53" s="2">
        <v>0.92</v>
      </c>
      <c r="U53" s="1">
        <v>98.7</v>
      </c>
      <c r="V53" s="1">
        <v>54.1</v>
      </c>
      <c r="W53" s="1">
        <v>54.8</v>
      </c>
      <c r="X53" s="1">
        <v>183.5</v>
      </c>
      <c r="Y53" s="3">
        <f>Table135811[[#This Row],[XGF]]/Table14710[[#This Row],[GP]]</f>
        <v>2.2378048780487805</v>
      </c>
      <c r="Z53" s="1">
        <v>167.3</v>
      </c>
      <c r="AA53" s="3">
        <f>Table135811[[#This Row],[XGA]]/Table14710[[#This Row],[GP]]</f>
        <v>2.0402439024390246</v>
      </c>
      <c r="AB53" s="1">
        <v>75</v>
      </c>
      <c r="AC53" s="2">
        <f>Table135811[[#This Row],[HDGF]]/Table14710[[#This Row],[GP]]</f>
        <v>0.91463414634146345</v>
      </c>
      <c r="AD53" s="1">
        <v>68</v>
      </c>
      <c r="AE53" s="2">
        <f>Table135811[[#This Row],[HDGA]]/Table14710[[#This Row],[GP]]</f>
        <v>0.82926829268292679</v>
      </c>
      <c r="AF53" s="1">
        <v>8.6</v>
      </c>
    </row>
    <row r="54" spans="1:32" x14ac:dyDescent="0.35">
      <c r="A54" t="s">
        <v>89</v>
      </c>
      <c r="B54">
        <v>21</v>
      </c>
      <c r="C54" t="s">
        <v>82</v>
      </c>
      <c r="D54" s="1">
        <v>0</v>
      </c>
      <c r="E54" s="1">
        <v>27.3</v>
      </c>
      <c r="F54" s="1">
        <v>82</v>
      </c>
      <c r="G54" s="1">
        <v>86</v>
      </c>
      <c r="H54" s="2">
        <f>Table14710[[#This Row],[PTS]]/Table14710[[#This Row],[GP]]</f>
        <v>1.0487804878048781</v>
      </c>
      <c r="I54" s="2">
        <v>0.52400000000000002</v>
      </c>
      <c r="J54" s="1">
        <v>259</v>
      </c>
      <c r="K54" s="3">
        <f>Table14710[[#This Row],[GF]]/Table14710[[#This Row],[GP]]</f>
        <v>3.1585365853658538</v>
      </c>
      <c r="L54" s="1">
        <v>270</v>
      </c>
      <c r="M54" s="1">
        <v>3.29</v>
      </c>
      <c r="N54" s="2">
        <f>(Table14710[[#This Row],[GF]]^2)/((Table14710[[#This Row],[GF]]^2)+(Table14710[[#This Row],[GA]]^2))</f>
        <v>0.47921503632635859</v>
      </c>
      <c r="O54" s="1">
        <v>23.53</v>
      </c>
      <c r="P54" s="1">
        <v>80.069999999999993</v>
      </c>
      <c r="Q54" s="1">
        <f>Table14710[[#This Row],[PP_PCT]]+Table14710[[#This Row],[PK_PCT]]</f>
        <v>103.6</v>
      </c>
      <c r="R54" s="3">
        <v>9.4</v>
      </c>
      <c r="S54" s="3">
        <f>Table14710[[#This Row],[GA]]/Table14710[[#This Row],[GP]]</f>
        <v>3.2926829268292681</v>
      </c>
      <c r="T54" s="2">
        <v>0.91400000000000003</v>
      </c>
      <c r="U54" s="1">
        <v>99.1</v>
      </c>
      <c r="V54" s="1">
        <v>52.3</v>
      </c>
      <c r="W54" s="1">
        <v>53.8</v>
      </c>
      <c r="X54" s="1">
        <v>184.3</v>
      </c>
      <c r="Y54" s="3">
        <f>Table135811[[#This Row],[XGF]]/Table14710[[#This Row],[GP]]</f>
        <v>2.2475609756097561</v>
      </c>
      <c r="Z54" s="1">
        <v>161.1</v>
      </c>
      <c r="AA54" s="3">
        <f>Table135811[[#This Row],[XGA]]/Table14710[[#This Row],[GP]]</f>
        <v>1.9646341463414634</v>
      </c>
      <c r="AB54" s="1">
        <v>61</v>
      </c>
      <c r="AC54" s="2">
        <f>Table135811[[#This Row],[HDGF]]/Table14710[[#This Row],[GP]]</f>
        <v>0.74390243902439024</v>
      </c>
      <c r="AD54" s="1">
        <v>59</v>
      </c>
      <c r="AE54" s="2">
        <f>Table135811[[#This Row],[HDGA]]/Table14710[[#This Row],[GP]]</f>
        <v>0.71951219512195119</v>
      </c>
      <c r="AF54" s="1">
        <v>12.4</v>
      </c>
    </row>
    <row r="55" spans="1:32" x14ac:dyDescent="0.35">
      <c r="A55" t="s">
        <v>89</v>
      </c>
      <c r="B55">
        <v>22</v>
      </c>
      <c r="C55" t="s">
        <v>74</v>
      </c>
      <c r="D55" s="1">
        <v>0</v>
      </c>
      <c r="E55" s="1">
        <v>27.3</v>
      </c>
      <c r="F55" s="1">
        <v>82</v>
      </c>
      <c r="G55" s="1">
        <v>83</v>
      </c>
      <c r="H55" s="2">
        <f>Table14710[[#This Row],[PTS]]/Table14710[[#This Row],[GP]]</f>
        <v>1.0121951219512195</v>
      </c>
      <c r="I55" s="2">
        <v>0.50600000000000001</v>
      </c>
      <c r="J55" s="1">
        <v>270</v>
      </c>
      <c r="K55" s="3">
        <f>Table14710[[#This Row],[GF]]/Table14710[[#This Row],[GP]]</f>
        <v>3.2926829268292681</v>
      </c>
      <c r="L55" s="1">
        <v>296</v>
      </c>
      <c r="M55" s="1">
        <v>3.61</v>
      </c>
      <c r="N55" s="2">
        <f>(Table14710[[#This Row],[GF]]^2)/((Table14710[[#This Row],[GF]]^2)+(Table14710[[#This Row],[GA]]^2))</f>
        <v>0.45416033292631264</v>
      </c>
      <c r="O55" s="1">
        <v>22.71</v>
      </c>
      <c r="P55" s="1">
        <v>71.599999999999994</v>
      </c>
      <c r="Q55" s="1">
        <f>Table14710[[#This Row],[PP_PCT]]+Table14710[[#This Row],[PK_PCT]]</f>
        <v>94.31</v>
      </c>
      <c r="R55" s="3">
        <v>11.1</v>
      </c>
      <c r="S55" s="3">
        <f>Table14710[[#This Row],[GA]]/Table14710[[#This Row],[GP]]</f>
        <v>3.6097560975609757</v>
      </c>
      <c r="T55" s="2">
        <v>0.92300000000000004</v>
      </c>
      <c r="U55" s="1">
        <v>99.6</v>
      </c>
      <c r="V55" s="1">
        <v>54.4</v>
      </c>
      <c r="W55" s="1">
        <v>54.9</v>
      </c>
      <c r="X55" s="1">
        <v>169.6</v>
      </c>
      <c r="Y55" s="3">
        <f>Table135811[[#This Row],[XGF]]/Table14710[[#This Row],[GP]]</f>
        <v>2.0682926829268293</v>
      </c>
      <c r="Z55" s="1">
        <v>146.30000000000001</v>
      </c>
      <c r="AA55" s="3">
        <f>Table135811[[#This Row],[XGA]]/Table14710[[#This Row],[GP]]</f>
        <v>1.7841463414634147</v>
      </c>
      <c r="AB55" s="1">
        <v>67</v>
      </c>
      <c r="AC55" s="2">
        <f>Table135811[[#This Row],[HDGF]]/Table14710[[#This Row],[GP]]</f>
        <v>0.81707317073170727</v>
      </c>
      <c r="AD55" s="1">
        <v>61</v>
      </c>
      <c r="AE55" s="2">
        <f>Table135811[[#This Row],[HDGA]]/Table14710[[#This Row],[GP]]</f>
        <v>0.74390243902439024</v>
      </c>
      <c r="AF55" s="1">
        <v>9</v>
      </c>
    </row>
    <row r="56" spans="1:32" x14ac:dyDescent="0.35">
      <c r="A56" t="s">
        <v>89</v>
      </c>
      <c r="B56">
        <v>23</v>
      </c>
      <c r="C56" t="s">
        <v>65</v>
      </c>
      <c r="D56" s="1">
        <v>0</v>
      </c>
      <c r="E56" s="1">
        <v>29.3</v>
      </c>
      <c r="F56" s="1">
        <v>82</v>
      </c>
      <c r="G56" s="1">
        <v>81</v>
      </c>
      <c r="H56" s="2">
        <f>Table14710[[#This Row],[PTS]]/Table14710[[#This Row],[GP]]</f>
        <v>0.98780487804878048</v>
      </c>
      <c r="I56" s="2">
        <v>0.49399999999999999</v>
      </c>
      <c r="J56" s="1">
        <v>260</v>
      </c>
      <c r="K56" s="3">
        <f>Table14710[[#This Row],[GF]]/Table14710[[#This Row],[GP]]</f>
        <v>3.1707317073170733</v>
      </c>
      <c r="L56" s="1">
        <v>298</v>
      </c>
      <c r="M56" s="1">
        <v>3.63</v>
      </c>
      <c r="N56" s="2">
        <f>(Table14710[[#This Row],[GF]]^2)/((Table14710[[#This Row],[GF]]^2)+(Table14710[[#This Row],[GA]]^2))</f>
        <v>0.43221400987187031</v>
      </c>
      <c r="O56" s="1">
        <v>19.329999999999998</v>
      </c>
      <c r="P56" s="1">
        <v>72.349999999999994</v>
      </c>
      <c r="Q56" s="1">
        <f>Table14710[[#This Row],[PP_PCT]]+Table14710[[#This Row],[PK_PCT]]</f>
        <v>91.679999999999993</v>
      </c>
      <c r="R56" s="3">
        <v>11.1</v>
      </c>
      <c r="S56" s="3">
        <f>Table14710[[#This Row],[GA]]/Table14710[[#This Row],[GP]]</f>
        <v>3.6341463414634148</v>
      </c>
      <c r="T56" s="2">
        <v>0.92600000000000005</v>
      </c>
      <c r="U56" s="1">
        <v>101</v>
      </c>
      <c r="V56" s="1">
        <v>53.8</v>
      </c>
      <c r="W56" s="1">
        <v>54.2</v>
      </c>
      <c r="X56" s="1">
        <v>138.1</v>
      </c>
      <c r="Y56" s="3">
        <f>Table135811[[#This Row],[XGF]]/Table14710[[#This Row],[GP]]</f>
        <v>1.6841463414634146</v>
      </c>
      <c r="Z56" s="1">
        <v>132.69999999999999</v>
      </c>
      <c r="AA56" s="3">
        <f>Table135811[[#This Row],[XGA]]/Table14710[[#This Row],[GP]]</f>
        <v>1.6182926829268292</v>
      </c>
      <c r="AB56" s="1">
        <v>57</v>
      </c>
      <c r="AC56" s="2">
        <f>Table135811[[#This Row],[HDGF]]/Table14710[[#This Row],[GP]]</f>
        <v>0.69512195121951215</v>
      </c>
      <c r="AD56" s="1">
        <v>48</v>
      </c>
      <c r="AE56" s="2">
        <f>Table135811[[#This Row],[HDGA]]/Table14710[[#This Row],[GP]]</f>
        <v>0.58536585365853655</v>
      </c>
      <c r="AF56" s="1">
        <v>7.8</v>
      </c>
    </row>
    <row r="57" spans="1:32" x14ac:dyDescent="0.35">
      <c r="A57" t="s">
        <v>89</v>
      </c>
      <c r="B57">
        <v>24</v>
      </c>
      <c r="C57" t="s">
        <v>69</v>
      </c>
      <c r="D57" s="1">
        <v>0</v>
      </c>
      <c r="E57" s="1">
        <v>30.9</v>
      </c>
      <c r="F57" s="1">
        <v>82</v>
      </c>
      <c r="G57" s="1">
        <v>80</v>
      </c>
      <c r="H57" s="2">
        <f>Table14710[[#This Row],[PTS]]/Table14710[[#This Row],[GP]]</f>
        <v>0.97560975609756095</v>
      </c>
      <c r="I57" s="2">
        <v>0.48799999999999999</v>
      </c>
      <c r="J57" s="1">
        <v>253</v>
      </c>
      <c r="K57" s="3">
        <f>Table14710[[#This Row],[GF]]/Table14710[[#This Row],[GP]]</f>
        <v>3.0853658536585367</v>
      </c>
      <c r="L57" s="1">
        <v>261</v>
      </c>
      <c r="M57" s="1">
        <v>3.18</v>
      </c>
      <c r="N57" s="2">
        <f>(Table14710[[#This Row],[GF]]^2)/((Table14710[[#This Row],[GF]]^2)+(Table14710[[#This Row],[GA]]^2))</f>
        <v>0.48443956709301444</v>
      </c>
      <c r="O57" s="1">
        <v>21.22</v>
      </c>
      <c r="P57" s="1">
        <v>81.86</v>
      </c>
      <c r="Q57" s="1">
        <f>Table14710[[#This Row],[PP_PCT]]+Table14710[[#This Row],[PK_PCT]]</f>
        <v>103.08</v>
      </c>
      <c r="R57" s="3">
        <v>9.9</v>
      </c>
      <c r="S57" s="3">
        <f>Table14710[[#This Row],[GA]]/Table14710[[#This Row],[GP]]</f>
        <v>3.1829268292682928</v>
      </c>
      <c r="T57" s="2">
        <v>0.92600000000000005</v>
      </c>
      <c r="U57" s="1">
        <v>101.9</v>
      </c>
      <c r="V57" s="1">
        <v>51.3</v>
      </c>
      <c r="W57" s="1">
        <v>51.3</v>
      </c>
      <c r="X57" s="1">
        <v>182.8</v>
      </c>
      <c r="Y57" s="3">
        <f>Table135811[[#This Row],[XGF]]/Table14710[[#This Row],[GP]]</f>
        <v>2.229268292682927</v>
      </c>
      <c r="Z57" s="1">
        <v>156.19999999999999</v>
      </c>
      <c r="AA57" s="3">
        <f>Table135811[[#This Row],[XGA]]/Table14710[[#This Row],[GP]]</f>
        <v>1.9048780487804877</v>
      </c>
      <c r="AB57" s="1">
        <v>83</v>
      </c>
      <c r="AC57" s="2">
        <f>Table135811[[#This Row],[HDGF]]/Table14710[[#This Row],[GP]]</f>
        <v>1.0121951219512195</v>
      </c>
      <c r="AD57" s="1">
        <v>60</v>
      </c>
      <c r="AE57" s="2">
        <f>Table135811[[#This Row],[HDGA]]/Table14710[[#This Row],[GP]]</f>
        <v>0.73170731707317072</v>
      </c>
      <c r="AF57" s="1">
        <v>8.6999999999999993</v>
      </c>
    </row>
    <row r="58" spans="1:32" x14ac:dyDescent="0.35">
      <c r="A58" t="s">
        <v>89</v>
      </c>
      <c r="B58">
        <v>25</v>
      </c>
      <c r="C58" t="s">
        <v>81</v>
      </c>
      <c r="D58" s="1">
        <v>0</v>
      </c>
      <c r="E58" s="1">
        <v>27.3</v>
      </c>
      <c r="F58" s="1">
        <v>82</v>
      </c>
      <c r="G58" s="1">
        <v>80</v>
      </c>
      <c r="H58" s="2">
        <f>Table14710[[#This Row],[PTS]]/Table14710[[#This Row],[GP]]</f>
        <v>0.97560975609756095</v>
      </c>
      <c r="I58" s="2">
        <v>0.48799999999999999</v>
      </c>
      <c r="J58" s="1">
        <v>237</v>
      </c>
      <c r="K58" s="3">
        <f>Table14710[[#This Row],[GF]]/Table14710[[#This Row],[GP]]</f>
        <v>2.8902439024390243</v>
      </c>
      <c r="L58" s="1">
        <v>275</v>
      </c>
      <c r="M58" s="1">
        <v>3.35</v>
      </c>
      <c r="N58" s="2">
        <f>(Table14710[[#This Row],[GF]]^2)/((Table14710[[#This Row],[GF]]^2)+(Table14710[[#This Row],[GA]]^2))</f>
        <v>0.4261878385965977</v>
      </c>
      <c r="O58" s="1">
        <v>21.11</v>
      </c>
      <c r="P58" s="1">
        <v>78.31</v>
      </c>
      <c r="Q58" s="1">
        <f>Table14710[[#This Row],[PP_PCT]]+Table14710[[#This Row],[PK_PCT]]</f>
        <v>99.42</v>
      </c>
      <c r="R58" s="3">
        <v>10.3</v>
      </c>
      <c r="S58" s="3">
        <f>Table14710[[#This Row],[GA]]/Table14710[[#This Row],[GP]]</f>
        <v>3.3536585365853657</v>
      </c>
      <c r="T58" s="2">
        <v>0.93200000000000005</v>
      </c>
      <c r="U58" s="1">
        <v>100.5</v>
      </c>
      <c r="V58" s="1">
        <v>49.6</v>
      </c>
      <c r="W58" s="1">
        <v>50.2</v>
      </c>
      <c r="X58" s="1">
        <v>167.2</v>
      </c>
      <c r="Y58" s="3">
        <f>Table135811[[#This Row],[XGF]]/Table14710[[#This Row],[GP]]</f>
        <v>2.0390243902439025</v>
      </c>
      <c r="Z58" s="1">
        <v>170.2</v>
      </c>
      <c r="AA58" s="3">
        <f>Table135811[[#This Row],[XGA]]/Table14710[[#This Row],[GP]]</f>
        <v>2.075609756097561</v>
      </c>
      <c r="AB58" s="1">
        <v>69</v>
      </c>
      <c r="AC58" s="2">
        <f>Table135811[[#This Row],[HDGF]]/Table14710[[#This Row],[GP]]</f>
        <v>0.84146341463414631</v>
      </c>
      <c r="AD58" s="1">
        <v>64</v>
      </c>
      <c r="AE58" s="2">
        <f>Table135811[[#This Row],[HDGA]]/Table14710[[#This Row],[GP]]</f>
        <v>0.78048780487804881</v>
      </c>
      <c r="AF58" s="1">
        <v>8.1</v>
      </c>
    </row>
    <row r="59" spans="1:32" x14ac:dyDescent="0.35">
      <c r="A59" t="s">
        <v>89</v>
      </c>
      <c r="B59">
        <v>26</v>
      </c>
      <c r="C59" t="s">
        <v>85</v>
      </c>
      <c r="D59" s="1">
        <v>0</v>
      </c>
      <c r="E59" s="1">
        <v>26.8</v>
      </c>
      <c r="F59" s="1">
        <v>82</v>
      </c>
      <c r="G59" s="1">
        <v>75</v>
      </c>
      <c r="H59" s="2">
        <f>Table14710[[#This Row],[PTS]]/Table14710[[#This Row],[GP]]</f>
        <v>0.91463414634146345</v>
      </c>
      <c r="I59" s="2">
        <v>0.45700000000000002</v>
      </c>
      <c r="J59" s="1">
        <v>220</v>
      </c>
      <c r="K59" s="3">
        <f>Table14710[[#This Row],[GF]]/Table14710[[#This Row],[GP]]</f>
        <v>2.6829268292682928</v>
      </c>
      <c r="L59" s="1">
        <v>276</v>
      </c>
      <c r="M59" s="1">
        <v>3.37</v>
      </c>
      <c r="N59" s="2">
        <f>(Table14710[[#This Row],[GF]]^2)/((Table14710[[#This Row],[GF]]^2)+(Table14710[[#This Row],[GA]]^2))</f>
        <v>0.38851785255586951</v>
      </c>
      <c r="O59" s="1">
        <v>15.56</v>
      </c>
      <c r="P59" s="1">
        <v>74.680000000000007</v>
      </c>
      <c r="Q59" s="1">
        <f>Table14710[[#This Row],[PP_PCT]]+Table14710[[#This Row],[PK_PCT]]</f>
        <v>90.240000000000009</v>
      </c>
      <c r="R59" s="3">
        <v>9.1</v>
      </c>
      <c r="S59" s="3">
        <f>Table14710[[#This Row],[GA]]/Table14710[[#This Row],[GP]]</f>
        <v>3.3658536585365852</v>
      </c>
      <c r="T59" s="2">
        <v>0.91700000000000004</v>
      </c>
      <c r="U59" s="1">
        <v>99.9</v>
      </c>
      <c r="V59" s="1">
        <v>50.3</v>
      </c>
      <c r="W59" s="1">
        <v>50</v>
      </c>
      <c r="X59" s="1">
        <v>151.19999999999999</v>
      </c>
      <c r="Y59" s="3">
        <f>Table135811[[#This Row],[XGF]]/Table14710[[#This Row],[GP]]</f>
        <v>1.8439024390243901</v>
      </c>
      <c r="Z59" s="1">
        <v>149.30000000000001</v>
      </c>
      <c r="AA59" s="3">
        <f>Table135811[[#This Row],[XGA]]/Table14710[[#This Row],[GP]]</f>
        <v>1.8207317073170732</v>
      </c>
      <c r="AB59" s="1">
        <v>64</v>
      </c>
      <c r="AC59" s="2">
        <f>Table135811[[#This Row],[HDGF]]/Table14710[[#This Row],[GP]]</f>
        <v>0.78048780487804881</v>
      </c>
      <c r="AD59" s="1">
        <v>52</v>
      </c>
      <c r="AE59" s="2">
        <f>Table135811[[#This Row],[HDGA]]/Table14710[[#This Row],[GP]]</f>
        <v>0.63414634146341464</v>
      </c>
      <c r="AF59" s="1">
        <v>10.4</v>
      </c>
    </row>
    <row r="60" spans="1:32" x14ac:dyDescent="0.35">
      <c r="A60" t="s">
        <v>89</v>
      </c>
      <c r="B60">
        <v>27</v>
      </c>
      <c r="C60" t="s">
        <v>87</v>
      </c>
      <c r="D60" s="1">
        <v>0</v>
      </c>
      <c r="E60" s="1">
        <v>26.4</v>
      </c>
      <c r="F60" s="1">
        <v>82</v>
      </c>
      <c r="G60" s="1">
        <v>70</v>
      </c>
      <c r="H60" s="2">
        <f>Table14710[[#This Row],[PTS]]/Table14710[[#This Row],[GP]]</f>
        <v>0.85365853658536583</v>
      </c>
      <c r="I60" s="2">
        <v>0.42699999999999999</v>
      </c>
      <c r="J60" s="1">
        <v>225</v>
      </c>
      <c r="K60" s="3">
        <f>Table14710[[#This Row],[GF]]/Table14710[[#This Row],[GP]]</f>
        <v>2.7439024390243905</v>
      </c>
      <c r="L60" s="1">
        <v>295</v>
      </c>
      <c r="M60" s="1">
        <v>3.6</v>
      </c>
      <c r="N60" s="2">
        <f>(Table14710[[#This Row],[GF]]^2)/((Table14710[[#This Row],[GF]]^2)+(Table14710[[#This Row],[GA]]^2))</f>
        <v>0.36778060297856885</v>
      </c>
      <c r="O60" s="1">
        <v>18.91</v>
      </c>
      <c r="P60" s="1">
        <v>74.61</v>
      </c>
      <c r="Q60" s="1">
        <f>Table14710[[#This Row],[PP_PCT]]+Table14710[[#This Row],[PK_PCT]]</f>
        <v>93.52</v>
      </c>
      <c r="R60" s="3">
        <v>10.6</v>
      </c>
      <c r="S60" s="3">
        <f>Table14710[[#This Row],[GA]]/Table14710[[#This Row],[GP]]</f>
        <v>3.5975609756097562</v>
      </c>
      <c r="T60" s="2">
        <v>0.93200000000000005</v>
      </c>
      <c r="U60" s="1">
        <v>100.6</v>
      </c>
      <c r="V60" s="1">
        <v>48</v>
      </c>
      <c r="W60" s="1">
        <v>47.7</v>
      </c>
      <c r="X60" s="1">
        <v>135.6</v>
      </c>
      <c r="Y60" s="3">
        <f>Table135811[[#This Row],[XGF]]/Table14710[[#This Row],[GP]]</f>
        <v>1.6536585365853658</v>
      </c>
      <c r="Z60" s="1">
        <v>146.80000000000001</v>
      </c>
      <c r="AA60" s="3">
        <f>Table135811[[#This Row],[XGA]]/Table14710[[#This Row],[GP]]</f>
        <v>1.7902439024390244</v>
      </c>
      <c r="AB60" s="1">
        <v>37</v>
      </c>
      <c r="AC60" s="2">
        <f>Table135811[[#This Row],[HDGF]]/Table14710[[#This Row],[GP]]</f>
        <v>0.45121951219512196</v>
      </c>
      <c r="AD60" s="1">
        <v>50</v>
      </c>
      <c r="AE60" s="2">
        <f>Table135811[[#This Row],[HDGA]]/Table14710[[#This Row],[GP]]</f>
        <v>0.6097560975609756</v>
      </c>
      <c r="AF60" s="1">
        <v>11.9</v>
      </c>
    </row>
    <row r="61" spans="1:32" x14ac:dyDescent="0.35">
      <c r="A61" t="s">
        <v>89</v>
      </c>
      <c r="B61">
        <v>28</v>
      </c>
      <c r="C61" t="s">
        <v>88</v>
      </c>
      <c r="D61" s="1">
        <v>0</v>
      </c>
      <c r="E61" s="1">
        <v>27.3</v>
      </c>
      <c r="F61" s="1">
        <v>82</v>
      </c>
      <c r="G61" s="1">
        <v>68</v>
      </c>
      <c r="H61" s="2">
        <f>Table14710[[#This Row],[PTS]]/Table14710[[#This Row],[GP]]</f>
        <v>0.82926829268292679</v>
      </c>
      <c r="I61" s="2">
        <v>0.41499999999999998</v>
      </c>
      <c r="J61" s="1">
        <v>227</v>
      </c>
      <c r="K61" s="3">
        <f>Table14710[[#This Row],[GF]]/Table14710[[#This Row],[GP]]</f>
        <v>2.7682926829268291</v>
      </c>
      <c r="L61" s="1">
        <v>305</v>
      </c>
      <c r="M61" s="1">
        <v>3.72</v>
      </c>
      <c r="N61" s="2">
        <f>(Table14710[[#This Row],[GF]]^2)/((Table14710[[#This Row],[GF]]^2)+(Table14710[[#This Row],[GA]]^2))</f>
        <v>0.35646886284710211</v>
      </c>
      <c r="O61" s="1">
        <v>16.100000000000001</v>
      </c>
      <c r="P61" s="1">
        <v>72.73</v>
      </c>
      <c r="Q61" s="1">
        <f>Table14710[[#This Row],[PP_PCT]]+Table14710[[#This Row],[PK_PCT]]</f>
        <v>88.830000000000013</v>
      </c>
      <c r="R61" s="3">
        <v>10.1</v>
      </c>
      <c r="S61" s="3">
        <f>Table14710[[#This Row],[GA]]/Table14710[[#This Row],[GP]]</f>
        <v>3.7195121951219514</v>
      </c>
      <c r="T61" s="2">
        <v>0.91500000000000004</v>
      </c>
      <c r="U61" s="1">
        <v>99.1</v>
      </c>
      <c r="V61" s="1">
        <v>47</v>
      </c>
      <c r="W61" s="1">
        <v>46.6</v>
      </c>
      <c r="X61" s="1">
        <v>164.9</v>
      </c>
      <c r="Y61" s="3">
        <f>Table135811[[#This Row],[XGF]]/Table14710[[#This Row],[GP]]</f>
        <v>2.0109756097560978</v>
      </c>
      <c r="Z61" s="1">
        <v>199.6</v>
      </c>
      <c r="AA61" s="3">
        <f>Table135811[[#This Row],[XGA]]/Table14710[[#This Row],[GP]]</f>
        <v>2.4341463414634146</v>
      </c>
      <c r="AB61" s="1">
        <v>69</v>
      </c>
      <c r="AC61" s="2">
        <f>Table135811[[#This Row],[HDGF]]/Table14710[[#This Row],[GP]]</f>
        <v>0.84146341463414631</v>
      </c>
      <c r="AD61" s="1">
        <v>95</v>
      </c>
      <c r="AE61" s="2">
        <f>Table135811[[#This Row],[HDGA]]/Table14710[[#This Row],[GP]]</f>
        <v>1.1585365853658536</v>
      </c>
      <c r="AF61" s="1">
        <v>11.6</v>
      </c>
    </row>
    <row r="62" spans="1:32" x14ac:dyDescent="0.35">
      <c r="A62" t="s">
        <v>89</v>
      </c>
      <c r="B62">
        <v>29</v>
      </c>
      <c r="C62" t="s">
        <v>78</v>
      </c>
      <c r="D62" s="1">
        <v>0</v>
      </c>
      <c r="E62" s="1">
        <v>29.4</v>
      </c>
      <c r="F62" s="1">
        <v>82</v>
      </c>
      <c r="G62" s="1">
        <v>60</v>
      </c>
      <c r="H62" s="2">
        <f>Table14710[[#This Row],[PTS]]/Table14710[[#This Row],[GP]]</f>
        <v>0.73170731707317072</v>
      </c>
      <c r="I62" s="2">
        <v>0.36599999999999999</v>
      </c>
      <c r="J62" s="1">
        <v>233</v>
      </c>
      <c r="K62" s="3">
        <f>Table14710[[#This Row],[GF]]/Table14710[[#This Row],[GP]]</f>
        <v>2.8414634146341462</v>
      </c>
      <c r="L62" s="1">
        <v>315</v>
      </c>
      <c r="M62" s="1">
        <v>3.84</v>
      </c>
      <c r="N62" s="2">
        <f>(Table14710[[#This Row],[GF]]^2)/((Table14710[[#This Row],[GF]]^2)+(Table14710[[#This Row],[GA]]^2))</f>
        <v>0.3536420131062965</v>
      </c>
      <c r="O62" s="1">
        <v>18.39</v>
      </c>
      <c r="P62" s="1">
        <v>82.38</v>
      </c>
      <c r="Q62" s="1">
        <f>Table14710[[#This Row],[PP_PCT]]+Table14710[[#This Row],[PK_PCT]]</f>
        <v>100.77</v>
      </c>
      <c r="R62" s="3">
        <v>9.6</v>
      </c>
      <c r="S62" s="3">
        <f>Table14710[[#This Row],[GA]]/Table14710[[#This Row],[GP]]</f>
        <v>3.8414634146341462</v>
      </c>
      <c r="T62" s="2">
        <v>0.91100000000000003</v>
      </c>
      <c r="U62" s="1">
        <v>99.7</v>
      </c>
      <c r="V62" s="1">
        <v>45.4</v>
      </c>
      <c r="W62" s="1">
        <v>45.4</v>
      </c>
      <c r="X62" s="1">
        <v>153.5</v>
      </c>
      <c r="Y62" s="3">
        <f>Table135811[[#This Row],[XGF]]/Table14710[[#This Row],[GP]]</f>
        <v>1.8719512195121952</v>
      </c>
      <c r="Z62" s="1">
        <v>199.4</v>
      </c>
      <c r="AA62" s="3">
        <f>Table135811[[#This Row],[XGA]]/Table14710[[#This Row],[GP]]</f>
        <v>2.4317073170731707</v>
      </c>
      <c r="AB62" s="1">
        <v>66</v>
      </c>
      <c r="AC62" s="2">
        <f>Table135811[[#This Row],[HDGF]]/Table14710[[#This Row],[GP]]</f>
        <v>0.80487804878048785</v>
      </c>
      <c r="AD62" s="1">
        <v>90</v>
      </c>
      <c r="AE62" s="2">
        <f>Table135811[[#This Row],[HDGA]]/Table14710[[#This Row],[GP]]</f>
        <v>1.0975609756097562</v>
      </c>
      <c r="AF62" s="1">
        <v>8</v>
      </c>
    </row>
    <row r="63" spans="1:32" x14ac:dyDescent="0.35">
      <c r="A63" t="s">
        <v>89</v>
      </c>
      <c r="B63">
        <v>30</v>
      </c>
      <c r="C63" t="s">
        <v>83</v>
      </c>
      <c r="D63" s="1">
        <v>0</v>
      </c>
      <c r="E63" s="1">
        <v>28.7</v>
      </c>
      <c r="F63" s="1">
        <v>82</v>
      </c>
      <c r="G63" s="1">
        <v>59</v>
      </c>
      <c r="H63" s="2">
        <f>Table14710[[#This Row],[PTS]]/Table14710[[#This Row],[GP]]</f>
        <v>0.71951219512195119</v>
      </c>
      <c r="I63" s="2">
        <v>0.36</v>
      </c>
      <c r="J63" s="1">
        <v>202</v>
      </c>
      <c r="K63" s="3">
        <f>Table14710[[#This Row],[GF]]/Table14710[[#This Row],[GP]]</f>
        <v>2.4634146341463414</v>
      </c>
      <c r="L63" s="1">
        <v>299</v>
      </c>
      <c r="M63" s="1">
        <v>3.65</v>
      </c>
      <c r="N63" s="2">
        <f>(Table14710[[#This Row],[GF]]^2)/((Table14710[[#This Row],[GF]]^2)+(Table14710[[#This Row],[GA]]^2))</f>
        <v>0.31338274259821053</v>
      </c>
      <c r="O63" s="1">
        <v>16.38</v>
      </c>
      <c r="P63" s="1">
        <v>76.19</v>
      </c>
      <c r="Q63" s="1">
        <f>Table14710[[#This Row],[PP_PCT]]+Table14710[[#This Row],[PK_PCT]]</f>
        <v>92.57</v>
      </c>
      <c r="R63" s="3">
        <v>9.1</v>
      </c>
      <c r="S63" s="3">
        <f>Table14710[[#This Row],[GA]]/Table14710[[#This Row],[GP]]</f>
        <v>3.6463414634146343</v>
      </c>
      <c r="T63" s="2">
        <v>0.92500000000000004</v>
      </c>
      <c r="U63" s="1">
        <v>100.9</v>
      </c>
      <c r="V63" s="1">
        <v>46.3</v>
      </c>
      <c r="W63" s="1">
        <v>46.2</v>
      </c>
      <c r="X63" s="1">
        <v>157.6</v>
      </c>
      <c r="Y63" s="3">
        <f>Table135811[[#This Row],[XGF]]/Table14710[[#This Row],[GP]]</f>
        <v>1.9219512195121951</v>
      </c>
      <c r="Z63" s="1">
        <v>174.5</v>
      </c>
      <c r="AA63" s="3">
        <f>Table135811[[#This Row],[XGA]]/Table14710[[#This Row],[GP]]</f>
        <v>2.1280487804878048</v>
      </c>
      <c r="AB63" s="1">
        <v>73</v>
      </c>
      <c r="AC63" s="2">
        <f>Table135811[[#This Row],[HDGF]]/Table14710[[#This Row],[GP]]</f>
        <v>0.8902439024390244</v>
      </c>
      <c r="AD63" s="1">
        <v>59</v>
      </c>
      <c r="AE63" s="2">
        <f>Table135811[[#This Row],[HDGA]]/Table14710[[#This Row],[GP]]</f>
        <v>0.71951219512195119</v>
      </c>
      <c r="AF63" s="1">
        <v>8.6</v>
      </c>
    </row>
    <row r="64" spans="1:32" x14ac:dyDescent="0.35">
      <c r="A64" t="s">
        <v>89</v>
      </c>
      <c r="B64">
        <v>31</v>
      </c>
      <c r="C64" t="s">
        <v>77</v>
      </c>
      <c r="D64" s="1">
        <v>0</v>
      </c>
      <c r="E64" s="1">
        <v>26.7</v>
      </c>
      <c r="F64" s="1">
        <v>82</v>
      </c>
      <c r="G64" s="1">
        <v>59</v>
      </c>
      <c r="H64" s="2">
        <f>Table14710[[#This Row],[PTS]]/Table14710[[#This Row],[GP]]</f>
        <v>0.71951219512195119</v>
      </c>
      <c r="I64" s="2">
        <v>0.36</v>
      </c>
      <c r="J64" s="1">
        <v>213</v>
      </c>
      <c r="K64" s="3">
        <f>Table14710[[#This Row],[GF]]/Table14710[[#This Row],[GP]]</f>
        <v>2.5975609756097562</v>
      </c>
      <c r="L64" s="1">
        <v>329</v>
      </c>
      <c r="M64" s="1">
        <v>4.01</v>
      </c>
      <c r="N64" s="2">
        <f>(Table14710[[#This Row],[GF]]^2)/((Table14710[[#This Row],[GF]]^2)+(Table14710[[#This Row],[GA]]^2))</f>
        <v>0.29535186511294836</v>
      </c>
      <c r="O64" s="1">
        <v>18.3</v>
      </c>
      <c r="P64" s="1">
        <v>75.11</v>
      </c>
      <c r="Q64" s="1">
        <f>Table14710[[#This Row],[PP_PCT]]+Table14710[[#This Row],[PK_PCT]]</f>
        <v>93.41</v>
      </c>
      <c r="R64" s="3">
        <v>8.9</v>
      </c>
      <c r="S64" s="3">
        <f>Table14710[[#This Row],[GA]]/Table14710[[#This Row],[GP]]</f>
        <v>4.0121951219512191</v>
      </c>
      <c r="T64" s="2">
        <v>0.90500000000000003</v>
      </c>
      <c r="U64" s="1">
        <v>99.2</v>
      </c>
      <c r="V64" s="1">
        <v>48.5</v>
      </c>
      <c r="W64" s="1">
        <v>47.7</v>
      </c>
      <c r="X64" s="1">
        <v>144.4</v>
      </c>
      <c r="Y64" s="3">
        <f>Table135811[[#This Row],[XGF]]/Table14710[[#This Row],[GP]]</f>
        <v>1.7609756097560976</v>
      </c>
      <c r="Z64" s="1">
        <v>156.5</v>
      </c>
      <c r="AA64" s="3">
        <f>Table135811[[#This Row],[XGA]]/Table14710[[#This Row],[GP]]</f>
        <v>1.9085365853658536</v>
      </c>
      <c r="AB64" s="1">
        <v>40</v>
      </c>
      <c r="AC64" s="2">
        <f>Table135811[[#This Row],[HDGF]]/Table14710[[#This Row],[GP]]</f>
        <v>0.48780487804878048</v>
      </c>
      <c r="AD64" s="1">
        <v>53</v>
      </c>
      <c r="AE64" s="2">
        <f>Table135811[[#This Row],[HDGA]]/Table14710[[#This Row],[GP]]</f>
        <v>0.64634146341463417</v>
      </c>
      <c r="AF64" s="1">
        <v>8</v>
      </c>
    </row>
    <row r="65" spans="1:32" x14ac:dyDescent="0.35">
      <c r="A65" t="s">
        <v>89</v>
      </c>
      <c r="B65">
        <v>32</v>
      </c>
      <c r="C65" t="s">
        <v>79</v>
      </c>
      <c r="D65" s="1">
        <v>0</v>
      </c>
      <c r="E65" s="1">
        <v>28.2</v>
      </c>
      <c r="F65" s="1">
        <v>82</v>
      </c>
      <c r="G65" s="1">
        <v>58</v>
      </c>
      <c r="H65" s="2">
        <f>Table14710[[#This Row],[PTS]]/Table14710[[#This Row],[GP]]</f>
        <v>0.70731707317073167</v>
      </c>
      <c r="I65" s="2">
        <v>0.35399999999999998</v>
      </c>
      <c r="J65" s="1">
        <v>206</v>
      </c>
      <c r="K65" s="3">
        <f>Table14710[[#This Row],[GF]]/Table14710[[#This Row],[GP]]</f>
        <v>2.5121951219512195</v>
      </c>
      <c r="L65" s="1">
        <v>335</v>
      </c>
      <c r="M65" s="1">
        <v>4.09</v>
      </c>
      <c r="N65" s="2">
        <f>(Table14710[[#This Row],[GF]]^2)/((Table14710[[#This Row],[GF]]^2)+(Table14710[[#This Row],[GA]]^2))</f>
        <v>0.27438074239788957</v>
      </c>
      <c r="O65" s="1">
        <v>15.72</v>
      </c>
      <c r="P65" s="1">
        <v>72.14</v>
      </c>
      <c r="Q65" s="1">
        <f>Table14710[[#This Row],[PP_PCT]]+Table14710[[#This Row],[PK_PCT]]</f>
        <v>87.86</v>
      </c>
      <c r="R65" s="3">
        <v>8.9</v>
      </c>
      <c r="S65" s="3">
        <f>Table14710[[#This Row],[GA]]/Table14710[[#This Row],[GP]]</f>
        <v>4.0853658536585362</v>
      </c>
      <c r="T65" s="2">
        <v>0.92500000000000004</v>
      </c>
      <c r="U65" s="1">
        <v>100.7</v>
      </c>
      <c r="V65" s="1">
        <v>49.5</v>
      </c>
      <c r="W65" s="1">
        <v>49.8</v>
      </c>
      <c r="X65" s="1">
        <v>161.4</v>
      </c>
      <c r="Y65" s="3">
        <f>Table135811[[#This Row],[XGF]]/Table14710[[#This Row],[GP]]</f>
        <v>1.9682926829268292</v>
      </c>
      <c r="Z65" s="1">
        <v>169.1</v>
      </c>
      <c r="AA65" s="3">
        <f>Table135811[[#This Row],[XGA]]/Table14710[[#This Row],[GP]]</f>
        <v>2.0621951219512193</v>
      </c>
      <c r="AB65" s="1">
        <v>76</v>
      </c>
      <c r="AC65" s="2">
        <f>Table135811[[#This Row],[HDGF]]/Table14710[[#This Row],[GP]]</f>
        <v>0.92682926829268297</v>
      </c>
      <c r="AD65" s="1">
        <v>69</v>
      </c>
      <c r="AE65" s="2">
        <f>Table135811[[#This Row],[HDGA]]/Table14710[[#This Row],[GP]]</f>
        <v>0.84146341463414631</v>
      </c>
      <c r="AF65" s="1">
        <v>11.3</v>
      </c>
    </row>
    <row r="66" spans="1:32" hidden="1" x14ac:dyDescent="0.35">
      <c r="A66" t="s">
        <v>90</v>
      </c>
      <c r="B66">
        <v>1</v>
      </c>
      <c r="C66" t="s">
        <v>64</v>
      </c>
      <c r="D66" s="1">
        <v>1</v>
      </c>
      <c r="E66" s="1">
        <v>29.1</v>
      </c>
      <c r="F66" s="1">
        <v>82</v>
      </c>
      <c r="G66" s="1">
        <v>114</v>
      </c>
      <c r="H66" s="2">
        <f>Table14710[[#This Row],[PTS]]/Table14710[[#This Row],[GP]]</f>
        <v>1.3902439024390243</v>
      </c>
      <c r="I66" s="2">
        <v>0.69499999999999995</v>
      </c>
      <c r="J66" s="1">
        <v>278</v>
      </c>
      <c r="K66" s="3">
        <f>Table14710[[#This Row],[GF]]/Table14710[[#This Row],[GP]]</f>
        <v>3.3902439024390243</v>
      </c>
      <c r="L66" s="1">
        <v>226</v>
      </c>
      <c r="M66" s="1">
        <v>2.76</v>
      </c>
      <c r="N66" s="2">
        <f>(Table14710[[#This Row],[GF]]^2)/((Table14710[[#This Row],[GF]]^2)+(Table14710[[#This Row],[GA]]^2))</f>
        <v>0.60208787784356499</v>
      </c>
      <c r="O66" s="1">
        <v>26.42</v>
      </c>
      <c r="P66" s="1">
        <v>84.48</v>
      </c>
      <c r="Q66" s="1">
        <f>Table14710[[#This Row],[PP_PCT]]+Table14710[[#This Row],[PK_PCT]]</f>
        <v>110.9</v>
      </c>
      <c r="R66" s="3">
        <v>10.8</v>
      </c>
      <c r="S66" s="3">
        <f>Table14710[[#This Row],[GA]]/Table14710[[#This Row],[GP]]</f>
        <v>2.7560975609756095</v>
      </c>
      <c r="T66" s="2">
        <v>0.93</v>
      </c>
      <c r="U66" s="1">
        <v>100.6</v>
      </c>
      <c r="V66" s="1">
        <v>47.1</v>
      </c>
      <c r="W66" s="1">
        <v>46.7</v>
      </c>
      <c r="X66" s="1">
        <v>169.6</v>
      </c>
      <c r="Y66" s="3">
        <f>Table135811[[#This Row],[XGF]]/Table14710[[#This Row],[GP]]</f>
        <v>2.0682926829268293</v>
      </c>
      <c r="Z66" s="1">
        <v>189.3</v>
      </c>
      <c r="AA66" s="3">
        <f>Table135811[[#This Row],[XGA]]/Table14710[[#This Row],[GP]]</f>
        <v>2.3085365853658537</v>
      </c>
      <c r="AB66" s="1">
        <v>67</v>
      </c>
      <c r="AC66" s="2">
        <f>Table135811[[#This Row],[HDGF]]/Table14710[[#This Row],[GP]]</f>
        <v>0.81707317073170727</v>
      </c>
      <c r="AD66" s="1">
        <v>65</v>
      </c>
      <c r="AE66" s="2">
        <f>Table135811[[#This Row],[HDGA]]/Table14710[[#This Row],[GP]]</f>
        <v>0.79268292682926833</v>
      </c>
      <c r="AF66" s="1">
        <v>9.4</v>
      </c>
    </row>
    <row r="67" spans="1:32" hidden="1" x14ac:dyDescent="0.35">
      <c r="A67" t="s">
        <v>90</v>
      </c>
      <c r="B67">
        <v>2</v>
      </c>
      <c r="C67" t="s">
        <v>71</v>
      </c>
      <c r="D67" s="1">
        <v>1</v>
      </c>
      <c r="E67" s="1">
        <v>29.3</v>
      </c>
      <c r="F67" s="1">
        <v>82</v>
      </c>
      <c r="G67" s="1">
        <v>113</v>
      </c>
      <c r="H67" s="2">
        <f>Table14710[[#This Row],[PTS]]/Table14710[[#This Row],[GP]]</f>
        <v>1.3780487804878048</v>
      </c>
      <c r="I67" s="2">
        <v>0.68899999999999995</v>
      </c>
      <c r="J67" s="1">
        <v>294</v>
      </c>
      <c r="K67" s="3">
        <f>Table14710[[#This Row],[GF]]/Table14710[[#This Row],[GP]]</f>
        <v>3.5853658536585367</v>
      </c>
      <c r="L67" s="1">
        <v>232</v>
      </c>
      <c r="M67" s="1">
        <v>2.83</v>
      </c>
      <c r="N67" s="2">
        <f>(Table14710[[#This Row],[GF]]^2)/((Table14710[[#This Row],[GF]]^2)+(Table14710[[#This Row],[GA]]^2))</f>
        <v>0.61625552545273066</v>
      </c>
      <c r="O67" s="1">
        <v>24.17</v>
      </c>
      <c r="P67" s="1">
        <v>82.01</v>
      </c>
      <c r="Q67" s="1">
        <f>Table14710[[#This Row],[PP_PCT]]+Table14710[[#This Row],[PK_PCT]]</f>
        <v>106.18</v>
      </c>
      <c r="R67" s="3">
        <v>11.4</v>
      </c>
      <c r="S67" s="3">
        <f>Table14710[[#This Row],[GA]]/Table14710[[#This Row],[GP]]</f>
        <v>2.8292682926829267</v>
      </c>
      <c r="T67" s="2">
        <v>0.92700000000000005</v>
      </c>
      <c r="U67" s="1">
        <v>100.4</v>
      </c>
      <c r="V67" s="1">
        <v>51.8</v>
      </c>
      <c r="W67" s="1">
        <v>51.8</v>
      </c>
      <c r="X67" s="1">
        <v>182.3</v>
      </c>
      <c r="Y67" s="3">
        <f>Table135811[[#This Row],[XGF]]/Table14710[[#This Row],[GP]]</f>
        <v>2.223170731707317</v>
      </c>
      <c r="Z67" s="1">
        <v>168.7</v>
      </c>
      <c r="AA67" s="3">
        <f>Table135811[[#This Row],[XGA]]/Table14710[[#This Row],[GP]]</f>
        <v>2.0573170731707315</v>
      </c>
      <c r="AB67" s="1">
        <v>72</v>
      </c>
      <c r="AC67" s="2">
        <f>Table135811[[#This Row],[HDGF]]/Table14710[[#This Row],[GP]]</f>
        <v>0.87804878048780488</v>
      </c>
      <c r="AD67" s="1">
        <v>55</v>
      </c>
      <c r="AE67" s="2">
        <f>Table135811[[#This Row],[HDGA]]/Table14710[[#This Row],[GP]]</f>
        <v>0.67073170731707321</v>
      </c>
      <c r="AF67" s="1">
        <v>6.8</v>
      </c>
    </row>
    <row r="68" spans="1:32" hidden="1" x14ac:dyDescent="0.35">
      <c r="A68" t="s">
        <v>90</v>
      </c>
      <c r="B68">
        <v>3</v>
      </c>
      <c r="C68" t="s">
        <v>59</v>
      </c>
      <c r="D68" s="1">
        <v>1</v>
      </c>
      <c r="E68" s="1">
        <v>29.4</v>
      </c>
      <c r="F68" s="1">
        <v>82</v>
      </c>
      <c r="G68" s="1">
        <v>111</v>
      </c>
      <c r="H68" s="2">
        <f>Table14710[[#This Row],[PTS]]/Table14710[[#This Row],[GP]]</f>
        <v>1.3536585365853659</v>
      </c>
      <c r="I68" s="2">
        <v>0.67700000000000005</v>
      </c>
      <c r="J68" s="1">
        <v>277</v>
      </c>
      <c r="K68" s="3">
        <f>Table14710[[#This Row],[GF]]/Table14710[[#This Row],[GP]]</f>
        <v>3.3780487804878048</v>
      </c>
      <c r="L68" s="1">
        <v>211</v>
      </c>
      <c r="M68" s="1">
        <v>2.57</v>
      </c>
      <c r="N68" s="2">
        <f>(Table14710[[#This Row],[GF]]^2)/((Table14710[[#This Row],[GF]]^2)+(Table14710[[#This Row],[GA]]^2))</f>
        <v>0.63281649484536084</v>
      </c>
      <c r="O68" s="1">
        <v>26.91</v>
      </c>
      <c r="P68" s="1">
        <v>86.43</v>
      </c>
      <c r="Q68" s="1">
        <f>Table14710[[#This Row],[PP_PCT]]+Table14710[[#This Row],[PK_PCT]]</f>
        <v>113.34</v>
      </c>
      <c r="R68" s="3">
        <v>10.1</v>
      </c>
      <c r="S68" s="3">
        <f>Table14710[[#This Row],[GA]]/Table14710[[#This Row],[GP]]</f>
        <v>2.5731707317073171</v>
      </c>
      <c r="T68" s="2">
        <v>0.91200000000000003</v>
      </c>
      <c r="U68" s="1">
        <v>97.6</v>
      </c>
      <c r="V68" s="1">
        <v>51.4</v>
      </c>
      <c r="W68" s="1">
        <v>50.2</v>
      </c>
      <c r="X68" s="1">
        <v>149.80000000000001</v>
      </c>
      <c r="Y68" s="3">
        <f>Table135811[[#This Row],[XGF]]/Table14710[[#This Row],[GP]]</f>
        <v>1.826829268292683</v>
      </c>
      <c r="Z68" s="1">
        <v>145.4</v>
      </c>
      <c r="AA68" s="3">
        <f>Table135811[[#This Row],[XGA]]/Table14710[[#This Row],[GP]]</f>
        <v>1.7731707317073171</v>
      </c>
      <c r="AB68" s="1">
        <v>48</v>
      </c>
      <c r="AC68" s="2">
        <f>Table135811[[#This Row],[HDGF]]/Table14710[[#This Row],[GP]]</f>
        <v>0.58536585365853655</v>
      </c>
      <c r="AD68" s="1">
        <v>44</v>
      </c>
      <c r="AE68" s="2">
        <f>Table135811[[#This Row],[HDGA]]/Table14710[[#This Row],[GP]]</f>
        <v>0.53658536585365857</v>
      </c>
      <c r="AF68" s="1">
        <v>8.5</v>
      </c>
    </row>
    <row r="69" spans="1:32" hidden="1" x14ac:dyDescent="0.35">
      <c r="A69" t="s">
        <v>90</v>
      </c>
      <c r="B69">
        <v>4</v>
      </c>
      <c r="C69" t="s">
        <v>75</v>
      </c>
      <c r="D69" s="1">
        <v>1</v>
      </c>
      <c r="E69" s="1">
        <v>29.4</v>
      </c>
      <c r="F69" s="1">
        <v>82</v>
      </c>
      <c r="G69" s="1">
        <v>110</v>
      </c>
      <c r="H69" s="2">
        <f>Table14710[[#This Row],[PTS]]/Table14710[[#This Row],[GP]]</f>
        <v>1.3414634146341464</v>
      </c>
      <c r="I69" s="2">
        <v>0.67100000000000004</v>
      </c>
      <c r="J69" s="1">
        <v>259</v>
      </c>
      <c r="K69" s="3">
        <f>Table14710[[#This Row],[GF]]/Table14710[[#This Row],[GP]]</f>
        <v>3.1585365853658538</v>
      </c>
      <c r="L69" s="1">
        <v>198</v>
      </c>
      <c r="M69" s="1">
        <v>2.41</v>
      </c>
      <c r="N69" s="2">
        <f>(Table14710[[#This Row],[GF]]^2)/((Table14710[[#This Row],[GF]]^2)+(Table14710[[#This Row],[GA]]^2))</f>
        <v>0.63114268241050009</v>
      </c>
      <c r="O69" s="1">
        <v>18.75</v>
      </c>
      <c r="P69" s="1">
        <v>77.13</v>
      </c>
      <c r="Q69" s="1">
        <f>Table14710[[#This Row],[PP_PCT]]+Table14710[[#This Row],[PK_PCT]]</f>
        <v>95.88</v>
      </c>
      <c r="R69" s="3">
        <v>10.4</v>
      </c>
      <c r="S69" s="3">
        <f>Table14710[[#This Row],[GA]]/Table14710[[#This Row],[GP]]</f>
        <v>2.4146341463414633</v>
      </c>
      <c r="T69" s="2">
        <v>0.90500000000000003</v>
      </c>
      <c r="U69" s="1">
        <v>98.6</v>
      </c>
      <c r="V69" s="1">
        <v>50.4</v>
      </c>
      <c r="W69" s="1">
        <v>50.1</v>
      </c>
      <c r="X69" s="1">
        <v>185.4</v>
      </c>
      <c r="Y69" s="3">
        <f>Table135811[[#This Row],[XGF]]/Table14710[[#This Row],[GP]]</f>
        <v>2.2609756097560978</v>
      </c>
      <c r="Z69" s="1">
        <v>180.3</v>
      </c>
      <c r="AA69" s="3">
        <f>Table135811[[#This Row],[XGA]]/Table14710[[#This Row],[GP]]</f>
        <v>2.198780487804878</v>
      </c>
      <c r="AB69" s="1">
        <v>82</v>
      </c>
      <c r="AC69" s="2">
        <f>Table135811[[#This Row],[HDGF]]/Table14710[[#This Row],[GP]]</f>
        <v>1</v>
      </c>
      <c r="AD69" s="1">
        <v>92</v>
      </c>
      <c r="AE69" s="2">
        <f>Table135811[[#This Row],[HDGA]]/Table14710[[#This Row],[GP]]</f>
        <v>1.1219512195121952</v>
      </c>
      <c r="AF69" s="1">
        <v>8.1999999999999993</v>
      </c>
    </row>
    <row r="70" spans="1:32" hidden="1" x14ac:dyDescent="0.35">
      <c r="A70" t="s">
        <v>90</v>
      </c>
      <c r="B70">
        <v>5</v>
      </c>
      <c r="C70" t="s">
        <v>57</v>
      </c>
      <c r="D70" s="1">
        <v>1</v>
      </c>
      <c r="E70" s="1">
        <v>29.5</v>
      </c>
      <c r="F70" s="1">
        <v>82</v>
      </c>
      <c r="G70" s="1">
        <v>110</v>
      </c>
      <c r="H70" s="2">
        <f>Table14710[[#This Row],[PTS]]/Table14710[[#This Row],[GP]]</f>
        <v>1.3414634146341464</v>
      </c>
      <c r="I70" s="2">
        <v>0.67100000000000004</v>
      </c>
      <c r="J70" s="1">
        <v>265</v>
      </c>
      <c r="K70" s="3">
        <f>Table14710[[#This Row],[GF]]/Table14710[[#This Row],[GP]]</f>
        <v>3.2317073170731709</v>
      </c>
      <c r="L70" s="1">
        <v>198</v>
      </c>
      <c r="M70" s="1">
        <v>2.41</v>
      </c>
      <c r="N70" s="2">
        <f>(Table14710[[#This Row],[GF]]^2)/((Table14710[[#This Row],[GF]]^2)+(Table14710[[#This Row],[GA]]^2))</f>
        <v>0.64174030650010505</v>
      </c>
      <c r="O70" s="1">
        <v>23.51</v>
      </c>
      <c r="P70" s="1">
        <v>82.47</v>
      </c>
      <c r="Q70" s="1">
        <f>Table14710[[#This Row],[PP_PCT]]+Table14710[[#This Row],[PK_PCT]]</f>
        <v>105.98</v>
      </c>
      <c r="R70" s="3">
        <v>9.6</v>
      </c>
      <c r="S70" s="3">
        <f>Table14710[[#This Row],[GA]]/Table14710[[#This Row],[GP]]</f>
        <v>2.4146341463414633</v>
      </c>
      <c r="T70" s="2">
        <v>0.92200000000000004</v>
      </c>
      <c r="U70" s="1">
        <v>100.4</v>
      </c>
      <c r="V70" s="1">
        <v>53.8</v>
      </c>
      <c r="W70" s="1">
        <v>54</v>
      </c>
      <c r="X70" s="1">
        <v>201.7</v>
      </c>
      <c r="Y70" s="3">
        <f>Table135811[[#This Row],[XGF]]/Table14710[[#This Row],[GP]]</f>
        <v>2.4597560975609754</v>
      </c>
      <c r="Z70" s="1">
        <v>155.6</v>
      </c>
      <c r="AA70" s="3">
        <f>Table135811[[#This Row],[XGA]]/Table14710[[#This Row],[GP]]</f>
        <v>1.897560975609756</v>
      </c>
      <c r="AB70" s="1">
        <v>84</v>
      </c>
      <c r="AC70" s="2">
        <f>Table135811[[#This Row],[HDGF]]/Table14710[[#This Row],[GP]]</f>
        <v>1.024390243902439</v>
      </c>
      <c r="AD70" s="1">
        <v>62</v>
      </c>
      <c r="AE70" s="2">
        <f>Table135811[[#This Row],[HDGA]]/Table14710[[#This Row],[GP]]</f>
        <v>0.75609756097560976</v>
      </c>
      <c r="AF70" s="1">
        <v>13.6</v>
      </c>
    </row>
    <row r="71" spans="1:32" hidden="1" x14ac:dyDescent="0.35">
      <c r="A71" t="s">
        <v>90</v>
      </c>
      <c r="B71">
        <v>6</v>
      </c>
      <c r="C71" t="s">
        <v>66</v>
      </c>
      <c r="D71" s="1">
        <v>1</v>
      </c>
      <c r="E71" s="1">
        <v>28.6</v>
      </c>
      <c r="F71" s="1">
        <v>82</v>
      </c>
      <c r="G71" s="1">
        <v>109</v>
      </c>
      <c r="H71" s="2">
        <f>Table14710[[#This Row],[PTS]]/Table14710[[#This Row],[GP]]</f>
        <v>1.3292682926829269</v>
      </c>
      <c r="I71" s="2">
        <v>0.66500000000000004</v>
      </c>
      <c r="J71" s="1">
        <v>263</v>
      </c>
      <c r="K71" s="3">
        <f>Table14710[[#This Row],[GF]]/Table14710[[#This Row],[GP]]</f>
        <v>3.2073170731707319</v>
      </c>
      <c r="L71" s="1">
        <v>221</v>
      </c>
      <c r="M71" s="1">
        <v>2.7</v>
      </c>
      <c r="N71" s="2">
        <f>(Table14710[[#This Row],[GF]]^2)/((Table14710[[#This Row],[GF]]^2)+(Table14710[[#This Row],[GA]]^2))</f>
        <v>0.58612829421235491</v>
      </c>
      <c r="O71" s="1">
        <v>22.22</v>
      </c>
      <c r="P71" s="1">
        <v>82.46</v>
      </c>
      <c r="Q71" s="1">
        <f>Table14710[[#This Row],[PP_PCT]]+Table14710[[#This Row],[PK_PCT]]</f>
        <v>104.67999999999999</v>
      </c>
      <c r="R71" s="3">
        <v>11</v>
      </c>
      <c r="S71" s="3">
        <f>Table14710[[#This Row],[GA]]/Table14710[[#This Row],[GP]]</f>
        <v>2.6951219512195124</v>
      </c>
      <c r="T71" s="2">
        <v>0.91200000000000003</v>
      </c>
      <c r="U71" s="1">
        <v>99.5</v>
      </c>
      <c r="V71" s="1">
        <v>52.6</v>
      </c>
      <c r="W71" s="1">
        <v>50.8</v>
      </c>
      <c r="X71" s="1">
        <v>177.2</v>
      </c>
      <c r="Y71" s="3">
        <f>Table135811[[#This Row],[XGF]]/Table14710[[#This Row],[GP]]</f>
        <v>2.1609756097560973</v>
      </c>
      <c r="Z71" s="1">
        <v>173.8</v>
      </c>
      <c r="AA71" s="3">
        <f>Table135811[[#This Row],[XGA]]/Table14710[[#This Row],[GP]]</f>
        <v>2.1195121951219513</v>
      </c>
      <c r="AB71" s="1">
        <v>69</v>
      </c>
      <c r="AC71" s="2">
        <f>Table135811[[#This Row],[HDGF]]/Table14710[[#This Row],[GP]]</f>
        <v>0.84146341463414631</v>
      </c>
      <c r="AD71" s="1">
        <v>77</v>
      </c>
      <c r="AE71" s="2">
        <f>Table135811[[#This Row],[HDGA]]/Table14710[[#This Row],[GP]]</f>
        <v>0.93902439024390238</v>
      </c>
      <c r="AF71" s="1">
        <v>9.5</v>
      </c>
    </row>
    <row r="72" spans="1:32" hidden="1" x14ac:dyDescent="0.35">
      <c r="A72" t="s">
        <v>90</v>
      </c>
      <c r="B72">
        <v>7</v>
      </c>
      <c r="C72" t="s">
        <v>74</v>
      </c>
      <c r="D72" s="1">
        <v>1</v>
      </c>
      <c r="E72" s="1">
        <v>28.6</v>
      </c>
      <c r="F72" s="1">
        <v>82</v>
      </c>
      <c r="G72" s="1">
        <v>109</v>
      </c>
      <c r="H72" s="2">
        <f>Table14710[[#This Row],[PTS]]/Table14710[[#This Row],[GP]]</f>
        <v>1.3292682926829269</v>
      </c>
      <c r="I72" s="2">
        <v>0.66500000000000004</v>
      </c>
      <c r="J72" s="1">
        <v>279</v>
      </c>
      <c r="K72" s="3">
        <f>Table14710[[#This Row],[GF]]/Table14710[[#This Row],[GP]]</f>
        <v>3.4024390243902438</v>
      </c>
      <c r="L72" s="1">
        <v>221</v>
      </c>
      <c r="M72" s="1">
        <v>2.7</v>
      </c>
      <c r="N72" s="2">
        <f>(Table14710[[#This Row],[GF]]^2)/((Table14710[[#This Row],[GF]]^2)+(Table14710[[#This Row],[GA]]^2))</f>
        <v>0.6144598285470706</v>
      </c>
      <c r="O72" s="1">
        <v>22.57</v>
      </c>
      <c r="P72" s="1">
        <v>79.13</v>
      </c>
      <c r="Q72" s="1">
        <f>Table14710[[#This Row],[PP_PCT]]+Table14710[[#This Row],[PK_PCT]]</f>
        <v>101.69999999999999</v>
      </c>
      <c r="R72" s="3">
        <v>12</v>
      </c>
      <c r="S72" s="3">
        <f>Table14710[[#This Row],[GA]]/Table14710[[#This Row],[GP]]</f>
        <v>2.6951219512195124</v>
      </c>
      <c r="T72" s="2">
        <v>0.92200000000000004</v>
      </c>
      <c r="U72" s="1">
        <v>100.1</v>
      </c>
      <c r="V72" s="1">
        <v>51.4</v>
      </c>
      <c r="W72" s="1">
        <v>49.8</v>
      </c>
      <c r="X72" s="1">
        <v>152.80000000000001</v>
      </c>
      <c r="Y72" s="3">
        <f>Table135811[[#This Row],[XGF]]/Table14710[[#This Row],[GP]]</f>
        <v>1.8634146341463416</v>
      </c>
      <c r="Z72" s="1">
        <v>141.69999999999999</v>
      </c>
      <c r="AA72" s="3">
        <f>Table135811[[#This Row],[XGA]]/Table14710[[#This Row],[GP]]</f>
        <v>1.7280487804878046</v>
      </c>
      <c r="AB72" s="1">
        <v>51</v>
      </c>
      <c r="AC72" s="2">
        <f>Table135811[[#This Row],[HDGF]]/Table14710[[#This Row],[GP]]</f>
        <v>0.62195121951219512</v>
      </c>
      <c r="AD72" s="1">
        <v>46</v>
      </c>
      <c r="AE72" s="2">
        <f>Table135811[[#This Row],[HDGA]]/Table14710[[#This Row],[GP]]</f>
        <v>0.56097560975609762</v>
      </c>
      <c r="AF72" s="1">
        <v>9.6</v>
      </c>
    </row>
    <row r="73" spans="1:32" hidden="1" x14ac:dyDescent="0.35">
      <c r="A73" t="s">
        <v>90</v>
      </c>
      <c r="B73">
        <v>8</v>
      </c>
      <c r="C73" t="s">
        <v>58</v>
      </c>
      <c r="D73" s="1">
        <v>1</v>
      </c>
      <c r="E73" s="1">
        <v>28.8</v>
      </c>
      <c r="F73" s="1">
        <v>82</v>
      </c>
      <c r="G73" s="1">
        <v>107</v>
      </c>
      <c r="H73" s="2">
        <f>Table14710[[#This Row],[PTS]]/Table14710[[#This Row],[GP]]</f>
        <v>1.3048780487804879</v>
      </c>
      <c r="I73" s="2">
        <v>0.65200000000000002</v>
      </c>
      <c r="J73" s="1">
        <v>302</v>
      </c>
      <c r="K73" s="3">
        <f>Table14710[[#This Row],[GF]]/Table14710[[#This Row],[GP]]</f>
        <v>3.6829268292682928</v>
      </c>
      <c r="L73" s="1">
        <v>252</v>
      </c>
      <c r="M73" s="1">
        <v>3.07</v>
      </c>
      <c r="N73" s="2">
        <f>(Table14710[[#This Row],[GF]]^2)/((Table14710[[#This Row],[GF]]^2)+(Table14710[[#This Row],[GA]]^2))</f>
        <v>0.58952348941231225</v>
      </c>
      <c r="O73" s="1">
        <v>24.46</v>
      </c>
      <c r="P73" s="1">
        <v>79.92</v>
      </c>
      <c r="Q73" s="1">
        <f>Table14710[[#This Row],[PP_PCT]]+Table14710[[#This Row],[PK_PCT]]</f>
        <v>104.38</v>
      </c>
      <c r="R73" s="3">
        <v>11.2</v>
      </c>
      <c r="S73" s="3">
        <f>Table14710[[#This Row],[GA]]/Table14710[[#This Row],[GP]]</f>
        <v>3.0731707317073171</v>
      </c>
      <c r="T73" s="2">
        <v>0.93</v>
      </c>
      <c r="U73" s="1">
        <v>100.9</v>
      </c>
      <c r="V73" s="1">
        <v>46</v>
      </c>
      <c r="W73" s="1">
        <v>46.1</v>
      </c>
      <c r="X73" s="1">
        <v>174.9</v>
      </c>
      <c r="Y73" s="3">
        <f>Table135811[[#This Row],[XGF]]/Table14710[[#This Row],[GP]]</f>
        <v>2.1329268292682926</v>
      </c>
      <c r="Z73" s="1">
        <v>196.6</v>
      </c>
      <c r="AA73" s="3">
        <f>Table135811[[#This Row],[XGA]]/Table14710[[#This Row],[GP]]</f>
        <v>2.397560975609756</v>
      </c>
      <c r="AB73" s="1">
        <v>74</v>
      </c>
      <c r="AC73" s="2">
        <f>Table135811[[#This Row],[HDGF]]/Table14710[[#This Row],[GP]]</f>
        <v>0.90243902439024393</v>
      </c>
      <c r="AD73" s="1">
        <v>66</v>
      </c>
      <c r="AE73" s="2">
        <f>Table135811[[#This Row],[HDGA]]/Table14710[[#This Row],[GP]]</f>
        <v>0.80487804878048785</v>
      </c>
      <c r="AF73" s="1">
        <v>8.9</v>
      </c>
    </row>
    <row r="74" spans="1:32" hidden="1" x14ac:dyDescent="0.35">
      <c r="A74" t="s">
        <v>90</v>
      </c>
      <c r="B74">
        <v>9</v>
      </c>
      <c r="C74" t="s">
        <v>67</v>
      </c>
      <c r="D74" s="1">
        <v>1</v>
      </c>
      <c r="E74" s="1">
        <v>29.4</v>
      </c>
      <c r="F74" s="1">
        <v>82</v>
      </c>
      <c r="G74" s="1">
        <v>104</v>
      </c>
      <c r="H74" s="2">
        <f>Table14710[[#This Row],[PTS]]/Table14710[[#This Row],[GP]]</f>
        <v>1.2682926829268293</v>
      </c>
      <c r="I74" s="2">
        <v>0.63400000000000001</v>
      </c>
      <c r="J74" s="1">
        <v>292</v>
      </c>
      <c r="K74" s="3">
        <f>Table14710[[#This Row],[GF]]/Table14710[[#This Row],[GP]]</f>
        <v>3.5609756097560976</v>
      </c>
      <c r="L74" s="1">
        <v>236</v>
      </c>
      <c r="M74" s="1">
        <v>2.88</v>
      </c>
      <c r="N74" s="2">
        <f>(Table14710[[#This Row],[GF]]^2)/((Table14710[[#This Row],[GF]]^2)+(Table14710[[#This Row],[GA]]^2))</f>
        <v>0.60488081725312148</v>
      </c>
      <c r="O74" s="1">
        <v>26.34</v>
      </c>
      <c r="P74" s="1">
        <v>79.459999999999994</v>
      </c>
      <c r="Q74" s="1">
        <f>Table14710[[#This Row],[PP_PCT]]+Table14710[[#This Row],[PK_PCT]]</f>
        <v>105.8</v>
      </c>
      <c r="R74" s="3">
        <v>10.5</v>
      </c>
      <c r="S74" s="3">
        <f>Table14710[[#This Row],[GA]]/Table14710[[#This Row],[GP]]</f>
        <v>2.8780487804878048</v>
      </c>
      <c r="T74" s="2">
        <v>0.93100000000000005</v>
      </c>
      <c r="U74" s="1">
        <v>101.3</v>
      </c>
      <c r="V74" s="1">
        <v>49.8</v>
      </c>
      <c r="W74" s="1">
        <v>49.5</v>
      </c>
      <c r="X74" s="1">
        <v>188.3</v>
      </c>
      <c r="Y74" s="3">
        <f>Table135811[[#This Row],[XGF]]/Table14710[[#This Row],[GP]]</f>
        <v>2.2963414634146342</v>
      </c>
      <c r="Z74" s="1">
        <v>183.8</v>
      </c>
      <c r="AA74" s="3">
        <f>Table135811[[#This Row],[XGA]]/Table14710[[#This Row],[GP]]</f>
        <v>2.2414634146341466</v>
      </c>
      <c r="AB74" s="1">
        <v>71</v>
      </c>
      <c r="AC74" s="2">
        <f>Table135811[[#This Row],[HDGF]]/Table14710[[#This Row],[GP]]</f>
        <v>0.86585365853658536</v>
      </c>
      <c r="AD74" s="1">
        <v>65</v>
      </c>
      <c r="AE74" s="2">
        <f>Table135811[[#This Row],[HDGA]]/Table14710[[#This Row],[GP]]</f>
        <v>0.79268292682926833</v>
      </c>
      <c r="AF74" s="1">
        <v>9.5</v>
      </c>
    </row>
    <row r="75" spans="1:32" hidden="1" x14ac:dyDescent="0.35">
      <c r="A75" t="s">
        <v>90</v>
      </c>
      <c r="B75">
        <v>10</v>
      </c>
      <c r="C75" t="s">
        <v>60</v>
      </c>
      <c r="D75" s="1">
        <v>1</v>
      </c>
      <c r="E75" s="1">
        <v>28.9</v>
      </c>
      <c r="F75" s="1">
        <v>82</v>
      </c>
      <c r="G75" s="1">
        <v>102</v>
      </c>
      <c r="H75" s="2">
        <f>Table14710[[#This Row],[PTS]]/Table14710[[#This Row],[GP]]</f>
        <v>1.2439024390243902</v>
      </c>
      <c r="I75" s="2">
        <v>0.622</v>
      </c>
      <c r="J75" s="1">
        <v>298</v>
      </c>
      <c r="K75" s="3">
        <f>Table14710[[#This Row],[GF]]/Table14710[[#This Row],[GP]]</f>
        <v>3.6341463414634148</v>
      </c>
      <c r="L75" s="1">
        <v>261</v>
      </c>
      <c r="M75" s="1">
        <v>3.18</v>
      </c>
      <c r="N75" s="2">
        <f>(Table14710[[#This Row],[GF]]^2)/((Table14710[[#This Row],[GF]]^2)+(Table14710[[#This Row],[GA]]^2))</f>
        <v>0.56590090807710691</v>
      </c>
      <c r="O75" s="1">
        <v>23.95</v>
      </c>
      <c r="P75" s="1">
        <v>76.89</v>
      </c>
      <c r="Q75" s="1">
        <f>Table14710[[#This Row],[PP_PCT]]+Table14710[[#This Row],[PK_PCT]]</f>
        <v>100.84</v>
      </c>
      <c r="R75" s="3">
        <v>11.2</v>
      </c>
      <c r="S75" s="3">
        <f>Table14710[[#This Row],[GA]]/Table14710[[#This Row],[GP]]</f>
        <v>3.1829268292682928</v>
      </c>
      <c r="T75" s="2">
        <v>0.93</v>
      </c>
      <c r="U75" s="1">
        <v>100.7</v>
      </c>
      <c r="V75" s="1">
        <v>47.5</v>
      </c>
      <c r="W75" s="1">
        <v>48.3</v>
      </c>
      <c r="X75" s="1">
        <v>174.4</v>
      </c>
      <c r="Y75" s="3">
        <f>Table135811[[#This Row],[XGF]]/Table14710[[#This Row],[GP]]</f>
        <v>2.126829268292683</v>
      </c>
      <c r="Z75" s="1">
        <v>177.4</v>
      </c>
      <c r="AA75" s="3">
        <f>Table135811[[#This Row],[XGA]]/Table14710[[#This Row],[GP]]</f>
        <v>2.1634146341463416</v>
      </c>
      <c r="AB75" s="1">
        <v>65</v>
      </c>
      <c r="AC75" s="2">
        <f>Table135811[[#This Row],[HDGF]]/Table14710[[#This Row],[GP]]</f>
        <v>0.79268292682926833</v>
      </c>
      <c r="AD75" s="1">
        <v>60</v>
      </c>
      <c r="AE75" s="2">
        <f>Table135811[[#This Row],[HDGA]]/Table14710[[#This Row],[GP]]</f>
        <v>0.73170731707317072</v>
      </c>
      <c r="AF75" s="1">
        <v>9.9</v>
      </c>
    </row>
    <row r="76" spans="1:32" hidden="1" x14ac:dyDescent="0.35">
      <c r="A76" t="s">
        <v>90</v>
      </c>
      <c r="B76">
        <v>11</v>
      </c>
      <c r="C76" t="s">
        <v>72</v>
      </c>
      <c r="D76" s="1">
        <v>1</v>
      </c>
      <c r="E76" s="1">
        <v>29.5</v>
      </c>
      <c r="F76" s="1">
        <v>82</v>
      </c>
      <c r="G76" s="1">
        <v>99</v>
      </c>
      <c r="H76" s="2">
        <f>Table14710[[#This Row],[PTS]]/Table14710[[#This Row],[GP]]</f>
        <v>1.2073170731707317</v>
      </c>
      <c r="I76" s="2">
        <v>0.60399999999999998</v>
      </c>
      <c r="J76" s="1">
        <v>266</v>
      </c>
      <c r="K76" s="3">
        <f>Table14710[[#This Row],[GF]]/Table14710[[#This Row],[GP]]</f>
        <v>3.2439024390243905</v>
      </c>
      <c r="L76" s="1">
        <v>248</v>
      </c>
      <c r="M76" s="1">
        <v>3.02</v>
      </c>
      <c r="N76" s="2">
        <f>(Table14710[[#This Row],[GF]]^2)/((Table14710[[#This Row],[GF]]^2)+(Table14710[[#This Row],[GA]]^2))</f>
        <v>0.53497656131861482</v>
      </c>
      <c r="O76" s="1">
        <v>21.56</v>
      </c>
      <c r="P76" s="1">
        <v>76.92</v>
      </c>
      <c r="Q76" s="1">
        <f>Table14710[[#This Row],[PP_PCT]]+Table14710[[#This Row],[PK_PCT]]</f>
        <v>98.48</v>
      </c>
      <c r="R76" s="3">
        <v>10.1</v>
      </c>
      <c r="S76" s="3">
        <f>Table14710[[#This Row],[GA]]/Table14710[[#This Row],[GP]]</f>
        <v>3.024390243902439</v>
      </c>
      <c r="T76" s="2">
        <v>0.92500000000000004</v>
      </c>
      <c r="U76" s="1">
        <v>100.5</v>
      </c>
      <c r="V76" s="1">
        <v>50.4</v>
      </c>
      <c r="W76" s="1">
        <v>50.4</v>
      </c>
      <c r="X76" s="1">
        <v>148.5</v>
      </c>
      <c r="Y76" s="3">
        <f>Table135811[[#This Row],[XGF]]/Table14710[[#This Row],[GP]]</f>
        <v>1.8109756097560976</v>
      </c>
      <c r="Z76" s="1">
        <v>152.80000000000001</v>
      </c>
      <c r="AA76" s="3">
        <f>Table135811[[#This Row],[XGA]]/Table14710[[#This Row],[GP]]</f>
        <v>1.8634146341463416</v>
      </c>
      <c r="AB76" s="1">
        <v>49</v>
      </c>
      <c r="AC76" s="2">
        <f>Table135811[[#This Row],[HDGF]]/Table14710[[#This Row],[GP]]</f>
        <v>0.59756097560975607</v>
      </c>
      <c r="AD76" s="1">
        <v>41</v>
      </c>
      <c r="AE76" s="2">
        <f>Table135811[[#This Row],[HDGA]]/Table14710[[#This Row],[GP]]</f>
        <v>0.5</v>
      </c>
      <c r="AF76" s="1">
        <v>9.6999999999999993</v>
      </c>
    </row>
    <row r="77" spans="1:32" hidden="1" x14ac:dyDescent="0.35">
      <c r="A77" t="s">
        <v>90</v>
      </c>
      <c r="B77">
        <v>12</v>
      </c>
      <c r="C77" t="s">
        <v>70</v>
      </c>
      <c r="D77" s="1">
        <v>1</v>
      </c>
      <c r="E77" s="1">
        <v>29.5</v>
      </c>
      <c r="F77" s="1">
        <v>82</v>
      </c>
      <c r="G77" s="1">
        <v>99</v>
      </c>
      <c r="H77" s="2">
        <f>Table14710[[#This Row],[PTS]]/Table14710[[#This Row],[GP]]</f>
        <v>1.2073170731707317</v>
      </c>
      <c r="I77" s="2">
        <v>0.60399999999999998</v>
      </c>
      <c r="J77" s="1">
        <v>254</v>
      </c>
      <c r="K77" s="3">
        <f>Table14710[[#This Row],[GF]]/Table14710[[#This Row],[GP]]</f>
        <v>3.0975609756097562</v>
      </c>
      <c r="L77" s="1">
        <v>210</v>
      </c>
      <c r="M77" s="1">
        <v>2.56</v>
      </c>
      <c r="N77" s="2">
        <f>(Table14710[[#This Row],[GF]]^2)/((Table14710[[#This Row],[GF]]^2)+(Table14710[[#This Row],[GA]]^2))</f>
        <v>0.59398247035427565</v>
      </c>
      <c r="O77" s="1">
        <v>22.58</v>
      </c>
      <c r="P77" s="1">
        <v>84.58</v>
      </c>
      <c r="Q77" s="1">
        <f>Table14710[[#This Row],[PP_PCT]]+Table14710[[#This Row],[PK_PCT]]</f>
        <v>107.16</v>
      </c>
      <c r="R77" s="3">
        <v>9.6999999999999993</v>
      </c>
      <c r="S77" s="3">
        <f>Table14710[[#This Row],[GA]]/Table14710[[#This Row],[GP]]</f>
        <v>2.5609756097560976</v>
      </c>
      <c r="T77" s="2">
        <v>0.93</v>
      </c>
      <c r="U77" s="1">
        <v>101</v>
      </c>
      <c r="V77" s="1">
        <v>47.1</v>
      </c>
      <c r="W77" s="1">
        <v>47.4</v>
      </c>
      <c r="X77" s="1">
        <v>163.9</v>
      </c>
      <c r="Y77" s="3">
        <f>Table135811[[#This Row],[XGF]]/Table14710[[#This Row],[GP]]</f>
        <v>1.998780487804878</v>
      </c>
      <c r="Z77" s="1">
        <v>177.1</v>
      </c>
      <c r="AA77" s="3">
        <f>Table135811[[#This Row],[XGA]]/Table14710[[#This Row],[GP]]</f>
        <v>2.1597560975609755</v>
      </c>
      <c r="AB77" s="1">
        <v>75</v>
      </c>
      <c r="AC77" s="2">
        <f>Table135811[[#This Row],[HDGF]]/Table14710[[#This Row],[GP]]</f>
        <v>0.91463414634146345</v>
      </c>
      <c r="AD77" s="1">
        <v>64</v>
      </c>
      <c r="AE77" s="2">
        <f>Table135811[[#This Row],[HDGA]]/Table14710[[#This Row],[GP]]</f>
        <v>0.78048780487804881</v>
      </c>
      <c r="AF77" s="1">
        <v>8.6999999999999993</v>
      </c>
    </row>
    <row r="78" spans="1:32" hidden="1" x14ac:dyDescent="0.35">
      <c r="A78" t="s">
        <v>90</v>
      </c>
      <c r="B78">
        <v>13</v>
      </c>
      <c r="C78" t="s">
        <v>63</v>
      </c>
      <c r="D78" s="1">
        <v>1</v>
      </c>
      <c r="E78" s="1">
        <v>29.1</v>
      </c>
      <c r="F78" s="1">
        <v>82</v>
      </c>
      <c r="G78" s="1">
        <v>98</v>
      </c>
      <c r="H78" s="2">
        <f>Table14710[[#This Row],[PTS]]/Table14710[[#This Row],[GP]]</f>
        <v>1.1951219512195121</v>
      </c>
      <c r="I78" s="2">
        <v>0.59799999999999998</v>
      </c>
      <c r="J78" s="1">
        <v>288</v>
      </c>
      <c r="K78" s="3">
        <f>Table14710[[#This Row],[GF]]/Table14710[[#This Row],[GP]]</f>
        <v>3.5121951219512195</v>
      </c>
      <c r="L78" s="1">
        <v>267</v>
      </c>
      <c r="M78" s="1">
        <v>3.26</v>
      </c>
      <c r="N78" s="2">
        <f>(Table14710[[#This Row],[GF]]^2)/((Table14710[[#This Row],[GF]]^2)+(Table14710[[#This Row],[GA]]^2))</f>
        <v>0.53778374277878271</v>
      </c>
      <c r="O78" s="1">
        <v>28.63</v>
      </c>
      <c r="P78" s="1">
        <v>83.33</v>
      </c>
      <c r="Q78" s="1">
        <f>Table14710[[#This Row],[PP_PCT]]+Table14710[[#This Row],[PK_PCT]]</f>
        <v>111.96</v>
      </c>
      <c r="R78" s="3">
        <v>12</v>
      </c>
      <c r="S78" s="3">
        <f>Table14710[[#This Row],[GA]]/Table14710[[#This Row],[GP]]</f>
        <v>3.2560975609756095</v>
      </c>
      <c r="T78" s="2">
        <v>0.92600000000000005</v>
      </c>
      <c r="U78" s="1">
        <v>101.1</v>
      </c>
      <c r="V78" s="1">
        <v>49.8</v>
      </c>
      <c r="W78" s="1">
        <v>50.3</v>
      </c>
      <c r="X78" s="1">
        <v>178.5</v>
      </c>
      <c r="Y78" s="3">
        <f>Table135811[[#This Row],[XGF]]/Table14710[[#This Row],[GP]]</f>
        <v>2.1768292682926829</v>
      </c>
      <c r="Z78" s="1">
        <v>180.7</v>
      </c>
      <c r="AA78" s="3">
        <f>Table135811[[#This Row],[XGA]]/Table14710[[#This Row],[GP]]</f>
        <v>2.2036585365853658</v>
      </c>
      <c r="AB78" s="1">
        <v>72</v>
      </c>
      <c r="AC78" s="2">
        <f>Table135811[[#This Row],[HDGF]]/Table14710[[#This Row],[GP]]</f>
        <v>0.87804878048780488</v>
      </c>
      <c r="AD78" s="1">
        <v>54</v>
      </c>
      <c r="AE78" s="2">
        <f>Table135811[[#This Row],[HDGA]]/Table14710[[#This Row],[GP]]</f>
        <v>0.65853658536585369</v>
      </c>
      <c r="AF78" s="1">
        <v>11</v>
      </c>
    </row>
    <row r="79" spans="1:32" hidden="1" x14ac:dyDescent="0.35">
      <c r="A79" t="s">
        <v>90</v>
      </c>
      <c r="B79">
        <v>14</v>
      </c>
      <c r="C79" t="s">
        <v>73</v>
      </c>
      <c r="D79" s="1">
        <v>1</v>
      </c>
      <c r="E79" s="1">
        <v>29</v>
      </c>
      <c r="F79" s="1">
        <v>82</v>
      </c>
      <c r="G79" s="1">
        <v>98</v>
      </c>
      <c r="H79" s="2">
        <f>Table14710[[#This Row],[PTS]]/Table14710[[#This Row],[GP]]</f>
        <v>1.1951219512195121</v>
      </c>
      <c r="I79" s="2">
        <v>0.59799999999999998</v>
      </c>
      <c r="J79" s="1">
        <v>263</v>
      </c>
      <c r="K79" s="3">
        <f>Table14710[[#This Row],[GF]]/Table14710[[#This Row],[GP]]</f>
        <v>3.2073170731707319</v>
      </c>
      <c r="L79" s="1">
        <v>243</v>
      </c>
      <c r="M79" s="1">
        <v>2.96</v>
      </c>
      <c r="N79" s="2">
        <f>(Table14710[[#This Row],[GF]]^2)/((Table14710[[#This Row],[GF]]^2)+(Table14710[[#This Row],[GA]]^2))</f>
        <v>0.53946403781060381</v>
      </c>
      <c r="O79" s="1">
        <v>20.239999999999998</v>
      </c>
      <c r="P79" s="1">
        <v>79.34</v>
      </c>
      <c r="Q79" s="1">
        <f>Table14710[[#This Row],[PP_PCT]]+Table14710[[#This Row],[PK_PCT]]</f>
        <v>99.58</v>
      </c>
      <c r="R79" s="3">
        <v>10.3</v>
      </c>
      <c r="S79" s="3">
        <f>Table14710[[#This Row],[GA]]/Table14710[[#This Row],[GP]]</f>
        <v>2.9634146341463414</v>
      </c>
      <c r="T79" s="2">
        <v>0.92100000000000004</v>
      </c>
      <c r="U79" s="1">
        <v>99.9</v>
      </c>
      <c r="V79" s="1">
        <v>50.5</v>
      </c>
      <c r="W79" s="1">
        <v>50.4</v>
      </c>
      <c r="X79" s="1">
        <v>169</v>
      </c>
      <c r="Y79" s="3">
        <f>Table135811[[#This Row],[XGF]]/Table14710[[#This Row],[GP]]</f>
        <v>2.0609756097560976</v>
      </c>
      <c r="Z79" s="1">
        <v>167.8</v>
      </c>
      <c r="AA79" s="3">
        <f>Table135811[[#This Row],[XGA]]/Table14710[[#This Row],[GP]]</f>
        <v>2.0463414634146342</v>
      </c>
      <c r="AB79" s="1">
        <v>55</v>
      </c>
      <c r="AC79" s="2">
        <f>Table135811[[#This Row],[HDGF]]/Table14710[[#This Row],[GP]]</f>
        <v>0.67073170731707321</v>
      </c>
      <c r="AD79" s="1">
        <v>73</v>
      </c>
      <c r="AE79" s="2">
        <f>Table135811[[#This Row],[HDGA]]/Table14710[[#This Row],[GP]]</f>
        <v>0.8902439024390244</v>
      </c>
      <c r="AF79" s="1">
        <v>7.4</v>
      </c>
    </row>
    <row r="80" spans="1:32" hidden="1" x14ac:dyDescent="0.35">
      <c r="A80" t="s">
        <v>90</v>
      </c>
      <c r="B80">
        <v>15</v>
      </c>
      <c r="C80" t="s">
        <v>76</v>
      </c>
      <c r="D80" s="1">
        <v>1</v>
      </c>
      <c r="E80" s="1">
        <v>29.6</v>
      </c>
      <c r="F80" s="1">
        <v>82</v>
      </c>
      <c r="G80" s="1">
        <v>94</v>
      </c>
      <c r="H80" s="2">
        <f>Table14710[[#This Row],[PTS]]/Table14710[[#This Row],[GP]]</f>
        <v>1.1463414634146341</v>
      </c>
      <c r="I80" s="2">
        <v>0.57299999999999995</v>
      </c>
      <c r="J80" s="1">
        <v>245</v>
      </c>
      <c r="K80" s="3">
        <f>Table14710[[#This Row],[GF]]/Table14710[[#This Row],[GP]]</f>
        <v>2.9878048780487805</v>
      </c>
      <c r="L80" s="1">
        <v>258</v>
      </c>
      <c r="M80" s="1">
        <v>3.15</v>
      </c>
      <c r="N80" s="2">
        <f>(Table14710[[#This Row],[GF]]^2)/((Table14710[[#This Row],[GF]]^2)+(Table14710[[#This Row],[GA]]^2))</f>
        <v>0.47417232144973104</v>
      </c>
      <c r="O80" s="1">
        <v>20.350000000000001</v>
      </c>
      <c r="P80" s="1">
        <v>71.489999999999995</v>
      </c>
      <c r="Q80" s="1">
        <f>Table14710[[#This Row],[PP_PCT]]+Table14710[[#This Row],[PK_PCT]]</f>
        <v>91.84</v>
      </c>
      <c r="R80" s="3">
        <v>9.9</v>
      </c>
      <c r="S80" s="3">
        <f>Table14710[[#This Row],[GA]]/Table14710[[#This Row],[GP]]</f>
        <v>3.1463414634146343</v>
      </c>
      <c r="T80" s="2">
        <v>0.91800000000000004</v>
      </c>
      <c r="U80" s="1">
        <v>100.4</v>
      </c>
      <c r="V80" s="1">
        <v>49.3</v>
      </c>
      <c r="W80" s="1">
        <v>48.7</v>
      </c>
      <c r="X80" s="1">
        <v>145</v>
      </c>
      <c r="Y80" s="3">
        <f>Table135811[[#This Row],[XGF]]/Table14710[[#This Row],[GP]]</f>
        <v>1.7682926829268293</v>
      </c>
      <c r="Z80" s="1">
        <v>172.4</v>
      </c>
      <c r="AA80" s="3">
        <f>Table135811[[#This Row],[XGA]]/Table14710[[#This Row],[GP]]</f>
        <v>2.102439024390244</v>
      </c>
      <c r="AB80" s="1">
        <v>57</v>
      </c>
      <c r="AC80" s="2">
        <f>Table135811[[#This Row],[HDGF]]/Table14710[[#This Row],[GP]]</f>
        <v>0.69512195121951215</v>
      </c>
      <c r="AD80" s="1">
        <v>52</v>
      </c>
      <c r="AE80" s="2">
        <f>Table135811[[#This Row],[HDGA]]/Table14710[[#This Row],[GP]]</f>
        <v>0.63414634146341464</v>
      </c>
      <c r="AF80" s="1">
        <v>7.1</v>
      </c>
    </row>
    <row r="81" spans="1:32" hidden="1" x14ac:dyDescent="0.35">
      <c r="A81" t="s">
        <v>90</v>
      </c>
      <c r="B81">
        <v>16</v>
      </c>
      <c r="C81" t="s">
        <v>65</v>
      </c>
      <c r="D81" s="1">
        <v>0</v>
      </c>
      <c r="E81" s="1">
        <v>29</v>
      </c>
      <c r="F81" s="1">
        <v>82</v>
      </c>
      <c r="G81" s="1">
        <v>92</v>
      </c>
      <c r="H81" s="2">
        <f>Table14710[[#This Row],[PTS]]/Table14710[[#This Row],[GP]]</f>
        <v>1.1219512195121952</v>
      </c>
      <c r="I81" s="2">
        <v>0.56100000000000005</v>
      </c>
      <c r="J81" s="1">
        <v>234</v>
      </c>
      <c r="K81" s="3">
        <f>Table14710[[#This Row],[GF]]/Table14710[[#This Row],[GP]]</f>
        <v>2.8536585365853657</v>
      </c>
      <c r="L81" s="1">
        <v>248</v>
      </c>
      <c r="M81" s="1">
        <v>3.02</v>
      </c>
      <c r="N81" s="2">
        <f>(Table14710[[#This Row],[GF]]^2)/((Table14710[[#This Row],[GF]]^2)+(Table14710[[#This Row],[GA]]^2))</f>
        <v>0.4709788405298469</v>
      </c>
      <c r="O81" s="1">
        <v>18</v>
      </c>
      <c r="P81" s="1">
        <v>78.599999999999994</v>
      </c>
      <c r="Q81" s="1">
        <f>Table14710[[#This Row],[PP_PCT]]+Table14710[[#This Row],[PK_PCT]]</f>
        <v>96.6</v>
      </c>
      <c r="R81" s="3">
        <v>9.9</v>
      </c>
      <c r="S81" s="3">
        <f>Table14710[[#This Row],[GA]]/Table14710[[#This Row],[GP]]</f>
        <v>3.024390243902439</v>
      </c>
      <c r="T81" s="2">
        <v>0.92300000000000004</v>
      </c>
      <c r="U81" s="1">
        <v>99.5</v>
      </c>
      <c r="V81" s="1">
        <v>47.9</v>
      </c>
      <c r="W81" s="1">
        <v>48.1</v>
      </c>
      <c r="X81" s="1">
        <v>161.6</v>
      </c>
      <c r="Y81" s="3">
        <f>Table135811[[#This Row],[XGF]]/Table14710[[#This Row],[GP]]</f>
        <v>1.9707317073170731</v>
      </c>
      <c r="Z81" s="1">
        <v>187.8</v>
      </c>
      <c r="AA81" s="3">
        <f>Table135811[[#This Row],[XGA]]/Table14710[[#This Row],[GP]]</f>
        <v>2.2902439024390246</v>
      </c>
      <c r="AB81" s="1">
        <v>55</v>
      </c>
      <c r="AC81" s="2">
        <f>Table135811[[#This Row],[HDGF]]/Table14710[[#This Row],[GP]]</f>
        <v>0.67073170731707321</v>
      </c>
      <c r="AD81" s="1">
        <v>79</v>
      </c>
      <c r="AE81" s="2">
        <f>Table135811[[#This Row],[HDGA]]/Table14710[[#This Row],[GP]]</f>
        <v>0.96341463414634143</v>
      </c>
      <c r="AF81" s="1">
        <v>7.4</v>
      </c>
    </row>
    <row r="82" spans="1:32" hidden="1" x14ac:dyDescent="0.35">
      <c r="A82" t="s">
        <v>90</v>
      </c>
      <c r="B82">
        <v>17</v>
      </c>
      <c r="C82" t="s">
        <v>69</v>
      </c>
      <c r="D82" s="1">
        <v>1</v>
      </c>
      <c r="E82" s="1">
        <v>30</v>
      </c>
      <c r="F82" s="1">
        <v>82</v>
      </c>
      <c r="G82" s="1">
        <v>91</v>
      </c>
      <c r="H82" s="2">
        <f>Table14710[[#This Row],[PTS]]/Table14710[[#This Row],[GP]]</f>
        <v>1.1097560975609757</v>
      </c>
      <c r="I82" s="2">
        <v>0.55500000000000005</v>
      </c>
      <c r="J82" s="1">
        <v>216</v>
      </c>
      <c r="K82" s="3">
        <f>Table14710[[#This Row],[GF]]/Table14710[[#This Row],[GP]]</f>
        <v>2.6341463414634148</v>
      </c>
      <c r="L82" s="1">
        <v>252</v>
      </c>
      <c r="M82" s="1">
        <v>3.07</v>
      </c>
      <c r="N82" s="2">
        <f>(Table14710[[#This Row],[GF]]^2)/((Table14710[[#This Row],[GF]]^2)+(Table14710[[#This Row],[GA]]^2))</f>
        <v>0.42352941176470588</v>
      </c>
      <c r="O82" s="1">
        <v>20.61</v>
      </c>
      <c r="P82" s="1">
        <v>78.97</v>
      </c>
      <c r="Q82" s="1">
        <f>Table14710[[#This Row],[PP_PCT]]+Table14710[[#This Row],[PK_PCT]]</f>
        <v>99.58</v>
      </c>
      <c r="R82" s="3">
        <v>9.9</v>
      </c>
      <c r="S82" s="3">
        <f>Table14710[[#This Row],[GA]]/Table14710[[#This Row],[GP]]</f>
        <v>3.0731707317073171</v>
      </c>
      <c r="T82" s="2">
        <v>0.91400000000000003</v>
      </c>
      <c r="U82" s="1">
        <v>98.5</v>
      </c>
      <c r="V82" s="1">
        <v>51.5</v>
      </c>
      <c r="W82" s="1">
        <v>52.1</v>
      </c>
      <c r="X82" s="1">
        <v>176.7</v>
      </c>
      <c r="Y82" s="3">
        <f>Table135811[[#This Row],[XGF]]/Table14710[[#This Row],[GP]]</f>
        <v>2.1548780487804877</v>
      </c>
      <c r="Z82" s="1">
        <v>168.5</v>
      </c>
      <c r="AA82" s="3">
        <f>Table135811[[#This Row],[XGA]]/Table14710[[#This Row],[GP]]</f>
        <v>2.0548780487804876</v>
      </c>
      <c r="AB82" s="1">
        <v>68</v>
      </c>
      <c r="AC82" s="2">
        <f>Table135811[[#This Row],[HDGF]]/Table14710[[#This Row],[GP]]</f>
        <v>0.82926829268292679</v>
      </c>
      <c r="AD82" s="1">
        <v>76</v>
      </c>
      <c r="AE82" s="2">
        <f>Table135811[[#This Row],[HDGA]]/Table14710[[#This Row],[GP]]</f>
        <v>0.92682926829268297</v>
      </c>
      <c r="AF82" s="1">
        <v>7.7</v>
      </c>
    </row>
    <row r="83" spans="1:32" hidden="1" x14ac:dyDescent="0.35">
      <c r="A83" t="s">
        <v>90</v>
      </c>
      <c r="B83">
        <v>18</v>
      </c>
      <c r="C83" t="s">
        <v>81</v>
      </c>
      <c r="D83" s="1">
        <v>0</v>
      </c>
      <c r="E83" s="1">
        <v>29.3</v>
      </c>
      <c r="F83" s="1">
        <v>82</v>
      </c>
      <c r="G83" s="1">
        <v>91</v>
      </c>
      <c r="H83" s="2">
        <f>Table14710[[#This Row],[PTS]]/Table14710[[#This Row],[GP]]</f>
        <v>1.1097560975609757</v>
      </c>
      <c r="I83" s="2">
        <v>0.55500000000000005</v>
      </c>
      <c r="J83" s="1">
        <v>275</v>
      </c>
      <c r="K83" s="3">
        <f>Table14710[[#This Row],[GF]]/Table14710[[#This Row],[GP]]</f>
        <v>3.3536585365853657</v>
      </c>
      <c r="L83" s="1">
        <v>273</v>
      </c>
      <c r="M83" s="1">
        <v>3.33</v>
      </c>
      <c r="N83" s="2">
        <f>(Table14710[[#This Row],[GF]]^2)/((Table14710[[#This Row],[GF]]^2)+(Table14710[[#This Row],[GA]]^2))</f>
        <v>0.50364958642460411</v>
      </c>
      <c r="O83" s="1">
        <v>23.08</v>
      </c>
      <c r="P83" s="1">
        <v>79.58</v>
      </c>
      <c r="Q83" s="1">
        <f>Table14710[[#This Row],[PP_PCT]]+Table14710[[#This Row],[PK_PCT]]</f>
        <v>102.66</v>
      </c>
      <c r="R83" s="3">
        <v>11.6</v>
      </c>
      <c r="S83" s="3">
        <f>Table14710[[#This Row],[GA]]/Table14710[[#This Row],[GP]]</f>
        <v>3.3292682926829267</v>
      </c>
      <c r="T83" s="2">
        <v>0.90900000000000003</v>
      </c>
      <c r="U83" s="1">
        <v>98.6</v>
      </c>
      <c r="V83" s="1">
        <v>51</v>
      </c>
      <c r="W83" s="1">
        <v>51.2</v>
      </c>
      <c r="X83" s="1">
        <v>166.7</v>
      </c>
      <c r="Y83" s="3">
        <f>Table135811[[#This Row],[XGF]]/Table14710[[#This Row],[GP]]</f>
        <v>2.0329268292682925</v>
      </c>
      <c r="Z83" s="1">
        <v>163.9</v>
      </c>
      <c r="AA83" s="3">
        <f>Table135811[[#This Row],[XGA]]/Table14710[[#This Row],[GP]]</f>
        <v>1.998780487804878</v>
      </c>
      <c r="AB83" s="1">
        <v>75</v>
      </c>
      <c r="AC83" s="2">
        <f>Table135811[[#This Row],[HDGF]]/Table14710[[#This Row],[GP]]</f>
        <v>0.91463414634146345</v>
      </c>
      <c r="AD83" s="1">
        <v>66</v>
      </c>
      <c r="AE83" s="2">
        <f>Table135811[[#This Row],[HDGA]]/Table14710[[#This Row],[GP]]</f>
        <v>0.80487804878048785</v>
      </c>
      <c r="AF83" s="1">
        <v>8.6999999999999993</v>
      </c>
    </row>
    <row r="84" spans="1:32" hidden="1" x14ac:dyDescent="0.35">
      <c r="A84" t="s">
        <v>90</v>
      </c>
      <c r="B84">
        <v>19</v>
      </c>
      <c r="C84" t="s">
        <v>68</v>
      </c>
      <c r="D84" s="1">
        <v>0</v>
      </c>
      <c r="E84" s="1">
        <v>31.3</v>
      </c>
      <c r="F84" s="1">
        <v>82</v>
      </c>
      <c r="G84" s="1">
        <v>88</v>
      </c>
      <c r="H84" s="2">
        <f>Table14710[[#This Row],[PTS]]/Table14710[[#This Row],[GP]]</f>
        <v>1.0731707317073171</v>
      </c>
      <c r="I84" s="2">
        <v>0.53700000000000003</v>
      </c>
      <c r="J84" s="1">
        <v>253</v>
      </c>
      <c r="K84" s="3">
        <f>Table14710[[#This Row],[GF]]/Table14710[[#This Row],[GP]]</f>
        <v>3.0853658536585367</v>
      </c>
      <c r="L84" s="1">
        <v>248</v>
      </c>
      <c r="M84" s="1">
        <v>3.02</v>
      </c>
      <c r="N84" s="2">
        <f>(Table14710[[#This Row],[GF]]^2)/((Table14710[[#This Row],[GF]]^2)+(Table14710[[#This Row],[GA]]^2))</f>
        <v>0.50997904599523558</v>
      </c>
      <c r="O84" s="1">
        <v>15.27</v>
      </c>
      <c r="P84" s="1">
        <v>80.66</v>
      </c>
      <c r="Q84" s="1">
        <f>Table14710[[#This Row],[PP_PCT]]+Table14710[[#This Row],[PK_PCT]]</f>
        <v>95.929999999999993</v>
      </c>
      <c r="R84" s="3">
        <v>9.4</v>
      </c>
      <c r="S84" s="3">
        <f>Table14710[[#This Row],[GA]]/Table14710[[#This Row],[GP]]</f>
        <v>3.024390243902439</v>
      </c>
      <c r="T84" s="2">
        <v>0.91900000000000004</v>
      </c>
      <c r="U84" s="1">
        <v>98.8</v>
      </c>
      <c r="V84" s="1">
        <v>50.8</v>
      </c>
      <c r="W84" s="1">
        <v>50.5</v>
      </c>
      <c r="X84" s="1">
        <v>136.19999999999999</v>
      </c>
      <c r="Y84" s="3">
        <f>Table135811[[#This Row],[XGF]]/Table14710[[#This Row],[GP]]</f>
        <v>1.6609756097560975</v>
      </c>
      <c r="Z84" s="1">
        <v>140.30000000000001</v>
      </c>
      <c r="AA84" s="3">
        <f>Table135811[[#This Row],[XGA]]/Table14710[[#This Row],[GP]]</f>
        <v>1.7109756097560977</v>
      </c>
      <c r="AB84" s="1">
        <v>44</v>
      </c>
      <c r="AC84" s="2">
        <f>Table135811[[#This Row],[HDGF]]/Table14710[[#This Row],[GP]]</f>
        <v>0.53658536585365857</v>
      </c>
      <c r="AD84" s="1">
        <v>55</v>
      </c>
      <c r="AE84" s="2">
        <f>Table135811[[#This Row],[HDGA]]/Table14710[[#This Row],[GP]]</f>
        <v>0.67073170731707321</v>
      </c>
      <c r="AF84" s="1">
        <v>7.4</v>
      </c>
    </row>
    <row r="85" spans="1:32" hidden="1" x14ac:dyDescent="0.35">
      <c r="A85" t="s">
        <v>90</v>
      </c>
      <c r="B85">
        <v>20</v>
      </c>
      <c r="C85" t="s">
        <v>61</v>
      </c>
      <c r="D85" s="1">
        <v>0</v>
      </c>
      <c r="E85" s="1">
        <v>29.3</v>
      </c>
      <c r="F85" s="1">
        <v>82</v>
      </c>
      <c r="G85" s="1">
        <v>87</v>
      </c>
      <c r="H85" s="2">
        <f>Table14710[[#This Row],[PTS]]/Table14710[[#This Row],[GP]]</f>
        <v>1.0609756097560976</v>
      </c>
      <c r="I85" s="2">
        <v>0.53</v>
      </c>
      <c r="J85" s="1">
        <v>248</v>
      </c>
      <c r="K85" s="3">
        <f>Table14710[[#This Row],[GF]]/Table14710[[#This Row],[GP]]</f>
        <v>3.024390243902439</v>
      </c>
      <c r="L85" s="1">
        <v>260</v>
      </c>
      <c r="M85" s="1">
        <v>3.17</v>
      </c>
      <c r="N85" s="2">
        <f>(Table14710[[#This Row],[GF]]^2)/((Table14710[[#This Row],[GF]]^2)+(Table14710[[#This Row],[GA]]^2))</f>
        <v>0.47639112653364729</v>
      </c>
      <c r="O85" s="1">
        <v>22.71</v>
      </c>
      <c r="P85" s="1">
        <v>74.52</v>
      </c>
      <c r="Q85" s="1">
        <f>Table14710[[#This Row],[PP_PCT]]+Table14710[[#This Row],[PK_PCT]]</f>
        <v>97.22999999999999</v>
      </c>
      <c r="R85" s="3">
        <v>10</v>
      </c>
      <c r="S85" s="3">
        <f>Table14710[[#This Row],[GA]]/Table14710[[#This Row],[GP]]</f>
        <v>3.1707317073170733</v>
      </c>
      <c r="T85" s="2">
        <v>0.91900000000000004</v>
      </c>
      <c r="U85" s="1">
        <v>99.5</v>
      </c>
      <c r="V85" s="1">
        <v>46.6</v>
      </c>
      <c r="W85" s="1">
        <v>46.7</v>
      </c>
      <c r="X85" s="1">
        <v>164.1</v>
      </c>
      <c r="Y85" s="3">
        <f>Table135811[[#This Row],[XGF]]/Table14710[[#This Row],[GP]]</f>
        <v>2.0012195121951217</v>
      </c>
      <c r="Z85" s="1">
        <v>185.4</v>
      </c>
      <c r="AA85" s="3">
        <f>Table135811[[#This Row],[XGA]]/Table14710[[#This Row],[GP]]</f>
        <v>2.2609756097560978</v>
      </c>
      <c r="AB85" s="1">
        <v>74</v>
      </c>
      <c r="AC85" s="2">
        <f>Table135811[[#This Row],[HDGF]]/Table14710[[#This Row],[GP]]</f>
        <v>0.90243902439024393</v>
      </c>
      <c r="AD85" s="1">
        <v>76</v>
      </c>
      <c r="AE85" s="2">
        <f>Table135811[[#This Row],[HDGA]]/Table14710[[#This Row],[GP]]</f>
        <v>0.92682926829268297</v>
      </c>
      <c r="AF85" s="1">
        <v>11.4</v>
      </c>
    </row>
    <row r="86" spans="1:32" hidden="1" x14ac:dyDescent="0.35">
      <c r="A86" t="s">
        <v>90</v>
      </c>
      <c r="B86">
        <v>21</v>
      </c>
      <c r="C86" t="s">
        <v>85</v>
      </c>
      <c r="D86" s="1">
        <v>0</v>
      </c>
      <c r="E86" s="1">
        <v>27.1</v>
      </c>
      <c r="F86" s="1">
        <v>82</v>
      </c>
      <c r="G86" s="1">
        <v>87</v>
      </c>
      <c r="H86" s="2">
        <f>Table14710[[#This Row],[PTS]]/Table14710[[#This Row],[GP]]</f>
        <v>1.0609756097560976</v>
      </c>
      <c r="I86" s="2">
        <v>0.53</v>
      </c>
      <c r="J86" s="1">
        <v>231</v>
      </c>
      <c r="K86" s="3">
        <f>Table14710[[#This Row],[GF]]/Table14710[[#This Row],[GP]]</f>
        <v>2.8170731707317072</v>
      </c>
      <c r="L86" s="1">
        <v>258</v>
      </c>
      <c r="M86" s="1">
        <v>3.15</v>
      </c>
      <c r="N86" s="2">
        <f>(Table14710[[#This Row],[GF]]^2)/((Table14710[[#This Row],[GF]]^2)+(Table14710[[#This Row],[GA]]^2))</f>
        <v>0.44495309568480301</v>
      </c>
      <c r="O86" s="1">
        <v>12.2</v>
      </c>
      <c r="P86" s="1">
        <v>83.4</v>
      </c>
      <c r="Q86" s="1">
        <f>Table14710[[#This Row],[PP_PCT]]+Table14710[[#This Row],[PK_PCT]]</f>
        <v>95.600000000000009</v>
      </c>
      <c r="R86" s="3">
        <v>8.5</v>
      </c>
      <c r="S86" s="3">
        <f>Table14710[[#This Row],[GA]]/Table14710[[#This Row],[GP]]</f>
        <v>3.1463414634146343</v>
      </c>
      <c r="T86" s="2">
        <v>0.92</v>
      </c>
      <c r="U86" s="1">
        <v>99.3</v>
      </c>
      <c r="V86" s="1">
        <v>47.4</v>
      </c>
      <c r="W86" s="1">
        <v>48.7</v>
      </c>
      <c r="X86" s="1">
        <v>169.2</v>
      </c>
      <c r="Y86" s="3">
        <f>Table135811[[#This Row],[XGF]]/Table14710[[#This Row],[GP]]</f>
        <v>2.0634146341463415</v>
      </c>
      <c r="Z86" s="1">
        <v>178.2</v>
      </c>
      <c r="AA86" s="3">
        <f>Table135811[[#This Row],[XGA]]/Table14710[[#This Row],[GP]]</f>
        <v>2.1731707317073168</v>
      </c>
      <c r="AB86" s="1">
        <v>65</v>
      </c>
      <c r="AC86" s="2">
        <f>Table135811[[#This Row],[HDGF]]/Table14710[[#This Row],[GP]]</f>
        <v>0.79268292682926833</v>
      </c>
      <c r="AD86" s="1">
        <v>74</v>
      </c>
      <c r="AE86" s="2">
        <f>Table135811[[#This Row],[HDGA]]/Table14710[[#This Row],[GP]]</f>
        <v>0.90243902439024393</v>
      </c>
      <c r="AF86" s="1">
        <v>10.1</v>
      </c>
    </row>
    <row r="87" spans="1:32" hidden="1" x14ac:dyDescent="0.35">
      <c r="A87" t="s">
        <v>90</v>
      </c>
      <c r="B87">
        <v>22</v>
      </c>
      <c r="C87" t="s">
        <v>80</v>
      </c>
      <c r="D87" s="1">
        <v>0</v>
      </c>
      <c r="E87" s="1">
        <v>25.7</v>
      </c>
      <c r="F87" s="1">
        <v>82</v>
      </c>
      <c r="G87" s="1">
        <v>84</v>
      </c>
      <c r="H87" s="2">
        <f>Table14710[[#This Row],[PTS]]/Table14710[[#This Row],[GP]]</f>
        <v>1.024390243902439</v>
      </c>
      <c r="I87" s="2">
        <v>0.51200000000000001</v>
      </c>
      <c r="J87" s="1">
        <v>244</v>
      </c>
      <c r="K87" s="3">
        <f>Table14710[[#This Row],[GF]]/Table14710[[#This Row],[GP]]</f>
        <v>2.975609756097561</v>
      </c>
      <c r="L87" s="1">
        <v>243</v>
      </c>
      <c r="M87" s="1">
        <v>2.96</v>
      </c>
      <c r="N87" s="2">
        <f>(Table14710[[#This Row],[GF]]^2)/((Table14710[[#This Row],[GF]]^2)+(Table14710[[#This Row],[GA]]^2))</f>
        <v>0.50205337943247463</v>
      </c>
      <c r="O87" s="1">
        <v>16.59</v>
      </c>
      <c r="P87" s="1">
        <v>79.84</v>
      </c>
      <c r="Q87" s="1">
        <f>Table14710[[#This Row],[PP_PCT]]+Table14710[[#This Row],[PK_PCT]]</f>
        <v>96.43</v>
      </c>
      <c r="R87" s="3">
        <v>9.6</v>
      </c>
      <c r="S87" s="3">
        <f>Table14710[[#This Row],[GA]]/Table14710[[#This Row],[GP]]</f>
        <v>2.9634146341463414</v>
      </c>
      <c r="T87" s="2">
        <v>0.90500000000000003</v>
      </c>
      <c r="U87" s="1">
        <v>97.6</v>
      </c>
      <c r="V87" s="1">
        <v>52.1</v>
      </c>
      <c r="W87" s="1">
        <v>54</v>
      </c>
      <c r="X87" s="1">
        <v>177.5</v>
      </c>
      <c r="Y87" s="3">
        <f>Table135811[[#This Row],[XGF]]/Table14710[[#This Row],[GP]]</f>
        <v>2.1646341463414633</v>
      </c>
      <c r="Z87" s="1">
        <v>149.80000000000001</v>
      </c>
      <c r="AA87" s="3">
        <f>Table135811[[#This Row],[XGA]]/Table14710[[#This Row],[GP]]</f>
        <v>1.826829268292683</v>
      </c>
      <c r="AB87" s="1">
        <v>66</v>
      </c>
      <c r="AC87" s="2">
        <f>Table135811[[#This Row],[HDGF]]/Table14710[[#This Row],[GP]]</f>
        <v>0.80487804878048785</v>
      </c>
      <c r="AD87" s="1">
        <v>70</v>
      </c>
      <c r="AE87" s="2">
        <f>Table135811[[#This Row],[HDGA]]/Table14710[[#This Row],[GP]]</f>
        <v>0.85365853658536583</v>
      </c>
      <c r="AF87" s="1">
        <v>9.8000000000000007</v>
      </c>
    </row>
    <row r="88" spans="1:32" hidden="1" x14ac:dyDescent="0.35">
      <c r="A88" t="s">
        <v>90</v>
      </c>
      <c r="B88">
        <v>23</v>
      </c>
      <c r="C88" t="s">
        <v>84</v>
      </c>
      <c r="D88" s="1">
        <v>0</v>
      </c>
      <c r="E88" s="1">
        <v>26.8</v>
      </c>
      <c r="F88" s="1">
        <v>82</v>
      </c>
      <c r="G88" s="1">
        <v>81</v>
      </c>
      <c r="H88" s="2">
        <f>Table14710[[#This Row],[PTS]]/Table14710[[#This Row],[GP]]</f>
        <v>0.98780487804878048</v>
      </c>
      <c r="I88" s="2">
        <v>0.49399999999999999</v>
      </c>
      <c r="J88" s="1">
        <v>264</v>
      </c>
      <c r="K88" s="3">
        <f>Table14710[[#This Row],[GF]]/Table14710[[#This Row],[GP]]</f>
        <v>3.2195121951219514</v>
      </c>
      <c r="L88" s="1">
        <v>281</v>
      </c>
      <c r="M88" s="1">
        <v>3.43</v>
      </c>
      <c r="N88" s="2">
        <f>(Table14710[[#This Row],[GF]]^2)/((Table14710[[#This Row],[GF]]^2)+(Table14710[[#This Row],[GA]]^2))</f>
        <v>0.46883765984783765</v>
      </c>
      <c r="O88" s="1">
        <v>22.45</v>
      </c>
      <c r="P88" s="1">
        <v>80.66</v>
      </c>
      <c r="Q88" s="1">
        <f>Table14710[[#This Row],[PP_PCT]]+Table14710[[#This Row],[PK_PCT]]</f>
        <v>103.11</v>
      </c>
      <c r="R88" s="3">
        <v>10.5</v>
      </c>
      <c r="S88" s="3">
        <f>Table14710[[#This Row],[GA]]/Table14710[[#This Row],[GP]]</f>
        <v>3.4268292682926829</v>
      </c>
      <c r="T88" s="2">
        <v>0.89800000000000002</v>
      </c>
      <c r="U88" s="1">
        <v>98.1</v>
      </c>
      <c r="V88" s="1">
        <v>49</v>
      </c>
      <c r="W88" s="1">
        <v>50.4</v>
      </c>
      <c r="X88" s="1">
        <v>159.30000000000001</v>
      </c>
      <c r="Y88" s="3">
        <f>Table135811[[#This Row],[XGF]]/Table14710[[#This Row],[GP]]</f>
        <v>1.9426829268292685</v>
      </c>
      <c r="Z88" s="1">
        <v>144.5</v>
      </c>
      <c r="AA88" s="3">
        <f>Table135811[[#This Row],[XGA]]/Table14710[[#This Row],[GP]]</f>
        <v>1.7621951219512195</v>
      </c>
      <c r="AB88" s="1">
        <v>54</v>
      </c>
      <c r="AC88" s="2">
        <f>Table135811[[#This Row],[HDGF]]/Table14710[[#This Row],[GP]]</f>
        <v>0.65853658536585369</v>
      </c>
      <c r="AD88" s="1">
        <v>55</v>
      </c>
      <c r="AE88" s="2">
        <f>Table135811[[#This Row],[HDGA]]/Table14710[[#This Row],[GP]]</f>
        <v>0.67073170731707321</v>
      </c>
      <c r="AF88" s="1">
        <v>9.1</v>
      </c>
    </row>
    <row r="89" spans="1:32" hidden="1" x14ac:dyDescent="0.35">
      <c r="A89" t="s">
        <v>90</v>
      </c>
      <c r="B89">
        <v>24</v>
      </c>
      <c r="C89" t="s">
        <v>86</v>
      </c>
      <c r="D89" s="1">
        <v>0</v>
      </c>
      <c r="E89" s="1">
        <v>29.4</v>
      </c>
      <c r="F89" s="1">
        <v>82</v>
      </c>
      <c r="G89" s="1">
        <v>81</v>
      </c>
      <c r="H89" s="2">
        <f>Table14710[[#This Row],[PTS]]/Table14710[[#This Row],[GP]]</f>
        <v>0.98780487804878048</v>
      </c>
      <c r="I89" s="2">
        <v>0.49399999999999999</v>
      </c>
      <c r="J89" s="1">
        <v>214</v>
      </c>
      <c r="K89" s="3">
        <f>Table14710[[#This Row],[GF]]/Table14710[[#This Row],[GP]]</f>
        <v>2.6097560975609757</v>
      </c>
      <c r="L89" s="1">
        <v>232</v>
      </c>
      <c r="M89" s="1">
        <v>2.83</v>
      </c>
      <c r="N89" s="2">
        <f>(Table14710[[#This Row],[GF]]^2)/((Table14710[[#This Row],[GF]]^2)+(Table14710[[#This Row],[GA]]^2))</f>
        <v>0.45970688616743627</v>
      </c>
      <c r="O89" s="1">
        <v>20.66</v>
      </c>
      <c r="P89" s="1">
        <v>78.83</v>
      </c>
      <c r="Q89" s="1">
        <f>Table14710[[#This Row],[PP_PCT]]+Table14710[[#This Row],[PK_PCT]]</f>
        <v>99.49</v>
      </c>
      <c r="R89" s="3">
        <v>9.1</v>
      </c>
      <c r="S89" s="3">
        <f>Table14710[[#This Row],[GA]]/Table14710[[#This Row],[GP]]</f>
        <v>2.8292682926829267</v>
      </c>
      <c r="T89" s="2">
        <v>0.93</v>
      </c>
      <c r="U89" s="1">
        <v>100.5</v>
      </c>
      <c r="V89" s="1">
        <v>52.1</v>
      </c>
      <c r="W89" s="1">
        <v>52.9</v>
      </c>
      <c r="X89" s="1">
        <v>198.7</v>
      </c>
      <c r="Y89" s="3">
        <f>Table135811[[#This Row],[XGF]]/Table14710[[#This Row],[GP]]</f>
        <v>2.4231707317073168</v>
      </c>
      <c r="Z89" s="1">
        <v>174.7</v>
      </c>
      <c r="AA89" s="3">
        <f>Table135811[[#This Row],[XGA]]/Table14710[[#This Row],[GP]]</f>
        <v>2.1304878048780487</v>
      </c>
      <c r="AB89" s="1">
        <v>80</v>
      </c>
      <c r="AC89" s="2">
        <f>Table135811[[#This Row],[HDGF]]/Table14710[[#This Row],[GP]]</f>
        <v>0.97560975609756095</v>
      </c>
      <c r="AD89" s="1">
        <v>69</v>
      </c>
      <c r="AE89" s="2">
        <f>Table135811[[#This Row],[HDGA]]/Table14710[[#This Row],[GP]]</f>
        <v>0.84146341463414631</v>
      </c>
      <c r="AF89" s="1">
        <v>8</v>
      </c>
    </row>
    <row r="90" spans="1:32" hidden="1" x14ac:dyDescent="0.35">
      <c r="A90" t="s">
        <v>90</v>
      </c>
      <c r="B90">
        <v>25</v>
      </c>
      <c r="C90" t="s">
        <v>62</v>
      </c>
      <c r="D90" s="1">
        <v>0</v>
      </c>
      <c r="E90" s="1">
        <v>29.2</v>
      </c>
      <c r="F90" s="1">
        <v>82</v>
      </c>
      <c r="G90" s="1">
        <v>81</v>
      </c>
      <c r="H90" s="2">
        <f>Table14710[[#This Row],[PTS]]/Table14710[[#This Row],[GP]]</f>
        <v>0.98780487804878048</v>
      </c>
      <c r="I90" s="2">
        <v>0.49399999999999999</v>
      </c>
      <c r="J90" s="1">
        <v>253</v>
      </c>
      <c r="K90" s="3">
        <f>Table14710[[#This Row],[GF]]/Table14710[[#This Row],[GP]]</f>
        <v>3.0853658536585367</v>
      </c>
      <c r="L90" s="1">
        <v>267</v>
      </c>
      <c r="M90" s="1">
        <v>3.26</v>
      </c>
      <c r="N90" s="2">
        <f>(Table14710[[#This Row],[GF]]^2)/((Table14710[[#This Row],[GF]]^2)+(Table14710[[#This Row],[GA]]^2))</f>
        <v>0.47309642418956671</v>
      </c>
      <c r="O90" s="1">
        <v>17.86</v>
      </c>
      <c r="P90" s="1">
        <v>80.819999999999993</v>
      </c>
      <c r="Q90" s="1">
        <f>Table14710[[#This Row],[PP_PCT]]+Table14710[[#This Row],[PK_PCT]]</f>
        <v>98.679999999999993</v>
      </c>
      <c r="R90" s="3">
        <v>9.8000000000000007</v>
      </c>
      <c r="S90" s="3">
        <f>Table14710[[#This Row],[GA]]/Table14710[[#This Row],[GP]]</f>
        <v>3.2560975609756095</v>
      </c>
      <c r="T90" s="2">
        <v>0.92200000000000004</v>
      </c>
      <c r="U90" s="1">
        <v>99.4</v>
      </c>
      <c r="V90" s="1">
        <v>52</v>
      </c>
      <c r="W90" s="1">
        <v>52.1</v>
      </c>
      <c r="X90" s="1">
        <v>201.9</v>
      </c>
      <c r="Y90" s="3">
        <f>Table135811[[#This Row],[XGF]]/Table14710[[#This Row],[GP]]</f>
        <v>2.4621951219512197</v>
      </c>
      <c r="Z90" s="1">
        <v>188.1</v>
      </c>
      <c r="AA90" s="3">
        <f>Table135811[[#This Row],[XGA]]/Table14710[[#This Row],[GP]]</f>
        <v>2.2939024390243903</v>
      </c>
      <c r="AB90" s="1">
        <v>75</v>
      </c>
      <c r="AC90" s="2">
        <f>Table135811[[#This Row],[HDGF]]/Table14710[[#This Row],[GP]]</f>
        <v>0.91463414634146345</v>
      </c>
      <c r="AD90" s="1">
        <v>77</v>
      </c>
      <c r="AE90" s="2">
        <f>Table135811[[#This Row],[HDGA]]/Table14710[[#This Row],[GP]]</f>
        <v>0.93902439024390238</v>
      </c>
      <c r="AF90" s="1">
        <v>9.4</v>
      </c>
    </row>
    <row r="91" spans="1:32" hidden="1" x14ac:dyDescent="0.35">
      <c r="A91" t="s">
        <v>90</v>
      </c>
      <c r="B91">
        <v>26</v>
      </c>
      <c r="C91" t="s">
        <v>82</v>
      </c>
      <c r="D91" s="1">
        <v>0</v>
      </c>
      <c r="E91" s="1">
        <v>27</v>
      </c>
      <c r="F91" s="1">
        <v>82</v>
      </c>
      <c r="G91" s="1">
        <v>78</v>
      </c>
      <c r="H91" s="2">
        <f>Table14710[[#This Row],[PTS]]/Table14710[[#This Row],[GP]]</f>
        <v>0.95121951219512191</v>
      </c>
      <c r="I91" s="2">
        <v>0.47599999999999998</v>
      </c>
      <c r="J91" s="1">
        <v>250</v>
      </c>
      <c r="K91" s="3">
        <f>Table14710[[#This Row],[GF]]/Table14710[[#This Row],[GP]]</f>
        <v>3.0487804878048781</v>
      </c>
      <c r="L91" s="1">
        <v>281</v>
      </c>
      <c r="M91" s="1">
        <v>3.43</v>
      </c>
      <c r="N91" s="2">
        <f>(Table14710[[#This Row],[GF]]^2)/((Table14710[[#This Row],[GF]]^2)+(Table14710[[#This Row],[GA]]^2))</f>
        <v>0.4418178862018507</v>
      </c>
      <c r="O91" s="1">
        <v>18.02</v>
      </c>
      <c r="P91" s="1">
        <v>75.099999999999994</v>
      </c>
      <c r="Q91" s="1">
        <f>Table14710[[#This Row],[PP_PCT]]+Table14710[[#This Row],[PK_PCT]]</f>
        <v>93.11999999999999</v>
      </c>
      <c r="R91" s="3">
        <v>9.6</v>
      </c>
      <c r="S91" s="3">
        <f>Table14710[[#This Row],[GA]]/Table14710[[#This Row],[GP]]</f>
        <v>3.4268292682926829</v>
      </c>
      <c r="T91" s="2">
        <v>0.91900000000000004</v>
      </c>
      <c r="U91" s="1">
        <v>99.8</v>
      </c>
      <c r="V91" s="1">
        <v>51.7</v>
      </c>
      <c r="W91" s="1">
        <v>50.7</v>
      </c>
      <c r="X91" s="1">
        <v>184.6</v>
      </c>
      <c r="Y91" s="3">
        <f>Table135811[[#This Row],[XGF]]/Table14710[[#This Row],[GP]]</f>
        <v>2.2512195121951217</v>
      </c>
      <c r="Z91" s="1">
        <v>171.3</v>
      </c>
      <c r="AA91" s="3">
        <f>Table135811[[#This Row],[XGA]]/Table14710[[#This Row],[GP]]</f>
        <v>2.0890243902439027</v>
      </c>
      <c r="AB91" s="1">
        <v>71</v>
      </c>
      <c r="AC91" s="2">
        <f>Table135811[[#This Row],[HDGF]]/Table14710[[#This Row],[GP]]</f>
        <v>0.86585365853658536</v>
      </c>
      <c r="AD91" s="1">
        <v>73</v>
      </c>
      <c r="AE91" s="2">
        <f>Table135811[[#This Row],[HDGA]]/Table14710[[#This Row],[GP]]</f>
        <v>0.8902439024390244</v>
      </c>
      <c r="AF91" s="1">
        <v>10.4</v>
      </c>
    </row>
    <row r="92" spans="1:32" hidden="1" x14ac:dyDescent="0.35">
      <c r="A92" t="s">
        <v>90</v>
      </c>
      <c r="B92">
        <v>27</v>
      </c>
      <c r="C92" t="s">
        <v>87</v>
      </c>
      <c r="D92" s="1">
        <v>0</v>
      </c>
      <c r="E92" s="1">
        <v>26.7</v>
      </c>
      <c r="F92" s="1">
        <v>82</v>
      </c>
      <c r="G92" s="1">
        <v>77</v>
      </c>
      <c r="H92" s="2">
        <f>Table14710[[#This Row],[PTS]]/Table14710[[#This Row],[GP]]</f>
        <v>0.93902439024390238</v>
      </c>
      <c r="I92" s="2">
        <v>0.47</v>
      </c>
      <c r="J92" s="1">
        <v>254</v>
      </c>
      <c r="K92" s="3">
        <f>Table14710[[#This Row],[GF]]/Table14710[[#This Row],[GP]]</f>
        <v>3.0975609756097562</v>
      </c>
      <c r="L92" s="1">
        <v>274</v>
      </c>
      <c r="M92" s="1">
        <v>3.34</v>
      </c>
      <c r="N92" s="2">
        <f>(Table14710[[#This Row],[GF]]^2)/((Table14710[[#This Row],[GF]]^2)+(Table14710[[#This Row],[GA]]^2))</f>
        <v>0.4621754828356926</v>
      </c>
      <c r="O92" s="1">
        <v>21.99</v>
      </c>
      <c r="P92" s="1">
        <v>76.319999999999993</v>
      </c>
      <c r="Q92" s="1">
        <f>Table14710[[#This Row],[PP_PCT]]+Table14710[[#This Row],[PK_PCT]]</f>
        <v>98.309999999999988</v>
      </c>
      <c r="R92" s="3">
        <v>11.2</v>
      </c>
      <c r="S92" s="3">
        <f>Table14710[[#This Row],[GA]]/Table14710[[#This Row],[GP]]</f>
        <v>3.3414634146341462</v>
      </c>
      <c r="T92" s="2">
        <v>0.90500000000000003</v>
      </c>
      <c r="U92" s="1">
        <v>98.6</v>
      </c>
      <c r="V92" s="1">
        <v>51</v>
      </c>
      <c r="W92" s="1">
        <v>49.4</v>
      </c>
      <c r="X92" s="1">
        <v>151.30000000000001</v>
      </c>
      <c r="Y92" s="3">
        <f>Table135811[[#This Row],[XGF]]/Table14710[[#This Row],[GP]]</f>
        <v>1.8451219512195123</v>
      </c>
      <c r="Z92" s="1">
        <v>166.5</v>
      </c>
      <c r="AA92" s="3">
        <f>Table135811[[#This Row],[XGA]]/Table14710[[#This Row],[GP]]</f>
        <v>2.0304878048780486</v>
      </c>
      <c r="AB92" s="1">
        <v>52</v>
      </c>
      <c r="AC92" s="2">
        <f>Table135811[[#This Row],[HDGF]]/Table14710[[#This Row],[GP]]</f>
        <v>0.63414634146341464</v>
      </c>
      <c r="AD92" s="1">
        <v>59</v>
      </c>
      <c r="AE92" s="2">
        <f>Table135811[[#This Row],[HDGA]]/Table14710[[#This Row],[GP]]</f>
        <v>0.71951219512195119</v>
      </c>
      <c r="AF92" s="1">
        <v>11.5</v>
      </c>
    </row>
    <row r="93" spans="1:32" hidden="1" x14ac:dyDescent="0.35">
      <c r="A93" t="s">
        <v>90</v>
      </c>
      <c r="B93">
        <v>28</v>
      </c>
      <c r="C93" t="s">
        <v>88</v>
      </c>
      <c r="D93" s="1">
        <v>0</v>
      </c>
      <c r="E93" s="1">
        <v>26.7</v>
      </c>
      <c r="F93" s="1">
        <v>82</v>
      </c>
      <c r="G93" s="1">
        <v>76</v>
      </c>
      <c r="H93" s="2">
        <f>Table14710[[#This Row],[PTS]]/Table14710[[#This Row],[GP]]</f>
        <v>0.92682926829268297</v>
      </c>
      <c r="I93" s="2">
        <v>0.46300000000000002</v>
      </c>
      <c r="J93" s="1">
        <v>232</v>
      </c>
      <c r="K93" s="3">
        <f>Table14710[[#This Row],[GF]]/Table14710[[#This Row],[GP]]</f>
        <v>2.8292682926829267</v>
      </c>
      <c r="L93" s="1">
        <v>281</v>
      </c>
      <c r="M93" s="1">
        <v>3.43</v>
      </c>
      <c r="N93" s="2">
        <f>(Table14710[[#This Row],[GF]]^2)/((Table14710[[#This Row],[GF]]^2)+(Table14710[[#This Row],[GA]]^2))</f>
        <v>0.40534698949429526</v>
      </c>
      <c r="O93" s="1">
        <v>17.46</v>
      </c>
      <c r="P93" s="1">
        <v>76.53</v>
      </c>
      <c r="Q93" s="1">
        <f>Table14710[[#This Row],[PP_PCT]]+Table14710[[#This Row],[PK_PCT]]</f>
        <v>93.990000000000009</v>
      </c>
      <c r="R93" s="3">
        <v>10.199999999999999</v>
      </c>
      <c r="S93" s="3">
        <f>Table14710[[#This Row],[GA]]/Table14710[[#This Row],[GP]]</f>
        <v>3.4268292682926829</v>
      </c>
      <c r="T93" s="2">
        <v>0.92</v>
      </c>
      <c r="U93" s="1">
        <v>99.2</v>
      </c>
      <c r="V93" s="1">
        <v>45.5</v>
      </c>
      <c r="W93" s="1">
        <v>46.8</v>
      </c>
      <c r="X93" s="1">
        <v>160.5</v>
      </c>
      <c r="Y93" s="3">
        <f>Table135811[[#This Row],[XGF]]/Table14710[[#This Row],[GP]]</f>
        <v>1.9573170731707317</v>
      </c>
      <c r="Z93" s="1">
        <v>180</v>
      </c>
      <c r="AA93" s="3">
        <f>Table135811[[#This Row],[XGA]]/Table14710[[#This Row],[GP]]</f>
        <v>2.1951219512195124</v>
      </c>
      <c r="AB93" s="1">
        <v>63</v>
      </c>
      <c r="AC93" s="2">
        <f>Table135811[[#This Row],[HDGF]]/Table14710[[#This Row],[GP]]</f>
        <v>0.76829268292682928</v>
      </c>
      <c r="AD93" s="1">
        <v>69</v>
      </c>
      <c r="AE93" s="2">
        <f>Table135811[[#This Row],[HDGA]]/Table14710[[#This Row],[GP]]</f>
        <v>0.84146341463414631</v>
      </c>
      <c r="AF93" s="1">
        <v>10.199999999999999</v>
      </c>
    </row>
    <row r="94" spans="1:32" hidden="1" x14ac:dyDescent="0.35">
      <c r="A94" t="s">
        <v>90</v>
      </c>
      <c r="B94">
        <v>29</v>
      </c>
      <c r="C94" t="s">
        <v>77</v>
      </c>
      <c r="D94" s="1">
        <v>0</v>
      </c>
      <c r="E94" s="1">
        <v>26.8</v>
      </c>
      <c r="F94" s="1">
        <v>82</v>
      </c>
      <c r="G94" s="1">
        <v>66</v>
      </c>
      <c r="H94" s="2">
        <f>Table14710[[#This Row],[PTS]]/Table14710[[#This Row],[GP]]</f>
        <v>0.80487804878048785</v>
      </c>
      <c r="I94" s="2">
        <v>0.40200000000000002</v>
      </c>
      <c r="J94" s="1">
        <v>234</v>
      </c>
      <c r="K94" s="3">
        <f>Table14710[[#This Row],[GF]]/Table14710[[#This Row],[GP]]</f>
        <v>2.8536585365853657</v>
      </c>
      <c r="L94" s="1">
        <v>298</v>
      </c>
      <c r="M94" s="1">
        <v>3.63</v>
      </c>
      <c r="N94" s="2">
        <f>(Table14710[[#This Row],[GF]]^2)/((Table14710[[#This Row],[GF]]^2)+(Table14710[[#This Row],[GA]]^2))</f>
        <v>0.38141543605461131</v>
      </c>
      <c r="O94" s="1">
        <v>15.09</v>
      </c>
      <c r="P94" s="1">
        <v>76.27</v>
      </c>
      <c r="Q94" s="1">
        <f>Table14710[[#This Row],[PP_PCT]]+Table14710[[#This Row],[PK_PCT]]</f>
        <v>91.36</v>
      </c>
      <c r="R94" s="3">
        <v>9.5</v>
      </c>
      <c r="S94" s="3">
        <f>Table14710[[#This Row],[GA]]/Table14710[[#This Row],[GP]]</f>
        <v>3.6341463414634148</v>
      </c>
      <c r="T94" s="2">
        <v>0.90200000000000002</v>
      </c>
      <c r="U94" s="1">
        <v>98.3</v>
      </c>
      <c r="V94" s="1">
        <v>48.6</v>
      </c>
      <c r="W94" s="1">
        <v>48.4</v>
      </c>
      <c r="X94" s="1">
        <v>179.7</v>
      </c>
      <c r="Y94" s="3">
        <f>Table135811[[#This Row],[XGF]]/Table14710[[#This Row],[GP]]</f>
        <v>2.1914634146341463</v>
      </c>
      <c r="Z94" s="1">
        <v>187</v>
      </c>
      <c r="AA94" s="3">
        <f>Table135811[[#This Row],[XGA]]/Table14710[[#This Row],[GP]]</f>
        <v>2.2804878048780486</v>
      </c>
      <c r="AB94" s="1">
        <v>70</v>
      </c>
      <c r="AC94" s="2">
        <f>Table135811[[#This Row],[HDGF]]/Table14710[[#This Row],[GP]]</f>
        <v>0.85365853658536583</v>
      </c>
      <c r="AD94" s="1">
        <v>94</v>
      </c>
      <c r="AE94" s="2">
        <f>Table135811[[#This Row],[HDGA]]/Table14710[[#This Row],[GP]]</f>
        <v>1.1463414634146341</v>
      </c>
      <c r="AF94" s="1">
        <v>8.1999999999999993</v>
      </c>
    </row>
    <row r="95" spans="1:32" hidden="1" x14ac:dyDescent="0.35">
      <c r="A95" t="s">
        <v>90</v>
      </c>
      <c r="B95">
        <v>30</v>
      </c>
      <c r="C95" t="s">
        <v>79</v>
      </c>
      <c r="D95" s="1">
        <v>0</v>
      </c>
      <c r="E95" s="1">
        <v>27.7</v>
      </c>
      <c r="F95" s="1">
        <v>82</v>
      </c>
      <c r="G95" s="1">
        <v>59</v>
      </c>
      <c r="H95" s="2">
        <f>Table14710[[#This Row],[PTS]]/Table14710[[#This Row],[GP]]</f>
        <v>0.71951219512195119</v>
      </c>
      <c r="I95" s="2">
        <v>0.36</v>
      </c>
      <c r="J95" s="1">
        <v>203</v>
      </c>
      <c r="K95" s="3">
        <f>Table14710[[#This Row],[GF]]/Table14710[[#This Row],[GP]]</f>
        <v>2.475609756097561</v>
      </c>
      <c r="L95" s="1">
        <v>293</v>
      </c>
      <c r="M95" s="1">
        <v>3.57</v>
      </c>
      <c r="N95" s="2">
        <f>(Table14710[[#This Row],[GF]]^2)/((Table14710[[#This Row],[GF]]^2)+(Table14710[[#This Row],[GA]]^2))</f>
        <v>0.32433219474570668</v>
      </c>
      <c r="O95" s="1">
        <v>18.3</v>
      </c>
      <c r="P95" s="1">
        <v>72.42</v>
      </c>
      <c r="Q95" s="1">
        <f>Table14710[[#This Row],[PP_PCT]]+Table14710[[#This Row],[PK_PCT]]</f>
        <v>90.72</v>
      </c>
      <c r="R95" s="3">
        <v>9.3000000000000007</v>
      </c>
      <c r="S95" s="3">
        <f>Table14710[[#This Row],[GA]]/Table14710[[#This Row],[GP]]</f>
        <v>3.5731707317073171</v>
      </c>
      <c r="T95" s="2">
        <v>0.90900000000000003</v>
      </c>
      <c r="U95" s="1">
        <v>97.5</v>
      </c>
      <c r="V95" s="1">
        <v>44.4</v>
      </c>
      <c r="W95" s="1">
        <v>43.3</v>
      </c>
      <c r="X95" s="1">
        <v>135.80000000000001</v>
      </c>
      <c r="Y95" s="3">
        <f>Table135811[[#This Row],[XGF]]/Table14710[[#This Row],[GP]]</f>
        <v>1.6560975609756099</v>
      </c>
      <c r="Z95" s="1">
        <v>210.9</v>
      </c>
      <c r="AA95" s="3">
        <f>Table135811[[#This Row],[XGA]]/Table14710[[#This Row],[GP]]</f>
        <v>2.5719512195121954</v>
      </c>
      <c r="AB95" s="1">
        <v>44</v>
      </c>
      <c r="AC95" s="2">
        <f>Table135811[[#This Row],[HDGF]]/Table14710[[#This Row],[GP]]</f>
        <v>0.53658536585365857</v>
      </c>
      <c r="AD95" s="1">
        <v>82</v>
      </c>
      <c r="AE95" s="2">
        <f>Table135811[[#This Row],[HDGA]]/Table14710[[#This Row],[GP]]</f>
        <v>1</v>
      </c>
      <c r="AF95" s="1">
        <v>13.5</v>
      </c>
    </row>
    <row r="96" spans="1:32" hidden="1" x14ac:dyDescent="0.35">
      <c r="A96" t="s">
        <v>90</v>
      </c>
      <c r="B96">
        <v>31</v>
      </c>
      <c r="C96" t="s">
        <v>83</v>
      </c>
      <c r="D96" s="1">
        <v>0</v>
      </c>
      <c r="E96" s="1">
        <v>27.4</v>
      </c>
      <c r="F96" s="1">
        <v>82</v>
      </c>
      <c r="G96" s="1">
        <v>52</v>
      </c>
      <c r="H96" s="2">
        <f>Table14710[[#This Row],[PTS]]/Table14710[[#This Row],[GP]]</f>
        <v>0.63414634146341464</v>
      </c>
      <c r="I96" s="2">
        <v>0.317</v>
      </c>
      <c r="J96" s="1">
        <v>178</v>
      </c>
      <c r="K96" s="3">
        <f>Table14710[[#This Row],[GF]]/Table14710[[#This Row],[GP]]</f>
        <v>2.1707317073170733</v>
      </c>
      <c r="L96" s="1">
        <v>289</v>
      </c>
      <c r="M96" s="1">
        <v>3.52</v>
      </c>
      <c r="N96" s="2">
        <f>(Table14710[[#This Row],[GF]]^2)/((Table14710[[#This Row],[GF]]^2)+(Table14710[[#This Row],[GA]]^2))</f>
        <v>0.27502278546938069</v>
      </c>
      <c r="O96" s="1">
        <v>16.600000000000001</v>
      </c>
      <c r="P96" s="1">
        <v>75.760000000000005</v>
      </c>
      <c r="Q96" s="1">
        <f>Table14710[[#This Row],[PP_PCT]]+Table14710[[#This Row],[PK_PCT]]</f>
        <v>92.360000000000014</v>
      </c>
      <c r="R96" s="3">
        <v>8.3000000000000007</v>
      </c>
      <c r="S96" s="3">
        <f>Table14710[[#This Row],[GA]]/Table14710[[#This Row],[GP]]</f>
        <v>3.524390243902439</v>
      </c>
      <c r="T96" s="2">
        <v>0.91100000000000003</v>
      </c>
      <c r="U96" s="1">
        <v>98.9</v>
      </c>
      <c r="V96" s="1">
        <v>46.3</v>
      </c>
      <c r="W96" s="1">
        <v>45.6</v>
      </c>
      <c r="X96" s="1">
        <v>132.6</v>
      </c>
      <c r="Y96" s="3">
        <f>Table135811[[#This Row],[XGF]]/Table14710[[#This Row],[GP]]</f>
        <v>1.6170731707317072</v>
      </c>
      <c r="Z96" s="1">
        <v>165.1</v>
      </c>
      <c r="AA96" s="3">
        <f>Table135811[[#This Row],[XGA]]/Table14710[[#This Row],[GP]]</f>
        <v>2.0134146341463413</v>
      </c>
      <c r="AB96" s="1">
        <v>46</v>
      </c>
      <c r="AC96" s="2">
        <f>Table135811[[#This Row],[HDGF]]/Table14710[[#This Row],[GP]]</f>
        <v>0.56097560975609762</v>
      </c>
      <c r="AD96" s="1">
        <v>60</v>
      </c>
      <c r="AE96" s="2">
        <f>Table135811[[#This Row],[HDGA]]/Table14710[[#This Row],[GP]]</f>
        <v>0.73170731707317072</v>
      </c>
      <c r="AF96" s="1">
        <v>8.6999999999999993</v>
      </c>
    </row>
    <row r="97" spans="1:32" hidden="1" x14ac:dyDescent="0.35">
      <c r="A97" t="s">
        <v>90</v>
      </c>
      <c r="B97">
        <v>32</v>
      </c>
      <c r="C97" t="s">
        <v>78</v>
      </c>
      <c r="D97" s="1">
        <v>0</v>
      </c>
      <c r="E97" s="1">
        <v>27.7</v>
      </c>
      <c r="F97" s="1">
        <v>82</v>
      </c>
      <c r="G97" s="1">
        <v>47</v>
      </c>
      <c r="H97" s="2">
        <f>Table14710[[#This Row],[PTS]]/Table14710[[#This Row],[GP]]</f>
        <v>0.57317073170731703</v>
      </c>
      <c r="I97" s="2">
        <v>0.28699999999999998</v>
      </c>
      <c r="J97" s="1">
        <v>180</v>
      </c>
      <c r="K97" s="3">
        <f>Table14710[[#This Row],[GF]]/Table14710[[#This Row],[GP]]</f>
        <v>2.1951219512195124</v>
      </c>
      <c r="L97" s="1">
        <v>326</v>
      </c>
      <c r="M97" s="1">
        <v>3.98</v>
      </c>
      <c r="N97" s="2">
        <f>(Table14710[[#This Row],[GF]]^2)/((Table14710[[#This Row],[GF]]^2)+(Table14710[[#This Row],[GA]]^2))</f>
        <v>0.23363812051111946</v>
      </c>
      <c r="O97" s="1">
        <v>20.190000000000001</v>
      </c>
      <c r="P97" s="1">
        <v>75.400000000000006</v>
      </c>
      <c r="Q97" s="1">
        <f>Table14710[[#This Row],[PP_PCT]]+Table14710[[#This Row],[PK_PCT]]</f>
        <v>95.59</v>
      </c>
      <c r="R97" s="3">
        <v>8.6999999999999993</v>
      </c>
      <c r="S97" s="3">
        <f>Table14710[[#This Row],[GA]]/Table14710[[#This Row],[GP]]</f>
        <v>3.975609756097561</v>
      </c>
      <c r="T97" s="2">
        <v>0.90800000000000003</v>
      </c>
      <c r="U97" s="1">
        <v>98.3</v>
      </c>
      <c r="V97" s="1">
        <v>50.7</v>
      </c>
      <c r="W97" s="1">
        <v>50.2</v>
      </c>
      <c r="X97" s="1">
        <v>160.19999999999999</v>
      </c>
      <c r="Y97" s="3">
        <f>Table135811[[#This Row],[XGF]]/Table14710[[#This Row],[GP]]</f>
        <v>1.9536585365853658</v>
      </c>
      <c r="Z97" s="1">
        <v>160.30000000000001</v>
      </c>
      <c r="AA97" s="3">
        <f>Table135811[[#This Row],[XGA]]/Table14710[[#This Row],[GP]]</f>
        <v>1.954878048780488</v>
      </c>
      <c r="AB97" s="1">
        <v>45</v>
      </c>
      <c r="AC97" s="2">
        <f>Table135811[[#This Row],[HDGF]]/Table14710[[#This Row],[GP]]</f>
        <v>0.54878048780487809</v>
      </c>
      <c r="AD97" s="1">
        <v>77</v>
      </c>
      <c r="AE97" s="2">
        <f>Table135811[[#This Row],[HDGA]]/Table14710[[#This Row],[GP]]</f>
        <v>0.93902439024390238</v>
      </c>
      <c r="AF97" s="1">
        <v>9.5</v>
      </c>
    </row>
    <row r="98" spans="1:32" hidden="1" x14ac:dyDescent="0.35">
      <c r="A98" t="s">
        <v>91</v>
      </c>
      <c r="B98">
        <v>1</v>
      </c>
      <c r="C98" t="s">
        <v>75</v>
      </c>
      <c r="D98" s="1">
        <v>1</v>
      </c>
      <c r="E98" s="1">
        <v>29.6</v>
      </c>
      <c r="F98" s="1">
        <v>73</v>
      </c>
      <c r="G98" s="1">
        <v>104</v>
      </c>
      <c r="H98" s="2">
        <f>Table14710[[#This Row],[PTS]]/Table14710[[#This Row],[GP]]</f>
        <v>1.4246575342465753</v>
      </c>
      <c r="I98" s="2">
        <v>0.71199999999999997</v>
      </c>
      <c r="J98" s="1">
        <v>252</v>
      </c>
      <c r="K98" s="3">
        <f>Table14710[[#This Row],[GF]]/Table14710[[#This Row],[GP]]</f>
        <v>3.452054794520548</v>
      </c>
      <c r="L98" s="1">
        <v>171</v>
      </c>
      <c r="M98" s="1">
        <v>2.34</v>
      </c>
      <c r="N98" s="2">
        <f>(Table14710[[#This Row],[GF]]^2)/((Table14710[[#This Row],[GF]]^2)+(Table14710[[#This Row],[GA]]^2))</f>
        <v>0.68471615720524015</v>
      </c>
      <c r="O98" s="1">
        <v>30.1</v>
      </c>
      <c r="P98" s="1">
        <v>79.349999999999994</v>
      </c>
      <c r="Q98" s="1">
        <f>Table14710[[#This Row],[PP_PCT]]+Table14710[[#This Row],[PK_PCT]]</f>
        <v>109.44999999999999</v>
      </c>
      <c r="R98" s="3">
        <v>12.3</v>
      </c>
      <c r="S98" s="3">
        <f>Table14710[[#This Row],[GA]]/Table14710[[#This Row],[GP]]</f>
        <v>2.3424657534246576</v>
      </c>
      <c r="T98" s="2">
        <v>0.91300000000000003</v>
      </c>
      <c r="U98" s="1">
        <v>100.8</v>
      </c>
      <c r="V98" s="1">
        <v>52.9</v>
      </c>
      <c r="W98" s="1">
        <v>53.7</v>
      </c>
      <c r="X98" s="1">
        <v>178.1</v>
      </c>
      <c r="Y98" s="3">
        <f>Table135811[[#This Row],[XGF]]/Table14710[[#This Row],[GP]]</f>
        <v>2.4397260273972603</v>
      </c>
      <c r="Z98" s="1">
        <v>154.5</v>
      </c>
      <c r="AA98" s="3">
        <f>Table135811[[#This Row],[XGA]]/Table14710[[#This Row],[GP]]</f>
        <v>2.1164383561643834</v>
      </c>
      <c r="AB98" s="1">
        <v>82</v>
      </c>
      <c r="AC98" s="2">
        <f>Table135811[[#This Row],[HDGF]]/Table14710[[#This Row],[GP]]</f>
        <v>1.1232876712328768</v>
      </c>
      <c r="AD98" s="1">
        <v>87</v>
      </c>
      <c r="AE98" s="2">
        <f>Table135811[[#This Row],[HDGA]]/Table14710[[#This Row],[GP]]</f>
        <v>1.1917808219178083</v>
      </c>
      <c r="AF98" s="1">
        <v>7.6</v>
      </c>
    </row>
    <row r="99" spans="1:32" hidden="1" x14ac:dyDescent="0.35">
      <c r="A99" t="s">
        <v>91</v>
      </c>
      <c r="B99">
        <v>2</v>
      </c>
      <c r="C99" t="s">
        <v>69</v>
      </c>
      <c r="D99" s="1">
        <v>1</v>
      </c>
      <c r="E99" s="1">
        <v>29.4</v>
      </c>
      <c r="F99" s="1">
        <v>72</v>
      </c>
      <c r="G99" s="1">
        <v>103</v>
      </c>
      <c r="H99" s="2">
        <f>Table14710[[#This Row],[PTS]]/Table14710[[#This Row],[GP]]</f>
        <v>1.4305555555555556</v>
      </c>
      <c r="I99" s="2">
        <v>0.71499999999999997</v>
      </c>
      <c r="J99" s="1">
        <v>260</v>
      </c>
      <c r="K99" s="3">
        <f>Table14710[[#This Row],[GF]]/Table14710[[#This Row],[GP]]</f>
        <v>3.6111111111111112</v>
      </c>
      <c r="L99" s="1">
        <v>185</v>
      </c>
      <c r="M99" s="1">
        <v>2.57</v>
      </c>
      <c r="N99" s="2">
        <f>(Table14710[[#This Row],[GF]]^2)/((Table14710[[#This Row],[GF]]^2)+(Table14710[[#This Row],[GA]]^2))</f>
        <v>0.66388411490301991</v>
      </c>
      <c r="O99" s="1">
        <v>21.54</v>
      </c>
      <c r="P99" s="1">
        <v>82.69</v>
      </c>
      <c r="Q99" s="1">
        <f>Table14710[[#This Row],[PP_PCT]]+Table14710[[#This Row],[PK_PCT]]</f>
        <v>104.22999999999999</v>
      </c>
      <c r="R99" s="3">
        <v>13.1</v>
      </c>
      <c r="S99" s="3">
        <f>Table14710[[#This Row],[GA]]/Table14710[[#This Row],[GP]]</f>
        <v>2.5694444444444446</v>
      </c>
      <c r="T99" s="2">
        <v>0.92800000000000005</v>
      </c>
      <c r="U99" s="1">
        <v>100</v>
      </c>
      <c r="V99" s="1">
        <v>51.8</v>
      </c>
      <c r="W99" s="1">
        <v>49.7</v>
      </c>
      <c r="X99" s="1">
        <v>155.1</v>
      </c>
      <c r="Y99" s="3">
        <f>Table135811[[#This Row],[XGF]]/Table14710[[#This Row],[GP]]</f>
        <v>2.1541666666666668</v>
      </c>
      <c r="Z99" s="1">
        <v>148.1</v>
      </c>
      <c r="AA99" s="3">
        <f>Table135811[[#This Row],[XGA]]/Table14710[[#This Row],[GP]]</f>
        <v>2.0569444444444445</v>
      </c>
      <c r="AB99" s="1">
        <v>46</v>
      </c>
      <c r="AC99" s="2">
        <f>Table135811[[#This Row],[HDGF]]/Table14710[[#This Row],[GP]]</f>
        <v>0.63888888888888884</v>
      </c>
      <c r="AD99" s="1">
        <v>52</v>
      </c>
      <c r="AE99" s="2">
        <f>Table135811[[#This Row],[HDGA]]/Table14710[[#This Row],[GP]]</f>
        <v>0.72222222222222221</v>
      </c>
      <c r="AF99" s="1">
        <v>8.3000000000000007</v>
      </c>
    </row>
    <row r="100" spans="1:32" hidden="1" x14ac:dyDescent="0.35">
      <c r="A100" t="s">
        <v>91</v>
      </c>
      <c r="B100">
        <v>3</v>
      </c>
      <c r="C100" t="s">
        <v>71</v>
      </c>
      <c r="D100" s="1">
        <v>1</v>
      </c>
      <c r="E100" s="1">
        <v>28.4</v>
      </c>
      <c r="F100" s="1">
        <v>72</v>
      </c>
      <c r="G100" s="1">
        <v>98</v>
      </c>
      <c r="H100" s="2">
        <f>Table14710[[#This Row],[PTS]]/Table14710[[#This Row],[GP]]</f>
        <v>1.3611111111111112</v>
      </c>
      <c r="I100" s="2">
        <v>0.68100000000000005</v>
      </c>
      <c r="J100" s="1">
        <v>244</v>
      </c>
      <c r="K100" s="3">
        <f>Table14710[[#This Row],[GF]]/Table14710[[#This Row],[GP]]</f>
        <v>3.3888888888888888</v>
      </c>
      <c r="L100" s="1">
        <v>185</v>
      </c>
      <c r="M100" s="1">
        <v>2.57</v>
      </c>
      <c r="N100" s="2">
        <f>(Table14710[[#This Row],[GF]]^2)/((Table14710[[#This Row],[GF]]^2)+(Table14710[[#This Row],[GA]]^2))</f>
        <v>0.6349761627968985</v>
      </c>
      <c r="O100" s="1">
        <v>22.43</v>
      </c>
      <c r="P100" s="1">
        <v>84.18</v>
      </c>
      <c r="Q100" s="1">
        <f>Table14710[[#This Row],[PP_PCT]]+Table14710[[#This Row],[PK_PCT]]</f>
        <v>106.61000000000001</v>
      </c>
      <c r="R100" s="3">
        <v>11.8</v>
      </c>
      <c r="S100" s="3">
        <f>Table14710[[#This Row],[GA]]/Table14710[[#This Row],[GP]]</f>
        <v>2.5694444444444446</v>
      </c>
      <c r="T100" s="2">
        <v>0.91200000000000003</v>
      </c>
      <c r="U100" s="1">
        <v>99.9</v>
      </c>
      <c r="V100" s="1">
        <v>48.6</v>
      </c>
      <c r="W100" s="1">
        <v>48.2</v>
      </c>
      <c r="X100" s="1">
        <v>136.9</v>
      </c>
      <c r="Y100" s="3">
        <f>Table135811[[#This Row],[XGF]]/Table14710[[#This Row],[GP]]</f>
        <v>1.901388888888889</v>
      </c>
      <c r="Z100" s="1">
        <v>153.4</v>
      </c>
      <c r="AA100" s="3">
        <f>Table135811[[#This Row],[XGA]]/Table14710[[#This Row],[GP]]</f>
        <v>2.1305555555555555</v>
      </c>
      <c r="AB100" s="1">
        <v>48</v>
      </c>
      <c r="AC100" s="2">
        <f>Table135811[[#This Row],[HDGF]]/Table14710[[#This Row],[GP]]</f>
        <v>0.66666666666666663</v>
      </c>
      <c r="AD100" s="1">
        <v>57</v>
      </c>
      <c r="AE100" s="2">
        <f>Table135811[[#This Row],[HDGA]]/Table14710[[#This Row],[GP]]</f>
        <v>0.79166666666666663</v>
      </c>
      <c r="AF100" s="1">
        <v>6.9</v>
      </c>
    </row>
    <row r="101" spans="1:32" hidden="1" x14ac:dyDescent="0.35">
      <c r="A101" t="s">
        <v>91</v>
      </c>
      <c r="B101">
        <v>4</v>
      </c>
      <c r="C101" t="s">
        <v>73</v>
      </c>
      <c r="D101" s="1">
        <v>1</v>
      </c>
      <c r="E101" s="1">
        <v>29.3</v>
      </c>
      <c r="F101" s="1">
        <v>72</v>
      </c>
      <c r="G101" s="1">
        <v>96</v>
      </c>
      <c r="H101" s="2">
        <f>Table14710[[#This Row],[PTS]]/Table14710[[#This Row],[GP]]</f>
        <v>1.3333333333333333</v>
      </c>
      <c r="I101" s="2">
        <v>0.66700000000000004</v>
      </c>
      <c r="J101" s="1">
        <v>246</v>
      </c>
      <c r="K101" s="3">
        <f>Table14710[[#This Row],[GF]]/Table14710[[#This Row],[GP]]</f>
        <v>3.4166666666666665</v>
      </c>
      <c r="L101" s="1">
        <v>191</v>
      </c>
      <c r="M101" s="1">
        <v>2.65</v>
      </c>
      <c r="N101" s="2">
        <f>(Table14710[[#This Row],[GF]]^2)/((Table14710[[#This Row],[GF]]^2)+(Table14710[[#This Row],[GA]]^2))</f>
        <v>0.62389558439951753</v>
      </c>
      <c r="O101" s="1">
        <v>30.36</v>
      </c>
      <c r="P101" s="1">
        <v>76.03</v>
      </c>
      <c r="Q101" s="1">
        <f>Table14710[[#This Row],[PP_PCT]]+Table14710[[#This Row],[PK_PCT]]</f>
        <v>106.39</v>
      </c>
      <c r="R101" s="3">
        <v>11.2</v>
      </c>
      <c r="S101" s="3">
        <f>Table14710[[#This Row],[GA]]/Table14710[[#This Row],[GP]]</f>
        <v>2.6527777777777777</v>
      </c>
      <c r="T101" s="2">
        <v>0.92400000000000004</v>
      </c>
      <c r="U101" s="1">
        <v>102</v>
      </c>
      <c r="V101" s="1">
        <v>47.2</v>
      </c>
      <c r="W101" s="1">
        <v>46.7</v>
      </c>
      <c r="X101" s="1">
        <v>182.1</v>
      </c>
      <c r="Y101" s="3">
        <f>Table135811[[#This Row],[XGF]]/Table14710[[#This Row],[GP]]</f>
        <v>2.5291666666666668</v>
      </c>
      <c r="Z101" s="1">
        <v>188.6</v>
      </c>
      <c r="AA101" s="3">
        <f>Table135811[[#This Row],[XGA]]/Table14710[[#This Row],[GP]]</f>
        <v>2.6194444444444445</v>
      </c>
      <c r="AB101" s="1">
        <v>67</v>
      </c>
      <c r="AC101" s="2">
        <f>Table135811[[#This Row],[HDGF]]/Table14710[[#This Row],[GP]]</f>
        <v>0.93055555555555558</v>
      </c>
      <c r="AD101" s="1">
        <v>68</v>
      </c>
      <c r="AE101" s="2">
        <f>Table135811[[#This Row],[HDGA]]/Table14710[[#This Row],[GP]]</f>
        <v>0.94444444444444442</v>
      </c>
      <c r="AF101" s="1">
        <v>5.7</v>
      </c>
    </row>
    <row r="102" spans="1:32" hidden="1" x14ac:dyDescent="0.35">
      <c r="A102" t="s">
        <v>91</v>
      </c>
      <c r="B102">
        <v>5</v>
      </c>
      <c r="C102" t="s">
        <v>58</v>
      </c>
      <c r="D102" s="1">
        <v>1</v>
      </c>
      <c r="E102" s="1">
        <v>28.6</v>
      </c>
      <c r="F102" s="1">
        <v>73</v>
      </c>
      <c r="G102" s="1">
        <v>93</v>
      </c>
      <c r="H102" s="2">
        <f>Table14710[[#This Row],[PTS]]/Table14710[[#This Row],[GP]]</f>
        <v>1.273972602739726</v>
      </c>
      <c r="I102" s="2">
        <v>0.63700000000000001</v>
      </c>
      <c r="J102" s="1">
        <v>246</v>
      </c>
      <c r="K102" s="3">
        <f>Table14710[[#This Row],[GF]]/Table14710[[#This Row],[GP]]</f>
        <v>3.3698630136986303</v>
      </c>
      <c r="L102" s="1">
        <v>204</v>
      </c>
      <c r="M102" s="1">
        <v>2.79</v>
      </c>
      <c r="N102" s="2">
        <f>(Table14710[[#This Row],[GF]]^2)/((Table14710[[#This Row],[GF]]^2)+(Table14710[[#This Row],[GA]]^2))</f>
        <v>0.59252731758900246</v>
      </c>
      <c r="O102" s="1">
        <v>25.71</v>
      </c>
      <c r="P102" s="1">
        <v>79.12</v>
      </c>
      <c r="Q102" s="1">
        <f>Table14710[[#This Row],[PP_PCT]]+Table14710[[#This Row],[PK_PCT]]</f>
        <v>104.83000000000001</v>
      </c>
      <c r="R102" s="3">
        <v>11.3</v>
      </c>
      <c r="S102" s="3">
        <f>Table14710[[#This Row],[GA]]/Table14710[[#This Row],[GP]]</f>
        <v>2.7945205479452055</v>
      </c>
      <c r="T102" s="2">
        <v>0.91700000000000004</v>
      </c>
      <c r="U102" s="1">
        <v>100.5</v>
      </c>
      <c r="V102" s="1">
        <v>46.1</v>
      </c>
      <c r="W102" s="1">
        <v>46.4</v>
      </c>
      <c r="X102" s="1">
        <v>174.3</v>
      </c>
      <c r="Y102" s="3">
        <f>Table135811[[#This Row],[XGF]]/Table14710[[#This Row],[GP]]</f>
        <v>2.3876712328767127</v>
      </c>
      <c r="Z102" s="1">
        <v>202.5</v>
      </c>
      <c r="AA102" s="3">
        <f>Table135811[[#This Row],[XGA]]/Table14710[[#This Row],[GP]]</f>
        <v>2.7739726027397262</v>
      </c>
      <c r="AB102" s="1">
        <v>67</v>
      </c>
      <c r="AC102" s="2">
        <f>Table135811[[#This Row],[HDGF]]/Table14710[[#This Row],[GP]]</f>
        <v>0.9178082191780822</v>
      </c>
      <c r="AD102" s="1">
        <v>91</v>
      </c>
      <c r="AE102" s="2">
        <f>Table135811[[#This Row],[HDGA]]/Table14710[[#This Row],[GP]]</f>
        <v>1.2465753424657535</v>
      </c>
      <c r="AF102" s="1">
        <v>6.8</v>
      </c>
    </row>
    <row r="103" spans="1:32" hidden="1" x14ac:dyDescent="0.35">
      <c r="A103" t="s">
        <v>91</v>
      </c>
      <c r="B103">
        <v>6</v>
      </c>
      <c r="C103" t="s">
        <v>59</v>
      </c>
      <c r="D103" s="1">
        <v>1</v>
      </c>
      <c r="E103" s="1">
        <v>29.6</v>
      </c>
      <c r="F103" s="1">
        <v>72</v>
      </c>
      <c r="G103" s="1">
        <v>92</v>
      </c>
      <c r="H103" s="2">
        <f>Table14710[[#This Row],[PTS]]/Table14710[[#This Row],[GP]]</f>
        <v>1.2777777777777777</v>
      </c>
      <c r="I103" s="2">
        <v>0.63900000000000001</v>
      </c>
      <c r="J103" s="1">
        <v>232</v>
      </c>
      <c r="K103" s="3">
        <f>Table14710[[#This Row],[GF]]/Table14710[[#This Row],[GP]]</f>
        <v>3.2222222222222223</v>
      </c>
      <c r="L103" s="1">
        <v>190</v>
      </c>
      <c r="M103" s="1">
        <v>2.64</v>
      </c>
      <c r="N103" s="2">
        <f>(Table14710[[#This Row],[GF]]^2)/((Table14710[[#This Row],[GF]]^2)+(Table14710[[#This Row],[GA]]^2))</f>
        <v>0.59854988657088204</v>
      </c>
      <c r="O103" s="1">
        <v>18.350000000000001</v>
      </c>
      <c r="P103" s="1">
        <v>84.76</v>
      </c>
      <c r="Q103" s="1">
        <f>Table14710[[#This Row],[PP_PCT]]+Table14710[[#This Row],[PK_PCT]]</f>
        <v>103.11000000000001</v>
      </c>
      <c r="R103" s="3">
        <v>10.199999999999999</v>
      </c>
      <c r="S103" s="3">
        <f>Table14710[[#This Row],[GA]]/Table14710[[#This Row],[GP]]</f>
        <v>2.6388888888888888</v>
      </c>
      <c r="T103" s="2">
        <v>0.92700000000000005</v>
      </c>
      <c r="U103" s="1">
        <v>100.4</v>
      </c>
      <c r="V103" s="1">
        <v>45.9</v>
      </c>
      <c r="W103" s="1">
        <v>45.5</v>
      </c>
      <c r="X103" s="1">
        <v>157.5</v>
      </c>
      <c r="Y103" s="3">
        <f>Table135811[[#This Row],[XGF]]/Table14710[[#This Row],[GP]]</f>
        <v>2.1875</v>
      </c>
      <c r="Z103" s="1">
        <v>183.7</v>
      </c>
      <c r="AA103" s="3">
        <f>Table135811[[#This Row],[XGA]]/Table14710[[#This Row],[GP]]</f>
        <v>2.5513888888888889</v>
      </c>
      <c r="AB103" s="1">
        <v>54</v>
      </c>
      <c r="AC103" s="2">
        <f>Table135811[[#This Row],[HDGF]]/Table14710[[#This Row],[GP]]</f>
        <v>0.75</v>
      </c>
      <c r="AD103" s="1">
        <v>67</v>
      </c>
      <c r="AE103" s="2">
        <f>Table135811[[#This Row],[HDGA]]/Table14710[[#This Row],[GP]]</f>
        <v>0.93055555555555558</v>
      </c>
      <c r="AF103" s="1">
        <v>7</v>
      </c>
    </row>
    <row r="104" spans="1:32" hidden="1" x14ac:dyDescent="0.35">
      <c r="A104" t="s">
        <v>91</v>
      </c>
      <c r="B104">
        <v>7</v>
      </c>
      <c r="C104" t="s">
        <v>57</v>
      </c>
      <c r="D104" s="1">
        <v>1</v>
      </c>
      <c r="E104" s="1">
        <v>29.5</v>
      </c>
      <c r="F104" s="1">
        <v>72</v>
      </c>
      <c r="G104" s="1">
        <v>91</v>
      </c>
      <c r="H104" s="2">
        <f>Table14710[[#This Row],[PTS]]/Table14710[[#This Row],[GP]]</f>
        <v>1.2638888888888888</v>
      </c>
      <c r="I104" s="2">
        <v>0.63200000000000001</v>
      </c>
      <c r="J104" s="1">
        <v>226</v>
      </c>
      <c r="K104" s="3">
        <f>Table14710[[#This Row],[GF]]/Table14710[[#This Row],[GP]]</f>
        <v>3.1388888888888888</v>
      </c>
      <c r="L104" s="1">
        <v>194</v>
      </c>
      <c r="M104" s="1">
        <v>2.69</v>
      </c>
      <c r="N104" s="2">
        <f>(Table14710[[#This Row],[GF]]^2)/((Table14710[[#This Row],[GF]]^2)+(Table14710[[#This Row],[GA]]^2))</f>
        <v>0.57575074398052128</v>
      </c>
      <c r="O104" s="1">
        <v>24.07</v>
      </c>
      <c r="P104" s="1">
        <v>81.22</v>
      </c>
      <c r="Q104" s="1">
        <f>Table14710[[#This Row],[PP_PCT]]+Table14710[[#This Row],[PK_PCT]]</f>
        <v>105.28999999999999</v>
      </c>
      <c r="R104" s="3">
        <v>9.9</v>
      </c>
      <c r="S104" s="3">
        <f>Table14710[[#This Row],[GA]]/Table14710[[#This Row],[GP]]</f>
        <v>2.6944444444444446</v>
      </c>
      <c r="T104" s="2">
        <v>0.92500000000000004</v>
      </c>
      <c r="U104" s="1">
        <v>101.5</v>
      </c>
      <c r="V104" s="1">
        <v>49.7</v>
      </c>
      <c r="W104" s="1">
        <v>48.9</v>
      </c>
      <c r="X104" s="1">
        <v>155</v>
      </c>
      <c r="Y104" s="3">
        <f>Table135811[[#This Row],[XGF]]/Table14710[[#This Row],[GP]]</f>
        <v>2.1527777777777777</v>
      </c>
      <c r="Z104" s="1">
        <v>137.6</v>
      </c>
      <c r="AA104" s="3">
        <f>Table135811[[#This Row],[XGA]]/Table14710[[#This Row],[GP]]</f>
        <v>1.911111111111111</v>
      </c>
      <c r="AB104" s="1">
        <v>61</v>
      </c>
      <c r="AC104" s="2">
        <f>Table135811[[#This Row],[HDGF]]/Table14710[[#This Row],[GP]]</f>
        <v>0.84722222222222221</v>
      </c>
      <c r="AD104" s="1">
        <v>43</v>
      </c>
      <c r="AE104" s="2">
        <f>Table135811[[#This Row],[HDGA]]/Table14710[[#This Row],[GP]]</f>
        <v>0.59722222222222221</v>
      </c>
      <c r="AF104" s="1">
        <v>9.8000000000000007</v>
      </c>
    </row>
    <row r="105" spans="1:32" hidden="1" x14ac:dyDescent="0.35">
      <c r="A105" t="s">
        <v>91</v>
      </c>
      <c r="B105">
        <v>8</v>
      </c>
      <c r="C105" t="s">
        <v>60</v>
      </c>
      <c r="D105" s="1">
        <v>1</v>
      </c>
      <c r="E105" s="1">
        <v>29.3</v>
      </c>
      <c r="F105" s="1">
        <v>72</v>
      </c>
      <c r="G105" s="1">
        <v>90</v>
      </c>
      <c r="H105" s="2">
        <f>Table14710[[#This Row],[PTS]]/Table14710[[#This Row],[GP]]</f>
        <v>1.25</v>
      </c>
      <c r="I105" s="2">
        <v>0.625</v>
      </c>
      <c r="J105" s="1">
        <v>235</v>
      </c>
      <c r="K105" s="3">
        <f>Table14710[[#This Row],[GF]]/Table14710[[#This Row],[GP]]</f>
        <v>3.2638888888888888</v>
      </c>
      <c r="L105" s="1">
        <v>214</v>
      </c>
      <c r="M105" s="1">
        <v>2.97</v>
      </c>
      <c r="N105" s="2">
        <f>(Table14710[[#This Row],[GF]]^2)/((Table14710[[#This Row],[GF]]^2)+(Table14710[[#This Row],[GA]]^2))</f>
        <v>0.54666851446728892</v>
      </c>
      <c r="O105" s="1">
        <v>26.53</v>
      </c>
      <c r="P105" s="1">
        <v>78.099999999999994</v>
      </c>
      <c r="Q105" s="1">
        <f>Table14710[[#This Row],[PP_PCT]]+Table14710[[#This Row],[PK_PCT]]</f>
        <v>104.63</v>
      </c>
      <c r="R105" s="3">
        <v>11.5</v>
      </c>
      <c r="S105" s="3">
        <f>Table14710[[#This Row],[GA]]/Table14710[[#This Row],[GP]]</f>
        <v>2.9722222222222223</v>
      </c>
      <c r="T105" s="2">
        <v>0.92500000000000004</v>
      </c>
      <c r="U105" s="1">
        <v>101.4</v>
      </c>
      <c r="V105" s="1">
        <v>50.9</v>
      </c>
      <c r="W105" s="1">
        <v>51.1</v>
      </c>
      <c r="X105" s="1">
        <v>181.2</v>
      </c>
      <c r="Y105" s="3">
        <f>Table135811[[#This Row],[XGF]]/Table14710[[#This Row],[GP]]</f>
        <v>2.5166666666666666</v>
      </c>
      <c r="Z105" s="1">
        <v>168.5</v>
      </c>
      <c r="AA105" s="3">
        <f>Table135811[[#This Row],[XGA]]/Table14710[[#This Row],[GP]]</f>
        <v>2.3402777777777777</v>
      </c>
      <c r="AB105" s="1">
        <v>77</v>
      </c>
      <c r="AC105" s="2">
        <f>Table135811[[#This Row],[HDGF]]/Table14710[[#This Row],[GP]]</f>
        <v>1.0694444444444444</v>
      </c>
      <c r="AD105" s="1">
        <v>70</v>
      </c>
      <c r="AE105" s="2">
        <f>Table135811[[#This Row],[HDGA]]/Table14710[[#This Row],[GP]]</f>
        <v>0.97222222222222221</v>
      </c>
      <c r="AF105" s="1">
        <v>7.9</v>
      </c>
    </row>
    <row r="106" spans="1:32" hidden="1" x14ac:dyDescent="0.35">
      <c r="A106" t="s">
        <v>91</v>
      </c>
      <c r="B106">
        <v>9</v>
      </c>
      <c r="C106" t="s">
        <v>63</v>
      </c>
      <c r="D106" s="1">
        <v>1</v>
      </c>
      <c r="E106" s="1">
        <v>29.6</v>
      </c>
      <c r="F106" s="1">
        <v>72</v>
      </c>
      <c r="G106" s="1">
        <v>89</v>
      </c>
      <c r="H106" s="2">
        <f>Table14710[[#This Row],[PTS]]/Table14710[[#This Row],[GP]]</f>
        <v>1.2361111111111112</v>
      </c>
      <c r="I106" s="2">
        <v>0.61799999999999999</v>
      </c>
      <c r="J106" s="1">
        <v>257</v>
      </c>
      <c r="K106" s="3">
        <f>Table14710[[#This Row],[GF]]/Table14710[[#This Row],[GP]]</f>
        <v>3.5694444444444446</v>
      </c>
      <c r="L106" s="1">
        <v>190</v>
      </c>
      <c r="M106" s="1">
        <v>2.64</v>
      </c>
      <c r="N106" s="2">
        <f>(Table14710[[#This Row],[GF]]^2)/((Table14710[[#This Row],[GF]]^2)+(Table14710[[#This Row],[GA]]^2))</f>
        <v>0.64659468031992484</v>
      </c>
      <c r="O106" s="1">
        <v>25.98</v>
      </c>
      <c r="P106" s="1">
        <v>82.32</v>
      </c>
      <c r="Q106" s="1">
        <f>Table14710[[#This Row],[PP_PCT]]+Table14710[[#This Row],[PK_PCT]]</f>
        <v>108.3</v>
      </c>
      <c r="R106" s="3">
        <v>12.4</v>
      </c>
      <c r="S106" s="3">
        <f>Table14710[[#This Row],[GA]]/Table14710[[#This Row],[GP]]</f>
        <v>2.6388888888888888</v>
      </c>
      <c r="T106" s="2">
        <v>0.92300000000000004</v>
      </c>
      <c r="U106" s="1">
        <v>100.5</v>
      </c>
      <c r="V106" s="1">
        <v>51.6</v>
      </c>
      <c r="W106" s="1">
        <v>51.5</v>
      </c>
      <c r="X106" s="1">
        <v>196.1</v>
      </c>
      <c r="Y106" s="3">
        <f>Table135811[[#This Row],[XGF]]/Table14710[[#This Row],[GP]]</f>
        <v>2.723611111111111</v>
      </c>
      <c r="Z106" s="1">
        <v>187.7</v>
      </c>
      <c r="AA106" s="3">
        <f>Table135811[[#This Row],[XGA]]/Table14710[[#This Row],[GP]]</f>
        <v>2.6069444444444443</v>
      </c>
      <c r="AB106" s="1">
        <v>80</v>
      </c>
      <c r="AC106" s="2">
        <f>Table135811[[#This Row],[HDGF]]/Table14710[[#This Row],[GP]]</f>
        <v>1.1111111111111112</v>
      </c>
      <c r="AD106" s="1">
        <v>58</v>
      </c>
      <c r="AE106" s="2">
        <f>Table135811[[#This Row],[HDGA]]/Table14710[[#This Row],[GP]]</f>
        <v>0.80555555555555558</v>
      </c>
      <c r="AF106" s="1">
        <v>8.1999999999999993</v>
      </c>
    </row>
    <row r="107" spans="1:32" hidden="1" x14ac:dyDescent="0.35">
      <c r="A107" t="s">
        <v>91</v>
      </c>
      <c r="B107">
        <v>10</v>
      </c>
      <c r="C107" t="s">
        <v>70</v>
      </c>
      <c r="D107" s="1">
        <v>1</v>
      </c>
      <c r="E107" s="1">
        <v>29.3</v>
      </c>
      <c r="F107" s="1">
        <v>71</v>
      </c>
      <c r="G107" s="1">
        <v>89</v>
      </c>
      <c r="H107" s="2">
        <f>Table14710[[#This Row],[PTS]]/Table14710[[#This Row],[GP]]</f>
        <v>1.2535211267605635</v>
      </c>
      <c r="I107" s="2">
        <v>0.627</v>
      </c>
      <c r="J107" s="1">
        <v>205</v>
      </c>
      <c r="K107" s="3">
        <f>Table14710[[#This Row],[GF]]/Table14710[[#This Row],[GP]]</f>
        <v>2.887323943661972</v>
      </c>
      <c r="L107" s="1">
        <v>179</v>
      </c>
      <c r="M107" s="1">
        <v>2.52</v>
      </c>
      <c r="N107" s="2">
        <f>(Table14710[[#This Row],[GF]]^2)/((Table14710[[#This Row],[GF]]^2)+(Table14710[[#This Row],[GA]]^2))</f>
        <v>0.56739934652877166</v>
      </c>
      <c r="O107" s="1">
        <v>16.27</v>
      </c>
      <c r="P107" s="1">
        <v>81.37</v>
      </c>
      <c r="Q107" s="1">
        <f>Table14710[[#This Row],[PP_PCT]]+Table14710[[#This Row],[PK_PCT]]</f>
        <v>97.64</v>
      </c>
      <c r="R107" s="3">
        <v>10.4</v>
      </c>
      <c r="S107" s="3">
        <f>Table14710[[#This Row],[GA]]/Table14710[[#This Row],[GP]]</f>
        <v>2.5211267605633805</v>
      </c>
      <c r="T107" s="2">
        <v>0.90900000000000003</v>
      </c>
      <c r="U107" s="1">
        <v>99.5</v>
      </c>
      <c r="V107" s="1">
        <v>51.1</v>
      </c>
      <c r="W107" s="1">
        <v>50.2</v>
      </c>
      <c r="X107" s="1">
        <v>167.7</v>
      </c>
      <c r="Y107" s="3">
        <f>Table135811[[#This Row],[XGF]]/Table14710[[#This Row],[GP]]</f>
        <v>2.3619718309859152</v>
      </c>
      <c r="Z107" s="1">
        <v>166.6</v>
      </c>
      <c r="AA107" s="3">
        <f>Table135811[[#This Row],[XGA]]/Table14710[[#This Row],[GP]]</f>
        <v>2.3464788732394366</v>
      </c>
      <c r="AB107" s="1">
        <v>69</v>
      </c>
      <c r="AC107" s="2">
        <f>Table135811[[#This Row],[HDGF]]/Table14710[[#This Row],[GP]]</f>
        <v>0.971830985915493</v>
      </c>
      <c r="AD107" s="1">
        <v>74</v>
      </c>
      <c r="AE107" s="2">
        <f>Table135811[[#This Row],[HDGA]]/Table14710[[#This Row],[GP]]</f>
        <v>1.0422535211267605</v>
      </c>
      <c r="AF107" s="1">
        <v>7.8</v>
      </c>
    </row>
    <row r="108" spans="1:32" hidden="1" x14ac:dyDescent="0.35">
      <c r="A108" t="s">
        <v>91</v>
      </c>
      <c r="B108">
        <v>11</v>
      </c>
      <c r="C108" t="s">
        <v>61</v>
      </c>
      <c r="D108" s="1">
        <v>1</v>
      </c>
      <c r="E108" s="1">
        <v>29.6</v>
      </c>
      <c r="F108" s="1">
        <v>73</v>
      </c>
      <c r="G108" s="1">
        <v>87</v>
      </c>
      <c r="H108" s="2">
        <f>Table14710[[#This Row],[PTS]]/Table14710[[#This Row],[GP]]</f>
        <v>1.1917808219178083</v>
      </c>
      <c r="I108" s="2">
        <v>0.59599999999999997</v>
      </c>
      <c r="J108" s="1">
        <v>197</v>
      </c>
      <c r="K108" s="3">
        <f>Table14710[[#This Row],[GF]]/Table14710[[#This Row],[GP]]</f>
        <v>2.6986301369863015</v>
      </c>
      <c r="L108" s="1">
        <v>204</v>
      </c>
      <c r="M108" s="1">
        <v>2.79</v>
      </c>
      <c r="N108" s="2">
        <f>(Table14710[[#This Row],[GF]]^2)/((Table14710[[#This Row],[GF]]^2)+(Table14710[[#This Row],[GA]]^2))</f>
        <v>0.48254895865713399</v>
      </c>
      <c r="O108" s="1">
        <v>20.65</v>
      </c>
      <c r="P108" s="1">
        <v>71.739999999999995</v>
      </c>
      <c r="Q108" s="1">
        <f>Table14710[[#This Row],[PP_PCT]]+Table14710[[#This Row],[PK_PCT]]</f>
        <v>92.389999999999986</v>
      </c>
      <c r="R108" s="3">
        <v>9.9</v>
      </c>
      <c r="S108" s="3">
        <f>Table14710[[#This Row],[GA]]/Table14710[[#This Row],[GP]]</f>
        <v>2.7945205479452055</v>
      </c>
      <c r="T108" s="2">
        <v>0.92800000000000005</v>
      </c>
      <c r="U108" s="1">
        <v>102</v>
      </c>
      <c r="V108" s="1">
        <v>51</v>
      </c>
      <c r="W108" s="1">
        <v>50.3</v>
      </c>
      <c r="X108" s="1">
        <v>163.19999999999999</v>
      </c>
      <c r="Y108" s="3">
        <f>Table135811[[#This Row],[XGF]]/Table14710[[#This Row],[GP]]</f>
        <v>2.2356164383561641</v>
      </c>
      <c r="Z108" s="1">
        <v>150.19999999999999</v>
      </c>
      <c r="AA108" s="3">
        <f>Table135811[[#This Row],[XGA]]/Table14710[[#This Row],[GP]]</f>
        <v>2.0575342465753423</v>
      </c>
      <c r="AB108" s="1">
        <v>59</v>
      </c>
      <c r="AC108" s="2">
        <f>Table135811[[#This Row],[HDGF]]/Table14710[[#This Row],[GP]]</f>
        <v>0.80821917808219179</v>
      </c>
      <c r="AD108" s="1">
        <v>31</v>
      </c>
      <c r="AE108" s="2">
        <f>Table135811[[#This Row],[HDGA]]/Table14710[[#This Row],[GP]]</f>
        <v>0.42465753424657532</v>
      </c>
      <c r="AF108" s="1">
        <v>7.6</v>
      </c>
    </row>
    <row r="109" spans="1:32" hidden="1" x14ac:dyDescent="0.35">
      <c r="A109" t="s">
        <v>91</v>
      </c>
      <c r="B109">
        <v>12</v>
      </c>
      <c r="C109" t="s">
        <v>67</v>
      </c>
      <c r="D109" s="1">
        <v>1</v>
      </c>
      <c r="E109" s="1">
        <v>30.4</v>
      </c>
      <c r="F109" s="1">
        <v>72</v>
      </c>
      <c r="G109" s="1">
        <v>87</v>
      </c>
      <c r="H109" s="2">
        <f>Table14710[[#This Row],[PTS]]/Table14710[[#This Row],[GP]]</f>
        <v>1.2083333333333333</v>
      </c>
      <c r="I109" s="2">
        <v>0.60399999999999998</v>
      </c>
      <c r="J109" s="1">
        <v>233</v>
      </c>
      <c r="K109" s="3">
        <f>Table14710[[#This Row],[GF]]/Table14710[[#This Row],[GP]]</f>
        <v>3.2361111111111112</v>
      </c>
      <c r="L109" s="1">
        <v>212</v>
      </c>
      <c r="M109" s="1">
        <v>2.94</v>
      </c>
      <c r="N109" s="2">
        <f>(Table14710[[#This Row],[GF]]^2)/((Table14710[[#This Row],[GF]]^2)+(Table14710[[#This Row],[GA]]^2))</f>
        <v>0.54708615077645539</v>
      </c>
      <c r="O109" s="1">
        <v>25.41</v>
      </c>
      <c r="P109" s="1">
        <v>76.540000000000006</v>
      </c>
      <c r="Q109" s="1">
        <f>Table14710[[#This Row],[PP_PCT]]+Table14710[[#This Row],[PK_PCT]]</f>
        <v>101.95</v>
      </c>
      <c r="R109" s="3">
        <v>10.1</v>
      </c>
      <c r="S109" s="3">
        <f>Table14710[[#This Row],[GA]]/Table14710[[#This Row],[GP]]</f>
        <v>2.9444444444444446</v>
      </c>
      <c r="T109" s="2">
        <v>0.91500000000000004</v>
      </c>
      <c r="U109" s="1">
        <v>100.2</v>
      </c>
      <c r="V109" s="1">
        <v>53.4</v>
      </c>
      <c r="W109" s="1">
        <v>53</v>
      </c>
      <c r="X109" s="1">
        <v>210.6</v>
      </c>
      <c r="Y109" s="3">
        <f>Table135811[[#This Row],[XGF]]/Table14710[[#This Row],[GP]]</f>
        <v>2.9249999999999998</v>
      </c>
      <c r="Z109" s="1">
        <v>170.8</v>
      </c>
      <c r="AA109" s="3">
        <f>Table135811[[#This Row],[XGA]]/Table14710[[#This Row],[GP]]</f>
        <v>2.3722222222222222</v>
      </c>
      <c r="AB109" s="1">
        <v>81</v>
      </c>
      <c r="AC109" s="2">
        <f>Table135811[[#This Row],[HDGF]]/Table14710[[#This Row],[GP]]</f>
        <v>1.125</v>
      </c>
      <c r="AD109" s="1">
        <v>75</v>
      </c>
      <c r="AE109" s="2">
        <f>Table135811[[#This Row],[HDGA]]/Table14710[[#This Row],[GP]]</f>
        <v>1.0416666666666667</v>
      </c>
      <c r="AF109" s="1">
        <v>6.9</v>
      </c>
    </row>
    <row r="110" spans="1:32" hidden="1" x14ac:dyDescent="0.35">
      <c r="A110" t="s">
        <v>91</v>
      </c>
      <c r="B110">
        <v>13</v>
      </c>
      <c r="C110" t="s">
        <v>65</v>
      </c>
      <c r="D110" s="1">
        <v>1</v>
      </c>
      <c r="E110" s="1">
        <v>29.2</v>
      </c>
      <c r="F110" s="1">
        <v>74</v>
      </c>
      <c r="G110" s="1">
        <v>85</v>
      </c>
      <c r="H110" s="2">
        <f>Table14710[[#This Row],[PTS]]/Table14710[[#This Row],[GP]]</f>
        <v>1.1486486486486487</v>
      </c>
      <c r="I110" s="2">
        <v>0.57399999999999995</v>
      </c>
      <c r="J110" s="1">
        <v>223</v>
      </c>
      <c r="K110" s="3">
        <f>Table14710[[#This Row],[GF]]/Table14710[[#This Row],[GP]]</f>
        <v>3.0135135135135136</v>
      </c>
      <c r="L110" s="1">
        <v>210</v>
      </c>
      <c r="M110" s="1">
        <v>2.84</v>
      </c>
      <c r="N110" s="2">
        <f>(Table14710[[#This Row],[GF]]^2)/((Table14710[[#This Row],[GF]]^2)+(Table14710[[#This Row],[GA]]^2))</f>
        <v>0.52999605665625771</v>
      </c>
      <c r="O110" s="1">
        <v>21.3</v>
      </c>
      <c r="P110" s="1">
        <v>72.989999999999995</v>
      </c>
      <c r="Q110" s="1">
        <f>Table14710[[#This Row],[PP_PCT]]+Table14710[[#This Row],[PK_PCT]]</f>
        <v>94.289999999999992</v>
      </c>
      <c r="R110" s="3">
        <v>11.2</v>
      </c>
      <c r="S110" s="3">
        <f>Table14710[[#This Row],[GA]]/Table14710[[#This Row],[GP]]</f>
        <v>2.8378378378378377</v>
      </c>
      <c r="T110" s="2">
        <v>0.92800000000000005</v>
      </c>
      <c r="U110" s="1">
        <v>101.2</v>
      </c>
      <c r="V110" s="1">
        <v>50.9</v>
      </c>
      <c r="W110" s="1">
        <v>51.7</v>
      </c>
      <c r="X110" s="1">
        <v>201.5</v>
      </c>
      <c r="Y110" s="3">
        <f>Table135811[[#This Row],[XGF]]/Table14710[[#This Row],[GP]]</f>
        <v>2.7229729729729728</v>
      </c>
      <c r="Z110" s="1">
        <v>167.4</v>
      </c>
      <c r="AA110" s="3">
        <f>Table135811[[#This Row],[XGA]]/Table14710[[#This Row],[GP]]</f>
        <v>2.2621621621621624</v>
      </c>
      <c r="AB110" s="1">
        <v>76</v>
      </c>
      <c r="AC110" s="2">
        <f>Table135811[[#This Row],[HDGF]]/Table14710[[#This Row],[GP]]</f>
        <v>1.027027027027027</v>
      </c>
      <c r="AD110" s="1">
        <v>58</v>
      </c>
      <c r="AE110" s="2">
        <f>Table135811[[#This Row],[HDGA]]/Table14710[[#This Row],[GP]]</f>
        <v>0.78378378378378377</v>
      </c>
      <c r="AF110" s="1">
        <v>7.7</v>
      </c>
    </row>
    <row r="111" spans="1:32" hidden="1" x14ac:dyDescent="0.35">
      <c r="A111" t="s">
        <v>91</v>
      </c>
      <c r="B111">
        <v>14</v>
      </c>
      <c r="C111" t="s">
        <v>84</v>
      </c>
      <c r="D111" s="1">
        <v>1</v>
      </c>
      <c r="E111" s="1">
        <v>29.5</v>
      </c>
      <c r="F111" s="1">
        <v>74</v>
      </c>
      <c r="G111" s="1">
        <v>83</v>
      </c>
      <c r="H111" s="2">
        <f>Table14710[[#This Row],[PTS]]/Table14710[[#This Row],[GP]]</f>
        <v>1.1216216216216217</v>
      </c>
      <c r="I111" s="2">
        <v>0.56100000000000005</v>
      </c>
      <c r="J111" s="1">
        <v>218</v>
      </c>
      <c r="K111" s="3">
        <f>Table14710[[#This Row],[GF]]/Table14710[[#This Row],[GP]]</f>
        <v>2.9459459459459461</v>
      </c>
      <c r="L111" s="1">
        <v>195</v>
      </c>
      <c r="M111" s="1">
        <v>2.64</v>
      </c>
      <c r="N111" s="2">
        <f>(Table14710[[#This Row],[GF]]^2)/((Table14710[[#This Row],[GF]]^2)+(Table14710[[#This Row],[GA]]^2))</f>
        <v>0.55551789033185661</v>
      </c>
      <c r="O111" s="1">
        <v>27.72</v>
      </c>
      <c r="P111" s="1">
        <v>81.86</v>
      </c>
      <c r="Q111" s="1">
        <f>Table14710[[#This Row],[PP_PCT]]+Table14710[[#This Row],[PK_PCT]]</f>
        <v>109.58</v>
      </c>
      <c r="R111" s="3">
        <v>10.4</v>
      </c>
      <c r="S111" s="3">
        <f>Table14710[[#This Row],[GA]]/Table14710[[#This Row],[GP]]</f>
        <v>2.6351351351351351</v>
      </c>
      <c r="T111" s="2">
        <v>0.91700000000000004</v>
      </c>
      <c r="U111" s="1">
        <v>100.5</v>
      </c>
      <c r="V111" s="1">
        <v>51.5</v>
      </c>
      <c r="W111" s="1">
        <v>51.4</v>
      </c>
      <c r="X111" s="1">
        <v>191.4</v>
      </c>
      <c r="Y111" s="3">
        <f>Table135811[[#This Row],[XGF]]/Table14710[[#This Row],[GP]]</f>
        <v>2.5864864864864865</v>
      </c>
      <c r="Z111" s="1">
        <v>163.69999999999999</v>
      </c>
      <c r="AA111" s="3">
        <f>Table135811[[#This Row],[XGA]]/Table14710[[#This Row],[GP]]</f>
        <v>2.2121621621621621</v>
      </c>
      <c r="AB111" s="1">
        <v>81</v>
      </c>
      <c r="AC111" s="2">
        <f>Table135811[[#This Row],[HDGF]]/Table14710[[#This Row],[GP]]</f>
        <v>1.0945945945945945</v>
      </c>
      <c r="AD111" s="1">
        <v>67</v>
      </c>
      <c r="AE111" s="2">
        <f>Table135811[[#This Row],[HDGA]]/Table14710[[#This Row],[GP]]</f>
        <v>0.90540540540540537</v>
      </c>
      <c r="AF111" s="1">
        <v>8.3000000000000007</v>
      </c>
    </row>
    <row r="112" spans="1:32" hidden="1" x14ac:dyDescent="0.35">
      <c r="A112" t="s">
        <v>91</v>
      </c>
      <c r="B112">
        <v>15</v>
      </c>
      <c r="C112" t="s">
        <v>82</v>
      </c>
      <c r="D112" s="1">
        <v>1</v>
      </c>
      <c r="E112" s="1">
        <v>28.1</v>
      </c>
      <c r="F112" s="1">
        <v>71</v>
      </c>
      <c r="G112" s="1">
        <v>81</v>
      </c>
      <c r="H112" s="2">
        <f>Table14710[[#This Row],[PTS]]/Table14710[[#This Row],[GP]]</f>
        <v>1.1408450704225352</v>
      </c>
      <c r="I112" s="2">
        <v>0.56999999999999995</v>
      </c>
      <c r="J112" s="1">
        <v>207</v>
      </c>
      <c r="K112" s="3">
        <f>Table14710[[#This Row],[GF]]/Table14710[[#This Row],[GP]]</f>
        <v>2.915492957746479</v>
      </c>
      <c r="L112" s="1">
        <v>204</v>
      </c>
      <c r="M112" s="1">
        <v>2.87</v>
      </c>
      <c r="N112" s="2">
        <f>(Table14710[[#This Row],[GF]]^2)/((Table14710[[#This Row],[GF]]^2)+(Table14710[[#This Row],[GA]]^2))</f>
        <v>0.50729888119339372</v>
      </c>
      <c r="O112" s="1">
        <v>24.02</v>
      </c>
      <c r="P112" s="1">
        <v>77.290000000000006</v>
      </c>
      <c r="Q112" s="1">
        <f>Table14710[[#This Row],[PP_PCT]]+Table14710[[#This Row],[PK_PCT]]</f>
        <v>101.31</v>
      </c>
      <c r="R112" s="3">
        <v>10</v>
      </c>
      <c r="S112" s="3">
        <f>Table14710[[#This Row],[GA]]/Table14710[[#This Row],[GP]]</f>
        <v>2.8732394366197185</v>
      </c>
      <c r="T112" s="2">
        <v>0.92600000000000005</v>
      </c>
      <c r="U112" s="1">
        <v>101.1</v>
      </c>
      <c r="V112" s="1">
        <v>48.8</v>
      </c>
      <c r="W112" s="1">
        <v>48.7</v>
      </c>
      <c r="X112" s="1">
        <v>153.80000000000001</v>
      </c>
      <c r="Y112" s="3">
        <f>Table135811[[#This Row],[XGF]]/Table14710[[#This Row],[GP]]</f>
        <v>2.1661971830985918</v>
      </c>
      <c r="Z112" s="1">
        <v>144.5</v>
      </c>
      <c r="AA112" s="3">
        <f>Table135811[[#This Row],[XGA]]/Table14710[[#This Row],[GP]]</f>
        <v>2.035211267605634</v>
      </c>
      <c r="AB112" s="1">
        <v>52</v>
      </c>
      <c r="AC112" s="2">
        <f>Table135811[[#This Row],[HDGF]]/Table14710[[#This Row],[GP]]</f>
        <v>0.73239436619718312</v>
      </c>
      <c r="AD112" s="1">
        <v>54</v>
      </c>
      <c r="AE112" s="2">
        <f>Table135811[[#This Row],[HDGA]]/Table14710[[#This Row],[GP]]</f>
        <v>0.76056338028169013</v>
      </c>
      <c r="AF112" s="1">
        <v>8.6999999999999993</v>
      </c>
    </row>
    <row r="113" spans="1:32" hidden="1" x14ac:dyDescent="0.35">
      <c r="A113" t="s">
        <v>91</v>
      </c>
      <c r="B113">
        <v>16</v>
      </c>
      <c r="C113" t="s">
        <v>74</v>
      </c>
      <c r="D113" s="1">
        <v>1</v>
      </c>
      <c r="E113" s="1">
        <v>28.7</v>
      </c>
      <c r="F113" s="1">
        <v>73</v>
      </c>
      <c r="G113" s="1">
        <v>81</v>
      </c>
      <c r="H113" s="2">
        <f>Table14710[[#This Row],[PTS]]/Table14710[[#This Row],[GP]]</f>
        <v>1.1095890410958904</v>
      </c>
      <c r="I113" s="2">
        <v>0.55500000000000005</v>
      </c>
      <c r="J113" s="1">
        <v>209</v>
      </c>
      <c r="K113" s="3">
        <f>Table14710[[#This Row],[GF]]/Table14710[[#This Row],[GP]]</f>
        <v>2.8630136986301369</v>
      </c>
      <c r="L113" s="1">
        <v>224</v>
      </c>
      <c r="M113" s="1">
        <v>3.07</v>
      </c>
      <c r="N113" s="2">
        <f>(Table14710[[#This Row],[GF]]^2)/((Table14710[[#This Row],[GF]]^2)+(Table14710[[#This Row],[GA]]^2))</f>
        <v>0.46539949071459774</v>
      </c>
      <c r="O113" s="1">
        <v>22.73</v>
      </c>
      <c r="P113" s="1">
        <v>82.5</v>
      </c>
      <c r="Q113" s="1">
        <f>Table14710[[#This Row],[PP_PCT]]+Table14710[[#This Row],[PK_PCT]]</f>
        <v>105.23</v>
      </c>
      <c r="R113" s="3">
        <v>11.2</v>
      </c>
      <c r="S113" s="3">
        <f>Table14710[[#This Row],[GA]]/Table14710[[#This Row],[GP]]</f>
        <v>3.0684931506849313</v>
      </c>
      <c r="T113" s="2">
        <v>0.91700000000000004</v>
      </c>
      <c r="U113" s="1">
        <v>99.3</v>
      </c>
      <c r="V113" s="1">
        <v>53.8</v>
      </c>
      <c r="W113" s="1">
        <v>53</v>
      </c>
      <c r="X113" s="1">
        <v>150.4</v>
      </c>
      <c r="Y113" s="3">
        <f>Table135811[[#This Row],[XGF]]/Table14710[[#This Row],[GP]]</f>
        <v>2.0602739726027397</v>
      </c>
      <c r="Z113" s="1">
        <v>139.30000000000001</v>
      </c>
      <c r="AA113" s="3">
        <f>Table135811[[#This Row],[XGA]]/Table14710[[#This Row],[GP]]</f>
        <v>1.908219178082192</v>
      </c>
      <c r="AB113" s="1">
        <v>52</v>
      </c>
      <c r="AC113" s="2">
        <f>Table135811[[#This Row],[HDGF]]/Table14710[[#This Row],[GP]]</f>
        <v>0.71232876712328763</v>
      </c>
      <c r="AD113" s="1">
        <v>55</v>
      </c>
      <c r="AE113" s="2">
        <f>Table135811[[#This Row],[HDGA]]/Table14710[[#This Row],[GP]]</f>
        <v>0.75342465753424659</v>
      </c>
      <c r="AF113" s="1">
        <v>9.4</v>
      </c>
    </row>
    <row r="114" spans="1:32" hidden="1" x14ac:dyDescent="0.35">
      <c r="A114" t="s">
        <v>91</v>
      </c>
      <c r="B114">
        <v>17</v>
      </c>
      <c r="C114" t="s">
        <v>62</v>
      </c>
      <c r="D114" s="1">
        <v>0</v>
      </c>
      <c r="E114" s="1">
        <v>28.4</v>
      </c>
      <c r="F114" s="1">
        <v>71</v>
      </c>
      <c r="G114" s="1">
        <v>79</v>
      </c>
      <c r="H114" s="2">
        <f>Table14710[[#This Row],[PTS]]/Table14710[[#This Row],[GP]]</f>
        <v>1.1126760563380282</v>
      </c>
      <c r="I114" s="2">
        <v>0.55600000000000005</v>
      </c>
      <c r="J114" s="1">
        <v>185</v>
      </c>
      <c r="K114" s="3">
        <f>Table14710[[#This Row],[GF]]/Table14710[[#This Row],[GP]]</f>
        <v>2.6056338028169015</v>
      </c>
      <c r="L114" s="1">
        <v>209</v>
      </c>
      <c r="M114" s="1">
        <v>2.94</v>
      </c>
      <c r="N114" s="2">
        <f>(Table14710[[#This Row],[GF]]^2)/((Table14710[[#This Row],[GF]]^2)+(Table14710[[#This Row],[GA]]^2))</f>
        <v>0.43931147793494724</v>
      </c>
      <c r="O114" s="1">
        <v>21.46</v>
      </c>
      <c r="P114" s="1">
        <v>74.63</v>
      </c>
      <c r="Q114" s="1">
        <f>Table14710[[#This Row],[PP_PCT]]+Table14710[[#This Row],[PK_PCT]]</f>
        <v>96.09</v>
      </c>
      <c r="R114" s="3">
        <v>8.9</v>
      </c>
      <c r="S114" s="3">
        <f>Table14710[[#This Row],[GA]]/Table14710[[#This Row],[GP]]</f>
        <v>2.943661971830986</v>
      </c>
      <c r="T114" s="2">
        <v>0.93300000000000005</v>
      </c>
      <c r="U114" s="1">
        <v>100.7</v>
      </c>
      <c r="V114" s="1">
        <v>49.6</v>
      </c>
      <c r="W114" s="1">
        <v>49.8</v>
      </c>
      <c r="X114" s="1">
        <v>172.6</v>
      </c>
      <c r="Y114" s="3">
        <f>Table135811[[#This Row],[XGF]]/Table14710[[#This Row],[GP]]</f>
        <v>2.4309859154929576</v>
      </c>
      <c r="Z114" s="1">
        <v>179.3</v>
      </c>
      <c r="AA114" s="3">
        <f>Table135811[[#This Row],[XGA]]/Table14710[[#This Row],[GP]]</f>
        <v>2.5253521126760563</v>
      </c>
      <c r="AB114" s="1">
        <v>60</v>
      </c>
      <c r="AC114" s="2">
        <f>Table135811[[#This Row],[HDGF]]/Table14710[[#This Row],[GP]]</f>
        <v>0.84507042253521125</v>
      </c>
      <c r="AD114" s="1">
        <v>62</v>
      </c>
      <c r="AE114" s="2">
        <f>Table135811[[#This Row],[HDGA]]/Table14710[[#This Row],[GP]]</f>
        <v>0.87323943661971826</v>
      </c>
      <c r="AF114" s="1">
        <v>10</v>
      </c>
    </row>
    <row r="115" spans="1:32" hidden="1" x14ac:dyDescent="0.35">
      <c r="A115" t="s">
        <v>91</v>
      </c>
      <c r="B115">
        <v>18</v>
      </c>
      <c r="C115" t="s">
        <v>92</v>
      </c>
      <c r="D115" s="1">
        <v>0</v>
      </c>
      <c r="E115" s="1">
        <v>27.6</v>
      </c>
      <c r="F115" s="1">
        <v>73</v>
      </c>
      <c r="G115" s="1">
        <v>76</v>
      </c>
      <c r="H115" s="2">
        <f>Table14710[[#This Row],[PTS]]/Table14710[[#This Row],[GP]]</f>
        <v>1.0410958904109588</v>
      </c>
      <c r="I115" s="2">
        <v>0.52100000000000002</v>
      </c>
      <c r="J115" s="1">
        <v>203</v>
      </c>
      <c r="K115" s="3">
        <f>Table14710[[#This Row],[GF]]/Table14710[[#This Row],[GP]]</f>
        <v>2.7808219178082192</v>
      </c>
      <c r="L115" s="1">
        <v>223</v>
      </c>
      <c r="M115" s="1">
        <v>3.05</v>
      </c>
      <c r="N115" s="2">
        <f>(Table14710[[#This Row],[GF]]^2)/((Table14710[[#This Row],[GF]]^2)+(Table14710[[#This Row],[GA]]^2))</f>
        <v>0.45315489674283577</v>
      </c>
      <c r="O115" s="1">
        <v>21.63</v>
      </c>
      <c r="P115" s="1">
        <v>80.45</v>
      </c>
      <c r="Q115" s="1">
        <f>Table14710[[#This Row],[PP_PCT]]+Table14710[[#This Row],[PK_PCT]]</f>
        <v>102.08</v>
      </c>
      <c r="R115" s="3">
        <v>9.9</v>
      </c>
      <c r="S115" s="3">
        <f>Table14710[[#This Row],[GA]]/Table14710[[#This Row],[GP]]</f>
        <v>3.0547945205479454</v>
      </c>
      <c r="T115" s="2">
        <v>0.91100000000000003</v>
      </c>
      <c r="U115" s="1">
        <v>99.6</v>
      </c>
      <c r="V115" s="1">
        <v>47.6</v>
      </c>
      <c r="W115" s="1">
        <v>47.5</v>
      </c>
      <c r="X115" s="1">
        <v>172.1</v>
      </c>
      <c r="Y115" s="3">
        <f>Table135811[[#This Row],[XGF]]/Table14710[[#This Row],[GP]]</f>
        <v>2.3575342465753426</v>
      </c>
      <c r="Z115" s="1">
        <v>182.7</v>
      </c>
      <c r="AA115" s="3">
        <f>Table135811[[#This Row],[XGA]]/Table14710[[#This Row],[GP]]</f>
        <v>2.5027397260273969</v>
      </c>
      <c r="AB115" s="1">
        <v>79</v>
      </c>
      <c r="AC115" s="2">
        <f>Table135811[[#This Row],[HDGF]]/Table14710[[#This Row],[GP]]</f>
        <v>1.0821917808219179</v>
      </c>
      <c r="AD115" s="1">
        <v>74</v>
      </c>
      <c r="AE115" s="2">
        <f>Table135811[[#This Row],[HDGA]]/Table14710[[#This Row],[GP]]</f>
        <v>1.0136986301369864</v>
      </c>
      <c r="AF115" s="1">
        <v>9.5</v>
      </c>
    </row>
    <row r="116" spans="1:32" hidden="1" x14ac:dyDescent="0.35">
      <c r="A116" t="s">
        <v>91</v>
      </c>
      <c r="B116">
        <v>19</v>
      </c>
      <c r="C116" t="s">
        <v>88</v>
      </c>
      <c r="D116" s="1">
        <v>0</v>
      </c>
      <c r="E116" s="1">
        <v>26.8</v>
      </c>
      <c r="F116" s="1">
        <v>72</v>
      </c>
      <c r="G116" s="1">
        <v>75</v>
      </c>
      <c r="H116" s="2">
        <f>Table14710[[#This Row],[PTS]]/Table14710[[#This Row],[GP]]</f>
        <v>1.0416666666666667</v>
      </c>
      <c r="I116" s="2">
        <v>0.52100000000000002</v>
      </c>
      <c r="J116" s="1">
        <v>214</v>
      </c>
      <c r="K116" s="3">
        <f>Table14710[[#This Row],[GF]]/Table14710[[#This Row],[GP]]</f>
        <v>2.9722222222222223</v>
      </c>
      <c r="L116" s="1">
        <v>241</v>
      </c>
      <c r="M116" s="1">
        <v>3.35</v>
      </c>
      <c r="N116" s="2">
        <f>(Table14710[[#This Row],[GF]]^2)/((Table14710[[#This Row],[GF]]^2)+(Table14710[[#This Row],[GA]]^2))</f>
        <v>0.44086756452342674</v>
      </c>
      <c r="O116" s="1">
        <v>20.85</v>
      </c>
      <c r="P116" s="1">
        <v>80.260000000000005</v>
      </c>
      <c r="Q116" s="1">
        <f>Table14710[[#This Row],[PP_PCT]]+Table14710[[#This Row],[PK_PCT]]</f>
        <v>101.11000000000001</v>
      </c>
      <c r="R116" s="3">
        <v>11.4</v>
      </c>
      <c r="S116" s="3">
        <f>Table14710[[#This Row],[GA]]/Table14710[[#This Row],[GP]]</f>
        <v>3.3472222222222223</v>
      </c>
      <c r="T116" s="2">
        <v>0.92800000000000005</v>
      </c>
      <c r="U116" s="1">
        <v>102.4</v>
      </c>
      <c r="V116" s="1">
        <v>52</v>
      </c>
      <c r="W116" s="1">
        <v>51.2</v>
      </c>
      <c r="X116" s="1">
        <v>168.1</v>
      </c>
      <c r="Y116" s="3">
        <f>Table135811[[#This Row],[XGF]]/Table14710[[#This Row],[GP]]</f>
        <v>2.3347222222222221</v>
      </c>
      <c r="Z116" s="1">
        <v>159.1</v>
      </c>
      <c r="AA116" s="3">
        <f>Table135811[[#This Row],[XGA]]/Table14710[[#This Row],[GP]]</f>
        <v>2.2097222222222221</v>
      </c>
      <c r="AB116" s="1">
        <v>82</v>
      </c>
      <c r="AC116" s="2">
        <f>Table135811[[#This Row],[HDGF]]/Table14710[[#This Row],[GP]]</f>
        <v>1.1388888888888888</v>
      </c>
      <c r="AD116" s="1">
        <v>57</v>
      </c>
      <c r="AE116" s="2">
        <f>Table135811[[#This Row],[HDGA]]/Table14710[[#This Row],[GP]]</f>
        <v>0.79166666666666663</v>
      </c>
      <c r="AF116" s="1">
        <v>9.3000000000000007</v>
      </c>
    </row>
    <row r="117" spans="1:32" hidden="1" x14ac:dyDescent="0.35">
      <c r="A117" t="s">
        <v>91</v>
      </c>
      <c r="B117">
        <v>20</v>
      </c>
      <c r="C117" t="s">
        <v>64</v>
      </c>
      <c r="D117" s="1">
        <v>0</v>
      </c>
      <c r="E117" s="1">
        <v>28.9</v>
      </c>
      <c r="F117" s="1">
        <v>73</v>
      </c>
      <c r="G117" s="1">
        <v>75</v>
      </c>
      <c r="H117" s="2">
        <f>Table14710[[#This Row],[PTS]]/Table14710[[#This Row],[GP]]</f>
        <v>1.0273972602739727</v>
      </c>
      <c r="I117" s="2">
        <v>0.51400000000000001</v>
      </c>
      <c r="J117" s="1">
        <v>217</v>
      </c>
      <c r="K117" s="3">
        <f>Table14710[[#This Row],[GF]]/Table14710[[#This Row],[GP]]</f>
        <v>2.9726027397260273</v>
      </c>
      <c r="L117" s="1">
        <v>221</v>
      </c>
      <c r="M117" s="1">
        <v>3.03</v>
      </c>
      <c r="N117" s="2">
        <f>(Table14710[[#This Row],[GF]]^2)/((Table14710[[#This Row],[GF]]^2)+(Table14710[[#This Row],[GA]]^2))</f>
        <v>0.49086834149900971</v>
      </c>
      <c r="O117" s="1">
        <v>17.89</v>
      </c>
      <c r="P117" s="1">
        <v>82.19</v>
      </c>
      <c r="Q117" s="1">
        <f>Table14710[[#This Row],[PP_PCT]]+Table14710[[#This Row],[PK_PCT]]</f>
        <v>100.08</v>
      </c>
      <c r="R117" s="3">
        <v>10.5</v>
      </c>
      <c r="S117" s="3">
        <f>Table14710[[#This Row],[GA]]/Table14710[[#This Row],[GP]]</f>
        <v>3.0273972602739727</v>
      </c>
      <c r="T117" s="2">
        <v>0.91200000000000003</v>
      </c>
      <c r="U117" s="1">
        <v>99.8</v>
      </c>
      <c r="V117" s="1">
        <v>49.7</v>
      </c>
      <c r="W117" s="1">
        <v>48.9</v>
      </c>
      <c r="X117" s="1">
        <v>137.19999999999999</v>
      </c>
      <c r="Y117" s="3">
        <f>Table135811[[#This Row],[XGF]]/Table14710[[#This Row],[GP]]</f>
        <v>1.8794520547945204</v>
      </c>
      <c r="Z117" s="1">
        <v>138</v>
      </c>
      <c r="AA117" s="3">
        <f>Table135811[[#This Row],[XGA]]/Table14710[[#This Row],[GP]]</f>
        <v>1.8904109589041096</v>
      </c>
      <c r="AB117" s="1">
        <v>52</v>
      </c>
      <c r="AC117" s="2">
        <f>Table135811[[#This Row],[HDGF]]/Table14710[[#This Row],[GP]]</f>
        <v>0.71232876712328763</v>
      </c>
      <c r="AD117" s="1">
        <v>53</v>
      </c>
      <c r="AE117" s="2">
        <f>Table135811[[#This Row],[HDGA]]/Table14710[[#This Row],[GP]]</f>
        <v>0.72602739726027399</v>
      </c>
      <c r="AF117" s="1">
        <v>8.6</v>
      </c>
    </row>
    <row r="118" spans="1:32" hidden="1" x14ac:dyDescent="0.35">
      <c r="A118" t="s">
        <v>91</v>
      </c>
      <c r="B118">
        <v>21</v>
      </c>
      <c r="C118" t="s">
        <v>77</v>
      </c>
      <c r="D118" s="1">
        <v>0</v>
      </c>
      <c r="E118" s="1">
        <v>27.6</v>
      </c>
      <c r="F118" s="1">
        <v>71</v>
      </c>
      <c r="G118" s="1">
        <v>75</v>
      </c>
      <c r="H118" s="2">
        <f>Table14710[[#This Row],[PTS]]/Table14710[[#This Row],[GP]]</f>
        <v>1.056338028169014</v>
      </c>
      <c r="I118" s="2">
        <v>0.52800000000000002</v>
      </c>
      <c r="J118" s="1">
        <v>226</v>
      </c>
      <c r="K118" s="3">
        <f>Table14710[[#This Row],[GF]]/Table14710[[#This Row],[GP]]</f>
        <v>3.183098591549296</v>
      </c>
      <c r="L118" s="1">
        <v>238</v>
      </c>
      <c r="M118" s="1">
        <v>3.35</v>
      </c>
      <c r="N118" s="2">
        <f>(Table14710[[#This Row],[GF]]^2)/((Table14710[[#This Row],[GF]]^2)+(Table14710[[#This Row],[GA]]^2))</f>
        <v>0.47415521722985515</v>
      </c>
      <c r="O118" s="1">
        <v>18.79</v>
      </c>
      <c r="P118" s="1">
        <v>75</v>
      </c>
      <c r="Q118" s="1">
        <f>Table14710[[#This Row],[PP_PCT]]+Table14710[[#This Row],[PK_PCT]]</f>
        <v>93.789999999999992</v>
      </c>
      <c r="R118" s="3">
        <v>11</v>
      </c>
      <c r="S118" s="3">
        <f>Table14710[[#This Row],[GA]]/Table14710[[#This Row],[GP]]</f>
        <v>3.352112676056338</v>
      </c>
      <c r="T118" s="2">
        <v>0.92</v>
      </c>
      <c r="U118" s="1">
        <v>99.6</v>
      </c>
      <c r="V118" s="1">
        <v>52.6</v>
      </c>
      <c r="W118" s="1">
        <v>53.7</v>
      </c>
      <c r="X118" s="1">
        <v>205.7</v>
      </c>
      <c r="Y118" s="3">
        <f>Table135811[[#This Row],[XGF]]/Table14710[[#This Row],[GP]]</f>
        <v>2.8971830985915492</v>
      </c>
      <c r="Z118" s="1">
        <v>176.9</v>
      </c>
      <c r="AA118" s="3">
        <f>Table135811[[#This Row],[XGA]]/Table14710[[#This Row],[GP]]</f>
        <v>2.4915492957746479</v>
      </c>
      <c r="AB118" s="1">
        <v>83</v>
      </c>
      <c r="AC118" s="2">
        <f>Table135811[[#This Row],[HDGF]]/Table14710[[#This Row],[GP]]</f>
        <v>1.1690140845070423</v>
      </c>
      <c r="AD118" s="1">
        <v>86</v>
      </c>
      <c r="AE118" s="2">
        <f>Table135811[[#This Row],[HDGA]]/Table14710[[#This Row],[GP]]</f>
        <v>1.2112676056338028</v>
      </c>
      <c r="AF118" s="1">
        <v>8.1</v>
      </c>
    </row>
    <row r="119" spans="1:32" hidden="1" x14ac:dyDescent="0.35">
      <c r="A119" t="s">
        <v>91</v>
      </c>
      <c r="B119">
        <v>22</v>
      </c>
      <c r="C119" t="s">
        <v>76</v>
      </c>
      <c r="D119" s="1">
        <v>0</v>
      </c>
      <c r="E119" s="1">
        <v>29.7</v>
      </c>
      <c r="F119" s="1">
        <v>71</v>
      </c>
      <c r="G119" s="1">
        <v>74</v>
      </c>
      <c r="H119" s="2">
        <f>Table14710[[#This Row],[PTS]]/Table14710[[#This Row],[GP]]</f>
        <v>1.0422535211267605</v>
      </c>
      <c r="I119" s="2">
        <v>0.52100000000000002</v>
      </c>
      <c r="J119" s="1">
        <v>193</v>
      </c>
      <c r="K119" s="3">
        <f>Table14710[[#This Row],[GF]]/Table14710[[#This Row],[GP]]</f>
        <v>2.7183098591549295</v>
      </c>
      <c r="L119" s="1">
        <v>212</v>
      </c>
      <c r="M119" s="1">
        <v>2.99</v>
      </c>
      <c r="N119" s="2">
        <f>(Table14710[[#This Row],[GF]]^2)/((Table14710[[#This Row],[GF]]^2)+(Table14710[[#This Row],[GA]]^2))</f>
        <v>0.45318944435657538</v>
      </c>
      <c r="O119" s="1">
        <v>12</v>
      </c>
      <c r="P119" s="1">
        <v>72.260000000000005</v>
      </c>
      <c r="Q119" s="1">
        <f>Table14710[[#This Row],[PP_PCT]]+Table14710[[#This Row],[PK_PCT]]</f>
        <v>84.26</v>
      </c>
      <c r="R119" s="3">
        <v>9.3000000000000007</v>
      </c>
      <c r="S119" s="3">
        <f>Table14710[[#This Row],[GA]]/Table14710[[#This Row],[GP]]</f>
        <v>2.9859154929577465</v>
      </c>
      <c r="T119" s="2">
        <v>0.92700000000000005</v>
      </c>
      <c r="U119" s="1">
        <v>101</v>
      </c>
      <c r="V119" s="1">
        <v>48.4</v>
      </c>
      <c r="W119" s="1">
        <v>49.2</v>
      </c>
      <c r="X119" s="1">
        <v>187.3</v>
      </c>
      <c r="Y119" s="3">
        <f>Table135811[[#This Row],[XGF]]/Table14710[[#This Row],[GP]]</f>
        <v>2.6380281690140848</v>
      </c>
      <c r="Z119" s="1">
        <v>174.7</v>
      </c>
      <c r="AA119" s="3">
        <f>Table135811[[#This Row],[XGA]]/Table14710[[#This Row],[GP]]</f>
        <v>2.4605633802816902</v>
      </c>
      <c r="AB119" s="1">
        <v>81</v>
      </c>
      <c r="AC119" s="2">
        <f>Table135811[[#This Row],[HDGF]]/Table14710[[#This Row],[GP]]</f>
        <v>1.1408450704225352</v>
      </c>
      <c r="AD119" s="1">
        <v>56</v>
      </c>
      <c r="AE119" s="2">
        <f>Table135811[[#This Row],[HDGA]]/Table14710[[#This Row],[GP]]</f>
        <v>0.78873239436619713</v>
      </c>
      <c r="AF119" s="1">
        <v>5.8</v>
      </c>
    </row>
    <row r="120" spans="1:32" hidden="1" x14ac:dyDescent="0.35">
      <c r="A120" t="s">
        <v>91</v>
      </c>
      <c r="B120">
        <v>23</v>
      </c>
      <c r="C120" t="s">
        <v>81</v>
      </c>
      <c r="D120" s="1">
        <v>0</v>
      </c>
      <c r="E120" s="1">
        <v>29.4</v>
      </c>
      <c r="F120" s="1">
        <v>72</v>
      </c>
      <c r="G120" s="1">
        <v>72</v>
      </c>
      <c r="H120" s="2">
        <f>Table14710[[#This Row],[PTS]]/Table14710[[#This Row],[GP]]</f>
        <v>1</v>
      </c>
      <c r="I120" s="2">
        <v>0.5</v>
      </c>
      <c r="J120" s="1">
        <v>205</v>
      </c>
      <c r="K120" s="3">
        <f>Table14710[[#This Row],[GF]]/Table14710[[#This Row],[GP]]</f>
        <v>2.8472222222222223</v>
      </c>
      <c r="L120" s="1">
        <v>231</v>
      </c>
      <c r="M120" s="1">
        <v>3.21</v>
      </c>
      <c r="N120" s="2">
        <f>(Table14710[[#This Row],[GF]]^2)/((Table14710[[#This Row],[GF]]^2)+(Table14710[[#This Row],[GA]]^2))</f>
        <v>0.44057828192816556</v>
      </c>
      <c r="O120" s="1">
        <v>28.71</v>
      </c>
      <c r="P120" s="1">
        <v>68.86</v>
      </c>
      <c r="Q120" s="1">
        <f>Table14710[[#This Row],[PP_PCT]]+Table14710[[#This Row],[PK_PCT]]</f>
        <v>97.57</v>
      </c>
      <c r="R120" s="3">
        <v>10.4</v>
      </c>
      <c r="S120" s="3">
        <f>Table14710[[#This Row],[GA]]/Table14710[[#This Row],[GP]]</f>
        <v>3.2083333333333335</v>
      </c>
      <c r="T120" s="2">
        <v>0.92300000000000004</v>
      </c>
      <c r="U120" s="1">
        <v>100.4</v>
      </c>
      <c r="V120" s="1">
        <v>49</v>
      </c>
      <c r="W120" s="1">
        <v>49.5</v>
      </c>
      <c r="X120" s="1">
        <v>174</v>
      </c>
      <c r="Y120" s="3">
        <f>Table135811[[#This Row],[XGF]]/Table14710[[#This Row],[GP]]</f>
        <v>2.4166666666666665</v>
      </c>
      <c r="Z120" s="1">
        <v>164.6</v>
      </c>
      <c r="AA120" s="3">
        <f>Table135811[[#This Row],[XGA]]/Table14710[[#This Row],[GP]]</f>
        <v>2.286111111111111</v>
      </c>
      <c r="AB120" s="1">
        <v>64</v>
      </c>
      <c r="AC120" s="2">
        <f>Table135811[[#This Row],[HDGF]]/Table14710[[#This Row],[GP]]</f>
        <v>0.88888888888888884</v>
      </c>
      <c r="AD120" s="1">
        <v>67</v>
      </c>
      <c r="AE120" s="2">
        <f>Table135811[[#This Row],[HDGA]]/Table14710[[#This Row],[GP]]</f>
        <v>0.93055555555555558</v>
      </c>
      <c r="AF120" s="1">
        <v>6.9</v>
      </c>
    </row>
    <row r="121" spans="1:32" hidden="1" x14ac:dyDescent="0.35">
      <c r="A121" t="s">
        <v>91</v>
      </c>
      <c r="B121">
        <v>24</v>
      </c>
      <c r="C121" t="s">
        <v>79</v>
      </c>
      <c r="D121" s="1">
        <v>0</v>
      </c>
      <c r="E121" s="1">
        <v>27.5</v>
      </c>
      <c r="F121" s="1">
        <v>72</v>
      </c>
      <c r="G121" s="1">
        <v>72</v>
      </c>
      <c r="H121" s="2">
        <f>Table14710[[#This Row],[PTS]]/Table14710[[#This Row],[GP]]</f>
        <v>1</v>
      </c>
      <c r="I121" s="2">
        <v>0.5</v>
      </c>
      <c r="J121" s="1">
        <v>196</v>
      </c>
      <c r="K121" s="3">
        <f>Table14710[[#This Row],[GF]]/Table14710[[#This Row],[GP]]</f>
        <v>2.7222222222222223</v>
      </c>
      <c r="L121" s="1">
        <v>225</v>
      </c>
      <c r="M121" s="1">
        <v>3.13</v>
      </c>
      <c r="N121" s="2">
        <f>(Table14710[[#This Row],[GF]]^2)/((Table14710[[#This Row],[GF]]^2)+(Table14710[[#This Row],[GA]]^2))</f>
        <v>0.43144169539874888</v>
      </c>
      <c r="O121" s="1">
        <v>12.12</v>
      </c>
      <c r="P121" s="1">
        <v>73.11</v>
      </c>
      <c r="Q121" s="1">
        <f>Table14710[[#This Row],[PP_PCT]]+Table14710[[#This Row],[PK_PCT]]</f>
        <v>85.23</v>
      </c>
      <c r="R121" s="3">
        <v>9.8000000000000007</v>
      </c>
      <c r="S121" s="3">
        <f>Table14710[[#This Row],[GA]]/Table14710[[#This Row],[GP]]</f>
        <v>3.125</v>
      </c>
      <c r="T121" s="2">
        <v>0.91900000000000004</v>
      </c>
      <c r="U121" s="1">
        <v>100.2</v>
      </c>
      <c r="V121" s="1">
        <v>51.7</v>
      </c>
      <c r="W121" s="1">
        <v>51.5</v>
      </c>
      <c r="X121" s="1">
        <v>166.9</v>
      </c>
      <c r="Y121" s="3">
        <f>Table135811[[#This Row],[XGF]]/Table14710[[#This Row],[GP]]</f>
        <v>2.3180555555555555</v>
      </c>
      <c r="Z121" s="1">
        <v>141.4</v>
      </c>
      <c r="AA121" s="3">
        <f>Table135811[[#This Row],[XGA]]/Table14710[[#This Row],[GP]]</f>
        <v>1.963888888888889</v>
      </c>
      <c r="AB121" s="1">
        <v>55</v>
      </c>
      <c r="AC121" s="2">
        <f>Table135811[[#This Row],[HDGF]]/Table14710[[#This Row],[GP]]</f>
        <v>0.76388888888888884</v>
      </c>
      <c r="AD121" s="1">
        <v>51</v>
      </c>
      <c r="AE121" s="2">
        <f>Table135811[[#This Row],[HDGA]]/Table14710[[#This Row],[GP]]</f>
        <v>0.70833333333333337</v>
      </c>
      <c r="AF121" s="1">
        <v>8.9</v>
      </c>
    </row>
    <row r="122" spans="1:32" hidden="1" x14ac:dyDescent="0.35">
      <c r="A122" t="s">
        <v>91</v>
      </c>
      <c r="B122">
        <v>25</v>
      </c>
      <c r="C122" t="s">
        <v>66</v>
      </c>
      <c r="D122" s="1">
        <v>0</v>
      </c>
      <c r="E122" s="1">
        <v>28.2</v>
      </c>
      <c r="F122" s="1">
        <v>73</v>
      </c>
      <c r="G122" s="1">
        <v>69</v>
      </c>
      <c r="H122" s="2">
        <f>Table14710[[#This Row],[PTS]]/Table14710[[#This Row],[GP]]</f>
        <v>0.9452054794520548</v>
      </c>
      <c r="I122" s="2">
        <v>0.47299999999999998</v>
      </c>
      <c r="J122" s="1">
        <v>192</v>
      </c>
      <c r="K122" s="3">
        <f>Table14710[[#This Row],[GF]]/Table14710[[#This Row],[GP]]</f>
        <v>2.6301369863013697</v>
      </c>
      <c r="L122" s="1">
        <v>241</v>
      </c>
      <c r="M122" s="1">
        <v>3.3</v>
      </c>
      <c r="N122" s="2">
        <f>(Table14710[[#This Row],[GF]]^2)/((Table14710[[#This Row],[GF]]^2)+(Table14710[[#This Row],[GA]]^2))</f>
        <v>0.38826689135815473</v>
      </c>
      <c r="O122" s="1">
        <v>14.69</v>
      </c>
      <c r="P122" s="1">
        <v>76.709999999999994</v>
      </c>
      <c r="Q122" s="1">
        <f>Table14710[[#This Row],[PP_PCT]]+Table14710[[#This Row],[PK_PCT]]</f>
        <v>91.399999999999991</v>
      </c>
      <c r="R122" s="3">
        <v>9.9</v>
      </c>
      <c r="S122" s="3">
        <f>Table14710[[#This Row],[GA]]/Table14710[[#This Row],[GP]]</f>
        <v>3.3013698630136985</v>
      </c>
      <c r="T122" s="2">
        <v>0.92200000000000004</v>
      </c>
      <c r="U122" s="1">
        <v>100.5</v>
      </c>
      <c r="V122" s="1">
        <v>50.6</v>
      </c>
      <c r="W122" s="1">
        <v>51.4</v>
      </c>
      <c r="X122" s="1">
        <v>173.2</v>
      </c>
      <c r="Y122" s="3">
        <f>Table135811[[#This Row],[XGF]]/Table14710[[#This Row],[GP]]</f>
        <v>2.3726027397260272</v>
      </c>
      <c r="Z122" s="1">
        <v>165.1</v>
      </c>
      <c r="AA122" s="3">
        <f>Table135811[[#This Row],[XGA]]/Table14710[[#This Row],[GP]]</f>
        <v>2.2616438356164381</v>
      </c>
      <c r="AB122" s="1">
        <v>70</v>
      </c>
      <c r="AC122" s="2">
        <f>Table135811[[#This Row],[HDGF]]/Table14710[[#This Row],[GP]]</f>
        <v>0.95890410958904104</v>
      </c>
      <c r="AD122" s="1">
        <v>70</v>
      </c>
      <c r="AE122" s="2">
        <f>Table135811[[#This Row],[HDGA]]/Table14710[[#This Row],[GP]]</f>
        <v>0.95890410958904104</v>
      </c>
      <c r="AF122" s="1">
        <v>10.199999999999999</v>
      </c>
    </row>
    <row r="123" spans="1:32" hidden="1" x14ac:dyDescent="0.35">
      <c r="A123" t="s">
        <v>91</v>
      </c>
      <c r="B123">
        <v>26</v>
      </c>
      <c r="C123" t="s">
        <v>68</v>
      </c>
      <c r="D123" s="1">
        <v>0</v>
      </c>
      <c r="E123" s="1">
        <v>30.9</v>
      </c>
      <c r="F123" s="1">
        <v>74</v>
      </c>
      <c r="G123" s="1">
        <v>69</v>
      </c>
      <c r="H123" s="2">
        <f>Table14710[[#This Row],[PTS]]/Table14710[[#This Row],[GP]]</f>
        <v>0.93243243243243246</v>
      </c>
      <c r="I123" s="2">
        <v>0.46600000000000003</v>
      </c>
      <c r="J123" s="1">
        <v>216</v>
      </c>
      <c r="K123" s="3">
        <f>Table14710[[#This Row],[GF]]/Table14710[[#This Row],[GP]]</f>
        <v>2.9189189189189189</v>
      </c>
      <c r="L123" s="1">
        <v>268</v>
      </c>
      <c r="M123" s="1">
        <v>3.62</v>
      </c>
      <c r="N123" s="2">
        <f>(Table14710[[#This Row],[GF]]^2)/((Table14710[[#This Row],[GF]]^2)+(Table14710[[#This Row],[GA]]^2))</f>
        <v>0.39378798109385549</v>
      </c>
      <c r="O123" s="1">
        <v>24</v>
      </c>
      <c r="P123" s="1">
        <v>77.66</v>
      </c>
      <c r="Q123" s="1">
        <f>Table14710[[#This Row],[PP_PCT]]+Table14710[[#This Row],[PK_PCT]]</f>
        <v>101.66</v>
      </c>
      <c r="R123" s="3">
        <v>10.4</v>
      </c>
      <c r="S123" s="3">
        <f>Table14710[[#This Row],[GA]]/Table14710[[#This Row],[GP]]</f>
        <v>3.6216216216216215</v>
      </c>
      <c r="T123" s="2">
        <v>0.91600000000000004</v>
      </c>
      <c r="U123" s="1">
        <v>99.6</v>
      </c>
      <c r="V123" s="1">
        <v>49.8</v>
      </c>
      <c r="W123" s="1">
        <v>49.5</v>
      </c>
      <c r="X123" s="1">
        <v>182.2</v>
      </c>
      <c r="Y123" s="3">
        <f>Table135811[[#This Row],[XGF]]/Table14710[[#This Row],[GP]]</f>
        <v>2.4621621621621621</v>
      </c>
      <c r="Z123" s="1">
        <v>181.9</v>
      </c>
      <c r="AA123" s="3">
        <f>Table135811[[#This Row],[XGA]]/Table14710[[#This Row],[GP]]</f>
        <v>2.458108108108108</v>
      </c>
      <c r="AB123" s="1">
        <v>68</v>
      </c>
      <c r="AC123" s="2">
        <f>Table135811[[#This Row],[HDGF]]/Table14710[[#This Row],[GP]]</f>
        <v>0.91891891891891897</v>
      </c>
      <c r="AD123" s="1">
        <v>65</v>
      </c>
      <c r="AE123" s="2">
        <f>Table135811[[#This Row],[HDGA]]/Table14710[[#This Row],[GP]]</f>
        <v>0.8783783783783784</v>
      </c>
      <c r="AF123" s="1">
        <v>7</v>
      </c>
    </row>
    <row r="124" spans="1:32" hidden="1" x14ac:dyDescent="0.35">
      <c r="A124" t="s">
        <v>91</v>
      </c>
      <c r="B124">
        <v>27</v>
      </c>
      <c r="C124" t="s">
        <v>86</v>
      </c>
      <c r="D124" s="1">
        <v>0</v>
      </c>
      <c r="E124" s="1">
        <v>28.9</v>
      </c>
      <c r="F124" s="1">
        <v>73</v>
      </c>
      <c r="G124" s="1">
        <v>68</v>
      </c>
      <c r="H124" s="2">
        <f>Table14710[[#This Row],[PTS]]/Table14710[[#This Row],[GP]]</f>
        <v>0.93150684931506844</v>
      </c>
      <c r="I124" s="2">
        <v>0.46600000000000003</v>
      </c>
      <c r="J124" s="1">
        <v>221</v>
      </c>
      <c r="K124" s="3">
        <f>Table14710[[#This Row],[GF]]/Table14710[[#This Row],[GP]]</f>
        <v>3.0273972602739727</v>
      </c>
      <c r="L124" s="1">
        <v>234</v>
      </c>
      <c r="M124" s="1">
        <v>3.21</v>
      </c>
      <c r="N124" s="2">
        <f>(Table14710[[#This Row],[GF]]^2)/((Table14710[[#This Row],[GF]]^2)+(Table14710[[#This Row],[GA]]^2))</f>
        <v>0.47145187601957583</v>
      </c>
      <c r="O124" s="1">
        <v>19.600000000000001</v>
      </c>
      <c r="P124" s="1">
        <v>76.97</v>
      </c>
      <c r="Q124" s="1">
        <f>Table14710[[#This Row],[PP_PCT]]+Table14710[[#This Row],[PK_PCT]]</f>
        <v>96.57</v>
      </c>
      <c r="R124" s="3">
        <v>11</v>
      </c>
      <c r="S124" s="3">
        <f>Table14710[[#This Row],[GA]]/Table14710[[#This Row],[GP]]</f>
        <v>3.2054794520547945</v>
      </c>
      <c r="T124" s="2">
        <v>0.91800000000000004</v>
      </c>
      <c r="U124" s="1">
        <v>99.6</v>
      </c>
      <c r="V124" s="1">
        <v>47.2</v>
      </c>
      <c r="W124" s="1">
        <v>46.3</v>
      </c>
      <c r="X124" s="1">
        <v>150.1</v>
      </c>
      <c r="Y124" s="3">
        <f>Table135811[[#This Row],[XGF]]/Table14710[[#This Row],[GP]]</f>
        <v>2.0561643835616437</v>
      </c>
      <c r="Z124" s="1">
        <v>167.1</v>
      </c>
      <c r="AA124" s="3">
        <f>Table135811[[#This Row],[XGA]]/Table14710[[#This Row],[GP]]</f>
        <v>2.2890410958904108</v>
      </c>
      <c r="AB124" s="1">
        <v>63</v>
      </c>
      <c r="AC124" s="2">
        <f>Table135811[[#This Row],[HDGF]]/Table14710[[#This Row],[GP]]</f>
        <v>0.86301369863013699</v>
      </c>
      <c r="AD124" s="1">
        <v>69</v>
      </c>
      <c r="AE124" s="2">
        <f>Table135811[[#This Row],[HDGA]]/Table14710[[#This Row],[GP]]</f>
        <v>0.9452054794520548</v>
      </c>
      <c r="AF124" s="1">
        <v>6.6</v>
      </c>
    </row>
    <row r="125" spans="1:32" hidden="1" x14ac:dyDescent="0.35">
      <c r="A125" t="s">
        <v>91</v>
      </c>
      <c r="B125">
        <v>28</v>
      </c>
      <c r="C125" t="s">
        <v>85</v>
      </c>
      <c r="D125" s="1">
        <v>0</v>
      </c>
      <c r="E125" s="1">
        <v>26.8</v>
      </c>
      <c r="F125" s="1">
        <v>74</v>
      </c>
      <c r="G125" s="1">
        <v>67</v>
      </c>
      <c r="H125" s="2">
        <f>Table14710[[#This Row],[PTS]]/Table14710[[#This Row],[GP]]</f>
        <v>0.90540540540540537</v>
      </c>
      <c r="I125" s="2">
        <v>0.45300000000000001</v>
      </c>
      <c r="J125" s="1">
        <v>203</v>
      </c>
      <c r="K125" s="3">
        <f>Table14710[[#This Row],[GF]]/Table14710[[#This Row],[GP]]</f>
        <v>2.7432432432432434</v>
      </c>
      <c r="L125" s="1">
        <v>255</v>
      </c>
      <c r="M125" s="1">
        <v>3.45</v>
      </c>
      <c r="N125" s="2">
        <f>(Table14710[[#This Row],[GF]]^2)/((Table14710[[#This Row],[GF]]^2)+(Table14710[[#This Row],[GA]]^2))</f>
        <v>0.38790782611969804</v>
      </c>
      <c r="O125" s="1">
        <v>13.92</v>
      </c>
      <c r="P125" s="1">
        <v>77.599999999999994</v>
      </c>
      <c r="Q125" s="1">
        <f>Table14710[[#This Row],[PP_PCT]]+Table14710[[#This Row],[PK_PCT]]</f>
        <v>91.52</v>
      </c>
      <c r="R125" s="3">
        <v>10.199999999999999</v>
      </c>
      <c r="S125" s="3">
        <f>Table14710[[#This Row],[GA]]/Table14710[[#This Row],[GP]]</f>
        <v>3.4459459459459461</v>
      </c>
      <c r="T125" s="2">
        <v>0.92300000000000004</v>
      </c>
      <c r="U125" s="1">
        <v>102.6</v>
      </c>
      <c r="V125" s="1">
        <v>51.2</v>
      </c>
      <c r="W125" s="1">
        <v>51.4</v>
      </c>
      <c r="X125" s="1">
        <v>153.69999999999999</v>
      </c>
      <c r="Y125" s="3">
        <f>Table135811[[#This Row],[XGF]]/Table14710[[#This Row],[GP]]</f>
        <v>2.077027027027027</v>
      </c>
      <c r="Z125" s="1">
        <v>142.5</v>
      </c>
      <c r="AA125" s="3">
        <f>Table135811[[#This Row],[XGA]]/Table14710[[#This Row],[GP]]</f>
        <v>1.9256756756756757</v>
      </c>
      <c r="AB125" s="1">
        <v>67</v>
      </c>
      <c r="AC125" s="2">
        <f>Table135811[[#This Row],[HDGF]]/Table14710[[#This Row],[GP]]</f>
        <v>0.90540540540540537</v>
      </c>
      <c r="AD125" s="1">
        <v>46</v>
      </c>
      <c r="AE125" s="2">
        <f>Table135811[[#This Row],[HDGA]]/Table14710[[#This Row],[GP]]</f>
        <v>0.6216216216216216</v>
      </c>
      <c r="AF125" s="1">
        <v>7.5</v>
      </c>
    </row>
    <row r="126" spans="1:32" hidden="1" x14ac:dyDescent="0.35">
      <c r="A126" t="s">
        <v>91</v>
      </c>
      <c r="B126">
        <v>29</v>
      </c>
      <c r="C126" t="s">
        <v>80</v>
      </c>
      <c r="D126" s="1">
        <v>0</v>
      </c>
      <c r="E126" s="1">
        <v>25.9</v>
      </c>
      <c r="F126" s="1">
        <v>71</v>
      </c>
      <c r="G126" s="1">
        <v>66</v>
      </c>
      <c r="H126" s="2">
        <f>Table14710[[#This Row],[PTS]]/Table14710[[#This Row],[GP]]</f>
        <v>0.92957746478873238</v>
      </c>
      <c r="I126" s="2">
        <v>0.46500000000000002</v>
      </c>
      <c r="J126" s="1">
        <v>224</v>
      </c>
      <c r="K126" s="3">
        <f>Table14710[[#This Row],[GF]]/Table14710[[#This Row],[GP]]</f>
        <v>3.1549295774647885</v>
      </c>
      <c r="L126" s="1">
        <v>248</v>
      </c>
      <c r="M126" s="1">
        <v>3.49</v>
      </c>
      <c r="N126" s="2">
        <f>(Table14710[[#This Row],[GF]]^2)/((Table14710[[#This Row],[GF]]^2)+(Table14710[[#This Row],[GA]]^2))</f>
        <v>0.44928366762177652</v>
      </c>
      <c r="O126" s="1">
        <v>17.559999999999999</v>
      </c>
      <c r="P126" s="1">
        <v>76.739999999999995</v>
      </c>
      <c r="Q126" s="1">
        <f>Table14710[[#This Row],[PP_PCT]]+Table14710[[#This Row],[PK_PCT]]</f>
        <v>94.3</v>
      </c>
      <c r="R126" s="3">
        <v>11.4</v>
      </c>
      <c r="S126" s="3">
        <f>Table14710[[#This Row],[GA]]/Table14710[[#This Row],[GP]]</f>
        <v>3.492957746478873</v>
      </c>
      <c r="T126" s="2">
        <v>0.92700000000000005</v>
      </c>
      <c r="U126" s="1">
        <v>100</v>
      </c>
      <c r="V126" s="1">
        <v>49.4</v>
      </c>
      <c r="W126" s="1">
        <v>49.5</v>
      </c>
      <c r="X126" s="1">
        <v>186.6</v>
      </c>
      <c r="Y126" s="3">
        <f>Table135811[[#This Row],[XGF]]/Table14710[[#This Row],[GP]]</f>
        <v>2.6281690140845071</v>
      </c>
      <c r="Z126" s="1">
        <v>190.9</v>
      </c>
      <c r="AA126" s="3">
        <f>Table135811[[#This Row],[XGA]]/Table14710[[#This Row],[GP]]</f>
        <v>2.6887323943661974</v>
      </c>
      <c r="AB126" s="1">
        <v>72</v>
      </c>
      <c r="AC126" s="2">
        <f>Table135811[[#This Row],[HDGF]]/Table14710[[#This Row],[GP]]</f>
        <v>1.0140845070422535</v>
      </c>
      <c r="AD126" s="1">
        <v>66</v>
      </c>
      <c r="AE126" s="2">
        <f>Table135811[[#This Row],[HDGA]]/Table14710[[#This Row],[GP]]</f>
        <v>0.92957746478873238</v>
      </c>
      <c r="AF126" s="1">
        <v>10.8</v>
      </c>
    </row>
    <row r="127" spans="1:32" hidden="1" x14ac:dyDescent="0.35">
      <c r="A127" t="s">
        <v>91</v>
      </c>
      <c r="B127">
        <v>30</v>
      </c>
      <c r="C127" t="s">
        <v>72</v>
      </c>
      <c r="D127" s="1">
        <v>0</v>
      </c>
      <c r="E127" s="1">
        <v>30</v>
      </c>
      <c r="F127" s="1">
        <v>72</v>
      </c>
      <c r="G127" s="1">
        <v>62</v>
      </c>
      <c r="H127" s="2">
        <f>Table14710[[#This Row],[PTS]]/Table14710[[#This Row],[GP]]</f>
        <v>0.86111111111111116</v>
      </c>
      <c r="I127" s="2">
        <v>0.43099999999999999</v>
      </c>
      <c r="J127" s="1">
        <v>183</v>
      </c>
      <c r="K127" s="3">
        <f>Table14710[[#This Row],[GF]]/Table14710[[#This Row],[GP]]</f>
        <v>2.5416666666666665</v>
      </c>
      <c r="L127" s="1">
        <v>232</v>
      </c>
      <c r="M127" s="1">
        <v>3.22</v>
      </c>
      <c r="N127" s="2">
        <f>(Table14710[[#This Row],[GF]]^2)/((Table14710[[#This Row],[GF]]^2)+(Table14710[[#This Row],[GA]]^2))</f>
        <v>0.38355113213381742</v>
      </c>
      <c r="O127" s="1">
        <v>21.18</v>
      </c>
      <c r="P127" s="1">
        <v>81.31</v>
      </c>
      <c r="Q127" s="1">
        <f>Table14710[[#This Row],[PP_PCT]]+Table14710[[#This Row],[PK_PCT]]</f>
        <v>102.49000000000001</v>
      </c>
      <c r="R127" s="3">
        <v>8.6999999999999993</v>
      </c>
      <c r="S127" s="3">
        <f>Table14710[[#This Row],[GA]]/Table14710[[#This Row],[GP]]</f>
        <v>3.2222222222222223</v>
      </c>
      <c r="T127" s="2">
        <v>0.92800000000000005</v>
      </c>
      <c r="U127" s="1">
        <v>100.5</v>
      </c>
      <c r="V127" s="1">
        <v>51.7</v>
      </c>
      <c r="W127" s="1">
        <v>51.6</v>
      </c>
      <c r="X127" s="1">
        <v>170.9</v>
      </c>
      <c r="Y127" s="3">
        <f>Table135811[[#This Row],[XGF]]/Table14710[[#This Row],[GP]]</f>
        <v>2.3736111111111113</v>
      </c>
      <c r="Z127" s="1">
        <v>170.4</v>
      </c>
      <c r="AA127" s="3">
        <f>Table135811[[#This Row],[XGA]]/Table14710[[#This Row],[GP]]</f>
        <v>2.3666666666666667</v>
      </c>
      <c r="AB127" s="1">
        <v>58</v>
      </c>
      <c r="AC127" s="2">
        <f>Table135811[[#This Row],[HDGF]]/Table14710[[#This Row],[GP]]</f>
        <v>0.80555555555555558</v>
      </c>
      <c r="AD127" s="1">
        <v>64</v>
      </c>
      <c r="AE127" s="2">
        <f>Table135811[[#This Row],[HDGA]]/Table14710[[#This Row],[GP]]</f>
        <v>0.88888888888888884</v>
      </c>
      <c r="AF127" s="1">
        <v>10.1</v>
      </c>
    </row>
    <row r="128" spans="1:32" hidden="1" x14ac:dyDescent="0.35">
      <c r="A128" t="s">
        <v>91</v>
      </c>
      <c r="B128">
        <v>31</v>
      </c>
      <c r="C128" t="s">
        <v>83</v>
      </c>
      <c r="D128" s="1">
        <v>0</v>
      </c>
      <c r="E128" s="1">
        <v>28.4</v>
      </c>
      <c r="F128" s="1">
        <v>73</v>
      </c>
      <c r="G128" s="1">
        <v>51</v>
      </c>
      <c r="H128" s="2">
        <f>Table14710[[#This Row],[PTS]]/Table14710[[#This Row],[GP]]</f>
        <v>0.69863013698630139</v>
      </c>
      <c r="I128" s="2">
        <v>0.34899999999999998</v>
      </c>
      <c r="J128" s="1">
        <v>198</v>
      </c>
      <c r="K128" s="3">
        <f>Table14710[[#This Row],[GF]]/Table14710[[#This Row],[GP]]</f>
        <v>2.7123287671232879</v>
      </c>
      <c r="L128" s="1">
        <v>262</v>
      </c>
      <c r="M128" s="1">
        <v>3.59</v>
      </c>
      <c r="N128" s="2">
        <f>(Table14710[[#This Row],[GF]]^2)/((Table14710[[#This Row],[GF]]^2)+(Table14710[[#This Row],[GA]]^2))</f>
        <v>0.36351160893108819</v>
      </c>
      <c r="O128" s="1">
        <v>25.6</v>
      </c>
      <c r="P128" s="1">
        <v>80.599999999999994</v>
      </c>
      <c r="Q128" s="1">
        <f>Table14710[[#This Row],[PP_PCT]]+Table14710[[#This Row],[PK_PCT]]</f>
        <v>106.19999999999999</v>
      </c>
      <c r="R128" s="3">
        <v>11.1</v>
      </c>
      <c r="S128" s="3">
        <f>Table14710[[#This Row],[GA]]/Table14710[[#This Row],[GP]]</f>
        <v>3.5890410958904111</v>
      </c>
      <c r="T128" s="2">
        <v>0.94</v>
      </c>
      <c r="U128" s="1">
        <v>102.2</v>
      </c>
      <c r="V128" s="1">
        <v>51.6</v>
      </c>
      <c r="W128" s="1">
        <v>51.4</v>
      </c>
      <c r="X128" s="1">
        <v>171.1</v>
      </c>
      <c r="Y128" s="3">
        <f>Table135811[[#This Row],[XGF]]/Table14710[[#This Row],[GP]]</f>
        <v>2.3438356164383563</v>
      </c>
      <c r="Z128" s="1">
        <v>161.9</v>
      </c>
      <c r="AA128" s="3">
        <f>Table135811[[#This Row],[XGA]]/Table14710[[#This Row],[GP]]</f>
        <v>2.2178082191780821</v>
      </c>
      <c r="AB128" s="1">
        <v>65</v>
      </c>
      <c r="AC128" s="2">
        <f>Table135811[[#This Row],[HDGF]]/Table14710[[#This Row],[GP]]</f>
        <v>0.8904109589041096</v>
      </c>
      <c r="AD128" s="1">
        <v>49</v>
      </c>
      <c r="AE128" s="2">
        <f>Table135811[[#This Row],[HDGA]]/Table14710[[#This Row],[GP]]</f>
        <v>0.67123287671232879</v>
      </c>
      <c r="AF128" s="1">
        <v>8.8000000000000007</v>
      </c>
    </row>
    <row r="129" spans="1:32" hidden="1" x14ac:dyDescent="0.35">
      <c r="A129" t="s">
        <v>91</v>
      </c>
      <c r="B129">
        <v>32</v>
      </c>
      <c r="C129" t="s">
        <v>78</v>
      </c>
      <c r="D129" s="1">
        <v>0</v>
      </c>
      <c r="E129" s="1">
        <v>27.3</v>
      </c>
      <c r="F129" s="1">
        <v>71</v>
      </c>
      <c r="G129" s="1">
        <v>49</v>
      </c>
      <c r="H129" s="2">
        <f>Table14710[[#This Row],[PTS]]/Table14710[[#This Row],[GP]]</f>
        <v>0.6901408450704225</v>
      </c>
      <c r="I129" s="2">
        <v>0.34499999999999997</v>
      </c>
      <c r="J129" s="1">
        <v>186</v>
      </c>
      <c r="K129" s="3">
        <f>Table14710[[#This Row],[GF]]/Table14710[[#This Row],[GP]]</f>
        <v>2.619718309859155</v>
      </c>
      <c r="L129" s="1">
        <v>260</v>
      </c>
      <c r="M129" s="1">
        <v>3.66</v>
      </c>
      <c r="N129" s="2">
        <f>(Table14710[[#This Row],[GF]]^2)/((Table14710[[#This Row],[GF]]^2)+(Table14710[[#This Row],[GA]]^2))</f>
        <v>0.33852596970527221</v>
      </c>
      <c r="O129" s="1">
        <v>19.399999999999999</v>
      </c>
      <c r="P129" s="1">
        <v>74.31</v>
      </c>
      <c r="Q129" s="1">
        <f>Table14710[[#This Row],[PP_PCT]]+Table14710[[#This Row],[PK_PCT]]</f>
        <v>93.710000000000008</v>
      </c>
      <c r="R129" s="3">
        <v>9.6999999999999993</v>
      </c>
      <c r="S129" s="3">
        <f>Table14710[[#This Row],[GA]]/Table14710[[#This Row],[GP]]</f>
        <v>3.6619718309859155</v>
      </c>
      <c r="T129" s="2">
        <v>0.93700000000000006</v>
      </c>
      <c r="U129" s="1">
        <v>102.3</v>
      </c>
      <c r="V129" s="1">
        <v>50.5</v>
      </c>
      <c r="W129" s="1">
        <v>50.6</v>
      </c>
      <c r="X129" s="1">
        <v>145.69999999999999</v>
      </c>
      <c r="Y129" s="3">
        <f>Table135811[[#This Row],[XGF]]/Table14710[[#This Row],[GP]]</f>
        <v>2.0521126760563377</v>
      </c>
      <c r="Z129" s="1">
        <v>134.4</v>
      </c>
      <c r="AA129" s="3">
        <f>Table135811[[#This Row],[XGA]]/Table14710[[#This Row],[GP]]</f>
        <v>1.8929577464788734</v>
      </c>
      <c r="AB129" s="1">
        <v>58</v>
      </c>
      <c r="AC129" s="2">
        <f>Table135811[[#This Row],[HDGF]]/Table14710[[#This Row],[GP]]</f>
        <v>0.81690140845070425</v>
      </c>
      <c r="AD129" s="1">
        <v>39</v>
      </c>
      <c r="AE129" s="2">
        <f>Table135811[[#This Row],[HDGA]]/Table14710[[#This Row],[GP]]</f>
        <v>0.54929577464788737</v>
      </c>
      <c r="AF129" s="1">
        <v>8.6</v>
      </c>
    </row>
  </sheetData>
  <conditionalFormatting sqref="I2:I12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129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129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:N12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12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R12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:S129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:T12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:W12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:Y129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:AA129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:AC129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:AE129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:AF12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097C5-C7E3-4CEB-ADC5-74AB23D714E0}">
  <dimension ref="A1:AF129"/>
  <sheetViews>
    <sheetView zoomScale="90" zoomScaleNormal="90" workbookViewId="0">
      <selection activeCell="A70" sqref="A70:AF70"/>
    </sheetView>
  </sheetViews>
  <sheetFormatPr defaultRowHeight="14.5" x14ac:dyDescent="0.35"/>
  <cols>
    <col min="1" max="1" width="9.81640625" bestFit="1" customWidth="1"/>
    <col min="2" max="2" width="7.7265625" bestFit="1" customWidth="1"/>
    <col min="3" max="3" width="19.54296875" bestFit="1" customWidth="1"/>
    <col min="4" max="4" width="12.81640625" style="1" bestFit="1" customWidth="1"/>
    <col min="5" max="5" width="13" style="1" bestFit="1" customWidth="1"/>
    <col min="6" max="6" width="7.7265625" style="1" bestFit="1" customWidth="1"/>
    <col min="7" max="7" width="8.453125" style="1" bestFit="1" customWidth="1"/>
    <col min="8" max="8" width="12.7265625" style="1" customWidth="1"/>
    <col min="9" max="9" width="12.54296875" style="1" bestFit="1" customWidth="1"/>
    <col min="10" max="10" width="7.54296875" style="1" bestFit="1" customWidth="1"/>
    <col min="11" max="11" width="11.81640625" style="1" customWidth="1"/>
    <col min="12" max="12" width="10.1796875" style="1" customWidth="1"/>
    <col min="13" max="13" width="11.81640625" style="1" customWidth="1"/>
    <col min="14" max="14" width="14.81640625" style="1" bestFit="1" customWidth="1"/>
    <col min="15" max="16" width="11.54296875" style="1" bestFit="1" customWidth="1"/>
    <col min="17" max="17" width="22.453125" style="1" customWidth="1"/>
    <col min="18" max="18" width="10.54296875" style="1" bestFit="1" customWidth="1"/>
    <col min="19" max="19" width="11.54296875" style="1" customWidth="1"/>
    <col min="20" max="20" width="12.26953125" style="1" bestFit="1" customWidth="1"/>
    <col min="21" max="21" width="9.7265625" style="1" bestFit="1" customWidth="1"/>
    <col min="22" max="22" width="11.7265625" style="1" bestFit="1" customWidth="1"/>
    <col min="23" max="23" width="12.1796875" style="1" bestFit="1" customWidth="1"/>
    <col min="24" max="24" width="9.453125" style="1" bestFit="1" customWidth="1"/>
    <col min="25" max="25" width="11.81640625" style="1" bestFit="1" customWidth="1"/>
    <col min="26" max="26" width="9.453125" style="1" bestFit="1" customWidth="1"/>
    <col min="27" max="27" width="11.1796875" style="1" bestFit="1" customWidth="1"/>
    <col min="28" max="28" width="10.1796875" style="1" bestFit="1" customWidth="1"/>
    <col min="29" max="29" width="10.1796875" style="1" customWidth="1"/>
    <col min="30" max="30" width="10.26953125" style="1" bestFit="1" customWidth="1"/>
    <col min="32" max="32" width="10.81640625" style="1" bestFit="1" customWidth="1"/>
  </cols>
  <sheetData>
    <row r="1" spans="1:32" x14ac:dyDescent="0.3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9</v>
      </c>
      <c r="H1" s="1" t="s">
        <v>93</v>
      </c>
      <c r="I1" s="1" t="s">
        <v>10</v>
      </c>
      <c r="J1" s="1" t="s">
        <v>11</v>
      </c>
      <c r="K1" s="1" t="s">
        <v>17</v>
      </c>
      <c r="L1" s="1" t="s">
        <v>12</v>
      </c>
      <c r="M1" s="1" t="s">
        <v>18</v>
      </c>
      <c r="N1" s="1" t="s">
        <v>94</v>
      </c>
      <c r="O1" s="1" t="s">
        <v>21</v>
      </c>
      <c r="P1" s="1" t="s">
        <v>24</v>
      </c>
      <c r="Q1" s="1" t="s">
        <v>95</v>
      </c>
      <c r="R1" s="1" t="s">
        <v>30</v>
      </c>
      <c r="S1" s="1" t="s">
        <v>96</v>
      </c>
      <c r="T1" s="1" t="s">
        <v>32</v>
      </c>
      <c r="U1" s="1" t="s">
        <v>34</v>
      </c>
      <c r="V1" s="1" t="s">
        <v>37</v>
      </c>
      <c r="W1" s="1" t="s">
        <v>40</v>
      </c>
      <c r="X1" s="1" t="s">
        <v>41</v>
      </c>
      <c r="Y1" s="1" t="s">
        <v>97</v>
      </c>
      <c r="Z1" s="1" t="s">
        <v>42</v>
      </c>
      <c r="AA1" s="1" t="s">
        <v>98</v>
      </c>
      <c r="AB1" s="1" t="s">
        <v>52</v>
      </c>
      <c r="AC1" s="1" t="s">
        <v>99</v>
      </c>
      <c r="AD1" s="1" t="s">
        <v>54</v>
      </c>
      <c r="AE1" s="1" t="s">
        <v>100</v>
      </c>
      <c r="AF1" s="1" t="s">
        <v>27</v>
      </c>
    </row>
    <row r="2" spans="1:32" hidden="1" x14ac:dyDescent="0.35">
      <c r="A2" t="s">
        <v>56</v>
      </c>
      <c r="B2">
        <v>1</v>
      </c>
      <c r="C2" t="s">
        <v>57</v>
      </c>
      <c r="D2" s="1">
        <v>1</v>
      </c>
      <c r="E2" s="1">
        <v>27.8</v>
      </c>
      <c r="F2" s="1">
        <v>82</v>
      </c>
      <c r="G2" s="1">
        <v>122</v>
      </c>
      <c r="H2" s="2">
        <f>Table14713[[#This Row],[PTS]]/Table14713[[#This Row],[GP]]</f>
        <v>1.4878048780487805</v>
      </c>
      <c r="I2" s="2">
        <v>0.74399999999999999</v>
      </c>
      <c r="J2" s="1">
        <v>337</v>
      </c>
      <c r="K2" s="3">
        <f>Table14713[[#This Row],[GF]]/Table14713[[#This Row],[GP]]</f>
        <v>4.1097560975609753</v>
      </c>
      <c r="L2" s="1">
        <v>242</v>
      </c>
      <c r="M2" s="1">
        <v>2.95</v>
      </c>
      <c r="N2" s="2">
        <f>(Table14713[[#This Row],[GF]]^2)/((Table14713[[#This Row],[GF]]^2)+(Table14713[[#This Row],[GA]]^2))</f>
        <v>0.65977470909122593</v>
      </c>
      <c r="O2" s="1">
        <v>24.43</v>
      </c>
      <c r="P2" s="1">
        <v>79.540000000000006</v>
      </c>
      <c r="Q2" s="1">
        <f>Table14713[[#This Row],[PP_PCT]]+Table14713[[#This Row],[PK_PCT]]</f>
        <v>103.97</v>
      </c>
      <c r="R2" s="3">
        <v>11</v>
      </c>
      <c r="S2" s="3">
        <f>Table14713[[#This Row],[GA]]/Table14713[[#This Row],[GP]]</f>
        <v>2.9512195121951219</v>
      </c>
      <c r="T2" s="2">
        <v>0.91800000000000004</v>
      </c>
      <c r="U2" s="1">
        <v>99.3</v>
      </c>
      <c r="V2" s="1">
        <v>47.6</v>
      </c>
      <c r="W2" s="1">
        <v>47.6</v>
      </c>
      <c r="X2" s="1">
        <v>169.8</v>
      </c>
      <c r="Y2" s="3">
        <f>Table135814[[#This Row],[XGF]]/Table14713[[#This Row],[GP]]</f>
        <v>2.0707317073170732</v>
      </c>
      <c r="Z2" s="1">
        <v>186.9</v>
      </c>
      <c r="AA2" s="3">
        <f>Table135814[[#This Row],[XGA]]/Table14713[[#This Row],[GP]]</f>
        <v>2.2792682926829269</v>
      </c>
      <c r="AB2" s="1">
        <v>72</v>
      </c>
      <c r="AC2" s="2">
        <f>Table135814[[#This Row],[HDGF]]/Table14713[[#This Row],[GP]]</f>
        <v>0.87804878048780488</v>
      </c>
      <c r="AD2" s="1">
        <v>61</v>
      </c>
      <c r="AE2" s="2">
        <f>Table135814[[#This Row],[HDGA]]/Table14713[[#This Row],[GP]]</f>
        <v>0.74390243902439024</v>
      </c>
      <c r="AF2" s="1">
        <v>10.1</v>
      </c>
    </row>
    <row r="3" spans="1:32" hidden="1" x14ac:dyDescent="0.35">
      <c r="A3" t="s">
        <v>56</v>
      </c>
      <c r="B3">
        <v>2</v>
      </c>
      <c r="C3" t="s">
        <v>58</v>
      </c>
      <c r="D3" s="1">
        <v>1</v>
      </c>
      <c r="E3" s="1">
        <v>28.2</v>
      </c>
      <c r="F3" s="1">
        <v>82</v>
      </c>
      <c r="G3" s="1">
        <v>119</v>
      </c>
      <c r="H3" s="2">
        <f>Table14713[[#This Row],[PTS]]/Table14713[[#This Row],[GP]]</f>
        <v>1.4512195121951219</v>
      </c>
      <c r="I3" s="2">
        <v>0.72599999999999998</v>
      </c>
      <c r="J3" s="1">
        <v>308</v>
      </c>
      <c r="K3" s="3">
        <f>Table14713[[#This Row],[GF]]/Table14713[[#This Row],[GP]]</f>
        <v>3.7560975609756095</v>
      </c>
      <c r="L3" s="1">
        <v>232</v>
      </c>
      <c r="M3" s="1">
        <v>2.83</v>
      </c>
      <c r="N3" s="2">
        <f>(Table14713[[#This Row],[GF]]^2)/((Table14713[[#This Row],[GF]]^2)+(Table14713[[#This Row],[GA]]^2))</f>
        <v>0.63800710211987521</v>
      </c>
      <c r="O3" s="1">
        <v>24.01</v>
      </c>
      <c r="P3" s="1">
        <v>79.66</v>
      </c>
      <c r="Q3" s="1">
        <f>Table14713[[#This Row],[PP_PCT]]+Table14713[[#This Row],[PK_PCT]]</f>
        <v>103.67</v>
      </c>
      <c r="R3" s="3">
        <v>10.7</v>
      </c>
      <c r="S3" s="3">
        <f>Table14713[[#This Row],[GA]]/Table14713[[#This Row],[GP]]</f>
        <v>2.8292682926829267</v>
      </c>
      <c r="T3" s="2">
        <v>0.91800000000000004</v>
      </c>
      <c r="U3" s="1">
        <v>99.3</v>
      </c>
      <c r="V3" s="1">
        <v>42.6</v>
      </c>
      <c r="W3" s="1">
        <v>41.6</v>
      </c>
      <c r="X3" s="1">
        <v>152.9</v>
      </c>
      <c r="Y3" s="3">
        <f>Table135814[[#This Row],[XGF]]/Table14713[[#This Row],[GP]]</f>
        <v>1.8646341463414635</v>
      </c>
      <c r="Z3" s="1">
        <v>237.8</v>
      </c>
      <c r="AA3" s="3">
        <f>Table135814[[#This Row],[XGA]]/Table14713[[#This Row],[GP]]</f>
        <v>2.9000000000000004</v>
      </c>
      <c r="AB3" s="1">
        <v>53</v>
      </c>
      <c r="AC3" s="2">
        <f>Table135814[[#This Row],[HDGF]]/Table14713[[#This Row],[GP]]</f>
        <v>0.64634146341463417</v>
      </c>
      <c r="AD3" s="1">
        <v>80</v>
      </c>
      <c r="AE3" s="2">
        <f>Table135814[[#This Row],[HDGA]]/Table14713[[#This Row],[GP]]</f>
        <v>0.97560975609756095</v>
      </c>
      <c r="AF3" s="1">
        <v>9</v>
      </c>
    </row>
    <row r="4" spans="1:32" hidden="1" x14ac:dyDescent="0.35">
      <c r="A4" t="s">
        <v>56</v>
      </c>
      <c r="B4">
        <v>3</v>
      </c>
      <c r="C4" t="s">
        <v>59</v>
      </c>
      <c r="D4" s="1">
        <v>1</v>
      </c>
      <c r="E4" s="1">
        <v>28.3</v>
      </c>
      <c r="F4" s="1">
        <v>82</v>
      </c>
      <c r="G4" s="1">
        <v>116</v>
      </c>
      <c r="H4" s="2">
        <f>Table14713[[#This Row],[PTS]]/Table14713[[#This Row],[GP]]</f>
        <v>1.4146341463414633</v>
      </c>
      <c r="I4" s="2">
        <v>0.70699999999999996</v>
      </c>
      <c r="J4" s="1">
        <v>277</v>
      </c>
      <c r="K4" s="3">
        <f>Table14713[[#This Row],[GF]]/Table14713[[#This Row],[GP]]</f>
        <v>3.3780487804878048</v>
      </c>
      <c r="L4" s="1">
        <v>200</v>
      </c>
      <c r="M4" s="1">
        <v>2.44</v>
      </c>
      <c r="N4" s="2">
        <f>(Table14713[[#This Row],[GF]]^2)/((Table14713[[#This Row],[GF]]^2)+(Table14713[[#This Row],[GA]]^2))</f>
        <v>0.65732594299617064</v>
      </c>
      <c r="O4" s="1">
        <v>21.98</v>
      </c>
      <c r="P4" s="1">
        <v>88.04</v>
      </c>
      <c r="Q4" s="1">
        <f>Table14713[[#This Row],[PP_PCT]]+Table14713[[#This Row],[PK_PCT]]</f>
        <v>110.02000000000001</v>
      </c>
      <c r="R4" s="3">
        <v>9.9</v>
      </c>
      <c r="S4" s="3">
        <f>Table14713[[#This Row],[GA]]/Table14713[[#This Row],[GP]]</f>
        <v>2.4390243902439024</v>
      </c>
      <c r="T4" s="2">
        <v>0.91700000000000004</v>
      </c>
      <c r="U4" s="1">
        <v>98.8</v>
      </c>
      <c r="V4" s="1">
        <v>46.9</v>
      </c>
      <c r="W4" s="1">
        <v>46.5</v>
      </c>
      <c r="X4" s="1">
        <v>142.30000000000001</v>
      </c>
      <c r="Y4" s="3">
        <f>Table135814[[#This Row],[XGF]]/Table14713[[#This Row],[GP]]</f>
        <v>1.7353658536585368</v>
      </c>
      <c r="Z4" s="1">
        <v>173.3</v>
      </c>
      <c r="AA4" s="3">
        <f>Table135814[[#This Row],[XGA]]/Table14713[[#This Row],[GP]]</f>
        <v>2.1134146341463418</v>
      </c>
      <c r="AB4" s="1">
        <v>52</v>
      </c>
      <c r="AC4" s="2">
        <f>Table135814[[#This Row],[HDGF]]/Table14713[[#This Row],[GP]]</f>
        <v>0.63414634146341464</v>
      </c>
      <c r="AD4" s="1">
        <v>78</v>
      </c>
      <c r="AE4" s="2">
        <f>Table135814[[#This Row],[HDGA]]/Table14713[[#This Row],[GP]]</f>
        <v>0.95121951219512191</v>
      </c>
      <c r="AF4" s="1">
        <v>9.1999999999999993</v>
      </c>
    </row>
    <row r="5" spans="1:32" hidden="1" x14ac:dyDescent="0.35">
      <c r="A5" t="s">
        <v>56</v>
      </c>
      <c r="B5">
        <v>4</v>
      </c>
      <c r="C5" t="s">
        <v>60</v>
      </c>
      <c r="D5" s="1">
        <v>1</v>
      </c>
      <c r="E5" s="1">
        <v>28.4</v>
      </c>
      <c r="F5" s="1">
        <v>82</v>
      </c>
      <c r="G5" s="1">
        <v>115</v>
      </c>
      <c r="H5" s="2">
        <f>Table14713[[#This Row],[PTS]]/Table14713[[#This Row],[GP]]</f>
        <v>1.4024390243902438</v>
      </c>
      <c r="I5" s="2">
        <v>0.70099999999999996</v>
      </c>
      <c r="J5" s="1">
        <v>312</v>
      </c>
      <c r="K5" s="3">
        <f>Table14713[[#This Row],[GF]]/Table14713[[#This Row],[GP]]</f>
        <v>3.8048780487804876</v>
      </c>
      <c r="L5" s="1">
        <v>252</v>
      </c>
      <c r="M5" s="1">
        <v>3.07</v>
      </c>
      <c r="N5" s="2">
        <f>(Table14713[[#This Row],[GF]]^2)/((Table14713[[#This Row],[GF]]^2)+(Table14713[[#This Row],[GA]]^2))</f>
        <v>0.60519247985675917</v>
      </c>
      <c r="O5" s="1">
        <v>27.27</v>
      </c>
      <c r="P5" s="1">
        <v>82.05</v>
      </c>
      <c r="Q5" s="1">
        <f>Table14713[[#This Row],[PP_PCT]]+Table14713[[#This Row],[PK_PCT]]</f>
        <v>109.32</v>
      </c>
      <c r="R5" s="3">
        <v>11</v>
      </c>
      <c r="S5" s="3">
        <f>Table14713[[#This Row],[GA]]/Table14713[[#This Row],[GP]]</f>
        <v>3.0731707317073171</v>
      </c>
      <c r="T5" s="2">
        <v>0.92700000000000005</v>
      </c>
      <c r="U5" s="1">
        <v>101</v>
      </c>
      <c r="V5" s="1">
        <v>46.4</v>
      </c>
      <c r="W5" s="1">
        <v>45.9</v>
      </c>
      <c r="X5" s="1">
        <v>141.30000000000001</v>
      </c>
      <c r="Y5" s="3">
        <f>Table135814[[#This Row],[XGF]]/Table14713[[#This Row],[GP]]</f>
        <v>1.7231707317073173</v>
      </c>
      <c r="Z5" s="1">
        <v>169.6</v>
      </c>
      <c r="AA5" s="3">
        <f>Table135814[[#This Row],[XGA]]/Table14713[[#This Row],[GP]]</f>
        <v>2.0682926829268293</v>
      </c>
      <c r="AB5" s="1">
        <v>50</v>
      </c>
      <c r="AC5" s="2">
        <f>Table135814[[#This Row],[HDGF]]/Table14713[[#This Row],[GP]]</f>
        <v>0.6097560975609756</v>
      </c>
      <c r="AD5" s="1">
        <v>61</v>
      </c>
      <c r="AE5" s="2">
        <f>Table135814[[#This Row],[HDGA]]/Table14713[[#This Row],[GP]]</f>
        <v>0.74390243902439024</v>
      </c>
      <c r="AF5" s="1">
        <v>8.6</v>
      </c>
    </row>
    <row r="6" spans="1:32" hidden="1" x14ac:dyDescent="0.35">
      <c r="A6" t="s">
        <v>56</v>
      </c>
      <c r="B6">
        <v>5</v>
      </c>
      <c r="C6" t="s">
        <v>61</v>
      </c>
      <c r="D6" s="1">
        <v>1</v>
      </c>
      <c r="E6" s="1">
        <v>29.4</v>
      </c>
      <c r="F6" s="1">
        <v>82</v>
      </c>
      <c r="G6" s="1">
        <v>113</v>
      </c>
      <c r="H6" s="2">
        <f>Table14713[[#This Row],[PTS]]/Table14713[[#This Row],[GP]]</f>
        <v>1.3780487804878048</v>
      </c>
      <c r="I6" s="2">
        <v>0.68899999999999995</v>
      </c>
      <c r="J6" s="1">
        <v>305</v>
      </c>
      <c r="K6" s="3">
        <f>Table14713[[#This Row],[GF]]/Table14713[[#This Row],[GP]]</f>
        <v>3.7195121951219514</v>
      </c>
      <c r="L6" s="1">
        <v>249</v>
      </c>
      <c r="M6" s="1">
        <v>3.04</v>
      </c>
      <c r="N6" s="2">
        <f>(Table14713[[#This Row],[GF]]^2)/((Table14713[[#This Row],[GF]]^2)+(Table14713[[#This Row],[GA]]^2))</f>
        <v>0.60006063499025974</v>
      </c>
      <c r="O6" s="1">
        <v>20.54</v>
      </c>
      <c r="P6" s="1">
        <v>76.14</v>
      </c>
      <c r="Q6" s="1">
        <f>Table14713[[#This Row],[PP_PCT]]+Table14713[[#This Row],[PK_PCT]]</f>
        <v>96.68</v>
      </c>
      <c r="R6" s="3">
        <v>11.4</v>
      </c>
      <c r="S6" s="3">
        <f>Table14713[[#This Row],[GA]]/Table14713[[#This Row],[GP]]</f>
        <v>3.0365853658536586</v>
      </c>
      <c r="T6" s="2">
        <v>0.91</v>
      </c>
      <c r="U6" s="1">
        <v>99.7</v>
      </c>
      <c r="V6" s="1">
        <v>43.9</v>
      </c>
      <c r="W6" s="1">
        <v>43.5</v>
      </c>
      <c r="X6" s="1">
        <v>148.6</v>
      </c>
      <c r="Y6" s="3">
        <f>Table135814[[#This Row],[XGF]]/Table14713[[#This Row],[GP]]</f>
        <v>1.8121951219512193</v>
      </c>
      <c r="Z6" s="1">
        <v>206.2</v>
      </c>
      <c r="AA6" s="3">
        <f>Table135814[[#This Row],[XGA]]/Table14713[[#This Row],[GP]]</f>
        <v>2.5146341463414634</v>
      </c>
      <c r="AB6" s="1">
        <v>66</v>
      </c>
      <c r="AC6" s="2">
        <f>Table135814[[#This Row],[HDGF]]/Table14713[[#This Row],[GP]]</f>
        <v>0.80487804878048785</v>
      </c>
      <c r="AD6" s="1">
        <v>95</v>
      </c>
      <c r="AE6" s="2">
        <f>Table135814[[#This Row],[HDGA]]/Table14713[[#This Row],[GP]]</f>
        <v>1.1585365853658536</v>
      </c>
      <c r="AF6" s="1">
        <v>10.8</v>
      </c>
    </row>
    <row r="7" spans="1:32" hidden="1" x14ac:dyDescent="0.35">
      <c r="A7" t="s">
        <v>56</v>
      </c>
      <c r="B7">
        <v>6</v>
      </c>
      <c r="C7" t="s">
        <v>62</v>
      </c>
      <c r="D7" s="1">
        <v>1</v>
      </c>
      <c r="E7" s="1">
        <v>28.8</v>
      </c>
      <c r="F7" s="1">
        <v>82</v>
      </c>
      <c r="G7" s="1">
        <v>111</v>
      </c>
      <c r="H7" s="2">
        <f>Table14713[[#This Row],[PTS]]/Table14713[[#This Row],[GP]]</f>
        <v>1.3536585365853659</v>
      </c>
      <c r="I7" s="2">
        <v>0.67700000000000005</v>
      </c>
      <c r="J7" s="1">
        <v>291</v>
      </c>
      <c r="K7" s="3">
        <f>Table14713[[#This Row],[GF]]/Table14713[[#This Row],[GP]]</f>
        <v>3.5487804878048781</v>
      </c>
      <c r="L7" s="1">
        <v>206</v>
      </c>
      <c r="M7" s="1">
        <v>2.5099999999999998</v>
      </c>
      <c r="N7" s="2">
        <f>(Table14713[[#This Row],[GF]]^2)/((Table14713[[#This Row],[GF]]^2)+(Table14713[[#This Row],[GA]]^2))</f>
        <v>0.66616581574455025</v>
      </c>
      <c r="O7" s="1">
        <v>22.88</v>
      </c>
      <c r="P7" s="1">
        <v>83.2</v>
      </c>
      <c r="Q7" s="1">
        <f>Table14713[[#This Row],[PP_PCT]]+Table14713[[#This Row],[PK_PCT]]</f>
        <v>106.08</v>
      </c>
      <c r="R7" s="3">
        <v>10</v>
      </c>
      <c r="S7" s="3">
        <f>Table14713[[#This Row],[GA]]/Table14713[[#This Row],[GP]]</f>
        <v>2.5121951219512195</v>
      </c>
      <c r="T7" s="2">
        <v>0.92</v>
      </c>
      <c r="U7" s="1">
        <v>100.4</v>
      </c>
      <c r="V7" s="1">
        <v>45</v>
      </c>
      <c r="W7" s="1">
        <v>44.6</v>
      </c>
      <c r="X7" s="1">
        <v>153.9</v>
      </c>
      <c r="Y7" s="3">
        <f>Table135814[[#This Row],[XGF]]/Table14713[[#This Row],[GP]]</f>
        <v>1.876829268292683</v>
      </c>
      <c r="Z7" s="1">
        <v>193</v>
      </c>
      <c r="AA7" s="3">
        <f>Table135814[[#This Row],[XGA]]/Table14713[[#This Row],[GP]]</f>
        <v>2.3536585365853657</v>
      </c>
      <c r="AB7" s="1">
        <v>60</v>
      </c>
      <c r="AC7" s="2">
        <f>Table135814[[#This Row],[HDGF]]/Table14713[[#This Row],[GP]]</f>
        <v>0.73170731707317072</v>
      </c>
      <c r="AD7" s="1">
        <v>72</v>
      </c>
      <c r="AE7" s="2">
        <f>Table135814[[#This Row],[HDGA]]/Table14713[[#This Row],[GP]]</f>
        <v>0.87804878048780488</v>
      </c>
      <c r="AF7" s="1">
        <v>9.1</v>
      </c>
    </row>
    <row r="8" spans="1:32" hidden="1" x14ac:dyDescent="0.35">
      <c r="A8" t="s">
        <v>56</v>
      </c>
      <c r="B8">
        <v>7</v>
      </c>
      <c r="C8" t="s">
        <v>63</v>
      </c>
      <c r="D8" s="1">
        <v>1</v>
      </c>
      <c r="E8" s="1">
        <v>29.6</v>
      </c>
      <c r="F8" s="1">
        <v>82</v>
      </c>
      <c r="G8" s="1">
        <v>110</v>
      </c>
      <c r="H8" s="2">
        <f>Table14713[[#This Row],[PTS]]/Table14713[[#This Row],[GP]]</f>
        <v>1.3414634146341464</v>
      </c>
      <c r="I8" s="2">
        <v>0.67100000000000004</v>
      </c>
      <c r="J8" s="1">
        <v>285</v>
      </c>
      <c r="K8" s="3">
        <f>Table14713[[#This Row],[GF]]/Table14713[[#This Row],[GP]]</f>
        <v>3.475609756097561</v>
      </c>
      <c r="L8" s="1">
        <v>228</v>
      </c>
      <c r="M8" s="1">
        <v>2.78</v>
      </c>
      <c r="N8" s="2">
        <f>(Table14713[[#This Row],[GF]]^2)/((Table14713[[#This Row],[GF]]^2)+(Table14713[[#This Row],[GA]]^2))</f>
        <v>0.6097560975609756</v>
      </c>
      <c r="O8" s="1">
        <v>23.94</v>
      </c>
      <c r="P8" s="1">
        <v>80.56</v>
      </c>
      <c r="Q8" s="1">
        <f>Table14713[[#This Row],[PP_PCT]]+Table14713[[#This Row],[PK_PCT]]</f>
        <v>104.5</v>
      </c>
      <c r="R8" s="3">
        <v>11.2</v>
      </c>
      <c r="S8" s="3">
        <f>Table14713[[#This Row],[GA]]/Table14713[[#This Row],[GP]]</f>
        <v>2.7804878048780486</v>
      </c>
      <c r="T8" s="2">
        <v>0.92</v>
      </c>
      <c r="U8" s="1">
        <v>100.8</v>
      </c>
      <c r="V8" s="1">
        <v>49</v>
      </c>
      <c r="W8" s="1">
        <v>47.8</v>
      </c>
      <c r="X8" s="1">
        <v>160.9</v>
      </c>
      <c r="Y8" s="3">
        <f>Table135814[[#This Row],[XGF]]/Table14713[[#This Row],[GP]]</f>
        <v>1.9621951219512195</v>
      </c>
      <c r="Z8" s="1">
        <v>180.1</v>
      </c>
      <c r="AA8" s="3">
        <f>Table135814[[#This Row],[XGA]]/Table14713[[#This Row],[GP]]</f>
        <v>2.1963414634146341</v>
      </c>
      <c r="AB8" s="1">
        <v>67</v>
      </c>
      <c r="AC8" s="2">
        <f>Table135814[[#This Row],[HDGF]]/Table14713[[#This Row],[GP]]</f>
        <v>0.81707317073170727</v>
      </c>
      <c r="AD8" s="1">
        <v>63</v>
      </c>
      <c r="AE8" s="2">
        <f>Table135814[[#This Row],[HDGA]]/Table14713[[#This Row],[GP]]</f>
        <v>0.76829268292682928</v>
      </c>
      <c r="AF8" s="1">
        <v>11</v>
      </c>
    </row>
    <row r="9" spans="1:32" hidden="1" x14ac:dyDescent="0.35">
      <c r="A9" t="s">
        <v>56</v>
      </c>
      <c r="B9">
        <v>8</v>
      </c>
      <c r="C9" t="s">
        <v>64</v>
      </c>
      <c r="D9" s="1">
        <v>1</v>
      </c>
      <c r="E9" s="1">
        <v>26.7</v>
      </c>
      <c r="F9" s="1">
        <v>82</v>
      </c>
      <c r="G9" s="1">
        <v>110</v>
      </c>
      <c r="H9" s="2">
        <f>Table14713[[#This Row],[PTS]]/Table14713[[#This Row],[GP]]</f>
        <v>1.3414634146341464</v>
      </c>
      <c r="I9" s="2">
        <v>0.67100000000000004</v>
      </c>
      <c r="J9" s="1">
        <v>250</v>
      </c>
      <c r="K9" s="3">
        <f>Table14713[[#This Row],[GF]]/Table14713[[#This Row],[GP]]</f>
        <v>3.0487804878048781</v>
      </c>
      <c r="L9" s="1">
        <v>204</v>
      </c>
      <c r="M9" s="1">
        <v>2.4900000000000002</v>
      </c>
      <c r="N9" s="2">
        <f>(Table14713[[#This Row],[GF]]^2)/((Table14713[[#This Row],[GF]]^2)+(Table14713[[#This Row],[GA]]^2))</f>
        <v>0.60029198202005452</v>
      </c>
      <c r="O9" s="1">
        <v>25.23</v>
      </c>
      <c r="P9" s="1">
        <v>82.3</v>
      </c>
      <c r="Q9" s="1">
        <f>Table14713[[#This Row],[PP_PCT]]+Table14713[[#This Row],[PK_PCT]]</f>
        <v>107.53</v>
      </c>
      <c r="R9" s="3">
        <v>10.5</v>
      </c>
      <c r="S9" s="3">
        <f>Table14713[[#This Row],[GA]]/Table14713[[#This Row],[GP]]</f>
        <v>2.4878048780487805</v>
      </c>
      <c r="T9" s="2">
        <v>0.92300000000000004</v>
      </c>
      <c r="U9" s="1">
        <v>99.1</v>
      </c>
      <c r="V9" s="1">
        <v>54.5</v>
      </c>
      <c r="W9" s="1">
        <v>55.8</v>
      </c>
      <c r="X9" s="1">
        <v>199.5</v>
      </c>
      <c r="Y9" s="3">
        <f>Table135814[[#This Row],[XGF]]/Table14713[[#This Row],[GP]]</f>
        <v>2.4329268292682928</v>
      </c>
      <c r="Z9" s="1">
        <v>143.5</v>
      </c>
      <c r="AA9" s="3">
        <f>Table135814[[#This Row],[XGA]]/Table14713[[#This Row],[GP]]</f>
        <v>1.75</v>
      </c>
      <c r="AB9" s="1">
        <v>80</v>
      </c>
      <c r="AC9" s="2">
        <f>Table135814[[#This Row],[HDGF]]/Table14713[[#This Row],[GP]]</f>
        <v>0.97560975609756095</v>
      </c>
      <c r="AD9" s="1">
        <v>71</v>
      </c>
      <c r="AE9" s="2">
        <f>Table135814[[#This Row],[HDGA]]/Table14713[[#This Row],[GP]]</f>
        <v>0.86585365853658536</v>
      </c>
      <c r="AF9" s="1">
        <v>8.1999999999999993</v>
      </c>
    </row>
    <row r="10" spans="1:32" hidden="1" x14ac:dyDescent="0.35">
      <c r="A10" t="s">
        <v>56</v>
      </c>
      <c r="B10">
        <v>9</v>
      </c>
      <c r="C10" t="s">
        <v>65</v>
      </c>
      <c r="D10" s="1">
        <v>1</v>
      </c>
      <c r="E10" s="1">
        <v>28.8</v>
      </c>
      <c r="F10" s="1">
        <v>82</v>
      </c>
      <c r="G10" s="1">
        <v>109</v>
      </c>
      <c r="H10" s="2">
        <f>Table14713[[#This Row],[PTS]]/Table14713[[#This Row],[GP]]</f>
        <v>1.3292682926829269</v>
      </c>
      <c r="I10" s="2">
        <v>0.66500000000000004</v>
      </c>
      <c r="J10" s="1">
        <v>309</v>
      </c>
      <c r="K10" s="3">
        <f>Table14713[[#This Row],[GF]]/Table14713[[#This Row],[GP]]</f>
        <v>3.7682926829268291</v>
      </c>
      <c r="L10" s="1">
        <v>239</v>
      </c>
      <c r="M10" s="1">
        <v>2.91</v>
      </c>
      <c r="N10" s="2">
        <f>(Table14713[[#This Row],[GF]]^2)/((Table14713[[#This Row],[GF]]^2)+(Table14713[[#This Row],[GA]]^2))</f>
        <v>0.62568642612809788</v>
      </c>
      <c r="O10" s="1">
        <v>26.97</v>
      </c>
      <c r="P10" s="1">
        <v>84.09</v>
      </c>
      <c r="Q10" s="1">
        <f>Table14713[[#This Row],[PP_PCT]]+Table14713[[#This Row],[PK_PCT]]</f>
        <v>111.06</v>
      </c>
      <c r="R10" s="3">
        <v>12.4</v>
      </c>
      <c r="S10" s="3">
        <f>Table14713[[#This Row],[GA]]/Table14713[[#This Row],[GP]]</f>
        <v>2.9146341463414633</v>
      </c>
      <c r="T10" s="2">
        <v>0.94</v>
      </c>
      <c r="U10" s="1">
        <v>103</v>
      </c>
      <c r="V10" s="1">
        <v>51.5</v>
      </c>
      <c r="W10" s="1">
        <v>52.1</v>
      </c>
      <c r="X10" s="1">
        <v>190.6</v>
      </c>
      <c r="Y10" s="3">
        <f>Table135814[[#This Row],[XGF]]/Table14713[[#This Row],[GP]]</f>
        <v>2.3243902439024389</v>
      </c>
      <c r="Z10" s="1">
        <v>164.2</v>
      </c>
      <c r="AA10" s="3">
        <f>Table135814[[#This Row],[XGA]]/Table14713[[#This Row],[GP]]</f>
        <v>2.0024390243902439</v>
      </c>
      <c r="AB10" s="1">
        <v>65</v>
      </c>
      <c r="AC10" s="2">
        <f>Table135814[[#This Row],[HDGF]]/Table14713[[#This Row],[GP]]</f>
        <v>0.79268292682926833</v>
      </c>
      <c r="AD10" s="1">
        <v>49</v>
      </c>
      <c r="AE10" s="2">
        <f>Table135814[[#This Row],[HDGA]]/Table14713[[#This Row],[GP]]</f>
        <v>0.59756097560975607</v>
      </c>
      <c r="AF10" s="1">
        <v>7.5</v>
      </c>
    </row>
    <row r="11" spans="1:32" hidden="1" x14ac:dyDescent="0.35">
      <c r="A11" t="s">
        <v>56</v>
      </c>
      <c r="B11">
        <v>10</v>
      </c>
      <c r="C11" t="s">
        <v>66</v>
      </c>
      <c r="D11" s="1">
        <v>1</v>
      </c>
      <c r="E11" s="1">
        <v>28.5</v>
      </c>
      <c r="F11" s="1">
        <v>82</v>
      </c>
      <c r="G11" s="1">
        <v>107</v>
      </c>
      <c r="H11" s="2">
        <f>Table14713[[#This Row],[PTS]]/Table14713[[#This Row],[GP]]</f>
        <v>1.3048780487804879</v>
      </c>
      <c r="I11" s="2">
        <v>0.65200000000000002</v>
      </c>
      <c r="J11" s="1">
        <v>253</v>
      </c>
      <c r="K11" s="3">
        <f>Table14713[[#This Row],[GF]]/Table14713[[#This Row],[GP]]</f>
        <v>3.0853658536585367</v>
      </c>
      <c r="L11" s="1">
        <v>218</v>
      </c>
      <c r="M11" s="1">
        <v>2.66</v>
      </c>
      <c r="N11" s="2">
        <f>(Table14713[[#This Row],[GF]]^2)/((Table14713[[#This Row],[GF]]^2)+(Table14713[[#This Row],[GA]]^2))</f>
        <v>0.5739018945065586</v>
      </c>
      <c r="O11" s="1">
        <v>21.19</v>
      </c>
      <c r="P11" s="1">
        <v>81.3</v>
      </c>
      <c r="Q11" s="1">
        <f>Table14713[[#This Row],[PP_PCT]]+Table14713[[#This Row],[PK_PCT]]</f>
        <v>102.49</v>
      </c>
      <c r="R11" s="3">
        <v>8.5</v>
      </c>
      <c r="S11" s="3">
        <f>Table14713[[#This Row],[GA]]/Table14713[[#This Row],[GP]]</f>
        <v>2.6585365853658538</v>
      </c>
      <c r="T11" s="2">
        <v>0.93400000000000005</v>
      </c>
      <c r="U11" s="1">
        <v>102.3</v>
      </c>
      <c r="V11" s="1">
        <v>47.7</v>
      </c>
      <c r="W11" s="1">
        <v>47.5</v>
      </c>
      <c r="X11" s="1">
        <v>169.7</v>
      </c>
      <c r="Y11" s="3">
        <f>Table135814[[#This Row],[XGF]]/Table14713[[#This Row],[GP]]</f>
        <v>2.0695121951219511</v>
      </c>
      <c r="Z11" s="1">
        <v>163.4</v>
      </c>
      <c r="AA11" s="3">
        <f>Table135814[[#This Row],[XGA]]/Table14713[[#This Row],[GP]]</f>
        <v>1.9926829268292683</v>
      </c>
      <c r="AB11" s="1">
        <v>81</v>
      </c>
      <c r="AC11" s="2">
        <f>Table135814[[#This Row],[HDGF]]/Table14713[[#This Row],[GP]]</f>
        <v>0.98780487804878048</v>
      </c>
      <c r="AD11" s="1">
        <v>76</v>
      </c>
      <c r="AE11" s="2">
        <f>Table135814[[#This Row],[HDGA]]/Table14713[[#This Row],[GP]]</f>
        <v>0.92682926829268297</v>
      </c>
      <c r="AF11" s="1">
        <v>9.9</v>
      </c>
    </row>
    <row r="12" spans="1:32" hidden="1" x14ac:dyDescent="0.35">
      <c r="A12" t="s">
        <v>56</v>
      </c>
      <c r="B12">
        <v>11</v>
      </c>
      <c r="C12" t="s">
        <v>67</v>
      </c>
      <c r="D12" s="1">
        <v>1</v>
      </c>
      <c r="E12" s="1">
        <v>29.1</v>
      </c>
      <c r="F12" s="1">
        <v>82</v>
      </c>
      <c r="G12" s="1">
        <v>104</v>
      </c>
      <c r="H12" s="2">
        <f>Table14713[[#This Row],[PTS]]/Table14713[[#This Row],[GP]]</f>
        <v>1.2682926829268293</v>
      </c>
      <c r="I12" s="2">
        <v>0.63400000000000001</v>
      </c>
      <c r="J12" s="1">
        <v>285</v>
      </c>
      <c r="K12" s="3">
        <f>Table14713[[#This Row],[GF]]/Table14713[[#This Row],[GP]]</f>
        <v>3.475609756097561</v>
      </c>
      <c r="L12" s="1">
        <v>251</v>
      </c>
      <c r="M12" s="1">
        <v>3.06</v>
      </c>
      <c r="N12" s="2">
        <f>(Table14713[[#This Row],[GF]]^2)/((Table14713[[#This Row],[GF]]^2)+(Table14713[[#This Row],[GA]]^2))</f>
        <v>0.56317862243978201</v>
      </c>
      <c r="O12" s="1">
        <v>25.96</v>
      </c>
      <c r="P12" s="1">
        <v>79.37</v>
      </c>
      <c r="Q12" s="1">
        <f>Table14713[[#This Row],[PP_PCT]]+Table14713[[#This Row],[PK_PCT]]</f>
        <v>105.33000000000001</v>
      </c>
      <c r="R12" s="3">
        <v>10.199999999999999</v>
      </c>
      <c r="S12" s="3">
        <f>Table14713[[#This Row],[GA]]/Table14713[[#This Row],[GP]]</f>
        <v>3.0609756097560976</v>
      </c>
      <c r="T12" s="2">
        <v>0.91700000000000004</v>
      </c>
      <c r="U12" s="1">
        <v>99.8</v>
      </c>
      <c r="V12" s="1">
        <v>48.6</v>
      </c>
      <c r="W12" s="1">
        <v>47.5</v>
      </c>
      <c r="X12" s="1">
        <v>128.9</v>
      </c>
      <c r="Y12" s="3">
        <f>Table135814[[#This Row],[XGF]]/Table14713[[#This Row],[GP]]</f>
        <v>1.5719512195121952</v>
      </c>
      <c r="Z12" s="1">
        <v>145.19999999999999</v>
      </c>
      <c r="AA12" s="3">
        <f>Table135814[[#This Row],[XGA]]/Table14713[[#This Row],[GP]]</f>
        <v>1.770731707317073</v>
      </c>
      <c r="AB12" s="1">
        <v>51</v>
      </c>
      <c r="AC12" s="2">
        <f>Table135814[[#This Row],[HDGF]]/Table14713[[#This Row],[GP]]</f>
        <v>0.62195121951219512</v>
      </c>
      <c r="AD12" s="1">
        <v>48</v>
      </c>
      <c r="AE12" s="2">
        <f>Table135814[[#This Row],[HDGA]]/Table14713[[#This Row],[GP]]</f>
        <v>0.58536585365853655</v>
      </c>
      <c r="AF12" s="1">
        <v>8.1</v>
      </c>
    </row>
    <row r="13" spans="1:32" hidden="1" x14ac:dyDescent="0.35">
      <c r="A13" t="s">
        <v>56</v>
      </c>
      <c r="B13">
        <v>12</v>
      </c>
      <c r="C13" t="s">
        <v>68</v>
      </c>
      <c r="D13" s="1">
        <v>1</v>
      </c>
      <c r="E13" s="1">
        <v>29.7</v>
      </c>
      <c r="F13" s="1">
        <v>82</v>
      </c>
      <c r="G13" s="1">
        <v>103</v>
      </c>
      <c r="H13" s="2">
        <f>Table14713[[#This Row],[PTS]]/Table14713[[#This Row],[GP]]</f>
        <v>1.2560975609756098</v>
      </c>
      <c r="I13" s="2">
        <v>0.628</v>
      </c>
      <c r="J13" s="1">
        <v>269</v>
      </c>
      <c r="K13" s="3">
        <f>Table14713[[#This Row],[GF]]/Table14713[[#This Row],[GP]]</f>
        <v>3.2804878048780486</v>
      </c>
      <c r="L13" s="1">
        <v>222</v>
      </c>
      <c r="M13" s="1">
        <v>2.71</v>
      </c>
      <c r="N13" s="2">
        <f>(Table14713[[#This Row],[GF]]^2)/((Table14713[[#This Row],[GF]]^2)+(Table14713[[#This Row],[GA]]^2))</f>
        <v>0.59485387808787871</v>
      </c>
      <c r="O13" s="1">
        <v>20.16</v>
      </c>
      <c r="P13" s="1">
        <v>84.43</v>
      </c>
      <c r="Q13" s="1">
        <f>Table14713[[#This Row],[PP_PCT]]+Table14713[[#This Row],[PK_PCT]]</f>
        <v>104.59</v>
      </c>
      <c r="R13" s="3">
        <v>9.4</v>
      </c>
      <c r="S13" s="3">
        <f>Table14713[[#This Row],[GA]]/Table14713[[#This Row],[GP]]</f>
        <v>2.7073170731707319</v>
      </c>
      <c r="T13" s="2">
        <v>0.91400000000000003</v>
      </c>
      <c r="U13" s="1">
        <v>99</v>
      </c>
      <c r="V13" s="1">
        <v>48.5</v>
      </c>
      <c r="W13" s="1">
        <v>47.5</v>
      </c>
      <c r="X13" s="1">
        <v>158.5</v>
      </c>
      <c r="Y13" s="3">
        <f>Table135814[[#This Row],[XGF]]/Table14713[[#This Row],[GP]]</f>
        <v>1.9329268292682926</v>
      </c>
      <c r="Z13" s="1">
        <v>187</v>
      </c>
      <c r="AA13" s="3">
        <f>Table135814[[#This Row],[XGA]]/Table14713[[#This Row],[GP]]</f>
        <v>2.2804878048780486</v>
      </c>
      <c r="AB13" s="1">
        <v>66</v>
      </c>
      <c r="AC13" s="2">
        <f>Table135814[[#This Row],[HDGF]]/Table14713[[#This Row],[GP]]</f>
        <v>0.80487804878048785</v>
      </c>
      <c r="AD13" s="1">
        <v>82</v>
      </c>
      <c r="AE13" s="2">
        <f>Table135814[[#This Row],[HDGA]]/Table14713[[#This Row],[GP]]</f>
        <v>1</v>
      </c>
      <c r="AF13" s="1">
        <v>6.9</v>
      </c>
    </row>
    <row r="14" spans="1:32" hidden="1" x14ac:dyDescent="0.35">
      <c r="A14" t="s">
        <v>56</v>
      </c>
      <c r="B14">
        <v>13</v>
      </c>
      <c r="C14" t="s">
        <v>69</v>
      </c>
      <c r="D14" s="1">
        <v>1</v>
      </c>
      <c r="E14" s="1">
        <v>29.5</v>
      </c>
      <c r="F14" s="1">
        <v>82</v>
      </c>
      <c r="G14" s="1">
        <v>100</v>
      </c>
      <c r="H14" s="2">
        <f>Table14713[[#This Row],[PTS]]/Table14713[[#This Row],[GP]]</f>
        <v>1.2195121951219512</v>
      </c>
      <c r="I14" s="2">
        <v>0.61</v>
      </c>
      <c r="J14" s="1">
        <v>270</v>
      </c>
      <c r="K14" s="3">
        <f>Table14713[[#This Row],[GF]]/Table14713[[#This Row],[GP]]</f>
        <v>3.2926829268292681</v>
      </c>
      <c r="L14" s="1">
        <v>242</v>
      </c>
      <c r="M14" s="1">
        <v>2.95</v>
      </c>
      <c r="N14" s="2">
        <f>(Table14713[[#This Row],[GF]]^2)/((Table14713[[#This Row],[GF]]^2)+(Table14713[[#This Row],[GA]]^2))</f>
        <v>0.55452443254427064</v>
      </c>
      <c r="O14" s="1">
        <v>18.75</v>
      </c>
      <c r="P14" s="1">
        <v>80.44</v>
      </c>
      <c r="Q14" s="1">
        <f>Table14713[[#This Row],[PP_PCT]]+Table14713[[#This Row],[PK_PCT]]</f>
        <v>99.19</v>
      </c>
      <c r="R14" s="3">
        <v>10.5</v>
      </c>
      <c r="S14" s="3">
        <f>Table14713[[#This Row],[GA]]/Table14713[[#This Row],[GP]]</f>
        <v>2.9512195121951219</v>
      </c>
      <c r="T14" s="2">
        <v>0.91100000000000003</v>
      </c>
      <c r="U14" s="1">
        <v>99.8</v>
      </c>
      <c r="V14" s="1">
        <v>51.4</v>
      </c>
      <c r="W14" s="1">
        <v>50.3</v>
      </c>
      <c r="X14" s="1">
        <v>194.1</v>
      </c>
      <c r="Y14" s="3">
        <f>Table135814[[#This Row],[XGF]]/Table14713[[#This Row],[GP]]</f>
        <v>2.3670731707317074</v>
      </c>
      <c r="Z14" s="1">
        <v>207</v>
      </c>
      <c r="AA14" s="3">
        <f>Table135814[[#This Row],[XGA]]/Table14713[[#This Row],[GP]]</f>
        <v>2.524390243902439</v>
      </c>
      <c r="AB14" s="1">
        <v>65</v>
      </c>
      <c r="AC14" s="2">
        <f>Table135814[[#This Row],[HDGF]]/Table14713[[#This Row],[GP]]</f>
        <v>0.79268292682926833</v>
      </c>
      <c r="AD14" s="1">
        <v>81</v>
      </c>
      <c r="AE14" s="2">
        <f>Table135814[[#This Row],[HDGA]]/Table14713[[#This Row],[GP]]</f>
        <v>0.98780487804878048</v>
      </c>
      <c r="AF14" s="1">
        <v>7.7</v>
      </c>
    </row>
    <row r="15" spans="1:32" hidden="1" x14ac:dyDescent="0.35">
      <c r="A15" t="s">
        <v>56</v>
      </c>
      <c r="B15">
        <v>14</v>
      </c>
      <c r="C15" t="s">
        <v>70</v>
      </c>
      <c r="D15" s="1">
        <v>1</v>
      </c>
      <c r="E15" s="1">
        <v>28</v>
      </c>
      <c r="F15" s="1">
        <v>82</v>
      </c>
      <c r="G15" s="1">
        <v>99</v>
      </c>
      <c r="H15" s="2">
        <f>Table14713[[#This Row],[PTS]]/Table14713[[#This Row],[GP]]</f>
        <v>1.2073170731707317</v>
      </c>
      <c r="I15" s="2">
        <v>0.60399999999999998</v>
      </c>
      <c r="J15" s="1">
        <v>235</v>
      </c>
      <c r="K15" s="3">
        <f>Table14713[[#This Row],[GF]]/Table14713[[#This Row],[GP]]</f>
        <v>2.8658536585365852</v>
      </c>
      <c r="L15" s="1">
        <v>232</v>
      </c>
      <c r="M15" s="1">
        <v>2.83</v>
      </c>
      <c r="N15" s="2">
        <f>(Table14713[[#This Row],[GF]]^2)/((Table14713[[#This Row],[GF]]^2)+(Table14713[[#This Row],[GA]]^2))</f>
        <v>0.50642371777824646</v>
      </c>
      <c r="O15" s="1">
        <v>16.13</v>
      </c>
      <c r="P15" s="1">
        <v>76.650000000000006</v>
      </c>
      <c r="Q15" s="1">
        <f>Table14713[[#This Row],[PP_PCT]]+Table14713[[#This Row],[PK_PCT]]</f>
        <v>92.78</v>
      </c>
      <c r="R15" s="3">
        <v>8.1999999999999993</v>
      </c>
      <c r="S15" s="3">
        <f>Table14713[[#This Row],[GA]]/Table14713[[#This Row],[GP]]</f>
        <v>2.8292682926829267</v>
      </c>
      <c r="T15" s="2">
        <v>0.92</v>
      </c>
      <c r="U15" s="1">
        <v>100.1</v>
      </c>
      <c r="V15" s="1">
        <v>51.2</v>
      </c>
      <c r="W15" s="1">
        <v>50.6</v>
      </c>
      <c r="X15" s="1">
        <v>168</v>
      </c>
      <c r="Y15" s="3">
        <f>Table135814[[#This Row],[XGF]]/Table14713[[#This Row],[GP]]</f>
        <v>2.0487804878048781</v>
      </c>
      <c r="Z15" s="1">
        <v>172.8</v>
      </c>
      <c r="AA15" s="3">
        <f>Table135814[[#This Row],[XGA]]/Table14713[[#This Row],[GP]]</f>
        <v>2.1073170731707318</v>
      </c>
      <c r="AB15" s="1">
        <v>57</v>
      </c>
      <c r="AC15" s="2">
        <f>Table135814[[#This Row],[HDGF]]/Table14713[[#This Row],[GP]]</f>
        <v>0.69512195121951215</v>
      </c>
      <c r="AD15" s="1">
        <v>63</v>
      </c>
      <c r="AE15" s="2">
        <f>Table135814[[#This Row],[HDGA]]/Table14713[[#This Row],[GP]]</f>
        <v>0.76829268292682928</v>
      </c>
      <c r="AF15" s="1">
        <v>7.7</v>
      </c>
    </row>
    <row r="16" spans="1:32" hidden="1" x14ac:dyDescent="0.35">
      <c r="A16" t="s">
        <v>56</v>
      </c>
      <c r="B16">
        <v>15</v>
      </c>
      <c r="C16" t="s">
        <v>71</v>
      </c>
      <c r="D16" s="1">
        <v>1</v>
      </c>
      <c r="E16" s="1">
        <v>29.4</v>
      </c>
      <c r="F16" s="1">
        <v>82</v>
      </c>
      <c r="G16" s="1">
        <v>98</v>
      </c>
      <c r="H16" s="2">
        <f>Table14713[[#This Row],[PTS]]/Table14713[[#This Row],[GP]]</f>
        <v>1.1951219512195121</v>
      </c>
      <c r="I16" s="2">
        <v>0.59799999999999998</v>
      </c>
      <c r="J16" s="1">
        <v>233</v>
      </c>
      <c r="K16" s="3">
        <f>Table14713[[#This Row],[GF]]/Table14713[[#This Row],[GP]]</f>
        <v>2.8414634146341462</v>
      </c>
      <c r="L16" s="1">
        <v>244</v>
      </c>
      <c r="M16" s="1">
        <v>2.98</v>
      </c>
      <c r="N16" s="2">
        <f>(Table14713[[#This Row],[GF]]^2)/((Table14713[[#This Row],[GF]]^2)+(Table14713[[#This Row],[GA]]^2))</f>
        <v>0.47695146057544474</v>
      </c>
      <c r="O16" s="1">
        <v>22.41</v>
      </c>
      <c r="P16" s="1">
        <v>79</v>
      </c>
      <c r="Q16" s="1">
        <f>Table14713[[#This Row],[PP_PCT]]+Table14713[[#This Row],[PK_PCT]]</f>
        <v>101.41</v>
      </c>
      <c r="R16" s="3">
        <v>9.4</v>
      </c>
      <c r="S16" s="3">
        <f>Table14713[[#This Row],[GA]]/Table14713[[#This Row],[GP]]</f>
        <v>2.975609756097561</v>
      </c>
      <c r="T16" s="2">
        <v>0.90900000000000003</v>
      </c>
      <c r="U16" s="1">
        <v>100.5</v>
      </c>
      <c r="V16" s="1">
        <v>50.8</v>
      </c>
      <c r="W16" s="1">
        <v>49.8</v>
      </c>
      <c r="X16" s="1">
        <v>134.80000000000001</v>
      </c>
      <c r="Y16" s="3">
        <f>Table135814[[#This Row],[XGF]]/Table14713[[#This Row],[GP]]</f>
        <v>1.6439024390243904</v>
      </c>
      <c r="Z16" s="1">
        <v>154.1</v>
      </c>
      <c r="AA16" s="3">
        <f>Table135814[[#This Row],[XGA]]/Table14713[[#This Row],[GP]]</f>
        <v>1.8792682926829267</v>
      </c>
      <c r="AB16" s="1">
        <v>46</v>
      </c>
      <c r="AC16" s="2">
        <f>Table135814[[#This Row],[HDGF]]/Table14713[[#This Row],[GP]]</f>
        <v>0.56097560975609762</v>
      </c>
      <c r="AD16" s="1">
        <v>67</v>
      </c>
      <c r="AE16" s="2">
        <f>Table135814[[#This Row],[HDGA]]/Table14713[[#This Row],[GP]]</f>
        <v>0.81707317073170727</v>
      </c>
      <c r="AF16" s="1">
        <v>6.7</v>
      </c>
    </row>
    <row r="17" spans="1:32" hidden="1" x14ac:dyDescent="0.35">
      <c r="A17" t="s">
        <v>56</v>
      </c>
      <c r="B17">
        <v>16</v>
      </c>
      <c r="C17" t="s">
        <v>72</v>
      </c>
      <c r="D17" s="1">
        <v>1</v>
      </c>
      <c r="E17" s="1">
        <v>27.7</v>
      </c>
      <c r="F17" s="1">
        <v>82</v>
      </c>
      <c r="G17" s="1">
        <v>97</v>
      </c>
      <c r="H17" s="2">
        <f>Table14713[[#This Row],[PTS]]/Table14713[[#This Row],[GP]]</f>
        <v>1.1829268292682926</v>
      </c>
      <c r="I17" s="2">
        <v>0.59099999999999997</v>
      </c>
      <c r="J17" s="1">
        <v>262</v>
      </c>
      <c r="K17" s="3">
        <f>Table14713[[#This Row],[GF]]/Table14713[[#This Row],[GP]]</f>
        <v>3.1951219512195124</v>
      </c>
      <c r="L17" s="1">
        <v>250</v>
      </c>
      <c r="M17" s="1">
        <v>3.05</v>
      </c>
      <c r="N17" s="2">
        <f>(Table14713[[#This Row],[GF]]^2)/((Table14713[[#This Row],[GF]]^2)+(Table14713[[#This Row],[GA]]^2))</f>
        <v>0.52342463246507653</v>
      </c>
      <c r="O17" s="1">
        <v>24.42</v>
      </c>
      <c r="P17" s="1">
        <v>79.23</v>
      </c>
      <c r="Q17" s="1">
        <f>Table14713[[#This Row],[PP_PCT]]+Table14713[[#This Row],[PK_PCT]]</f>
        <v>103.65</v>
      </c>
      <c r="R17" s="3">
        <v>10.7</v>
      </c>
      <c r="S17" s="3">
        <f>Table14713[[#This Row],[GA]]/Table14713[[#This Row],[GP]]</f>
        <v>3.0487804878048781</v>
      </c>
      <c r="T17" s="2">
        <v>0.92900000000000005</v>
      </c>
      <c r="U17" s="1">
        <v>100.9</v>
      </c>
      <c r="V17" s="1">
        <v>55.7</v>
      </c>
      <c r="W17" s="1">
        <v>55.4</v>
      </c>
      <c r="X17" s="1">
        <v>199.1</v>
      </c>
      <c r="Y17" s="3">
        <f>Table135814[[#This Row],[XGF]]/Table14713[[#This Row],[GP]]</f>
        <v>2.4280487804878046</v>
      </c>
      <c r="Z17" s="1">
        <v>157</v>
      </c>
      <c r="AA17" s="3">
        <f>Table135814[[#This Row],[XGA]]/Table14713[[#This Row],[GP]]</f>
        <v>1.9146341463414633</v>
      </c>
      <c r="AB17" s="1">
        <v>66</v>
      </c>
      <c r="AC17" s="2">
        <f>Table135814[[#This Row],[HDGF]]/Table14713[[#This Row],[GP]]</f>
        <v>0.80487804878048785</v>
      </c>
      <c r="AD17" s="1">
        <v>54</v>
      </c>
      <c r="AE17" s="2">
        <f>Table135814[[#This Row],[HDGA]]/Table14713[[#This Row],[GP]]</f>
        <v>0.65853658536585369</v>
      </c>
      <c r="AF17" s="1">
        <v>12.6</v>
      </c>
    </row>
    <row r="18" spans="1:32" hidden="1" x14ac:dyDescent="0.35">
      <c r="A18" t="s">
        <v>56</v>
      </c>
      <c r="B18">
        <v>17</v>
      </c>
      <c r="C18" t="s">
        <v>73</v>
      </c>
      <c r="D18" s="1">
        <v>0</v>
      </c>
      <c r="E18" s="1">
        <v>28.5</v>
      </c>
      <c r="F18" s="1">
        <v>82</v>
      </c>
      <c r="G18" s="1">
        <v>94</v>
      </c>
      <c r="H18" s="2">
        <f>Table14713[[#This Row],[PTS]]/Table14713[[#This Row],[GP]]</f>
        <v>1.1463414634146341</v>
      </c>
      <c r="I18" s="2">
        <v>0.57299999999999995</v>
      </c>
      <c r="J18" s="1">
        <v>262</v>
      </c>
      <c r="K18" s="3">
        <f>Table14713[[#This Row],[GF]]/Table14713[[#This Row],[GP]]</f>
        <v>3.1951219512195124</v>
      </c>
      <c r="L18" s="1">
        <v>244</v>
      </c>
      <c r="M18" s="1">
        <v>2.98</v>
      </c>
      <c r="N18" s="2">
        <f>(Table14713[[#This Row],[GF]]^2)/((Table14713[[#This Row],[GF]]^2)+(Table14713[[#This Row],[GA]]^2))</f>
        <v>0.53552816352004995</v>
      </c>
      <c r="O18" s="1">
        <v>18.399999999999999</v>
      </c>
      <c r="P18" s="1">
        <v>77.400000000000006</v>
      </c>
      <c r="Q18" s="1">
        <f>Table14713[[#This Row],[PP_PCT]]+Table14713[[#This Row],[PK_PCT]]</f>
        <v>95.800000000000011</v>
      </c>
      <c r="R18" s="3">
        <v>9.3000000000000007</v>
      </c>
      <c r="S18" s="3">
        <f>Table14713[[#This Row],[GA]]/Table14713[[#This Row],[GP]]</f>
        <v>2.975609756097561</v>
      </c>
      <c r="T18" s="2">
        <v>0.90900000000000003</v>
      </c>
      <c r="U18" s="1">
        <v>98.4</v>
      </c>
      <c r="V18" s="1">
        <v>57.2</v>
      </c>
      <c r="W18" s="1">
        <v>56.8</v>
      </c>
      <c r="X18" s="1">
        <v>196</v>
      </c>
      <c r="Y18" s="3">
        <f>Table135814[[#This Row],[XGF]]/Table14713[[#This Row],[GP]]</f>
        <v>2.3902439024390243</v>
      </c>
      <c r="Z18" s="1">
        <v>161.30000000000001</v>
      </c>
      <c r="AA18" s="3">
        <f>Table135814[[#This Row],[XGA]]/Table14713[[#This Row],[GP]]</f>
        <v>1.9670731707317075</v>
      </c>
      <c r="AB18" s="1">
        <v>79</v>
      </c>
      <c r="AC18" s="2">
        <f>Table135814[[#This Row],[HDGF]]/Table14713[[#This Row],[GP]]</f>
        <v>0.96341463414634143</v>
      </c>
      <c r="AD18" s="1">
        <v>74</v>
      </c>
      <c r="AE18" s="2">
        <f>Table135814[[#This Row],[HDGA]]/Table14713[[#This Row],[GP]]</f>
        <v>0.90243902439024393</v>
      </c>
      <c r="AF18" s="1">
        <v>7.6</v>
      </c>
    </row>
    <row r="19" spans="1:32" hidden="1" x14ac:dyDescent="0.35">
      <c r="A19" t="s">
        <v>56</v>
      </c>
      <c r="B19">
        <v>18</v>
      </c>
      <c r="C19" t="s">
        <v>74</v>
      </c>
      <c r="D19" s="1">
        <v>0</v>
      </c>
      <c r="E19" s="1">
        <v>27.7</v>
      </c>
      <c r="F19" s="1">
        <v>82</v>
      </c>
      <c r="G19" s="1">
        <v>92</v>
      </c>
      <c r="H19" s="2">
        <f>Table14713[[#This Row],[PTS]]/Table14713[[#This Row],[GP]]</f>
        <v>1.1219512195121952</v>
      </c>
      <c r="I19" s="2">
        <v>0.56100000000000005</v>
      </c>
      <c r="J19" s="1">
        <v>246</v>
      </c>
      <c r="K19" s="3">
        <f>Table14713[[#This Row],[GF]]/Table14713[[#This Row],[GP]]</f>
        <v>3</v>
      </c>
      <c r="L19" s="1">
        <v>231</v>
      </c>
      <c r="M19" s="1">
        <v>2.82</v>
      </c>
      <c r="N19" s="2">
        <f>(Table14713[[#This Row],[GF]]^2)/((Table14713[[#This Row],[GF]]^2)+(Table14713[[#This Row],[GA]]^2))</f>
        <v>0.53141547459100613</v>
      </c>
      <c r="O19" s="1">
        <v>23.48</v>
      </c>
      <c r="P19" s="1">
        <v>74.89</v>
      </c>
      <c r="Q19" s="1">
        <f>Table14713[[#This Row],[PP_PCT]]+Table14713[[#This Row],[PK_PCT]]</f>
        <v>98.37</v>
      </c>
      <c r="R19" s="3">
        <v>9.4</v>
      </c>
      <c r="S19" s="3">
        <f>Table14713[[#This Row],[GA]]/Table14713[[#This Row],[GP]]</f>
        <v>2.8170731707317072</v>
      </c>
      <c r="T19" s="2">
        <v>0.91300000000000003</v>
      </c>
      <c r="U19" s="1">
        <v>99</v>
      </c>
      <c r="V19" s="1">
        <v>51.7</v>
      </c>
      <c r="W19" s="1">
        <v>51.6</v>
      </c>
      <c r="X19" s="1">
        <v>170.3</v>
      </c>
      <c r="Y19" s="3">
        <f>Table135814[[#This Row],[XGF]]/Table14713[[#This Row],[GP]]</f>
        <v>2.0768292682926832</v>
      </c>
      <c r="Z19" s="1">
        <v>172.5</v>
      </c>
      <c r="AA19" s="3">
        <f>Table135814[[#This Row],[XGA]]/Table14713[[#This Row],[GP]]</f>
        <v>2.1036585365853657</v>
      </c>
      <c r="AB19" s="1">
        <v>63</v>
      </c>
      <c r="AC19" s="2">
        <f>Table135814[[#This Row],[HDGF]]/Table14713[[#This Row],[GP]]</f>
        <v>0.76829268292682928</v>
      </c>
      <c r="AD19" s="1">
        <v>61</v>
      </c>
      <c r="AE19" s="2">
        <f>Table135814[[#This Row],[HDGA]]/Table14713[[#This Row],[GP]]</f>
        <v>0.74390243902439024</v>
      </c>
      <c r="AF19" s="1">
        <v>8</v>
      </c>
    </row>
    <row r="20" spans="1:32" hidden="1" x14ac:dyDescent="0.35">
      <c r="A20" t="s">
        <v>56</v>
      </c>
      <c r="B20">
        <v>19</v>
      </c>
      <c r="C20" t="s">
        <v>75</v>
      </c>
      <c r="D20" s="1">
        <v>0</v>
      </c>
      <c r="E20" s="1">
        <v>28.2</v>
      </c>
      <c r="F20" s="1">
        <v>82</v>
      </c>
      <c r="G20" s="1">
        <v>89</v>
      </c>
      <c r="H20" s="2">
        <f>Table14713[[#This Row],[PTS]]/Table14713[[#This Row],[GP]]</f>
        <v>1.0853658536585367</v>
      </c>
      <c r="I20" s="2">
        <v>0.54300000000000004</v>
      </c>
      <c r="J20" s="1">
        <v>250</v>
      </c>
      <c r="K20" s="3">
        <f>Table14713[[#This Row],[GF]]/Table14713[[#This Row],[GP]]</f>
        <v>3.0487804878048781</v>
      </c>
      <c r="L20" s="1">
        <v>253</v>
      </c>
      <c r="M20" s="1">
        <v>3.09</v>
      </c>
      <c r="N20" s="2">
        <f>(Table14713[[#This Row],[GF]]^2)/((Table14713[[#This Row],[GF]]^2)+(Table14713[[#This Row],[GA]]^2))</f>
        <v>0.49403599743891741</v>
      </c>
      <c r="O20" s="1">
        <v>21.05</v>
      </c>
      <c r="P20" s="1">
        <v>75</v>
      </c>
      <c r="Q20" s="1">
        <f>Table14713[[#This Row],[PP_PCT]]+Table14713[[#This Row],[PK_PCT]]</f>
        <v>96.05</v>
      </c>
      <c r="R20" s="3">
        <v>9.5</v>
      </c>
      <c r="S20" s="3">
        <f>Table14713[[#This Row],[GA]]/Table14713[[#This Row],[GP]]</f>
        <v>3.0853658536585367</v>
      </c>
      <c r="T20" s="2">
        <v>0.92900000000000005</v>
      </c>
      <c r="U20" s="1">
        <v>99.3</v>
      </c>
      <c r="V20" s="1">
        <v>52.3</v>
      </c>
      <c r="W20" s="1">
        <v>51.3</v>
      </c>
      <c r="X20" s="1">
        <v>137.30000000000001</v>
      </c>
      <c r="Y20" s="3">
        <f>Table135814[[#This Row],[XGF]]/Table14713[[#This Row],[GP]]</f>
        <v>1.6743902439024392</v>
      </c>
      <c r="Z20" s="1">
        <v>146.5</v>
      </c>
      <c r="AA20" s="3">
        <f>Table135814[[#This Row],[XGA]]/Table14713[[#This Row],[GP]]</f>
        <v>1.7865853658536586</v>
      </c>
      <c r="AB20" s="1">
        <v>44</v>
      </c>
      <c r="AC20" s="2">
        <f>Table135814[[#This Row],[HDGF]]/Table14713[[#This Row],[GP]]</f>
        <v>0.53658536585365857</v>
      </c>
      <c r="AD20" s="1">
        <v>52</v>
      </c>
      <c r="AE20" s="2">
        <f>Table135814[[#This Row],[HDGA]]/Table14713[[#This Row],[GP]]</f>
        <v>0.63414634146341464</v>
      </c>
      <c r="AF20" s="1">
        <v>8.8000000000000007</v>
      </c>
    </row>
    <row r="21" spans="1:32" hidden="1" x14ac:dyDescent="0.35">
      <c r="A21" t="s">
        <v>56</v>
      </c>
      <c r="B21">
        <v>20</v>
      </c>
      <c r="C21" t="s">
        <v>76</v>
      </c>
      <c r="D21" s="1">
        <v>0</v>
      </c>
      <c r="E21" s="1">
        <v>30.1</v>
      </c>
      <c r="F21" s="1">
        <v>82</v>
      </c>
      <c r="G21" s="1">
        <v>84</v>
      </c>
      <c r="H21" s="2">
        <f>Table14713[[#This Row],[PTS]]/Table14713[[#This Row],[GP]]</f>
        <v>1.024390243902439</v>
      </c>
      <c r="I21" s="2">
        <v>0.51200000000000001</v>
      </c>
      <c r="J21" s="1">
        <v>229</v>
      </c>
      <c r="K21" s="3">
        <f>Table14713[[#This Row],[GF]]/Table14713[[#This Row],[GP]]</f>
        <v>2.7926829268292681</v>
      </c>
      <c r="L21" s="1">
        <v>231</v>
      </c>
      <c r="M21" s="1">
        <v>2.82</v>
      </c>
      <c r="N21" s="2">
        <f>(Table14713[[#This Row],[GF]]^2)/((Table14713[[#This Row],[GF]]^2)+(Table14713[[#This Row],[GA]]^2))</f>
        <v>0.49565225610101887</v>
      </c>
      <c r="O21" s="1">
        <v>22.12</v>
      </c>
      <c r="P21" s="1">
        <v>84.19</v>
      </c>
      <c r="Q21" s="1">
        <f>Table14713[[#This Row],[PP_PCT]]+Table14713[[#This Row],[PK_PCT]]</f>
        <v>106.31</v>
      </c>
      <c r="R21" s="3">
        <v>9.6999999999999993</v>
      </c>
      <c r="S21" s="3">
        <f>Table14713[[#This Row],[GA]]/Table14713[[#This Row],[GP]]</f>
        <v>2.8170731707317072</v>
      </c>
      <c r="T21" s="2">
        <v>0.92700000000000005</v>
      </c>
      <c r="U21" s="1">
        <v>100.8</v>
      </c>
      <c r="V21" s="1">
        <v>56.3</v>
      </c>
      <c r="W21" s="1">
        <v>55.9</v>
      </c>
      <c r="X21" s="1">
        <v>187.4</v>
      </c>
      <c r="Y21" s="3">
        <f>Table135814[[#This Row],[XGF]]/Table14713[[#This Row],[GP]]</f>
        <v>2.2853658536585368</v>
      </c>
      <c r="Z21" s="1">
        <v>163.69999999999999</v>
      </c>
      <c r="AA21" s="3">
        <f>Table135814[[#This Row],[XGA]]/Table14713[[#This Row],[GP]]</f>
        <v>1.9963414634146339</v>
      </c>
      <c r="AB21" s="1">
        <v>90</v>
      </c>
      <c r="AC21" s="2">
        <f>Table135814[[#This Row],[HDGF]]/Table14713[[#This Row],[GP]]</f>
        <v>1.0975609756097562</v>
      </c>
      <c r="AD21" s="1">
        <v>66</v>
      </c>
      <c r="AE21" s="2">
        <f>Table135814[[#This Row],[HDGA]]/Table14713[[#This Row],[GP]]</f>
        <v>0.80487804878048785</v>
      </c>
      <c r="AF21" s="1">
        <v>8.9</v>
      </c>
    </row>
    <row r="22" spans="1:32" hidden="1" x14ac:dyDescent="0.35">
      <c r="A22" t="s">
        <v>56</v>
      </c>
      <c r="B22">
        <v>21</v>
      </c>
      <c r="C22" t="s">
        <v>77</v>
      </c>
      <c r="D22" s="1">
        <v>0</v>
      </c>
      <c r="E22" s="1">
        <v>26.6</v>
      </c>
      <c r="F22" s="1">
        <v>82</v>
      </c>
      <c r="G22" s="1">
        <v>81</v>
      </c>
      <c r="H22" s="2">
        <f>Table14713[[#This Row],[PTS]]/Table14713[[#This Row],[GP]]</f>
        <v>0.98780487804878048</v>
      </c>
      <c r="I22" s="2">
        <v>0.49399999999999999</v>
      </c>
      <c r="J22" s="1">
        <v>258</v>
      </c>
      <c r="K22" s="3">
        <f>Table14713[[#This Row],[GF]]/Table14713[[#This Row],[GP]]</f>
        <v>3.1463414634146343</v>
      </c>
      <c r="L22" s="1">
        <v>297</v>
      </c>
      <c r="M22" s="1">
        <v>3.62</v>
      </c>
      <c r="N22" s="2">
        <f>(Table14713[[#This Row],[GF]]^2)/((Table14713[[#This Row],[GF]]^2)+(Table14713[[#This Row],[GA]]^2))</f>
        <v>0.4300750130836774</v>
      </c>
      <c r="O22" s="1">
        <v>18.64</v>
      </c>
      <c r="P22" s="1">
        <v>78.569999999999993</v>
      </c>
      <c r="Q22" s="1">
        <f>Table14713[[#This Row],[PP_PCT]]+Table14713[[#This Row],[PK_PCT]]</f>
        <v>97.21</v>
      </c>
      <c r="R22" s="3">
        <v>10.5</v>
      </c>
      <c r="S22" s="3">
        <f>Table14713[[#This Row],[GA]]/Table14713[[#This Row],[GP]]</f>
        <v>3.6219512195121952</v>
      </c>
      <c r="T22" s="2">
        <v>0.92</v>
      </c>
      <c r="U22" s="1">
        <v>99.3</v>
      </c>
      <c r="V22" s="1">
        <v>60.2</v>
      </c>
      <c r="W22" s="1">
        <v>59.7</v>
      </c>
      <c r="X22" s="1">
        <v>196.3</v>
      </c>
      <c r="Y22" s="3">
        <f>Table135814[[#This Row],[XGF]]/Table14713[[#This Row],[GP]]</f>
        <v>2.3939024390243904</v>
      </c>
      <c r="Z22" s="1">
        <v>148.6</v>
      </c>
      <c r="AA22" s="3">
        <f>Table135814[[#This Row],[XGA]]/Table14713[[#This Row],[GP]]</f>
        <v>1.8121951219512193</v>
      </c>
      <c r="AB22" s="1">
        <v>72</v>
      </c>
      <c r="AC22" s="2">
        <f>Table135814[[#This Row],[HDGF]]/Table14713[[#This Row],[GP]]</f>
        <v>0.87804878048780488</v>
      </c>
      <c r="AD22" s="1">
        <v>39</v>
      </c>
      <c r="AE22" s="2">
        <f>Table135814[[#This Row],[HDGA]]/Table14713[[#This Row],[GP]]</f>
        <v>0.47560975609756095</v>
      </c>
      <c r="AF22" s="1">
        <v>7.7</v>
      </c>
    </row>
    <row r="23" spans="1:32" hidden="1" x14ac:dyDescent="0.35">
      <c r="A23" t="s">
        <v>56</v>
      </c>
      <c r="B23">
        <v>22</v>
      </c>
      <c r="C23" t="s">
        <v>78</v>
      </c>
      <c r="D23" s="1">
        <v>0</v>
      </c>
      <c r="E23" s="1">
        <v>29</v>
      </c>
      <c r="F23" s="1">
        <v>82</v>
      </c>
      <c r="G23" s="1">
        <v>77</v>
      </c>
      <c r="H23" s="2">
        <f>Table14713[[#This Row],[PTS]]/Table14713[[#This Row],[GP]]</f>
        <v>0.93902439024390238</v>
      </c>
      <c r="I23" s="2">
        <v>0.47</v>
      </c>
      <c r="J23" s="1">
        <v>211</v>
      </c>
      <c r="K23" s="3">
        <f>Table14713[[#This Row],[GF]]/Table14713[[#This Row],[GP]]</f>
        <v>2.5731707317073171</v>
      </c>
      <c r="L23" s="1">
        <v>261</v>
      </c>
      <c r="M23" s="1">
        <v>3.18</v>
      </c>
      <c r="N23" s="2">
        <f>(Table14713[[#This Row],[GF]]^2)/((Table14713[[#This Row],[GF]]^2)+(Table14713[[#This Row],[GA]]^2))</f>
        <v>0.39524333729869854</v>
      </c>
      <c r="O23" s="1">
        <v>18.98</v>
      </c>
      <c r="P23" s="1">
        <v>85.2</v>
      </c>
      <c r="Q23" s="1">
        <f>Table14713[[#This Row],[PP_PCT]]+Table14713[[#This Row],[PK_PCT]]</f>
        <v>104.18</v>
      </c>
      <c r="R23" s="3">
        <v>8.8000000000000007</v>
      </c>
      <c r="S23" s="3">
        <f>Table14713[[#This Row],[GA]]/Table14713[[#This Row],[GP]]</f>
        <v>3.1829268292682928</v>
      </c>
      <c r="T23" s="2">
        <v>0.91900000000000004</v>
      </c>
      <c r="U23" s="1">
        <v>99.3</v>
      </c>
      <c r="V23" s="1">
        <v>60.1</v>
      </c>
      <c r="W23" s="1">
        <v>58.5</v>
      </c>
      <c r="X23" s="1">
        <v>172.8</v>
      </c>
      <c r="Y23" s="3">
        <f>Table135814[[#This Row],[XGF]]/Table14713[[#This Row],[GP]]</f>
        <v>2.1073170731707318</v>
      </c>
      <c r="Z23" s="1">
        <v>151.5</v>
      </c>
      <c r="AA23" s="3">
        <f>Table135814[[#This Row],[XGA]]/Table14713[[#This Row],[GP]]</f>
        <v>1.8475609756097562</v>
      </c>
      <c r="AB23" s="1">
        <v>61</v>
      </c>
      <c r="AC23" s="2">
        <f>Table135814[[#This Row],[HDGF]]/Table14713[[#This Row],[GP]]</f>
        <v>0.74390243902439024</v>
      </c>
      <c r="AD23" s="1">
        <v>58</v>
      </c>
      <c r="AE23" s="2">
        <f>Table135814[[#This Row],[HDGA]]/Table14713[[#This Row],[GP]]</f>
        <v>0.70731707317073167</v>
      </c>
      <c r="AF23" s="1">
        <v>8.8000000000000007</v>
      </c>
    </row>
    <row r="24" spans="1:32" hidden="1" x14ac:dyDescent="0.35">
      <c r="A24" t="s">
        <v>56</v>
      </c>
      <c r="B24">
        <v>23</v>
      </c>
      <c r="C24" t="s">
        <v>79</v>
      </c>
      <c r="D24" s="1">
        <v>0</v>
      </c>
      <c r="E24" s="1">
        <v>27.9</v>
      </c>
      <c r="F24" s="1">
        <v>82</v>
      </c>
      <c r="G24" s="1">
        <v>76</v>
      </c>
      <c r="H24" s="2">
        <f>Table14713[[#This Row],[PTS]]/Table14713[[#This Row],[GP]]</f>
        <v>0.92682926829268297</v>
      </c>
      <c r="I24" s="2">
        <v>0.46300000000000002</v>
      </c>
      <c r="J24" s="1">
        <v>228</v>
      </c>
      <c r="K24" s="3">
        <f>Table14713[[#This Row],[GF]]/Table14713[[#This Row],[GP]]</f>
        <v>2.7804878048780486</v>
      </c>
      <c r="L24" s="1">
        <v>266</v>
      </c>
      <c r="M24" s="1">
        <v>3.24</v>
      </c>
      <c r="N24" s="2">
        <f>(Table14713[[#This Row],[GF]]^2)/((Table14713[[#This Row],[GF]]^2)+(Table14713[[#This Row],[GA]]^2))</f>
        <v>0.42352941176470588</v>
      </c>
      <c r="O24" s="1">
        <v>21.92</v>
      </c>
      <c r="P24" s="1">
        <v>80.8</v>
      </c>
      <c r="Q24" s="1">
        <f>Table14713[[#This Row],[PP_PCT]]+Table14713[[#This Row],[PK_PCT]]</f>
        <v>102.72</v>
      </c>
      <c r="R24" s="3">
        <v>9.5</v>
      </c>
      <c r="S24" s="3">
        <f>Table14713[[#This Row],[GA]]/Table14713[[#This Row],[GP]]</f>
        <v>3.2439024390243905</v>
      </c>
      <c r="T24" s="2">
        <v>0.91</v>
      </c>
      <c r="U24" s="1">
        <v>98.9</v>
      </c>
      <c r="V24" s="1">
        <v>59.8</v>
      </c>
      <c r="W24" s="1">
        <v>58.1</v>
      </c>
      <c r="X24" s="1">
        <v>160.30000000000001</v>
      </c>
      <c r="Y24" s="3">
        <f>Table135814[[#This Row],[XGF]]/Table14713[[#This Row],[GP]]</f>
        <v>1.954878048780488</v>
      </c>
      <c r="Z24" s="1">
        <v>136.5</v>
      </c>
      <c r="AA24" s="3">
        <f>Table135814[[#This Row],[XGA]]/Table14713[[#This Row],[GP]]</f>
        <v>1.6646341463414633</v>
      </c>
      <c r="AB24" s="1">
        <v>49</v>
      </c>
      <c r="AC24" s="2">
        <f>Table135814[[#This Row],[HDGF]]/Table14713[[#This Row],[GP]]</f>
        <v>0.59756097560975607</v>
      </c>
      <c r="AD24" s="1">
        <v>45</v>
      </c>
      <c r="AE24" s="2">
        <f>Table135814[[#This Row],[HDGA]]/Table14713[[#This Row],[GP]]</f>
        <v>0.54878048780487809</v>
      </c>
      <c r="AF24" s="1">
        <v>9.3000000000000007</v>
      </c>
    </row>
    <row r="25" spans="1:32" hidden="1" x14ac:dyDescent="0.35">
      <c r="A25" t="s">
        <v>56</v>
      </c>
      <c r="B25">
        <v>24</v>
      </c>
      <c r="C25" t="s">
        <v>80</v>
      </c>
      <c r="D25" s="1">
        <v>0</v>
      </c>
      <c r="E25" s="1">
        <v>27.5</v>
      </c>
      <c r="F25" s="1">
        <v>82</v>
      </c>
      <c r="G25" s="1">
        <v>75</v>
      </c>
      <c r="H25" s="2">
        <f>Table14713[[#This Row],[PTS]]/Table14713[[#This Row],[GP]]</f>
        <v>0.91463414634146345</v>
      </c>
      <c r="I25" s="2">
        <v>0.45700000000000002</v>
      </c>
      <c r="J25" s="1">
        <v>229</v>
      </c>
      <c r="K25" s="3">
        <f>Table14713[[#This Row],[GF]]/Table14713[[#This Row],[GP]]</f>
        <v>2.7926829268292681</v>
      </c>
      <c r="L25" s="1">
        <v>287</v>
      </c>
      <c r="M25" s="1">
        <v>3.5</v>
      </c>
      <c r="N25" s="2">
        <f>(Table14713[[#This Row],[GF]]^2)/((Table14713[[#This Row],[GF]]^2)+(Table14713[[#This Row],[GA]]^2))</f>
        <v>0.38899933239373935</v>
      </c>
      <c r="O25" s="1">
        <v>21.17</v>
      </c>
      <c r="P25" s="1">
        <v>76.42</v>
      </c>
      <c r="Q25" s="1">
        <f>Table14713[[#This Row],[PP_PCT]]+Table14713[[#This Row],[PK_PCT]]</f>
        <v>97.59</v>
      </c>
      <c r="R25" s="3">
        <v>9.3000000000000007</v>
      </c>
      <c r="S25" s="3">
        <f>Table14713[[#This Row],[GA]]/Table14713[[#This Row],[GP]]</f>
        <v>3.5</v>
      </c>
      <c r="T25" s="2">
        <v>0.91700000000000004</v>
      </c>
      <c r="U25" s="1">
        <v>99</v>
      </c>
      <c r="V25" s="1">
        <v>46</v>
      </c>
      <c r="W25" s="1">
        <v>45.9</v>
      </c>
      <c r="X25" s="1">
        <v>157.30000000000001</v>
      </c>
      <c r="Y25" s="3">
        <f>Table135814[[#This Row],[XGF]]/Table14713[[#This Row],[GP]]</f>
        <v>1.9182926829268294</v>
      </c>
      <c r="Z25" s="1">
        <v>179</v>
      </c>
      <c r="AA25" s="3">
        <f>Table135814[[#This Row],[XGA]]/Table14713[[#This Row],[GP]]</f>
        <v>2.1829268292682928</v>
      </c>
      <c r="AB25" s="1">
        <v>52</v>
      </c>
      <c r="AC25" s="2">
        <f>Table135814[[#This Row],[HDGF]]/Table14713[[#This Row],[GP]]</f>
        <v>0.63414634146341464</v>
      </c>
      <c r="AD25" s="1">
        <v>79</v>
      </c>
      <c r="AE25" s="2">
        <f>Table135814[[#This Row],[HDGA]]/Table14713[[#This Row],[GP]]</f>
        <v>0.96341463414634143</v>
      </c>
      <c r="AF25" s="1">
        <v>8.1</v>
      </c>
    </row>
    <row r="26" spans="1:32" hidden="1" x14ac:dyDescent="0.35">
      <c r="A26" t="s">
        <v>56</v>
      </c>
      <c r="B26">
        <v>25</v>
      </c>
      <c r="C26" t="s">
        <v>81</v>
      </c>
      <c r="D26" s="1">
        <v>0</v>
      </c>
      <c r="E26" s="1">
        <v>26.9</v>
      </c>
      <c r="F26" s="1">
        <v>82</v>
      </c>
      <c r="G26" s="1">
        <v>74</v>
      </c>
      <c r="H26" s="2">
        <f>Table14713[[#This Row],[PTS]]/Table14713[[#This Row],[GP]]</f>
        <v>0.90243902439024393</v>
      </c>
      <c r="I26" s="2">
        <v>0.45100000000000001</v>
      </c>
      <c r="J26" s="1">
        <v>227</v>
      </c>
      <c r="K26" s="3">
        <f>Table14713[[#This Row],[GF]]/Table14713[[#This Row],[GP]]</f>
        <v>2.7682926829268291</v>
      </c>
      <c r="L26" s="1">
        <v>310</v>
      </c>
      <c r="M26" s="1">
        <v>3.78</v>
      </c>
      <c r="N26" s="2">
        <f>(Table14713[[#This Row],[GF]]^2)/((Table14713[[#This Row],[GF]]^2)+(Table14713[[#This Row],[GA]]^2))</f>
        <v>0.34904388704116401</v>
      </c>
      <c r="O26" s="1">
        <v>16.3</v>
      </c>
      <c r="P26" s="1">
        <v>73.78</v>
      </c>
      <c r="Q26" s="1">
        <f>Table14713[[#This Row],[PP_PCT]]+Table14713[[#This Row],[PK_PCT]]</f>
        <v>90.08</v>
      </c>
      <c r="R26" s="3">
        <v>9.4</v>
      </c>
      <c r="S26" s="3">
        <f>Table14713[[#This Row],[GA]]/Table14713[[#This Row],[GP]]</f>
        <v>3.7804878048780486</v>
      </c>
      <c r="T26" s="2">
        <v>0.91400000000000003</v>
      </c>
      <c r="U26" s="1">
        <v>98.7</v>
      </c>
      <c r="V26" s="1">
        <v>43.9</v>
      </c>
      <c r="W26" s="1">
        <v>44.1</v>
      </c>
      <c r="X26" s="1">
        <v>153.9</v>
      </c>
      <c r="Y26" s="3">
        <f>Table135814[[#This Row],[XGF]]/Table14713[[#This Row],[GP]]</f>
        <v>1.876829268292683</v>
      </c>
      <c r="Z26" s="1">
        <v>208.4</v>
      </c>
      <c r="AA26" s="3">
        <f>Table135814[[#This Row],[XGA]]/Table14713[[#This Row],[GP]]</f>
        <v>2.5414634146341464</v>
      </c>
      <c r="AB26" s="1">
        <v>61</v>
      </c>
      <c r="AC26" s="2">
        <f>Table135814[[#This Row],[HDGF]]/Table14713[[#This Row],[GP]]</f>
        <v>0.74390243902439024</v>
      </c>
      <c r="AD26" s="1">
        <v>80</v>
      </c>
      <c r="AE26" s="2">
        <f>Table135814[[#This Row],[HDGA]]/Table14713[[#This Row],[GP]]</f>
        <v>0.97560975609756095</v>
      </c>
      <c r="AF26" s="1">
        <v>8.9</v>
      </c>
    </row>
    <row r="27" spans="1:32" hidden="1" x14ac:dyDescent="0.35">
      <c r="A27" t="s">
        <v>56</v>
      </c>
      <c r="B27">
        <v>26</v>
      </c>
      <c r="C27" t="s">
        <v>82</v>
      </c>
      <c r="D27" s="1">
        <v>0</v>
      </c>
      <c r="E27" s="1">
        <v>26.6</v>
      </c>
      <c r="F27" s="1">
        <v>82</v>
      </c>
      <c r="G27" s="1">
        <v>73</v>
      </c>
      <c r="H27" s="2">
        <f>Table14713[[#This Row],[PTS]]/Table14713[[#This Row],[GP]]</f>
        <v>0.8902439024390244</v>
      </c>
      <c r="I27" s="2">
        <v>0.44500000000000001</v>
      </c>
      <c r="J27" s="1">
        <v>224</v>
      </c>
      <c r="K27" s="3">
        <f>Table14713[[#This Row],[GF]]/Table14713[[#This Row],[GP]]</f>
        <v>2.7317073170731709</v>
      </c>
      <c r="L27" s="1">
        <v>264</v>
      </c>
      <c r="M27" s="1">
        <v>3.22</v>
      </c>
      <c r="N27" s="2">
        <f>(Table14713[[#This Row],[GF]]^2)/((Table14713[[#This Row],[GF]]^2)+(Table14713[[#This Row],[GA]]^2))</f>
        <v>0.41857981847303793</v>
      </c>
      <c r="O27" s="1">
        <v>19.34</v>
      </c>
      <c r="P27" s="1">
        <v>80.319999999999993</v>
      </c>
      <c r="Q27" s="1">
        <f>Table14713[[#This Row],[PP_PCT]]+Table14713[[#This Row],[PK_PCT]]</f>
        <v>99.66</v>
      </c>
      <c r="R27" s="3">
        <v>9.1</v>
      </c>
      <c r="S27" s="3">
        <f>Table14713[[#This Row],[GA]]/Table14713[[#This Row],[GP]]</f>
        <v>3.2195121951219514</v>
      </c>
      <c r="T27" s="2">
        <v>0.91500000000000004</v>
      </c>
      <c r="U27" s="1">
        <v>98.1</v>
      </c>
      <c r="V27" s="1">
        <v>44.3</v>
      </c>
      <c r="W27" s="1">
        <v>43.4</v>
      </c>
      <c r="X27" s="1">
        <v>143.80000000000001</v>
      </c>
      <c r="Y27" s="3">
        <f>Table135814[[#This Row],[XGF]]/Table14713[[#This Row],[GP]]</f>
        <v>1.7536585365853661</v>
      </c>
      <c r="Z27" s="1">
        <v>194</v>
      </c>
      <c r="AA27" s="3">
        <f>Table135814[[#This Row],[XGA]]/Table14713[[#This Row],[GP]]</f>
        <v>2.3658536585365852</v>
      </c>
      <c r="AB27" s="1">
        <v>51</v>
      </c>
      <c r="AC27" s="2">
        <f>Table135814[[#This Row],[HDGF]]/Table14713[[#This Row],[GP]]</f>
        <v>0.62195121951219512</v>
      </c>
      <c r="AD27" s="1">
        <v>68</v>
      </c>
      <c r="AE27" s="2">
        <f>Table135814[[#This Row],[HDGA]]/Table14713[[#This Row],[GP]]</f>
        <v>0.82926829268292679</v>
      </c>
      <c r="AF27" s="1">
        <v>10</v>
      </c>
    </row>
    <row r="28" spans="1:32" hidden="1" x14ac:dyDescent="0.35">
      <c r="A28" t="s">
        <v>56</v>
      </c>
      <c r="B28">
        <v>27</v>
      </c>
      <c r="C28" t="s">
        <v>83</v>
      </c>
      <c r="D28" s="1">
        <v>0</v>
      </c>
      <c r="E28" s="1">
        <v>28</v>
      </c>
      <c r="F28" s="1">
        <v>82</v>
      </c>
      <c r="G28" s="1">
        <v>68</v>
      </c>
      <c r="H28" s="2">
        <f>Table14713[[#This Row],[PTS]]/Table14713[[#This Row],[GP]]</f>
        <v>0.82926829268292679</v>
      </c>
      <c r="I28" s="2">
        <v>0.41499999999999998</v>
      </c>
      <c r="J28" s="1">
        <v>213</v>
      </c>
      <c r="K28" s="3">
        <f>Table14713[[#This Row],[GF]]/Table14713[[#This Row],[GP]]</f>
        <v>2.5975609756097562</v>
      </c>
      <c r="L28" s="1">
        <v>289</v>
      </c>
      <c r="M28" s="1">
        <v>3.52</v>
      </c>
      <c r="N28" s="2">
        <f>(Table14713[[#This Row],[GF]]^2)/((Table14713[[#This Row],[GF]]^2)+(Table14713[[#This Row],[GA]]^2))</f>
        <v>0.35199782760493442</v>
      </c>
      <c r="O28" s="1">
        <v>19.18</v>
      </c>
      <c r="P28" s="1">
        <v>76.23</v>
      </c>
      <c r="Q28" s="1">
        <f>Table14713[[#This Row],[PP_PCT]]+Table14713[[#This Row],[PK_PCT]]</f>
        <v>95.41</v>
      </c>
      <c r="R28" s="3">
        <v>9</v>
      </c>
      <c r="S28" s="3">
        <f>Table14713[[#This Row],[GA]]/Table14713[[#This Row],[GP]]</f>
        <v>3.524390243902439</v>
      </c>
      <c r="T28" s="2">
        <v>0.90700000000000003</v>
      </c>
      <c r="U28" s="1">
        <v>99.2</v>
      </c>
      <c r="V28" s="1">
        <v>44.8</v>
      </c>
      <c r="W28" s="1">
        <v>43.7</v>
      </c>
      <c r="X28" s="1">
        <v>129.30000000000001</v>
      </c>
      <c r="Y28" s="3">
        <f>Table135814[[#This Row],[XGF]]/Table14713[[#This Row],[GP]]</f>
        <v>1.576829268292683</v>
      </c>
      <c r="Z28" s="1">
        <v>171.5</v>
      </c>
      <c r="AA28" s="3">
        <f>Table135814[[#This Row],[XGA]]/Table14713[[#This Row],[GP]]</f>
        <v>2.0914634146341462</v>
      </c>
      <c r="AB28" s="1">
        <v>43</v>
      </c>
      <c r="AC28" s="2">
        <f>Table135814[[#This Row],[HDGF]]/Table14713[[#This Row],[GP]]</f>
        <v>0.52439024390243905</v>
      </c>
      <c r="AD28" s="1">
        <v>72</v>
      </c>
      <c r="AE28" s="2">
        <f>Table135814[[#This Row],[HDGA]]/Table14713[[#This Row],[GP]]</f>
        <v>0.87804878048780488</v>
      </c>
      <c r="AF28" s="1">
        <v>7.9</v>
      </c>
    </row>
    <row r="29" spans="1:32" hidden="1" x14ac:dyDescent="0.35">
      <c r="A29" t="s">
        <v>56</v>
      </c>
      <c r="B29">
        <v>28</v>
      </c>
      <c r="C29" t="s">
        <v>84</v>
      </c>
      <c r="D29" s="1">
        <v>0</v>
      </c>
      <c r="E29" s="1">
        <v>25.8</v>
      </c>
      <c r="F29" s="1">
        <v>82</v>
      </c>
      <c r="G29" s="1">
        <v>63</v>
      </c>
      <c r="H29" s="2">
        <f>Table14713[[#This Row],[PTS]]/Table14713[[#This Row],[GP]]</f>
        <v>0.76829268292682928</v>
      </c>
      <c r="I29" s="2">
        <v>0.38400000000000001</v>
      </c>
      <c r="J29" s="1">
        <v>245</v>
      </c>
      <c r="K29" s="3">
        <f>Table14713[[#This Row],[GF]]/Table14713[[#This Row],[GP]]</f>
        <v>2.9878048780487805</v>
      </c>
      <c r="L29" s="1">
        <v>302</v>
      </c>
      <c r="M29" s="1">
        <v>3.68</v>
      </c>
      <c r="N29" s="2">
        <f>(Table14713[[#This Row],[GF]]^2)/((Table14713[[#This Row],[GF]]^2)+(Table14713[[#This Row],[GA]]^2))</f>
        <v>0.39691461293799468</v>
      </c>
      <c r="O29" s="1">
        <v>15.56</v>
      </c>
      <c r="P29" s="1">
        <v>80.19</v>
      </c>
      <c r="Q29" s="1">
        <f>Table14713[[#This Row],[PP_PCT]]+Table14713[[#This Row],[PK_PCT]]</f>
        <v>95.75</v>
      </c>
      <c r="R29" s="3">
        <v>9.6</v>
      </c>
      <c r="S29" s="3">
        <f>Table14713[[#This Row],[GA]]/Table14713[[#This Row],[GP]]</f>
        <v>3.6829268292682928</v>
      </c>
      <c r="T29" s="2">
        <v>0.92700000000000005</v>
      </c>
      <c r="U29" s="1">
        <v>101.2</v>
      </c>
      <c r="V29" s="1">
        <v>53</v>
      </c>
      <c r="W29" s="1">
        <v>52</v>
      </c>
      <c r="X29" s="1">
        <v>187.1</v>
      </c>
      <c r="Y29" s="3">
        <f>Table135814[[#This Row],[XGF]]/Table14713[[#This Row],[GP]]</f>
        <v>2.2817073170731708</v>
      </c>
      <c r="Z29" s="1">
        <v>172.9</v>
      </c>
      <c r="AA29" s="3">
        <f>Table135814[[#This Row],[XGA]]/Table14713[[#This Row],[GP]]</f>
        <v>2.1085365853658535</v>
      </c>
      <c r="AB29" s="1">
        <v>75</v>
      </c>
      <c r="AC29" s="2">
        <f>Table135814[[#This Row],[HDGF]]/Table14713[[#This Row],[GP]]</f>
        <v>0.91463414634146345</v>
      </c>
      <c r="AD29" s="1">
        <v>75</v>
      </c>
      <c r="AE29" s="2">
        <f>Table135814[[#This Row],[HDGA]]/Table14713[[#This Row],[GP]]</f>
        <v>0.91463414634146345</v>
      </c>
      <c r="AF29" s="1">
        <v>8.1</v>
      </c>
    </row>
    <row r="30" spans="1:32" hidden="1" x14ac:dyDescent="0.35">
      <c r="A30" t="s">
        <v>56</v>
      </c>
      <c r="B30">
        <v>29</v>
      </c>
      <c r="C30" t="s">
        <v>85</v>
      </c>
      <c r="D30" s="1">
        <v>0</v>
      </c>
      <c r="E30" s="1">
        <v>28.3</v>
      </c>
      <c r="F30" s="1">
        <v>82</v>
      </c>
      <c r="G30" s="1">
        <v>61</v>
      </c>
      <c r="H30" s="2">
        <f>Table14713[[#This Row],[PTS]]/Table14713[[#This Row],[GP]]</f>
        <v>0.74390243902439024</v>
      </c>
      <c r="I30" s="2">
        <v>0.372</v>
      </c>
      <c r="J30" s="1">
        <v>210</v>
      </c>
      <c r="K30" s="3">
        <f>Table14713[[#This Row],[GF]]/Table14713[[#This Row],[GP]]</f>
        <v>2.5609756097560976</v>
      </c>
      <c r="L30" s="1">
        <v>294</v>
      </c>
      <c r="M30" s="1">
        <v>3.59</v>
      </c>
      <c r="N30" s="2">
        <f>(Table14713[[#This Row],[GF]]^2)/((Table14713[[#This Row],[GF]]^2)+(Table14713[[#This Row],[GA]]^2))</f>
        <v>0.33783783783783783</v>
      </c>
      <c r="O30" s="1">
        <v>12.55</v>
      </c>
      <c r="P30" s="1">
        <v>75.739999999999995</v>
      </c>
      <c r="Q30" s="1">
        <f>Table14713[[#This Row],[PP_PCT]]+Table14713[[#This Row],[PK_PCT]]</f>
        <v>88.289999999999992</v>
      </c>
      <c r="R30" s="3">
        <v>8.3000000000000007</v>
      </c>
      <c r="S30" s="3">
        <f>Table14713[[#This Row],[GA]]/Table14713[[#This Row],[GP]]</f>
        <v>3.5853658536585367</v>
      </c>
      <c r="T30" s="2">
        <v>0.93100000000000005</v>
      </c>
      <c r="U30" s="1">
        <v>100.8</v>
      </c>
      <c r="V30" s="1">
        <v>52.4</v>
      </c>
      <c r="W30" s="1">
        <v>51.6</v>
      </c>
      <c r="X30" s="1">
        <v>190.4</v>
      </c>
      <c r="Y30" s="3">
        <f>Table135814[[#This Row],[XGF]]/Table14713[[#This Row],[GP]]</f>
        <v>2.3219512195121954</v>
      </c>
      <c r="Z30" s="1">
        <v>173.6</v>
      </c>
      <c r="AA30" s="3">
        <f>Table135814[[#This Row],[XGA]]/Table14713[[#This Row],[GP]]</f>
        <v>2.1170731707317074</v>
      </c>
      <c r="AB30" s="1">
        <v>70</v>
      </c>
      <c r="AC30" s="2">
        <f>Table135814[[#This Row],[HDGF]]/Table14713[[#This Row],[GP]]</f>
        <v>0.85365853658536583</v>
      </c>
      <c r="AD30" s="1">
        <v>47</v>
      </c>
      <c r="AE30" s="2">
        <f>Table135814[[#This Row],[HDGA]]/Table14713[[#This Row],[GP]]</f>
        <v>0.57317073170731703</v>
      </c>
      <c r="AF30" s="1">
        <v>9</v>
      </c>
    </row>
    <row r="31" spans="1:32" hidden="1" x14ac:dyDescent="0.35">
      <c r="A31" t="s">
        <v>56</v>
      </c>
      <c r="B31">
        <v>30</v>
      </c>
      <c r="C31" t="s">
        <v>86</v>
      </c>
      <c r="D31" s="1">
        <v>0</v>
      </c>
      <c r="E31" s="1">
        <v>28.7</v>
      </c>
      <c r="F31" s="1">
        <v>82</v>
      </c>
      <c r="G31" s="1">
        <v>60</v>
      </c>
      <c r="H31" s="2">
        <f>Table14713[[#This Row],[PTS]]/Table14713[[#This Row],[GP]]</f>
        <v>0.73170731707317072</v>
      </c>
      <c r="I31" s="2">
        <v>0.36599999999999999</v>
      </c>
      <c r="J31" s="1">
        <v>213</v>
      </c>
      <c r="K31" s="3">
        <f>Table14713[[#This Row],[GF]]/Table14713[[#This Row],[GP]]</f>
        <v>2.5975609756097562</v>
      </c>
      <c r="L31" s="1">
        <v>284</v>
      </c>
      <c r="M31" s="1">
        <v>3.46</v>
      </c>
      <c r="N31" s="2">
        <f>(Table14713[[#This Row],[GF]]^2)/((Table14713[[#This Row],[GF]]^2)+(Table14713[[#This Row],[GA]]^2))</f>
        <v>0.36</v>
      </c>
      <c r="O31" s="1">
        <v>14.55</v>
      </c>
      <c r="P31" s="1">
        <v>74.89</v>
      </c>
      <c r="Q31" s="1">
        <f>Table14713[[#This Row],[PP_PCT]]+Table14713[[#This Row],[PK_PCT]]</f>
        <v>89.44</v>
      </c>
      <c r="R31" s="3">
        <v>8.9</v>
      </c>
      <c r="S31" s="3">
        <f>Table14713[[#This Row],[GA]]/Table14713[[#This Row],[GP]]</f>
        <v>3.4634146341463414</v>
      </c>
      <c r="T31" s="2">
        <v>0.91700000000000004</v>
      </c>
      <c r="U31" s="1">
        <v>100.4</v>
      </c>
      <c r="V31" s="1">
        <v>53.2</v>
      </c>
      <c r="W31" s="1">
        <v>52.1</v>
      </c>
      <c r="X31" s="1">
        <v>184.5</v>
      </c>
      <c r="Y31" s="3">
        <f>Table135814[[#This Row],[XGF]]/Table14713[[#This Row],[GP]]</f>
        <v>2.25</v>
      </c>
      <c r="Z31" s="1">
        <v>163.6</v>
      </c>
      <c r="AA31" s="3">
        <f>Table135814[[#This Row],[XGA]]/Table14713[[#This Row],[GP]]</f>
        <v>1.9951219512195122</v>
      </c>
      <c r="AB31" s="1">
        <v>64</v>
      </c>
      <c r="AC31" s="2">
        <f>Table135814[[#This Row],[HDGF]]/Table14713[[#This Row],[GP]]</f>
        <v>0.78048780487804881</v>
      </c>
      <c r="AD31" s="1">
        <v>70</v>
      </c>
      <c r="AE31" s="2">
        <f>Table135814[[#This Row],[HDGA]]/Table14713[[#This Row],[GP]]</f>
        <v>0.85365853658536583</v>
      </c>
      <c r="AF31" s="1">
        <v>8.5</v>
      </c>
    </row>
    <row r="32" spans="1:32" hidden="1" x14ac:dyDescent="0.35">
      <c r="A32" t="s">
        <v>56</v>
      </c>
      <c r="B32">
        <v>31</v>
      </c>
      <c r="C32" t="s">
        <v>87</v>
      </c>
      <c r="D32" s="1">
        <v>0</v>
      </c>
      <c r="E32" s="1">
        <v>28</v>
      </c>
      <c r="F32" s="1">
        <v>82</v>
      </c>
      <c r="G32" s="1">
        <v>57</v>
      </c>
      <c r="H32" s="2">
        <f>Table14713[[#This Row],[PTS]]/Table14713[[#This Row],[GP]]</f>
        <v>0.69512195121951215</v>
      </c>
      <c r="I32" s="2">
        <v>0.34799999999999998</v>
      </c>
      <c r="J32" s="1">
        <v>206</v>
      </c>
      <c r="K32" s="3">
        <f>Table14713[[#This Row],[GF]]/Table14713[[#This Row],[GP]]</f>
        <v>2.5121951219512195</v>
      </c>
      <c r="L32" s="1">
        <v>309</v>
      </c>
      <c r="M32" s="1">
        <v>3.77</v>
      </c>
      <c r="N32" s="2">
        <f>(Table14713[[#This Row],[GF]]^2)/((Table14713[[#This Row],[GF]]^2)+(Table14713[[#This Row],[GA]]^2))</f>
        <v>0.30769230769230771</v>
      </c>
      <c r="O32" s="1">
        <v>13.86</v>
      </c>
      <c r="P32" s="1">
        <v>75</v>
      </c>
      <c r="Q32" s="1">
        <f>Table14713[[#This Row],[PP_PCT]]+Table14713[[#This Row],[PK_PCT]]</f>
        <v>88.86</v>
      </c>
      <c r="R32" s="3">
        <v>9.6999999999999993</v>
      </c>
      <c r="S32" s="3">
        <f>Table14713[[#This Row],[GA]]/Table14713[[#This Row],[GP]]</f>
        <v>3.7682926829268291</v>
      </c>
      <c r="T32" s="2">
        <v>0.91600000000000004</v>
      </c>
      <c r="U32" s="1">
        <v>99.5</v>
      </c>
      <c r="V32" s="1">
        <v>54.8</v>
      </c>
      <c r="W32" s="1">
        <v>53.7</v>
      </c>
      <c r="X32" s="1">
        <v>163.1</v>
      </c>
      <c r="Y32" s="3">
        <f>Table135814[[#This Row],[XGF]]/Table14713[[#This Row],[GP]]</f>
        <v>1.9890243902439024</v>
      </c>
      <c r="Z32" s="1">
        <v>141.9</v>
      </c>
      <c r="AA32" s="3">
        <f>Table135814[[#This Row],[XGA]]/Table14713[[#This Row],[GP]]</f>
        <v>1.7304878048780488</v>
      </c>
      <c r="AB32" s="1">
        <v>55</v>
      </c>
      <c r="AC32" s="2">
        <f>Table135814[[#This Row],[HDGF]]/Table14713[[#This Row],[GP]]</f>
        <v>0.67073170731707321</v>
      </c>
      <c r="AD32" s="1">
        <v>60</v>
      </c>
      <c r="AE32" s="2">
        <f>Table135814[[#This Row],[HDGA]]/Table14713[[#This Row],[GP]]</f>
        <v>0.73170731707317072</v>
      </c>
      <c r="AF32" s="1">
        <v>10.199999999999999</v>
      </c>
    </row>
    <row r="33" spans="1:32" hidden="1" x14ac:dyDescent="0.35">
      <c r="A33" t="s">
        <v>56</v>
      </c>
      <c r="B33">
        <v>32</v>
      </c>
      <c r="C33" t="s">
        <v>88</v>
      </c>
      <c r="D33" s="1">
        <v>0</v>
      </c>
      <c r="E33" s="1">
        <v>27.8</v>
      </c>
      <c r="F33" s="1">
        <v>82</v>
      </c>
      <c r="G33" s="1">
        <v>55</v>
      </c>
      <c r="H33" s="2">
        <f>Table14713[[#This Row],[PTS]]/Table14713[[#This Row],[GP]]</f>
        <v>0.67073170731707321</v>
      </c>
      <c r="I33" s="2">
        <v>0.33500000000000002</v>
      </c>
      <c r="J33" s="1">
        <v>218</v>
      </c>
      <c r="K33" s="3">
        <f>Table14713[[#This Row],[GF]]/Table14713[[#This Row],[GP]]</f>
        <v>2.6585365853658538</v>
      </c>
      <c r="L33" s="1">
        <v>317</v>
      </c>
      <c r="M33" s="1">
        <v>3.87</v>
      </c>
      <c r="N33" s="2">
        <f>(Table14713[[#This Row],[GF]]^2)/((Table14713[[#This Row],[GF]]^2)+(Table14713[[#This Row],[GA]]^2))</f>
        <v>0.32107990514346713</v>
      </c>
      <c r="O33" s="1">
        <v>13.71</v>
      </c>
      <c r="P33" s="1">
        <v>75.55</v>
      </c>
      <c r="Q33" s="1">
        <f>Table14713[[#This Row],[PP_PCT]]+Table14713[[#This Row],[PK_PCT]]</f>
        <v>89.259999999999991</v>
      </c>
      <c r="R33" s="3">
        <v>8.9</v>
      </c>
      <c r="S33" s="3">
        <f>Table14713[[#This Row],[GA]]/Table14713[[#This Row],[GP]]</f>
        <v>3.8658536585365852</v>
      </c>
      <c r="T33" s="2">
        <v>0.91500000000000004</v>
      </c>
      <c r="U33" s="1">
        <v>99.9</v>
      </c>
      <c r="V33" s="1">
        <v>47.9</v>
      </c>
      <c r="W33" s="1">
        <v>46.8</v>
      </c>
      <c r="X33" s="1">
        <v>162.69999999999999</v>
      </c>
      <c r="Y33" s="3">
        <f>Table135814[[#This Row],[XGF]]/Table14713[[#This Row],[GP]]</f>
        <v>1.9841463414634144</v>
      </c>
      <c r="Z33" s="1">
        <v>212.4</v>
      </c>
      <c r="AA33" s="3">
        <f>Table135814[[#This Row],[XGA]]/Table14713[[#This Row],[GP]]</f>
        <v>2.5902439024390245</v>
      </c>
      <c r="AB33" s="1">
        <v>73</v>
      </c>
      <c r="AC33" s="2">
        <f>Table135814[[#This Row],[HDGF]]/Table14713[[#This Row],[GP]]</f>
        <v>0.8902439024390244</v>
      </c>
      <c r="AD33" s="1">
        <v>71</v>
      </c>
      <c r="AE33" s="2">
        <f>Table135814[[#This Row],[HDGA]]/Table14713[[#This Row],[GP]]</f>
        <v>0.86585365853658536</v>
      </c>
      <c r="AF33" s="1">
        <v>10.199999999999999</v>
      </c>
    </row>
    <row r="34" spans="1:32" hidden="1" x14ac:dyDescent="0.35">
      <c r="A34" t="s">
        <v>89</v>
      </c>
      <c r="B34">
        <v>1</v>
      </c>
      <c r="C34" t="s">
        <v>66</v>
      </c>
      <c r="D34" s="1">
        <v>1</v>
      </c>
      <c r="E34" s="1">
        <v>29.5</v>
      </c>
      <c r="F34" s="1">
        <v>82</v>
      </c>
      <c r="G34" s="1">
        <v>135</v>
      </c>
      <c r="H34" s="2">
        <f>Table14713[[#This Row],[PTS]]/Table14713[[#This Row],[GP]]</f>
        <v>1.6463414634146341</v>
      </c>
      <c r="I34" s="2">
        <v>0.82299999999999995</v>
      </c>
      <c r="J34" s="1">
        <v>301</v>
      </c>
      <c r="K34" s="3">
        <f>Table14713[[#This Row],[GF]]/Table14713[[#This Row],[GP]]</f>
        <v>3.6707317073170733</v>
      </c>
      <c r="L34" s="1">
        <v>174</v>
      </c>
      <c r="M34" s="1">
        <v>2.12</v>
      </c>
      <c r="N34" s="2">
        <f>(Table14713[[#This Row],[GF]]^2)/((Table14713[[#This Row],[GF]]^2)+(Table14713[[#This Row],[GA]]^2))</f>
        <v>0.74953051448993602</v>
      </c>
      <c r="O34" s="1">
        <v>22.22</v>
      </c>
      <c r="P34" s="1">
        <v>87.28</v>
      </c>
      <c r="Q34" s="1">
        <f>Table14713[[#This Row],[PP_PCT]]+Table14713[[#This Row],[PK_PCT]]</f>
        <v>109.5</v>
      </c>
      <c r="R34" s="3">
        <v>11.1</v>
      </c>
      <c r="S34" s="3">
        <f>Table14713[[#This Row],[GA]]/Table14713[[#This Row],[GP]]</f>
        <v>2.1219512195121952</v>
      </c>
      <c r="T34" s="2">
        <v>0.90900000000000003</v>
      </c>
      <c r="U34" s="1">
        <v>98.1</v>
      </c>
      <c r="V34" s="1">
        <v>45</v>
      </c>
      <c r="W34" s="1">
        <v>44.5</v>
      </c>
      <c r="X34" s="1">
        <v>163.30000000000001</v>
      </c>
      <c r="Y34" s="3">
        <f>Table135814[[#This Row],[XGF]]/Table14713[[#This Row],[GP]]</f>
        <v>1.9914634146341466</v>
      </c>
      <c r="Z34" s="1">
        <v>209.4</v>
      </c>
      <c r="AA34" s="3">
        <f>Table135814[[#This Row],[XGA]]/Table14713[[#This Row],[GP]]</f>
        <v>2.5536585365853659</v>
      </c>
      <c r="AB34" s="1">
        <v>52</v>
      </c>
      <c r="AC34" s="2">
        <f>Table135814[[#This Row],[HDGF]]/Table14713[[#This Row],[GP]]</f>
        <v>0.63414634146341464</v>
      </c>
      <c r="AD34" s="1">
        <v>90</v>
      </c>
      <c r="AE34" s="2">
        <f>Table135814[[#This Row],[HDGA]]/Table14713[[#This Row],[GP]]</f>
        <v>1.0975609756097562</v>
      </c>
      <c r="AF34" s="1">
        <v>10.5</v>
      </c>
    </row>
    <row r="35" spans="1:32" hidden="1" x14ac:dyDescent="0.35">
      <c r="A35" t="s">
        <v>89</v>
      </c>
      <c r="B35">
        <v>2</v>
      </c>
      <c r="C35" t="s">
        <v>59</v>
      </c>
      <c r="D35" s="1">
        <v>1</v>
      </c>
      <c r="E35" s="1">
        <v>29.3</v>
      </c>
      <c r="F35" s="1">
        <v>82</v>
      </c>
      <c r="G35" s="1">
        <v>113</v>
      </c>
      <c r="H35" s="2">
        <f>Table14713[[#This Row],[PTS]]/Table14713[[#This Row],[GP]]</f>
        <v>1.3780487804878048</v>
      </c>
      <c r="I35" s="2">
        <v>0.68899999999999995</v>
      </c>
      <c r="J35" s="1">
        <v>262</v>
      </c>
      <c r="K35" s="3">
        <f>Table14713[[#This Row],[GF]]/Table14713[[#This Row],[GP]]</f>
        <v>3.1951219512195124</v>
      </c>
      <c r="L35" s="1">
        <v>210</v>
      </c>
      <c r="M35" s="1">
        <v>2.56</v>
      </c>
      <c r="N35" s="2">
        <f>(Table14713[[#This Row],[GF]]^2)/((Table14713[[#This Row],[GF]]^2)+(Table14713[[#This Row],[GA]]^2))</f>
        <v>0.6088483644362449</v>
      </c>
      <c r="O35" s="1">
        <v>19.760000000000002</v>
      </c>
      <c r="P35" s="1">
        <v>84.38</v>
      </c>
      <c r="Q35" s="1">
        <f>Table14713[[#This Row],[PP_PCT]]+Table14713[[#This Row],[PK_PCT]]</f>
        <v>104.14</v>
      </c>
      <c r="R35" s="3">
        <v>9.1999999999999993</v>
      </c>
      <c r="S35" s="3">
        <f>Table14713[[#This Row],[GA]]/Table14713[[#This Row],[GP]]</f>
        <v>2.5609756097560976</v>
      </c>
      <c r="T35" s="2">
        <v>0.91900000000000004</v>
      </c>
      <c r="U35" s="1">
        <v>100.2</v>
      </c>
      <c r="V35" s="1">
        <v>48.3</v>
      </c>
      <c r="W35" s="1">
        <v>47.4</v>
      </c>
      <c r="X35" s="1">
        <v>165.1</v>
      </c>
      <c r="Y35" s="3">
        <f>Table135814[[#This Row],[XGF]]/Table14713[[#This Row],[GP]]</f>
        <v>2.0134146341463413</v>
      </c>
      <c r="Z35" s="1">
        <v>195.1</v>
      </c>
      <c r="AA35" s="3">
        <f>Table135814[[#This Row],[XGA]]/Table14713[[#This Row],[GP]]</f>
        <v>2.3792682926829269</v>
      </c>
      <c r="AB35" s="1">
        <v>72</v>
      </c>
      <c r="AC35" s="2">
        <f>Table135814[[#This Row],[HDGF]]/Table14713[[#This Row],[GP]]</f>
        <v>0.87804878048780488</v>
      </c>
      <c r="AD35" s="1">
        <v>71</v>
      </c>
      <c r="AE35" s="2">
        <f>Table135814[[#This Row],[HDGA]]/Table14713[[#This Row],[GP]]</f>
        <v>0.86585365853658536</v>
      </c>
      <c r="AF35" s="1">
        <v>7.5</v>
      </c>
    </row>
    <row r="36" spans="1:32" hidden="1" x14ac:dyDescent="0.35">
      <c r="A36" t="s">
        <v>89</v>
      </c>
      <c r="B36">
        <v>3</v>
      </c>
      <c r="C36" t="s">
        <v>84</v>
      </c>
      <c r="D36" s="1">
        <v>1</v>
      </c>
      <c r="E36" s="1">
        <v>26.7</v>
      </c>
      <c r="F36" s="1">
        <v>82</v>
      </c>
      <c r="G36" s="1">
        <v>112</v>
      </c>
      <c r="H36" s="2">
        <f>Table14713[[#This Row],[PTS]]/Table14713[[#This Row],[GP]]</f>
        <v>1.3658536585365855</v>
      </c>
      <c r="I36" s="2">
        <v>0.68300000000000005</v>
      </c>
      <c r="J36" s="1">
        <v>289</v>
      </c>
      <c r="K36" s="3">
        <f>Table14713[[#This Row],[GF]]/Table14713[[#This Row],[GP]]</f>
        <v>3.524390243902439</v>
      </c>
      <c r="L36" s="1">
        <v>222</v>
      </c>
      <c r="M36" s="1">
        <v>2.71</v>
      </c>
      <c r="N36" s="2">
        <f>(Table14713[[#This Row],[GF]]^2)/((Table14713[[#This Row],[GF]]^2)+(Table14713[[#This Row],[GA]]^2))</f>
        <v>0.62889951432551483</v>
      </c>
      <c r="O36" s="1">
        <v>21.88</v>
      </c>
      <c r="P36" s="1">
        <v>82.61</v>
      </c>
      <c r="Q36" s="1">
        <f>Table14713[[#This Row],[PP_PCT]]+Table14713[[#This Row],[PK_PCT]]</f>
        <v>104.49</v>
      </c>
      <c r="R36" s="3">
        <v>10.199999999999999</v>
      </c>
      <c r="S36" s="3">
        <f>Table14713[[#This Row],[GA]]/Table14713[[#This Row],[GP]]</f>
        <v>2.7073170731707319</v>
      </c>
      <c r="T36" s="2">
        <v>0.91500000000000004</v>
      </c>
      <c r="U36" s="1">
        <v>100.7</v>
      </c>
      <c r="V36" s="1">
        <v>49</v>
      </c>
      <c r="W36" s="1">
        <v>48.9</v>
      </c>
      <c r="X36" s="1">
        <v>146.1</v>
      </c>
      <c r="Y36" s="3">
        <f>Table135814[[#This Row],[XGF]]/Table14713[[#This Row],[GP]]</f>
        <v>1.7817073170731708</v>
      </c>
      <c r="Z36" s="1">
        <v>157.9</v>
      </c>
      <c r="AA36" s="3">
        <f>Table135814[[#This Row],[XGA]]/Table14713[[#This Row],[GP]]</f>
        <v>1.9256097560975611</v>
      </c>
      <c r="AB36" s="1">
        <v>57</v>
      </c>
      <c r="AC36" s="2">
        <f>Table135814[[#This Row],[HDGF]]/Table14713[[#This Row],[GP]]</f>
        <v>0.69512195121951215</v>
      </c>
      <c r="AD36" s="1">
        <v>65</v>
      </c>
      <c r="AE36" s="2">
        <f>Table135814[[#This Row],[HDGA]]/Table14713[[#This Row],[GP]]</f>
        <v>0.79268292682926833</v>
      </c>
      <c r="AF36" s="1">
        <v>7.7</v>
      </c>
    </row>
    <row r="37" spans="1:32" hidden="1" x14ac:dyDescent="0.35">
      <c r="A37" t="s">
        <v>89</v>
      </c>
      <c r="B37">
        <v>4</v>
      </c>
      <c r="C37" t="s">
        <v>73</v>
      </c>
      <c r="D37" s="1">
        <v>1</v>
      </c>
      <c r="E37" s="1">
        <v>29.1</v>
      </c>
      <c r="F37" s="1">
        <v>82</v>
      </c>
      <c r="G37" s="1">
        <v>111</v>
      </c>
      <c r="H37" s="2">
        <f>Table14713[[#This Row],[PTS]]/Table14713[[#This Row],[GP]]</f>
        <v>1.3536585365853659</v>
      </c>
      <c r="I37" s="2">
        <v>0.67700000000000005</v>
      </c>
      <c r="J37" s="1">
        <v>267</v>
      </c>
      <c r="K37" s="3">
        <f>Table14713[[#This Row],[GF]]/Table14713[[#This Row],[GP]]</f>
        <v>3.2560975609756095</v>
      </c>
      <c r="L37" s="1">
        <v>225</v>
      </c>
      <c r="M37" s="1">
        <v>2.74</v>
      </c>
      <c r="N37" s="2">
        <f>(Table14713[[#This Row],[GF]]^2)/((Table14713[[#This Row],[GF]]^2)+(Table14713[[#This Row],[GA]]^2))</f>
        <v>0.58474826517053002</v>
      </c>
      <c r="O37" s="1">
        <v>20.29</v>
      </c>
      <c r="P37" s="1">
        <v>77.44</v>
      </c>
      <c r="Q37" s="1">
        <f>Table14713[[#This Row],[PP_PCT]]+Table14713[[#This Row],[PK_PCT]]</f>
        <v>97.72999999999999</v>
      </c>
      <c r="R37" s="3">
        <v>10.3</v>
      </c>
      <c r="S37" s="3">
        <f>Table14713[[#This Row],[GA]]/Table14713[[#This Row],[GP]]</f>
        <v>2.7439024390243905</v>
      </c>
      <c r="T37" s="2">
        <v>0.92500000000000004</v>
      </c>
      <c r="U37" s="1">
        <v>99.7</v>
      </c>
      <c r="V37" s="1">
        <v>48.9</v>
      </c>
      <c r="W37" s="1">
        <v>49.2</v>
      </c>
      <c r="X37" s="1">
        <v>176</v>
      </c>
      <c r="Y37" s="3">
        <f>Table135814[[#This Row],[XGF]]/Table14713[[#This Row],[GP]]</f>
        <v>2.1463414634146343</v>
      </c>
      <c r="Z37" s="1">
        <v>172.7</v>
      </c>
      <c r="AA37" s="3">
        <f>Table135814[[#This Row],[XGA]]/Table14713[[#This Row],[GP]]</f>
        <v>2.1060975609756096</v>
      </c>
      <c r="AB37" s="1">
        <v>67</v>
      </c>
      <c r="AC37" s="2">
        <f>Table135814[[#This Row],[HDGF]]/Table14713[[#This Row],[GP]]</f>
        <v>0.81707317073170727</v>
      </c>
      <c r="AD37" s="1">
        <v>64</v>
      </c>
      <c r="AE37" s="2">
        <f>Table135814[[#This Row],[HDGA]]/Table14713[[#This Row],[GP]]</f>
        <v>0.78048780487804881</v>
      </c>
      <c r="AF37" s="1">
        <v>7.2</v>
      </c>
    </row>
    <row r="38" spans="1:32" hidden="1" x14ac:dyDescent="0.35">
      <c r="A38" t="s">
        <v>89</v>
      </c>
      <c r="B38">
        <v>5</v>
      </c>
      <c r="C38" t="s">
        <v>60</v>
      </c>
      <c r="D38" s="1">
        <v>1</v>
      </c>
      <c r="E38" s="1">
        <v>28.6</v>
      </c>
      <c r="F38" s="1">
        <v>82</v>
      </c>
      <c r="G38" s="1">
        <v>111</v>
      </c>
      <c r="H38" s="2">
        <f>Table14713[[#This Row],[PTS]]/Table14713[[#This Row],[GP]]</f>
        <v>1.3536585365853659</v>
      </c>
      <c r="I38" s="2">
        <v>0.67700000000000005</v>
      </c>
      <c r="J38" s="1">
        <v>278</v>
      </c>
      <c r="K38" s="3">
        <f>Table14713[[#This Row],[GF]]/Table14713[[#This Row],[GP]]</f>
        <v>3.3902439024390243</v>
      </c>
      <c r="L38" s="1">
        <v>220</v>
      </c>
      <c r="M38" s="1">
        <v>2.68</v>
      </c>
      <c r="N38" s="2">
        <f>(Table14713[[#This Row],[GF]]^2)/((Table14713[[#This Row],[GF]]^2)+(Table14713[[#This Row],[GA]]^2))</f>
        <v>0.61490722765029759</v>
      </c>
      <c r="O38" s="1">
        <v>26.02</v>
      </c>
      <c r="P38" s="1">
        <v>81.849999999999994</v>
      </c>
      <c r="Q38" s="1">
        <f>Table14713[[#This Row],[PP_PCT]]+Table14713[[#This Row],[PK_PCT]]</f>
        <v>107.86999999999999</v>
      </c>
      <c r="R38" s="3">
        <v>10.6</v>
      </c>
      <c r="S38" s="3">
        <f>Table14713[[#This Row],[GA]]/Table14713[[#This Row],[GP]]</f>
        <v>2.6829268292682928</v>
      </c>
      <c r="T38" s="2">
        <v>0.92800000000000005</v>
      </c>
      <c r="U38" s="1">
        <v>101</v>
      </c>
      <c r="V38" s="1">
        <v>51.6</v>
      </c>
      <c r="W38" s="1">
        <v>50.7</v>
      </c>
      <c r="X38" s="1">
        <v>181.8</v>
      </c>
      <c r="Y38" s="3">
        <f>Table135814[[#This Row],[XGF]]/Table14713[[#This Row],[GP]]</f>
        <v>2.2170731707317075</v>
      </c>
      <c r="Z38" s="1">
        <v>164.6</v>
      </c>
      <c r="AA38" s="3">
        <f>Table135814[[#This Row],[XGA]]/Table14713[[#This Row],[GP]]</f>
        <v>2.0073170731707317</v>
      </c>
      <c r="AB38" s="1">
        <v>72</v>
      </c>
      <c r="AC38" s="2">
        <f>Table135814[[#This Row],[HDGF]]/Table14713[[#This Row],[GP]]</f>
        <v>0.87804878048780488</v>
      </c>
      <c r="AD38" s="1">
        <v>54</v>
      </c>
      <c r="AE38" s="2">
        <f>Table135814[[#This Row],[HDGA]]/Table14713[[#This Row],[GP]]</f>
        <v>0.65853658536585369</v>
      </c>
      <c r="AF38" s="1">
        <v>8.4</v>
      </c>
    </row>
    <row r="39" spans="1:32" hidden="1" x14ac:dyDescent="0.35">
      <c r="A39" t="s">
        <v>89</v>
      </c>
      <c r="B39">
        <v>6</v>
      </c>
      <c r="C39" t="s">
        <v>58</v>
      </c>
      <c r="D39" s="1">
        <v>1</v>
      </c>
      <c r="E39" s="1">
        <v>28.1</v>
      </c>
      <c r="F39" s="1">
        <v>82</v>
      </c>
      <c r="G39" s="1">
        <v>109</v>
      </c>
      <c r="H39" s="2">
        <f>Table14713[[#This Row],[PTS]]/Table14713[[#This Row],[GP]]</f>
        <v>1.3292682926829269</v>
      </c>
      <c r="I39" s="2">
        <v>0.66500000000000004</v>
      </c>
      <c r="J39" s="1">
        <v>274</v>
      </c>
      <c r="K39" s="3">
        <f>Table14713[[#This Row],[GF]]/Table14713[[#This Row],[GP]]</f>
        <v>3.3414634146341462</v>
      </c>
      <c r="L39" s="1">
        <v>223</v>
      </c>
      <c r="M39" s="1">
        <v>2.72</v>
      </c>
      <c r="N39" s="2">
        <f>(Table14713[[#This Row],[GF]]^2)/((Table14713[[#This Row],[GF]]^2)+(Table14713[[#This Row],[GA]]^2))</f>
        <v>0.60154641240334927</v>
      </c>
      <c r="O39" s="1">
        <v>24.52</v>
      </c>
      <c r="P39" s="1">
        <v>79.03</v>
      </c>
      <c r="Q39" s="1">
        <f>Table14713[[#This Row],[PP_PCT]]+Table14713[[#This Row],[PK_PCT]]</f>
        <v>103.55</v>
      </c>
      <c r="R39" s="3">
        <v>10</v>
      </c>
      <c r="S39" s="3">
        <f>Table14713[[#This Row],[GA]]/Table14713[[#This Row],[GP]]</f>
        <v>2.7195121951219514</v>
      </c>
      <c r="T39" s="2">
        <v>0.91900000000000004</v>
      </c>
      <c r="U39" s="1">
        <v>100.5</v>
      </c>
      <c r="V39" s="1">
        <v>53.7</v>
      </c>
      <c r="W39" s="1">
        <v>53.1</v>
      </c>
      <c r="X39" s="1">
        <v>182.3</v>
      </c>
      <c r="Y39" s="3">
        <f>Table135814[[#This Row],[XGF]]/Table14713[[#This Row],[GP]]</f>
        <v>2.223170731707317</v>
      </c>
      <c r="Z39" s="1">
        <v>151.5</v>
      </c>
      <c r="AA39" s="3">
        <f>Table135814[[#This Row],[XGA]]/Table14713[[#This Row],[GP]]</f>
        <v>1.8475609756097562</v>
      </c>
      <c r="AB39" s="1">
        <v>73</v>
      </c>
      <c r="AC39" s="2">
        <f>Table135814[[#This Row],[HDGF]]/Table14713[[#This Row],[GP]]</f>
        <v>0.8902439024390244</v>
      </c>
      <c r="AD39" s="1">
        <v>71</v>
      </c>
      <c r="AE39" s="2">
        <f>Table135814[[#This Row],[HDGA]]/Table14713[[#This Row],[GP]]</f>
        <v>0.86585365853658536</v>
      </c>
      <c r="AF39" s="1">
        <v>8.1999999999999993</v>
      </c>
    </row>
    <row r="40" spans="1:32" hidden="1" x14ac:dyDescent="0.35">
      <c r="A40" t="s">
        <v>89</v>
      </c>
      <c r="B40">
        <v>7</v>
      </c>
      <c r="C40" t="s">
        <v>67</v>
      </c>
      <c r="D40" s="1">
        <v>1</v>
      </c>
      <c r="E40" s="1">
        <v>27.9</v>
      </c>
      <c r="F40" s="1">
        <v>82</v>
      </c>
      <c r="G40" s="1">
        <v>109</v>
      </c>
      <c r="H40" s="2">
        <f>Table14713[[#This Row],[PTS]]/Table14713[[#This Row],[GP]]</f>
        <v>1.3292682926829269</v>
      </c>
      <c r="I40" s="2">
        <v>0.66500000000000004</v>
      </c>
      <c r="J40" s="1">
        <v>325</v>
      </c>
      <c r="K40" s="3">
        <f>Table14713[[#This Row],[GF]]/Table14713[[#This Row],[GP]]</f>
        <v>3.9634146341463414</v>
      </c>
      <c r="L40" s="1">
        <v>256</v>
      </c>
      <c r="M40" s="1">
        <v>3.12</v>
      </c>
      <c r="N40" s="2">
        <f>(Table14713[[#This Row],[GF]]^2)/((Table14713[[#This Row],[GF]]^2)+(Table14713[[#This Row],[GA]]^2))</f>
        <v>0.61710903768966063</v>
      </c>
      <c r="O40" s="1">
        <v>32.36</v>
      </c>
      <c r="P40" s="1">
        <v>76.98</v>
      </c>
      <c r="Q40" s="1">
        <f>Table14713[[#This Row],[PP_PCT]]+Table14713[[#This Row],[PK_PCT]]</f>
        <v>109.34</v>
      </c>
      <c r="R40" s="3">
        <v>11.8</v>
      </c>
      <c r="S40" s="3">
        <f>Table14713[[#This Row],[GA]]/Table14713[[#This Row],[GP]]</f>
        <v>3.1219512195121952</v>
      </c>
      <c r="T40" s="2">
        <v>0.92400000000000004</v>
      </c>
      <c r="U40" s="1">
        <v>101.6</v>
      </c>
      <c r="V40" s="1">
        <v>50.6</v>
      </c>
      <c r="W40" s="1">
        <v>49.1</v>
      </c>
      <c r="X40" s="1">
        <v>155.1</v>
      </c>
      <c r="Y40" s="3">
        <f>Table135814[[#This Row],[XGF]]/Table14713[[#This Row],[GP]]</f>
        <v>1.8914634146341462</v>
      </c>
      <c r="Z40" s="1">
        <v>140</v>
      </c>
      <c r="AA40" s="3">
        <f>Table135814[[#This Row],[XGA]]/Table14713[[#This Row],[GP]]</f>
        <v>1.7073170731707317</v>
      </c>
      <c r="AB40" s="1">
        <v>66</v>
      </c>
      <c r="AC40" s="2">
        <f>Table135814[[#This Row],[HDGF]]/Table14713[[#This Row],[GP]]</f>
        <v>0.80487804878048785</v>
      </c>
      <c r="AD40" s="1">
        <v>53</v>
      </c>
      <c r="AE40" s="2">
        <f>Table135814[[#This Row],[HDGA]]/Table14713[[#This Row],[GP]]</f>
        <v>0.64634146341463417</v>
      </c>
      <c r="AF40" s="1">
        <v>8.6</v>
      </c>
    </row>
    <row r="41" spans="1:32" hidden="1" x14ac:dyDescent="0.35">
      <c r="A41" t="s">
        <v>89</v>
      </c>
      <c r="B41">
        <v>8</v>
      </c>
      <c r="C41" t="s">
        <v>71</v>
      </c>
      <c r="D41" s="1">
        <v>1</v>
      </c>
      <c r="E41" s="1">
        <v>28.4</v>
      </c>
      <c r="F41" s="1">
        <v>82</v>
      </c>
      <c r="G41" s="1">
        <v>108</v>
      </c>
      <c r="H41" s="2">
        <f>Table14713[[#This Row],[PTS]]/Table14713[[#This Row],[GP]]</f>
        <v>1.3170731707317074</v>
      </c>
      <c r="I41" s="2">
        <v>0.65900000000000003</v>
      </c>
      <c r="J41" s="1">
        <v>281</v>
      </c>
      <c r="K41" s="3">
        <f>Table14713[[#This Row],[GF]]/Table14713[[#This Row],[GP]]</f>
        <v>3.4268292682926829</v>
      </c>
      <c r="L41" s="1">
        <v>215</v>
      </c>
      <c r="M41" s="1">
        <v>2.62</v>
      </c>
      <c r="N41" s="2">
        <f>(Table14713[[#This Row],[GF]]^2)/((Table14713[[#This Row],[GF]]^2)+(Table14713[[#This Row],[GA]]^2))</f>
        <v>0.63074944482609874</v>
      </c>
      <c r="O41" s="1">
        <v>25</v>
      </c>
      <c r="P41" s="1">
        <v>83.47</v>
      </c>
      <c r="Q41" s="1">
        <f>Table14713[[#This Row],[PP_PCT]]+Table14713[[#This Row],[PK_PCT]]</f>
        <v>108.47</v>
      </c>
      <c r="R41" s="3">
        <v>10.7</v>
      </c>
      <c r="S41" s="3">
        <f>Table14713[[#This Row],[GA]]/Table14713[[#This Row],[GP]]</f>
        <v>2.6219512195121952</v>
      </c>
      <c r="T41" s="2">
        <v>0.91400000000000003</v>
      </c>
      <c r="U41" s="1">
        <v>99.4</v>
      </c>
      <c r="V41" s="1">
        <v>46</v>
      </c>
      <c r="W41" s="1">
        <v>45.3</v>
      </c>
      <c r="X41" s="1">
        <v>173.4</v>
      </c>
      <c r="Y41" s="3">
        <f>Table135814[[#This Row],[XGF]]/Table14713[[#This Row],[GP]]</f>
        <v>2.1146341463414635</v>
      </c>
      <c r="Z41" s="1">
        <v>206.7</v>
      </c>
      <c r="AA41" s="3">
        <f>Table135814[[#This Row],[XGA]]/Table14713[[#This Row],[GP]]</f>
        <v>2.520731707317073</v>
      </c>
      <c r="AB41" s="1">
        <v>65</v>
      </c>
      <c r="AC41" s="2">
        <f>Table135814[[#This Row],[HDGF]]/Table14713[[#This Row],[GP]]</f>
        <v>0.79268292682926833</v>
      </c>
      <c r="AD41" s="1">
        <v>79</v>
      </c>
      <c r="AE41" s="2">
        <f>Table135814[[#This Row],[HDGA]]/Table14713[[#This Row],[GP]]</f>
        <v>0.96341463414634143</v>
      </c>
      <c r="AF41" s="1">
        <v>7.8</v>
      </c>
    </row>
    <row r="42" spans="1:32" hidden="1" x14ac:dyDescent="0.35">
      <c r="A42" t="s">
        <v>89</v>
      </c>
      <c r="B42">
        <v>9</v>
      </c>
      <c r="C42" t="s">
        <v>64</v>
      </c>
      <c r="D42" s="1">
        <v>1</v>
      </c>
      <c r="E42" s="1">
        <v>27.7</v>
      </c>
      <c r="F42" s="1">
        <v>82</v>
      </c>
      <c r="G42" s="1">
        <v>107</v>
      </c>
      <c r="H42" s="2">
        <f>Table14713[[#This Row],[PTS]]/Table14713[[#This Row],[GP]]</f>
        <v>1.3048780487804879</v>
      </c>
      <c r="I42" s="2">
        <v>0.65200000000000002</v>
      </c>
      <c r="J42" s="1">
        <v>273</v>
      </c>
      <c r="K42" s="3">
        <f>Table14713[[#This Row],[GF]]/Table14713[[#This Row],[GP]]</f>
        <v>3.3292682926829267</v>
      </c>
      <c r="L42" s="1">
        <v>216</v>
      </c>
      <c r="M42" s="1">
        <v>2.63</v>
      </c>
      <c r="N42" s="2">
        <f>(Table14713[[#This Row],[GF]]^2)/((Table14713[[#This Row],[GF]]^2)+(Table14713[[#This Row],[GA]]^2))</f>
        <v>0.61500185666542884</v>
      </c>
      <c r="O42" s="1">
        <v>24.08</v>
      </c>
      <c r="P42" s="1">
        <v>81.17</v>
      </c>
      <c r="Q42" s="1">
        <f>Table14713[[#This Row],[PP_PCT]]+Table14713[[#This Row],[PK_PCT]]</f>
        <v>105.25</v>
      </c>
      <c r="R42" s="3">
        <v>10.6</v>
      </c>
      <c r="S42" s="3">
        <f>Table14713[[#This Row],[GA]]/Table14713[[#This Row],[GP]]</f>
        <v>2.6341463414634148</v>
      </c>
      <c r="T42" s="2">
        <v>0.91300000000000003</v>
      </c>
      <c r="U42" s="1">
        <v>99.1</v>
      </c>
      <c r="V42" s="1">
        <v>46.1</v>
      </c>
      <c r="W42" s="1">
        <v>46.6</v>
      </c>
      <c r="X42" s="1">
        <v>154</v>
      </c>
      <c r="Y42" s="3">
        <f>Table135814[[#This Row],[XGF]]/Table14713[[#This Row],[GP]]</f>
        <v>1.8780487804878048</v>
      </c>
      <c r="Z42" s="1">
        <v>163.4</v>
      </c>
      <c r="AA42" s="3">
        <f>Table135814[[#This Row],[XGA]]/Table14713[[#This Row],[GP]]</f>
        <v>1.9926829268292683</v>
      </c>
      <c r="AB42" s="1">
        <v>51</v>
      </c>
      <c r="AC42" s="2">
        <f>Table135814[[#This Row],[HDGF]]/Table14713[[#This Row],[GP]]</f>
        <v>0.62195121951219512</v>
      </c>
      <c r="AD42" s="1">
        <v>73</v>
      </c>
      <c r="AE42" s="2">
        <f>Table135814[[#This Row],[HDGA]]/Table14713[[#This Row],[GP]]</f>
        <v>0.8902439024390244</v>
      </c>
      <c r="AF42" s="1">
        <v>7.6</v>
      </c>
    </row>
    <row r="43" spans="1:32" hidden="1" x14ac:dyDescent="0.35">
      <c r="A43" t="s">
        <v>89</v>
      </c>
      <c r="B43">
        <v>10</v>
      </c>
      <c r="C43" t="s">
        <v>70</v>
      </c>
      <c r="D43" s="1">
        <v>1</v>
      </c>
      <c r="E43" s="1">
        <v>28.7</v>
      </c>
      <c r="F43" s="1">
        <v>82</v>
      </c>
      <c r="G43" s="1">
        <v>104</v>
      </c>
      <c r="H43" s="2">
        <f>Table14713[[#This Row],[PTS]]/Table14713[[#This Row],[GP]]</f>
        <v>1.2682926829268293</v>
      </c>
      <c r="I43" s="2">
        <v>0.63400000000000001</v>
      </c>
      <c r="J43" s="1">
        <v>274</v>
      </c>
      <c r="K43" s="3">
        <f>Table14713[[#This Row],[GF]]/Table14713[[#This Row],[GP]]</f>
        <v>3.3414634146341462</v>
      </c>
      <c r="L43" s="1">
        <v>254</v>
      </c>
      <c r="M43" s="1">
        <v>3.1</v>
      </c>
      <c r="N43" s="2">
        <f>(Table14713[[#This Row],[GF]]^2)/((Table14713[[#This Row],[GF]]^2)+(Table14713[[#This Row],[GA]]^2))</f>
        <v>0.53782451716430746</v>
      </c>
      <c r="O43" s="1">
        <v>25.28</v>
      </c>
      <c r="P43" s="1">
        <v>75.84</v>
      </c>
      <c r="Q43" s="1">
        <f>Table14713[[#This Row],[PP_PCT]]+Table14713[[#This Row],[PK_PCT]]</f>
        <v>101.12</v>
      </c>
      <c r="R43" s="3">
        <v>10.3</v>
      </c>
      <c r="S43" s="3">
        <f>Table14713[[#This Row],[GA]]/Table14713[[#This Row],[GP]]</f>
        <v>3.0975609756097562</v>
      </c>
      <c r="T43" s="2">
        <v>0.91500000000000004</v>
      </c>
      <c r="U43" s="1">
        <v>100.7</v>
      </c>
      <c r="V43" s="1">
        <v>46.5</v>
      </c>
      <c r="W43" s="1">
        <v>45.9</v>
      </c>
      <c r="X43" s="1">
        <v>150.6</v>
      </c>
      <c r="Y43" s="3">
        <f>Table135814[[#This Row],[XGF]]/Table14713[[#This Row],[GP]]</f>
        <v>1.8365853658536584</v>
      </c>
      <c r="Z43" s="1">
        <v>177</v>
      </c>
      <c r="AA43" s="3">
        <f>Table135814[[#This Row],[XGA]]/Table14713[[#This Row],[GP]]</f>
        <v>2.1585365853658538</v>
      </c>
      <c r="AB43" s="1">
        <v>71</v>
      </c>
      <c r="AC43" s="2">
        <f>Table135814[[#This Row],[HDGF]]/Table14713[[#This Row],[GP]]</f>
        <v>0.86585365853658536</v>
      </c>
      <c r="AD43" s="1">
        <v>74</v>
      </c>
      <c r="AE43" s="2">
        <f>Table135814[[#This Row],[HDGA]]/Table14713[[#This Row],[GP]]</f>
        <v>0.90243902439024393</v>
      </c>
      <c r="AF43" s="1">
        <v>8.6</v>
      </c>
    </row>
    <row r="44" spans="1:32" hidden="1" x14ac:dyDescent="0.35">
      <c r="A44" t="s">
        <v>89</v>
      </c>
      <c r="B44">
        <v>11</v>
      </c>
      <c r="C44" t="s">
        <v>61</v>
      </c>
      <c r="D44" s="1">
        <v>1</v>
      </c>
      <c r="E44" s="1">
        <v>29.3</v>
      </c>
      <c r="F44" s="1">
        <v>82</v>
      </c>
      <c r="G44" s="1">
        <v>103</v>
      </c>
      <c r="H44" s="2">
        <f>Table14713[[#This Row],[PTS]]/Table14713[[#This Row],[GP]]</f>
        <v>1.2560975609756098</v>
      </c>
      <c r="I44" s="2">
        <v>0.628</v>
      </c>
      <c r="J44" s="1">
        <v>239</v>
      </c>
      <c r="K44" s="3">
        <f>Table14713[[#This Row],[GF]]/Table14713[[#This Row],[GP]]</f>
        <v>2.9146341463414633</v>
      </c>
      <c r="L44" s="1">
        <v>219</v>
      </c>
      <c r="M44" s="1">
        <v>2.67</v>
      </c>
      <c r="N44" s="2">
        <f>(Table14713[[#This Row],[GF]]^2)/((Table14713[[#This Row],[GF]]^2)+(Table14713[[#This Row],[GA]]^2))</f>
        <v>0.54358500980186897</v>
      </c>
      <c r="O44" s="1">
        <v>21.43</v>
      </c>
      <c r="P44" s="1">
        <v>82.03</v>
      </c>
      <c r="Q44" s="1">
        <f>Table14713[[#This Row],[PP_PCT]]+Table14713[[#This Row],[PK_PCT]]</f>
        <v>103.46000000000001</v>
      </c>
      <c r="R44" s="3">
        <v>9.4</v>
      </c>
      <c r="S44" s="3">
        <f>Table14713[[#This Row],[GA]]/Table14713[[#This Row],[GP]]</f>
        <v>2.6707317073170733</v>
      </c>
      <c r="T44" s="2">
        <v>0.92</v>
      </c>
      <c r="U44" s="1">
        <v>99.4</v>
      </c>
      <c r="V44" s="1">
        <v>48.6</v>
      </c>
      <c r="W44" s="1">
        <v>47.7</v>
      </c>
      <c r="X44" s="1">
        <v>140.5</v>
      </c>
      <c r="Y44" s="3">
        <f>Table135814[[#This Row],[XGF]]/Table14713[[#This Row],[GP]]</f>
        <v>1.7134146341463414</v>
      </c>
      <c r="Z44" s="1">
        <v>146.1</v>
      </c>
      <c r="AA44" s="3">
        <f>Table135814[[#This Row],[XGA]]/Table14713[[#This Row],[GP]]</f>
        <v>1.7817073170731708</v>
      </c>
      <c r="AB44" s="1">
        <v>41</v>
      </c>
      <c r="AC44" s="2">
        <f>Table135814[[#This Row],[HDGF]]/Table14713[[#This Row],[GP]]</f>
        <v>0.5</v>
      </c>
      <c r="AD44" s="1">
        <v>39</v>
      </c>
      <c r="AE44" s="2">
        <f>Table135814[[#This Row],[HDGA]]/Table14713[[#This Row],[GP]]</f>
        <v>0.47560975609756095</v>
      </c>
      <c r="AF44" s="1">
        <v>11.3</v>
      </c>
    </row>
    <row r="45" spans="1:32" hidden="1" x14ac:dyDescent="0.35">
      <c r="A45" t="s">
        <v>89</v>
      </c>
      <c r="B45">
        <v>12</v>
      </c>
      <c r="C45" t="s">
        <v>86</v>
      </c>
      <c r="D45" s="1">
        <v>1</v>
      </c>
      <c r="E45" s="1">
        <v>29</v>
      </c>
      <c r="F45" s="1">
        <v>82</v>
      </c>
      <c r="G45" s="1">
        <v>100</v>
      </c>
      <c r="H45" s="2">
        <f>Table14713[[#This Row],[PTS]]/Table14713[[#This Row],[GP]]</f>
        <v>1.2195121951219512</v>
      </c>
      <c r="I45" s="2">
        <v>0.61</v>
      </c>
      <c r="J45" s="1">
        <v>289</v>
      </c>
      <c r="K45" s="3">
        <f>Table14713[[#This Row],[GF]]/Table14713[[#This Row],[GP]]</f>
        <v>3.524390243902439</v>
      </c>
      <c r="L45" s="1">
        <v>252</v>
      </c>
      <c r="M45" s="1">
        <v>3.07</v>
      </c>
      <c r="N45" s="2">
        <f>(Table14713[[#This Row],[GF]]^2)/((Table14713[[#This Row],[GF]]^2)+(Table14713[[#This Row],[GA]]^2))</f>
        <v>0.56807345689508582</v>
      </c>
      <c r="O45" s="1">
        <v>19.75</v>
      </c>
      <c r="P45" s="1">
        <v>76.69</v>
      </c>
      <c r="Q45" s="1">
        <f>Table14713[[#This Row],[PP_PCT]]+Table14713[[#This Row],[PK_PCT]]</f>
        <v>96.44</v>
      </c>
      <c r="R45" s="3">
        <v>11.6</v>
      </c>
      <c r="S45" s="3">
        <f>Table14713[[#This Row],[GA]]/Table14713[[#This Row],[GP]]</f>
        <v>3.0731707317073171</v>
      </c>
      <c r="T45" s="2">
        <v>0.92100000000000004</v>
      </c>
      <c r="U45" s="1">
        <v>99.9</v>
      </c>
      <c r="V45" s="1">
        <v>52.5</v>
      </c>
      <c r="W45" s="1">
        <v>51.6</v>
      </c>
      <c r="X45" s="1">
        <v>192.1</v>
      </c>
      <c r="Y45" s="3">
        <f>Table135814[[#This Row],[XGF]]/Table14713[[#This Row],[GP]]</f>
        <v>2.3426829268292684</v>
      </c>
      <c r="Z45" s="1">
        <v>182.9</v>
      </c>
      <c r="AA45" s="3">
        <f>Table135814[[#This Row],[XGA]]/Table14713[[#This Row],[GP]]</f>
        <v>2.2304878048780488</v>
      </c>
      <c r="AB45" s="1">
        <v>86</v>
      </c>
      <c r="AC45" s="2">
        <f>Table135814[[#This Row],[HDGF]]/Table14713[[#This Row],[GP]]</f>
        <v>1.0487804878048781</v>
      </c>
      <c r="AD45" s="1">
        <v>67</v>
      </c>
      <c r="AE45" s="2">
        <f>Table135814[[#This Row],[HDGA]]/Table14713[[#This Row],[GP]]</f>
        <v>0.81707317073170727</v>
      </c>
      <c r="AF45" s="1">
        <v>8.5</v>
      </c>
    </row>
    <row r="46" spans="1:32" hidden="1" x14ac:dyDescent="0.35">
      <c r="A46" t="s">
        <v>89</v>
      </c>
      <c r="B46">
        <v>13</v>
      </c>
      <c r="C46" t="s">
        <v>63</v>
      </c>
      <c r="D46" s="1">
        <v>1</v>
      </c>
      <c r="E46" s="1">
        <v>29.9</v>
      </c>
      <c r="F46" s="1">
        <v>82</v>
      </c>
      <c r="G46" s="1">
        <v>98</v>
      </c>
      <c r="H46" s="2">
        <f>Table14713[[#This Row],[PTS]]/Table14713[[#This Row],[GP]]</f>
        <v>1.1951219512195121</v>
      </c>
      <c r="I46" s="2">
        <v>0.59799999999999998</v>
      </c>
      <c r="J46" s="1">
        <v>280</v>
      </c>
      <c r="K46" s="3">
        <f>Table14713[[#This Row],[GF]]/Table14713[[#This Row],[GP]]</f>
        <v>3.4146341463414633</v>
      </c>
      <c r="L46" s="1">
        <v>252</v>
      </c>
      <c r="M46" s="1">
        <v>3.07</v>
      </c>
      <c r="N46" s="2">
        <f>(Table14713[[#This Row],[GF]]^2)/((Table14713[[#This Row],[GF]]^2)+(Table14713[[#This Row],[GA]]^2))</f>
        <v>0.5524861878453039</v>
      </c>
      <c r="O46" s="1">
        <v>25.36</v>
      </c>
      <c r="P46" s="1">
        <v>79.69</v>
      </c>
      <c r="Q46" s="1">
        <f>Table14713[[#This Row],[PP_PCT]]+Table14713[[#This Row],[PK_PCT]]</f>
        <v>105.05</v>
      </c>
      <c r="R46" s="3">
        <v>10.7</v>
      </c>
      <c r="S46" s="3">
        <f>Table14713[[#This Row],[GA]]/Table14713[[#This Row],[GP]]</f>
        <v>3.0731707317073171</v>
      </c>
      <c r="T46" s="2">
        <v>0.92</v>
      </c>
      <c r="U46" s="1">
        <v>100.5</v>
      </c>
      <c r="V46" s="1">
        <v>52.2</v>
      </c>
      <c r="W46" s="1">
        <v>51.6</v>
      </c>
      <c r="X46" s="1">
        <v>203.1</v>
      </c>
      <c r="Y46" s="3">
        <f>Table135814[[#This Row],[XGF]]/Table14713[[#This Row],[GP]]</f>
        <v>2.4768292682926827</v>
      </c>
      <c r="Z46" s="1">
        <v>174</v>
      </c>
      <c r="AA46" s="3">
        <f>Table135814[[#This Row],[XGA]]/Table14713[[#This Row],[GP]]</f>
        <v>2.1219512195121952</v>
      </c>
      <c r="AB46" s="1">
        <v>70</v>
      </c>
      <c r="AC46" s="2">
        <f>Table135814[[#This Row],[HDGF]]/Table14713[[#This Row],[GP]]</f>
        <v>0.85365853658536583</v>
      </c>
      <c r="AD46" s="1">
        <v>71</v>
      </c>
      <c r="AE46" s="2">
        <f>Table135814[[#This Row],[HDGA]]/Table14713[[#This Row],[GP]]</f>
        <v>0.86585365853658536</v>
      </c>
      <c r="AF46" s="1">
        <v>12.1</v>
      </c>
    </row>
    <row r="47" spans="1:32" hidden="1" x14ac:dyDescent="0.35">
      <c r="A47" t="s">
        <v>89</v>
      </c>
      <c r="B47">
        <v>14</v>
      </c>
      <c r="C47" t="s">
        <v>75</v>
      </c>
      <c r="D47" s="1">
        <v>1</v>
      </c>
      <c r="E47" s="1">
        <v>28.7</v>
      </c>
      <c r="F47" s="1">
        <v>82</v>
      </c>
      <c r="G47" s="1">
        <v>95</v>
      </c>
      <c r="H47" s="2">
        <f>Table14713[[#This Row],[PTS]]/Table14713[[#This Row],[GP]]</f>
        <v>1.1585365853658536</v>
      </c>
      <c r="I47" s="2">
        <v>0.57899999999999996</v>
      </c>
      <c r="J47" s="1">
        <v>246</v>
      </c>
      <c r="K47" s="3">
        <f>Table14713[[#This Row],[GF]]/Table14713[[#This Row],[GP]]</f>
        <v>3</v>
      </c>
      <c r="L47" s="1">
        <v>224</v>
      </c>
      <c r="M47" s="1">
        <v>2.73</v>
      </c>
      <c r="N47" s="2">
        <f>(Table14713[[#This Row],[GF]]^2)/((Table14713[[#This Row],[GF]]^2)+(Table14713[[#This Row],[GA]]^2))</f>
        <v>0.54670617569472046</v>
      </c>
      <c r="O47" s="1">
        <v>19.260000000000002</v>
      </c>
      <c r="P47" s="1">
        <v>82.43</v>
      </c>
      <c r="Q47" s="1">
        <f>Table14713[[#This Row],[PP_PCT]]+Table14713[[#This Row],[PK_PCT]]</f>
        <v>101.69000000000001</v>
      </c>
      <c r="R47" s="3">
        <v>9.9</v>
      </c>
      <c r="S47" s="3">
        <f>Table14713[[#This Row],[GA]]/Table14713[[#This Row],[GP]]</f>
        <v>2.7317073170731709</v>
      </c>
      <c r="T47" s="2">
        <v>0.92100000000000004</v>
      </c>
      <c r="U47" s="1">
        <v>100.2</v>
      </c>
      <c r="V47" s="1">
        <v>55.6</v>
      </c>
      <c r="W47" s="1">
        <v>54.8</v>
      </c>
      <c r="X47" s="1">
        <v>209</v>
      </c>
      <c r="Y47" s="3">
        <f>Table135814[[#This Row],[XGF]]/Table14713[[#This Row],[GP]]</f>
        <v>2.5487804878048781</v>
      </c>
      <c r="Z47" s="1">
        <v>158.69999999999999</v>
      </c>
      <c r="AA47" s="3">
        <f>Table135814[[#This Row],[XGA]]/Table14713[[#This Row],[GP]]</f>
        <v>1.9353658536585365</v>
      </c>
      <c r="AB47" s="1">
        <v>93</v>
      </c>
      <c r="AC47" s="2">
        <f>Table135814[[#This Row],[HDGF]]/Table14713[[#This Row],[GP]]</f>
        <v>1.1341463414634145</v>
      </c>
      <c r="AD47" s="1">
        <v>61</v>
      </c>
      <c r="AE47" s="2">
        <f>Table135814[[#This Row],[HDGA]]/Table14713[[#This Row],[GP]]</f>
        <v>0.74390243902439024</v>
      </c>
      <c r="AF47" s="1">
        <v>8.5</v>
      </c>
    </row>
    <row r="48" spans="1:32" hidden="1" x14ac:dyDescent="0.35">
      <c r="A48" t="s">
        <v>89</v>
      </c>
      <c r="B48">
        <v>15</v>
      </c>
      <c r="C48" t="s">
        <v>62</v>
      </c>
      <c r="D48" s="1">
        <v>0</v>
      </c>
      <c r="E48" s="1">
        <v>29.8</v>
      </c>
      <c r="F48" s="1">
        <v>82</v>
      </c>
      <c r="G48" s="1">
        <v>93</v>
      </c>
      <c r="H48" s="2">
        <f>Table14713[[#This Row],[PTS]]/Table14713[[#This Row],[GP]]</f>
        <v>1.1341463414634145</v>
      </c>
      <c r="I48" s="2">
        <v>0.56699999999999995</v>
      </c>
      <c r="J48" s="1">
        <v>258</v>
      </c>
      <c r="K48" s="3">
        <f>Table14713[[#This Row],[GF]]/Table14713[[#This Row],[GP]]</f>
        <v>3.1463414634146343</v>
      </c>
      <c r="L48" s="1">
        <v>247</v>
      </c>
      <c r="M48" s="1">
        <v>3.01</v>
      </c>
      <c r="N48" s="2">
        <f>(Table14713[[#This Row],[GF]]^2)/((Table14713[[#This Row],[GF]]^2)+(Table14713[[#This Row],[GA]]^2))</f>
        <v>0.52177184827510525</v>
      </c>
      <c r="O48" s="1">
        <v>19.84</v>
      </c>
      <c r="P48" s="1">
        <v>82.59</v>
      </c>
      <c r="Q48" s="1">
        <f>Table14713[[#This Row],[PP_PCT]]+Table14713[[#This Row],[PK_PCT]]</f>
        <v>102.43</v>
      </c>
      <c r="R48" s="3">
        <v>8.8000000000000007</v>
      </c>
      <c r="S48" s="3">
        <f>Table14713[[#This Row],[GA]]/Table14713[[#This Row],[GP]]</f>
        <v>3.0121951219512195</v>
      </c>
      <c r="T48" s="2">
        <v>0.91100000000000003</v>
      </c>
      <c r="U48" s="1">
        <v>98.6</v>
      </c>
      <c r="V48" s="1">
        <v>54.5</v>
      </c>
      <c r="W48" s="1">
        <v>54.1</v>
      </c>
      <c r="X48" s="1">
        <v>174.2</v>
      </c>
      <c r="Y48" s="3">
        <f>Table135814[[#This Row],[XGF]]/Table14713[[#This Row],[GP]]</f>
        <v>2.1243902439024387</v>
      </c>
      <c r="Z48" s="1">
        <v>146.19999999999999</v>
      </c>
      <c r="AA48" s="3">
        <f>Table135814[[#This Row],[XGA]]/Table14713[[#This Row],[GP]]</f>
        <v>1.7829268292682925</v>
      </c>
      <c r="AB48" s="1">
        <v>64</v>
      </c>
      <c r="AC48" s="2">
        <f>Table135814[[#This Row],[HDGF]]/Table14713[[#This Row],[GP]]</f>
        <v>0.78048780487804881</v>
      </c>
      <c r="AD48" s="1">
        <v>56</v>
      </c>
      <c r="AE48" s="2">
        <f>Table135814[[#This Row],[HDGA]]/Table14713[[#This Row],[GP]]</f>
        <v>0.68292682926829273</v>
      </c>
      <c r="AF48" s="1">
        <v>9.1999999999999993</v>
      </c>
    </row>
    <row r="49" spans="1:32" hidden="1" x14ac:dyDescent="0.35">
      <c r="A49" t="s">
        <v>89</v>
      </c>
      <c r="B49">
        <v>16</v>
      </c>
      <c r="C49" t="s">
        <v>76</v>
      </c>
      <c r="D49" s="1">
        <v>1</v>
      </c>
      <c r="E49" s="1">
        <v>29.3</v>
      </c>
      <c r="F49" s="1">
        <v>82</v>
      </c>
      <c r="G49" s="1">
        <v>93</v>
      </c>
      <c r="H49" s="2">
        <f>Table14713[[#This Row],[PTS]]/Table14713[[#This Row],[GP]]</f>
        <v>1.1341463414634145</v>
      </c>
      <c r="I49" s="2">
        <v>0.56699999999999995</v>
      </c>
      <c r="J49" s="1">
        <v>242</v>
      </c>
      <c r="K49" s="3">
        <f>Table14713[[#This Row],[GF]]/Table14713[[#This Row],[GP]]</f>
        <v>2.9512195121951219</v>
      </c>
      <c r="L49" s="1">
        <v>217</v>
      </c>
      <c r="M49" s="1">
        <v>2.65</v>
      </c>
      <c r="N49" s="2">
        <f>(Table14713[[#This Row],[GF]]^2)/((Table14713[[#This Row],[GF]]^2)+(Table14713[[#This Row],[GA]]^2))</f>
        <v>0.55430513094753575</v>
      </c>
      <c r="O49" s="1">
        <v>15.77</v>
      </c>
      <c r="P49" s="1">
        <v>82.19</v>
      </c>
      <c r="Q49" s="1">
        <f>Table14713[[#This Row],[PP_PCT]]+Table14713[[#This Row],[PK_PCT]]</f>
        <v>97.96</v>
      </c>
      <c r="R49" s="3">
        <v>9.6</v>
      </c>
      <c r="S49" s="3">
        <f>Table14713[[#This Row],[GA]]/Table14713[[#This Row],[GP]]</f>
        <v>2.6463414634146343</v>
      </c>
      <c r="T49" s="2">
        <v>0.91900000000000004</v>
      </c>
      <c r="U49" s="1">
        <v>100.4</v>
      </c>
      <c r="V49" s="1">
        <v>56.6</v>
      </c>
      <c r="W49" s="1">
        <v>56.3</v>
      </c>
      <c r="X49" s="1">
        <v>231.9</v>
      </c>
      <c r="Y49" s="3">
        <f>Table135814[[#This Row],[XGF]]/Table14713[[#This Row],[GP]]</f>
        <v>2.8280487804878049</v>
      </c>
      <c r="Z49" s="1">
        <v>171.7</v>
      </c>
      <c r="AA49" s="3">
        <f>Table135814[[#This Row],[XGA]]/Table14713[[#This Row],[GP]]</f>
        <v>2.0939024390243901</v>
      </c>
      <c r="AB49" s="1">
        <v>90</v>
      </c>
      <c r="AC49" s="2">
        <f>Table135814[[#This Row],[HDGF]]/Table14713[[#This Row],[GP]]</f>
        <v>1.0975609756097562</v>
      </c>
      <c r="AD49" s="1">
        <v>64</v>
      </c>
      <c r="AE49" s="2">
        <f>Table135814[[#This Row],[HDGA]]/Table14713[[#This Row],[GP]]</f>
        <v>0.78048780487804881</v>
      </c>
      <c r="AF49" s="1">
        <v>8</v>
      </c>
    </row>
    <row r="50" spans="1:32" hidden="1" x14ac:dyDescent="0.35">
      <c r="A50" t="s">
        <v>89</v>
      </c>
      <c r="B50">
        <v>17</v>
      </c>
      <c r="C50" t="s">
        <v>57</v>
      </c>
      <c r="D50" s="1">
        <v>1</v>
      </c>
      <c r="E50" s="1">
        <v>28.7</v>
      </c>
      <c r="F50" s="1">
        <v>82</v>
      </c>
      <c r="G50" s="1">
        <v>92</v>
      </c>
      <c r="H50" s="2">
        <f>Table14713[[#This Row],[PTS]]/Table14713[[#This Row],[GP]]</f>
        <v>1.1219512195121952</v>
      </c>
      <c r="I50" s="2">
        <v>0.56100000000000005</v>
      </c>
      <c r="J50" s="1">
        <v>288</v>
      </c>
      <c r="K50" s="3">
        <f>Table14713[[#This Row],[GF]]/Table14713[[#This Row],[GP]]</f>
        <v>3.5121951219512195</v>
      </c>
      <c r="L50" s="1">
        <v>272</v>
      </c>
      <c r="M50" s="1">
        <v>3.32</v>
      </c>
      <c r="N50" s="2">
        <f>(Table14713[[#This Row],[GF]]^2)/((Table14713[[#This Row],[GF]]^2)+(Table14713[[#This Row],[GA]]^2))</f>
        <v>0.52854812398042417</v>
      </c>
      <c r="O50" s="1">
        <v>22.83</v>
      </c>
      <c r="P50" s="1">
        <v>75.95</v>
      </c>
      <c r="Q50" s="1">
        <f>Table14713[[#This Row],[PP_PCT]]+Table14713[[#This Row],[PK_PCT]]</f>
        <v>98.78</v>
      </c>
      <c r="R50" s="3">
        <v>9.5</v>
      </c>
      <c r="S50" s="3">
        <f>Table14713[[#This Row],[GA]]/Table14713[[#This Row],[GP]]</f>
        <v>3.3170731707317072</v>
      </c>
      <c r="T50" s="2">
        <v>0.92200000000000004</v>
      </c>
      <c r="U50" s="1">
        <v>100.2</v>
      </c>
      <c r="V50" s="1">
        <v>54.3</v>
      </c>
      <c r="W50" s="1">
        <v>53.5</v>
      </c>
      <c r="X50" s="1">
        <v>210.5</v>
      </c>
      <c r="Y50" s="3">
        <f>Table135814[[#This Row],[XGF]]/Table14713[[#This Row],[GP]]</f>
        <v>2.5670731707317072</v>
      </c>
      <c r="Z50" s="1">
        <v>184.9</v>
      </c>
      <c r="AA50" s="3">
        <f>Table135814[[#This Row],[XGA]]/Table14713[[#This Row],[GP]]</f>
        <v>2.2548780487804878</v>
      </c>
      <c r="AB50" s="1">
        <v>73</v>
      </c>
      <c r="AC50" s="2">
        <f>Table135814[[#This Row],[HDGF]]/Table14713[[#This Row],[GP]]</f>
        <v>0.8902439024390244</v>
      </c>
      <c r="AD50" s="1">
        <v>59</v>
      </c>
      <c r="AE50" s="2">
        <f>Table135814[[#This Row],[HDGA]]/Table14713[[#This Row],[GP]]</f>
        <v>0.71951219512195119</v>
      </c>
      <c r="AF50" s="1">
        <v>12.2</v>
      </c>
    </row>
    <row r="51" spans="1:32" hidden="1" x14ac:dyDescent="0.35">
      <c r="A51" t="s">
        <v>89</v>
      </c>
      <c r="B51">
        <v>18</v>
      </c>
      <c r="C51" t="s">
        <v>72</v>
      </c>
      <c r="D51" s="1">
        <v>0</v>
      </c>
      <c r="E51" s="1">
        <v>28.3</v>
      </c>
      <c r="F51" s="1">
        <v>82</v>
      </c>
      <c r="G51" s="1">
        <v>92</v>
      </c>
      <c r="H51" s="2">
        <f>Table14713[[#This Row],[PTS]]/Table14713[[#This Row],[GP]]</f>
        <v>1.1219512195121952</v>
      </c>
      <c r="I51" s="2">
        <v>0.56100000000000005</v>
      </c>
      <c r="J51" s="1">
        <v>223</v>
      </c>
      <c r="K51" s="3">
        <f>Table14713[[#This Row],[GF]]/Table14713[[#This Row],[GP]]</f>
        <v>2.7195121951219514</v>
      </c>
      <c r="L51" s="1">
        <v>236</v>
      </c>
      <c r="M51" s="1">
        <v>2.88</v>
      </c>
      <c r="N51" s="2">
        <f>(Table14713[[#This Row],[GF]]^2)/((Table14713[[#This Row],[GF]]^2)+(Table14713[[#This Row],[GA]]^2))</f>
        <v>0.47170026084894473</v>
      </c>
      <c r="O51" s="1">
        <v>17.600000000000001</v>
      </c>
      <c r="P51" s="1">
        <v>82.55</v>
      </c>
      <c r="Q51" s="1">
        <f>Table14713[[#This Row],[PP_PCT]]+Table14713[[#This Row],[PK_PCT]]</f>
        <v>100.15</v>
      </c>
      <c r="R51" s="3">
        <v>9.1999999999999993</v>
      </c>
      <c r="S51" s="3">
        <f>Table14713[[#This Row],[GA]]/Table14713[[#This Row],[GP]]</f>
        <v>2.8780487804878048</v>
      </c>
      <c r="T51" s="2">
        <v>0.93500000000000005</v>
      </c>
      <c r="U51" s="1">
        <v>100.6</v>
      </c>
      <c r="V51" s="1">
        <v>56.2</v>
      </c>
      <c r="W51" s="1">
        <v>53.8</v>
      </c>
      <c r="X51" s="1">
        <v>166.2</v>
      </c>
      <c r="Y51" s="3">
        <f>Table135814[[#This Row],[XGF]]/Table14713[[#This Row],[GP]]</f>
        <v>2.026829268292683</v>
      </c>
      <c r="Z51" s="1">
        <v>144.80000000000001</v>
      </c>
      <c r="AA51" s="3">
        <f>Table135814[[#This Row],[XGA]]/Table14713[[#This Row],[GP]]</f>
        <v>1.7658536585365856</v>
      </c>
      <c r="AB51" s="1">
        <v>51</v>
      </c>
      <c r="AC51" s="2">
        <f>Table135814[[#This Row],[HDGF]]/Table14713[[#This Row],[GP]]</f>
        <v>0.62195121951219512</v>
      </c>
      <c r="AD51" s="1">
        <v>57</v>
      </c>
      <c r="AE51" s="2">
        <f>Table135814[[#This Row],[HDGA]]/Table14713[[#This Row],[GP]]</f>
        <v>0.69512195121951215</v>
      </c>
      <c r="AF51" s="1">
        <v>9.6</v>
      </c>
    </row>
    <row r="52" spans="1:32" hidden="1" x14ac:dyDescent="0.35">
      <c r="A52" t="s">
        <v>89</v>
      </c>
      <c r="B52">
        <v>19</v>
      </c>
      <c r="C52" t="s">
        <v>80</v>
      </c>
      <c r="D52" s="1">
        <v>0</v>
      </c>
      <c r="E52" s="1">
        <v>26.1</v>
      </c>
      <c r="F52" s="1">
        <v>82</v>
      </c>
      <c r="G52" s="1">
        <v>91</v>
      </c>
      <c r="H52" s="2">
        <f>Table14713[[#This Row],[PTS]]/Table14713[[#This Row],[GP]]</f>
        <v>1.1097560975609757</v>
      </c>
      <c r="I52" s="2">
        <v>0.55500000000000005</v>
      </c>
      <c r="J52" s="1">
        <v>293</v>
      </c>
      <c r="K52" s="3">
        <f>Table14713[[#This Row],[GF]]/Table14713[[#This Row],[GP]]</f>
        <v>3.5731707317073171</v>
      </c>
      <c r="L52" s="1">
        <v>297</v>
      </c>
      <c r="M52" s="1">
        <v>3.62</v>
      </c>
      <c r="N52" s="2">
        <f>(Table14713[[#This Row],[GF]]^2)/((Table14713[[#This Row],[GF]]^2)+(Table14713[[#This Row],[GA]]^2))</f>
        <v>0.49322065058773512</v>
      </c>
      <c r="O52" s="1">
        <v>23.42</v>
      </c>
      <c r="P52" s="1">
        <v>73.010000000000005</v>
      </c>
      <c r="Q52" s="1">
        <f>Table14713[[#This Row],[PP_PCT]]+Table14713[[#This Row],[PK_PCT]]</f>
        <v>96.43</v>
      </c>
      <c r="R52" s="3">
        <v>11</v>
      </c>
      <c r="S52" s="3">
        <f>Table14713[[#This Row],[GA]]/Table14713[[#This Row],[GP]]</f>
        <v>3.6219512195121952</v>
      </c>
      <c r="T52" s="2">
        <v>0.92200000000000004</v>
      </c>
      <c r="U52" s="1">
        <v>99.7</v>
      </c>
      <c r="V52" s="1">
        <v>55.4</v>
      </c>
      <c r="W52" s="1">
        <v>54</v>
      </c>
      <c r="X52" s="1">
        <v>161.9</v>
      </c>
      <c r="Y52" s="3">
        <f>Table135814[[#This Row],[XGF]]/Table14713[[#This Row],[GP]]</f>
        <v>1.974390243902439</v>
      </c>
      <c r="Z52" s="1">
        <v>127.5</v>
      </c>
      <c r="AA52" s="3">
        <f>Table135814[[#This Row],[XGA]]/Table14713[[#This Row],[GP]]</f>
        <v>1.5548780487804879</v>
      </c>
      <c r="AB52" s="1">
        <v>53</v>
      </c>
      <c r="AC52" s="2">
        <f>Table135814[[#This Row],[HDGF]]/Table14713[[#This Row],[GP]]</f>
        <v>0.64634146341463417</v>
      </c>
      <c r="AD52" s="1">
        <v>48</v>
      </c>
      <c r="AE52" s="2">
        <f>Table135814[[#This Row],[HDGA]]/Table14713[[#This Row],[GP]]</f>
        <v>0.58536585365853655</v>
      </c>
      <c r="AF52" s="1">
        <v>7.4</v>
      </c>
    </row>
    <row r="53" spans="1:32" hidden="1" x14ac:dyDescent="0.35">
      <c r="A53" t="s">
        <v>89</v>
      </c>
      <c r="B53">
        <v>20</v>
      </c>
      <c r="C53" t="s">
        <v>68</v>
      </c>
      <c r="D53" s="1">
        <v>0</v>
      </c>
      <c r="E53" s="1">
        <v>31</v>
      </c>
      <c r="F53" s="1">
        <v>82</v>
      </c>
      <c r="G53" s="1">
        <v>91</v>
      </c>
      <c r="H53" s="2">
        <f>Table14713[[#This Row],[PTS]]/Table14713[[#This Row],[GP]]</f>
        <v>1.1097560975609757</v>
      </c>
      <c r="I53" s="2">
        <v>0.55500000000000005</v>
      </c>
      <c r="J53" s="1">
        <v>261</v>
      </c>
      <c r="K53" s="3">
        <f>Table14713[[#This Row],[GF]]/Table14713[[#This Row],[GP]]</f>
        <v>3.1829268292682928</v>
      </c>
      <c r="L53" s="1">
        <v>263</v>
      </c>
      <c r="M53" s="1">
        <v>3.21</v>
      </c>
      <c r="N53" s="2">
        <f>(Table14713[[#This Row],[GF]]^2)/((Table14713[[#This Row],[GF]]^2)+(Table14713[[#This Row],[GA]]^2))</f>
        <v>0.49618326170879162</v>
      </c>
      <c r="O53" s="1">
        <v>21.72</v>
      </c>
      <c r="P53" s="1">
        <v>79.09</v>
      </c>
      <c r="Q53" s="1">
        <f>Table14713[[#This Row],[PP_PCT]]+Table14713[[#This Row],[PK_PCT]]</f>
        <v>100.81</v>
      </c>
      <c r="R53" s="3">
        <v>9.3000000000000007</v>
      </c>
      <c r="S53" s="3">
        <f>Table14713[[#This Row],[GA]]/Table14713[[#This Row],[GP]]</f>
        <v>3.2073170731707319</v>
      </c>
      <c r="T53" s="2">
        <v>0.92</v>
      </c>
      <c r="U53" s="1">
        <v>98.7</v>
      </c>
      <c r="V53" s="1">
        <v>54.1</v>
      </c>
      <c r="W53" s="1">
        <v>54.8</v>
      </c>
      <c r="X53" s="1">
        <v>183.5</v>
      </c>
      <c r="Y53" s="3">
        <f>Table135814[[#This Row],[XGF]]/Table14713[[#This Row],[GP]]</f>
        <v>2.2378048780487805</v>
      </c>
      <c r="Z53" s="1">
        <v>167.3</v>
      </c>
      <c r="AA53" s="3">
        <f>Table135814[[#This Row],[XGA]]/Table14713[[#This Row],[GP]]</f>
        <v>2.0402439024390246</v>
      </c>
      <c r="AB53" s="1">
        <v>75</v>
      </c>
      <c r="AC53" s="2">
        <f>Table135814[[#This Row],[HDGF]]/Table14713[[#This Row],[GP]]</f>
        <v>0.91463414634146345</v>
      </c>
      <c r="AD53" s="1">
        <v>68</v>
      </c>
      <c r="AE53" s="2">
        <f>Table135814[[#This Row],[HDGA]]/Table14713[[#This Row],[GP]]</f>
        <v>0.82926829268292679</v>
      </c>
      <c r="AF53" s="1">
        <v>8.6</v>
      </c>
    </row>
    <row r="54" spans="1:32" hidden="1" x14ac:dyDescent="0.35">
      <c r="A54" t="s">
        <v>89</v>
      </c>
      <c r="B54">
        <v>21</v>
      </c>
      <c r="C54" t="s">
        <v>82</v>
      </c>
      <c r="D54" s="1">
        <v>0</v>
      </c>
      <c r="E54" s="1">
        <v>27.3</v>
      </c>
      <c r="F54" s="1">
        <v>82</v>
      </c>
      <c r="G54" s="1">
        <v>86</v>
      </c>
      <c r="H54" s="2">
        <f>Table14713[[#This Row],[PTS]]/Table14713[[#This Row],[GP]]</f>
        <v>1.0487804878048781</v>
      </c>
      <c r="I54" s="2">
        <v>0.52400000000000002</v>
      </c>
      <c r="J54" s="1">
        <v>259</v>
      </c>
      <c r="K54" s="3">
        <f>Table14713[[#This Row],[GF]]/Table14713[[#This Row],[GP]]</f>
        <v>3.1585365853658538</v>
      </c>
      <c r="L54" s="1">
        <v>270</v>
      </c>
      <c r="M54" s="1">
        <v>3.29</v>
      </c>
      <c r="N54" s="2">
        <f>(Table14713[[#This Row],[GF]]^2)/((Table14713[[#This Row],[GF]]^2)+(Table14713[[#This Row],[GA]]^2))</f>
        <v>0.47921503632635859</v>
      </c>
      <c r="O54" s="1">
        <v>23.53</v>
      </c>
      <c r="P54" s="1">
        <v>80.069999999999993</v>
      </c>
      <c r="Q54" s="1">
        <f>Table14713[[#This Row],[PP_PCT]]+Table14713[[#This Row],[PK_PCT]]</f>
        <v>103.6</v>
      </c>
      <c r="R54" s="3">
        <v>9.4</v>
      </c>
      <c r="S54" s="3">
        <f>Table14713[[#This Row],[GA]]/Table14713[[#This Row],[GP]]</f>
        <v>3.2926829268292681</v>
      </c>
      <c r="T54" s="2">
        <v>0.91400000000000003</v>
      </c>
      <c r="U54" s="1">
        <v>99.1</v>
      </c>
      <c r="V54" s="1">
        <v>52.3</v>
      </c>
      <c r="W54" s="1">
        <v>53.8</v>
      </c>
      <c r="X54" s="1">
        <v>184.3</v>
      </c>
      <c r="Y54" s="3">
        <f>Table135814[[#This Row],[XGF]]/Table14713[[#This Row],[GP]]</f>
        <v>2.2475609756097561</v>
      </c>
      <c r="Z54" s="1">
        <v>161.1</v>
      </c>
      <c r="AA54" s="3">
        <f>Table135814[[#This Row],[XGA]]/Table14713[[#This Row],[GP]]</f>
        <v>1.9646341463414634</v>
      </c>
      <c r="AB54" s="1">
        <v>61</v>
      </c>
      <c r="AC54" s="2">
        <f>Table135814[[#This Row],[HDGF]]/Table14713[[#This Row],[GP]]</f>
        <v>0.74390243902439024</v>
      </c>
      <c r="AD54" s="1">
        <v>59</v>
      </c>
      <c r="AE54" s="2">
        <f>Table135814[[#This Row],[HDGA]]/Table14713[[#This Row],[GP]]</f>
        <v>0.71951219512195119</v>
      </c>
      <c r="AF54" s="1">
        <v>12.4</v>
      </c>
    </row>
    <row r="55" spans="1:32" hidden="1" x14ac:dyDescent="0.35">
      <c r="A55" t="s">
        <v>89</v>
      </c>
      <c r="B55">
        <v>22</v>
      </c>
      <c r="C55" t="s">
        <v>74</v>
      </c>
      <c r="D55" s="1">
        <v>0</v>
      </c>
      <c r="E55" s="1">
        <v>27.3</v>
      </c>
      <c r="F55" s="1">
        <v>82</v>
      </c>
      <c r="G55" s="1">
        <v>83</v>
      </c>
      <c r="H55" s="2">
        <f>Table14713[[#This Row],[PTS]]/Table14713[[#This Row],[GP]]</f>
        <v>1.0121951219512195</v>
      </c>
      <c r="I55" s="2">
        <v>0.50600000000000001</v>
      </c>
      <c r="J55" s="1">
        <v>270</v>
      </c>
      <c r="K55" s="3">
        <f>Table14713[[#This Row],[GF]]/Table14713[[#This Row],[GP]]</f>
        <v>3.2926829268292681</v>
      </c>
      <c r="L55" s="1">
        <v>296</v>
      </c>
      <c r="M55" s="1">
        <v>3.61</v>
      </c>
      <c r="N55" s="2">
        <f>(Table14713[[#This Row],[GF]]^2)/((Table14713[[#This Row],[GF]]^2)+(Table14713[[#This Row],[GA]]^2))</f>
        <v>0.45416033292631264</v>
      </c>
      <c r="O55" s="1">
        <v>22.71</v>
      </c>
      <c r="P55" s="1">
        <v>71.599999999999994</v>
      </c>
      <c r="Q55" s="1">
        <f>Table14713[[#This Row],[PP_PCT]]+Table14713[[#This Row],[PK_PCT]]</f>
        <v>94.31</v>
      </c>
      <c r="R55" s="3">
        <v>11.1</v>
      </c>
      <c r="S55" s="3">
        <f>Table14713[[#This Row],[GA]]/Table14713[[#This Row],[GP]]</f>
        <v>3.6097560975609757</v>
      </c>
      <c r="T55" s="2">
        <v>0.92300000000000004</v>
      </c>
      <c r="U55" s="1">
        <v>99.6</v>
      </c>
      <c r="V55" s="1">
        <v>54.4</v>
      </c>
      <c r="W55" s="1">
        <v>54.9</v>
      </c>
      <c r="X55" s="1">
        <v>169.6</v>
      </c>
      <c r="Y55" s="3">
        <f>Table135814[[#This Row],[XGF]]/Table14713[[#This Row],[GP]]</f>
        <v>2.0682926829268293</v>
      </c>
      <c r="Z55" s="1">
        <v>146.30000000000001</v>
      </c>
      <c r="AA55" s="3">
        <f>Table135814[[#This Row],[XGA]]/Table14713[[#This Row],[GP]]</f>
        <v>1.7841463414634147</v>
      </c>
      <c r="AB55" s="1">
        <v>67</v>
      </c>
      <c r="AC55" s="2">
        <f>Table135814[[#This Row],[HDGF]]/Table14713[[#This Row],[GP]]</f>
        <v>0.81707317073170727</v>
      </c>
      <c r="AD55" s="1">
        <v>61</v>
      </c>
      <c r="AE55" s="2">
        <f>Table135814[[#This Row],[HDGA]]/Table14713[[#This Row],[GP]]</f>
        <v>0.74390243902439024</v>
      </c>
      <c r="AF55" s="1">
        <v>9</v>
      </c>
    </row>
    <row r="56" spans="1:32" hidden="1" x14ac:dyDescent="0.35">
      <c r="A56" t="s">
        <v>89</v>
      </c>
      <c r="B56">
        <v>23</v>
      </c>
      <c r="C56" t="s">
        <v>65</v>
      </c>
      <c r="D56" s="1">
        <v>0</v>
      </c>
      <c r="E56" s="1">
        <v>29.3</v>
      </c>
      <c r="F56" s="1">
        <v>82</v>
      </c>
      <c r="G56" s="1">
        <v>81</v>
      </c>
      <c r="H56" s="2">
        <f>Table14713[[#This Row],[PTS]]/Table14713[[#This Row],[GP]]</f>
        <v>0.98780487804878048</v>
      </c>
      <c r="I56" s="2">
        <v>0.49399999999999999</v>
      </c>
      <c r="J56" s="1">
        <v>260</v>
      </c>
      <c r="K56" s="3">
        <f>Table14713[[#This Row],[GF]]/Table14713[[#This Row],[GP]]</f>
        <v>3.1707317073170733</v>
      </c>
      <c r="L56" s="1">
        <v>298</v>
      </c>
      <c r="M56" s="1">
        <v>3.63</v>
      </c>
      <c r="N56" s="2">
        <f>(Table14713[[#This Row],[GF]]^2)/((Table14713[[#This Row],[GF]]^2)+(Table14713[[#This Row],[GA]]^2))</f>
        <v>0.43221400987187031</v>
      </c>
      <c r="O56" s="1">
        <v>19.329999999999998</v>
      </c>
      <c r="P56" s="1">
        <v>72.349999999999994</v>
      </c>
      <c r="Q56" s="1">
        <f>Table14713[[#This Row],[PP_PCT]]+Table14713[[#This Row],[PK_PCT]]</f>
        <v>91.679999999999993</v>
      </c>
      <c r="R56" s="3">
        <v>11.1</v>
      </c>
      <c r="S56" s="3">
        <f>Table14713[[#This Row],[GA]]/Table14713[[#This Row],[GP]]</f>
        <v>3.6341463414634148</v>
      </c>
      <c r="T56" s="2">
        <v>0.92600000000000005</v>
      </c>
      <c r="U56" s="1">
        <v>101</v>
      </c>
      <c r="V56" s="1">
        <v>53.8</v>
      </c>
      <c r="W56" s="1">
        <v>54.2</v>
      </c>
      <c r="X56" s="1">
        <v>138.1</v>
      </c>
      <c r="Y56" s="3">
        <f>Table135814[[#This Row],[XGF]]/Table14713[[#This Row],[GP]]</f>
        <v>1.6841463414634146</v>
      </c>
      <c r="Z56" s="1">
        <v>132.69999999999999</v>
      </c>
      <c r="AA56" s="3">
        <f>Table135814[[#This Row],[XGA]]/Table14713[[#This Row],[GP]]</f>
        <v>1.6182926829268292</v>
      </c>
      <c r="AB56" s="1">
        <v>57</v>
      </c>
      <c r="AC56" s="2">
        <f>Table135814[[#This Row],[HDGF]]/Table14713[[#This Row],[GP]]</f>
        <v>0.69512195121951215</v>
      </c>
      <c r="AD56" s="1">
        <v>48</v>
      </c>
      <c r="AE56" s="2">
        <f>Table135814[[#This Row],[HDGA]]/Table14713[[#This Row],[GP]]</f>
        <v>0.58536585365853655</v>
      </c>
      <c r="AF56" s="1">
        <v>7.8</v>
      </c>
    </row>
    <row r="57" spans="1:32" hidden="1" x14ac:dyDescent="0.35">
      <c r="A57" t="s">
        <v>89</v>
      </c>
      <c r="B57">
        <v>24</v>
      </c>
      <c r="C57" t="s">
        <v>69</v>
      </c>
      <c r="D57" s="1">
        <v>0</v>
      </c>
      <c r="E57" s="1">
        <v>30.9</v>
      </c>
      <c r="F57" s="1">
        <v>82</v>
      </c>
      <c r="G57" s="1">
        <v>80</v>
      </c>
      <c r="H57" s="2">
        <f>Table14713[[#This Row],[PTS]]/Table14713[[#This Row],[GP]]</f>
        <v>0.97560975609756095</v>
      </c>
      <c r="I57" s="2">
        <v>0.48799999999999999</v>
      </c>
      <c r="J57" s="1">
        <v>253</v>
      </c>
      <c r="K57" s="3">
        <f>Table14713[[#This Row],[GF]]/Table14713[[#This Row],[GP]]</f>
        <v>3.0853658536585367</v>
      </c>
      <c r="L57" s="1">
        <v>261</v>
      </c>
      <c r="M57" s="1">
        <v>3.18</v>
      </c>
      <c r="N57" s="2">
        <f>(Table14713[[#This Row],[GF]]^2)/((Table14713[[#This Row],[GF]]^2)+(Table14713[[#This Row],[GA]]^2))</f>
        <v>0.48443956709301444</v>
      </c>
      <c r="O57" s="1">
        <v>21.22</v>
      </c>
      <c r="P57" s="1">
        <v>81.86</v>
      </c>
      <c r="Q57" s="1">
        <f>Table14713[[#This Row],[PP_PCT]]+Table14713[[#This Row],[PK_PCT]]</f>
        <v>103.08</v>
      </c>
      <c r="R57" s="3">
        <v>9.9</v>
      </c>
      <c r="S57" s="3">
        <f>Table14713[[#This Row],[GA]]/Table14713[[#This Row],[GP]]</f>
        <v>3.1829268292682928</v>
      </c>
      <c r="T57" s="2">
        <v>0.92600000000000005</v>
      </c>
      <c r="U57" s="1">
        <v>101.9</v>
      </c>
      <c r="V57" s="1">
        <v>51.3</v>
      </c>
      <c r="W57" s="1">
        <v>51.3</v>
      </c>
      <c r="X57" s="1">
        <v>182.8</v>
      </c>
      <c r="Y57" s="3">
        <f>Table135814[[#This Row],[XGF]]/Table14713[[#This Row],[GP]]</f>
        <v>2.229268292682927</v>
      </c>
      <c r="Z57" s="1">
        <v>156.19999999999999</v>
      </c>
      <c r="AA57" s="3">
        <f>Table135814[[#This Row],[XGA]]/Table14713[[#This Row],[GP]]</f>
        <v>1.9048780487804877</v>
      </c>
      <c r="AB57" s="1">
        <v>83</v>
      </c>
      <c r="AC57" s="2">
        <f>Table135814[[#This Row],[HDGF]]/Table14713[[#This Row],[GP]]</f>
        <v>1.0121951219512195</v>
      </c>
      <c r="AD57" s="1">
        <v>60</v>
      </c>
      <c r="AE57" s="2">
        <f>Table135814[[#This Row],[HDGA]]/Table14713[[#This Row],[GP]]</f>
        <v>0.73170731707317072</v>
      </c>
      <c r="AF57" s="1">
        <v>8.6999999999999993</v>
      </c>
    </row>
    <row r="58" spans="1:32" hidden="1" x14ac:dyDescent="0.35">
      <c r="A58" t="s">
        <v>89</v>
      </c>
      <c r="B58">
        <v>25</v>
      </c>
      <c r="C58" t="s">
        <v>81</v>
      </c>
      <c r="D58" s="1">
        <v>0</v>
      </c>
      <c r="E58" s="1">
        <v>27.3</v>
      </c>
      <c r="F58" s="1">
        <v>82</v>
      </c>
      <c r="G58" s="1">
        <v>80</v>
      </c>
      <c r="H58" s="2">
        <f>Table14713[[#This Row],[PTS]]/Table14713[[#This Row],[GP]]</f>
        <v>0.97560975609756095</v>
      </c>
      <c r="I58" s="2">
        <v>0.48799999999999999</v>
      </c>
      <c r="J58" s="1">
        <v>237</v>
      </c>
      <c r="K58" s="3">
        <f>Table14713[[#This Row],[GF]]/Table14713[[#This Row],[GP]]</f>
        <v>2.8902439024390243</v>
      </c>
      <c r="L58" s="1">
        <v>275</v>
      </c>
      <c r="M58" s="1">
        <v>3.35</v>
      </c>
      <c r="N58" s="2">
        <f>(Table14713[[#This Row],[GF]]^2)/((Table14713[[#This Row],[GF]]^2)+(Table14713[[#This Row],[GA]]^2))</f>
        <v>0.4261878385965977</v>
      </c>
      <c r="O58" s="1">
        <v>21.11</v>
      </c>
      <c r="P58" s="1">
        <v>78.31</v>
      </c>
      <c r="Q58" s="1">
        <f>Table14713[[#This Row],[PP_PCT]]+Table14713[[#This Row],[PK_PCT]]</f>
        <v>99.42</v>
      </c>
      <c r="R58" s="3">
        <v>10.3</v>
      </c>
      <c r="S58" s="3">
        <f>Table14713[[#This Row],[GA]]/Table14713[[#This Row],[GP]]</f>
        <v>3.3536585365853657</v>
      </c>
      <c r="T58" s="2">
        <v>0.93200000000000005</v>
      </c>
      <c r="U58" s="1">
        <v>100.5</v>
      </c>
      <c r="V58" s="1">
        <v>49.6</v>
      </c>
      <c r="W58" s="1">
        <v>50.2</v>
      </c>
      <c r="X58" s="1">
        <v>167.2</v>
      </c>
      <c r="Y58" s="3">
        <f>Table135814[[#This Row],[XGF]]/Table14713[[#This Row],[GP]]</f>
        <v>2.0390243902439025</v>
      </c>
      <c r="Z58" s="1">
        <v>170.2</v>
      </c>
      <c r="AA58" s="3">
        <f>Table135814[[#This Row],[XGA]]/Table14713[[#This Row],[GP]]</f>
        <v>2.075609756097561</v>
      </c>
      <c r="AB58" s="1">
        <v>69</v>
      </c>
      <c r="AC58" s="2">
        <f>Table135814[[#This Row],[HDGF]]/Table14713[[#This Row],[GP]]</f>
        <v>0.84146341463414631</v>
      </c>
      <c r="AD58" s="1">
        <v>64</v>
      </c>
      <c r="AE58" s="2">
        <f>Table135814[[#This Row],[HDGA]]/Table14713[[#This Row],[GP]]</f>
        <v>0.78048780487804881</v>
      </c>
      <c r="AF58" s="1">
        <v>8.1</v>
      </c>
    </row>
    <row r="59" spans="1:32" hidden="1" x14ac:dyDescent="0.35">
      <c r="A59" t="s">
        <v>89</v>
      </c>
      <c r="B59">
        <v>26</v>
      </c>
      <c r="C59" t="s">
        <v>85</v>
      </c>
      <c r="D59" s="1">
        <v>0</v>
      </c>
      <c r="E59" s="1">
        <v>26.8</v>
      </c>
      <c r="F59" s="1">
        <v>82</v>
      </c>
      <c r="G59" s="1">
        <v>75</v>
      </c>
      <c r="H59" s="2">
        <f>Table14713[[#This Row],[PTS]]/Table14713[[#This Row],[GP]]</f>
        <v>0.91463414634146345</v>
      </c>
      <c r="I59" s="2">
        <v>0.45700000000000002</v>
      </c>
      <c r="J59" s="1">
        <v>220</v>
      </c>
      <c r="K59" s="3">
        <f>Table14713[[#This Row],[GF]]/Table14713[[#This Row],[GP]]</f>
        <v>2.6829268292682928</v>
      </c>
      <c r="L59" s="1">
        <v>276</v>
      </c>
      <c r="M59" s="1">
        <v>3.37</v>
      </c>
      <c r="N59" s="2">
        <f>(Table14713[[#This Row],[GF]]^2)/((Table14713[[#This Row],[GF]]^2)+(Table14713[[#This Row],[GA]]^2))</f>
        <v>0.38851785255586951</v>
      </c>
      <c r="O59" s="1">
        <v>15.56</v>
      </c>
      <c r="P59" s="1">
        <v>74.680000000000007</v>
      </c>
      <c r="Q59" s="1">
        <f>Table14713[[#This Row],[PP_PCT]]+Table14713[[#This Row],[PK_PCT]]</f>
        <v>90.240000000000009</v>
      </c>
      <c r="R59" s="3">
        <v>9.1</v>
      </c>
      <c r="S59" s="3">
        <f>Table14713[[#This Row],[GA]]/Table14713[[#This Row],[GP]]</f>
        <v>3.3658536585365852</v>
      </c>
      <c r="T59" s="2">
        <v>0.91700000000000004</v>
      </c>
      <c r="U59" s="1">
        <v>99.9</v>
      </c>
      <c r="V59" s="1">
        <v>50.3</v>
      </c>
      <c r="W59" s="1">
        <v>50</v>
      </c>
      <c r="X59" s="1">
        <v>151.19999999999999</v>
      </c>
      <c r="Y59" s="3">
        <f>Table135814[[#This Row],[XGF]]/Table14713[[#This Row],[GP]]</f>
        <v>1.8439024390243901</v>
      </c>
      <c r="Z59" s="1">
        <v>149.30000000000001</v>
      </c>
      <c r="AA59" s="3">
        <f>Table135814[[#This Row],[XGA]]/Table14713[[#This Row],[GP]]</f>
        <v>1.8207317073170732</v>
      </c>
      <c r="AB59" s="1">
        <v>64</v>
      </c>
      <c r="AC59" s="2">
        <f>Table135814[[#This Row],[HDGF]]/Table14713[[#This Row],[GP]]</f>
        <v>0.78048780487804881</v>
      </c>
      <c r="AD59" s="1">
        <v>52</v>
      </c>
      <c r="AE59" s="2">
        <f>Table135814[[#This Row],[HDGA]]/Table14713[[#This Row],[GP]]</f>
        <v>0.63414634146341464</v>
      </c>
      <c r="AF59" s="1">
        <v>10.4</v>
      </c>
    </row>
    <row r="60" spans="1:32" hidden="1" x14ac:dyDescent="0.35">
      <c r="A60" t="s">
        <v>89</v>
      </c>
      <c r="B60">
        <v>27</v>
      </c>
      <c r="C60" t="s">
        <v>87</v>
      </c>
      <c r="D60" s="1">
        <v>0</v>
      </c>
      <c r="E60" s="1">
        <v>26.4</v>
      </c>
      <c r="F60" s="1">
        <v>82</v>
      </c>
      <c r="G60" s="1">
        <v>70</v>
      </c>
      <c r="H60" s="2">
        <f>Table14713[[#This Row],[PTS]]/Table14713[[#This Row],[GP]]</f>
        <v>0.85365853658536583</v>
      </c>
      <c r="I60" s="2">
        <v>0.42699999999999999</v>
      </c>
      <c r="J60" s="1">
        <v>225</v>
      </c>
      <c r="K60" s="3">
        <f>Table14713[[#This Row],[GF]]/Table14713[[#This Row],[GP]]</f>
        <v>2.7439024390243905</v>
      </c>
      <c r="L60" s="1">
        <v>295</v>
      </c>
      <c r="M60" s="1">
        <v>3.6</v>
      </c>
      <c r="N60" s="2">
        <f>(Table14713[[#This Row],[GF]]^2)/((Table14713[[#This Row],[GF]]^2)+(Table14713[[#This Row],[GA]]^2))</f>
        <v>0.36778060297856885</v>
      </c>
      <c r="O60" s="1">
        <v>18.91</v>
      </c>
      <c r="P60" s="1">
        <v>74.61</v>
      </c>
      <c r="Q60" s="1">
        <f>Table14713[[#This Row],[PP_PCT]]+Table14713[[#This Row],[PK_PCT]]</f>
        <v>93.52</v>
      </c>
      <c r="R60" s="3">
        <v>10.6</v>
      </c>
      <c r="S60" s="3">
        <f>Table14713[[#This Row],[GA]]/Table14713[[#This Row],[GP]]</f>
        <v>3.5975609756097562</v>
      </c>
      <c r="T60" s="2">
        <v>0.93200000000000005</v>
      </c>
      <c r="U60" s="1">
        <v>100.6</v>
      </c>
      <c r="V60" s="1">
        <v>48</v>
      </c>
      <c r="W60" s="1">
        <v>47.7</v>
      </c>
      <c r="X60" s="1">
        <v>135.6</v>
      </c>
      <c r="Y60" s="3">
        <f>Table135814[[#This Row],[XGF]]/Table14713[[#This Row],[GP]]</f>
        <v>1.6536585365853658</v>
      </c>
      <c r="Z60" s="1">
        <v>146.80000000000001</v>
      </c>
      <c r="AA60" s="3">
        <f>Table135814[[#This Row],[XGA]]/Table14713[[#This Row],[GP]]</f>
        <v>1.7902439024390244</v>
      </c>
      <c r="AB60" s="1">
        <v>37</v>
      </c>
      <c r="AC60" s="2">
        <f>Table135814[[#This Row],[HDGF]]/Table14713[[#This Row],[GP]]</f>
        <v>0.45121951219512196</v>
      </c>
      <c r="AD60" s="1">
        <v>50</v>
      </c>
      <c r="AE60" s="2">
        <f>Table135814[[#This Row],[HDGA]]/Table14713[[#This Row],[GP]]</f>
        <v>0.6097560975609756</v>
      </c>
      <c r="AF60" s="1">
        <v>11.9</v>
      </c>
    </row>
    <row r="61" spans="1:32" hidden="1" x14ac:dyDescent="0.35">
      <c r="A61" t="s">
        <v>89</v>
      </c>
      <c r="B61">
        <v>28</v>
      </c>
      <c r="C61" t="s">
        <v>88</v>
      </c>
      <c r="D61" s="1">
        <v>0</v>
      </c>
      <c r="E61" s="1">
        <v>27.3</v>
      </c>
      <c r="F61" s="1">
        <v>82</v>
      </c>
      <c r="G61" s="1">
        <v>68</v>
      </c>
      <c r="H61" s="2">
        <f>Table14713[[#This Row],[PTS]]/Table14713[[#This Row],[GP]]</f>
        <v>0.82926829268292679</v>
      </c>
      <c r="I61" s="2">
        <v>0.41499999999999998</v>
      </c>
      <c r="J61" s="1">
        <v>227</v>
      </c>
      <c r="K61" s="3">
        <f>Table14713[[#This Row],[GF]]/Table14713[[#This Row],[GP]]</f>
        <v>2.7682926829268291</v>
      </c>
      <c r="L61" s="1">
        <v>305</v>
      </c>
      <c r="M61" s="1">
        <v>3.72</v>
      </c>
      <c r="N61" s="2">
        <f>(Table14713[[#This Row],[GF]]^2)/((Table14713[[#This Row],[GF]]^2)+(Table14713[[#This Row],[GA]]^2))</f>
        <v>0.35646886284710211</v>
      </c>
      <c r="O61" s="1">
        <v>16.100000000000001</v>
      </c>
      <c r="P61" s="1">
        <v>72.73</v>
      </c>
      <c r="Q61" s="1">
        <f>Table14713[[#This Row],[PP_PCT]]+Table14713[[#This Row],[PK_PCT]]</f>
        <v>88.830000000000013</v>
      </c>
      <c r="R61" s="3">
        <v>10.1</v>
      </c>
      <c r="S61" s="3">
        <f>Table14713[[#This Row],[GA]]/Table14713[[#This Row],[GP]]</f>
        <v>3.7195121951219514</v>
      </c>
      <c r="T61" s="2">
        <v>0.91500000000000004</v>
      </c>
      <c r="U61" s="1">
        <v>99.1</v>
      </c>
      <c r="V61" s="1">
        <v>47</v>
      </c>
      <c r="W61" s="1">
        <v>46.6</v>
      </c>
      <c r="X61" s="1">
        <v>164.9</v>
      </c>
      <c r="Y61" s="3">
        <f>Table135814[[#This Row],[XGF]]/Table14713[[#This Row],[GP]]</f>
        <v>2.0109756097560978</v>
      </c>
      <c r="Z61" s="1">
        <v>199.6</v>
      </c>
      <c r="AA61" s="3">
        <f>Table135814[[#This Row],[XGA]]/Table14713[[#This Row],[GP]]</f>
        <v>2.4341463414634146</v>
      </c>
      <c r="AB61" s="1">
        <v>69</v>
      </c>
      <c r="AC61" s="2">
        <f>Table135814[[#This Row],[HDGF]]/Table14713[[#This Row],[GP]]</f>
        <v>0.84146341463414631</v>
      </c>
      <c r="AD61" s="1">
        <v>95</v>
      </c>
      <c r="AE61" s="2">
        <f>Table135814[[#This Row],[HDGA]]/Table14713[[#This Row],[GP]]</f>
        <v>1.1585365853658536</v>
      </c>
      <c r="AF61" s="1">
        <v>11.6</v>
      </c>
    </row>
    <row r="62" spans="1:32" hidden="1" x14ac:dyDescent="0.35">
      <c r="A62" t="s">
        <v>89</v>
      </c>
      <c r="B62">
        <v>29</v>
      </c>
      <c r="C62" t="s">
        <v>78</v>
      </c>
      <c r="D62" s="1">
        <v>0</v>
      </c>
      <c r="E62" s="1">
        <v>29.4</v>
      </c>
      <c r="F62" s="1">
        <v>82</v>
      </c>
      <c r="G62" s="1">
        <v>60</v>
      </c>
      <c r="H62" s="2">
        <f>Table14713[[#This Row],[PTS]]/Table14713[[#This Row],[GP]]</f>
        <v>0.73170731707317072</v>
      </c>
      <c r="I62" s="2">
        <v>0.36599999999999999</v>
      </c>
      <c r="J62" s="1">
        <v>233</v>
      </c>
      <c r="K62" s="3">
        <f>Table14713[[#This Row],[GF]]/Table14713[[#This Row],[GP]]</f>
        <v>2.8414634146341462</v>
      </c>
      <c r="L62" s="1">
        <v>315</v>
      </c>
      <c r="M62" s="1">
        <v>3.84</v>
      </c>
      <c r="N62" s="2">
        <f>(Table14713[[#This Row],[GF]]^2)/((Table14713[[#This Row],[GF]]^2)+(Table14713[[#This Row],[GA]]^2))</f>
        <v>0.3536420131062965</v>
      </c>
      <c r="O62" s="1">
        <v>18.39</v>
      </c>
      <c r="P62" s="1">
        <v>82.38</v>
      </c>
      <c r="Q62" s="1">
        <f>Table14713[[#This Row],[PP_PCT]]+Table14713[[#This Row],[PK_PCT]]</f>
        <v>100.77</v>
      </c>
      <c r="R62" s="3">
        <v>9.6</v>
      </c>
      <c r="S62" s="3">
        <f>Table14713[[#This Row],[GA]]/Table14713[[#This Row],[GP]]</f>
        <v>3.8414634146341462</v>
      </c>
      <c r="T62" s="2">
        <v>0.91100000000000003</v>
      </c>
      <c r="U62" s="1">
        <v>99.7</v>
      </c>
      <c r="V62" s="1">
        <v>45.4</v>
      </c>
      <c r="W62" s="1">
        <v>45.4</v>
      </c>
      <c r="X62" s="1">
        <v>153.5</v>
      </c>
      <c r="Y62" s="3">
        <f>Table135814[[#This Row],[XGF]]/Table14713[[#This Row],[GP]]</f>
        <v>1.8719512195121952</v>
      </c>
      <c r="Z62" s="1">
        <v>199.4</v>
      </c>
      <c r="AA62" s="3">
        <f>Table135814[[#This Row],[XGA]]/Table14713[[#This Row],[GP]]</f>
        <v>2.4317073170731707</v>
      </c>
      <c r="AB62" s="1">
        <v>66</v>
      </c>
      <c r="AC62" s="2">
        <f>Table135814[[#This Row],[HDGF]]/Table14713[[#This Row],[GP]]</f>
        <v>0.80487804878048785</v>
      </c>
      <c r="AD62" s="1">
        <v>90</v>
      </c>
      <c r="AE62" s="2">
        <f>Table135814[[#This Row],[HDGA]]/Table14713[[#This Row],[GP]]</f>
        <v>1.0975609756097562</v>
      </c>
      <c r="AF62" s="1">
        <v>8</v>
      </c>
    </row>
    <row r="63" spans="1:32" hidden="1" x14ac:dyDescent="0.35">
      <c r="A63" t="s">
        <v>89</v>
      </c>
      <c r="B63">
        <v>30</v>
      </c>
      <c r="C63" t="s">
        <v>83</v>
      </c>
      <c r="D63" s="1">
        <v>0</v>
      </c>
      <c r="E63" s="1">
        <v>28.7</v>
      </c>
      <c r="F63" s="1">
        <v>82</v>
      </c>
      <c r="G63" s="1">
        <v>59</v>
      </c>
      <c r="H63" s="2">
        <f>Table14713[[#This Row],[PTS]]/Table14713[[#This Row],[GP]]</f>
        <v>0.71951219512195119</v>
      </c>
      <c r="I63" s="2">
        <v>0.36</v>
      </c>
      <c r="J63" s="1">
        <v>202</v>
      </c>
      <c r="K63" s="3">
        <f>Table14713[[#This Row],[GF]]/Table14713[[#This Row],[GP]]</f>
        <v>2.4634146341463414</v>
      </c>
      <c r="L63" s="1">
        <v>299</v>
      </c>
      <c r="M63" s="1">
        <v>3.65</v>
      </c>
      <c r="N63" s="2">
        <f>(Table14713[[#This Row],[GF]]^2)/((Table14713[[#This Row],[GF]]^2)+(Table14713[[#This Row],[GA]]^2))</f>
        <v>0.31338274259821053</v>
      </c>
      <c r="O63" s="1">
        <v>16.38</v>
      </c>
      <c r="P63" s="1">
        <v>76.19</v>
      </c>
      <c r="Q63" s="1">
        <f>Table14713[[#This Row],[PP_PCT]]+Table14713[[#This Row],[PK_PCT]]</f>
        <v>92.57</v>
      </c>
      <c r="R63" s="3">
        <v>9.1</v>
      </c>
      <c r="S63" s="3">
        <f>Table14713[[#This Row],[GA]]/Table14713[[#This Row],[GP]]</f>
        <v>3.6463414634146343</v>
      </c>
      <c r="T63" s="2">
        <v>0.92500000000000004</v>
      </c>
      <c r="U63" s="1">
        <v>100.9</v>
      </c>
      <c r="V63" s="1">
        <v>46.3</v>
      </c>
      <c r="W63" s="1">
        <v>46.2</v>
      </c>
      <c r="X63" s="1">
        <v>157.6</v>
      </c>
      <c r="Y63" s="3">
        <f>Table135814[[#This Row],[XGF]]/Table14713[[#This Row],[GP]]</f>
        <v>1.9219512195121951</v>
      </c>
      <c r="Z63" s="1">
        <v>174.5</v>
      </c>
      <c r="AA63" s="3">
        <f>Table135814[[#This Row],[XGA]]/Table14713[[#This Row],[GP]]</f>
        <v>2.1280487804878048</v>
      </c>
      <c r="AB63" s="1">
        <v>73</v>
      </c>
      <c r="AC63" s="2">
        <f>Table135814[[#This Row],[HDGF]]/Table14713[[#This Row],[GP]]</f>
        <v>0.8902439024390244</v>
      </c>
      <c r="AD63" s="1">
        <v>59</v>
      </c>
      <c r="AE63" s="2">
        <f>Table135814[[#This Row],[HDGA]]/Table14713[[#This Row],[GP]]</f>
        <v>0.71951219512195119</v>
      </c>
      <c r="AF63" s="1">
        <v>8.6</v>
      </c>
    </row>
    <row r="64" spans="1:32" hidden="1" x14ac:dyDescent="0.35">
      <c r="A64" t="s">
        <v>89</v>
      </c>
      <c r="B64">
        <v>31</v>
      </c>
      <c r="C64" t="s">
        <v>77</v>
      </c>
      <c r="D64" s="1">
        <v>0</v>
      </c>
      <c r="E64" s="1">
        <v>26.7</v>
      </c>
      <c r="F64" s="1">
        <v>82</v>
      </c>
      <c r="G64" s="1">
        <v>59</v>
      </c>
      <c r="H64" s="2">
        <f>Table14713[[#This Row],[PTS]]/Table14713[[#This Row],[GP]]</f>
        <v>0.71951219512195119</v>
      </c>
      <c r="I64" s="2">
        <v>0.36</v>
      </c>
      <c r="J64" s="1">
        <v>213</v>
      </c>
      <c r="K64" s="3">
        <f>Table14713[[#This Row],[GF]]/Table14713[[#This Row],[GP]]</f>
        <v>2.5975609756097562</v>
      </c>
      <c r="L64" s="1">
        <v>329</v>
      </c>
      <c r="M64" s="1">
        <v>4.01</v>
      </c>
      <c r="N64" s="2">
        <f>(Table14713[[#This Row],[GF]]^2)/((Table14713[[#This Row],[GF]]^2)+(Table14713[[#This Row],[GA]]^2))</f>
        <v>0.29535186511294836</v>
      </c>
      <c r="O64" s="1">
        <v>18.3</v>
      </c>
      <c r="P64" s="1">
        <v>75.11</v>
      </c>
      <c r="Q64" s="1">
        <f>Table14713[[#This Row],[PP_PCT]]+Table14713[[#This Row],[PK_PCT]]</f>
        <v>93.41</v>
      </c>
      <c r="R64" s="3">
        <v>8.9</v>
      </c>
      <c r="S64" s="3">
        <f>Table14713[[#This Row],[GA]]/Table14713[[#This Row],[GP]]</f>
        <v>4.0121951219512191</v>
      </c>
      <c r="T64" s="2">
        <v>0.90500000000000003</v>
      </c>
      <c r="U64" s="1">
        <v>99.2</v>
      </c>
      <c r="V64" s="1">
        <v>48.5</v>
      </c>
      <c r="W64" s="1">
        <v>47.7</v>
      </c>
      <c r="X64" s="1">
        <v>144.4</v>
      </c>
      <c r="Y64" s="3">
        <f>Table135814[[#This Row],[XGF]]/Table14713[[#This Row],[GP]]</f>
        <v>1.7609756097560976</v>
      </c>
      <c r="Z64" s="1">
        <v>156.5</v>
      </c>
      <c r="AA64" s="3">
        <f>Table135814[[#This Row],[XGA]]/Table14713[[#This Row],[GP]]</f>
        <v>1.9085365853658536</v>
      </c>
      <c r="AB64" s="1">
        <v>40</v>
      </c>
      <c r="AC64" s="2">
        <f>Table135814[[#This Row],[HDGF]]/Table14713[[#This Row],[GP]]</f>
        <v>0.48780487804878048</v>
      </c>
      <c r="AD64" s="1">
        <v>53</v>
      </c>
      <c r="AE64" s="2">
        <f>Table135814[[#This Row],[HDGA]]/Table14713[[#This Row],[GP]]</f>
        <v>0.64634146341463417</v>
      </c>
      <c r="AF64" s="1">
        <v>8</v>
      </c>
    </row>
    <row r="65" spans="1:32" hidden="1" x14ac:dyDescent="0.35">
      <c r="A65" t="s">
        <v>89</v>
      </c>
      <c r="B65">
        <v>32</v>
      </c>
      <c r="C65" t="s">
        <v>79</v>
      </c>
      <c r="D65" s="1">
        <v>0</v>
      </c>
      <c r="E65" s="1">
        <v>28.2</v>
      </c>
      <c r="F65" s="1">
        <v>82</v>
      </c>
      <c r="G65" s="1">
        <v>58</v>
      </c>
      <c r="H65" s="2">
        <f>Table14713[[#This Row],[PTS]]/Table14713[[#This Row],[GP]]</f>
        <v>0.70731707317073167</v>
      </c>
      <c r="I65" s="2">
        <v>0.35399999999999998</v>
      </c>
      <c r="J65" s="1">
        <v>206</v>
      </c>
      <c r="K65" s="3">
        <f>Table14713[[#This Row],[GF]]/Table14713[[#This Row],[GP]]</f>
        <v>2.5121951219512195</v>
      </c>
      <c r="L65" s="1">
        <v>335</v>
      </c>
      <c r="M65" s="1">
        <v>4.09</v>
      </c>
      <c r="N65" s="2">
        <f>(Table14713[[#This Row],[GF]]^2)/((Table14713[[#This Row],[GF]]^2)+(Table14713[[#This Row],[GA]]^2))</f>
        <v>0.27438074239788957</v>
      </c>
      <c r="O65" s="1">
        <v>15.72</v>
      </c>
      <c r="P65" s="1">
        <v>72.14</v>
      </c>
      <c r="Q65" s="1">
        <f>Table14713[[#This Row],[PP_PCT]]+Table14713[[#This Row],[PK_PCT]]</f>
        <v>87.86</v>
      </c>
      <c r="R65" s="3">
        <v>8.9</v>
      </c>
      <c r="S65" s="3">
        <f>Table14713[[#This Row],[GA]]/Table14713[[#This Row],[GP]]</f>
        <v>4.0853658536585362</v>
      </c>
      <c r="T65" s="2">
        <v>0.92500000000000004</v>
      </c>
      <c r="U65" s="1">
        <v>100.7</v>
      </c>
      <c r="V65" s="1">
        <v>49.5</v>
      </c>
      <c r="W65" s="1">
        <v>49.8</v>
      </c>
      <c r="X65" s="1">
        <v>161.4</v>
      </c>
      <c r="Y65" s="3">
        <f>Table135814[[#This Row],[XGF]]/Table14713[[#This Row],[GP]]</f>
        <v>1.9682926829268292</v>
      </c>
      <c r="Z65" s="1">
        <v>169.1</v>
      </c>
      <c r="AA65" s="3">
        <f>Table135814[[#This Row],[XGA]]/Table14713[[#This Row],[GP]]</f>
        <v>2.0621951219512193</v>
      </c>
      <c r="AB65" s="1">
        <v>76</v>
      </c>
      <c r="AC65" s="2">
        <f>Table135814[[#This Row],[HDGF]]/Table14713[[#This Row],[GP]]</f>
        <v>0.92682926829268297</v>
      </c>
      <c r="AD65" s="1">
        <v>69</v>
      </c>
      <c r="AE65" s="2">
        <f>Table135814[[#This Row],[HDGA]]/Table14713[[#This Row],[GP]]</f>
        <v>0.84146341463414631</v>
      </c>
      <c r="AF65" s="1">
        <v>11.3</v>
      </c>
    </row>
    <row r="66" spans="1:32" x14ac:dyDescent="0.35">
      <c r="A66" t="s">
        <v>90</v>
      </c>
      <c r="B66">
        <v>1</v>
      </c>
      <c r="C66" t="s">
        <v>64</v>
      </c>
      <c r="D66" s="1">
        <v>1</v>
      </c>
      <c r="E66" s="1">
        <v>29.1</v>
      </c>
      <c r="F66" s="1">
        <v>82</v>
      </c>
      <c r="G66" s="1">
        <v>114</v>
      </c>
      <c r="H66" s="2">
        <f>Table14713[[#This Row],[PTS]]/Table14713[[#This Row],[GP]]</f>
        <v>1.3902439024390243</v>
      </c>
      <c r="I66" s="2">
        <v>0.69499999999999995</v>
      </c>
      <c r="J66" s="1">
        <v>278</v>
      </c>
      <c r="K66" s="3">
        <f>Table14713[[#This Row],[GF]]/Table14713[[#This Row],[GP]]</f>
        <v>3.3902439024390243</v>
      </c>
      <c r="L66" s="1">
        <v>226</v>
      </c>
      <c r="M66" s="1">
        <v>2.76</v>
      </c>
      <c r="N66" s="2">
        <f>(Table14713[[#This Row],[GF]]^2)/((Table14713[[#This Row],[GF]]^2)+(Table14713[[#This Row],[GA]]^2))</f>
        <v>0.60208787784356499</v>
      </c>
      <c r="O66" s="1">
        <v>26.42</v>
      </c>
      <c r="P66" s="1">
        <v>84.48</v>
      </c>
      <c r="Q66" s="1">
        <f>Table14713[[#This Row],[PP_PCT]]+Table14713[[#This Row],[PK_PCT]]</f>
        <v>110.9</v>
      </c>
      <c r="R66" s="3">
        <v>10.8</v>
      </c>
      <c r="S66" s="3">
        <f>Table14713[[#This Row],[GA]]/Table14713[[#This Row],[GP]]</f>
        <v>2.7560975609756095</v>
      </c>
      <c r="T66" s="2">
        <v>0.93</v>
      </c>
      <c r="U66" s="1">
        <v>100.6</v>
      </c>
      <c r="V66" s="1">
        <v>47.1</v>
      </c>
      <c r="W66" s="1">
        <v>46.7</v>
      </c>
      <c r="X66" s="1">
        <v>169.6</v>
      </c>
      <c r="Y66" s="3">
        <f>Table135814[[#This Row],[XGF]]/Table14713[[#This Row],[GP]]</f>
        <v>2.0682926829268293</v>
      </c>
      <c r="Z66" s="1">
        <v>189.3</v>
      </c>
      <c r="AA66" s="3">
        <f>Table135814[[#This Row],[XGA]]/Table14713[[#This Row],[GP]]</f>
        <v>2.3085365853658537</v>
      </c>
      <c r="AB66" s="1">
        <v>67</v>
      </c>
      <c r="AC66" s="2">
        <f>Table135814[[#This Row],[HDGF]]/Table14713[[#This Row],[GP]]</f>
        <v>0.81707317073170727</v>
      </c>
      <c r="AD66" s="1">
        <v>65</v>
      </c>
      <c r="AE66" s="2">
        <f>Table135814[[#This Row],[HDGA]]/Table14713[[#This Row],[GP]]</f>
        <v>0.79268292682926833</v>
      </c>
      <c r="AF66" s="1">
        <v>9.4</v>
      </c>
    </row>
    <row r="67" spans="1:32" x14ac:dyDescent="0.35">
      <c r="A67" t="s">
        <v>90</v>
      </c>
      <c r="B67">
        <v>2</v>
      </c>
      <c r="C67" t="s">
        <v>71</v>
      </c>
      <c r="D67" s="1">
        <v>1</v>
      </c>
      <c r="E67" s="1">
        <v>29.3</v>
      </c>
      <c r="F67" s="1">
        <v>82</v>
      </c>
      <c r="G67" s="1">
        <v>113</v>
      </c>
      <c r="H67" s="2">
        <f>Table14713[[#This Row],[PTS]]/Table14713[[#This Row],[GP]]</f>
        <v>1.3780487804878048</v>
      </c>
      <c r="I67" s="2">
        <v>0.68899999999999995</v>
      </c>
      <c r="J67" s="1">
        <v>294</v>
      </c>
      <c r="K67" s="3">
        <f>Table14713[[#This Row],[GF]]/Table14713[[#This Row],[GP]]</f>
        <v>3.5853658536585367</v>
      </c>
      <c r="L67" s="1">
        <v>232</v>
      </c>
      <c r="M67" s="1">
        <v>2.83</v>
      </c>
      <c r="N67" s="2">
        <f>(Table14713[[#This Row],[GF]]^2)/((Table14713[[#This Row],[GF]]^2)+(Table14713[[#This Row],[GA]]^2))</f>
        <v>0.61625552545273066</v>
      </c>
      <c r="O67" s="1">
        <v>24.17</v>
      </c>
      <c r="P67" s="1">
        <v>82.01</v>
      </c>
      <c r="Q67" s="1">
        <f>Table14713[[#This Row],[PP_PCT]]+Table14713[[#This Row],[PK_PCT]]</f>
        <v>106.18</v>
      </c>
      <c r="R67" s="3">
        <v>11.4</v>
      </c>
      <c r="S67" s="3">
        <f>Table14713[[#This Row],[GA]]/Table14713[[#This Row],[GP]]</f>
        <v>2.8292682926829267</v>
      </c>
      <c r="T67" s="2">
        <v>0.92700000000000005</v>
      </c>
      <c r="U67" s="1">
        <v>100.4</v>
      </c>
      <c r="V67" s="1">
        <v>51.8</v>
      </c>
      <c r="W67" s="1">
        <v>51.8</v>
      </c>
      <c r="X67" s="1">
        <v>182.3</v>
      </c>
      <c r="Y67" s="3">
        <f>Table135814[[#This Row],[XGF]]/Table14713[[#This Row],[GP]]</f>
        <v>2.223170731707317</v>
      </c>
      <c r="Z67" s="1">
        <v>168.7</v>
      </c>
      <c r="AA67" s="3">
        <f>Table135814[[#This Row],[XGA]]/Table14713[[#This Row],[GP]]</f>
        <v>2.0573170731707315</v>
      </c>
      <c r="AB67" s="1">
        <v>72</v>
      </c>
      <c r="AC67" s="2">
        <f>Table135814[[#This Row],[HDGF]]/Table14713[[#This Row],[GP]]</f>
        <v>0.87804878048780488</v>
      </c>
      <c r="AD67" s="1">
        <v>55</v>
      </c>
      <c r="AE67" s="2">
        <f>Table135814[[#This Row],[HDGA]]/Table14713[[#This Row],[GP]]</f>
        <v>0.67073170731707321</v>
      </c>
      <c r="AF67" s="1">
        <v>6.8</v>
      </c>
    </row>
    <row r="68" spans="1:32" x14ac:dyDescent="0.35">
      <c r="A68" t="s">
        <v>90</v>
      </c>
      <c r="B68">
        <v>3</v>
      </c>
      <c r="C68" t="s">
        <v>59</v>
      </c>
      <c r="D68" s="1">
        <v>1</v>
      </c>
      <c r="E68" s="1">
        <v>29.4</v>
      </c>
      <c r="F68" s="1">
        <v>82</v>
      </c>
      <c r="G68" s="1">
        <v>111</v>
      </c>
      <c r="H68" s="2">
        <f>Table14713[[#This Row],[PTS]]/Table14713[[#This Row],[GP]]</f>
        <v>1.3536585365853659</v>
      </c>
      <c r="I68" s="2">
        <v>0.67700000000000005</v>
      </c>
      <c r="J68" s="1">
        <v>277</v>
      </c>
      <c r="K68" s="3">
        <f>Table14713[[#This Row],[GF]]/Table14713[[#This Row],[GP]]</f>
        <v>3.3780487804878048</v>
      </c>
      <c r="L68" s="1">
        <v>211</v>
      </c>
      <c r="M68" s="1">
        <v>2.57</v>
      </c>
      <c r="N68" s="2">
        <f>(Table14713[[#This Row],[GF]]^2)/((Table14713[[#This Row],[GF]]^2)+(Table14713[[#This Row],[GA]]^2))</f>
        <v>0.63281649484536084</v>
      </c>
      <c r="O68" s="1">
        <v>26.91</v>
      </c>
      <c r="P68" s="1">
        <v>86.43</v>
      </c>
      <c r="Q68" s="1">
        <f>Table14713[[#This Row],[PP_PCT]]+Table14713[[#This Row],[PK_PCT]]</f>
        <v>113.34</v>
      </c>
      <c r="R68" s="3">
        <v>10.1</v>
      </c>
      <c r="S68" s="3">
        <f>Table14713[[#This Row],[GA]]/Table14713[[#This Row],[GP]]</f>
        <v>2.5731707317073171</v>
      </c>
      <c r="T68" s="2">
        <v>0.91200000000000003</v>
      </c>
      <c r="U68" s="1">
        <v>97.6</v>
      </c>
      <c r="V68" s="1">
        <v>51.4</v>
      </c>
      <c r="W68" s="1">
        <v>50.2</v>
      </c>
      <c r="X68" s="1">
        <v>149.80000000000001</v>
      </c>
      <c r="Y68" s="3">
        <f>Table135814[[#This Row],[XGF]]/Table14713[[#This Row],[GP]]</f>
        <v>1.826829268292683</v>
      </c>
      <c r="Z68" s="1">
        <v>145.4</v>
      </c>
      <c r="AA68" s="3">
        <f>Table135814[[#This Row],[XGA]]/Table14713[[#This Row],[GP]]</f>
        <v>1.7731707317073171</v>
      </c>
      <c r="AB68" s="1">
        <v>48</v>
      </c>
      <c r="AC68" s="2">
        <f>Table135814[[#This Row],[HDGF]]/Table14713[[#This Row],[GP]]</f>
        <v>0.58536585365853655</v>
      </c>
      <c r="AD68" s="1">
        <v>44</v>
      </c>
      <c r="AE68" s="2">
        <f>Table135814[[#This Row],[HDGA]]/Table14713[[#This Row],[GP]]</f>
        <v>0.53658536585365857</v>
      </c>
      <c r="AF68" s="1">
        <v>8.5</v>
      </c>
    </row>
    <row r="69" spans="1:32" x14ac:dyDescent="0.35">
      <c r="A69" t="s">
        <v>90</v>
      </c>
      <c r="B69">
        <v>4</v>
      </c>
      <c r="C69" t="s">
        <v>75</v>
      </c>
      <c r="D69" s="1">
        <v>1</v>
      </c>
      <c r="E69" s="1">
        <v>29.4</v>
      </c>
      <c r="F69" s="1">
        <v>82</v>
      </c>
      <c r="G69" s="1">
        <v>110</v>
      </c>
      <c r="H69" s="2">
        <f>Table14713[[#This Row],[PTS]]/Table14713[[#This Row],[GP]]</f>
        <v>1.3414634146341464</v>
      </c>
      <c r="I69" s="2">
        <v>0.67100000000000004</v>
      </c>
      <c r="J69" s="1">
        <v>259</v>
      </c>
      <c r="K69" s="3">
        <f>Table14713[[#This Row],[GF]]/Table14713[[#This Row],[GP]]</f>
        <v>3.1585365853658538</v>
      </c>
      <c r="L69" s="1">
        <v>198</v>
      </c>
      <c r="M69" s="1">
        <v>2.41</v>
      </c>
      <c r="N69" s="2">
        <f>(Table14713[[#This Row],[GF]]^2)/((Table14713[[#This Row],[GF]]^2)+(Table14713[[#This Row],[GA]]^2))</f>
        <v>0.63114268241050009</v>
      </c>
      <c r="O69" s="1">
        <v>18.75</v>
      </c>
      <c r="P69" s="1">
        <v>77.13</v>
      </c>
      <c r="Q69" s="1">
        <f>Table14713[[#This Row],[PP_PCT]]+Table14713[[#This Row],[PK_PCT]]</f>
        <v>95.88</v>
      </c>
      <c r="R69" s="3">
        <v>10.4</v>
      </c>
      <c r="S69" s="3">
        <f>Table14713[[#This Row],[GA]]/Table14713[[#This Row],[GP]]</f>
        <v>2.4146341463414633</v>
      </c>
      <c r="T69" s="2">
        <v>0.90500000000000003</v>
      </c>
      <c r="U69" s="1">
        <v>98.6</v>
      </c>
      <c r="V69" s="1">
        <v>50.4</v>
      </c>
      <c r="W69" s="1">
        <v>50.1</v>
      </c>
      <c r="X69" s="1">
        <v>185.4</v>
      </c>
      <c r="Y69" s="3">
        <f>Table135814[[#This Row],[XGF]]/Table14713[[#This Row],[GP]]</f>
        <v>2.2609756097560978</v>
      </c>
      <c r="Z69" s="1">
        <v>180.3</v>
      </c>
      <c r="AA69" s="3">
        <f>Table135814[[#This Row],[XGA]]/Table14713[[#This Row],[GP]]</f>
        <v>2.198780487804878</v>
      </c>
      <c r="AB69" s="1">
        <v>82</v>
      </c>
      <c r="AC69" s="2">
        <f>Table135814[[#This Row],[HDGF]]/Table14713[[#This Row],[GP]]</f>
        <v>1</v>
      </c>
      <c r="AD69" s="1">
        <v>92</v>
      </c>
      <c r="AE69" s="2">
        <f>Table135814[[#This Row],[HDGA]]/Table14713[[#This Row],[GP]]</f>
        <v>1.1219512195121952</v>
      </c>
      <c r="AF69" s="1">
        <v>8.1999999999999993</v>
      </c>
    </row>
    <row r="70" spans="1:32" x14ac:dyDescent="0.35">
      <c r="A70" s="4" t="s">
        <v>90</v>
      </c>
      <c r="B70" s="4">
        <v>5</v>
      </c>
      <c r="C70" s="4" t="s">
        <v>57</v>
      </c>
      <c r="D70" s="5">
        <v>1</v>
      </c>
      <c r="E70" s="5">
        <v>29.5</v>
      </c>
      <c r="F70" s="5">
        <v>82</v>
      </c>
      <c r="G70" s="5">
        <v>110</v>
      </c>
      <c r="H70" s="6">
        <f>Table14713[[#This Row],[PTS]]/Table14713[[#This Row],[GP]]</f>
        <v>1.3414634146341464</v>
      </c>
      <c r="I70" s="6">
        <v>0.67100000000000004</v>
      </c>
      <c r="J70" s="5">
        <v>265</v>
      </c>
      <c r="K70" s="7">
        <f>Table14713[[#This Row],[GF]]/Table14713[[#This Row],[GP]]</f>
        <v>3.2317073170731709</v>
      </c>
      <c r="L70" s="5">
        <v>198</v>
      </c>
      <c r="M70" s="5">
        <v>2.41</v>
      </c>
      <c r="N70" s="6">
        <f>(Table14713[[#This Row],[GF]]^2)/((Table14713[[#This Row],[GF]]^2)+(Table14713[[#This Row],[GA]]^2))</f>
        <v>0.64174030650010505</v>
      </c>
      <c r="O70" s="5">
        <v>23.51</v>
      </c>
      <c r="P70" s="5">
        <v>82.47</v>
      </c>
      <c r="Q70" s="5">
        <f>Table14713[[#This Row],[PP_PCT]]+Table14713[[#This Row],[PK_PCT]]</f>
        <v>105.98</v>
      </c>
      <c r="R70" s="7">
        <v>9.6</v>
      </c>
      <c r="S70" s="7">
        <f>Table14713[[#This Row],[GA]]/Table14713[[#This Row],[GP]]</f>
        <v>2.4146341463414633</v>
      </c>
      <c r="T70" s="6">
        <v>0.92200000000000004</v>
      </c>
      <c r="U70" s="5">
        <v>100.4</v>
      </c>
      <c r="V70" s="5">
        <v>53.8</v>
      </c>
      <c r="W70" s="5">
        <v>54</v>
      </c>
      <c r="X70" s="5">
        <v>201.7</v>
      </c>
      <c r="Y70" s="7">
        <f>Table135814[[#This Row],[XGF]]/Table14713[[#This Row],[GP]]</f>
        <v>2.4597560975609754</v>
      </c>
      <c r="Z70" s="5">
        <v>155.6</v>
      </c>
      <c r="AA70" s="7">
        <f>Table135814[[#This Row],[XGA]]/Table14713[[#This Row],[GP]]</f>
        <v>1.897560975609756</v>
      </c>
      <c r="AB70" s="5">
        <v>84</v>
      </c>
      <c r="AC70" s="6">
        <f>Table135814[[#This Row],[HDGF]]/Table14713[[#This Row],[GP]]</f>
        <v>1.024390243902439</v>
      </c>
      <c r="AD70" s="5">
        <v>62</v>
      </c>
      <c r="AE70" s="6">
        <f>Table135814[[#This Row],[HDGA]]/Table14713[[#This Row],[GP]]</f>
        <v>0.75609756097560976</v>
      </c>
      <c r="AF70" s="5">
        <v>13.6</v>
      </c>
    </row>
    <row r="71" spans="1:32" x14ac:dyDescent="0.35">
      <c r="A71" t="s">
        <v>90</v>
      </c>
      <c r="B71">
        <v>6</v>
      </c>
      <c r="C71" t="s">
        <v>66</v>
      </c>
      <c r="D71" s="1">
        <v>1</v>
      </c>
      <c r="E71" s="1">
        <v>28.6</v>
      </c>
      <c r="F71" s="1">
        <v>82</v>
      </c>
      <c r="G71" s="1">
        <v>109</v>
      </c>
      <c r="H71" s="2">
        <f>Table14713[[#This Row],[PTS]]/Table14713[[#This Row],[GP]]</f>
        <v>1.3292682926829269</v>
      </c>
      <c r="I71" s="2">
        <v>0.66500000000000004</v>
      </c>
      <c r="J71" s="1">
        <v>263</v>
      </c>
      <c r="K71" s="3">
        <f>Table14713[[#This Row],[GF]]/Table14713[[#This Row],[GP]]</f>
        <v>3.2073170731707319</v>
      </c>
      <c r="L71" s="1">
        <v>221</v>
      </c>
      <c r="M71" s="1">
        <v>2.7</v>
      </c>
      <c r="N71" s="2">
        <f>(Table14713[[#This Row],[GF]]^2)/((Table14713[[#This Row],[GF]]^2)+(Table14713[[#This Row],[GA]]^2))</f>
        <v>0.58612829421235491</v>
      </c>
      <c r="O71" s="1">
        <v>22.22</v>
      </c>
      <c r="P71" s="1">
        <v>82.46</v>
      </c>
      <c r="Q71" s="1">
        <f>Table14713[[#This Row],[PP_PCT]]+Table14713[[#This Row],[PK_PCT]]</f>
        <v>104.67999999999999</v>
      </c>
      <c r="R71" s="3">
        <v>11</v>
      </c>
      <c r="S71" s="3">
        <f>Table14713[[#This Row],[GA]]/Table14713[[#This Row],[GP]]</f>
        <v>2.6951219512195124</v>
      </c>
      <c r="T71" s="2">
        <v>0.91200000000000003</v>
      </c>
      <c r="U71" s="1">
        <v>99.5</v>
      </c>
      <c r="V71" s="1">
        <v>52.6</v>
      </c>
      <c r="W71" s="1">
        <v>50.8</v>
      </c>
      <c r="X71" s="1">
        <v>177.2</v>
      </c>
      <c r="Y71" s="3">
        <f>Table135814[[#This Row],[XGF]]/Table14713[[#This Row],[GP]]</f>
        <v>2.1609756097560973</v>
      </c>
      <c r="Z71" s="1">
        <v>173.8</v>
      </c>
      <c r="AA71" s="3">
        <f>Table135814[[#This Row],[XGA]]/Table14713[[#This Row],[GP]]</f>
        <v>2.1195121951219513</v>
      </c>
      <c r="AB71" s="1">
        <v>69</v>
      </c>
      <c r="AC71" s="2">
        <f>Table135814[[#This Row],[HDGF]]/Table14713[[#This Row],[GP]]</f>
        <v>0.84146341463414631</v>
      </c>
      <c r="AD71" s="1">
        <v>77</v>
      </c>
      <c r="AE71" s="2">
        <f>Table135814[[#This Row],[HDGA]]/Table14713[[#This Row],[GP]]</f>
        <v>0.93902439024390238</v>
      </c>
      <c r="AF71" s="1">
        <v>9.5</v>
      </c>
    </row>
    <row r="72" spans="1:32" x14ac:dyDescent="0.35">
      <c r="A72" t="s">
        <v>90</v>
      </c>
      <c r="B72">
        <v>7</v>
      </c>
      <c r="C72" t="s">
        <v>74</v>
      </c>
      <c r="D72" s="1">
        <v>1</v>
      </c>
      <c r="E72" s="1">
        <v>28.6</v>
      </c>
      <c r="F72" s="1">
        <v>82</v>
      </c>
      <c r="G72" s="1">
        <v>109</v>
      </c>
      <c r="H72" s="2">
        <f>Table14713[[#This Row],[PTS]]/Table14713[[#This Row],[GP]]</f>
        <v>1.3292682926829269</v>
      </c>
      <c r="I72" s="2">
        <v>0.66500000000000004</v>
      </c>
      <c r="J72" s="1">
        <v>279</v>
      </c>
      <c r="K72" s="3">
        <f>Table14713[[#This Row],[GF]]/Table14713[[#This Row],[GP]]</f>
        <v>3.4024390243902438</v>
      </c>
      <c r="L72" s="1">
        <v>221</v>
      </c>
      <c r="M72" s="1">
        <v>2.7</v>
      </c>
      <c r="N72" s="2">
        <f>(Table14713[[#This Row],[GF]]^2)/((Table14713[[#This Row],[GF]]^2)+(Table14713[[#This Row],[GA]]^2))</f>
        <v>0.6144598285470706</v>
      </c>
      <c r="O72" s="1">
        <v>22.57</v>
      </c>
      <c r="P72" s="1">
        <v>79.13</v>
      </c>
      <c r="Q72" s="1">
        <f>Table14713[[#This Row],[PP_PCT]]+Table14713[[#This Row],[PK_PCT]]</f>
        <v>101.69999999999999</v>
      </c>
      <c r="R72" s="3">
        <v>12</v>
      </c>
      <c r="S72" s="3">
        <f>Table14713[[#This Row],[GA]]/Table14713[[#This Row],[GP]]</f>
        <v>2.6951219512195124</v>
      </c>
      <c r="T72" s="2">
        <v>0.92200000000000004</v>
      </c>
      <c r="U72" s="1">
        <v>100.1</v>
      </c>
      <c r="V72" s="1">
        <v>51.4</v>
      </c>
      <c r="W72" s="1">
        <v>49.8</v>
      </c>
      <c r="X72" s="1">
        <v>152.80000000000001</v>
      </c>
      <c r="Y72" s="3">
        <f>Table135814[[#This Row],[XGF]]/Table14713[[#This Row],[GP]]</f>
        <v>1.8634146341463416</v>
      </c>
      <c r="Z72" s="1">
        <v>141.69999999999999</v>
      </c>
      <c r="AA72" s="3">
        <f>Table135814[[#This Row],[XGA]]/Table14713[[#This Row],[GP]]</f>
        <v>1.7280487804878046</v>
      </c>
      <c r="AB72" s="1">
        <v>51</v>
      </c>
      <c r="AC72" s="2">
        <f>Table135814[[#This Row],[HDGF]]/Table14713[[#This Row],[GP]]</f>
        <v>0.62195121951219512</v>
      </c>
      <c r="AD72" s="1">
        <v>46</v>
      </c>
      <c r="AE72" s="2">
        <f>Table135814[[#This Row],[HDGA]]/Table14713[[#This Row],[GP]]</f>
        <v>0.56097560975609762</v>
      </c>
      <c r="AF72" s="1">
        <v>9.6</v>
      </c>
    </row>
    <row r="73" spans="1:32" x14ac:dyDescent="0.35">
      <c r="A73" t="s">
        <v>90</v>
      </c>
      <c r="B73">
        <v>8</v>
      </c>
      <c r="C73" t="s">
        <v>58</v>
      </c>
      <c r="D73" s="1">
        <v>1</v>
      </c>
      <c r="E73" s="1">
        <v>28.8</v>
      </c>
      <c r="F73" s="1">
        <v>82</v>
      </c>
      <c r="G73" s="1">
        <v>107</v>
      </c>
      <c r="H73" s="2">
        <f>Table14713[[#This Row],[PTS]]/Table14713[[#This Row],[GP]]</f>
        <v>1.3048780487804879</v>
      </c>
      <c r="I73" s="2">
        <v>0.65200000000000002</v>
      </c>
      <c r="J73" s="1">
        <v>302</v>
      </c>
      <c r="K73" s="3">
        <f>Table14713[[#This Row],[GF]]/Table14713[[#This Row],[GP]]</f>
        <v>3.6829268292682928</v>
      </c>
      <c r="L73" s="1">
        <v>252</v>
      </c>
      <c r="M73" s="1">
        <v>3.07</v>
      </c>
      <c r="N73" s="2">
        <f>(Table14713[[#This Row],[GF]]^2)/((Table14713[[#This Row],[GF]]^2)+(Table14713[[#This Row],[GA]]^2))</f>
        <v>0.58952348941231225</v>
      </c>
      <c r="O73" s="1">
        <v>24.46</v>
      </c>
      <c r="P73" s="1">
        <v>79.92</v>
      </c>
      <c r="Q73" s="1">
        <f>Table14713[[#This Row],[PP_PCT]]+Table14713[[#This Row],[PK_PCT]]</f>
        <v>104.38</v>
      </c>
      <c r="R73" s="3">
        <v>11.2</v>
      </c>
      <c r="S73" s="3">
        <f>Table14713[[#This Row],[GA]]/Table14713[[#This Row],[GP]]</f>
        <v>3.0731707317073171</v>
      </c>
      <c r="T73" s="2">
        <v>0.93</v>
      </c>
      <c r="U73" s="1">
        <v>100.9</v>
      </c>
      <c r="V73" s="1">
        <v>46</v>
      </c>
      <c r="W73" s="1">
        <v>46.1</v>
      </c>
      <c r="X73" s="1">
        <v>174.9</v>
      </c>
      <c r="Y73" s="3">
        <f>Table135814[[#This Row],[XGF]]/Table14713[[#This Row],[GP]]</f>
        <v>2.1329268292682926</v>
      </c>
      <c r="Z73" s="1">
        <v>196.6</v>
      </c>
      <c r="AA73" s="3">
        <f>Table135814[[#This Row],[XGA]]/Table14713[[#This Row],[GP]]</f>
        <v>2.397560975609756</v>
      </c>
      <c r="AB73" s="1">
        <v>74</v>
      </c>
      <c r="AC73" s="2">
        <f>Table135814[[#This Row],[HDGF]]/Table14713[[#This Row],[GP]]</f>
        <v>0.90243902439024393</v>
      </c>
      <c r="AD73" s="1">
        <v>66</v>
      </c>
      <c r="AE73" s="2">
        <f>Table135814[[#This Row],[HDGA]]/Table14713[[#This Row],[GP]]</f>
        <v>0.80487804878048785</v>
      </c>
      <c r="AF73" s="1">
        <v>8.9</v>
      </c>
    </row>
    <row r="74" spans="1:32" x14ac:dyDescent="0.35">
      <c r="A74" t="s">
        <v>90</v>
      </c>
      <c r="B74">
        <v>9</v>
      </c>
      <c r="C74" t="s">
        <v>67</v>
      </c>
      <c r="D74" s="1">
        <v>1</v>
      </c>
      <c r="E74" s="1">
        <v>29.4</v>
      </c>
      <c r="F74" s="1">
        <v>82</v>
      </c>
      <c r="G74" s="1">
        <v>104</v>
      </c>
      <c r="H74" s="2">
        <f>Table14713[[#This Row],[PTS]]/Table14713[[#This Row],[GP]]</f>
        <v>1.2682926829268293</v>
      </c>
      <c r="I74" s="2">
        <v>0.63400000000000001</v>
      </c>
      <c r="J74" s="1">
        <v>292</v>
      </c>
      <c r="K74" s="3">
        <f>Table14713[[#This Row],[GF]]/Table14713[[#This Row],[GP]]</f>
        <v>3.5609756097560976</v>
      </c>
      <c r="L74" s="1">
        <v>236</v>
      </c>
      <c r="M74" s="1">
        <v>2.88</v>
      </c>
      <c r="N74" s="2">
        <f>(Table14713[[#This Row],[GF]]^2)/((Table14713[[#This Row],[GF]]^2)+(Table14713[[#This Row],[GA]]^2))</f>
        <v>0.60488081725312148</v>
      </c>
      <c r="O74" s="1">
        <v>26.34</v>
      </c>
      <c r="P74" s="1">
        <v>79.459999999999994</v>
      </c>
      <c r="Q74" s="1">
        <f>Table14713[[#This Row],[PP_PCT]]+Table14713[[#This Row],[PK_PCT]]</f>
        <v>105.8</v>
      </c>
      <c r="R74" s="3">
        <v>10.5</v>
      </c>
      <c r="S74" s="3">
        <f>Table14713[[#This Row],[GA]]/Table14713[[#This Row],[GP]]</f>
        <v>2.8780487804878048</v>
      </c>
      <c r="T74" s="2">
        <v>0.93100000000000005</v>
      </c>
      <c r="U74" s="1">
        <v>101.3</v>
      </c>
      <c r="V74" s="1">
        <v>49.8</v>
      </c>
      <c r="W74" s="1">
        <v>49.5</v>
      </c>
      <c r="X74" s="1">
        <v>188.3</v>
      </c>
      <c r="Y74" s="3">
        <f>Table135814[[#This Row],[XGF]]/Table14713[[#This Row],[GP]]</f>
        <v>2.2963414634146342</v>
      </c>
      <c r="Z74" s="1">
        <v>183.8</v>
      </c>
      <c r="AA74" s="3">
        <f>Table135814[[#This Row],[XGA]]/Table14713[[#This Row],[GP]]</f>
        <v>2.2414634146341466</v>
      </c>
      <c r="AB74" s="1">
        <v>71</v>
      </c>
      <c r="AC74" s="2">
        <f>Table135814[[#This Row],[HDGF]]/Table14713[[#This Row],[GP]]</f>
        <v>0.86585365853658536</v>
      </c>
      <c r="AD74" s="1">
        <v>65</v>
      </c>
      <c r="AE74" s="2">
        <f>Table135814[[#This Row],[HDGA]]/Table14713[[#This Row],[GP]]</f>
        <v>0.79268292682926833</v>
      </c>
      <c r="AF74" s="1">
        <v>9.5</v>
      </c>
    </row>
    <row r="75" spans="1:32" x14ac:dyDescent="0.35">
      <c r="A75" t="s">
        <v>90</v>
      </c>
      <c r="B75">
        <v>10</v>
      </c>
      <c r="C75" t="s">
        <v>60</v>
      </c>
      <c r="D75" s="1">
        <v>1</v>
      </c>
      <c r="E75" s="1">
        <v>28.9</v>
      </c>
      <c r="F75" s="1">
        <v>82</v>
      </c>
      <c r="G75" s="1">
        <v>102</v>
      </c>
      <c r="H75" s="2">
        <f>Table14713[[#This Row],[PTS]]/Table14713[[#This Row],[GP]]</f>
        <v>1.2439024390243902</v>
      </c>
      <c r="I75" s="2">
        <v>0.622</v>
      </c>
      <c r="J75" s="1">
        <v>298</v>
      </c>
      <c r="K75" s="3">
        <f>Table14713[[#This Row],[GF]]/Table14713[[#This Row],[GP]]</f>
        <v>3.6341463414634148</v>
      </c>
      <c r="L75" s="1">
        <v>261</v>
      </c>
      <c r="M75" s="1">
        <v>3.18</v>
      </c>
      <c r="N75" s="2">
        <f>(Table14713[[#This Row],[GF]]^2)/((Table14713[[#This Row],[GF]]^2)+(Table14713[[#This Row],[GA]]^2))</f>
        <v>0.56590090807710691</v>
      </c>
      <c r="O75" s="1">
        <v>23.95</v>
      </c>
      <c r="P75" s="1">
        <v>76.89</v>
      </c>
      <c r="Q75" s="1">
        <f>Table14713[[#This Row],[PP_PCT]]+Table14713[[#This Row],[PK_PCT]]</f>
        <v>100.84</v>
      </c>
      <c r="R75" s="3">
        <v>11.2</v>
      </c>
      <c r="S75" s="3">
        <f>Table14713[[#This Row],[GA]]/Table14713[[#This Row],[GP]]</f>
        <v>3.1829268292682928</v>
      </c>
      <c r="T75" s="2">
        <v>0.93</v>
      </c>
      <c r="U75" s="1">
        <v>100.7</v>
      </c>
      <c r="V75" s="1">
        <v>47.5</v>
      </c>
      <c r="W75" s="1">
        <v>48.3</v>
      </c>
      <c r="X75" s="1">
        <v>174.4</v>
      </c>
      <c r="Y75" s="3">
        <f>Table135814[[#This Row],[XGF]]/Table14713[[#This Row],[GP]]</f>
        <v>2.126829268292683</v>
      </c>
      <c r="Z75" s="1">
        <v>177.4</v>
      </c>
      <c r="AA75" s="3">
        <f>Table135814[[#This Row],[XGA]]/Table14713[[#This Row],[GP]]</f>
        <v>2.1634146341463416</v>
      </c>
      <c r="AB75" s="1">
        <v>65</v>
      </c>
      <c r="AC75" s="2">
        <f>Table135814[[#This Row],[HDGF]]/Table14713[[#This Row],[GP]]</f>
        <v>0.79268292682926833</v>
      </c>
      <c r="AD75" s="1">
        <v>60</v>
      </c>
      <c r="AE75" s="2">
        <f>Table135814[[#This Row],[HDGA]]/Table14713[[#This Row],[GP]]</f>
        <v>0.73170731707317072</v>
      </c>
      <c r="AF75" s="1">
        <v>9.9</v>
      </c>
    </row>
    <row r="76" spans="1:32" x14ac:dyDescent="0.35">
      <c r="A76" t="s">
        <v>90</v>
      </c>
      <c r="B76">
        <v>11</v>
      </c>
      <c r="C76" t="s">
        <v>72</v>
      </c>
      <c r="D76" s="1">
        <v>1</v>
      </c>
      <c r="E76" s="1">
        <v>29.5</v>
      </c>
      <c r="F76" s="1">
        <v>82</v>
      </c>
      <c r="G76" s="1">
        <v>99</v>
      </c>
      <c r="H76" s="2">
        <f>Table14713[[#This Row],[PTS]]/Table14713[[#This Row],[GP]]</f>
        <v>1.2073170731707317</v>
      </c>
      <c r="I76" s="2">
        <v>0.60399999999999998</v>
      </c>
      <c r="J76" s="1">
        <v>266</v>
      </c>
      <c r="K76" s="3">
        <f>Table14713[[#This Row],[GF]]/Table14713[[#This Row],[GP]]</f>
        <v>3.2439024390243905</v>
      </c>
      <c r="L76" s="1">
        <v>248</v>
      </c>
      <c r="M76" s="1">
        <v>3.02</v>
      </c>
      <c r="N76" s="2">
        <f>(Table14713[[#This Row],[GF]]^2)/((Table14713[[#This Row],[GF]]^2)+(Table14713[[#This Row],[GA]]^2))</f>
        <v>0.53497656131861482</v>
      </c>
      <c r="O76" s="1">
        <v>21.56</v>
      </c>
      <c r="P76" s="1">
        <v>76.92</v>
      </c>
      <c r="Q76" s="1">
        <f>Table14713[[#This Row],[PP_PCT]]+Table14713[[#This Row],[PK_PCT]]</f>
        <v>98.48</v>
      </c>
      <c r="R76" s="3">
        <v>10.1</v>
      </c>
      <c r="S76" s="3">
        <f>Table14713[[#This Row],[GA]]/Table14713[[#This Row],[GP]]</f>
        <v>3.024390243902439</v>
      </c>
      <c r="T76" s="2">
        <v>0.92500000000000004</v>
      </c>
      <c r="U76" s="1">
        <v>100.5</v>
      </c>
      <c r="V76" s="1">
        <v>50.4</v>
      </c>
      <c r="W76" s="1">
        <v>50.4</v>
      </c>
      <c r="X76" s="1">
        <v>148.5</v>
      </c>
      <c r="Y76" s="3">
        <f>Table135814[[#This Row],[XGF]]/Table14713[[#This Row],[GP]]</f>
        <v>1.8109756097560976</v>
      </c>
      <c r="Z76" s="1">
        <v>152.80000000000001</v>
      </c>
      <c r="AA76" s="3">
        <f>Table135814[[#This Row],[XGA]]/Table14713[[#This Row],[GP]]</f>
        <v>1.8634146341463416</v>
      </c>
      <c r="AB76" s="1">
        <v>49</v>
      </c>
      <c r="AC76" s="2">
        <f>Table135814[[#This Row],[HDGF]]/Table14713[[#This Row],[GP]]</f>
        <v>0.59756097560975607</v>
      </c>
      <c r="AD76" s="1">
        <v>41</v>
      </c>
      <c r="AE76" s="2">
        <f>Table135814[[#This Row],[HDGA]]/Table14713[[#This Row],[GP]]</f>
        <v>0.5</v>
      </c>
      <c r="AF76" s="1">
        <v>9.6999999999999993</v>
      </c>
    </row>
    <row r="77" spans="1:32" x14ac:dyDescent="0.35">
      <c r="A77" t="s">
        <v>90</v>
      </c>
      <c r="B77">
        <v>12</v>
      </c>
      <c r="C77" t="s">
        <v>70</v>
      </c>
      <c r="D77" s="1">
        <v>1</v>
      </c>
      <c r="E77" s="1">
        <v>29.5</v>
      </c>
      <c r="F77" s="1">
        <v>82</v>
      </c>
      <c r="G77" s="1">
        <v>99</v>
      </c>
      <c r="H77" s="2">
        <f>Table14713[[#This Row],[PTS]]/Table14713[[#This Row],[GP]]</f>
        <v>1.2073170731707317</v>
      </c>
      <c r="I77" s="2">
        <v>0.60399999999999998</v>
      </c>
      <c r="J77" s="1">
        <v>254</v>
      </c>
      <c r="K77" s="3">
        <f>Table14713[[#This Row],[GF]]/Table14713[[#This Row],[GP]]</f>
        <v>3.0975609756097562</v>
      </c>
      <c r="L77" s="1">
        <v>210</v>
      </c>
      <c r="M77" s="1">
        <v>2.56</v>
      </c>
      <c r="N77" s="2">
        <f>(Table14713[[#This Row],[GF]]^2)/((Table14713[[#This Row],[GF]]^2)+(Table14713[[#This Row],[GA]]^2))</f>
        <v>0.59398247035427565</v>
      </c>
      <c r="O77" s="1">
        <v>22.58</v>
      </c>
      <c r="P77" s="1">
        <v>84.58</v>
      </c>
      <c r="Q77" s="1">
        <f>Table14713[[#This Row],[PP_PCT]]+Table14713[[#This Row],[PK_PCT]]</f>
        <v>107.16</v>
      </c>
      <c r="R77" s="3">
        <v>9.6999999999999993</v>
      </c>
      <c r="S77" s="3">
        <f>Table14713[[#This Row],[GA]]/Table14713[[#This Row],[GP]]</f>
        <v>2.5609756097560976</v>
      </c>
      <c r="T77" s="2">
        <v>0.93</v>
      </c>
      <c r="U77" s="1">
        <v>101</v>
      </c>
      <c r="V77" s="1">
        <v>47.1</v>
      </c>
      <c r="W77" s="1">
        <v>47.4</v>
      </c>
      <c r="X77" s="1">
        <v>163.9</v>
      </c>
      <c r="Y77" s="3">
        <f>Table135814[[#This Row],[XGF]]/Table14713[[#This Row],[GP]]</f>
        <v>1.998780487804878</v>
      </c>
      <c r="Z77" s="1">
        <v>177.1</v>
      </c>
      <c r="AA77" s="3">
        <f>Table135814[[#This Row],[XGA]]/Table14713[[#This Row],[GP]]</f>
        <v>2.1597560975609755</v>
      </c>
      <c r="AB77" s="1">
        <v>75</v>
      </c>
      <c r="AC77" s="2">
        <f>Table135814[[#This Row],[HDGF]]/Table14713[[#This Row],[GP]]</f>
        <v>0.91463414634146345</v>
      </c>
      <c r="AD77" s="1">
        <v>64</v>
      </c>
      <c r="AE77" s="2">
        <f>Table135814[[#This Row],[HDGA]]/Table14713[[#This Row],[GP]]</f>
        <v>0.78048780487804881</v>
      </c>
      <c r="AF77" s="1">
        <v>8.6999999999999993</v>
      </c>
    </row>
    <row r="78" spans="1:32" x14ac:dyDescent="0.35">
      <c r="A78" t="s">
        <v>90</v>
      </c>
      <c r="B78">
        <v>13</v>
      </c>
      <c r="C78" t="s">
        <v>63</v>
      </c>
      <c r="D78" s="1">
        <v>1</v>
      </c>
      <c r="E78" s="1">
        <v>29.1</v>
      </c>
      <c r="F78" s="1">
        <v>82</v>
      </c>
      <c r="G78" s="1">
        <v>98</v>
      </c>
      <c r="H78" s="2">
        <f>Table14713[[#This Row],[PTS]]/Table14713[[#This Row],[GP]]</f>
        <v>1.1951219512195121</v>
      </c>
      <c r="I78" s="2">
        <v>0.59799999999999998</v>
      </c>
      <c r="J78" s="1">
        <v>288</v>
      </c>
      <c r="K78" s="3">
        <f>Table14713[[#This Row],[GF]]/Table14713[[#This Row],[GP]]</f>
        <v>3.5121951219512195</v>
      </c>
      <c r="L78" s="1">
        <v>267</v>
      </c>
      <c r="M78" s="1">
        <v>3.26</v>
      </c>
      <c r="N78" s="2">
        <f>(Table14713[[#This Row],[GF]]^2)/((Table14713[[#This Row],[GF]]^2)+(Table14713[[#This Row],[GA]]^2))</f>
        <v>0.53778374277878271</v>
      </c>
      <c r="O78" s="1">
        <v>28.63</v>
      </c>
      <c r="P78" s="1">
        <v>83.33</v>
      </c>
      <c r="Q78" s="1">
        <f>Table14713[[#This Row],[PP_PCT]]+Table14713[[#This Row],[PK_PCT]]</f>
        <v>111.96</v>
      </c>
      <c r="R78" s="3">
        <v>12</v>
      </c>
      <c r="S78" s="3">
        <f>Table14713[[#This Row],[GA]]/Table14713[[#This Row],[GP]]</f>
        <v>3.2560975609756095</v>
      </c>
      <c r="T78" s="2">
        <v>0.92600000000000005</v>
      </c>
      <c r="U78" s="1">
        <v>101.1</v>
      </c>
      <c r="V78" s="1">
        <v>49.8</v>
      </c>
      <c r="W78" s="1">
        <v>50.3</v>
      </c>
      <c r="X78" s="1">
        <v>178.5</v>
      </c>
      <c r="Y78" s="3">
        <f>Table135814[[#This Row],[XGF]]/Table14713[[#This Row],[GP]]</f>
        <v>2.1768292682926829</v>
      </c>
      <c r="Z78" s="1">
        <v>180.7</v>
      </c>
      <c r="AA78" s="3">
        <f>Table135814[[#This Row],[XGA]]/Table14713[[#This Row],[GP]]</f>
        <v>2.2036585365853658</v>
      </c>
      <c r="AB78" s="1">
        <v>72</v>
      </c>
      <c r="AC78" s="2">
        <f>Table135814[[#This Row],[HDGF]]/Table14713[[#This Row],[GP]]</f>
        <v>0.87804878048780488</v>
      </c>
      <c r="AD78" s="1">
        <v>54</v>
      </c>
      <c r="AE78" s="2">
        <f>Table135814[[#This Row],[HDGA]]/Table14713[[#This Row],[GP]]</f>
        <v>0.65853658536585369</v>
      </c>
      <c r="AF78" s="1">
        <v>11</v>
      </c>
    </row>
    <row r="79" spans="1:32" x14ac:dyDescent="0.35">
      <c r="A79" t="s">
        <v>90</v>
      </c>
      <c r="B79">
        <v>14</v>
      </c>
      <c r="C79" t="s">
        <v>73</v>
      </c>
      <c r="D79" s="1">
        <v>1</v>
      </c>
      <c r="E79" s="1">
        <v>29</v>
      </c>
      <c r="F79" s="1">
        <v>82</v>
      </c>
      <c r="G79" s="1">
        <v>98</v>
      </c>
      <c r="H79" s="2">
        <f>Table14713[[#This Row],[PTS]]/Table14713[[#This Row],[GP]]</f>
        <v>1.1951219512195121</v>
      </c>
      <c r="I79" s="2">
        <v>0.59799999999999998</v>
      </c>
      <c r="J79" s="1">
        <v>263</v>
      </c>
      <c r="K79" s="3">
        <f>Table14713[[#This Row],[GF]]/Table14713[[#This Row],[GP]]</f>
        <v>3.2073170731707319</v>
      </c>
      <c r="L79" s="1">
        <v>243</v>
      </c>
      <c r="M79" s="1">
        <v>2.96</v>
      </c>
      <c r="N79" s="2">
        <f>(Table14713[[#This Row],[GF]]^2)/((Table14713[[#This Row],[GF]]^2)+(Table14713[[#This Row],[GA]]^2))</f>
        <v>0.53946403781060381</v>
      </c>
      <c r="O79" s="1">
        <v>20.239999999999998</v>
      </c>
      <c r="P79" s="1">
        <v>79.34</v>
      </c>
      <c r="Q79" s="1">
        <f>Table14713[[#This Row],[PP_PCT]]+Table14713[[#This Row],[PK_PCT]]</f>
        <v>99.58</v>
      </c>
      <c r="R79" s="3">
        <v>10.3</v>
      </c>
      <c r="S79" s="3">
        <f>Table14713[[#This Row],[GA]]/Table14713[[#This Row],[GP]]</f>
        <v>2.9634146341463414</v>
      </c>
      <c r="T79" s="2">
        <v>0.92100000000000004</v>
      </c>
      <c r="U79" s="1">
        <v>99.9</v>
      </c>
      <c r="V79" s="1">
        <v>50.5</v>
      </c>
      <c r="W79" s="1">
        <v>50.4</v>
      </c>
      <c r="X79" s="1">
        <v>169</v>
      </c>
      <c r="Y79" s="3">
        <f>Table135814[[#This Row],[XGF]]/Table14713[[#This Row],[GP]]</f>
        <v>2.0609756097560976</v>
      </c>
      <c r="Z79" s="1">
        <v>167.8</v>
      </c>
      <c r="AA79" s="3">
        <f>Table135814[[#This Row],[XGA]]/Table14713[[#This Row],[GP]]</f>
        <v>2.0463414634146342</v>
      </c>
      <c r="AB79" s="1">
        <v>55</v>
      </c>
      <c r="AC79" s="2">
        <f>Table135814[[#This Row],[HDGF]]/Table14713[[#This Row],[GP]]</f>
        <v>0.67073170731707321</v>
      </c>
      <c r="AD79" s="1">
        <v>73</v>
      </c>
      <c r="AE79" s="2">
        <f>Table135814[[#This Row],[HDGA]]/Table14713[[#This Row],[GP]]</f>
        <v>0.8902439024390244</v>
      </c>
      <c r="AF79" s="1">
        <v>7.4</v>
      </c>
    </row>
    <row r="80" spans="1:32" x14ac:dyDescent="0.35">
      <c r="A80" t="s">
        <v>90</v>
      </c>
      <c r="B80">
        <v>15</v>
      </c>
      <c r="C80" t="s">
        <v>76</v>
      </c>
      <c r="D80" s="1">
        <v>1</v>
      </c>
      <c r="E80" s="1">
        <v>29.6</v>
      </c>
      <c r="F80" s="1">
        <v>82</v>
      </c>
      <c r="G80" s="1">
        <v>94</v>
      </c>
      <c r="H80" s="2">
        <f>Table14713[[#This Row],[PTS]]/Table14713[[#This Row],[GP]]</f>
        <v>1.1463414634146341</v>
      </c>
      <c r="I80" s="2">
        <v>0.57299999999999995</v>
      </c>
      <c r="J80" s="1">
        <v>245</v>
      </c>
      <c r="K80" s="3">
        <f>Table14713[[#This Row],[GF]]/Table14713[[#This Row],[GP]]</f>
        <v>2.9878048780487805</v>
      </c>
      <c r="L80" s="1">
        <v>258</v>
      </c>
      <c r="M80" s="1">
        <v>3.15</v>
      </c>
      <c r="N80" s="2">
        <f>(Table14713[[#This Row],[GF]]^2)/((Table14713[[#This Row],[GF]]^2)+(Table14713[[#This Row],[GA]]^2))</f>
        <v>0.47417232144973104</v>
      </c>
      <c r="O80" s="1">
        <v>20.350000000000001</v>
      </c>
      <c r="P80" s="1">
        <v>71.489999999999995</v>
      </c>
      <c r="Q80" s="1">
        <f>Table14713[[#This Row],[PP_PCT]]+Table14713[[#This Row],[PK_PCT]]</f>
        <v>91.84</v>
      </c>
      <c r="R80" s="3">
        <v>9.9</v>
      </c>
      <c r="S80" s="3">
        <f>Table14713[[#This Row],[GA]]/Table14713[[#This Row],[GP]]</f>
        <v>3.1463414634146343</v>
      </c>
      <c r="T80" s="2">
        <v>0.91800000000000004</v>
      </c>
      <c r="U80" s="1">
        <v>100.4</v>
      </c>
      <c r="V80" s="1">
        <v>49.3</v>
      </c>
      <c r="W80" s="1">
        <v>48.7</v>
      </c>
      <c r="X80" s="1">
        <v>145</v>
      </c>
      <c r="Y80" s="3">
        <f>Table135814[[#This Row],[XGF]]/Table14713[[#This Row],[GP]]</f>
        <v>1.7682926829268293</v>
      </c>
      <c r="Z80" s="1">
        <v>172.4</v>
      </c>
      <c r="AA80" s="3">
        <f>Table135814[[#This Row],[XGA]]/Table14713[[#This Row],[GP]]</f>
        <v>2.102439024390244</v>
      </c>
      <c r="AB80" s="1">
        <v>57</v>
      </c>
      <c r="AC80" s="2">
        <f>Table135814[[#This Row],[HDGF]]/Table14713[[#This Row],[GP]]</f>
        <v>0.69512195121951215</v>
      </c>
      <c r="AD80" s="1">
        <v>52</v>
      </c>
      <c r="AE80" s="2">
        <f>Table135814[[#This Row],[HDGA]]/Table14713[[#This Row],[GP]]</f>
        <v>0.63414634146341464</v>
      </c>
      <c r="AF80" s="1">
        <v>7.1</v>
      </c>
    </row>
    <row r="81" spans="1:32" x14ac:dyDescent="0.35">
      <c r="A81" t="s">
        <v>90</v>
      </c>
      <c r="B81">
        <v>16</v>
      </c>
      <c r="C81" t="s">
        <v>65</v>
      </c>
      <c r="D81" s="1">
        <v>0</v>
      </c>
      <c r="E81" s="1">
        <v>29</v>
      </c>
      <c r="F81" s="1">
        <v>82</v>
      </c>
      <c r="G81" s="1">
        <v>92</v>
      </c>
      <c r="H81" s="2">
        <f>Table14713[[#This Row],[PTS]]/Table14713[[#This Row],[GP]]</f>
        <v>1.1219512195121952</v>
      </c>
      <c r="I81" s="2">
        <v>0.56100000000000005</v>
      </c>
      <c r="J81" s="1">
        <v>234</v>
      </c>
      <c r="K81" s="3">
        <f>Table14713[[#This Row],[GF]]/Table14713[[#This Row],[GP]]</f>
        <v>2.8536585365853657</v>
      </c>
      <c r="L81" s="1">
        <v>248</v>
      </c>
      <c r="M81" s="1">
        <v>3.02</v>
      </c>
      <c r="N81" s="2">
        <f>(Table14713[[#This Row],[GF]]^2)/((Table14713[[#This Row],[GF]]^2)+(Table14713[[#This Row],[GA]]^2))</f>
        <v>0.4709788405298469</v>
      </c>
      <c r="O81" s="1">
        <v>18</v>
      </c>
      <c r="P81" s="1">
        <v>78.599999999999994</v>
      </c>
      <c r="Q81" s="1">
        <f>Table14713[[#This Row],[PP_PCT]]+Table14713[[#This Row],[PK_PCT]]</f>
        <v>96.6</v>
      </c>
      <c r="R81" s="3">
        <v>9.9</v>
      </c>
      <c r="S81" s="3">
        <f>Table14713[[#This Row],[GA]]/Table14713[[#This Row],[GP]]</f>
        <v>3.024390243902439</v>
      </c>
      <c r="T81" s="2">
        <v>0.92300000000000004</v>
      </c>
      <c r="U81" s="1">
        <v>99.5</v>
      </c>
      <c r="V81" s="1">
        <v>47.9</v>
      </c>
      <c r="W81" s="1">
        <v>48.1</v>
      </c>
      <c r="X81" s="1">
        <v>161.6</v>
      </c>
      <c r="Y81" s="3">
        <f>Table135814[[#This Row],[XGF]]/Table14713[[#This Row],[GP]]</f>
        <v>1.9707317073170731</v>
      </c>
      <c r="Z81" s="1">
        <v>187.8</v>
      </c>
      <c r="AA81" s="3">
        <f>Table135814[[#This Row],[XGA]]/Table14713[[#This Row],[GP]]</f>
        <v>2.2902439024390246</v>
      </c>
      <c r="AB81" s="1">
        <v>55</v>
      </c>
      <c r="AC81" s="2">
        <f>Table135814[[#This Row],[HDGF]]/Table14713[[#This Row],[GP]]</f>
        <v>0.67073170731707321</v>
      </c>
      <c r="AD81" s="1">
        <v>79</v>
      </c>
      <c r="AE81" s="2">
        <f>Table135814[[#This Row],[HDGA]]/Table14713[[#This Row],[GP]]</f>
        <v>0.96341463414634143</v>
      </c>
      <c r="AF81" s="1">
        <v>7.4</v>
      </c>
    </row>
    <row r="82" spans="1:32" x14ac:dyDescent="0.35">
      <c r="A82" t="s">
        <v>90</v>
      </c>
      <c r="B82">
        <v>17</v>
      </c>
      <c r="C82" t="s">
        <v>69</v>
      </c>
      <c r="D82" s="1">
        <v>1</v>
      </c>
      <c r="E82" s="1">
        <v>30</v>
      </c>
      <c r="F82" s="1">
        <v>82</v>
      </c>
      <c r="G82" s="1">
        <v>91</v>
      </c>
      <c r="H82" s="2">
        <f>Table14713[[#This Row],[PTS]]/Table14713[[#This Row],[GP]]</f>
        <v>1.1097560975609757</v>
      </c>
      <c r="I82" s="2">
        <v>0.55500000000000005</v>
      </c>
      <c r="J82" s="1">
        <v>216</v>
      </c>
      <c r="K82" s="3">
        <f>Table14713[[#This Row],[GF]]/Table14713[[#This Row],[GP]]</f>
        <v>2.6341463414634148</v>
      </c>
      <c r="L82" s="1">
        <v>252</v>
      </c>
      <c r="M82" s="1">
        <v>3.07</v>
      </c>
      <c r="N82" s="2">
        <f>(Table14713[[#This Row],[GF]]^2)/((Table14713[[#This Row],[GF]]^2)+(Table14713[[#This Row],[GA]]^2))</f>
        <v>0.42352941176470588</v>
      </c>
      <c r="O82" s="1">
        <v>20.61</v>
      </c>
      <c r="P82" s="1">
        <v>78.97</v>
      </c>
      <c r="Q82" s="1">
        <f>Table14713[[#This Row],[PP_PCT]]+Table14713[[#This Row],[PK_PCT]]</f>
        <v>99.58</v>
      </c>
      <c r="R82" s="3">
        <v>9.9</v>
      </c>
      <c r="S82" s="3">
        <f>Table14713[[#This Row],[GA]]/Table14713[[#This Row],[GP]]</f>
        <v>3.0731707317073171</v>
      </c>
      <c r="T82" s="2">
        <v>0.91400000000000003</v>
      </c>
      <c r="U82" s="1">
        <v>98.5</v>
      </c>
      <c r="V82" s="1">
        <v>51.5</v>
      </c>
      <c r="W82" s="1">
        <v>52.1</v>
      </c>
      <c r="X82" s="1">
        <v>176.7</v>
      </c>
      <c r="Y82" s="3">
        <f>Table135814[[#This Row],[XGF]]/Table14713[[#This Row],[GP]]</f>
        <v>2.1548780487804877</v>
      </c>
      <c r="Z82" s="1">
        <v>168.5</v>
      </c>
      <c r="AA82" s="3">
        <f>Table135814[[#This Row],[XGA]]/Table14713[[#This Row],[GP]]</f>
        <v>2.0548780487804876</v>
      </c>
      <c r="AB82" s="1">
        <v>68</v>
      </c>
      <c r="AC82" s="2">
        <f>Table135814[[#This Row],[HDGF]]/Table14713[[#This Row],[GP]]</f>
        <v>0.82926829268292679</v>
      </c>
      <c r="AD82" s="1">
        <v>76</v>
      </c>
      <c r="AE82" s="2">
        <f>Table135814[[#This Row],[HDGA]]/Table14713[[#This Row],[GP]]</f>
        <v>0.92682926829268297</v>
      </c>
      <c r="AF82" s="1">
        <v>7.7</v>
      </c>
    </row>
    <row r="83" spans="1:32" x14ac:dyDescent="0.35">
      <c r="A83" t="s">
        <v>90</v>
      </c>
      <c r="B83">
        <v>18</v>
      </c>
      <c r="C83" t="s">
        <v>81</v>
      </c>
      <c r="D83" s="1">
        <v>0</v>
      </c>
      <c r="E83" s="1">
        <v>29.3</v>
      </c>
      <c r="F83" s="1">
        <v>82</v>
      </c>
      <c r="G83" s="1">
        <v>91</v>
      </c>
      <c r="H83" s="2">
        <f>Table14713[[#This Row],[PTS]]/Table14713[[#This Row],[GP]]</f>
        <v>1.1097560975609757</v>
      </c>
      <c r="I83" s="2">
        <v>0.55500000000000005</v>
      </c>
      <c r="J83" s="1">
        <v>275</v>
      </c>
      <c r="K83" s="3">
        <f>Table14713[[#This Row],[GF]]/Table14713[[#This Row],[GP]]</f>
        <v>3.3536585365853657</v>
      </c>
      <c r="L83" s="1">
        <v>273</v>
      </c>
      <c r="M83" s="1">
        <v>3.33</v>
      </c>
      <c r="N83" s="2">
        <f>(Table14713[[#This Row],[GF]]^2)/((Table14713[[#This Row],[GF]]^2)+(Table14713[[#This Row],[GA]]^2))</f>
        <v>0.50364958642460411</v>
      </c>
      <c r="O83" s="1">
        <v>23.08</v>
      </c>
      <c r="P83" s="1">
        <v>79.58</v>
      </c>
      <c r="Q83" s="1">
        <f>Table14713[[#This Row],[PP_PCT]]+Table14713[[#This Row],[PK_PCT]]</f>
        <v>102.66</v>
      </c>
      <c r="R83" s="3">
        <v>11.6</v>
      </c>
      <c r="S83" s="3">
        <f>Table14713[[#This Row],[GA]]/Table14713[[#This Row],[GP]]</f>
        <v>3.3292682926829267</v>
      </c>
      <c r="T83" s="2">
        <v>0.90900000000000003</v>
      </c>
      <c r="U83" s="1">
        <v>98.6</v>
      </c>
      <c r="V83" s="1">
        <v>51</v>
      </c>
      <c r="W83" s="1">
        <v>51.2</v>
      </c>
      <c r="X83" s="1">
        <v>166.7</v>
      </c>
      <c r="Y83" s="3">
        <f>Table135814[[#This Row],[XGF]]/Table14713[[#This Row],[GP]]</f>
        <v>2.0329268292682925</v>
      </c>
      <c r="Z83" s="1">
        <v>163.9</v>
      </c>
      <c r="AA83" s="3">
        <f>Table135814[[#This Row],[XGA]]/Table14713[[#This Row],[GP]]</f>
        <v>1.998780487804878</v>
      </c>
      <c r="AB83" s="1">
        <v>75</v>
      </c>
      <c r="AC83" s="2">
        <f>Table135814[[#This Row],[HDGF]]/Table14713[[#This Row],[GP]]</f>
        <v>0.91463414634146345</v>
      </c>
      <c r="AD83" s="1">
        <v>66</v>
      </c>
      <c r="AE83" s="2">
        <f>Table135814[[#This Row],[HDGA]]/Table14713[[#This Row],[GP]]</f>
        <v>0.80487804878048785</v>
      </c>
      <c r="AF83" s="1">
        <v>8.6999999999999993</v>
      </c>
    </row>
    <row r="84" spans="1:32" x14ac:dyDescent="0.35">
      <c r="A84" t="s">
        <v>90</v>
      </c>
      <c r="B84">
        <v>19</v>
      </c>
      <c r="C84" t="s">
        <v>68</v>
      </c>
      <c r="D84" s="1">
        <v>0</v>
      </c>
      <c r="E84" s="1">
        <v>31.3</v>
      </c>
      <c r="F84" s="1">
        <v>82</v>
      </c>
      <c r="G84" s="1">
        <v>88</v>
      </c>
      <c r="H84" s="2">
        <f>Table14713[[#This Row],[PTS]]/Table14713[[#This Row],[GP]]</f>
        <v>1.0731707317073171</v>
      </c>
      <c r="I84" s="2">
        <v>0.53700000000000003</v>
      </c>
      <c r="J84" s="1">
        <v>253</v>
      </c>
      <c r="K84" s="3">
        <f>Table14713[[#This Row],[GF]]/Table14713[[#This Row],[GP]]</f>
        <v>3.0853658536585367</v>
      </c>
      <c r="L84" s="1">
        <v>248</v>
      </c>
      <c r="M84" s="1">
        <v>3.02</v>
      </c>
      <c r="N84" s="2">
        <f>(Table14713[[#This Row],[GF]]^2)/((Table14713[[#This Row],[GF]]^2)+(Table14713[[#This Row],[GA]]^2))</f>
        <v>0.50997904599523558</v>
      </c>
      <c r="O84" s="1">
        <v>15.27</v>
      </c>
      <c r="P84" s="1">
        <v>80.66</v>
      </c>
      <c r="Q84" s="1">
        <f>Table14713[[#This Row],[PP_PCT]]+Table14713[[#This Row],[PK_PCT]]</f>
        <v>95.929999999999993</v>
      </c>
      <c r="R84" s="3">
        <v>9.4</v>
      </c>
      <c r="S84" s="3">
        <f>Table14713[[#This Row],[GA]]/Table14713[[#This Row],[GP]]</f>
        <v>3.024390243902439</v>
      </c>
      <c r="T84" s="2">
        <v>0.91900000000000004</v>
      </c>
      <c r="U84" s="1">
        <v>98.8</v>
      </c>
      <c r="V84" s="1">
        <v>50.8</v>
      </c>
      <c r="W84" s="1">
        <v>50.5</v>
      </c>
      <c r="X84" s="1">
        <v>136.19999999999999</v>
      </c>
      <c r="Y84" s="3">
        <f>Table135814[[#This Row],[XGF]]/Table14713[[#This Row],[GP]]</f>
        <v>1.6609756097560975</v>
      </c>
      <c r="Z84" s="1">
        <v>140.30000000000001</v>
      </c>
      <c r="AA84" s="3">
        <f>Table135814[[#This Row],[XGA]]/Table14713[[#This Row],[GP]]</f>
        <v>1.7109756097560977</v>
      </c>
      <c r="AB84" s="1">
        <v>44</v>
      </c>
      <c r="AC84" s="2">
        <f>Table135814[[#This Row],[HDGF]]/Table14713[[#This Row],[GP]]</f>
        <v>0.53658536585365857</v>
      </c>
      <c r="AD84" s="1">
        <v>55</v>
      </c>
      <c r="AE84" s="2">
        <f>Table135814[[#This Row],[HDGA]]/Table14713[[#This Row],[GP]]</f>
        <v>0.67073170731707321</v>
      </c>
      <c r="AF84" s="1">
        <v>7.4</v>
      </c>
    </row>
    <row r="85" spans="1:32" x14ac:dyDescent="0.35">
      <c r="A85" t="s">
        <v>90</v>
      </c>
      <c r="B85">
        <v>20</v>
      </c>
      <c r="C85" t="s">
        <v>61</v>
      </c>
      <c r="D85" s="1">
        <v>0</v>
      </c>
      <c r="E85" s="1">
        <v>29.3</v>
      </c>
      <c r="F85" s="1">
        <v>82</v>
      </c>
      <c r="G85" s="1">
        <v>87</v>
      </c>
      <c r="H85" s="2">
        <f>Table14713[[#This Row],[PTS]]/Table14713[[#This Row],[GP]]</f>
        <v>1.0609756097560976</v>
      </c>
      <c r="I85" s="2">
        <v>0.53</v>
      </c>
      <c r="J85" s="1">
        <v>248</v>
      </c>
      <c r="K85" s="3">
        <f>Table14713[[#This Row],[GF]]/Table14713[[#This Row],[GP]]</f>
        <v>3.024390243902439</v>
      </c>
      <c r="L85" s="1">
        <v>260</v>
      </c>
      <c r="M85" s="1">
        <v>3.17</v>
      </c>
      <c r="N85" s="2">
        <f>(Table14713[[#This Row],[GF]]^2)/((Table14713[[#This Row],[GF]]^2)+(Table14713[[#This Row],[GA]]^2))</f>
        <v>0.47639112653364729</v>
      </c>
      <c r="O85" s="1">
        <v>22.71</v>
      </c>
      <c r="P85" s="1">
        <v>74.52</v>
      </c>
      <c r="Q85" s="1">
        <f>Table14713[[#This Row],[PP_PCT]]+Table14713[[#This Row],[PK_PCT]]</f>
        <v>97.22999999999999</v>
      </c>
      <c r="R85" s="3">
        <v>10</v>
      </c>
      <c r="S85" s="3">
        <f>Table14713[[#This Row],[GA]]/Table14713[[#This Row],[GP]]</f>
        <v>3.1707317073170733</v>
      </c>
      <c r="T85" s="2">
        <v>0.91900000000000004</v>
      </c>
      <c r="U85" s="1">
        <v>99.5</v>
      </c>
      <c r="V85" s="1">
        <v>46.6</v>
      </c>
      <c r="W85" s="1">
        <v>46.7</v>
      </c>
      <c r="X85" s="1">
        <v>164.1</v>
      </c>
      <c r="Y85" s="3">
        <f>Table135814[[#This Row],[XGF]]/Table14713[[#This Row],[GP]]</f>
        <v>2.0012195121951217</v>
      </c>
      <c r="Z85" s="1">
        <v>185.4</v>
      </c>
      <c r="AA85" s="3">
        <f>Table135814[[#This Row],[XGA]]/Table14713[[#This Row],[GP]]</f>
        <v>2.2609756097560978</v>
      </c>
      <c r="AB85" s="1">
        <v>74</v>
      </c>
      <c r="AC85" s="2">
        <f>Table135814[[#This Row],[HDGF]]/Table14713[[#This Row],[GP]]</f>
        <v>0.90243902439024393</v>
      </c>
      <c r="AD85" s="1">
        <v>76</v>
      </c>
      <c r="AE85" s="2">
        <f>Table135814[[#This Row],[HDGA]]/Table14713[[#This Row],[GP]]</f>
        <v>0.92682926829268297</v>
      </c>
      <c r="AF85" s="1">
        <v>11.4</v>
      </c>
    </row>
    <row r="86" spans="1:32" x14ac:dyDescent="0.35">
      <c r="A86" t="s">
        <v>90</v>
      </c>
      <c r="B86">
        <v>21</v>
      </c>
      <c r="C86" t="s">
        <v>85</v>
      </c>
      <c r="D86" s="1">
        <v>0</v>
      </c>
      <c r="E86" s="1">
        <v>27.1</v>
      </c>
      <c r="F86" s="1">
        <v>82</v>
      </c>
      <c r="G86" s="1">
        <v>87</v>
      </c>
      <c r="H86" s="2">
        <f>Table14713[[#This Row],[PTS]]/Table14713[[#This Row],[GP]]</f>
        <v>1.0609756097560976</v>
      </c>
      <c r="I86" s="2">
        <v>0.53</v>
      </c>
      <c r="J86" s="1">
        <v>231</v>
      </c>
      <c r="K86" s="3">
        <f>Table14713[[#This Row],[GF]]/Table14713[[#This Row],[GP]]</f>
        <v>2.8170731707317072</v>
      </c>
      <c r="L86" s="1">
        <v>258</v>
      </c>
      <c r="M86" s="1">
        <v>3.15</v>
      </c>
      <c r="N86" s="2">
        <f>(Table14713[[#This Row],[GF]]^2)/((Table14713[[#This Row],[GF]]^2)+(Table14713[[#This Row],[GA]]^2))</f>
        <v>0.44495309568480301</v>
      </c>
      <c r="O86" s="1">
        <v>12.2</v>
      </c>
      <c r="P86" s="1">
        <v>83.4</v>
      </c>
      <c r="Q86" s="1">
        <f>Table14713[[#This Row],[PP_PCT]]+Table14713[[#This Row],[PK_PCT]]</f>
        <v>95.600000000000009</v>
      </c>
      <c r="R86" s="3">
        <v>8.5</v>
      </c>
      <c r="S86" s="3">
        <f>Table14713[[#This Row],[GA]]/Table14713[[#This Row],[GP]]</f>
        <v>3.1463414634146343</v>
      </c>
      <c r="T86" s="2">
        <v>0.92</v>
      </c>
      <c r="U86" s="1">
        <v>99.3</v>
      </c>
      <c r="V86" s="1">
        <v>47.4</v>
      </c>
      <c r="W86" s="1">
        <v>48.7</v>
      </c>
      <c r="X86" s="1">
        <v>169.2</v>
      </c>
      <c r="Y86" s="3">
        <f>Table135814[[#This Row],[XGF]]/Table14713[[#This Row],[GP]]</f>
        <v>2.0634146341463415</v>
      </c>
      <c r="Z86" s="1">
        <v>178.2</v>
      </c>
      <c r="AA86" s="3">
        <f>Table135814[[#This Row],[XGA]]/Table14713[[#This Row],[GP]]</f>
        <v>2.1731707317073168</v>
      </c>
      <c r="AB86" s="1">
        <v>65</v>
      </c>
      <c r="AC86" s="2">
        <f>Table135814[[#This Row],[HDGF]]/Table14713[[#This Row],[GP]]</f>
        <v>0.79268292682926833</v>
      </c>
      <c r="AD86" s="1">
        <v>74</v>
      </c>
      <c r="AE86" s="2">
        <f>Table135814[[#This Row],[HDGA]]/Table14713[[#This Row],[GP]]</f>
        <v>0.90243902439024393</v>
      </c>
      <c r="AF86" s="1">
        <v>10.1</v>
      </c>
    </row>
    <row r="87" spans="1:32" x14ac:dyDescent="0.35">
      <c r="A87" t="s">
        <v>90</v>
      </c>
      <c r="B87">
        <v>22</v>
      </c>
      <c r="C87" t="s">
        <v>80</v>
      </c>
      <c r="D87" s="1">
        <v>0</v>
      </c>
      <c r="E87" s="1">
        <v>25.7</v>
      </c>
      <c r="F87" s="1">
        <v>82</v>
      </c>
      <c r="G87" s="1">
        <v>84</v>
      </c>
      <c r="H87" s="2">
        <f>Table14713[[#This Row],[PTS]]/Table14713[[#This Row],[GP]]</f>
        <v>1.024390243902439</v>
      </c>
      <c r="I87" s="2">
        <v>0.51200000000000001</v>
      </c>
      <c r="J87" s="1">
        <v>244</v>
      </c>
      <c r="K87" s="3">
        <f>Table14713[[#This Row],[GF]]/Table14713[[#This Row],[GP]]</f>
        <v>2.975609756097561</v>
      </c>
      <c r="L87" s="1">
        <v>243</v>
      </c>
      <c r="M87" s="1">
        <v>2.96</v>
      </c>
      <c r="N87" s="2">
        <f>(Table14713[[#This Row],[GF]]^2)/((Table14713[[#This Row],[GF]]^2)+(Table14713[[#This Row],[GA]]^2))</f>
        <v>0.50205337943247463</v>
      </c>
      <c r="O87" s="1">
        <v>16.59</v>
      </c>
      <c r="P87" s="1">
        <v>79.84</v>
      </c>
      <c r="Q87" s="1">
        <f>Table14713[[#This Row],[PP_PCT]]+Table14713[[#This Row],[PK_PCT]]</f>
        <v>96.43</v>
      </c>
      <c r="R87" s="3">
        <v>9.6</v>
      </c>
      <c r="S87" s="3">
        <f>Table14713[[#This Row],[GA]]/Table14713[[#This Row],[GP]]</f>
        <v>2.9634146341463414</v>
      </c>
      <c r="T87" s="2">
        <v>0.90500000000000003</v>
      </c>
      <c r="U87" s="1">
        <v>97.6</v>
      </c>
      <c r="V87" s="1">
        <v>52.1</v>
      </c>
      <c r="W87" s="1">
        <v>54</v>
      </c>
      <c r="X87" s="1">
        <v>177.5</v>
      </c>
      <c r="Y87" s="3">
        <f>Table135814[[#This Row],[XGF]]/Table14713[[#This Row],[GP]]</f>
        <v>2.1646341463414633</v>
      </c>
      <c r="Z87" s="1">
        <v>149.80000000000001</v>
      </c>
      <c r="AA87" s="3">
        <f>Table135814[[#This Row],[XGA]]/Table14713[[#This Row],[GP]]</f>
        <v>1.826829268292683</v>
      </c>
      <c r="AB87" s="1">
        <v>66</v>
      </c>
      <c r="AC87" s="2">
        <f>Table135814[[#This Row],[HDGF]]/Table14713[[#This Row],[GP]]</f>
        <v>0.80487804878048785</v>
      </c>
      <c r="AD87" s="1">
        <v>70</v>
      </c>
      <c r="AE87" s="2">
        <f>Table135814[[#This Row],[HDGA]]/Table14713[[#This Row],[GP]]</f>
        <v>0.85365853658536583</v>
      </c>
      <c r="AF87" s="1">
        <v>9.8000000000000007</v>
      </c>
    </row>
    <row r="88" spans="1:32" x14ac:dyDescent="0.35">
      <c r="A88" t="s">
        <v>90</v>
      </c>
      <c r="B88">
        <v>23</v>
      </c>
      <c r="C88" t="s">
        <v>84</v>
      </c>
      <c r="D88" s="1">
        <v>0</v>
      </c>
      <c r="E88" s="1">
        <v>26.8</v>
      </c>
      <c r="F88" s="1">
        <v>82</v>
      </c>
      <c r="G88" s="1">
        <v>81</v>
      </c>
      <c r="H88" s="2">
        <f>Table14713[[#This Row],[PTS]]/Table14713[[#This Row],[GP]]</f>
        <v>0.98780487804878048</v>
      </c>
      <c r="I88" s="2">
        <v>0.49399999999999999</v>
      </c>
      <c r="J88" s="1">
        <v>264</v>
      </c>
      <c r="K88" s="3">
        <f>Table14713[[#This Row],[GF]]/Table14713[[#This Row],[GP]]</f>
        <v>3.2195121951219514</v>
      </c>
      <c r="L88" s="1">
        <v>281</v>
      </c>
      <c r="M88" s="1">
        <v>3.43</v>
      </c>
      <c r="N88" s="2">
        <f>(Table14713[[#This Row],[GF]]^2)/((Table14713[[#This Row],[GF]]^2)+(Table14713[[#This Row],[GA]]^2))</f>
        <v>0.46883765984783765</v>
      </c>
      <c r="O88" s="1">
        <v>22.45</v>
      </c>
      <c r="P88" s="1">
        <v>80.66</v>
      </c>
      <c r="Q88" s="1">
        <f>Table14713[[#This Row],[PP_PCT]]+Table14713[[#This Row],[PK_PCT]]</f>
        <v>103.11</v>
      </c>
      <c r="R88" s="3">
        <v>10.5</v>
      </c>
      <c r="S88" s="3">
        <f>Table14713[[#This Row],[GA]]/Table14713[[#This Row],[GP]]</f>
        <v>3.4268292682926829</v>
      </c>
      <c r="T88" s="2">
        <v>0.89800000000000002</v>
      </c>
      <c r="U88" s="1">
        <v>98.1</v>
      </c>
      <c r="V88" s="1">
        <v>49</v>
      </c>
      <c r="W88" s="1">
        <v>50.4</v>
      </c>
      <c r="X88" s="1">
        <v>159.30000000000001</v>
      </c>
      <c r="Y88" s="3">
        <f>Table135814[[#This Row],[XGF]]/Table14713[[#This Row],[GP]]</f>
        <v>1.9426829268292685</v>
      </c>
      <c r="Z88" s="1">
        <v>144.5</v>
      </c>
      <c r="AA88" s="3">
        <f>Table135814[[#This Row],[XGA]]/Table14713[[#This Row],[GP]]</f>
        <v>1.7621951219512195</v>
      </c>
      <c r="AB88" s="1">
        <v>54</v>
      </c>
      <c r="AC88" s="2">
        <f>Table135814[[#This Row],[HDGF]]/Table14713[[#This Row],[GP]]</f>
        <v>0.65853658536585369</v>
      </c>
      <c r="AD88" s="1">
        <v>55</v>
      </c>
      <c r="AE88" s="2">
        <f>Table135814[[#This Row],[HDGA]]/Table14713[[#This Row],[GP]]</f>
        <v>0.67073170731707321</v>
      </c>
      <c r="AF88" s="1">
        <v>9.1</v>
      </c>
    </row>
    <row r="89" spans="1:32" x14ac:dyDescent="0.35">
      <c r="A89" t="s">
        <v>90</v>
      </c>
      <c r="B89">
        <v>24</v>
      </c>
      <c r="C89" t="s">
        <v>86</v>
      </c>
      <c r="D89" s="1">
        <v>0</v>
      </c>
      <c r="E89" s="1">
        <v>29.4</v>
      </c>
      <c r="F89" s="1">
        <v>82</v>
      </c>
      <c r="G89" s="1">
        <v>81</v>
      </c>
      <c r="H89" s="2">
        <f>Table14713[[#This Row],[PTS]]/Table14713[[#This Row],[GP]]</f>
        <v>0.98780487804878048</v>
      </c>
      <c r="I89" s="2">
        <v>0.49399999999999999</v>
      </c>
      <c r="J89" s="1">
        <v>214</v>
      </c>
      <c r="K89" s="3">
        <f>Table14713[[#This Row],[GF]]/Table14713[[#This Row],[GP]]</f>
        <v>2.6097560975609757</v>
      </c>
      <c r="L89" s="1">
        <v>232</v>
      </c>
      <c r="M89" s="1">
        <v>2.83</v>
      </c>
      <c r="N89" s="2">
        <f>(Table14713[[#This Row],[GF]]^2)/((Table14713[[#This Row],[GF]]^2)+(Table14713[[#This Row],[GA]]^2))</f>
        <v>0.45970688616743627</v>
      </c>
      <c r="O89" s="1">
        <v>20.66</v>
      </c>
      <c r="P89" s="1">
        <v>78.83</v>
      </c>
      <c r="Q89" s="1">
        <f>Table14713[[#This Row],[PP_PCT]]+Table14713[[#This Row],[PK_PCT]]</f>
        <v>99.49</v>
      </c>
      <c r="R89" s="3">
        <v>9.1</v>
      </c>
      <c r="S89" s="3">
        <f>Table14713[[#This Row],[GA]]/Table14713[[#This Row],[GP]]</f>
        <v>2.8292682926829267</v>
      </c>
      <c r="T89" s="2">
        <v>0.93</v>
      </c>
      <c r="U89" s="1">
        <v>100.5</v>
      </c>
      <c r="V89" s="1">
        <v>52.1</v>
      </c>
      <c r="W89" s="1">
        <v>52.9</v>
      </c>
      <c r="X89" s="1">
        <v>198.7</v>
      </c>
      <c r="Y89" s="3">
        <f>Table135814[[#This Row],[XGF]]/Table14713[[#This Row],[GP]]</f>
        <v>2.4231707317073168</v>
      </c>
      <c r="Z89" s="1">
        <v>174.7</v>
      </c>
      <c r="AA89" s="3">
        <f>Table135814[[#This Row],[XGA]]/Table14713[[#This Row],[GP]]</f>
        <v>2.1304878048780487</v>
      </c>
      <c r="AB89" s="1">
        <v>80</v>
      </c>
      <c r="AC89" s="2">
        <f>Table135814[[#This Row],[HDGF]]/Table14713[[#This Row],[GP]]</f>
        <v>0.97560975609756095</v>
      </c>
      <c r="AD89" s="1">
        <v>69</v>
      </c>
      <c r="AE89" s="2">
        <f>Table135814[[#This Row],[HDGA]]/Table14713[[#This Row],[GP]]</f>
        <v>0.84146341463414631</v>
      </c>
      <c r="AF89" s="1">
        <v>8</v>
      </c>
    </row>
    <row r="90" spans="1:32" x14ac:dyDescent="0.35">
      <c r="A90" t="s">
        <v>90</v>
      </c>
      <c r="B90">
        <v>25</v>
      </c>
      <c r="C90" t="s">
        <v>62</v>
      </c>
      <c r="D90" s="1">
        <v>0</v>
      </c>
      <c r="E90" s="1">
        <v>29.2</v>
      </c>
      <c r="F90" s="1">
        <v>82</v>
      </c>
      <c r="G90" s="1">
        <v>81</v>
      </c>
      <c r="H90" s="2">
        <f>Table14713[[#This Row],[PTS]]/Table14713[[#This Row],[GP]]</f>
        <v>0.98780487804878048</v>
      </c>
      <c r="I90" s="2">
        <v>0.49399999999999999</v>
      </c>
      <c r="J90" s="1">
        <v>253</v>
      </c>
      <c r="K90" s="3">
        <f>Table14713[[#This Row],[GF]]/Table14713[[#This Row],[GP]]</f>
        <v>3.0853658536585367</v>
      </c>
      <c r="L90" s="1">
        <v>267</v>
      </c>
      <c r="M90" s="1">
        <v>3.26</v>
      </c>
      <c r="N90" s="2">
        <f>(Table14713[[#This Row],[GF]]^2)/((Table14713[[#This Row],[GF]]^2)+(Table14713[[#This Row],[GA]]^2))</f>
        <v>0.47309642418956671</v>
      </c>
      <c r="O90" s="1">
        <v>17.86</v>
      </c>
      <c r="P90" s="1">
        <v>80.819999999999993</v>
      </c>
      <c r="Q90" s="1">
        <f>Table14713[[#This Row],[PP_PCT]]+Table14713[[#This Row],[PK_PCT]]</f>
        <v>98.679999999999993</v>
      </c>
      <c r="R90" s="3">
        <v>9.8000000000000007</v>
      </c>
      <c r="S90" s="3">
        <f>Table14713[[#This Row],[GA]]/Table14713[[#This Row],[GP]]</f>
        <v>3.2560975609756095</v>
      </c>
      <c r="T90" s="2">
        <v>0.92200000000000004</v>
      </c>
      <c r="U90" s="1">
        <v>99.4</v>
      </c>
      <c r="V90" s="1">
        <v>52</v>
      </c>
      <c r="W90" s="1">
        <v>52.1</v>
      </c>
      <c r="X90" s="1">
        <v>201.9</v>
      </c>
      <c r="Y90" s="3">
        <f>Table135814[[#This Row],[XGF]]/Table14713[[#This Row],[GP]]</f>
        <v>2.4621951219512197</v>
      </c>
      <c r="Z90" s="1">
        <v>188.1</v>
      </c>
      <c r="AA90" s="3">
        <f>Table135814[[#This Row],[XGA]]/Table14713[[#This Row],[GP]]</f>
        <v>2.2939024390243903</v>
      </c>
      <c r="AB90" s="1">
        <v>75</v>
      </c>
      <c r="AC90" s="2">
        <f>Table135814[[#This Row],[HDGF]]/Table14713[[#This Row],[GP]]</f>
        <v>0.91463414634146345</v>
      </c>
      <c r="AD90" s="1">
        <v>77</v>
      </c>
      <c r="AE90" s="2">
        <f>Table135814[[#This Row],[HDGA]]/Table14713[[#This Row],[GP]]</f>
        <v>0.93902439024390238</v>
      </c>
      <c r="AF90" s="1">
        <v>9.4</v>
      </c>
    </row>
    <row r="91" spans="1:32" x14ac:dyDescent="0.35">
      <c r="A91" t="s">
        <v>90</v>
      </c>
      <c r="B91">
        <v>26</v>
      </c>
      <c r="C91" t="s">
        <v>82</v>
      </c>
      <c r="D91" s="1">
        <v>0</v>
      </c>
      <c r="E91" s="1">
        <v>27</v>
      </c>
      <c r="F91" s="1">
        <v>82</v>
      </c>
      <c r="G91" s="1">
        <v>78</v>
      </c>
      <c r="H91" s="2">
        <f>Table14713[[#This Row],[PTS]]/Table14713[[#This Row],[GP]]</f>
        <v>0.95121951219512191</v>
      </c>
      <c r="I91" s="2">
        <v>0.47599999999999998</v>
      </c>
      <c r="J91" s="1">
        <v>250</v>
      </c>
      <c r="K91" s="3">
        <f>Table14713[[#This Row],[GF]]/Table14713[[#This Row],[GP]]</f>
        <v>3.0487804878048781</v>
      </c>
      <c r="L91" s="1">
        <v>281</v>
      </c>
      <c r="M91" s="1">
        <v>3.43</v>
      </c>
      <c r="N91" s="2">
        <f>(Table14713[[#This Row],[GF]]^2)/((Table14713[[#This Row],[GF]]^2)+(Table14713[[#This Row],[GA]]^2))</f>
        <v>0.4418178862018507</v>
      </c>
      <c r="O91" s="1">
        <v>18.02</v>
      </c>
      <c r="P91" s="1">
        <v>75.099999999999994</v>
      </c>
      <c r="Q91" s="1">
        <f>Table14713[[#This Row],[PP_PCT]]+Table14713[[#This Row],[PK_PCT]]</f>
        <v>93.11999999999999</v>
      </c>
      <c r="R91" s="3">
        <v>9.6</v>
      </c>
      <c r="S91" s="3">
        <f>Table14713[[#This Row],[GA]]/Table14713[[#This Row],[GP]]</f>
        <v>3.4268292682926829</v>
      </c>
      <c r="T91" s="2">
        <v>0.91900000000000004</v>
      </c>
      <c r="U91" s="1">
        <v>99.8</v>
      </c>
      <c r="V91" s="1">
        <v>51.7</v>
      </c>
      <c r="W91" s="1">
        <v>50.7</v>
      </c>
      <c r="X91" s="1">
        <v>184.6</v>
      </c>
      <c r="Y91" s="3">
        <f>Table135814[[#This Row],[XGF]]/Table14713[[#This Row],[GP]]</f>
        <v>2.2512195121951217</v>
      </c>
      <c r="Z91" s="1">
        <v>171.3</v>
      </c>
      <c r="AA91" s="3">
        <f>Table135814[[#This Row],[XGA]]/Table14713[[#This Row],[GP]]</f>
        <v>2.0890243902439027</v>
      </c>
      <c r="AB91" s="1">
        <v>71</v>
      </c>
      <c r="AC91" s="2">
        <f>Table135814[[#This Row],[HDGF]]/Table14713[[#This Row],[GP]]</f>
        <v>0.86585365853658536</v>
      </c>
      <c r="AD91" s="1">
        <v>73</v>
      </c>
      <c r="AE91" s="2">
        <f>Table135814[[#This Row],[HDGA]]/Table14713[[#This Row],[GP]]</f>
        <v>0.8902439024390244</v>
      </c>
      <c r="AF91" s="1">
        <v>10.4</v>
      </c>
    </row>
    <row r="92" spans="1:32" x14ac:dyDescent="0.35">
      <c r="A92" t="s">
        <v>90</v>
      </c>
      <c r="B92">
        <v>27</v>
      </c>
      <c r="C92" t="s">
        <v>87</v>
      </c>
      <c r="D92" s="1">
        <v>0</v>
      </c>
      <c r="E92" s="1">
        <v>26.7</v>
      </c>
      <c r="F92" s="1">
        <v>82</v>
      </c>
      <c r="G92" s="1">
        <v>77</v>
      </c>
      <c r="H92" s="2">
        <f>Table14713[[#This Row],[PTS]]/Table14713[[#This Row],[GP]]</f>
        <v>0.93902439024390238</v>
      </c>
      <c r="I92" s="2">
        <v>0.47</v>
      </c>
      <c r="J92" s="1">
        <v>254</v>
      </c>
      <c r="K92" s="3">
        <f>Table14713[[#This Row],[GF]]/Table14713[[#This Row],[GP]]</f>
        <v>3.0975609756097562</v>
      </c>
      <c r="L92" s="1">
        <v>274</v>
      </c>
      <c r="M92" s="1">
        <v>3.34</v>
      </c>
      <c r="N92" s="2">
        <f>(Table14713[[#This Row],[GF]]^2)/((Table14713[[#This Row],[GF]]^2)+(Table14713[[#This Row],[GA]]^2))</f>
        <v>0.4621754828356926</v>
      </c>
      <c r="O92" s="1">
        <v>21.99</v>
      </c>
      <c r="P92" s="1">
        <v>76.319999999999993</v>
      </c>
      <c r="Q92" s="1">
        <f>Table14713[[#This Row],[PP_PCT]]+Table14713[[#This Row],[PK_PCT]]</f>
        <v>98.309999999999988</v>
      </c>
      <c r="R92" s="3">
        <v>11.2</v>
      </c>
      <c r="S92" s="3">
        <f>Table14713[[#This Row],[GA]]/Table14713[[#This Row],[GP]]</f>
        <v>3.3414634146341462</v>
      </c>
      <c r="T92" s="2">
        <v>0.90500000000000003</v>
      </c>
      <c r="U92" s="1">
        <v>98.6</v>
      </c>
      <c r="V92" s="1">
        <v>51</v>
      </c>
      <c r="W92" s="1">
        <v>49.4</v>
      </c>
      <c r="X92" s="1">
        <v>151.30000000000001</v>
      </c>
      <c r="Y92" s="3">
        <f>Table135814[[#This Row],[XGF]]/Table14713[[#This Row],[GP]]</f>
        <v>1.8451219512195123</v>
      </c>
      <c r="Z92" s="1">
        <v>166.5</v>
      </c>
      <c r="AA92" s="3">
        <f>Table135814[[#This Row],[XGA]]/Table14713[[#This Row],[GP]]</f>
        <v>2.0304878048780486</v>
      </c>
      <c r="AB92" s="1">
        <v>52</v>
      </c>
      <c r="AC92" s="2">
        <f>Table135814[[#This Row],[HDGF]]/Table14713[[#This Row],[GP]]</f>
        <v>0.63414634146341464</v>
      </c>
      <c r="AD92" s="1">
        <v>59</v>
      </c>
      <c r="AE92" s="2">
        <f>Table135814[[#This Row],[HDGA]]/Table14713[[#This Row],[GP]]</f>
        <v>0.71951219512195119</v>
      </c>
      <c r="AF92" s="1">
        <v>11.5</v>
      </c>
    </row>
    <row r="93" spans="1:32" x14ac:dyDescent="0.35">
      <c r="A93" t="s">
        <v>90</v>
      </c>
      <c r="B93">
        <v>28</v>
      </c>
      <c r="C93" t="s">
        <v>88</v>
      </c>
      <c r="D93" s="1">
        <v>0</v>
      </c>
      <c r="E93" s="1">
        <v>26.7</v>
      </c>
      <c r="F93" s="1">
        <v>82</v>
      </c>
      <c r="G93" s="1">
        <v>76</v>
      </c>
      <c r="H93" s="2">
        <f>Table14713[[#This Row],[PTS]]/Table14713[[#This Row],[GP]]</f>
        <v>0.92682926829268297</v>
      </c>
      <c r="I93" s="2">
        <v>0.46300000000000002</v>
      </c>
      <c r="J93" s="1">
        <v>232</v>
      </c>
      <c r="K93" s="3">
        <f>Table14713[[#This Row],[GF]]/Table14713[[#This Row],[GP]]</f>
        <v>2.8292682926829267</v>
      </c>
      <c r="L93" s="1">
        <v>281</v>
      </c>
      <c r="M93" s="1">
        <v>3.43</v>
      </c>
      <c r="N93" s="2">
        <f>(Table14713[[#This Row],[GF]]^2)/((Table14713[[#This Row],[GF]]^2)+(Table14713[[#This Row],[GA]]^2))</f>
        <v>0.40534698949429526</v>
      </c>
      <c r="O93" s="1">
        <v>17.46</v>
      </c>
      <c r="P93" s="1">
        <v>76.53</v>
      </c>
      <c r="Q93" s="1">
        <f>Table14713[[#This Row],[PP_PCT]]+Table14713[[#This Row],[PK_PCT]]</f>
        <v>93.990000000000009</v>
      </c>
      <c r="R93" s="3">
        <v>10.199999999999999</v>
      </c>
      <c r="S93" s="3">
        <f>Table14713[[#This Row],[GA]]/Table14713[[#This Row],[GP]]</f>
        <v>3.4268292682926829</v>
      </c>
      <c r="T93" s="2">
        <v>0.92</v>
      </c>
      <c r="U93" s="1">
        <v>99.2</v>
      </c>
      <c r="V93" s="1">
        <v>45.5</v>
      </c>
      <c r="W93" s="1">
        <v>46.8</v>
      </c>
      <c r="X93" s="1">
        <v>160.5</v>
      </c>
      <c r="Y93" s="3">
        <f>Table135814[[#This Row],[XGF]]/Table14713[[#This Row],[GP]]</f>
        <v>1.9573170731707317</v>
      </c>
      <c r="Z93" s="1">
        <v>180</v>
      </c>
      <c r="AA93" s="3">
        <f>Table135814[[#This Row],[XGA]]/Table14713[[#This Row],[GP]]</f>
        <v>2.1951219512195124</v>
      </c>
      <c r="AB93" s="1">
        <v>63</v>
      </c>
      <c r="AC93" s="2">
        <f>Table135814[[#This Row],[HDGF]]/Table14713[[#This Row],[GP]]</f>
        <v>0.76829268292682928</v>
      </c>
      <c r="AD93" s="1">
        <v>69</v>
      </c>
      <c r="AE93" s="2">
        <f>Table135814[[#This Row],[HDGA]]/Table14713[[#This Row],[GP]]</f>
        <v>0.84146341463414631</v>
      </c>
      <c r="AF93" s="1">
        <v>10.199999999999999</v>
      </c>
    </row>
    <row r="94" spans="1:32" x14ac:dyDescent="0.35">
      <c r="A94" t="s">
        <v>90</v>
      </c>
      <c r="B94">
        <v>29</v>
      </c>
      <c r="C94" t="s">
        <v>77</v>
      </c>
      <c r="D94" s="1">
        <v>0</v>
      </c>
      <c r="E94" s="1">
        <v>26.8</v>
      </c>
      <c r="F94" s="1">
        <v>82</v>
      </c>
      <c r="G94" s="1">
        <v>66</v>
      </c>
      <c r="H94" s="2">
        <f>Table14713[[#This Row],[PTS]]/Table14713[[#This Row],[GP]]</f>
        <v>0.80487804878048785</v>
      </c>
      <c r="I94" s="2">
        <v>0.40200000000000002</v>
      </c>
      <c r="J94" s="1">
        <v>234</v>
      </c>
      <c r="K94" s="3">
        <f>Table14713[[#This Row],[GF]]/Table14713[[#This Row],[GP]]</f>
        <v>2.8536585365853657</v>
      </c>
      <c r="L94" s="1">
        <v>298</v>
      </c>
      <c r="M94" s="1">
        <v>3.63</v>
      </c>
      <c r="N94" s="2">
        <f>(Table14713[[#This Row],[GF]]^2)/((Table14713[[#This Row],[GF]]^2)+(Table14713[[#This Row],[GA]]^2))</f>
        <v>0.38141543605461131</v>
      </c>
      <c r="O94" s="1">
        <v>15.09</v>
      </c>
      <c r="P94" s="1">
        <v>76.27</v>
      </c>
      <c r="Q94" s="1">
        <f>Table14713[[#This Row],[PP_PCT]]+Table14713[[#This Row],[PK_PCT]]</f>
        <v>91.36</v>
      </c>
      <c r="R94" s="3">
        <v>9.5</v>
      </c>
      <c r="S94" s="3">
        <f>Table14713[[#This Row],[GA]]/Table14713[[#This Row],[GP]]</f>
        <v>3.6341463414634148</v>
      </c>
      <c r="T94" s="2">
        <v>0.90200000000000002</v>
      </c>
      <c r="U94" s="1">
        <v>98.3</v>
      </c>
      <c r="V94" s="1">
        <v>48.6</v>
      </c>
      <c r="W94" s="1">
        <v>48.4</v>
      </c>
      <c r="X94" s="1">
        <v>179.7</v>
      </c>
      <c r="Y94" s="3">
        <f>Table135814[[#This Row],[XGF]]/Table14713[[#This Row],[GP]]</f>
        <v>2.1914634146341463</v>
      </c>
      <c r="Z94" s="1">
        <v>187</v>
      </c>
      <c r="AA94" s="3">
        <f>Table135814[[#This Row],[XGA]]/Table14713[[#This Row],[GP]]</f>
        <v>2.2804878048780486</v>
      </c>
      <c r="AB94" s="1">
        <v>70</v>
      </c>
      <c r="AC94" s="2">
        <f>Table135814[[#This Row],[HDGF]]/Table14713[[#This Row],[GP]]</f>
        <v>0.85365853658536583</v>
      </c>
      <c r="AD94" s="1">
        <v>94</v>
      </c>
      <c r="AE94" s="2">
        <f>Table135814[[#This Row],[HDGA]]/Table14713[[#This Row],[GP]]</f>
        <v>1.1463414634146341</v>
      </c>
      <c r="AF94" s="1">
        <v>8.1999999999999993</v>
      </c>
    </row>
    <row r="95" spans="1:32" x14ac:dyDescent="0.35">
      <c r="A95" t="s">
        <v>90</v>
      </c>
      <c r="B95">
        <v>30</v>
      </c>
      <c r="C95" t="s">
        <v>79</v>
      </c>
      <c r="D95" s="1">
        <v>0</v>
      </c>
      <c r="E95" s="1">
        <v>27.7</v>
      </c>
      <c r="F95" s="1">
        <v>82</v>
      </c>
      <c r="G95" s="1">
        <v>59</v>
      </c>
      <c r="H95" s="2">
        <f>Table14713[[#This Row],[PTS]]/Table14713[[#This Row],[GP]]</f>
        <v>0.71951219512195119</v>
      </c>
      <c r="I95" s="2">
        <v>0.36</v>
      </c>
      <c r="J95" s="1">
        <v>203</v>
      </c>
      <c r="K95" s="3">
        <f>Table14713[[#This Row],[GF]]/Table14713[[#This Row],[GP]]</f>
        <v>2.475609756097561</v>
      </c>
      <c r="L95" s="1">
        <v>293</v>
      </c>
      <c r="M95" s="1">
        <v>3.57</v>
      </c>
      <c r="N95" s="2">
        <f>(Table14713[[#This Row],[GF]]^2)/((Table14713[[#This Row],[GF]]^2)+(Table14713[[#This Row],[GA]]^2))</f>
        <v>0.32433219474570668</v>
      </c>
      <c r="O95" s="1">
        <v>18.3</v>
      </c>
      <c r="P95" s="1">
        <v>72.42</v>
      </c>
      <c r="Q95" s="1">
        <f>Table14713[[#This Row],[PP_PCT]]+Table14713[[#This Row],[PK_PCT]]</f>
        <v>90.72</v>
      </c>
      <c r="R95" s="3">
        <v>9.3000000000000007</v>
      </c>
      <c r="S95" s="3">
        <f>Table14713[[#This Row],[GA]]/Table14713[[#This Row],[GP]]</f>
        <v>3.5731707317073171</v>
      </c>
      <c r="T95" s="2">
        <v>0.90900000000000003</v>
      </c>
      <c r="U95" s="1">
        <v>97.5</v>
      </c>
      <c r="V95" s="1">
        <v>44.4</v>
      </c>
      <c r="W95" s="1">
        <v>43.3</v>
      </c>
      <c r="X95" s="1">
        <v>135.80000000000001</v>
      </c>
      <c r="Y95" s="3">
        <f>Table135814[[#This Row],[XGF]]/Table14713[[#This Row],[GP]]</f>
        <v>1.6560975609756099</v>
      </c>
      <c r="Z95" s="1">
        <v>210.9</v>
      </c>
      <c r="AA95" s="3">
        <f>Table135814[[#This Row],[XGA]]/Table14713[[#This Row],[GP]]</f>
        <v>2.5719512195121954</v>
      </c>
      <c r="AB95" s="1">
        <v>44</v>
      </c>
      <c r="AC95" s="2">
        <f>Table135814[[#This Row],[HDGF]]/Table14713[[#This Row],[GP]]</f>
        <v>0.53658536585365857</v>
      </c>
      <c r="AD95" s="1">
        <v>82</v>
      </c>
      <c r="AE95" s="2">
        <f>Table135814[[#This Row],[HDGA]]/Table14713[[#This Row],[GP]]</f>
        <v>1</v>
      </c>
      <c r="AF95" s="1">
        <v>13.5</v>
      </c>
    </row>
    <row r="96" spans="1:32" x14ac:dyDescent="0.35">
      <c r="A96" t="s">
        <v>90</v>
      </c>
      <c r="B96">
        <v>31</v>
      </c>
      <c r="C96" t="s">
        <v>83</v>
      </c>
      <c r="D96" s="1">
        <v>0</v>
      </c>
      <c r="E96" s="1">
        <v>27.4</v>
      </c>
      <c r="F96" s="1">
        <v>82</v>
      </c>
      <c r="G96" s="1">
        <v>52</v>
      </c>
      <c r="H96" s="2">
        <f>Table14713[[#This Row],[PTS]]/Table14713[[#This Row],[GP]]</f>
        <v>0.63414634146341464</v>
      </c>
      <c r="I96" s="2">
        <v>0.317</v>
      </c>
      <c r="J96" s="1">
        <v>178</v>
      </c>
      <c r="K96" s="3">
        <f>Table14713[[#This Row],[GF]]/Table14713[[#This Row],[GP]]</f>
        <v>2.1707317073170733</v>
      </c>
      <c r="L96" s="1">
        <v>289</v>
      </c>
      <c r="M96" s="1">
        <v>3.52</v>
      </c>
      <c r="N96" s="2">
        <f>(Table14713[[#This Row],[GF]]^2)/((Table14713[[#This Row],[GF]]^2)+(Table14713[[#This Row],[GA]]^2))</f>
        <v>0.27502278546938069</v>
      </c>
      <c r="O96" s="1">
        <v>16.600000000000001</v>
      </c>
      <c r="P96" s="1">
        <v>75.760000000000005</v>
      </c>
      <c r="Q96" s="1">
        <f>Table14713[[#This Row],[PP_PCT]]+Table14713[[#This Row],[PK_PCT]]</f>
        <v>92.360000000000014</v>
      </c>
      <c r="R96" s="3">
        <v>8.3000000000000007</v>
      </c>
      <c r="S96" s="3">
        <f>Table14713[[#This Row],[GA]]/Table14713[[#This Row],[GP]]</f>
        <v>3.524390243902439</v>
      </c>
      <c r="T96" s="2">
        <v>0.91100000000000003</v>
      </c>
      <c r="U96" s="1">
        <v>98.9</v>
      </c>
      <c r="V96" s="1">
        <v>46.3</v>
      </c>
      <c r="W96" s="1">
        <v>45.6</v>
      </c>
      <c r="X96" s="1">
        <v>132.6</v>
      </c>
      <c r="Y96" s="3">
        <f>Table135814[[#This Row],[XGF]]/Table14713[[#This Row],[GP]]</f>
        <v>1.6170731707317072</v>
      </c>
      <c r="Z96" s="1">
        <v>165.1</v>
      </c>
      <c r="AA96" s="3">
        <f>Table135814[[#This Row],[XGA]]/Table14713[[#This Row],[GP]]</f>
        <v>2.0134146341463413</v>
      </c>
      <c r="AB96" s="1">
        <v>46</v>
      </c>
      <c r="AC96" s="2">
        <f>Table135814[[#This Row],[HDGF]]/Table14713[[#This Row],[GP]]</f>
        <v>0.56097560975609762</v>
      </c>
      <c r="AD96" s="1">
        <v>60</v>
      </c>
      <c r="AE96" s="2">
        <f>Table135814[[#This Row],[HDGA]]/Table14713[[#This Row],[GP]]</f>
        <v>0.73170731707317072</v>
      </c>
      <c r="AF96" s="1">
        <v>8.6999999999999993</v>
      </c>
    </row>
    <row r="97" spans="1:32" x14ac:dyDescent="0.35">
      <c r="A97" t="s">
        <v>90</v>
      </c>
      <c r="B97">
        <v>32</v>
      </c>
      <c r="C97" t="s">
        <v>78</v>
      </c>
      <c r="D97" s="1">
        <v>0</v>
      </c>
      <c r="E97" s="1">
        <v>27.7</v>
      </c>
      <c r="F97" s="1">
        <v>82</v>
      </c>
      <c r="G97" s="1">
        <v>47</v>
      </c>
      <c r="H97" s="2">
        <f>Table14713[[#This Row],[PTS]]/Table14713[[#This Row],[GP]]</f>
        <v>0.57317073170731703</v>
      </c>
      <c r="I97" s="2">
        <v>0.28699999999999998</v>
      </c>
      <c r="J97" s="1">
        <v>180</v>
      </c>
      <c r="K97" s="3">
        <f>Table14713[[#This Row],[GF]]/Table14713[[#This Row],[GP]]</f>
        <v>2.1951219512195124</v>
      </c>
      <c r="L97" s="1">
        <v>326</v>
      </c>
      <c r="M97" s="1">
        <v>3.98</v>
      </c>
      <c r="N97" s="2">
        <f>(Table14713[[#This Row],[GF]]^2)/((Table14713[[#This Row],[GF]]^2)+(Table14713[[#This Row],[GA]]^2))</f>
        <v>0.23363812051111946</v>
      </c>
      <c r="O97" s="1">
        <v>20.190000000000001</v>
      </c>
      <c r="P97" s="1">
        <v>75.400000000000006</v>
      </c>
      <c r="Q97" s="1">
        <f>Table14713[[#This Row],[PP_PCT]]+Table14713[[#This Row],[PK_PCT]]</f>
        <v>95.59</v>
      </c>
      <c r="R97" s="3">
        <v>8.6999999999999993</v>
      </c>
      <c r="S97" s="3">
        <f>Table14713[[#This Row],[GA]]/Table14713[[#This Row],[GP]]</f>
        <v>3.975609756097561</v>
      </c>
      <c r="T97" s="2">
        <v>0.90800000000000003</v>
      </c>
      <c r="U97" s="1">
        <v>98.3</v>
      </c>
      <c r="V97" s="1">
        <v>50.7</v>
      </c>
      <c r="W97" s="1">
        <v>50.2</v>
      </c>
      <c r="X97" s="1">
        <v>160.19999999999999</v>
      </c>
      <c r="Y97" s="3">
        <f>Table135814[[#This Row],[XGF]]/Table14713[[#This Row],[GP]]</f>
        <v>1.9536585365853658</v>
      </c>
      <c r="Z97" s="1">
        <v>160.30000000000001</v>
      </c>
      <c r="AA97" s="3">
        <f>Table135814[[#This Row],[XGA]]/Table14713[[#This Row],[GP]]</f>
        <v>1.954878048780488</v>
      </c>
      <c r="AB97" s="1">
        <v>45</v>
      </c>
      <c r="AC97" s="2">
        <f>Table135814[[#This Row],[HDGF]]/Table14713[[#This Row],[GP]]</f>
        <v>0.54878048780487809</v>
      </c>
      <c r="AD97" s="1">
        <v>77</v>
      </c>
      <c r="AE97" s="2">
        <f>Table135814[[#This Row],[HDGA]]/Table14713[[#This Row],[GP]]</f>
        <v>0.93902439024390238</v>
      </c>
      <c r="AF97" s="1">
        <v>9.5</v>
      </c>
    </row>
    <row r="98" spans="1:32" hidden="1" x14ac:dyDescent="0.35">
      <c r="A98" t="s">
        <v>91</v>
      </c>
      <c r="B98">
        <v>1</v>
      </c>
      <c r="C98" t="s">
        <v>75</v>
      </c>
      <c r="D98" s="1">
        <v>1</v>
      </c>
      <c r="E98" s="1">
        <v>29.6</v>
      </c>
      <c r="F98" s="1">
        <v>73</v>
      </c>
      <c r="G98" s="1">
        <v>104</v>
      </c>
      <c r="H98" s="2">
        <f>Table14713[[#This Row],[PTS]]/Table14713[[#This Row],[GP]]</f>
        <v>1.4246575342465753</v>
      </c>
      <c r="I98" s="2">
        <v>0.71199999999999997</v>
      </c>
      <c r="J98" s="1">
        <v>252</v>
      </c>
      <c r="K98" s="3">
        <f>Table14713[[#This Row],[GF]]/Table14713[[#This Row],[GP]]</f>
        <v>3.452054794520548</v>
      </c>
      <c r="L98" s="1">
        <v>171</v>
      </c>
      <c r="M98" s="1">
        <v>2.34</v>
      </c>
      <c r="N98" s="2">
        <f>(Table14713[[#This Row],[GF]]^2)/((Table14713[[#This Row],[GF]]^2)+(Table14713[[#This Row],[GA]]^2))</f>
        <v>0.68471615720524015</v>
      </c>
      <c r="O98" s="1">
        <v>30.1</v>
      </c>
      <c r="P98" s="1">
        <v>79.349999999999994</v>
      </c>
      <c r="Q98" s="1">
        <f>Table14713[[#This Row],[PP_PCT]]+Table14713[[#This Row],[PK_PCT]]</f>
        <v>109.44999999999999</v>
      </c>
      <c r="R98" s="3">
        <v>12.3</v>
      </c>
      <c r="S98" s="3">
        <f>Table14713[[#This Row],[GA]]/Table14713[[#This Row],[GP]]</f>
        <v>2.3424657534246576</v>
      </c>
      <c r="T98" s="2">
        <v>0.91300000000000003</v>
      </c>
      <c r="U98" s="1">
        <v>100.8</v>
      </c>
      <c r="V98" s="1">
        <v>52.9</v>
      </c>
      <c r="W98" s="1">
        <v>53.7</v>
      </c>
      <c r="X98" s="1">
        <v>178.1</v>
      </c>
      <c r="Y98" s="3">
        <f>Table135814[[#This Row],[XGF]]/Table14713[[#This Row],[GP]]</f>
        <v>2.4397260273972603</v>
      </c>
      <c r="Z98" s="1">
        <v>154.5</v>
      </c>
      <c r="AA98" s="3">
        <f>Table135814[[#This Row],[XGA]]/Table14713[[#This Row],[GP]]</f>
        <v>2.1164383561643834</v>
      </c>
      <c r="AB98" s="1">
        <v>82</v>
      </c>
      <c r="AC98" s="2">
        <f>Table135814[[#This Row],[HDGF]]/Table14713[[#This Row],[GP]]</f>
        <v>1.1232876712328768</v>
      </c>
      <c r="AD98" s="1">
        <v>87</v>
      </c>
      <c r="AE98" s="2">
        <f>Table135814[[#This Row],[HDGA]]/Table14713[[#This Row],[GP]]</f>
        <v>1.1917808219178083</v>
      </c>
      <c r="AF98" s="1">
        <v>7.6</v>
      </c>
    </row>
    <row r="99" spans="1:32" hidden="1" x14ac:dyDescent="0.35">
      <c r="A99" t="s">
        <v>91</v>
      </c>
      <c r="B99">
        <v>2</v>
      </c>
      <c r="C99" t="s">
        <v>69</v>
      </c>
      <c r="D99" s="1">
        <v>1</v>
      </c>
      <c r="E99" s="1">
        <v>29.4</v>
      </c>
      <c r="F99" s="1">
        <v>72</v>
      </c>
      <c r="G99" s="1">
        <v>103</v>
      </c>
      <c r="H99" s="2">
        <f>Table14713[[#This Row],[PTS]]/Table14713[[#This Row],[GP]]</f>
        <v>1.4305555555555556</v>
      </c>
      <c r="I99" s="2">
        <v>0.71499999999999997</v>
      </c>
      <c r="J99" s="1">
        <v>260</v>
      </c>
      <c r="K99" s="3">
        <f>Table14713[[#This Row],[GF]]/Table14713[[#This Row],[GP]]</f>
        <v>3.6111111111111112</v>
      </c>
      <c r="L99" s="1">
        <v>185</v>
      </c>
      <c r="M99" s="1">
        <v>2.57</v>
      </c>
      <c r="N99" s="2">
        <f>(Table14713[[#This Row],[GF]]^2)/((Table14713[[#This Row],[GF]]^2)+(Table14713[[#This Row],[GA]]^2))</f>
        <v>0.66388411490301991</v>
      </c>
      <c r="O99" s="1">
        <v>21.54</v>
      </c>
      <c r="P99" s="1">
        <v>82.69</v>
      </c>
      <c r="Q99" s="1">
        <f>Table14713[[#This Row],[PP_PCT]]+Table14713[[#This Row],[PK_PCT]]</f>
        <v>104.22999999999999</v>
      </c>
      <c r="R99" s="3">
        <v>13.1</v>
      </c>
      <c r="S99" s="3">
        <f>Table14713[[#This Row],[GA]]/Table14713[[#This Row],[GP]]</f>
        <v>2.5694444444444446</v>
      </c>
      <c r="T99" s="2">
        <v>0.92800000000000005</v>
      </c>
      <c r="U99" s="1">
        <v>100</v>
      </c>
      <c r="V99" s="1">
        <v>51.8</v>
      </c>
      <c r="W99" s="1">
        <v>49.7</v>
      </c>
      <c r="X99" s="1">
        <v>155.1</v>
      </c>
      <c r="Y99" s="3">
        <f>Table135814[[#This Row],[XGF]]/Table14713[[#This Row],[GP]]</f>
        <v>2.1541666666666668</v>
      </c>
      <c r="Z99" s="1">
        <v>148.1</v>
      </c>
      <c r="AA99" s="3">
        <f>Table135814[[#This Row],[XGA]]/Table14713[[#This Row],[GP]]</f>
        <v>2.0569444444444445</v>
      </c>
      <c r="AB99" s="1">
        <v>46</v>
      </c>
      <c r="AC99" s="2">
        <f>Table135814[[#This Row],[HDGF]]/Table14713[[#This Row],[GP]]</f>
        <v>0.63888888888888884</v>
      </c>
      <c r="AD99" s="1">
        <v>52</v>
      </c>
      <c r="AE99" s="2">
        <f>Table135814[[#This Row],[HDGA]]/Table14713[[#This Row],[GP]]</f>
        <v>0.72222222222222221</v>
      </c>
      <c r="AF99" s="1">
        <v>8.3000000000000007</v>
      </c>
    </row>
    <row r="100" spans="1:32" hidden="1" x14ac:dyDescent="0.35">
      <c r="A100" t="s">
        <v>91</v>
      </c>
      <c r="B100">
        <v>3</v>
      </c>
      <c r="C100" t="s">
        <v>71</v>
      </c>
      <c r="D100" s="1">
        <v>1</v>
      </c>
      <c r="E100" s="1">
        <v>28.4</v>
      </c>
      <c r="F100" s="1">
        <v>72</v>
      </c>
      <c r="G100" s="1">
        <v>98</v>
      </c>
      <c r="H100" s="2">
        <f>Table14713[[#This Row],[PTS]]/Table14713[[#This Row],[GP]]</f>
        <v>1.3611111111111112</v>
      </c>
      <c r="I100" s="2">
        <v>0.68100000000000005</v>
      </c>
      <c r="J100" s="1">
        <v>244</v>
      </c>
      <c r="K100" s="3">
        <f>Table14713[[#This Row],[GF]]/Table14713[[#This Row],[GP]]</f>
        <v>3.3888888888888888</v>
      </c>
      <c r="L100" s="1">
        <v>185</v>
      </c>
      <c r="M100" s="1">
        <v>2.57</v>
      </c>
      <c r="N100" s="2">
        <f>(Table14713[[#This Row],[GF]]^2)/((Table14713[[#This Row],[GF]]^2)+(Table14713[[#This Row],[GA]]^2))</f>
        <v>0.6349761627968985</v>
      </c>
      <c r="O100" s="1">
        <v>22.43</v>
      </c>
      <c r="P100" s="1">
        <v>84.18</v>
      </c>
      <c r="Q100" s="1">
        <f>Table14713[[#This Row],[PP_PCT]]+Table14713[[#This Row],[PK_PCT]]</f>
        <v>106.61000000000001</v>
      </c>
      <c r="R100" s="3">
        <v>11.8</v>
      </c>
      <c r="S100" s="3">
        <f>Table14713[[#This Row],[GA]]/Table14713[[#This Row],[GP]]</f>
        <v>2.5694444444444446</v>
      </c>
      <c r="T100" s="2">
        <v>0.91200000000000003</v>
      </c>
      <c r="U100" s="1">
        <v>99.9</v>
      </c>
      <c r="V100" s="1">
        <v>48.6</v>
      </c>
      <c r="W100" s="1">
        <v>48.2</v>
      </c>
      <c r="X100" s="1">
        <v>136.9</v>
      </c>
      <c r="Y100" s="3">
        <f>Table135814[[#This Row],[XGF]]/Table14713[[#This Row],[GP]]</f>
        <v>1.901388888888889</v>
      </c>
      <c r="Z100" s="1">
        <v>153.4</v>
      </c>
      <c r="AA100" s="3">
        <f>Table135814[[#This Row],[XGA]]/Table14713[[#This Row],[GP]]</f>
        <v>2.1305555555555555</v>
      </c>
      <c r="AB100" s="1">
        <v>48</v>
      </c>
      <c r="AC100" s="2">
        <f>Table135814[[#This Row],[HDGF]]/Table14713[[#This Row],[GP]]</f>
        <v>0.66666666666666663</v>
      </c>
      <c r="AD100" s="1">
        <v>57</v>
      </c>
      <c r="AE100" s="2">
        <f>Table135814[[#This Row],[HDGA]]/Table14713[[#This Row],[GP]]</f>
        <v>0.79166666666666663</v>
      </c>
      <c r="AF100" s="1">
        <v>6.9</v>
      </c>
    </row>
    <row r="101" spans="1:32" hidden="1" x14ac:dyDescent="0.35">
      <c r="A101" t="s">
        <v>91</v>
      </c>
      <c r="B101">
        <v>4</v>
      </c>
      <c r="C101" t="s">
        <v>73</v>
      </c>
      <c r="D101" s="1">
        <v>1</v>
      </c>
      <c r="E101" s="1">
        <v>29.3</v>
      </c>
      <c r="F101" s="1">
        <v>72</v>
      </c>
      <c r="G101" s="1">
        <v>96</v>
      </c>
      <c r="H101" s="2">
        <f>Table14713[[#This Row],[PTS]]/Table14713[[#This Row],[GP]]</f>
        <v>1.3333333333333333</v>
      </c>
      <c r="I101" s="2">
        <v>0.66700000000000004</v>
      </c>
      <c r="J101" s="1">
        <v>246</v>
      </c>
      <c r="K101" s="3">
        <f>Table14713[[#This Row],[GF]]/Table14713[[#This Row],[GP]]</f>
        <v>3.4166666666666665</v>
      </c>
      <c r="L101" s="1">
        <v>191</v>
      </c>
      <c r="M101" s="1">
        <v>2.65</v>
      </c>
      <c r="N101" s="2">
        <f>(Table14713[[#This Row],[GF]]^2)/((Table14713[[#This Row],[GF]]^2)+(Table14713[[#This Row],[GA]]^2))</f>
        <v>0.62389558439951753</v>
      </c>
      <c r="O101" s="1">
        <v>30.36</v>
      </c>
      <c r="P101" s="1">
        <v>76.03</v>
      </c>
      <c r="Q101" s="1">
        <f>Table14713[[#This Row],[PP_PCT]]+Table14713[[#This Row],[PK_PCT]]</f>
        <v>106.39</v>
      </c>
      <c r="R101" s="3">
        <v>11.2</v>
      </c>
      <c r="S101" s="3">
        <f>Table14713[[#This Row],[GA]]/Table14713[[#This Row],[GP]]</f>
        <v>2.6527777777777777</v>
      </c>
      <c r="T101" s="2">
        <v>0.92400000000000004</v>
      </c>
      <c r="U101" s="1">
        <v>102</v>
      </c>
      <c r="V101" s="1">
        <v>47.2</v>
      </c>
      <c r="W101" s="1">
        <v>46.7</v>
      </c>
      <c r="X101" s="1">
        <v>182.1</v>
      </c>
      <c r="Y101" s="3">
        <f>Table135814[[#This Row],[XGF]]/Table14713[[#This Row],[GP]]</f>
        <v>2.5291666666666668</v>
      </c>
      <c r="Z101" s="1">
        <v>188.6</v>
      </c>
      <c r="AA101" s="3">
        <f>Table135814[[#This Row],[XGA]]/Table14713[[#This Row],[GP]]</f>
        <v>2.6194444444444445</v>
      </c>
      <c r="AB101" s="1">
        <v>67</v>
      </c>
      <c r="AC101" s="2">
        <f>Table135814[[#This Row],[HDGF]]/Table14713[[#This Row],[GP]]</f>
        <v>0.93055555555555558</v>
      </c>
      <c r="AD101" s="1">
        <v>68</v>
      </c>
      <c r="AE101" s="2">
        <f>Table135814[[#This Row],[HDGA]]/Table14713[[#This Row],[GP]]</f>
        <v>0.94444444444444442</v>
      </c>
      <c r="AF101" s="1">
        <v>5.7</v>
      </c>
    </row>
    <row r="102" spans="1:32" hidden="1" x14ac:dyDescent="0.35">
      <c r="A102" t="s">
        <v>91</v>
      </c>
      <c r="B102">
        <v>5</v>
      </c>
      <c r="C102" t="s">
        <v>58</v>
      </c>
      <c r="D102" s="1">
        <v>1</v>
      </c>
      <c r="E102" s="1">
        <v>28.6</v>
      </c>
      <c r="F102" s="1">
        <v>73</v>
      </c>
      <c r="G102" s="1">
        <v>93</v>
      </c>
      <c r="H102" s="2">
        <f>Table14713[[#This Row],[PTS]]/Table14713[[#This Row],[GP]]</f>
        <v>1.273972602739726</v>
      </c>
      <c r="I102" s="2">
        <v>0.63700000000000001</v>
      </c>
      <c r="J102" s="1">
        <v>246</v>
      </c>
      <c r="K102" s="3">
        <f>Table14713[[#This Row],[GF]]/Table14713[[#This Row],[GP]]</f>
        <v>3.3698630136986303</v>
      </c>
      <c r="L102" s="1">
        <v>204</v>
      </c>
      <c r="M102" s="1">
        <v>2.79</v>
      </c>
      <c r="N102" s="2">
        <f>(Table14713[[#This Row],[GF]]^2)/((Table14713[[#This Row],[GF]]^2)+(Table14713[[#This Row],[GA]]^2))</f>
        <v>0.59252731758900246</v>
      </c>
      <c r="O102" s="1">
        <v>25.71</v>
      </c>
      <c r="P102" s="1">
        <v>79.12</v>
      </c>
      <c r="Q102" s="1">
        <f>Table14713[[#This Row],[PP_PCT]]+Table14713[[#This Row],[PK_PCT]]</f>
        <v>104.83000000000001</v>
      </c>
      <c r="R102" s="3">
        <v>11.3</v>
      </c>
      <c r="S102" s="3">
        <f>Table14713[[#This Row],[GA]]/Table14713[[#This Row],[GP]]</f>
        <v>2.7945205479452055</v>
      </c>
      <c r="T102" s="2">
        <v>0.91700000000000004</v>
      </c>
      <c r="U102" s="1">
        <v>100.5</v>
      </c>
      <c r="V102" s="1">
        <v>46.1</v>
      </c>
      <c r="W102" s="1">
        <v>46.4</v>
      </c>
      <c r="X102" s="1">
        <v>174.3</v>
      </c>
      <c r="Y102" s="3">
        <f>Table135814[[#This Row],[XGF]]/Table14713[[#This Row],[GP]]</f>
        <v>2.3876712328767127</v>
      </c>
      <c r="Z102" s="1">
        <v>202.5</v>
      </c>
      <c r="AA102" s="3">
        <f>Table135814[[#This Row],[XGA]]/Table14713[[#This Row],[GP]]</f>
        <v>2.7739726027397262</v>
      </c>
      <c r="AB102" s="1">
        <v>67</v>
      </c>
      <c r="AC102" s="2">
        <f>Table135814[[#This Row],[HDGF]]/Table14713[[#This Row],[GP]]</f>
        <v>0.9178082191780822</v>
      </c>
      <c r="AD102" s="1">
        <v>91</v>
      </c>
      <c r="AE102" s="2">
        <f>Table135814[[#This Row],[HDGA]]/Table14713[[#This Row],[GP]]</f>
        <v>1.2465753424657535</v>
      </c>
      <c r="AF102" s="1">
        <v>6.8</v>
      </c>
    </row>
    <row r="103" spans="1:32" hidden="1" x14ac:dyDescent="0.35">
      <c r="A103" t="s">
        <v>91</v>
      </c>
      <c r="B103">
        <v>6</v>
      </c>
      <c r="C103" t="s">
        <v>59</v>
      </c>
      <c r="D103" s="1">
        <v>1</v>
      </c>
      <c r="E103" s="1">
        <v>29.6</v>
      </c>
      <c r="F103" s="1">
        <v>72</v>
      </c>
      <c r="G103" s="1">
        <v>92</v>
      </c>
      <c r="H103" s="2">
        <f>Table14713[[#This Row],[PTS]]/Table14713[[#This Row],[GP]]</f>
        <v>1.2777777777777777</v>
      </c>
      <c r="I103" s="2">
        <v>0.63900000000000001</v>
      </c>
      <c r="J103" s="1">
        <v>232</v>
      </c>
      <c r="K103" s="3">
        <f>Table14713[[#This Row],[GF]]/Table14713[[#This Row],[GP]]</f>
        <v>3.2222222222222223</v>
      </c>
      <c r="L103" s="1">
        <v>190</v>
      </c>
      <c r="M103" s="1">
        <v>2.64</v>
      </c>
      <c r="N103" s="2">
        <f>(Table14713[[#This Row],[GF]]^2)/((Table14713[[#This Row],[GF]]^2)+(Table14713[[#This Row],[GA]]^2))</f>
        <v>0.59854988657088204</v>
      </c>
      <c r="O103" s="1">
        <v>18.350000000000001</v>
      </c>
      <c r="P103" s="1">
        <v>84.76</v>
      </c>
      <c r="Q103" s="1">
        <f>Table14713[[#This Row],[PP_PCT]]+Table14713[[#This Row],[PK_PCT]]</f>
        <v>103.11000000000001</v>
      </c>
      <c r="R103" s="3">
        <v>10.199999999999999</v>
      </c>
      <c r="S103" s="3">
        <f>Table14713[[#This Row],[GA]]/Table14713[[#This Row],[GP]]</f>
        <v>2.6388888888888888</v>
      </c>
      <c r="T103" s="2">
        <v>0.92700000000000005</v>
      </c>
      <c r="U103" s="1">
        <v>100.4</v>
      </c>
      <c r="V103" s="1">
        <v>45.9</v>
      </c>
      <c r="W103" s="1">
        <v>45.5</v>
      </c>
      <c r="X103" s="1">
        <v>157.5</v>
      </c>
      <c r="Y103" s="3">
        <f>Table135814[[#This Row],[XGF]]/Table14713[[#This Row],[GP]]</f>
        <v>2.1875</v>
      </c>
      <c r="Z103" s="1">
        <v>183.7</v>
      </c>
      <c r="AA103" s="3">
        <f>Table135814[[#This Row],[XGA]]/Table14713[[#This Row],[GP]]</f>
        <v>2.5513888888888889</v>
      </c>
      <c r="AB103" s="1">
        <v>54</v>
      </c>
      <c r="AC103" s="2">
        <f>Table135814[[#This Row],[HDGF]]/Table14713[[#This Row],[GP]]</f>
        <v>0.75</v>
      </c>
      <c r="AD103" s="1">
        <v>67</v>
      </c>
      <c r="AE103" s="2">
        <f>Table135814[[#This Row],[HDGA]]/Table14713[[#This Row],[GP]]</f>
        <v>0.93055555555555558</v>
      </c>
      <c r="AF103" s="1">
        <v>7</v>
      </c>
    </row>
    <row r="104" spans="1:32" hidden="1" x14ac:dyDescent="0.35">
      <c r="A104" t="s">
        <v>91</v>
      </c>
      <c r="B104">
        <v>7</v>
      </c>
      <c r="C104" t="s">
        <v>57</v>
      </c>
      <c r="D104" s="1">
        <v>1</v>
      </c>
      <c r="E104" s="1">
        <v>29.5</v>
      </c>
      <c r="F104" s="1">
        <v>72</v>
      </c>
      <c r="G104" s="1">
        <v>91</v>
      </c>
      <c r="H104" s="2">
        <f>Table14713[[#This Row],[PTS]]/Table14713[[#This Row],[GP]]</f>
        <v>1.2638888888888888</v>
      </c>
      <c r="I104" s="2">
        <v>0.63200000000000001</v>
      </c>
      <c r="J104" s="1">
        <v>226</v>
      </c>
      <c r="K104" s="3">
        <f>Table14713[[#This Row],[GF]]/Table14713[[#This Row],[GP]]</f>
        <v>3.1388888888888888</v>
      </c>
      <c r="L104" s="1">
        <v>194</v>
      </c>
      <c r="M104" s="1">
        <v>2.69</v>
      </c>
      <c r="N104" s="2">
        <f>(Table14713[[#This Row],[GF]]^2)/((Table14713[[#This Row],[GF]]^2)+(Table14713[[#This Row],[GA]]^2))</f>
        <v>0.57575074398052128</v>
      </c>
      <c r="O104" s="1">
        <v>24.07</v>
      </c>
      <c r="P104" s="1">
        <v>81.22</v>
      </c>
      <c r="Q104" s="1">
        <f>Table14713[[#This Row],[PP_PCT]]+Table14713[[#This Row],[PK_PCT]]</f>
        <v>105.28999999999999</v>
      </c>
      <c r="R104" s="3">
        <v>9.9</v>
      </c>
      <c r="S104" s="3">
        <f>Table14713[[#This Row],[GA]]/Table14713[[#This Row],[GP]]</f>
        <v>2.6944444444444446</v>
      </c>
      <c r="T104" s="2">
        <v>0.92500000000000004</v>
      </c>
      <c r="U104" s="1">
        <v>101.5</v>
      </c>
      <c r="V104" s="1">
        <v>49.7</v>
      </c>
      <c r="W104" s="1">
        <v>48.9</v>
      </c>
      <c r="X104" s="1">
        <v>155</v>
      </c>
      <c r="Y104" s="3">
        <f>Table135814[[#This Row],[XGF]]/Table14713[[#This Row],[GP]]</f>
        <v>2.1527777777777777</v>
      </c>
      <c r="Z104" s="1">
        <v>137.6</v>
      </c>
      <c r="AA104" s="3">
        <f>Table135814[[#This Row],[XGA]]/Table14713[[#This Row],[GP]]</f>
        <v>1.911111111111111</v>
      </c>
      <c r="AB104" s="1">
        <v>61</v>
      </c>
      <c r="AC104" s="2">
        <f>Table135814[[#This Row],[HDGF]]/Table14713[[#This Row],[GP]]</f>
        <v>0.84722222222222221</v>
      </c>
      <c r="AD104" s="1">
        <v>43</v>
      </c>
      <c r="AE104" s="2">
        <f>Table135814[[#This Row],[HDGA]]/Table14713[[#This Row],[GP]]</f>
        <v>0.59722222222222221</v>
      </c>
      <c r="AF104" s="1">
        <v>9.8000000000000007</v>
      </c>
    </row>
    <row r="105" spans="1:32" hidden="1" x14ac:dyDescent="0.35">
      <c r="A105" t="s">
        <v>91</v>
      </c>
      <c r="B105">
        <v>8</v>
      </c>
      <c r="C105" t="s">
        <v>60</v>
      </c>
      <c r="D105" s="1">
        <v>1</v>
      </c>
      <c r="E105" s="1">
        <v>29.3</v>
      </c>
      <c r="F105" s="1">
        <v>72</v>
      </c>
      <c r="G105" s="1">
        <v>90</v>
      </c>
      <c r="H105" s="2">
        <f>Table14713[[#This Row],[PTS]]/Table14713[[#This Row],[GP]]</f>
        <v>1.25</v>
      </c>
      <c r="I105" s="2">
        <v>0.625</v>
      </c>
      <c r="J105" s="1">
        <v>235</v>
      </c>
      <c r="K105" s="3">
        <f>Table14713[[#This Row],[GF]]/Table14713[[#This Row],[GP]]</f>
        <v>3.2638888888888888</v>
      </c>
      <c r="L105" s="1">
        <v>214</v>
      </c>
      <c r="M105" s="1">
        <v>2.97</v>
      </c>
      <c r="N105" s="2">
        <f>(Table14713[[#This Row],[GF]]^2)/((Table14713[[#This Row],[GF]]^2)+(Table14713[[#This Row],[GA]]^2))</f>
        <v>0.54666851446728892</v>
      </c>
      <c r="O105" s="1">
        <v>26.53</v>
      </c>
      <c r="P105" s="1">
        <v>78.099999999999994</v>
      </c>
      <c r="Q105" s="1">
        <f>Table14713[[#This Row],[PP_PCT]]+Table14713[[#This Row],[PK_PCT]]</f>
        <v>104.63</v>
      </c>
      <c r="R105" s="3">
        <v>11.5</v>
      </c>
      <c r="S105" s="3">
        <f>Table14713[[#This Row],[GA]]/Table14713[[#This Row],[GP]]</f>
        <v>2.9722222222222223</v>
      </c>
      <c r="T105" s="2">
        <v>0.92500000000000004</v>
      </c>
      <c r="U105" s="1">
        <v>101.4</v>
      </c>
      <c r="V105" s="1">
        <v>50.9</v>
      </c>
      <c r="W105" s="1">
        <v>51.1</v>
      </c>
      <c r="X105" s="1">
        <v>181.2</v>
      </c>
      <c r="Y105" s="3">
        <f>Table135814[[#This Row],[XGF]]/Table14713[[#This Row],[GP]]</f>
        <v>2.5166666666666666</v>
      </c>
      <c r="Z105" s="1">
        <v>168.5</v>
      </c>
      <c r="AA105" s="3">
        <f>Table135814[[#This Row],[XGA]]/Table14713[[#This Row],[GP]]</f>
        <v>2.3402777777777777</v>
      </c>
      <c r="AB105" s="1">
        <v>77</v>
      </c>
      <c r="AC105" s="2">
        <f>Table135814[[#This Row],[HDGF]]/Table14713[[#This Row],[GP]]</f>
        <v>1.0694444444444444</v>
      </c>
      <c r="AD105" s="1">
        <v>70</v>
      </c>
      <c r="AE105" s="2">
        <f>Table135814[[#This Row],[HDGA]]/Table14713[[#This Row],[GP]]</f>
        <v>0.97222222222222221</v>
      </c>
      <c r="AF105" s="1">
        <v>7.9</v>
      </c>
    </row>
    <row r="106" spans="1:32" hidden="1" x14ac:dyDescent="0.35">
      <c r="A106" t="s">
        <v>91</v>
      </c>
      <c r="B106">
        <v>9</v>
      </c>
      <c r="C106" t="s">
        <v>63</v>
      </c>
      <c r="D106" s="1">
        <v>1</v>
      </c>
      <c r="E106" s="1">
        <v>29.6</v>
      </c>
      <c r="F106" s="1">
        <v>72</v>
      </c>
      <c r="G106" s="1">
        <v>89</v>
      </c>
      <c r="H106" s="2">
        <f>Table14713[[#This Row],[PTS]]/Table14713[[#This Row],[GP]]</f>
        <v>1.2361111111111112</v>
      </c>
      <c r="I106" s="2">
        <v>0.61799999999999999</v>
      </c>
      <c r="J106" s="1">
        <v>257</v>
      </c>
      <c r="K106" s="3">
        <f>Table14713[[#This Row],[GF]]/Table14713[[#This Row],[GP]]</f>
        <v>3.5694444444444446</v>
      </c>
      <c r="L106" s="1">
        <v>190</v>
      </c>
      <c r="M106" s="1">
        <v>2.64</v>
      </c>
      <c r="N106" s="2">
        <f>(Table14713[[#This Row],[GF]]^2)/((Table14713[[#This Row],[GF]]^2)+(Table14713[[#This Row],[GA]]^2))</f>
        <v>0.64659468031992484</v>
      </c>
      <c r="O106" s="1">
        <v>25.98</v>
      </c>
      <c r="P106" s="1">
        <v>82.32</v>
      </c>
      <c r="Q106" s="1">
        <f>Table14713[[#This Row],[PP_PCT]]+Table14713[[#This Row],[PK_PCT]]</f>
        <v>108.3</v>
      </c>
      <c r="R106" s="3">
        <v>12.4</v>
      </c>
      <c r="S106" s="3">
        <f>Table14713[[#This Row],[GA]]/Table14713[[#This Row],[GP]]</f>
        <v>2.6388888888888888</v>
      </c>
      <c r="T106" s="2">
        <v>0.92300000000000004</v>
      </c>
      <c r="U106" s="1">
        <v>100.5</v>
      </c>
      <c r="V106" s="1">
        <v>51.6</v>
      </c>
      <c r="W106" s="1">
        <v>51.5</v>
      </c>
      <c r="X106" s="1">
        <v>196.1</v>
      </c>
      <c r="Y106" s="3">
        <f>Table135814[[#This Row],[XGF]]/Table14713[[#This Row],[GP]]</f>
        <v>2.723611111111111</v>
      </c>
      <c r="Z106" s="1">
        <v>187.7</v>
      </c>
      <c r="AA106" s="3">
        <f>Table135814[[#This Row],[XGA]]/Table14713[[#This Row],[GP]]</f>
        <v>2.6069444444444443</v>
      </c>
      <c r="AB106" s="1">
        <v>80</v>
      </c>
      <c r="AC106" s="2">
        <f>Table135814[[#This Row],[HDGF]]/Table14713[[#This Row],[GP]]</f>
        <v>1.1111111111111112</v>
      </c>
      <c r="AD106" s="1">
        <v>58</v>
      </c>
      <c r="AE106" s="2">
        <f>Table135814[[#This Row],[HDGA]]/Table14713[[#This Row],[GP]]</f>
        <v>0.80555555555555558</v>
      </c>
      <c r="AF106" s="1">
        <v>8.1999999999999993</v>
      </c>
    </row>
    <row r="107" spans="1:32" hidden="1" x14ac:dyDescent="0.35">
      <c r="A107" t="s">
        <v>91</v>
      </c>
      <c r="B107">
        <v>10</v>
      </c>
      <c r="C107" t="s">
        <v>70</v>
      </c>
      <c r="D107" s="1">
        <v>1</v>
      </c>
      <c r="E107" s="1">
        <v>29.3</v>
      </c>
      <c r="F107" s="1">
        <v>71</v>
      </c>
      <c r="G107" s="1">
        <v>89</v>
      </c>
      <c r="H107" s="2">
        <f>Table14713[[#This Row],[PTS]]/Table14713[[#This Row],[GP]]</f>
        <v>1.2535211267605635</v>
      </c>
      <c r="I107" s="2">
        <v>0.627</v>
      </c>
      <c r="J107" s="1">
        <v>205</v>
      </c>
      <c r="K107" s="3">
        <f>Table14713[[#This Row],[GF]]/Table14713[[#This Row],[GP]]</f>
        <v>2.887323943661972</v>
      </c>
      <c r="L107" s="1">
        <v>179</v>
      </c>
      <c r="M107" s="1">
        <v>2.52</v>
      </c>
      <c r="N107" s="2">
        <f>(Table14713[[#This Row],[GF]]^2)/((Table14713[[#This Row],[GF]]^2)+(Table14713[[#This Row],[GA]]^2))</f>
        <v>0.56739934652877166</v>
      </c>
      <c r="O107" s="1">
        <v>16.27</v>
      </c>
      <c r="P107" s="1">
        <v>81.37</v>
      </c>
      <c r="Q107" s="1">
        <f>Table14713[[#This Row],[PP_PCT]]+Table14713[[#This Row],[PK_PCT]]</f>
        <v>97.64</v>
      </c>
      <c r="R107" s="3">
        <v>10.4</v>
      </c>
      <c r="S107" s="3">
        <f>Table14713[[#This Row],[GA]]/Table14713[[#This Row],[GP]]</f>
        <v>2.5211267605633805</v>
      </c>
      <c r="T107" s="2">
        <v>0.90900000000000003</v>
      </c>
      <c r="U107" s="1">
        <v>99.5</v>
      </c>
      <c r="V107" s="1">
        <v>51.1</v>
      </c>
      <c r="W107" s="1">
        <v>50.2</v>
      </c>
      <c r="X107" s="1">
        <v>167.7</v>
      </c>
      <c r="Y107" s="3">
        <f>Table135814[[#This Row],[XGF]]/Table14713[[#This Row],[GP]]</f>
        <v>2.3619718309859152</v>
      </c>
      <c r="Z107" s="1">
        <v>166.6</v>
      </c>
      <c r="AA107" s="3">
        <f>Table135814[[#This Row],[XGA]]/Table14713[[#This Row],[GP]]</f>
        <v>2.3464788732394366</v>
      </c>
      <c r="AB107" s="1">
        <v>69</v>
      </c>
      <c r="AC107" s="2">
        <f>Table135814[[#This Row],[HDGF]]/Table14713[[#This Row],[GP]]</f>
        <v>0.971830985915493</v>
      </c>
      <c r="AD107" s="1">
        <v>74</v>
      </c>
      <c r="AE107" s="2">
        <f>Table135814[[#This Row],[HDGA]]/Table14713[[#This Row],[GP]]</f>
        <v>1.0422535211267605</v>
      </c>
      <c r="AF107" s="1">
        <v>7.8</v>
      </c>
    </row>
    <row r="108" spans="1:32" hidden="1" x14ac:dyDescent="0.35">
      <c r="A108" t="s">
        <v>91</v>
      </c>
      <c r="B108">
        <v>11</v>
      </c>
      <c r="C108" t="s">
        <v>61</v>
      </c>
      <c r="D108" s="1">
        <v>1</v>
      </c>
      <c r="E108" s="1">
        <v>29.6</v>
      </c>
      <c r="F108" s="1">
        <v>73</v>
      </c>
      <c r="G108" s="1">
        <v>87</v>
      </c>
      <c r="H108" s="2">
        <f>Table14713[[#This Row],[PTS]]/Table14713[[#This Row],[GP]]</f>
        <v>1.1917808219178083</v>
      </c>
      <c r="I108" s="2">
        <v>0.59599999999999997</v>
      </c>
      <c r="J108" s="1">
        <v>197</v>
      </c>
      <c r="K108" s="3">
        <f>Table14713[[#This Row],[GF]]/Table14713[[#This Row],[GP]]</f>
        <v>2.6986301369863015</v>
      </c>
      <c r="L108" s="1">
        <v>204</v>
      </c>
      <c r="M108" s="1">
        <v>2.79</v>
      </c>
      <c r="N108" s="2">
        <f>(Table14713[[#This Row],[GF]]^2)/((Table14713[[#This Row],[GF]]^2)+(Table14713[[#This Row],[GA]]^2))</f>
        <v>0.48254895865713399</v>
      </c>
      <c r="O108" s="1">
        <v>20.65</v>
      </c>
      <c r="P108" s="1">
        <v>71.739999999999995</v>
      </c>
      <c r="Q108" s="1">
        <f>Table14713[[#This Row],[PP_PCT]]+Table14713[[#This Row],[PK_PCT]]</f>
        <v>92.389999999999986</v>
      </c>
      <c r="R108" s="3">
        <v>9.9</v>
      </c>
      <c r="S108" s="3">
        <f>Table14713[[#This Row],[GA]]/Table14713[[#This Row],[GP]]</f>
        <v>2.7945205479452055</v>
      </c>
      <c r="T108" s="2">
        <v>0.92800000000000005</v>
      </c>
      <c r="U108" s="1">
        <v>102</v>
      </c>
      <c r="V108" s="1">
        <v>51</v>
      </c>
      <c r="W108" s="1">
        <v>50.3</v>
      </c>
      <c r="X108" s="1">
        <v>163.19999999999999</v>
      </c>
      <c r="Y108" s="3">
        <f>Table135814[[#This Row],[XGF]]/Table14713[[#This Row],[GP]]</f>
        <v>2.2356164383561641</v>
      </c>
      <c r="Z108" s="1">
        <v>150.19999999999999</v>
      </c>
      <c r="AA108" s="3">
        <f>Table135814[[#This Row],[XGA]]/Table14713[[#This Row],[GP]]</f>
        <v>2.0575342465753423</v>
      </c>
      <c r="AB108" s="1">
        <v>59</v>
      </c>
      <c r="AC108" s="2">
        <f>Table135814[[#This Row],[HDGF]]/Table14713[[#This Row],[GP]]</f>
        <v>0.80821917808219179</v>
      </c>
      <c r="AD108" s="1">
        <v>31</v>
      </c>
      <c r="AE108" s="2">
        <f>Table135814[[#This Row],[HDGA]]/Table14713[[#This Row],[GP]]</f>
        <v>0.42465753424657532</v>
      </c>
      <c r="AF108" s="1">
        <v>7.6</v>
      </c>
    </row>
    <row r="109" spans="1:32" hidden="1" x14ac:dyDescent="0.35">
      <c r="A109" t="s">
        <v>91</v>
      </c>
      <c r="B109">
        <v>12</v>
      </c>
      <c r="C109" t="s">
        <v>67</v>
      </c>
      <c r="D109" s="1">
        <v>1</v>
      </c>
      <c r="E109" s="1">
        <v>30.4</v>
      </c>
      <c r="F109" s="1">
        <v>72</v>
      </c>
      <c r="G109" s="1">
        <v>87</v>
      </c>
      <c r="H109" s="2">
        <f>Table14713[[#This Row],[PTS]]/Table14713[[#This Row],[GP]]</f>
        <v>1.2083333333333333</v>
      </c>
      <c r="I109" s="2">
        <v>0.60399999999999998</v>
      </c>
      <c r="J109" s="1">
        <v>233</v>
      </c>
      <c r="K109" s="3">
        <f>Table14713[[#This Row],[GF]]/Table14713[[#This Row],[GP]]</f>
        <v>3.2361111111111112</v>
      </c>
      <c r="L109" s="1">
        <v>212</v>
      </c>
      <c r="M109" s="1">
        <v>2.94</v>
      </c>
      <c r="N109" s="2">
        <f>(Table14713[[#This Row],[GF]]^2)/((Table14713[[#This Row],[GF]]^2)+(Table14713[[#This Row],[GA]]^2))</f>
        <v>0.54708615077645539</v>
      </c>
      <c r="O109" s="1">
        <v>25.41</v>
      </c>
      <c r="P109" s="1">
        <v>76.540000000000006</v>
      </c>
      <c r="Q109" s="1">
        <f>Table14713[[#This Row],[PP_PCT]]+Table14713[[#This Row],[PK_PCT]]</f>
        <v>101.95</v>
      </c>
      <c r="R109" s="3">
        <v>10.1</v>
      </c>
      <c r="S109" s="3">
        <f>Table14713[[#This Row],[GA]]/Table14713[[#This Row],[GP]]</f>
        <v>2.9444444444444446</v>
      </c>
      <c r="T109" s="2">
        <v>0.91500000000000004</v>
      </c>
      <c r="U109" s="1">
        <v>100.2</v>
      </c>
      <c r="V109" s="1">
        <v>53.4</v>
      </c>
      <c r="W109" s="1">
        <v>53</v>
      </c>
      <c r="X109" s="1">
        <v>210.6</v>
      </c>
      <c r="Y109" s="3">
        <f>Table135814[[#This Row],[XGF]]/Table14713[[#This Row],[GP]]</f>
        <v>2.9249999999999998</v>
      </c>
      <c r="Z109" s="1">
        <v>170.8</v>
      </c>
      <c r="AA109" s="3">
        <f>Table135814[[#This Row],[XGA]]/Table14713[[#This Row],[GP]]</f>
        <v>2.3722222222222222</v>
      </c>
      <c r="AB109" s="1">
        <v>81</v>
      </c>
      <c r="AC109" s="2">
        <f>Table135814[[#This Row],[HDGF]]/Table14713[[#This Row],[GP]]</f>
        <v>1.125</v>
      </c>
      <c r="AD109" s="1">
        <v>75</v>
      </c>
      <c r="AE109" s="2">
        <f>Table135814[[#This Row],[HDGA]]/Table14713[[#This Row],[GP]]</f>
        <v>1.0416666666666667</v>
      </c>
      <c r="AF109" s="1">
        <v>6.9</v>
      </c>
    </row>
    <row r="110" spans="1:32" hidden="1" x14ac:dyDescent="0.35">
      <c r="A110" t="s">
        <v>91</v>
      </c>
      <c r="B110">
        <v>13</v>
      </c>
      <c r="C110" t="s">
        <v>65</v>
      </c>
      <c r="D110" s="1">
        <v>1</v>
      </c>
      <c r="E110" s="1">
        <v>29.2</v>
      </c>
      <c r="F110" s="1">
        <v>74</v>
      </c>
      <c r="G110" s="1">
        <v>85</v>
      </c>
      <c r="H110" s="2">
        <f>Table14713[[#This Row],[PTS]]/Table14713[[#This Row],[GP]]</f>
        <v>1.1486486486486487</v>
      </c>
      <c r="I110" s="2">
        <v>0.57399999999999995</v>
      </c>
      <c r="J110" s="1">
        <v>223</v>
      </c>
      <c r="K110" s="3">
        <f>Table14713[[#This Row],[GF]]/Table14713[[#This Row],[GP]]</f>
        <v>3.0135135135135136</v>
      </c>
      <c r="L110" s="1">
        <v>210</v>
      </c>
      <c r="M110" s="1">
        <v>2.84</v>
      </c>
      <c r="N110" s="2">
        <f>(Table14713[[#This Row],[GF]]^2)/((Table14713[[#This Row],[GF]]^2)+(Table14713[[#This Row],[GA]]^2))</f>
        <v>0.52999605665625771</v>
      </c>
      <c r="O110" s="1">
        <v>21.3</v>
      </c>
      <c r="P110" s="1">
        <v>72.989999999999995</v>
      </c>
      <c r="Q110" s="1">
        <f>Table14713[[#This Row],[PP_PCT]]+Table14713[[#This Row],[PK_PCT]]</f>
        <v>94.289999999999992</v>
      </c>
      <c r="R110" s="3">
        <v>11.2</v>
      </c>
      <c r="S110" s="3">
        <f>Table14713[[#This Row],[GA]]/Table14713[[#This Row],[GP]]</f>
        <v>2.8378378378378377</v>
      </c>
      <c r="T110" s="2">
        <v>0.92800000000000005</v>
      </c>
      <c r="U110" s="1">
        <v>101.2</v>
      </c>
      <c r="V110" s="1">
        <v>50.9</v>
      </c>
      <c r="W110" s="1">
        <v>51.7</v>
      </c>
      <c r="X110" s="1">
        <v>201.5</v>
      </c>
      <c r="Y110" s="3">
        <f>Table135814[[#This Row],[XGF]]/Table14713[[#This Row],[GP]]</f>
        <v>2.7229729729729728</v>
      </c>
      <c r="Z110" s="1">
        <v>167.4</v>
      </c>
      <c r="AA110" s="3">
        <f>Table135814[[#This Row],[XGA]]/Table14713[[#This Row],[GP]]</f>
        <v>2.2621621621621624</v>
      </c>
      <c r="AB110" s="1">
        <v>76</v>
      </c>
      <c r="AC110" s="2">
        <f>Table135814[[#This Row],[HDGF]]/Table14713[[#This Row],[GP]]</f>
        <v>1.027027027027027</v>
      </c>
      <c r="AD110" s="1">
        <v>58</v>
      </c>
      <c r="AE110" s="2">
        <f>Table135814[[#This Row],[HDGA]]/Table14713[[#This Row],[GP]]</f>
        <v>0.78378378378378377</v>
      </c>
      <c r="AF110" s="1">
        <v>7.7</v>
      </c>
    </row>
    <row r="111" spans="1:32" hidden="1" x14ac:dyDescent="0.35">
      <c r="A111" t="s">
        <v>91</v>
      </c>
      <c r="B111">
        <v>14</v>
      </c>
      <c r="C111" t="s">
        <v>84</v>
      </c>
      <c r="D111" s="1">
        <v>1</v>
      </c>
      <c r="E111" s="1">
        <v>29.5</v>
      </c>
      <c r="F111" s="1">
        <v>74</v>
      </c>
      <c r="G111" s="1">
        <v>83</v>
      </c>
      <c r="H111" s="2">
        <f>Table14713[[#This Row],[PTS]]/Table14713[[#This Row],[GP]]</f>
        <v>1.1216216216216217</v>
      </c>
      <c r="I111" s="2">
        <v>0.56100000000000005</v>
      </c>
      <c r="J111" s="1">
        <v>218</v>
      </c>
      <c r="K111" s="3">
        <f>Table14713[[#This Row],[GF]]/Table14713[[#This Row],[GP]]</f>
        <v>2.9459459459459461</v>
      </c>
      <c r="L111" s="1">
        <v>195</v>
      </c>
      <c r="M111" s="1">
        <v>2.64</v>
      </c>
      <c r="N111" s="2">
        <f>(Table14713[[#This Row],[GF]]^2)/((Table14713[[#This Row],[GF]]^2)+(Table14713[[#This Row],[GA]]^2))</f>
        <v>0.55551789033185661</v>
      </c>
      <c r="O111" s="1">
        <v>27.72</v>
      </c>
      <c r="P111" s="1">
        <v>81.86</v>
      </c>
      <c r="Q111" s="1">
        <f>Table14713[[#This Row],[PP_PCT]]+Table14713[[#This Row],[PK_PCT]]</f>
        <v>109.58</v>
      </c>
      <c r="R111" s="3">
        <v>10.4</v>
      </c>
      <c r="S111" s="3">
        <f>Table14713[[#This Row],[GA]]/Table14713[[#This Row],[GP]]</f>
        <v>2.6351351351351351</v>
      </c>
      <c r="T111" s="2">
        <v>0.91700000000000004</v>
      </c>
      <c r="U111" s="1">
        <v>100.5</v>
      </c>
      <c r="V111" s="1">
        <v>51.5</v>
      </c>
      <c r="W111" s="1">
        <v>51.4</v>
      </c>
      <c r="X111" s="1">
        <v>191.4</v>
      </c>
      <c r="Y111" s="3">
        <f>Table135814[[#This Row],[XGF]]/Table14713[[#This Row],[GP]]</f>
        <v>2.5864864864864865</v>
      </c>
      <c r="Z111" s="1">
        <v>163.69999999999999</v>
      </c>
      <c r="AA111" s="3">
        <f>Table135814[[#This Row],[XGA]]/Table14713[[#This Row],[GP]]</f>
        <v>2.2121621621621621</v>
      </c>
      <c r="AB111" s="1">
        <v>81</v>
      </c>
      <c r="AC111" s="2">
        <f>Table135814[[#This Row],[HDGF]]/Table14713[[#This Row],[GP]]</f>
        <v>1.0945945945945945</v>
      </c>
      <c r="AD111" s="1">
        <v>67</v>
      </c>
      <c r="AE111" s="2">
        <f>Table135814[[#This Row],[HDGA]]/Table14713[[#This Row],[GP]]</f>
        <v>0.90540540540540537</v>
      </c>
      <c r="AF111" s="1">
        <v>8.3000000000000007</v>
      </c>
    </row>
    <row r="112" spans="1:32" hidden="1" x14ac:dyDescent="0.35">
      <c r="A112" t="s">
        <v>91</v>
      </c>
      <c r="B112">
        <v>15</v>
      </c>
      <c r="C112" t="s">
        <v>82</v>
      </c>
      <c r="D112" s="1">
        <v>1</v>
      </c>
      <c r="E112" s="1">
        <v>28.1</v>
      </c>
      <c r="F112" s="1">
        <v>71</v>
      </c>
      <c r="G112" s="1">
        <v>81</v>
      </c>
      <c r="H112" s="2">
        <f>Table14713[[#This Row],[PTS]]/Table14713[[#This Row],[GP]]</f>
        <v>1.1408450704225352</v>
      </c>
      <c r="I112" s="2">
        <v>0.56999999999999995</v>
      </c>
      <c r="J112" s="1">
        <v>207</v>
      </c>
      <c r="K112" s="3">
        <f>Table14713[[#This Row],[GF]]/Table14713[[#This Row],[GP]]</f>
        <v>2.915492957746479</v>
      </c>
      <c r="L112" s="1">
        <v>204</v>
      </c>
      <c r="M112" s="1">
        <v>2.87</v>
      </c>
      <c r="N112" s="2">
        <f>(Table14713[[#This Row],[GF]]^2)/((Table14713[[#This Row],[GF]]^2)+(Table14713[[#This Row],[GA]]^2))</f>
        <v>0.50729888119339372</v>
      </c>
      <c r="O112" s="1">
        <v>24.02</v>
      </c>
      <c r="P112" s="1">
        <v>77.290000000000006</v>
      </c>
      <c r="Q112" s="1">
        <f>Table14713[[#This Row],[PP_PCT]]+Table14713[[#This Row],[PK_PCT]]</f>
        <v>101.31</v>
      </c>
      <c r="R112" s="3">
        <v>10</v>
      </c>
      <c r="S112" s="3">
        <f>Table14713[[#This Row],[GA]]/Table14713[[#This Row],[GP]]</f>
        <v>2.8732394366197185</v>
      </c>
      <c r="T112" s="2">
        <v>0.92600000000000005</v>
      </c>
      <c r="U112" s="1">
        <v>101.1</v>
      </c>
      <c r="V112" s="1">
        <v>48.8</v>
      </c>
      <c r="W112" s="1">
        <v>48.7</v>
      </c>
      <c r="X112" s="1">
        <v>153.80000000000001</v>
      </c>
      <c r="Y112" s="3">
        <f>Table135814[[#This Row],[XGF]]/Table14713[[#This Row],[GP]]</f>
        <v>2.1661971830985918</v>
      </c>
      <c r="Z112" s="1">
        <v>144.5</v>
      </c>
      <c r="AA112" s="3">
        <f>Table135814[[#This Row],[XGA]]/Table14713[[#This Row],[GP]]</f>
        <v>2.035211267605634</v>
      </c>
      <c r="AB112" s="1">
        <v>52</v>
      </c>
      <c r="AC112" s="2">
        <f>Table135814[[#This Row],[HDGF]]/Table14713[[#This Row],[GP]]</f>
        <v>0.73239436619718312</v>
      </c>
      <c r="AD112" s="1">
        <v>54</v>
      </c>
      <c r="AE112" s="2">
        <f>Table135814[[#This Row],[HDGA]]/Table14713[[#This Row],[GP]]</f>
        <v>0.76056338028169013</v>
      </c>
      <c r="AF112" s="1">
        <v>8.6999999999999993</v>
      </c>
    </row>
    <row r="113" spans="1:32" hidden="1" x14ac:dyDescent="0.35">
      <c r="A113" t="s">
        <v>91</v>
      </c>
      <c r="B113">
        <v>16</v>
      </c>
      <c r="C113" t="s">
        <v>74</v>
      </c>
      <c r="D113" s="1">
        <v>1</v>
      </c>
      <c r="E113" s="1">
        <v>28.7</v>
      </c>
      <c r="F113" s="1">
        <v>73</v>
      </c>
      <c r="G113" s="1">
        <v>81</v>
      </c>
      <c r="H113" s="2">
        <f>Table14713[[#This Row],[PTS]]/Table14713[[#This Row],[GP]]</f>
        <v>1.1095890410958904</v>
      </c>
      <c r="I113" s="2">
        <v>0.55500000000000005</v>
      </c>
      <c r="J113" s="1">
        <v>209</v>
      </c>
      <c r="K113" s="3">
        <f>Table14713[[#This Row],[GF]]/Table14713[[#This Row],[GP]]</f>
        <v>2.8630136986301369</v>
      </c>
      <c r="L113" s="1">
        <v>224</v>
      </c>
      <c r="M113" s="1">
        <v>3.07</v>
      </c>
      <c r="N113" s="2">
        <f>(Table14713[[#This Row],[GF]]^2)/((Table14713[[#This Row],[GF]]^2)+(Table14713[[#This Row],[GA]]^2))</f>
        <v>0.46539949071459774</v>
      </c>
      <c r="O113" s="1">
        <v>22.73</v>
      </c>
      <c r="P113" s="1">
        <v>82.5</v>
      </c>
      <c r="Q113" s="1">
        <f>Table14713[[#This Row],[PP_PCT]]+Table14713[[#This Row],[PK_PCT]]</f>
        <v>105.23</v>
      </c>
      <c r="R113" s="3">
        <v>11.2</v>
      </c>
      <c r="S113" s="3">
        <f>Table14713[[#This Row],[GA]]/Table14713[[#This Row],[GP]]</f>
        <v>3.0684931506849313</v>
      </c>
      <c r="T113" s="2">
        <v>0.91700000000000004</v>
      </c>
      <c r="U113" s="1">
        <v>99.3</v>
      </c>
      <c r="V113" s="1">
        <v>53.8</v>
      </c>
      <c r="W113" s="1">
        <v>53</v>
      </c>
      <c r="X113" s="1">
        <v>150.4</v>
      </c>
      <c r="Y113" s="3">
        <f>Table135814[[#This Row],[XGF]]/Table14713[[#This Row],[GP]]</f>
        <v>2.0602739726027397</v>
      </c>
      <c r="Z113" s="1">
        <v>139.30000000000001</v>
      </c>
      <c r="AA113" s="3">
        <f>Table135814[[#This Row],[XGA]]/Table14713[[#This Row],[GP]]</f>
        <v>1.908219178082192</v>
      </c>
      <c r="AB113" s="1">
        <v>52</v>
      </c>
      <c r="AC113" s="2">
        <f>Table135814[[#This Row],[HDGF]]/Table14713[[#This Row],[GP]]</f>
        <v>0.71232876712328763</v>
      </c>
      <c r="AD113" s="1">
        <v>55</v>
      </c>
      <c r="AE113" s="2">
        <f>Table135814[[#This Row],[HDGA]]/Table14713[[#This Row],[GP]]</f>
        <v>0.75342465753424659</v>
      </c>
      <c r="AF113" s="1">
        <v>9.4</v>
      </c>
    </row>
    <row r="114" spans="1:32" hidden="1" x14ac:dyDescent="0.35">
      <c r="A114" t="s">
        <v>91</v>
      </c>
      <c r="B114">
        <v>17</v>
      </c>
      <c r="C114" t="s">
        <v>62</v>
      </c>
      <c r="D114" s="1">
        <v>0</v>
      </c>
      <c r="E114" s="1">
        <v>28.4</v>
      </c>
      <c r="F114" s="1">
        <v>71</v>
      </c>
      <c r="G114" s="1">
        <v>79</v>
      </c>
      <c r="H114" s="2">
        <f>Table14713[[#This Row],[PTS]]/Table14713[[#This Row],[GP]]</f>
        <v>1.1126760563380282</v>
      </c>
      <c r="I114" s="2">
        <v>0.55600000000000005</v>
      </c>
      <c r="J114" s="1">
        <v>185</v>
      </c>
      <c r="K114" s="3">
        <f>Table14713[[#This Row],[GF]]/Table14713[[#This Row],[GP]]</f>
        <v>2.6056338028169015</v>
      </c>
      <c r="L114" s="1">
        <v>209</v>
      </c>
      <c r="M114" s="1">
        <v>2.94</v>
      </c>
      <c r="N114" s="2">
        <f>(Table14713[[#This Row],[GF]]^2)/((Table14713[[#This Row],[GF]]^2)+(Table14713[[#This Row],[GA]]^2))</f>
        <v>0.43931147793494724</v>
      </c>
      <c r="O114" s="1">
        <v>21.46</v>
      </c>
      <c r="P114" s="1">
        <v>74.63</v>
      </c>
      <c r="Q114" s="1">
        <f>Table14713[[#This Row],[PP_PCT]]+Table14713[[#This Row],[PK_PCT]]</f>
        <v>96.09</v>
      </c>
      <c r="R114" s="3">
        <v>8.9</v>
      </c>
      <c r="S114" s="3">
        <f>Table14713[[#This Row],[GA]]/Table14713[[#This Row],[GP]]</f>
        <v>2.943661971830986</v>
      </c>
      <c r="T114" s="2">
        <v>0.93300000000000005</v>
      </c>
      <c r="U114" s="1">
        <v>100.7</v>
      </c>
      <c r="V114" s="1">
        <v>49.6</v>
      </c>
      <c r="W114" s="1">
        <v>49.8</v>
      </c>
      <c r="X114" s="1">
        <v>172.6</v>
      </c>
      <c r="Y114" s="3">
        <f>Table135814[[#This Row],[XGF]]/Table14713[[#This Row],[GP]]</f>
        <v>2.4309859154929576</v>
      </c>
      <c r="Z114" s="1">
        <v>179.3</v>
      </c>
      <c r="AA114" s="3">
        <f>Table135814[[#This Row],[XGA]]/Table14713[[#This Row],[GP]]</f>
        <v>2.5253521126760563</v>
      </c>
      <c r="AB114" s="1">
        <v>60</v>
      </c>
      <c r="AC114" s="2">
        <f>Table135814[[#This Row],[HDGF]]/Table14713[[#This Row],[GP]]</f>
        <v>0.84507042253521125</v>
      </c>
      <c r="AD114" s="1">
        <v>62</v>
      </c>
      <c r="AE114" s="2">
        <f>Table135814[[#This Row],[HDGA]]/Table14713[[#This Row],[GP]]</f>
        <v>0.87323943661971826</v>
      </c>
      <c r="AF114" s="1">
        <v>10</v>
      </c>
    </row>
    <row r="115" spans="1:32" hidden="1" x14ac:dyDescent="0.35">
      <c r="A115" t="s">
        <v>91</v>
      </c>
      <c r="B115">
        <v>18</v>
      </c>
      <c r="C115" t="s">
        <v>92</v>
      </c>
      <c r="D115" s="1">
        <v>0</v>
      </c>
      <c r="E115" s="1">
        <v>27.6</v>
      </c>
      <c r="F115" s="1">
        <v>73</v>
      </c>
      <c r="G115" s="1">
        <v>76</v>
      </c>
      <c r="H115" s="2">
        <f>Table14713[[#This Row],[PTS]]/Table14713[[#This Row],[GP]]</f>
        <v>1.0410958904109588</v>
      </c>
      <c r="I115" s="2">
        <v>0.52100000000000002</v>
      </c>
      <c r="J115" s="1">
        <v>203</v>
      </c>
      <c r="K115" s="3">
        <f>Table14713[[#This Row],[GF]]/Table14713[[#This Row],[GP]]</f>
        <v>2.7808219178082192</v>
      </c>
      <c r="L115" s="1">
        <v>223</v>
      </c>
      <c r="M115" s="1">
        <v>3.05</v>
      </c>
      <c r="N115" s="2">
        <f>(Table14713[[#This Row],[GF]]^2)/((Table14713[[#This Row],[GF]]^2)+(Table14713[[#This Row],[GA]]^2))</f>
        <v>0.45315489674283577</v>
      </c>
      <c r="O115" s="1">
        <v>21.63</v>
      </c>
      <c r="P115" s="1">
        <v>80.45</v>
      </c>
      <c r="Q115" s="1">
        <f>Table14713[[#This Row],[PP_PCT]]+Table14713[[#This Row],[PK_PCT]]</f>
        <v>102.08</v>
      </c>
      <c r="R115" s="3">
        <v>9.9</v>
      </c>
      <c r="S115" s="3">
        <f>Table14713[[#This Row],[GA]]/Table14713[[#This Row],[GP]]</f>
        <v>3.0547945205479454</v>
      </c>
      <c r="T115" s="2">
        <v>0.91100000000000003</v>
      </c>
      <c r="U115" s="1">
        <v>99.6</v>
      </c>
      <c r="V115" s="1">
        <v>47.6</v>
      </c>
      <c r="W115" s="1">
        <v>47.5</v>
      </c>
      <c r="X115" s="1">
        <v>172.1</v>
      </c>
      <c r="Y115" s="3">
        <f>Table135814[[#This Row],[XGF]]/Table14713[[#This Row],[GP]]</f>
        <v>2.3575342465753426</v>
      </c>
      <c r="Z115" s="1">
        <v>182.7</v>
      </c>
      <c r="AA115" s="3">
        <f>Table135814[[#This Row],[XGA]]/Table14713[[#This Row],[GP]]</f>
        <v>2.5027397260273969</v>
      </c>
      <c r="AB115" s="1">
        <v>79</v>
      </c>
      <c r="AC115" s="2">
        <f>Table135814[[#This Row],[HDGF]]/Table14713[[#This Row],[GP]]</f>
        <v>1.0821917808219179</v>
      </c>
      <c r="AD115" s="1">
        <v>74</v>
      </c>
      <c r="AE115" s="2">
        <f>Table135814[[#This Row],[HDGA]]/Table14713[[#This Row],[GP]]</f>
        <v>1.0136986301369864</v>
      </c>
      <c r="AF115" s="1">
        <v>9.5</v>
      </c>
    </row>
    <row r="116" spans="1:32" hidden="1" x14ac:dyDescent="0.35">
      <c r="A116" t="s">
        <v>91</v>
      </c>
      <c r="B116">
        <v>19</v>
      </c>
      <c r="C116" t="s">
        <v>88</v>
      </c>
      <c r="D116" s="1">
        <v>0</v>
      </c>
      <c r="E116" s="1">
        <v>26.8</v>
      </c>
      <c r="F116" s="1">
        <v>72</v>
      </c>
      <c r="G116" s="1">
        <v>75</v>
      </c>
      <c r="H116" s="2">
        <f>Table14713[[#This Row],[PTS]]/Table14713[[#This Row],[GP]]</f>
        <v>1.0416666666666667</v>
      </c>
      <c r="I116" s="2">
        <v>0.52100000000000002</v>
      </c>
      <c r="J116" s="1">
        <v>214</v>
      </c>
      <c r="K116" s="3">
        <f>Table14713[[#This Row],[GF]]/Table14713[[#This Row],[GP]]</f>
        <v>2.9722222222222223</v>
      </c>
      <c r="L116" s="1">
        <v>241</v>
      </c>
      <c r="M116" s="1">
        <v>3.35</v>
      </c>
      <c r="N116" s="2">
        <f>(Table14713[[#This Row],[GF]]^2)/((Table14713[[#This Row],[GF]]^2)+(Table14713[[#This Row],[GA]]^2))</f>
        <v>0.44086756452342674</v>
      </c>
      <c r="O116" s="1">
        <v>20.85</v>
      </c>
      <c r="P116" s="1">
        <v>80.260000000000005</v>
      </c>
      <c r="Q116" s="1">
        <f>Table14713[[#This Row],[PP_PCT]]+Table14713[[#This Row],[PK_PCT]]</f>
        <v>101.11000000000001</v>
      </c>
      <c r="R116" s="3">
        <v>11.4</v>
      </c>
      <c r="S116" s="3">
        <f>Table14713[[#This Row],[GA]]/Table14713[[#This Row],[GP]]</f>
        <v>3.3472222222222223</v>
      </c>
      <c r="T116" s="2">
        <v>0.92800000000000005</v>
      </c>
      <c r="U116" s="1">
        <v>102.4</v>
      </c>
      <c r="V116" s="1">
        <v>52</v>
      </c>
      <c r="W116" s="1">
        <v>51.2</v>
      </c>
      <c r="X116" s="1">
        <v>168.1</v>
      </c>
      <c r="Y116" s="3">
        <f>Table135814[[#This Row],[XGF]]/Table14713[[#This Row],[GP]]</f>
        <v>2.3347222222222221</v>
      </c>
      <c r="Z116" s="1">
        <v>159.1</v>
      </c>
      <c r="AA116" s="3">
        <f>Table135814[[#This Row],[XGA]]/Table14713[[#This Row],[GP]]</f>
        <v>2.2097222222222221</v>
      </c>
      <c r="AB116" s="1">
        <v>82</v>
      </c>
      <c r="AC116" s="2">
        <f>Table135814[[#This Row],[HDGF]]/Table14713[[#This Row],[GP]]</f>
        <v>1.1388888888888888</v>
      </c>
      <c r="AD116" s="1">
        <v>57</v>
      </c>
      <c r="AE116" s="2">
        <f>Table135814[[#This Row],[HDGA]]/Table14713[[#This Row],[GP]]</f>
        <v>0.79166666666666663</v>
      </c>
      <c r="AF116" s="1">
        <v>9.3000000000000007</v>
      </c>
    </row>
    <row r="117" spans="1:32" hidden="1" x14ac:dyDescent="0.35">
      <c r="A117" t="s">
        <v>91</v>
      </c>
      <c r="B117">
        <v>20</v>
      </c>
      <c r="C117" t="s">
        <v>64</v>
      </c>
      <c r="D117" s="1">
        <v>0</v>
      </c>
      <c r="E117" s="1">
        <v>28.9</v>
      </c>
      <c r="F117" s="1">
        <v>73</v>
      </c>
      <c r="G117" s="1">
        <v>75</v>
      </c>
      <c r="H117" s="2">
        <f>Table14713[[#This Row],[PTS]]/Table14713[[#This Row],[GP]]</f>
        <v>1.0273972602739727</v>
      </c>
      <c r="I117" s="2">
        <v>0.51400000000000001</v>
      </c>
      <c r="J117" s="1">
        <v>217</v>
      </c>
      <c r="K117" s="3">
        <f>Table14713[[#This Row],[GF]]/Table14713[[#This Row],[GP]]</f>
        <v>2.9726027397260273</v>
      </c>
      <c r="L117" s="1">
        <v>221</v>
      </c>
      <c r="M117" s="1">
        <v>3.03</v>
      </c>
      <c r="N117" s="2">
        <f>(Table14713[[#This Row],[GF]]^2)/((Table14713[[#This Row],[GF]]^2)+(Table14713[[#This Row],[GA]]^2))</f>
        <v>0.49086834149900971</v>
      </c>
      <c r="O117" s="1">
        <v>17.89</v>
      </c>
      <c r="P117" s="1">
        <v>82.19</v>
      </c>
      <c r="Q117" s="1">
        <f>Table14713[[#This Row],[PP_PCT]]+Table14713[[#This Row],[PK_PCT]]</f>
        <v>100.08</v>
      </c>
      <c r="R117" s="3">
        <v>10.5</v>
      </c>
      <c r="S117" s="3">
        <f>Table14713[[#This Row],[GA]]/Table14713[[#This Row],[GP]]</f>
        <v>3.0273972602739727</v>
      </c>
      <c r="T117" s="2">
        <v>0.91200000000000003</v>
      </c>
      <c r="U117" s="1">
        <v>99.8</v>
      </c>
      <c r="V117" s="1">
        <v>49.7</v>
      </c>
      <c r="W117" s="1">
        <v>48.9</v>
      </c>
      <c r="X117" s="1">
        <v>137.19999999999999</v>
      </c>
      <c r="Y117" s="3">
        <f>Table135814[[#This Row],[XGF]]/Table14713[[#This Row],[GP]]</f>
        <v>1.8794520547945204</v>
      </c>
      <c r="Z117" s="1">
        <v>138</v>
      </c>
      <c r="AA117" s="3">
        <f>Table135814[[#This Row],[XGA]]/Table14713[[#This Row],[GP]]</f>
        <v>1.8904109589041096</v>
      </c>
      <c r="AB117" s="1">
        <v>52</v>
      </c>
      <c r="AC117" s="2">
        <f>Table135814[[#This Row],[HDGF]]/Table14713[[#This Row],[GP]]</f>
        <v>0.71232876712328763</v>
      </c>
      <c r="AD117" s="1">
        <v>53</v>
      </c>
      <c r="AE117" s="2">
        <f>Table135814[[#This Row],[HDGA]]/Table14713[[#This Row],[GP]]</f>
        <v>0.72602739726027399</v>
      </c>
      <c r="AF117" s="1">
        <v>8.6</v>
      </c>
    </row>
    <row r="118" spans="1:32" hidden="1" x14ac:dyDescent="0.35">
      <c r="A118" t="s">
        <v>91</v>
      </c>
      <c r="B118">
        <v>21</v>
      </c>
      <c r="C118" t="s">
        <v>77</v>
      </c>
      <c r="D118" s="1">
        <v>0</v>
      </c>
      <c r="E118" s="1">
        <v>27.6</v>
      </c>
      <c r="F118" s="1">
        <v>71</v>
      </c>
      <c r="G118" s="1">
        <v>75</v>
      </c>
      <c r="H118" s="2">
        <f>Table14713[[#This Row],[PTS]]/Table14713[[#This Row],[GP]]</f>
        <v>1.056338028169014</v>
      </c>
      <c r="I118" s="2">
        <v>0.52800000000000002</v>
      </c>
      <c r="J118" s="1">
        <v>226</v>
      </c>
      <c r="K118" s="3">
        <f>Table14713[[#This Row],[GF]]/Table14713[[#This Row],[GP]]</f>
        <v>3.183098591549296</v>
      </c>
      <c r="L118" s="1">
        <v>238</v>
      </c>
      <c r="M118" s="1">
        <v>3.35</v>
      </c>
      <c r="N118" s="2">
        <f>(Table14713[[#This Row],[GF]]^2)/((Table14713[[#This Row],[GF]]^2)+(Table14713[[#This Row],[GA]]^2))</f>
        <v>0.47415521722985515</v>
      </c>
      <c r="O118" s="1">
        <v>18.79</v>
      </c>
      <c r="P118" s="1">
        <v>75</v>
      </c>
      <c r="Q118" s="1">
        <f>Table14713[[#This Row],[PP_PCT]]+Table14713[[#This Row],[PK_PCT]]</f>
        <v>93.789999999999992</v>
      </c>
      <c r="R118" s="3">
        <v>11</v>
      </c>
      <c r="S118" s="3">
        <f>Table14713[[#This Row],[GA]]/Table14713[[#This Row],[GP]]</f>
        <v>3.352112676056338</v>
      </c>
      <c r="T118" s="2">
        <v>0.92</v>
      </c>
      <c r="U118" s="1">
        <v>99.6</v>
      </c>
      <c r="V118" s="1">
        <v>52.6</v>
      </c>
      <c r="W118" s="1">
        <v>53.7</v>
      </c>
      <c r="X118" s="1">
        <v>205.7</v>
      </c>
      <c r="Y118" s="3">
        <f>Table135814[[#This Row],[XGF]]/Table14713[[#This Row],[GP]]</f>
        <v>2.8971830985915492</v>
      </c>
      <c r="Z118" s="1">
        <v>176.9</v>
      </c>
      <c r="AA118" s="3">
        <f>Table135814[[#This Row],[XGA]]/Table14713[[#This Row],[GP]]</f>
        <v>2.4915492957746479</v>
      </c>
      <c r="AB118" s="1">
        <v>83</v>
      </c>
      <c r="AC118" s="2">
        <f>Table135814[[#This Row],[HDGF]]/Table14713[[#This Row],[GP]]</f>
        <v>1.1690140845070423</v>
      </c>
      <c r="AD118" s="1">
        <v>86</v>
      </c>
      <c r="AE118" s="2">
        <f>Table135814[[#This Row],[HDGA]]/Table14713[[#This Row],[GP]]</f>
        <v>1.2112676056338028</v>
      </c>
      <c r="AF118" s="1">
        <v>8.1</v>
      </c>
    </row>
    <row r="119" spans="1:32" hidden="1" x14ac:dyDescent="0.35">
      <c r="A119" t="s">
        <v>91</v>
      </c>
      <c r="B119">
        <v>22</v>
      </c>
      <c r="C119" t="s">
        <v>76</v>
      </c>
      <c r="D119" s="1">
        <v>0</v>
      </c>
      <c r="E119" s="1">
        <v>29.7</v>
      </c>
      <c r="F119" s="1">
        <v>71</v>
      </c>
      <c r="G119" s="1">
        <v>74</v>
      </c>
      <c r="H119" s="2">
        <f>Table14713[[#This Row],[PTS]]/Table14713[[#This Row],[GP]]</f>
        <v>1.0422535211267605</v>
      </c>
      <c r="I119" s="2">
        <v>0.52100000000000002</v>
      </c>
      <c r="J119" s="1">
        <v>193</v>
      </c>
      <c r="K119" s="3">
        <f>Table14713[[#This Row],[GF]]/Table14713[[#This Row],[GP]]</f>
        <v>2.7183098591549295</v>
      </c>
      <c r="L119" s="1">
        <v>212</v>
      </c>
      <c r="M119" s="1">
        <v>2.99</v>
      </c>
      <c r="N119" s="2">
        <f>(Table14713[[#This Row],[GF]]^2)/((Table14713[[#This Row],[GF]]^2)+(Table14713[[#This Row],[GA]]^2))</f>
        <v>0.45318944435657538</v>
      </c>
      <c r="O119" s="1">
        <v>12</v>
      </c>
      <c r="P119" s="1">
        <v>72.260000000000005</v>
      </c>
      <c r="Q119" s="1">
        <f>Table14713[[#This Row],[PP_PCT]]+Table14713[[#This Row],[PK_PCT]]</f>
        <v>84.26</v>
      </c>
      <c r="R119" s="3">
        <v>9.3000000000000007</v>
      </c>
      <c r="S119" s="3">
        <f>Table14713[[#This Row],[GA]]/Table14713[[#This Row],[GP]]</f>
        <v>2.9859154929577465</v>
      </c>
      <c r="T119" s="2">
        <v>0.92700000000000005</v>
      </c>
      <c r="U119" s="1">
        <v>101</v>
      </c>
      <c r="V119" s="1">
        <v>48.4</v>
      </c>
      <c r="W119" s="1">
        <v>49.2</v>
      </c>
      <c r="X119" s="1">
        <v>187.3</v>
      </c>
      <c r="Y119" s="3">
        <f>Table135814[[#This Row],[XGF]]/Table14713[[#This Row],[GP]]</f>
        <v>2.6380281690140848</v>
      </c>
      <c r="Z119" s="1">
        <v>174.7</v>
      </c>
      <c r="AA119" s="3">
        <f>Table135814[[#This Row],[XGA]]/Table14713[[#This Row],[GP]]</f>
        <v>2.4605633802816902</v>
      </c>
      <c r="AB119" s="1">
        <v>81</v>
      </c>
      <c r="AC119" s="2">
        <f>Table135814[[#This Row],[HDGF]]/Table14713[[#This Row],[GP]]</f>
        <v>1.1408450704225352</v>
      </c>
      <c r="AD119" s="1">
        <v>56</v>
      </c>
      <c r="AE119" s="2">
        <f>Table135814[[#This Row],[HDGA]]/Table14713[[#This Row],[GP]]</f>
        <v>0.78873239436619713</v>
      </c>
      <c r="AF119" s="1">
        <v>5.8</v>
      </c>
    </row>
    <row r="120" spans="1:32" hidden="1" x14ac:dyDescent="0.35">
      <c r="A120" t="s">
        <v>91</v>
      </c>
      <c r="B120">
        <v>23</v>
      </c>
      <c r="C120" t="s">
        <v>81</v>
      </c>
      <c r="D120" s="1">
        <v>0</v>
      </c>
      <c r="E120" s="1">
        <v>29.4</v>
      </c>
      <c r="F120" s="1">
        <v>72</v>
      </c>
      <c r="G120" s="1">
        <v>72</v>
      </c>
      <c r="H120" s="2">
        <f>Table14713[[#This Row],[PTS]]/Table14713[[#This Row],[GP]]</f>
        <v>1</v>
      </c>
      <c r="I120" s="2">
        <v>0.5</v>
      </c>
      <c r="J120" s="1">
        <v>205</v>
      </c>
      <c r="K120" s="3">
        <f>Table14713[[#This Row],[GF]]/Table14713[[#This Row],[GP]]</f>
        <v>2.8472222222222223</v>
      </c>
      <c r="L120" s="1">
        <v>231</v>
      </c>
      <c r="M120" s="1">
        <v>3.21</v>
      </c>
      <c r="N120" s="2">
        <f>(Table14713[[#This Row],[GF]]^2)/((Table14713[[#This Row],[GF]]^2)+(Table14713[[#This Row],[GA]]^2))</f>
        <v>0.44057828192816556</v>
      </c>
      <c r="O120" s="1">
        <v>28.71</v>
      </c>
      <c r="P120" s="1">
        <v>68.86</v>
      </c>
      <c r="Q120" s="1">
        <f>Table14713[[#This Row],[PP_PCT]]+Table14713[[#This Row],[PK_PCT]]</f>
        <v>97.57</v>
      </c>
      <c r="R120" s="3">
        <v>10.4</v>
      </c>
      <c r="S120" s="3">
        <f>Table14713[[#This Row],[GA]]/Table14713[[#This Row],[GP]]</f>
        <v>3.2083333333333335</v>
      </c>
      <c r="T120" s="2">
        <v>0.92300000000000004</v>
      </c>
      <c r="U120" s="1">
        <v>100.4</v>
      </c>
      <c r="V120" s="1">
        <v>49</v>
      </c>
      <c r="W120" s="1">
        <v>49.5</v>
      </c>
      <c r="X120" s="1">
        <v>174</v>
      </c>
      <c r="Y120" s="3">
        <f>Table135814[[#This Row],[XGF]]/Table14713[[#This Row],[GP]]</f>
        <v>2.4166666666666665</v>
      </c>
      <c r="Z120" s="1">
        <v>164.6</v>
      </c>
      <c r="AA120" s="3">
        <f>Table135814[[#This Row],[XGA]]/Table14713[[#This Row],[GP]]</f>
        <v>2.286111111111111</v>
      </c>
      <c r="AB120" s="1">
        <v>64</v>
      </c>
      <c r="AC120" s="2">
        <f>Table135814[[#This Row],[HDGF]]/Table14713[[#This Row],[GP]]</f>
        <v>0.88888888888888884</v>
      </c>
      <c r="AD120" s="1">
        <v>67</v>
      </c>
      <c r="AE120" s="2">
        <f>Table135814[[#This Row],[HDGA]]/Table14713[[#This Row],[GP]]</f>
        <v>0.93055555555555558</v>
      </c>
      <c r="AF120" s="1">
        <v>6.9</v>
      </c>
    </row>
    <row r="121" spans="1:32" hidden="1" x14ac:dyDescent="0.35">
      <c r="A121" t="s">
        <v>91</v>
      </c>
      <c r="B121">
        <v>24</v>
      </c>
      <c r="C121" t="s">
        <v>79</v>
      </c>
      <c r="D121" s="1">
        <v>0</v>
      </c>
      <c r="E121" s="1">
        <v>27.5</v>
      </c>
      <c r="F121" s="1">
        <v>72</v>
      </c>
      <c r="G121" s="1">
        <v>72</v>
      </c>
      <c r="H121" s="2">
        <f>Table14713[[#This Row],[PTS]]/Table14713[[#This Row],[GP]]</f>
        <v>1</v>
      </c>
      <c r="I121" s="2">
        <v>0.5</v>
      </c>
      <c r="J121" s="1">
        <v>196</v>
      </c>
      <c r="K121" s="3">
        <f>Table14713[[#This Row],[GF]]/Table14713[[#This Row],[GP]]</f>
        <v>2.7222222222222223</v>
      </c>
      <c r="L121" s="1">
        <v>225</v>
      </c>
      <c r="M121" s="1">
        <v>3.13</v>
      </c>
      <c r="N121" s="2">
        <f>(Table14713[[#This Row],[GF]]^2)/((Table14713[[#This Row],[GF]]^2)+(Table14713[[#This Row],[GA]]^2))</f>
        <v>0.43144169539874888</v>
      </c>
      <c r="O121" s="1">
        <v>12.12</v>
      </c>
      <c r="P121" s="1">
        <v>73.11</v>
      </c>
      <c r="Q121" s="1">
        <f>Table14713[[#This Row],[PP_PCT]]+Table14713[[#This Row],[PK_PCT]]</f>
        <v>85.23</v>
      </c>
      <c r="R121" s="3">
        <v>9.8000000000000007</v>
      </c>
      <c r="S121" s="3">
        <f>Table14713[[#This Row],[GA]]/Table14713[[#This Row],[GP]]</f>
        <v>3.125</v>
      </c>
      <c r="T121" s="2">
        <v>0.91900000000000004</v>
      </c>
      <c r="U121" s="1">
        <v>100.2</v>
      </c>
      <c r="V121" s="1">
        <v>51.7</v>
      </c>
      <c r="W121" s="1">
        <v>51.5</v>
      </c>
      <c r="X121" s="1">
        <v>166.9</v>
      </c>
      <c r="Y121" s="3">
        <f>Table135814[[#This Row],[XGF]]/Table14713[[#This Row],[GP]]</f>
        <v>2.3180555555555555</v>
      </c>
      <c r="Z121" s="1">
        <v>141.4</v>
      </c>
      <c r="AA121" s="3">
        <f>Table135814[[#This Row],[XGA]]/Table14713[[#This Row],[GP]]</f>
        <v>1.963888888888889</v>
      </c>
      <c r="AB121" s="1">
        <v>55</v>
      </c>
      <c r="AC121" s="2">
        <f>Table135814[[#This Row],[HDGF]]/Table14713[[#This Row],[GP]]</f>
        <v>0.76388888888888884</v>
      </c>
      <c r="AD121" s="1">
        <v>51</v>
      </c>
      <c r="AE121" s="2">
        <f>Table135814[[#This Row],[HDGA]]/Table14713[[#This Row],[GP]]</f>
        <v>0.70833333333333337</v>
      </c>
      <c r="AF121" s="1">
        <v>8.9</v>
      </c>
    </row>
    <row r="122" spans="1:32" hidden="1" x14ac:dyDescent="0.35">
      <c r="A122" t="s">
        <v>91</v>
      </c>
      <c r="B122">
        <v>25</v>
      </c>
      <c r="C122" t="s">
        <v>66</v>
      </c>
      <c r="D122" s="1">
        <v>0</v>
      </c>
      <c r="E122" s="1">
        <v>28.2</v>
      </c>
      <c r="F122" s="1">
        <v>73</v>
      </c>
      <c r="G122" s="1">
        <v>69</v>
      </c>
      <c r="H122" s="2">
        <f>Table14713[[#This Row],[PTS]]/Table14713[[#This Row],[GP]]</f>
        <v>0.9452054794520548</v>
      </c>
      <c r="I122" s="2">
        <v>0.47299999999999998</v>
      </c>
      <c r="J122" s="1">
        <v>192</v>
      </c>
      <c r="K122" s="3">
        <f>Table14713[[#This Row],[GF]]/Table14713[[#This Row],[GP]]</f>
        <v>2.6301369863013697</v>
      </c>
      <c r="L122" s="1">
        <v>241</v>
      </c>
      <c r="M122" s="1">
        <v>3.3</v>
      </c>
      <c r="N122" s="2">
        <f>(Table14713[[#This Row],[GF]]^2)/((Table14713[[#This Row],[GF]]^2)+(Table14713[[#This Row],[GA]]^2))</f>
        <v>0.38826689135815473</v>
      </c>
      <c r="O122" s="1">
        <v>14.69</v>
      </c>
      <c r="P122" s="1">
        <v>76.709999999999994</v>
      </c>
      <c r="Q122" s="1">
        <f>Table14713[[#This Row],[PP_PCT]]+Table14713[[#This Row],[PK_PCT]]</f>
        <v>91.399999999999991</v>
      </c>
      <c r="R122" s="3">
        <v>9.9</v>
      </c>
      <c r="S122" s="3">
        <f>Table14713[[#This Row],[GA]]/Table14713[[#This Row],[GP]]</f>
        <v>3.3013698630136985</v>
      </c>
      <c r="T122" s="2">
        <v>0.92200000000000004</v>
      </c>
      <c r="U122" s="1">
        <v>100.5</v>
      </c>
      <c r="V122" s="1">
        <v>50.6</v>
      </c>
      <c r="W122" s="1">
        <v>51.4</v>
      </c>
      <c r="X122" s="1">
        <v>173.2</v>
      </c>
      <c r="Y122" s="3">
        <f>Table135814[[#This Row],[XGF]]/Table14713[[#This Row],[GP]]</f>
        <v>2.3726027397260272</v>
      </c>
      <c r="Z122" s="1">
        <v>165.1</v>
      </c>
      <c r="AA122" s="3">
        <f>Table135814[[#This Row],[XGA]]/Table14713[[#This Row],[GP]]</f>
        <v>2.2616438356164381</v>
      </c>
      <c r="AB122" s="1">
        <v>70</v>
      </c>
      <c r="AC122" s="2">
        <f>Table135814[[#This Row],[HDGF]]/Table14713[[#This Row],[GP]]</f>
        <v>0.95890410958904104</v>
      </c>
      <c r="AD122" s="1">
        <v>70</v>
      </c>
      <c r="AE122" s="2">
        <f>Table135814[[#This Row],[HDGA]]/Table14713[[#This Row],[GP]]</f>
        <v>0.95890410958904104</v>
      </c>
      <c r="AF122" s="1">
        <v>10.199999999999999</v>
      </c>
    </row>
    <row r="123" spans="1:32" hidden="1" x14ac:dyDescent="0.35">
      <c r="A123" t="s">
        <v>91</v>
      </c>
      <c r="B123">
        <v>26</v>
      </c>
      <c r="C123" t="s">
        <v>68</v>
      </c>
      <c r="D123" s="1">
        <v>0</v>
      </c>
      <c r="E123" s="1">
        <v>30.9</v>
      </c>
      <c r="F123" s="1">
        <v>74</v>
      </c>
      <c r="G123" s="1">
        <v>69</v>
      </c>
      <c r="H123" s="2">
        <f>Table14713[[#This Row],[PTS]]/Table14713[[#This Row],[GP]]</f>
        <v>0.93243243243243246</v>
      </c>
      <c r="I123" s="2">
        <v>0.46600000000000003</v>
      </c>
      <c r="J123" s="1">
        <v>216</v>
      </c>
      <c r="K123" s="3">
        <f>Table14713[[#This Row],[GF]]/Table14713[[#This Row],[GP]]</f>
        <v>2.9189189189189189</v>
      </c>
      <c r="L123" s="1">
        <v>268</v>
      </c>
      <c r="M123" s="1">
        <v>3.62</v>
      </c>
      <c r="N123" s="2">
        <f>(Table14713[[#This Row],[GF]]^2)/((Table14713[[#This Row],[GF]]^2)+(Table14713[[#This Row],[GA]]^2))</f>
        <v>0.39378798109385549</v>
      </c>
      <c r="O123" s="1">
        <v>24</v>
      </c>
      <c r="P123" s="1">
        <v>77.66</v>
      </c>
      <c r="Q123" s="1">
        <f>Table14713[[#This Row],[PP_PCT]]+Table14713[[#This Row],[PK_PCT]]</f>
        <v>101.66</v>
      </c>
      <c r="R123" s="3">
        <v>10.4</v>
      </c>
      <c r="S123" s="3">
        <f>Table14713[[#This Row],[GA]]/Table14713[[#This Row],[GP]]</f>
        <v>3.6216216216216215</v>
      </c>
      <c r="T123" s="2">
        <v>0.91600000000000004</v>
      </c>
      <c r="U123" s="1">
        <v>99.6</v>
      </c>
      <c r="V123" s="1">
        <v>49.8</v>
      </c>
      <c r="W123" s="1">
        <v>49.5</v>
      </c>
      <c r="X123" s="1">
        <v>182.2</v>
      </c>
      <c r="Y123" s="3">
        <f>Table135814[[#This Row],[XGF]]/Table14713[[#This Row],[GP]]</f>
        <v>2.4621621621621621</v>
      </c>
      <c r="Z123" s="1">
        <v>181.9</v>
      </c>
      <c r="AA123" s="3">
        <f>Table135814[[#This Row],[XGA]]/Table14713[[#This Row],[GP]]</f>
        <v>2.458108108108108</v>
      </c>
      <c r="AB123" s="1">
        <v>68</v>
      </c>
      <c r="AC123" s="2">
        <f>Table135814[[#This Row],[HDGF]]/Table14713[[#This Row],[GP]]</f>
        <v>0.91891891891891897</v>
      </c>
      <c r="AD123" s="1">
        <v>65</v>
      </c>
      <c r="AE123" s="2">
        <f>Table135814[[#This Row],[HDGA]]/Table14713[[#This Row],[GP]]</f>
        <v>0.8783783783783784</v>
      </c>
      <c r="AF123" s="1">
        <v>7</v>
      </c>
    </row>
    <row r="124" spans="1:32" hidden="1" x14ac:dyDescent="0.35">
      <c r="A124" t="s">
        <v>91</v>
      </c>
      <c r="B124">
        <v>27</v>
      </c>
      <c r="C124" t="s">
        <v>86</v>
      </c>
      <c r="D124" s="1">
        <v>0</v>
      </c>
      <c r="E124" s="1">
        <v>28.9</v>
      </c>
      <c r="F124" s="1">
        <v>73</v>
      </c>
      <c r="G124" s="1">
        <v>68</v>
      </c>
      <c r="H124" s="2">
        <f>Table14713[[#This Row],[PTS]]/Table14713[[#This Row],[GP]]</f>
        <v>0.93150684931506844</v>
      </c>
      <c r="I124" s="2">
        <v>0.46600000000000003</v>
      </c>
      <c r="J124" s="1">
        <v>221</v>
      </c>
      <c r="K124" s="3">
        <f>Table14713[[#This Row],[GF]]/Table14713[[#This Row],[GP]]</f>
        <v>3.0273972602739727</v>
      </c>
      <c r="L124" s="1">
        <v>234</v>
      </c>
      <c r="M124" s="1">
        <v>3.21</v>
      </c>
      <c r="N124" s="2">
        <f>(Table14713[[#This Row],[GF]]^2)/((Table14713[[#This Row],[GF]]^2)+(Table14713[[#This Row],[GA]]^2))</f>
        <v>0.47145187601957583</v>
      </c>
      <c r="O124" s="1">
        <v>19.600000000000001</v>
      </c>
      <c r="P124" s="1">
        <v>76.97</v>
      </c>
      <c r="Q124" s="1">
        <f>Table14713[[#This Row],[PP_PCT]]+Table14713[[#This Row],[PK_PCT]]</f>
        <v>96.57</v>
      </c>
      <c r="R124" s="3">
        <v>11</v>
      </c>
      <c r="S124" s="3">
        <f>Table14713[[#This Row],[GA]]/Table14713[[#This Row],[GP]]</f>
        <v>3.2054794520547945</v>
      </c>
      <c r="T124" s="2">
        <v>0.91800000000000004</v>
      </c>
      <c r="U124" s="1">
        <v>99.6</v>
      </c>
      <c r="V124" s="1">
        <v>47.2</v>
      </c>
      <c r="W124" s="1">
        <v>46.3</v>
      </c>
      <c r="X124" s="1">
        <v>150.1</v>
      </c>
      <c r="Y124" s="3">
        <f>Table135814[[#This Row],[XGF]]/Table14713[[#This Row],[GP]]</f>
        <v>2.0561643835616437</v>
      </c>
      <c r="Z124" s="1">
        <v>167.1</v>
      </c>
      <c r="AA124" s="3">
        <f>Table135814[[#This Row],[XGA]]/Table14713[[#This Row],[GP]]</f>
        <v>2.2890410958904108</v>
      </c>
      <c r="AB124" s="1">
        <v>63</v>
      </c>
      <c r="AC124" s="2">
        <f>Table135814[[#This Row],[HDGF]]/Table14713[[#This Row],[GP]]</f>
        <v>0.86301369863013699</v>
      </c>
      <c r="AD124" s="1">
        <v>69</v>
      </c>
      <c r="AE124" s="2">
        <f>Table135814[[#This Row],[HDGA]]/Table14713[[#This Row],[GP]]</f>
        <v>0.9452054794520548</v>
      </c>
      <c r="AF124" s="1">
        <v>6.6</v>
      </c>
    </row>
    <row r="125" spans="1:32" hidden="1" x14ac:dyDescent="0.35">
      <c r="A125" t="s">
        <v>91</v>
      </c>
      <c r="B125">
        <v>28</v>
      </c>
      <c r="C125" t="s">
        <v>85</v>
      </c>
      <c r="D125" s="1">
        <v>0</v>
      </c>
      <c r="E125" s="1">
        <v>26.8</v>
      </c>
      <c r="F125" s="1">
        <v>74</v>
      </c>
      <c r="G125" s="1">
        <v>67</v>
      </c>
      <c r="H125" s="2">
        <f>Table14713[[#This Row],[PTS]]/Table14713[[#This Row],[GP]]</f>
        <v>0.90540540540540537</v>
      </c>
      <c r="I125" s="2">
        <v>0.45300000000000001</v>
      </c>
      <c r="J125" s="1">
        <v>203</v>
      </c>
      <c r="K125" s="3">
        <f>Table14713[[#This Row],[GF]]/Table14713[[#This Row],[GP]]</f>
        <v>2.7432432432432434</v>
      </c>
      <c r="L125" s="1">
        <v>255</v>
      </c>
      <c r="M125" s="1">
        <v>3.45</v>
      </c>
      <c r="N125" s="2">
        <f>(Table14713[[#This Row],[GF]]^2)/((Table14713[[#This Row],[GF]]^2)+(Table14713[[#This Row],[GA]]^2))</f>
        <v>0.38790782611969804</v>
      </c>
      <c r="O125" s="1">
        <v>13.92</v>
      </c>
      <c r="P125" s="1">
        <v>77.599999999999994</v>
      </c>
      <c r="Q125" s="1">
        <f>Table14713[[#This Row],[PP_PCT]]+Table14713[[#This Row],[PK_PCT]]</f>
        <v>91.52</v>
      </c>
      <c r="R125" s="3">
        <v>10.199999999999999</v>
      </c>
      <c r="S125" s="3">
        <f>Table14713[[#This Row],[GA]]/Table14713[[#This Row],[GP]]</f>
        <v>3.4459459459459461</v>
      </c>
      <c r="T125" s="2">
        <v>0.92300000000000004</v>
      </c>
      <c r="U125" s="1">
        <v>102.6</v>
      </c>
      <c r="V125" s="1">
        <v>51.2</v>
      </c>
      <c r="W125" s="1">
        <v>51.4</v>
      </c>
      <c r="X125" s="1">
        <v>153.69999999999999</v>
      </c>
      <c r="Y125" s="3">
        <f>Table135814[[#This Row],[XGF]]/Table14713[[#This Row],[GP]]</f>
        <v>2.077027027027027</v>
      </c>
      <c r="Z125" s="1">
        <v>142.5</v>
      </c>
      <c r="AA125" s="3">
        <f>Table135814[[#This Row],[XGA]]/Table14713[[#This Row],[GP]]</f>
        <v>1.9256756756756757</v>
      </c>
      <c r="AB125" s="1">
        <v>67</v>
      </c>
      <c r="AC125" s="2">
        <f>Table135814[[#This Row],[HDGF]]/Table14713[[#This Row],[GP]]</f>
        <v>0.90540540540540537</v>
      </c>
      <c r="AD125" s="1">
        <v>46</v>
      </c>
      <c r="AE125" s="2">
        <f>Table135814[[#This Row],[HDGA]]/Table14713[[#This Row],[GP]]</f>
        <v>0.6216216216216216</v>
      </c>
      <c r="AF125" s="1">
        <v>7.5</v>
      </c>
    </row>
    <row r="126" spans="1:32" hidden="1" x14ac:dyDescent="0.35">
      <c r="A126" t="s">
        <v>91</v>
      </c>
      <c r="B126">
        <v>29</v>
      </c>
      <c r="C126" t="s">
        <v>80</v>
      </c>
      <c r="D126" s="1">
        <v>0</v>
      </c>
      <c r="E126" s="1">
        <v>25.9</v>
      </c>
      <c r="F126" s="1">
        <v>71</v>
      </c>
      <c r="G126" s="1">
        <v>66</v>
      </c>
      <c r="H126" s="2">
        <f>Table14713[[#This Row],[PTS]]/Table14713[[#This Row],[GP]]</f>
        <v>0.92957746478873238</v>
      </c>
      <c r="I126" s="2">
        <v>0.46500000000000002</v>
      </c>
      <c r="J126" s="1">
        <v>224</v>
      </c>
      <c r="K126" s="3">
        <f>Table14713[[#This Row],[GF]]/Table14713[[#This Row],[GP]]</f>
        <v>3.1549295774647885</v>
      </c>
      <c r="L126" s="1">
        <v>248</v>
      </c>
      <c r="M126" s="1">
        <v>3.49</v>
      </c>
      <c r="N126" s="2">
        <f>(Table14713[[#This Row],[GF]]^2)/((Table14713[[#This Row],[GF]]^2)+(Table14713[[#This Row],[GA]]^2))</f>
        <v>0.44928366762177652</v>
      </c>
      <c r="O126" s="1">
        <v>17.559999999999999</v>
      </c>
      <c r="P126" s="1">
        <v>76.739999999999995</v>
      </c>
      <c r="Q126" s="1">
        <f>Table14713[[#This Row],[PP_PCT]]+Table14713[[#This Row],[PK_PCT]]</f>
        <v>94.3</v>
      </c>
      <c r="R126" s="3">
        <v>11.4</v>
      </c>
      <c r="S126" s="3">
        <f>Table14713[[#This Row],[GA]]/Table14713[[#This Row],[GP]]</f>
        <v>3.492957746478873</v>
      </c>
      <c r="T126" s="2">
        <v>0.92700000000000005</v>
      </c>
      <c r="U126" s="1">
        <v>100</v>
      </c>
      <c r="V126" s="1">
        <v>49.4</v>
      </c>
      <c r="W126" s="1">
        <v>49.5</v>
      </c>
      <c r="X126" s="1">
        <v>186.6</v>
      </c>
      <c r="Y126" s="3">
        <f>Table135814[[#This Row],[XGF]]/Table14713[[#This Row],[GP]]</f>
        <v>2.6281690140845071</v>
      </c>
      <c r="Z126" s="1">
        <v>190.9</v>
      </c>
      <c r="AA126" s="3">
        <f>Table135814[[#This Row],[XGA]]/Table14713[[#This Row],[GP]]</f>
        <v>2.6887323943661974</v>
      </c>
      <c r="AB126" s="1">
        <v>72</v>
      </c>
      <c r="AC126" s="2">
        <f>Table135814[[#This Row],[HDGF]]/Table14713[[#This Row],[GP]]</f>
        <v>1.0140845070422535</v>
      </c>
      <c r="AD126" s="1">
        <v>66</v>
      </c>
      <c r="AE126" s="2">
        <f>Table135814[[#This Row],[HDGA]]/Table14713[[#This Row],[GP]]</f>
        <v>0.92957746478873238</v>
      </c>
      <c r="AF126" s="1">
        <v>10.8</v>
      </c>
    </row>
    <row r="127" spans="1:32" hidden="1" x14ac:dyDescent="0.35">
      <c r="A127" t="s">
        <v>91</v>
      </c>
      <c r="B127">
        <v>30</v>
      </c>
      <c r="C127" t="s">
        <v>72</v>
      </c>
      <c r="D127" s="1">
        <v>0</v>
      </c>
      <c r="E127" s="1">
        <v>30</v>
      </c>
      <c r="F127" s="1">
        <v>72</v>
      </c>
      <c r="G127" s="1">
        <v>62</v>
      </c>
      <c r="H127" s="2">
        <f>Table14713[[#This Row],[PTS]]/Table14713[[#This Row],[GP]]</f>
        <v>0.86111111111111116</v>
      </c>
      <c r="I127" s="2">
        <v>0.43099999999999999</v>
      </c>
      <c r="J127" s="1">
        <v>183</v>
      </c>
      <c r="K127" s="3">
        <f>Table14713[[#This Row],[GF]]/Table14713[[#This Row],[GP]]</f>
        <v>2.5416666666666665</v>
      </c>
      <c r="L127" s="1">
        <v>232</v>
      </c>
      <c r="M127" s="1">
        <v>3.22</v>
      </c>
      <c r="N127" s="2">
        <f>(Table14713[[#This Row],[GF]]^2)/((Table14713[[#This Row],[GF]]^2)+(Table14713[[#This Row],[GA]]^2))</f>
        <v>0.38355113213381742</v>
      </c>
      <c r="O127" s="1">
        <v>21.18</v>
      </c>
      <c r="P127" s="1">
        <v>81.31</v>
      </c>
      <c r="Q127" s="1">
        <f>Table14713[[#This Row],[PP_PCT]]+Table14713[[#This Row],[PK_PCT]]</f>
        <v>102.49000000000001</v>
      </c>
      <c r="R127" s="3">
        <v>8.6999999999999993</v>
      </c>
      <c r="S127" s="3">
        <f>Table14713[[#This Row],[GA]]/Table14713[[#This Row],[GP]]</f>
        <v>3.2222222222222223</v>
      </c>
      <c r="T127" s="2">
        <v>0.92800000000000005</v>
      </c>
      <c r="U127" s="1">
        <v>100.5</v>
      </c>
      <c r="V127" s="1">
        <v>51.7</v>
      </c>
      <c r="W127" s="1">
        <v>51.6</v>
      </c>
      <c r="X127" s="1">
        <v>170.9</v>
      </c>
      <c r="Y127" s="3">
        <f>Table135814[[#This Row],[XGF]]/Table14713[[#This Row],[GP]]</f>
        <v>2.3736111111111113</v>
      </c>
      <c r="Z127" s="1">
        <v>170.4</v>
      </c>
      <c r="AA127" s="3">
        <f>Table135814[[#This Row],[XGA]]/Table14713[[#This Row],[GP]]</f>
        <v>2.3666666666666667</v>
      </c>
      <c r="AB127" s="1">
        <v>58</v>
      </c>
      <c r="AC127" s="2">
        <f>Table135814[[#This Row],[HDGF]]/Table14713[[#This Row],[GP]]</f>
        <v>0.80555555555555558</v>
      </c>
      <c r="AD127" s="1">
        <v>64</v>
      </c>
      <c r="AE127" s="2">
        <f>Table135814[[#This Row],[HDGA]]/Table14713[[#This Row],[GP]]</f>
        <v>0.88888888888888884</v>
      </c>
      <c r="AF127" s="1">
        <v>10.1</v>
      </c>
    </row>
    <row r="128" spans="1:32" hidden="1" x14ac:dyDescent="0.35">
      <c r="A128" t="s">
        <v>91</v>
      </c>
      <c r="B128">
        <v>31</v>
      </c>
      <c r="C128" t="s">
        <v>83</v>
      </c>
      <c r="D128" s="1">
        <v>0</v>
      </c>
      <c r="E128" s="1">
        <v>28.4</v>
      </c>
      <c r="F128" s="1">
        <v>73</v>
      </c>
      <c r="G128" s="1">
        <v>51</v>
      </c>
      <c r="H128" s="2">
        <f>Table14713[[#This Row],[PTS]]/Table14713[[#This Row],[GP]]</f>
        <v>0.69863013698630139</v>
      </c>
      <c r="I128" s="2">
        <v>0.34899999999999998</v>
      </c>
      <c r="J128" s="1">
        <v>198</v>
      </c>
      <c r="K128" s="3">
        <f>Table14713[[#This Row],[GF]]/Table14713[[#This Row],[GP]]</f>
        <v>2.7123287671232879</v>
      </c>
      <c r="L128" s="1">
        <v>262</v>
      </c>
      <c r="M128" s="1">
        <v>3.59</v>
      </c>
      <c r="N128" s="2">
        <f>(Table14713[[#This Row],[GF]]^2)/((Table14713[[#This Row],[GF]]^2)+(Table14713[[#This Row],[GA]]^2))</f>
        <v>0.36351160893108819</v>
      </c>
      <c r="O128" s="1">
        <v>25.6</v>
      </c>
      <c r="P128" s="1">
        <v>80.599999999999994</v>
      </c>
      <c r="Q128" s="1">
        <f>Table14713[[#This Row],[PP_PCT]]+Table14713[[#This Row],[PK_PCT]]</f>
        <v>106.19999999999999</v>
      </c>
      <c r="R128" s="3">
        <v>11.1</v>
      </c>
      <c r="S128" s="3">
        <f>Table14713[[#This Row],[GA]]/Table14713[[#This Row],[GP]]</f>
        <v>3.5890410958904111</v>
      </c>
      <c r="T128" s="2">
        <v>0.94</v>
      </c>
      <c r="U128" s="1">
        <v>102.2</v>
      </c>
      <c r="V128" s="1">
        <v>51.6</v>
      </c>
      <c r="W128" s="1">
        <v>51.4</v>
      </c>
      <c r="X128" s="1">
        <v>171.1</v>
      </c>
      <c r="Y128" s="3">
        <f>Table135814[[#This Row],[XGF]]/Table14713[[#This Row],[GP]]</f>
        <v>2.3438356164383563</v>
      </c>
      <c r="Z128" s="1">
        <v>161.9</v>
      </c>
      <c r="AA128" s="3">
        <f>Table135814[[#This Row],[XGA]]/Table14713[[#This Row],[GP]]</f>
        <v>2.2178082191780821</v>
      </c>
      <c r="AB128" s="1">
        <v>65</v>
      </c>
      <c r="AC128" s="2">
        <f>Table135814[[#This Row],[HDGF]]/Table14713[[#This Row],[GP]]</f>
        <v>0.8904109589041096</v>
      </c>
      <c r="AD128" s="1">
        <v>49</v>
      </c>
      <c r="AE128" s="2">
        <f>Table135814[[#This Row],[HDGA]]/Table14713[[#This Row],[GP]]</f>
        <v>0.67123287671232879</v>
      </c>
      <c r="AF128" s="1">
        <v>8.8000000000000007</v>
      </c>
    </row>
    <row r="129" spans="1:32" hidden="1" x14ac:dyDescent="0.35">
      <c r="A129" t="s">
        <v>91</v>
      </c>
      <c r="B129">
        <v>32</v>
      </c>
      <c r="C129" t="s">
        <v>78</v>
      </c>
      <c r="D129" s="1">
        <v>0</v>
      </c>
      <c r="E129" s="1">
        <v>27.3</v>
      </c>
      <c r="F129" s="1">
        <v>71</v>
      </c>
      <c r="G129" s="1">
        <v>49</v>
      </c>
      <c r="H129" s="2">
        <f>Table14713[[#This Row],[PTS]]/Table14713[[#This Row],[GP]]</f>
        <v>0.6901408450704225</v>
      </c>
      <c r="I129" s="2">
        <v>0.34499999999999997</v>
      </c>
      <c r="J129" s="1">
        <v>186</v>
      </c>
      <c r="K129" s="3">
        <f>Table14713[[#This Row],[GF]]/Table14713[[#This Row],[GP]]</f>
        <v>2.619718309859155</v>
      </c>
      <c r="L129" s="1">
        <v>260</v>
      </c>
      <c r="M129" s="1">
        <v>3.66</v>
      </c>
      <c r="N129" s="2">
        <f>(Table14713[[#This Row],[GF]]^2)/((Table14713[[#This Row],[GF]]^2)+(Table14713[[#This Row],[GA]]^2))</f>
        <v>0.33852596970527221</v>
      </c>
      <c r="O129" s="1">
        <v>19.399999999999999</v>
      </c>
      <c r="P129" s="1">
        <v>74.31</v>
      </c>
      <c r="Q129" s="1">
        <f>Table14713[[#This Row],[PP_PCT]]+Table14713[[#This Row],[PK_PCT]]</f>
        <v>93.710000000000008</v>
      </c>
      <c r="R129" s="3">
        <v>9.6999999999999993</v>
      </c>
      <c r="S129" s="3">
        <f>Table14713[[#This Row],[GA]]/Table14713[[#This Row],[GP]]</f>
        <v>3.6619718309859155</v>
      </c>
      <c r="T129" s="2">
        <v>0.93700000000000006</v>
      </c>
      <c r="U129" s="1">
        <v>102.3</v>
      </c>
      <c r="V129" s="1">
        <v>50.5</v>
      </c>
      <c r="W129" s="1">
        <v>50.6</v>
      </c>
      <c r="X129" s="1">
        <v>145.69999999999999</v>
      </c>
      <c r="Y129" s="3">
        <f>Table135814[[#This Row],[XGF]]/Table14713[[#This Row],[GP]]</f>
        <v>2.0521126760563377</v>
      </c>
      <c r="Z129" s="1">
        <v>134.4</v>
      </c>
      <c r="AA129" s="3">
        <f>Table135814[[#This Row],[XGA]]/Table14713[[#This Row],[GP]]</f>
        <v>1.8929577464788734</v>
      </c>
      <c r="AB129" s="1">
        <v>58</v>
      </c>
      <c r="AC129" s="2">
        <f>Table135814[[#This Row],[HDGF]]/Table14713[[#This Row],[GP]]</f>
        <v>0.81690140845070425</v>
      </c>
      <c r="AD129" s="1">
        <v>39</v>
      </c>
      <c r="AE129" s="2">
        <f>Table135814[[#This Row],[HDGA]]/Table14713[[#This Row],[GP]]</f>
        <v>0.54929577464788737</v>
      </c>
      <c r="AF129" s="1">
        <v>8.6</v>
      </c>
    </row>
  </sheetData>
  <conditionalFormatting sqref="I2:I12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129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129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:N12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12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R12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:S129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:T12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:W12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:Y129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:AA129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:AC129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:AE129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:AF12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77667-49BA-48FF-AED1-6F162C25671F}">
  <dimension ref="A1:AF129"/>
  <sheetViews>
    <sheetView zoomScale="90" zoomScaleNormal="90" workbookViewId="0">
      <selection activeCell="C102" sqref="C102"/>
    </sheetView>
  </sheetViews>
  <sheetFormatPr defaultRowHeight="14.5" x14ac:dyDescent="0.35"/>
  <cols>
    <col min="1" max="1" width="9.81640625" bestFit="1" customWidth="1"/>
    <col min="2" max="2" width="7.7265625" bestFit="1" customWidth="1"/>
    <col min="3" max="3" width="19.54296875" bestFit="1" customWidth="1"/>
    <col min="4" max="4" width="12.81640625" style="1" bestFit="1" customWidth="1"/>
    <col min="5" max="5" width="13" style="1" bestFit="1" customWidth="1"/>
    <col min="6" max="6" width="7.7265625" style="1" bestFit="1" customWidth="1"/>
    <col min="7" max="7" width="8.453125" style="1" bestFit="1" customWidth="1"/>
    <col min="8" max="8" width="12.7265625" style="1" customWidth="1"/>
    <col min="9" max="9" width="12.54296875" style="1" bestFit="1" customWidth="1"/>
    <col min="10" max="10" width="7.54296875" style="1" bestFit="1" customWidth="1"/>
    <col min="11" max="11" width="11.81640625" style="1" customWidth="1"/>
    <col min="12" max="12" width="10.1796875" style="1" customWidth="1"/>
    <col min="13" max="13" width="11.81640625" style="1" customWidth="1"/>
    <col min="14" max="14" width="14.81640625" style="1" bestFit="1" customWidth="1"/>
    <col min="15" max="16" width="11.54296875" style="1" bestFit="1" customWidth="1"/>
    <col min="17" max="17" width="22.453125" style="1" customWidth="1"/>
    <col min="18" max="18" width="10.54296875" style="1" bestFit="1" customWidth="1"/>
    <col min="19" max="19" width="11.54296875" style="1" customWidth="1"/>
    <col min="20" max="20" width="12.26953125" style="1" bestFit="1" customWidth="1"/>
    <col min="21" max="21" width="9.7265625" style="1" bestFit="1" customWidth="1"/>
    <col min="22" max="22" width="11.7265625" style="1" bestFit="1" customWidth="1"/>
    <col min="23" max="23" width="12.1796875" style="1" bestFit="1" customWidth="1"/>
    <col min="24" max="24" width="9.453125" style="1" bestFit="1" customWidth="1"/>
    <col min="25" max="25" width="11.81640625" style="1" bestFit="1" customWidth="1"/>
    <col min="26" max="26" width="9.453125" style="1" bestFit="1" customWidth="1"/>
    <col min="27" max="27" width="11.1796875" style="1" bestFit="1" customWidth="1"/>
    <col min="28" max="28" width="10.1796875" style="1" bestFit="1" customWidth="1"/>
    <col min="29" max="29" width="10.1796875" style="1" customWidth="1"/>
    <col min="30" max="30" width="10.26953125" style="1" bestFit="1" customWidth="1"/>
    <col min="32" max="32" width="10.81640625" style="1" bestFit="1" customWidth="1"/>
  </cols>
  <sheetData>
    <row r="1" spans="1:32" x14ac:dyDescent="0.3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9</v>
      </c>
      <c r="H1" s="1" t="s">
        <v>93</v>
      </c>
      <c r="I1" s="1" t="s">
        <v>10</v>
      </c>
      <c r="J1" s="1" t="s">
        <v>11</v>
      </c>
      <c r="K1" s="1" t="s">
        <v>17</v>
      </c>
      <c r="L1" s="1" t="s">
        <v>12</v>
      </c>
      <c r="M1" s="1" t="s">
        <v>18</v>
      </c>
      <c r="N1" s="1" t="s">
        <v>94</v>
      </c>
      <c r="O1" s="1" t="s">
        <v>21</v>
      </c>
      <c r="P1" s="1" t="s">
        <v>24</v>
      </c>
      <c r="Q1" s="1" t="s">
        <v>95</v>
      </c>
      <c r="R1" s="1" t="s">
        <v>30</v>
      </c>
      <c r="S1" s="1" t="s">
        <v>96</v>
      </c>
      <c r="T1" s="1" t="s">
        <v>32</v>
      </c>
      <c r="U1" s="1" t="s">
        <v>34</v>
      </c>
      <c r="V1" s="1" t="s">
        <v>37</v>
      </c>
      <c r="W1" s="1" t="s">
        <v>40</v>
      </c>
      <c r="X1" s="1" t="s">
        <v>41</v>
      </c>
      <c r="Y1" s="1" t="s">
        <v>97</v>
      </c>
      <c r="Z1" s="1" t="s">
        <v>42</v>
      </c>
      <c r="AA1" s="1" t="s">
        <v>98</v>
      </c>
      <c r="AB1" s="1" t="s">
        <v>52</v>
      </c>
      <c r="AC1" s="1" t="s">
        <v>99</v>
      </c>
      <c r="AD1" s="1" t="s">
        <v>54</v>
      </c>
      <c r="AE1" s="1" t="s">
        <v>100</v>
      </c>
      <c r="AF1" s="1" t="s">
        <v>27</v>
      </c>
    </row>
    <row r="2" spans="1:32" hidden="1" x14ac:dyDescent="0.35">
      <c r="A2" t="s">
        <v>56</v>
      </c>
      <c r="B2">
        <v>1</v>
      </c>
      <c r="C2" t="s">
        <v>57</v>
      </c>
      <c r="D2" s="1">
        <v>1</v>
      </c>
      <c r="E2" s="1">
        <v>27.8</v>
      </c>
      <c r="F2" s="1">
        <v>82</v>
      </c>
      <c r="G2" s="1">
        <v>122</v>
      </c>
      <c r="H2" s="2">
        <f>Table147[[#This Row],[PTS]]/Table147[[#This Row],[GP]]</f>
        <v>1.4878048780487805</v>
      </c>
      <c r="I2" s="2">
        <v>0.74399999999999999</v>
      </c>
      <c r="J2" s="1">
        <v>337</v>
      </c>
      <c r="K2" s="3">
        <f>Table147[[#This Row],[GF]]/Table147[[#This Row],[GP]]</f>
        <v>4.1097560975609753</v>
      </c>
      <c r="L2" s="1">
        <v>242</v>
      </c>
      <c r="M2" s="1">
        <v>2.95</v>
      </c>
      <c r="N2" s="2">
        <f>(Table147[[#This Row],[GF]]^2)/((Table147[[#This Row],[GF]]^2)+(Table147[[#This Row],[GA]]^2))</f>
        <v>0.65977470909122593</v>
      </c>
      <c r="O2" s="1">
        <v>24.43</v>
      </c>
      <c r="P2" s="1">
        <v>79.540000000000006</v>
      </c>
      <c r="Q2" s="1">
        <f>Table147[[#This Row],[PP_PCT]]+Table147[[#This Row],[PK_PCT]]</f>
        <v>103.97</v>
      </c>
      <c r="R2" s="3">
        <v>11</v>
      </c>
      <c r="S2" s="3">
        <f>Table147[[#This Row],[GA]]/Table147[[#This Row],[GP]]</f>
        <v>2.9512195121951219</v>
      </c>
      <c r="T2" s="2">
        <v>0.91800000000000004</v>
      </c>
      <c r="U2" s="1">
        <v>99.3</v>
      </c>
      <c r="V2" s="1">
        <v>47.6</v>
      </c>
      <c r="W2" s="1">
        <v>47.6</v>
      </c>
      <c r="X2" s="1">
        <v>169.8</v>
      </c>
      <c r="Y2" s="3">
        <f>Table1358[[#This Row],[XGF]]/Table147[[#This Row],[GP]]</f>
        <v>2.0707317073170732</v>
      </c>
      <c r="Z2" s="1">
        <v>186.9</v>
      </c>
      <c r="AA2" s="3">
        <f>Table1358[[#This Row],[XGA]]/Table147[[#This Row],[GP]]</f>
        <v>2.2792682926829269</v>
      </c>
      <c r="AB2" s="1">
        <v>72</v>
      </c>
      <c r="AC2" s="2">
        <f>Table1358[[#This Row],[HDGF]]/Table147[[#This Row],[GP]]</f>
        <v>0.87804878048780488</v>
      </c>
      <c r="AD2" s="1">
        <v>61</v>
      </c>
      <c r="AE2" s="2">
        <f>Table1358[[#This Row],[HDGA]]/Table147[[#This Row],[GP]]</f>
        <v>0.74390243902439024</v>
      </c>
      <c r="AF2" s="1">
        <v>10.1</v>
      </c>
    </row>
    <row r="3" spans="1:32" hidden="1" x14ac:dyDescent="0.35">
      <c r="A3" t="s">
        <v>56</v>
      </c>
      <c r="B3">
        <v>2</v>
      </c>
      <c r="C3" t="s">
        <v>58</v>
      </c>
      <c r="D3" s="1">
        <v>1</v>
      </c>
      <c r="E3" s="1">
        <v>28.2</v>
      </c>
      <c r="F3" s="1">
        <v>82</v>
      </c>
      <c r="G3" s="1">
        <v>119</v>
      </c>
      <c r="H3" s="2">
        <f>Table147[[#This Row],[PTS]]/Table147[[#This Row],[GP]]</f>
        <v>1.4512195121951219</v>
      </c>
      <c r="I3" s="2">
        <v>0.72599999999999998</v>
      </c>
      <c r="J3" s="1">
        <v>308</v>
      </c>
      <c r="K3" s="3">
        <f>Table147[[#This Row],[GF]]/Table147[[#This Row],[GP]]</f>
        <v>3.7560975609756095</v>
      </c>
      <c r="L3" s="1">
        <v>232</v>
      </c>
      <c r="M3" s="1">
        <v>2.83</v>
      </c>
      <c r="N3" s="2">
        <f>(Table147[[#This Row],[GF]]^2)/((Table147[[#This Row],[GF]]^2)+(Table147[[#This Row],[GA]]^2))</f>
        <v>0.63800710211987521</v>
      </c>
      <c r="O3" s="1">
        <v>24.01</v>
      </c>
      <c r="P3" s="1">
        <v>79.66</v>
      </c>
      <c r="Q3" s="1">
        <f>Table147[[#This Row],[PP_PCT]]+Table147[[#This Row],[PK_PCT]]</f>
        <v>103.67</v>
      </c>
      <c r="R3" s="3">
        <v>10.7</v>
      </c>
      <c r="S3" s="3">
        <f>Table147[[#This Row],[GA]]/Table147[[#This Row],[GP]]</f>
        <v>2.8292682926829267</v>
      </c>
      <c r="T3" s="2">
        <v>0.91800000000000004</v>
      </c>
      <c r="U3" s="1">
        <v>99.3</v>
      </c>
      <c r="V3" s="1">
        <v>42.6</v>
      </c>
      <c r="W3" s="1">
        <v>41.6</v>
      </c>
      <c r="X3" s="1">
        <v>152.9</v>
      </c>
      <c r="Y3" s="3">
        <f>Table1358[[#This Row],[XGF]]/Table147[[#This Row],[GP]]</f>
        <v>1.8646341463414635</v>
      </c>
      <c r="Z3" s="1">
        <v>237.8</v>
      </c>
      <c r="AA3" s="3">
        <f>Table1358[[#This Row],[XGA]]/Table147[[#This Row],[GP]]</f>
        <v>2.9000000000000004</v>
      </c>
      <c r="AB3" s="1">
        <v>53</v>
      </c>
      <c r="AC3" s="2">
        <f>Table1358[[#This Row],[HDGF]]/Table147[[#This Row],[GP]]</f>
        <v>0.64634146341463417</v>
      </c>
      <c r="AD3" s="1">
        <v>80</v>
      </c>
      <c r="AE3" s="2">
        <f>Table1358[[#This Row],[HDGA]]/Table147[[#This Row],[GP]]</f>
        <v>0.97560975609756095</v>
      </c>
      <c r="AF3" s="1">
        <v>9</v>
      </c>
    </row>
    <row r="4" spans="1:32" hidden="1" x14ac:dyDescent="0.35">
      <c r="A4" t="s">
        <v>56</v>
      </c>
      <c r="B4">
        <v>3</v>
      </c>
      <c r="C4" t="s">
        <v>59</v>
      </c>
      <c r="D4" s="1">
        <v>1</v>
      </c>
      <c r="E4" s="1">
        <v>28.3</v>
      </c>
      <c r="F4" s="1">
        <v>82</v>
      </c>
      <c r="G4" s="1">
        <v>116</v>
      </c>
      <c r="H4" s="2">
        <f>Table147[[#This Row],[PTS]]/Table147[[#This Row],[GP]]</f>
        <v>1.4146341463414633</v>
      </c>
      <c r="I4" s="2">
        <v>0.70699999999999996</v>
      </c>
      <c r="J4" s="1">
        <v>277</v>
      </c>
      <c r="K4" s="3">
        <f>Table147[[#This Row],[GF]]/Table147[[#This Row],[GP]]</f>
        <v>3.3780487804878048</v>
      </c>
      <c r="L4" s="1">
        <v>200</v>
      </c>
      <c r="M4" s="1">
        <v>2.44</v>
      </c>
      <c r="N4" s="2">
        <f>(Table147[[#This Row],[GF]]^2)/((Table147[[#This Row],[GF]]^2)+(Table147[[#This Row],[GA]]^2))</f>
        <v>0.65732594299617064</v>
      </c>
      <c r="O4" s="1">
        <v>21.98</v>
      </c>
      <c r="P4" s="1">
        <v>88.04</v>
      </c>
      <c r="Q4" s="1">
        <f>Table147[[#This Row],[PP_PCT]]+Table147[[#This Row],[PK_PCT]]</f>
        <v>110.02000000000001</v>
      </c>
      <c r="R4" s="3">
        <v>9.9</v>
      </c>
      <c r="S4" s="3">
        <f>Table147[[#This Row],[GA]]/Table147[[#This Row],[GP]]</f>
        <v>2.4390243902439024</v>
      </c>
      <c r="T4" s="2">
        <v>0.91700000000000004</v>
      </c>
      <c r="U4" s="1">
        <v>98.8</v>
      </c>
      <c r="V4" s="1">
        <v>46.9</v>
      </c>
      <c r="W4" s="1">
        <v>46.5</v>
      </c>
      <c r="X4" s="1">
        <v>142.30000000000001</v>
      </c>
      <c r="Y4" s="3">
        <f>Table1358[[#This Row],[XGF]]/Table147[[#This Row],[GP]]</f>
        <v>1.7353658536585368</v>
      </c>
      <c r="Z4" s="1">
        <v>173.3</v>
      </c>
      <c r="AA4" s="3">
        <f>Table1358[[#This Row],[XGA]]/Table147[[#This Row],[GP]]</f>
        <v>2.1134146341463418</v>
      </c>
      <c r="AB4" s="1">
        <v>52</v>
      </c>
      <c r="AC4" s="2">
        <f>Table1358[[#This Row],[HDGF]]/Table147[[#This Row],[GP]]</f>
        <v>0.63414634146341464</v>
      </c>
      <c r="AD4" s="1">
        <v>78</v>
      </c>
      <c r="AE4" s="2">
        <f>Table1358[[#This Row],[HDGA]]/Table147[[#This Row],[GP]]</f>
        <v>0.95121951219512191</v>
      </c>
      <c r="AF4" s="1">
        <v>9.1999999999999993</v>
      </c>
    </row>
    <row r="5" spans="1:32" hidden="1" x14ac:dyDescent="0.35">
      <c r="A5" t="s">
        <v>56</v>
      </c>
      <c r="B5">
        <v>4</v>
      </c>
      <c r="C5" t="s">
        <v>60</v>
      </c>
      <c r="D5" s="1">
        <v>1</v>
      </c>
      <c r="E5" s="1">
        <v>28.4</v>
      </c>
      <c r="F5" s="1">
        <v>82</v>
      </c>
      <c r="G5" s="1">
        <v>115</v>
      </c>
      <c r="H5" s="2">
        <f>Table147[[#This Row],[PTS]]/Table147[[#This Row],[GP]]</f>
        <v>1.4024390243902438</v>
      </c>
      <c r="I5" s="2">
        <v>0.70099999999999996</v>
      </c>
      <c r="J5" s="1">
        <v>312</v>
      </c>
      <c r="K5" s="3">
        <f>Table147[[#This Row],[GF]]/Table147[[#This Row],[GP]]</f>
        <v>3.8048780487804876</v>
      </c>
      <c r="L5" s="1">
        <v>252</v>
      </c>
      <c r="M5" s="1">
        <v>3.07</v>
      </c>
      <c r="N5" s="2">
        <f>(Table147[[#This Row],[GF]]^2)/((Table147[[#This Row],[GF]]^2)+(Table147[[#This Row],[GA]]^2))</f>
        <v>0.60519247985675917</v>
      </c>
      <c r="O5" s="1">
        <v>27.27</v>
      </c>
      <c r="P5" s="1">
        <v>82.05</v>
      </c>
      <c r="Q5" s="1">
        <f>Table147[[#This Row],[PP_PCT]]+Table147[[#This Row],[PK_PCT]]</f>
        <v>109.32</v>
      </c>
      <c r="R5" s="3">
        <v>11</v>
      </c>
      <c r="S5" s="3">
        <f>Table147[[#This Row],[GA]]/Table147[[#This Row],[GP]]</f>
        <v>3.0731707317073171</v>
      </c>
      <c r="T5" s="2">
        <v>0.92700000000000005</v>
      </c>
      <c r="U5" s="1">
        <v>101</v>
      </c>
      <c r="V5" s="1">
        <v>46.4</v>
      </c>
      <c r="W5" s="1">
        <v>45.9</v>
      </c>
      <c r="X5" s="1">
        <v>141.30000000000001</v>
      </c>
      <c r="Y5" s="3">
        <f>Table1358[[#This Row],[XGF]]/Table147[[#This Row],[GP]]</f>
        <v>1.7231707317073173</v>
      </c>
      <c r="Z5" s="1">
        <v>169.6</v>
      </c>
      <c r="AA5" s="3">
        <f>Table1358[[#This Row],[XGA]]/Table147[[#This Row],[GP]]</f>
        <v>2.0682926829268293</v>
      </c>
      <c r="AB5" s="1">
        <v>50</v>
      </c>
      <c r="AC5" s="2">
        <f>Table1358[[#This Row],[HDGF]]/Table147[[#This Row],[GP]]</f>
        <v>0.6097560975609756</v>
      </c>
      <c r="AD5" s="1">
        <v>61</v>
      </c>
      <c r="AE5" s="2">
        <f>Table1358[[#This Row],[HDGA]]/Table147[[#This Row],[GP]]</f>
        <v>0.74390243902439024</v>
      </c>
      <c r="AF5" s="1">
        <v>8.6</v>
      </c>
    </row>
    <row r="6" spans="1:32" hidden="1" x14ac:dyDescent="0.35">
      <c r="A6" t="s">
        <v>56</v>
      </c>
      <c r="B6">
        <v>5</v>
      </c>
      <c r="C6" t="s">
        <v>61</v>
      </c>
      <c r="D6" s="1">
        <v>1</v>
      </c>
      <c r="E6" s="1">
        <v>29.4</v>
      </c>
      <c r="F6" s="1">
        <v>82</v>
      </c>
      <c r="G6" s="1">
        <v>113</v>
      </c>
      <c r="H6" s="2">
        <f>Table147[[#This Row],[PTS]]/Table147[[#This Row],[GP]]</f>
        <v>1.3780487804878048</v>
      </c>
      <c r="I6" s="2">
        <v>0.68899999999999995</v>
      </c>
      <c r="J6" s="1">
        <v>305</v>
      </c>
      <c r="K6" s="3">
        <f>Table147[[#This Row],[GF]]/Table147[[#This Row],[GP]]</f>
        <v>3.7195121951219514</v>
      </c>
      <c r="L6" s="1">
        <v>249</v>
      </c>
      <c r="M6" s="1">
        <v>3.04</v>
      </c>
      <c r="N6" s="2">
        <f>(Table147[[#This Row],[GF]]^2)/((Table147[[#This Row],[GF]]^2)+(Table147[[#This Row],[GA]]^2))</f>
        <v>0.60006063499025974</v>
      </c>
      <c r="O6" s="1">
        <v>20.54</v>
      </c>
      <c r="P6" s="1">
        <v>76.14</v>
      </c>
      <c r="Q6" s="1">
        <f>Table147[[#This Row],[PP_PCT]]+Table147[[#This Row],[PK_PCT]]</f>
        <v>96.68</v>
      </c>
      <c r="R6" s="3">
        <v>11.4</v>
      </c>
      <c r="S6" s="3">
        <f>Table147[[#This Row],[GA]]/Table147[[#This Row],[GP]]</f>
        <v>3.0365853658536586</v>
      </c>
      <c r="T6" s="2">
        <v>0.91</v>
      </c>
      <c r="U6" s="1">
        <v>99.7</v>
      </c>
      <c r="V6" s="1">
        <v>43.9</v>
      </c>
      <c r="W6" s="1">
        <v>43.5</v>
      </c>
      <c r="X6" s="1">
        <v>148.6</v>
      </c>
      <c r="Y6" s="3">
        <f>Table1358[[#This Row],[XGF]]/Table147[[#This Row],[GP]]</f>
        <v>1.8121951219512193</v>
      </c>
      <c r="Z6" s="1">
        <v>206.2</v>
      </c>
      <c r="AA6" s="3">
        <f>Table1358[[#This Row],[XGA]]/Table147[[#This Row],[GP]]</f>
        <v>2.5146341463414634</v>
      </c>
      <c r="AB6" s="1">
        <v>66</v>
      </c>
      <c r="AC6" s="2">
        <f>Table1358[[#This Row],[HDGF]]/Table147[[#This Row],[GP]]</f>
        <v>0.80487804878048785</v>
      </c>
      <c r="AD6" s="1">
        <v>95</v>
      </c>
      <c r="AE6" s="2">
        <f>Table1358[[#This Row],[HDGA]]/Table147[[#This Row],[GP]]</f>
        <v>1.1585365853658536</v>
      </c>
      <c r="AF6" s="1">
        <v>10.8</v>
      </c>
    </row>
    <row r="7" spans="1:32" hidden="1" x14ac:dyDescent="0.35">
      <c r="A7" t="s">
        <v>56</v>
      </c>
      <c r="B7">
        <v>6</v>
      </c>
      <c r="C7" t="s">
        <v>62</v>
      </c>
      <c r="D7" s="1">
        <v>1</v>
      </c>
      <c r="E7" s="1">
        <v>28.8</v>
      </c>
      <c r="F7" s="1">
        <v>82</v>
      </c>
      <c r="G7" s="1">
        <v>111</v>
      </c>
      <c r="H7" s="2">
        <f>Table147[[#This Row],[PTS]]/Table147[[#This Row],[GP]]</f>
        <v>1.3536585365853659</v>
      </c>
      <c r="I7" s="2">
        <v>0.67700000000000005</v>
      </c>
      <c r="J7" s="1">
        <v>291</v>
      </c>
      <c r="K7" s="3">
        <f>Table147[[#This Row],[GF]]/Table147[[#This Row],[GP]]</f>
        <v>3.5487804878048781</v>
      </c>
      <c r="L7" s="1">
        <v>206</v>
      </c>
      <c r="M7" s="1">
        <v>2.5099999999999998</v>
      </c>
      <c r="N7" s="2">
        <f>(Table147[[#This Row],[GF]]^2)/((Table147[[#This Row],[GF]]^2)+(Table147[[#This Row],[GA]]^2))</f>
        <v>0.66616581574455025</v>
      </c>
      <c r="O7" s="1">
        <v>22.88</v>
      </c>
      <c r="P7" s="1">
        <v>83.2</v>
      </c>
      <c r="Q7" s="1">
        <f>Table147[[#This Row],[PP_PCT]]+Table147[[#This Row],[PK_PCT]]</f>
        <v>106.08</v>
      </c>
      <c r="R7" s="3">
        <v>10</v>
      </c>
      <c r="S7" s="3">
        <f>Table147[[#This Row],[GA]]/Table147[[#This Row],[GP]]</f>
        <v>2.5121951219512195</v>
      </c>
      <c r="T7" s="2">
        <v>0.92</v>
      </c>
      <c r="U7" s="1">
        <v>100.4</v>
      </c>
      <c r="V7" s="1">
        <v>45</v>
      </c>
      <c r="W7" s="1">
        <v>44.6</v>
      </c>
      <c r="X7" s="1">
        <v>153.9</v>
      </c>
      <c r="Y7" s="3">
        <f>Table1358[[#This Row],[XGF]]/Table147[[#This Row],[GP]]</f>
        <v>1.876829268292683</v>
      </c>
      <c r="Z7" s="1">
        <v>193</v>
      </c>
      <c r="AA7" s="3">
        <f>Table1358[[#This Row],[XGA]]/Table147[[#This Row],[GP]]</f>
        <v>2.3536585365853657</v>
      </c>
      <c r="AB7" s="1">
        <v>60</v>
      </c>
      <c r="AC7" s="2">
        <f>Table1358[[#This Row],[HDGF]]/Table147[[#This Row],[GP]]</f>
        <v>0.73170731707317072</v>
      </c>
      <c r="AD7" s="1">
        <v>72</v>
      </c>
      <c r="AE7" s="2">
        <f>Table1358[[#This Row],[HDGA]]/Table147[[#This Row],[GP]]</f>
        <v>0.87804878048780488</v>
      </c>
      <c r="AF7" s="1">
        <v>9.1</v>
      </c>
    </row>
    <row r="8" spans="1:32" hidden="1" x14ac:dyDescent="0.35">
      <c r="A8" t="s">
        <v>56</v>
      </c>
      <c r="B8">
        <v>7</v>
      </c>
      <c r="C8" t="s">
        <v>63</v>
      </c>
      <c r="D8" s="1">
        <v>1</v>
      </c>
      <c r="E8" s="1">
        <v>29.6</v>
      </c>
      <c r="F8" s="1">
        <v>82</v>
      </c>
      <c r="G8" s="1">
        <v>110</v>
      </c>
      <c r="H8" s="2">
        <f>Table147[[#This Row],[PTS]]/Table147[[#This Row],[GP]]</f>
        <v>1.3414634146341464</v>
      </c>
      <c r="I8" s="2">
        <v>0.67100000000000004</v>
      </c>
      <c r="J8" s="1">
        <v>285</v>
      </c>
      <c r="K8" s="3">
        <f>Table147[[#This Row],[GF]]/Table147[[#This Row],[GP]]</f>
        <v>3.475609756097561</v>
      </c>
      <c r="L8" s="1">
        <v>228</v>
      </c>
      <c r="M8" s="1">
        <v>2.78</v>
      </c>
      <c r="N8" s="2">
        <f>(Table147[[#This Row],[GF]]^2)/((Table147[[#This Row],[GF]]^2)+(Table147[[#This Row],[GA]]^2))</f>
        <v>0.6097560975609756</v>
      </c>
      <c r="O8" s="1">
        <v>23.94</v>
      </c>
      <c r="P8" s="1">
        <v>80.56</v>
      </c>
      <c r="Q8" s="1">
        <f>Table147[[#This Row],[PP_PCT]]+Table147[[#This Row],[PK_PCT]]</f>
        <v>104.5</v>
      </c>
      <c r="R8" s="3">
        <v>11.2</v>
      </c>
      <c r="S8" s="3">
        <f>Table147[[#This Row],[GA]]/Table147[[#This Row],[GP]]</f>
        <v>2.7804878048780486</v>
      </c>
      <c r="T8" s="2">
        <v>0.92</v>
      </c>
      <c r="U8" s="1">
        <v>100.8</v>
      </c>
      <c r="V8" s="1">
        <v>49</v>
      </c>
      <c r="W8" s="1">
        <v>47.8</v>
      </c>
      <c r="X8" s="1">
        <v>160.9</v>
      </c>
      <c r="Y8" s="3">
        <f>Table1358[[#This Row],[XGF]]/Table147[[#This Row],[GP]]</f>
        <v>1.9621951219512195</v>
      </c>
      <c r="Z8" s="1">
        <v>180.1</v>
      </c>
      <c r="AA8" s="3">
        <f>Table1358[[#This Row],[XGA]]/Table147[[#This Row],[GP]]</f>
        <v>2.1963414634146341</v>
      </c>
      <c r="AB8" s="1">
        <v>67</v>
      </c>
      <c r="AC8" s="2">
        <f>Table1358[[#This Row],[HDGF]]/Table147[[#This Row],[GP]]</f>
        <v>0.81707317073170727</v>
      </c>
      <c r="AD8" s="1">
        <v>63</v>
      </c>
      <c r="AE8" s="2">
        <f>Table1358[[#This Row],[HDGA]]/Table147[[#This Row],[GP]]</f>
        <v>0.76829268292682928</v>
      </c>
      <c r="AF8" s="1">
        <v>11</v>
      </c>
    </row>
    <row r="9" spans="1:32" hidden="1" x14ac:dyDescent="0.35">
      <c r="A9" t="s">
        <v>56</v>
      </c>
      <c r="B9">
        <v>8</v>
      </c>
      <c r="C9" t="s">
        <v>64</v>
      </c>
      <c r="D9" s="1">
        <v>1</v>
      </c>
      <c r="E9" s="1">
        <v>26.7</v>
      </c>
      <c r="F9" s="1">
        <v>82</v>
      </c>
      <c r="G9" s="1">
        <v>110</v>
      </c>
      <c r="H9" s="2">
        <f>Table147[[#This Row],[PTS]]/Table147[[#This Row],[GP]]</f>
        <v>1.3414634146341464</v>
      </c>
      <c r="I9" s="2">
        <v>0.67100000000000004</v>
      </c>
      <c r="J9" s="1">
        <v>250</v>
      </c>
      <c r="K9" s="3">
        <f>Table147[[#This Row],[GF]]/Table147[[#This Row],[GP]]</f>
        <v>3.0487804878048781</v>
      </c>
      <c r="L9" s="1">
        <v>204</v>
      </c>
      <c r="M9" s="1">
        <v>2.4900000000000002</v>
      </c>
      <c r="N9" s="2">
        <f>(Table147[[#This Row],[GF]]^2)/((Table147[[#This Row],[GF]]^2)+(Table147[[#This Row],[GA]]^2))</f>
        <v>0.60029198202005452</v>
      </c>
      <c r="O9" s="1">
        <v>25.23</v>
      </c>
      <c r="P9" s="1">
        <v>82.3</v>
      </c>
      <c r="Q9" s="1">
        <f>Table147[[#This Row],[PP_PCT]]+Table147[[#This Row],[PK_PCT]]</f>
        <v>107.53</v>
      </c>
      <c r="R9" s="3">
        <v>10.5</v>
      </c>
      <c r="S9" s="3">
        <f>Table147[[#This Row],[GA]]/Table147[[#This Row],[GP]]</f>
        <v>2.4878048780487805</v>
      </c>
      <c r="T9" s="2">
        <v>0.92300000000000004</v>
      </c>
      <c r="U9" s="1">
        <v>99.1</v>
      </c>
      <c r="V9" s="1">
        <v>54.5</v>
      </c>
      <c r="W9" s="1">
        <v>55.8</v>
      </c>
      <c r="X9" s="1">
        <v>199.5</v>
      </c>
      <c r="Y9" s="3">
        <f>Table1358[[#This Row],[XGF]]/Table147[[#This Row],[GP]]</f>
        <v>2.4329268292682928</v>
      </c>
      <c r="Z9" s="1">
        <v>143.5</v>
      </c>
      <c r="AA9" s="3">
        <f>Table1358[[#This Row],[XGA]]/Table147[[#This Row],[GP]]</f>
        <v>1.75</v>
      </c>
      <c r="AB9" s="1">
        <v>80</v>
      </c>
      <c r="AC9" s="2">
        <f>Table1358[[#This Row],[HDGF]]/Table147[[#This Row],[GP]]</f>
        <v>0.97560975609756095</v>
      </c>
      <c r="AD9" s="1">
        <v>71</v>
      </c>
      <c r="AE9" s="2">
        <f>Table1358[[#This Row],[HDGA]]/Table147[[#This Row],[GP]]</f>
        <v>0.86585365853658536</v>
      </c>
      <c r="AF9" s="1">
        <v>8.1999999999999993</v>
      </c>
    </row>
    <row r="10" spans="1:32" hidden="1" x14ac:dyDescent="0.35">
      <c r="A10" t="s">
        <v>56</v>
      </c>
      <c r="B10">
        <v>9</v>
      </c>
      <c r="C10" t="s">
        <v>65</v>
      </c>
      <c r="D10" s="1">
        <v>1</v>
      </c>
      <c r="E10" s="1">
        <v>28.8</v>
      </c>
      <c r="F10" s="1">
        <v>82</v>
      </c>
      <c r="G10" s="1">
        <v>109</v>
      </c>
      <c r="H10" s="2">
        <f>Table147[[#This Row],[PTS]]/Table147[[#This Row],[GP]]</f>
        <v>1.3292682926829269</v>
      </c>
      <c r="I10" s="2">
        <v>0.66500000000000004</v>
      </c>
      <c r="J10" s="1">
        <v>309</v>
      </c>
      <c r="K10" s="3">
        <f>Table147[[#This Row],[GF]]/Table147[[#This Row],[GP]]</f>
        <v>3.7682926829268291</v>
      </c>
      <c r="L10" s="1">
        <v>239</v>
      </c>
      <c r="M10" s="1">
        <v>2.91</v>
      </c>
      <c r="N10" s="2">
        <f>(Table147[[#This Row],[GF]]^2)/((Table147[[#This Row],[GF]]^2)+(Table147[[#This Row],[GA]]^2))</f>
        <v>0.62568642612809788</v>
      </c>
      <c r="O10" s="1">
        <v>26.97</v>
      </c>
      <c r="P10" s="1">
        <v>84.09</v>
      </c>
      <c r="Q10" s="1">
        <f>Table147[[#This Row],[PP_PCT]]+Table147[[#This Row],[PK_PCT]]</f>
        <v>111.06</v>
      </c>
      <c r="R10" s="3">
        <v>12.4</v>
      </c>
      <c r="S10" s="3">
        <f>Table147[[#This Row],[GA]]/Table147[[#This Row],[GP]]</f>
        <v>2.9146341463414633</v>
      </c>
      <c r="T10" s="2">
        <v>0.94</v>
      </c>
      <c r="U10" s="1">
        <v>103</v>
      </c>
      <c r="V10" s="1">
        <v>51.5</v>
      </c>
      <c r="W10" s="1">
        <v>52.1</v>
      </c>
      <c r="X10" s="1">
        <v>190.6</v>
      </c>
      <c r="Y10" s="3">
        <f>Table1358[[#This Row],[XGF]]/Table147[[#This Row],[GP]]</f>
        <v>2.3243902439024389</v>
      </c>
      <c r="Z10" s="1">
        <v>164.2</v>
      </c>
      <c r="AA10" s="3">
        <f>Table1358[[#This Row],[XGA]]/Table147[[#This Row],[GP]]</f>
        <v>2.0024390243902439</v>
      </c>
      <c r="AB10" s="1">
        <v>65</v>
      </c>
      <c r="AC10" s="2">
        <f>Table1358[[#This Row],[HDGF]]/Table147[[#This Row],[GP]]</f>
        <v>0.79268292682926833</v>
      </c>
      <c r="AD10" s="1">
        <v>49</v>
      </c>
      <c r="AE10" s="2">
        <f>Table1358[[#This Row],[HDGA]]/Table147[[#This Row],[GP]]</f>
        <v>0.59756097560975607</v>
      </c>
      <c r="AF10" s="1">
        <v>7.5</v>
      </c>
    </row>
    <row r="11" spans="1:32" hidden="1" x14ac:dyDescent="0.35">
      <c r="A11" t="s">
        <v>56</v>
      </c>
      <c r="B11">
        <v>10</v>
      </c>
      <c r="C11" t="s">
        <v>66</v>
      </c>
      <c r="D11" s="1">
        <v>1</v>
      </c>
      <c r="E11" s="1">
        <v>28.5</v>
      </c>
      <c r="F11" s="1">
        <v>82</v>
      </c>
      <c r="G11" s="1">
        <v>107</v>
      </c>
      <c r="H11" s="2">
        <f>Table147[[#This Row],[PTS]]/Table147[[#This Row],[GP]]</f>
        <v>1.3048780487804879</v>
      </c>
      <c r="I11" s="2">
        <v>0.65200000000000002</v>
      </c>
      <c r="J11" s="1">
        <v>253</v>
      </c>
      <c r="K11" s="3">
        <f>Table147[[#This Row],[GF]]/Table147[[#This Row],[GP]]</f>
        <v>3.0853658536585367</v>
      </c>
      <c r="L11" s="1">
        <v>218</v>
      </c>
      <c r="M11" s="1">
        <v>2.66</v>
      </c>
      <c r="N11" s="2">
        <f>(Table147[[#This Row],[GF]]^2)/((Table147[[#This Row],[GF]]^2)+(Table147[[#This Row],[GA]]^2))</f>
        <v>0.5739018945065586</v>
      </c>
      <c r="O11" s="1">
        <v>21.19</v>
      </c>
      <c r="P11" s="1">
        <v>81.3</v>
      </c>
      <c r="Q11" s="1">
        <f>Table147[[#This Row],[PP_PCT]]+Table147[[#This Row],[PK_PCT]]</f>
        <v>102.49</v>
      </c>
      <c r="R11" s="3">
        <v>8.5</v>
      </c>
      <c r="S11" s="3">
        <f>Table147[[#This Row],[GA]]/Table147[[#This Row],[GP]]</f>
        <v>2.6585365853658538</v>
      </c>
      <c r="T11" s="2">
        <v>0.93400000000000005</v>
      </c>
      <c r="U11" s="1">
        <v>102.3</v>
      </c>
      <c r="V11" s="1">
        <v>47.7</v>
      </c>
      <c r="W11" s="1">
        <v>47.5</v>
      </c>
      <c r="X11" s="1">
        <v>169.7</v>
      </c>
      <c r="Y11" s="3">
        <f>Table1358[[#This Row],[XGF]]/Table147[[#This Row],[GP]]</f>
        <v>2.0695121951219511</v>
      </c>
      <c r="Z11" s="1">
        <v>163.4</v>
      </c>
      <c r="AA11" s="3">
        <f>Table1358[[#This Row],[XGA]]/Table147[[#This Row],[GP]]</f>
        <v>1.9926829268292683</v>
      </c>
      <c r="AB11" s="1">
        <v>81</v>
      </c>
      <c r="AC11" s="2">
        <f>Table1358[[#This Row],[HDGF]]/Table147[[#This Row],[GP]]</f>
        <v>0.98780487804878048</v>
      </c>
      <c r="AD11" s="1">
        <v>76</v>
      </c>
      <c r="AE11" s="2">
        <f>Table1358[[#This Row],[HDGA]]/Table147[[#This Row],[GP]]</f>
        <v>0.92682926829268297</v>
      </c>
      <c r="AF11" s="1">
        <v>9.9</v>
      </c>
    </row>
    <row r="12" spans="1:32" hidden="1" x14ac:dyDescent="0.35">
      <c r="A12" t="s">
        <v>56</v>
      </c>
      <c r="B12">
        <v>11</v>
      </c>
      <c r="C12" t="s">
        <v>67</v>
      </c>
      <c r="D12" s="1">
        <v>1</v>
      </c>
      <c r="E12" s="1">
        <v>29.1</v>
      </c>
      <c r="F12" s="1">
        <v>82</v>
      </c>
      <c r="G12" s="1">
        <v>104</v>
      </c>
      <c r="H12" s="2">
        <f>Table147[[#This Row],[PTS]]/Table147[[#This Row],[GP]]</f>
        <v>1.2682926829268293</v>
      </c>
      <c r="I12" s="2">
        <v>0.63400000000000001</v>
      </c>
      <c r="J12" s="1">
        <v>285</v>
      </c>
      <c r="K12" s="3">
        <f>Table147[[#This Row],[GF]]/Table147[[#This Row],[GP]]</f>
        <v>3.475609756097561</v>
      </c>
      <c r="L12" s="1">
        <v>251</v>
      </c>
      <c r="M12" s="1">
        <v>3.06</v>
      </c>
      <c r="N12" s="2">
        <f>(Table147[[#This Row],[GF]]^2)/((Table147[[#This Row],[GF]]^2)+(Table147[[#This Row],[GA]]^2))</f>
        <v>0.56317862243978201</v>
      </c>
      <c r="O12" s="1">
        <v>25.96</v>
      </c>
      <c r="P12" s="1">
        <v>79.37</v>
      </c>
      <c r="Q12" s="1">
        <f>Table147[[#This Row],[PP_PCT]]+Table147[[#This Row],[PK_PCT]]</f>
        <v>105.33000000000001</v>
      </c>
      <c r="R12" s="3">
        <v>10.199999999999999</v>
      </c>
      <c r="S12" s="3">
        <f>Table147[[#This Row],[GA]]/Table147[[#This Row],[GP]]</f>
        <v>3.0609756097560976</v>
      </c>
      <c r="T12" s="2">
        <v>0.91700000000000004</v>
      </c>
      <c r="U12" s="1">
        <v>99.8</v>
      </c>
      <c r="V12" s="1">
        <v>48.6</v>
      </c>
      <c r="W12" s="1">
        <v>47.5</v>
      </c>
      <c r="X12" s="1">
        <v>128.9</v>
      </c>
      <c r="Y12" s="3">
        <f>Table1358[[#This Row],[XGF]]/Table147[[#This Row],[GP]]</f>
        <v>1.5719512195121952</v>
      </c>
      <c r="Z12" s="1">
        <v>145.19999999999999</v>
      </c>
      <c r="AA12" s="3">
        <f>Table1358[[#This Row],[XGA]]/Table147[[#This Row],[GP]]</f>
        <v>1.770731707317073</v>
      </c>
      <c r="AB12" s="1">
        <v>51</v>
      </c>
      <c r="AC12" s="2">
        <f>Table1358[[#This Row],[HDGF]]/Table147[[#This Row],[GP]]</f>
        <v>0.62195121951219512</v>
      </c>
      <c r="AD12" s="1">
        <v>48</v>
      </c>
      <c r="AE12" s="2">
        <f>Table1358[[#This Row],[HDGA]]/Table147[[#This Row],[GP]]</f>
        <v>0.58536585365853655</v>
      </c>
      <c r="AF12" s="1">
        <v>8.1</v>
      </c>
    </row>
    <row r="13" spans="1:32" hidden="1" x14ac:dyDescent="0.35">
      <c r="A13" t="s">
        <v>56</v>
      </c>
      <c r="B13">
        <v>12</v>
      </c>
      <c r="C13" t="s">
        <v>68</v>
      </c>
      <c r="D13" s="1">
        <v>1</v>
      </c>
      <c r="E13" s="1">
        <v>29.7</v>
      </c>
      <c r="F13" s="1">
        <v>82</v>
      </c>
      <c r="G13" s="1">
        <v>103</v>
      </c>
      <c r="H13" s="2">
        <f>Table147[[#This Row],[PTS]]/Table147[[#This Row],[GP]]</f>
        <v>1.2560975609756098</v>
      </c>
      <c r="I13" s="2">
        <v>0.628</v>
      </c>
      <c r="J13" s="1">
        <v>269</v>
      </c>
      <c r="K13" s="3">
        <f>Table147[[#This Row],[GF]]/Table147[[#This Row],[GP]]</f>
        <v>3.2804878048780486</v>
      </c>
      <c r="L13" s="1">
        <v>222</v>
      </c>
      <c r="M13" s="1">
        <v>2.71</v>
      </c>
      <c r="N13" s="2">
        <f>(Table147[[#This Row],[GF]]^2)/((Table147[[#This Row],[GF]]^2)+(Table147[[#This Row],[GA]]^2))</f>
        <v>0.59485387808787871</v>
      </c>
      <c r="O13" s="1">
        <v>20.16</v>
      </c>
      <c r="P13" s="1">
        <v>84.43</v>
      </c>
      <c r="Q13" s="1">
        <f>Table147[[#This Row],[PP_PCT]]+Table147[[#This Row],[PK_PCT]]</f>
        <v>104.59</v>
      </c>
      <c r="R13" s="3">
        <v>9.4</v>
      </c>
      <c r="S13" s="3">
        <f>Table147[[#This Row],[GA]]/Table147[[#This Row],[GP]]</f>
        <v>2.7073170731707319</v>
      </c>
      <c r="T13" s="2">
        <v>0.91400000000000003</v>
      </c>
      <c r="U13" s="1">
        <v>99</v>
      </c>
      <c r="V13" s="1">
        <v>48.5</v>
      </c>
      <c r="W13" s="1">
        <v>47.5</v>
      </c>
      <c r="X13" s="1">
        <v>158.5</v>
      </c>
      <c r="Y13" s="3">
        <f>Table1358[[#This Row],[XGF]]/Table147[[#This Row],[GP]]</f>
        <v>1.9329268292682926</v>
      </c>
      <c r="Z13" s="1">
        <v>187</v>
      </c>
      <c r="AA13" s="3">
        <f>Table1358[[#This Row],[XGA]]/Table147[[#This Row],[GP]]</f>
        <v>2.2804878048780486</v>
      </c>
      <c r="AB13" s="1">
        <v>66</v>
      </c>
      <c r="AC13" s="2">
        <f>Table1358[[#This Row],[HDGF]]/Table147[[#This Row],[GP]]</f>
        <v>0.80487804878048785</v>
      </c>
      <c r="AD13" s="1">
        <v>82</v>
      </c>
      <c r="AE13" s="2">
        <f>Table1358[[#This Row],[HDGA]]/Table147[[#This Row],[GP]]</f>
        <v>1</v>
      </c>
      <c r="AF13" s="1">
        <v>6.9</v>
      </c>
    </row>
    <row r="14" spans="1:32" hidden="1" x14ac:dyDescent="0.35">
      <c r="A14" t="s">
        <v>56</v>
      </c>
      <c r="B14">
        <v>13</v>
      </c>
      <c r="C14" t="s">
        <v>69</v>
      </c>
      <c r="D14" s="1">
        <v>1</v>
      </c>
      <c r="E14" s="1">
        <v>29.5</v>
      </c>
      <c r="F14" s="1">
        <v>82</v>
      </c>
      <c r="G14" s="1">
        <v>100</v>
      </c>
      <c r="H14" s="2">
        <f>Table147[[#This Row],[PTS]]/Table147[[#This Row],[GP]]</f>
        <v>1.2195121951219512</v>
      </c>
      <c r="I14" s="2">
        <v>0.61</v>
      </c>
      <c r="J14" s="1">
        <v>270</v>
      </c>
      <c r="K14" s="3">
        <f>Table147[[#This Row],[GF]]/Table147[[#This Row],[GP]]</f>
        <v>3.2926829268292681</v>
      </c>
      <c r="L14" s="1">
        <v>242</v>
      </c>
      <c r="M14" s="1">
        <v>2.95</v>
      </c>
      <c r="N14" s="2">
        <f>(Table147[[#This Row],[GF]]^2)/((Table147[[#This Row],[GF]]^2)+(Table147[[#This Row],[GA]]^2))</f>
        <v>0.55452443254427064</v>
      </c>
      <c r="O14" s="1">
        <v>18.75</v>
      </c>
      <c r="P14" s="1">
        <v>80.44</v>
      </c>
      <c r="Q14" s="1">
        <f>Table147[[#This Row],[PP_PCT]]+Table147[[#This Row],[PK_PCT]]</f>
        <v>99.19</v>
      </c>
      <c r="R14" s="3">
        <v>10.5</v>
      </c>
      <c r="S14" s="3">
        <f>Table147[[#This Row],[GA]]/Table147[[#This Row],[GP]]</f>
        <v>2.9512195121951219</v>
      </c>
      <c r="T14" s="2">
        <v>0.91100000000000003</v>
      </c>
      <c r="U14" s="1">
        <v>99.8</v>
      </c>
      <c r="V14" s="1">
        <v>51.4</v>
      </c>
      <c r="W14" s="1">
        <v>50.3</v>
      </c>
      <c r="X14" s="1">
        <v>194.1</v>
      </c>
      <c r="Y14" s="3">
        <f>Table1358[[#This Row],[XGF]]/Table147[[#This Row],[GP]]</f>
        <v>2.3670731707317074</v>
      </c>
      <c r="Z14" s="1">
        <v>207</v>
      </c>
      <c r="AA14" s="3">
        <f>Table1358[[#This Row],[XGA]]/Table147[[#This Row],[GP]]</f>
        <v>2.524390243902439</v>
      </c>
      <c r="AB14" s="1">
        <v>65</v>
      </c>
      <c r="AC14" s="2">
        <f>Table1358[[#This Row],[HDGF]]/Table147[[#This Row],[GP]]</f>
        <v>0.79268292682926833</v>
      </c>
      <c r="AD14" s="1">
        <v>81</v>
      </c>
      <c r="AE14" s="2">
        <f>Table1358[[#This Row],[HDGA]]/Table147[[#This Row],[GP]]</f>
        <v>0.98780487804878048</v>
      </c>
      <c r="AF14" s="1">
        <v>7.7</v>
      </c>
    </row>
    <row r="15" spans="1:32" hidden="1" x14ac:dyDescent="0.35">
      <c r="A15" t="s">
        <v>56</v>
      </c>
      <c r="B15">
        <v>14</v>
      </c>
      <c r="C15" t="s">
        <v>70</v>
      </c>
      <c r="D15" s="1">
        <v>1</v>
      </c>
      <c r="E15" s="1">
        <v>28</v>
      </c>
      <c r="F15" s="1">
        <v>82</v>
      </c>
      <c r="G15" s="1">
        <v>99</v>
      </c>
      <c r="H15" s="2">
        <f>Table147[[#This Row],[PTS]]/Table147[[#This Row],[GP]]</f>
        <v>1.2073170731707317</v>
      </c>
      <c r="I15" s="2">
        <v>0.60399999999999998</v>
      </c>
      <c r="J15" s="1">
        <v>235</v>
      </c>
      <c r="K15" s="3">
        <f>Table147[[#This Row],[GF]]/Table147[[#This Row],[GP]]</f>
        <v>2.8658536585365852</v>
      </c>
      <c r="L15" s="1">
        <v>232</v>
      </c>
      <c r="M15" s="1">
        <v>2.83</v>
      </c>
      <c r="N15" s="2">
        <f>(Table147[[#This Row],[GF]]^2)/((Table147[[#This Row],[GF]]^2)+(Table147[[#This Row],[GA]]^2))</f>
        <v>0.50642371777824646</v>
      </c>
      <c r="O15" s="1">
        <v>16.13</v>
      </c>
      <c r="P15" s="1">
        <v>76.650000000000006</v>
      </c>
      <c r="Q15" s="1">
        <f>Table147[[#This Row],[PP_PCT]]+Table147[[#This Row],[PK_PCT]]</f>
        <v>92.78</v>
      </c>
      <c r="R15" s="3">
        <v>8.1999999999999993</v>
      </c>
      <c r="S15" s="3">
        <f>Table147[[#This Row],[GA]]/Table147[[#This Row],[GP]]</f>
        <v>2.8292682926829267</v>
      </c>
      <c r="T15" s="2">
        <v>0.92</v>
      </c>
      <c r="U15" s="1">
        <v>100.1</v>
      </c>
      <c r="V15" s="1">
        <v>51.2</v>
      </c>
      <c r="W15" s="1">
        <v>50.6</v>
      </c>
      <c r="X15" s="1">
        <v>168</v>
      </c>
      <c r="Y15" s="3">
        <f>Table1358[[#This Row],[XGF]]/Table147[[#This Row],[GP]]</f>
        <v>2.0487804878048781</v>
      </c>
      <c r="Z15" s="1">
        <v>172.8</v>
      </c>
      <c r="AA15" s="3">
        <f>Table1358[[#This Row],[XGA]]/Table147[[#This Row],[GP]]</f>
        <v>2.1073170731707318</v>
      </c>
      <c r="AB15" s="1">
        <v>57</v>
      </c>
      <c r="AC15" s="2">
        <f>Table1358[[#This Row],[HDGF]]/Table147[[#This Row],[GP]]</f>
        <v>0.69512195121951215</v>
      </c>
      <c r="AD15" s="1">
        <v>63</v>
      </c>
      <c r="AE15" s="2">
        <f>Table1358[[#This Row],[HDGA]]/Table147[[#This Row],[GP]]</f>
        <v>0.76829268292682928</v>
      </c>
      <c r="AF15" s="1">
        <v>7.7</v>
      </c>
    </row>
    <row r="16" spans="1:32" hidden="1" x14ac:dyDescent="0.35">
      <c r="A16" t="s">
        <v>56</v>
      </c>
      <c r="B16">
        <v>15</v>
      </c>
      <c r="C16" t="s">
        <v>71</v>
      </c>
      <c r="D16" s="1">
        <v>1</v>
      </c>
      <c r="E16" s="1">
        <v>29.4</v>
      </c>
      <c r="F16" s="1">
        <v>82</v>
      </c>
      <c r="G16" s="1">
        <v>98</v>
      </c>
      <c r="H16" s="2">
        <f>Table147[[#This Row],[PTS]]/Table147[[#This Row],[GP]]</f>
        <v>1.1951219512195121</v>
      </c>
      <c r="I16" s="2">
        <v>0.59799999999999998</v>
      </c>
      <c r="J16" s="1">
        <v>233</v>
      </c>
      <c r="K16" s="3">
        <f>Table147[[#This Row],[GF]]/Table147[[#This Row],[GP]]</f>
        <v>2.8414634146341462</v>
      </c>
      <c r="L16" s="1">
        <v>244</v>
      </c>
      <c r="M16" s="1">
        <v>2.98</v>
      </c>
      <c r="N16" s="2">
        <f>(Table147[[#This Row],[GF]]^2)/((Table147[[#This Row],[GF]]^2)+(Table147[[#This Row],[GA]]^2))</f>
        <v>0.47695146057544474</v>
      </c>
      <c r="O16" s="1">
        <v>22.41</v>
      </c>
      <c r="P16" s="1">
        <v>79</v>
      </c>
      <c r="Q16" s="1">
        <f>Table147[[#This Row],[PP_PCT]]+Table147[[#This Row],[PK_PCT]]</f>
        <v>101.41</v>
      </c>
      <c r="R16" s="3">
        <v>9.4</v>
      </c>
      <c r="S16" s="3">
        <f>Table147[[#This Row],[GA]]/Table147[[#This Row],[GP]]</f>
        <v>2.975609756097561</v>
      </c>
      <c r="T16" s="2">
        <v>0.90900000000000003</v>
      </c>
      <c r="U16" s="1">
        <v>100.5</v>
      </c>
      <c r="V16" s="1">
        <v>50.8</v>
      </c>
      <c r="W16" s="1">
        <v>49.8</v>
      </c>
      <c r="X16" s="1">
        <v>134.80000000000001</v>
      </c>
      <c r="Y16" s="3">
        <f>Table1358[[#This Row],[XGF]]/Table147[[#This Row],[GP]]</f>
        <v>1.6439024390243904</v>
      </c>
      <c r="Z16" s="1">
        <v>154.1</v>
      </c>
      <c r="AA16" s="3">
        <f>Table1358[[#This Row],[XGA]]/Table147[[#This Row],[GP]]</f>
        <v>1.8792682926829267</v>
      </c>
      <c r="AB16" s="1">
        <v>46</v>
      </c>
      <c r="AC16" s="2">
        <f>Table1358[[#This Row],[HDGF]]/Table147[[#This Row],[GP]]</f>
        <v>0.56097560975609762</v>
      </c>
      <c r="AD16" s="1">
        <v>67</v>
      </c>
      <c r="AE16" s="2">
        <f>Table1358[[#This Row],[HDGA]]/Table147[[#This Row],[GP]]</f>
        <v>0.81707317073170727</v>
      </c>
      <c r="AF16" s="1">
        <v>6.7</v>
      </c>
    </row>
    <row r="17" spans="1:32" hidden="1" x14ac:dyDescent="0.35">
      <c r="A17" t="s">
        <v>56</v>
      </c>
      <c r="B17">
        <v>16</v>
      </c>
      <c r="C17" t="s">
        <v>72</v>
      </c>
      <c r="D17" s="1">
        <v>1</v>
      </c>
      <c r="E17" s="1">
        <v>27.7</v>
      </c>
      <c r="F17" s="1">
        <v>82</v>
      </c>
      <c r="G17" s="1">
        <v>97</v>
      </c>
      <c r="H17" s="2">
        <f>Table147[[#This Row],[PTS]]/Table147[[#This Row],[GP]]</f>
        <v>1.1829268292682926</v>
      </c>
      <c r="I17" s="2">
        <v>0.59099999999999997</v>
      </c>
      <c r="J17" s="1">
        <v>262</v>
      </c>
      <c r="K17" s="3">
        <f>Table147[[#This Row],[GF]]/Table147[[#This Row],[GP]]</f>
        <v>3.1951219512195124</v>
      </c>
      <c r="L17" s="1">
        <v>250</v>
      </c>
      <c r="M17" s="1">
        <v>3.05</v>
      </c>
      <c r="N17" s="2">
        <f>(Table147[[#This Row],[GF]]^2)/((Table147[[#This Row],[GF]]^2)+(Table147[[#This Row],[GA]]^2))</f>
        <v>0.52342463246507653</v>
      </c>
      <c r="O17" s="1">
        <v>24.42</v>
      </c>
      <c r="P17" s="1">
        <v>79.23</v>
      </c>
      <c r="Q17" s="1">
        <f>Table147[[#This Row],[PP_PCT]]+Table147[[#This Row],[PK_PCT]]</f>
        <v>103.65</v>
      </c>
      <c r="R17" s="3">
        <v>10.7</v>
      </c>
      <c r="S17" s="3">
        <f>Table147[[#This Row],[GA]]/Table147[[#This Row],[GP]]</f>
        <v>3.0487804878048781</v>
      </c>
      <c r="T17" s="2">
        <v>0.92900000000000005</v>
      </c>
      <c r="U17" s="1">
        <v>100.9</v>
      </c>
      <c r="V17" s="1">
        <v>55.7</v>
      </c>
      <c r="W17" s="1">
        <v>55.4</v>
      </c>
      <c r="X17" s="1">
        <v>199.1</v>
      </c>
      <c r="Y17" s="3">
        <f>Table1358[[#This Row],[XGF]]/Table147[[#This Row],[GP]]</f>
        <v>2.4280487804878046</v>
      </c>
      <c r="Z17" s="1">
        <v>157</v>
      </c>
      <c r="AA17" s="3">
        <f>Table1358[[#This Row],[XGA]]/Table147[[#This Row],[GP]]</f>
        <v>1.9146341463414633</v>
      </c>
      <c r="AB17" s="1">
        <v>66</v>
      </c>
      <c r="AC17" s="2">
        <f>Table1358[[#This Row],[HDGF]]/Table147[[#This Row],[GP]]</f>
        <v>0.80487804878048785</v>
      </c>
      <c r="AD17" s="1">
        <v>54</v>
      </c>
      <c r="AE17" s="2">
        <f>Table1358[[#This Row],[HDGA]]/Table147[[#This Row],[GP]]</f>
        <v>0.65853658536585369</v>
      </c>
      <c r="AF17" s="1">
        <v>12.6</v>
      </c>
    </row>
    <row r="18" spans="1:32" hidden="1" x14ac:dyDescent="0.35">
      <c r="A18" t="s">
        <v>56</v>
      </c>
      <c r="B18">
        <v>17</v>
      </c>
      <c r="C18" t="s">
        <v>73</v>
      </c>
      <c r="D18" s="1">
        <v>0</v>
      </c>
      <c r="E18" s="1">
        <v>28.5</v>
      </c>
      <c r="F18" s="1">
        <v>82</v>
      </c>
      <c r="G18" s="1">
        <v>94</v>
      </c>
      <c r="H18" s="2">
        <f>Table147[[#This Row],[PTS]]/Table147[[#This Row],[GP]]</f>
        <v>1.1463414634146341</v>
      </c>
      <c r="I18" s="2">
        <v>0.57299999999999995</v>
      </c>
      <c r="J18" s="1">
        <v>262</v>
      </c>
      <c r="K18" s="3">
        <f>Table147[[#This Row],[GF]]/Table147[[#This Row],[GP]]</f>
        <v>3.1951219512195124</v>
      </c>
      <c r="L18" s="1">
        <v>244</v>
      </c>
      <c r="M18" s="1">
        <v>2.98</v>
      </c>
      <c r="N18" s="2">
        <f>(Table147[[#This Row],[GF]]^2)/((Table147[[#This Row],[GF]]^2)+(Table147[[#This Row],[GA]]^2))</f>
        <v>0.53552816352004995</v>
      </c>
      <c r="O18" s="1">
        <v>18.399999999999999</v>
      </c>
      <c r="P18" s="1">
        <v>77.400000000000006</v>
      </c>
      <c r="Q18" s="1">
        <f>Table147[[#This Row],[PP_PCT]]+Table147[[#This Row],[PK_PCT]]</f>
        <v>95.800000000000011</v>
      </c>
      <c r="R18" s="3">
        <v>9.3000000000000007</v>
      </c>
      <c r="S18" s="3">
        <f>Table147[[#This Row],[GA]]/Table147[[#This Row],[GP]]</f>
        <v>2.975609756097561</v>
      </c>
      <c r="T18" s="2">
        <v>0.90900000000000003</v>
      </c>
      <c r="U18" s="1">
        <v>98.4</v>
      </c>
      <c r="V18" s="1">
        <v>57.2</v>
      </c>
      <c r="W18" s="1">
        <v>56.8</v>
      </c>
      <c r="X18" s="1">
        <v>196</v>
      </c>
      <c r="Y18" s="3">
        <f>Table1358[[#This Row],[XGF]]/Table147[[#This Row],[GP]]</f>
        <v>2.3902439024390243</v>
      </c>
      <c r="Z18" s="1">
        <v>161.30000000000001</v>
      </c>
      <c r="AA18" s="3">
        <f>Table1358[[#This Row],[XGA]]/Table147[[#This Row],[GP]]</f>
        <v>1.9670731707317075</v>
      </c>
      <c r="AB18" s="1">
        <v>79</v>
      </c>
      <c r="AC18" s="2">
        <f>Table1358[[#This Row],[HDGF]]/Table147[[#This Row],[GP]]</f>
        <v>0.96341463414634143</v>
      </c>
      <c r="AD18" s="1">
        <v>74</v>
      </c>
      <c r="AE18" s="2">
        <f>Table1358[[#This Row],[HDGA]]/Table147[[#This Row],[GP]]</f>
        <v>0.90243902439024393</v>
      </c>
      <c r="AF18" s="1">
        <v>7.6</v>
      </c>
    </row>
    <row r="19" spans="1:32" hidden="1" x14ac:dyDescent="0.35">
      <c r="A19" t="s">
        <v>56</v>
      </c>
      <c r="B19">
        <v>18</v>
      </c>
      <c r="C19" t="s">
        <v>74</v>
      </c>
      <c r="D19" s="1">
        <v>0</v>
      </c>
      <c r="E19" s="1">
        <v>27.7</v>
      </c>
      <c r="F19" s="1">
        <v>82</v>
      </c>
      <c r="G19" s="1">
        <v>92</v>
      </c>
      <c r="H19" s="2">
        <f>Table147[[#This Row],[PTS]]/Table147[[#This Row],[GP]]</f>
        <v>1.1219512195121952</v>
      </c>
      <c r="I19" s="2">
        <v>0.56100000000000005</v>
      </c>
      <c r="J19" s="1">
        <v>246</v>
      </c>
      <c r="K19" s="3">
        <f>Table147[[#This Row],[GF]]/Table147[[#This Row],[GP]]</f>
        <v>3</v>
      </c>
      <c r="L19" s="1">
        <v>231</v>
      </c>
      <c r="M19" s="1">
        <v>2.82</v>
      </c>
      <c r="N19" s="2">
        <f>(Table147[[#This Row],[GF]]^2)/((Table147[[#This Row],[GF]]^2)+(Table147[[#This Row],[GA]]^2))</f>
        <v>0.53141547459100613</v>
      </c>
      <c r="O19" s="1">
        <v>23.48</v>
      </c>
      <c r="P19" s="1">
        <v>74.89</v>
      </c>
      <c r="Q19" s="1">
        <f>Table147[[#This Row],[PP_PCT]]+Table147[[#This Row],[PK_PCT]]</f>
        <v>98.37</v>
      </c>
      <c r="R19" s="3">
        <v>9.4</v>
      </c>
      <c r="S19" s="3">
        <f>Table147[[#This Row],[GA]]/Table147[[#This Row],[GP]]</f>
        <v>2.8170731707317072</v>
      </c>
      <c r="T19" s="2">
        <v>0.91300000000000003</v>
      </c>
      <c r="U19" s="1">
        <v>99</v>
      </c>
      <c r="V19" s="1">
        <v>51.7</v>
      </c>
      <c r="W19" s="1">
        <v>51.6</v>
      </c>
      <c r="X19" s="1">
        <v>170.3</v>
      </c>
      <c r="Y19" s="3">
        <f>Table1358[[#This Row],[XGF]]/Table147[[#This Row],[GP]]</f>
        <v>2.0768292682926832</v>
      </c>
      <c r="Z19" s="1">
        <v>172.5</v>
      </c>
      <c r="AA19" s="3">
        <f>Table1358[[#This Row],[XGA]]/Table147[[#This Row],[GP]]</f>
        <v>2.1036585365853657</v>
      </c>
      <c r="AB19" s="1">
        <v>63</v>
      </c>
      <c r="AC19" s="2">
        <f>Table1358[[#This Row],[HDGF]]/Table147[[#This Row],[GP]]</f>
        <v>0.76829268292682928</v>
      </c>
      <c r="AD19" s="1">
        <v>61</v>
      </c>
      <c r="AE19" s="2">
        <f>Table1358[[#This Row],[HDGA]]/Table147[[#This Row],[GP]]</f>
        <v>0.74390243902439024</v>
      </c>
      <c r="AF19" s="1">
        <v>8</v>
      </c>
    </row>
    <row r="20" spans="1:32" hidden="1" x14ac:dyDescent="0.35">
      <c r="A20" t="s">
        <v>56</v>
      </c>
      <c r="B20">
        <v>19</v>
      </c>
      <c r="C20" t="s">
        <v>75</v>
      </c>
      <c r="D20" s="1">
        <v>0</v>
      </c>
      <c r="E20" s="1">
        <v>28.2</v>
      </c>
      <c r="F20" s="1">
        <v>82</v>
      </c>
      <c r="G20" s="1">
        <v>89</v>
      </c>
      <c r="H20" s="2">
        <f>Table147[[#This Row],[PTS]]/Table147[[#This Row],[GP]]</f>
        <v>1.0853658536585367</v>
      </c>
      <c r="I20" s="2">
        <v>0.54300000000000004</v>
      </c>
      <c r="J20" s="1">
        <v>250</v>
      </c>
      <c r="K20" s="3">
        <f>Table147[[#This Row],[GF]]/Table147[[#This Row],[GP]]</f>
        <v>3.0487804878048781</v>
      </c>
      <c r="L20" s="1">
        <v>253</v>
      </c>
      <c r="M20" s="1">
        <v>3.09</v>
      </c>
      <c r="N20" s="2">
        <f>(Table147[[#This Row],[GF]]^2)/((Table147[[#This Row],[GF]]^2)+(Table147[[#This Row],[GA]]^2))</f>
        <v>0.49403599743891741</v>
      </c>
      <c r="O20" s="1">
        <v>21.05</v>
      </c>
      <c r="P20" s="1">
        <v>75</v>
      </c>
      <c r="Q20" s="1">
        <f>Table147[[#This Row],[PP_PCT]]+Table147[[#This Row],[PK_PCT]]</f>
        <v>96.05</v>
      </c>
      <c r="R20" s="3">
        <v>9.5</v>
      </c>
      <c r="S20" s="3">
        <f>Table147[[#This Row],[GA]]/Table147[[#This Row],[GP]]</f>
        <v>3.0853658536585367</v>
      </c>
      <c r="T20" s="2">
        <v>0.92900000000000005</v>
      </c>
      <c r="U20" s="1">
        <v>99.3</v>
      </c>
      <c r="V20" s="1">
        <v>52.3</v>
      </c>
      <c r="W20" s="1">
        <v>51.3</v>
      </c>
      <c r="X20" s="1">
        <v>137.30000000000001</v>
      </c>
      <c r="Y20" s="3">
        <f>Table1358[[#This Row],[XGF]]/Table147[[#This Row],[GP]]</f>
        <v>1.6743902439024392</v>
      </c>
      <c r="Z20" s="1">
        <v>146.5</v>
      </c>
      <c r="AA20" s="3">
        <f>Table1358[[#This Row],[XGA]]/Table147[[#This Row],[GP]]</f>
        <v>1.7865853658536586</v>
      </c>
      <c r="AB20" s="1">
        <v>44</v>
      </c>
      <c r="AC20" s="2">
        <f>Table1358[[#This Row],[HDGF]]/Table147[[#This Row],[GP]]</f>
        <v>0.53658536585365857</v>
      </c>
      <c r="AD20" s="1">
        <v>52</v>
      </c>
      <c r="AE20" s="2">
        <f>Table1358[[#This Row],[HDGA]]/Table147[[#This Row],[GP]]</f>
        <v>0.63414634146341464</v>
      </c>
      <c r="AF20" s="1">
        <v>8.8000000000000007</v>
      </c>
    </row>
    <row r="21" spans="1:32" hidden="1" x14ac:dyDescent="0.35">
      <c r="A21" t="s">
        <v>56</v>
      </c>
      <c r="B21">
        <v>20</v>
      </c>
      <c r="C21" t="s">
        <v>76</v>
      </c>
      <c r="D21" s="1">
        <v>0</v>
      </c>
      <c r="E21" s="1">
        <v>30.1</v>
      </c>
      <c r="F21" s="1">
        <v>82</v>
      </c>
      <c r="G21" s="1">
        <v>84</v>
      </c>
      <c r="H21" s="2">
        <f>Table147[[#This Row],[PTS]]/Table147[[#This Row],[GP]]</f>
        <v>1.024390243902439</v>
      </c>
      <c r="I21" s="2">
        <v>0.51200000000000001</v>
      </c>
      <c r="J21" s="1">
        <v>229</v>
      </c>
      <c r="K21" s="3">
        <f>Table147[[#This Row],[GF]]/Table147[[#This Row],[GP]]</f>
        <v>2.7926829268292681</v>
      </c>
      <c r="L21" s="1">
        <v>231</v>
      </c>
      <c r="M21" s="1">
        <v>2.82</v>
      </c>
      <c r="N21" s="2">
        <f>(Table147[[#This Row],[GF]]^2)/((Table147[[#This Row],[GF]]^2)+(Table147[[#This Row],[GA]]^2))</f>
        <v>0.49565225610101887</v>
      </c>
      <c r="O21" s="1">
        <v>22.12</v>
      </c>
      <c r="P21" s="1">
        <v>84.19</v>
      </c>
      <c r="Q21" s="1">
        <f>Table147[[#This Row],[PP_PCT]]+Table147[[#This Row],[PK_PCT]]</f>
        <v>106.31</v>
      </c>
      <c r="R21" s="3">
        <v>9.6999999999999993</v>
      </c>
      <c r="S21" s="3">
        <f>Table147[[#This Row],[GA]]/Table147[[#This Row],[GP]]</f>
        <v>2.8170731707317072</v>
      </c>
      <c r="T21" s="2">
        <v>0.92700000000000005</v>
      </c>
      <c r="U21" s="1">
        <v>100.8</v>
      </c>
      <c r="V21" s="1">
        <v>56.3</v>
      </c>
      <c r="W21" s="1">
        <v>55.9</v>
      </c>
      <c r="X21" s="1">
        <v>187.4</v>
      </c>
      <c r="Y21" s="3">
        <f>Table1358[[#This Row],[XGF]]/Table147[[#This Row],[GP]]</f>
        <v>2.2853658536585368</v>
      </c>
      <c r="Z21" s="1">
        <v>163.69999999999999</v>
      </c>
      <c r="AA21" s="3">
        <f>Table1358[[#This Row],[XGA]]/Table147[[#This Row],[GP]]</f>
        <v>1.9963414634146339</v>
      </c>
      <c r="AB21" s="1">
        <v>90</v>
      </c>
      <c r="AC21" s="2">
        <f>Table1358[[#This Row],[HDGF]]/Table147[[#This Row],[GP]]</f>
        <v>1.0975609756097562</v>
      </c>
      <c r="AD21" s="1">
        <v>66</v>
      </c>
      <c r="AE21" s="2">
        <f>Table1358[[#This Row],[HDGA]]/Table147[[#This Row],[GP]]</f>
        <v>0.80487804878048785</v>
      </c>
      <c r="AF21" s="1">
        <v>8.9</v>
      </c>
    </row>
    <row r="22" spans="1:32" hidden="1" x14ac:dyDescent="0.35">
      <c r="A22" t="s">
        <v>56</v>
      </c>
      <c r="B22">
        <v>21</v>
      </c>
      <c r="C22" t="s">
        <v>77</v>
      </c>
      <c r="D22" s="1">
        <v>0</v>
      </c>
      <c r="E22" s="1">
        <v>26.6</v>
      </c>
      <c r="F22" s="1">
        <v>82</v>
      </c>
      <c r="G22" s="1">
        <v>81</v>
      </c>
      <c r="H22" s="2">
        <f>Table147[[#This Row],[PTS]]/Table147[[#This Row],[GP]]</f>
        <v>0.98780487804878048</v>
      </c>
      <c r="I22" s="2">
        <v>0.49399999999999999</v>
      </c>
      <c r="J22" s="1">
        <v>258</v>
      </c>
      <c r="K22" s="3">
        <f>Table147[[#This Row],[GF]]/Table147[[#This Row],[GP]]</f>
        <v>3.1463414634146343</v>
      </c>
      <c r="L22" s="1">
        <v>297</v>
      </c>
      <c r="M22" s="1">
        <v>3.62</v>
      </c>
      <c r="N22" s="2">
        <f>(Table147[[#This Row],[GF]]^2)/((Table147[[#This Row],[GF]]^2)+(Table147[[#This Row],[GA]]^2))</f>
        <v>0.4300750130836774</v>
      </c>
      <c r="O22" s="1">
        <v>18.64</v>
      </c>
      <c r="P22" s="1">
        <v>78.569999999999993</v>
      </c>
      <c r="Q22" s="1">
        <f>Table147[[#This Row],[PP_PCT]]+Table147[[#This Row],[PK_PCT]]</f>
        <v>97.21</v>
      </c>
      <c r="R22" s="3">
        <v>10.5</v>
      </c>
      <c r="S22" s="3">
        <f>Table147[[#This Row],[GA]]/Table147[[#This Row],[GP]]</f>
        <v>3.6219512195121952</v>
      </c>
      <c r="T22" s="2">
        <v>0.92</v>
      </c>
      <c r="U22" s="1">
        <v>99.3</v>
      </c>
      <c r="V22" s="1">
        <v>60.2</v>
      </c>
      <c r="W22" s="1">
        <v>59.7</v>
      </c>
      <c r="X22" s="1">
        <v>196.3</v>
      </c>
      <c r="Y22" s="3">
        <f>Table1358[[#This Row],[XGF]]/Table147[[#This Row],[GP]]</f>
        <v>2.3939024390243904</v>
      </c>
      <c r="Z22" s="1">
        <v>148.6</v>
      </c>
      <c r="AA22" s="3">
        <f>Table1358[[#This Row],[XGA]]/Table147[[#This Row],[GP]]</f>
        <v>1.8121951219512193</v>
      </c>
      <c r="AB22" s="1">
        <v>72</v>
      </c>
      <c r="AC22" s="2">
        <f>Table1358[[#This Row],[HDGF]]/Table147[[#This Row],[GP]]</f>
        <v>0.87804878048780488</v>
      </c>
      <c r="AD22" s="1">
        <v>39</v>
      </c>
      <c r="AE22" s="2">
        <f>Table1358[[#This Row],[HDGA]]/Table147[[#This Row],[GP]]</f>
        <v>0.47560975609756095</v>
      </c>
      <c r="AF22" s="1">
        <v>7.7</v>
      </c>
    </row>
    <row r="23" spans="1:32" hidden="1" x14ac:dyDescent="0.35">
      <c r="A23" t="s">
        <v>56</v>
      </c>
      <c r="B23">
        <v>22</v>
      </c>
      <c r="C23" t="s">
        <v>78</v>
      </c>
      <c r="D23" s="1">
        <v>0</v>
      </c>
      <c r="E23" s="1">
        <v>29</v>
      </c>
      <c r="F23" s="1">
        <v>82</v>
      </c>
      <c r="G23" s="1">
        <v>77</v>
      </c>
      <c r="H23" s="2">
        <f>Table147[[#This Row],[PTS]]/Table147[[#This Row],[GP]]</f>
        <v>0.93902439024390238</v>
      </c>
      <c r="I23" s="2">
        <v>0.47</v>
      </c>
      <c r="J23" s="1">
        <v>211</v>
      </c>
      <c r="K23" s="3">
        <f>Table147[[#This Row],[GF]]/Table147[[#This Row],[GP]]</f>
        <v>2.5731707317073171</v>
      </c>
      <c r="L23" s="1">
        <v>261</v>
      </c>
      <c r="M23" s="1">
        <v>3.18</v>
      </c>
      <c r="N23" s="2">
        <f>(Table147[[#This Row],[GF]]^2)/((Table147[[#This Row],[GF]]^2)+(Table147[[#This Row],[GA]]^2))</f>
        <v>0.39524333729869854</v>
      </c>
      <c r="O23" s="1">
        <v>18.98</v>
      </c>
      <c r="P23" s="1">
        <v>85.2</v>
      </c>
      <c r="Q23" s="1">
        <f>Table147[[#This Row],[PP_PCT]]+Table147[[#This Row],[PK_PCT]]</f>
        <v>104.18</v>
      </c>
      <c r="R23" s="3">
        <v>8.8000000000000007</v>
      </c>
      <c r="S23" s="3">
        <f>Table147[[#This Row],[GA]]/Table147[[#This Row],[GP]]</f>
        <v>3.1829268292682928</v>
      </c>
      <c r="T23" s="2">
        <v>0.91900000000000004</v>
      </c>
      <c r="U23" s="1">
        <v>99.3</v>
      </c>
      <c r="V23" s="1">
        <v>60.1</v>
      </c>
      <c r="W23" s="1">
        <v>58.5</v>
      </c>
      <c r="X23" s="1">
        <v>172.8</v>
      </c>
      <c r="Y23" s="3">
        <f>Table1358[[#This Row],[XGF]]/Table147[[#This Row],[GP]]</f>
        <v>2.1073170731707318</v>
      </c>
      <c r="Z23" s="1">
        <v>151.5</v>
      </c>
      <c r="AA23" s="3">
        <f>Table1358[[#This Row],[XGA]]/Table147[[#This Row],[GP]]</f>
        <v>1.8475609756097562</v>
      </c>
      <c r="AB23" s="1">
        <v>61</v>
      </c>
      <c r="AC23" s="2">
        <f>Table1358[[#This Row],[HDGF]]/Table147[[#This Row],[GP]]</f>
        <v>0.74390243902439024</v>
      </c>
      <c r="AD23" s="1">
        <v>58</v>
      </c>
      <c r="AE23" s="2">
        <f>Table1358[[#This Row],[HDGA]]/Table147[[#This Row],[GP]]</f>
        <v>0.70731707317073167</v>
      </c>
      <c r="AF23" s="1">
        <v>8.8000000000000007</v>
      </c>
    </row>
    <row r="24" spans="1:32" hidden="1" x14ac:dyDescent="0.35">
      <c r="A24" t="s">
        <v>56</v>
      </c>
      <c r="B24">
        <v>23</v>
      </c>
      <c r="C24" t="s">
        <v>79</v>
      </c>
      <c r="D24" s="1">
        <v>0</v>
      </c>
      <c r="E24" s="1">
        <v>27.9</v>
      </c>
      <c r="F24" s="1">
        <v>82</v>
      </c>
      <c r="G24" s="1">
        <v>76</v>
      </c>
      <c r="H24" s="2">
        <f>Table147[[#This Row],[PTS]]/Table147[[#This Row],[GP]]</f>
        <v>0.92682926829268297</v>
      </c>
      <c r="I24" s="2">
        <v>0.46300000000000002</v>
      </c>
      <c r="J24" s="1">
        <v>228</v>
      </c>
      <c r="K24" s="3">
        <f>Table147[[#This Row],[GF]]/Table147[[#This Row],[GP]]</f>
        <v>2.7804878048780486</v>
      </c>
      <c r="L24" s="1">
        <v>266</v>
      </c>
      <c r="M24" s="1">
        <v>3.24</v>
      </c>
      <c r="N24" s="2">
        <f>(Table147[[#This Row],[GF]]^2)/((Table147[[#This Row],[GF]]^2)+(Table147[[#This Row],[GA]]^2))</f>
        <v>0.42352941176470588</v>
      </c>
      <c r="O24" s="1">
        <v>21.92</v>
      </c>
      <c r="P24" s="1">
        <v>80.8</v>
      </c>
      <c r="Q24" s="1">
        <f>Table147[[#This Row],[PP_PCT]]+Table147[[#This Row],[PK_PCT]]</f>
        <v>102.72</v>
      </c>
      <c r="R24" s="3">
        <v>9.5</v>
      </c>
      <c r="S24" s="3">
        <f>Table147[[#This Row],[GA]]/Table147[[#This Row],[GP]]</f>
        <v>3.2439024390243905</v>
      </c>
      <c r="T24" s="2">
        <v>0.91</v>
      </c>
      <c r="U24" s="1">
        <v>98.9</v>
      </c>
      <c r="V24" s="1">
        <v>59.8</v>
      </c>
      <c r="W24" s="1">
        <v>58.1</v>
      </c>
      <c r="X24" s="1">
        <v>160.30000000000001</v>
      </c>
      <c r="Y24" s="3">
        <f>Table1358[[#This Row],[XGF]]/Table147[[#This Row],[GP]]</f>
        <v>1.954878048780488</v>
      </c>
      <c r="Z24" s="1">
        <v>136.5</v>
      </c>
      <c r="AA24" s="3">
        <f>Table1358[[#This Row],[XGA]]/Table147[[#This Row],[GP]]</f>
        <v>1.6646341463414633</v>
      </c>
      <c r="AB24" s="1">
        <v>49</v>
      </c>
      <c r="AC24" s="2">
        <f>Table1358[[#This Row],[HDGF]]/Table147[[#This Row],[GP]]</f>
        <v>0.59756097560975607</v>
      </c>
      <c r="AD24" s="1">
        <v>45</v>
      </c>
      <c r="AE24" s="2">
        <f>Table1358[[#This Row],[HDGA]]/Table147[[#This Row],[GP]]</f>
        <v>0.54878048780487809</v>
      </c>
      <c r="AF24" s="1">
        <v>9.3000000000000007</v>
      </c>
    </row>
    <row r="25" spans="1:32" hidden="1" x14ac:dyDescent="0.35">
      <c r="A25" t="s">
        <v>56</v>
      </c>
      <c r="B25">
        <v>24</v>
      </c>
      <c r="C25" t="s">
        <v>80</v>
      </c>
      <c r="D25" s="1">
        <v>0</v>
      </c>
      <c r="E25" s="1">
        <v>27.5</v>
      </c>
      <c r="F25" s="1">
        <v>82</v>
      </c>
      <c r="G25" s="1">
        <v>75</v>
      </c>
      <c r="H25" s="2">
        <f>Table147[[#This Row],[PTS]]/Table147[[#This Row],[GP]]</f>
        <v>0.91463414634146345</v>
      </c>
      <c r="I25" s="2">
        <v>0.45700000000000002</v>
      </c>
      <c r="J25" s="1">
        <v>229</v>
      </c>
      <c r="K25" s="3">
        <f>Table147[[#This Row],[GF]]/Table147[[#This Row],[GP]]</f>
        <v>2.7926829268292681</v>
      </c>
      <c r="L25" s="1">
        <v>287</v>
      </c>
      <c r="M25" s="1">
        <v>3.5</v>
      </c>
      <c r="N25" s="2">
        <f>(Table147[[#This Row],[GF]]^2)/((Table147[[#This Row],[GF]]^2)+(Table147[[#This Row],[GA]]^2))</f>
        <v>0.38899933239373935</v>
      </c>
      <c r="O25" s="1">
        <v>21.17</v>
      </c>
      <c r="P25" s="1">
        <v>76.42</v>
      </c>
      <c r="Q25" s="1">
        <f>Table147[[#This Row],[PP_PCT]]+Table147[[#This Row],[PK_PCT]]</f>
        <v>97.59</v>
      </c>
      <c r="R25" s="3">
        <v>9.3000000000000007</v>
      </c>
      <c r="S25" s="3">
        <f>Table147[[#This Row],[GA]]/Table147[[#This Row],[GP]]</f>
        <v>3.5</v>
      </c>
      <c r="T25" s="2">
        <v>0.91700000000000004</v>
      </c>
      <c r="U25" s="1">
        <v>99</v>
      </c>
      <c r="V25" s="1">
        <v>46</v>
      </c>
      <c r="W25" s="1">
        <v>45.9</v>
      </c>
      <c r="X25" s="1">
        <v>157.30000000000001</v>
      </c>
      <c r="Y25" s="3">
        <f>Table1358[[#This Row],[XGF]]/Table147[[#This Row],[GP]]</f>
        <v>1.9182926829268294</v>
      </c>
      <c r="Z25" s="1">
        <v>179</v>
      </c>
      <c r="AA25" s="3">
        <f>Table1358[[#This Row],[XGA]]/Table147[[#This Row],[GP]]</f>
        <v>2.1829268292682928</v>
      </c>
      <c r="AB25" s="1">
        <v>52</v>
      </c>
      <c r="AC25" s="2">
        <f>Table1358[[#This Row],[HDGF]]/Table147[[#This Row],[GP]]</f>
        <v>0.63414634146341464</v>
      </c>
      <c r="AD25" s="1">
        <v>79</v>
      </c>
      <c r="AE25" s="2">
        <f>Table1358[[#This Row],[HDGA]]/Table147[[#This Row],[GP]]</f>
        <v>0.96341463414634143</v>
      </c>
      <c r="AF25" s="1">
        <v>8.1</v>
      </c>
    </row>
    <row r="26" spans="1:32" hidden="1" x14ac:dyDescent="0.35">
      <c r="A26" t="s">
        <v>56</v>
      </c>
      <c r="B26">
        <v>25</v>
      </c>
      <c r="C26" t="s">
        <v>81</v>
      </c>
      <c r="D26" s="1">
        <v>0</v>
      </c>
      <c r="E26" s="1">
        <v>26.9</v>
      </c>
      <c r="F26" s="1">
        <v>82</v>
      </c>
      <c r="G26" s="1">
        <v>74</v>
      </c>
      <c r="H26" s="2">
        <f>Table147[[#This Row],[PTS]]/Table147[[#This Row],[GP]]</f>
        <v>0.90243902439024393</v>
      </c>
      <c r="I26" s="2">
        <v>0.45100000000000001</v>
      </c>
      <c r="J26" s="1">
        <v>227</v>
      </c>
      <c r="K26" s="3">
        <f>Table147[[#This Row],[GF]]/Table147[[#This Row],[GP]]</f>
        <v>2.7682926829268291</v>
      </c>
      <c r="L26" s="1">
        <v>310</v>
      </c>
      <c r="M26" s="1">
        <v>3.78</v>
      </c>
      <c r="N26" s="2">
        <f>(Table147[[#This Row],[GF]]^2)/((Table147[[#This Row],[GF]]^2)+(Table147[[#This Row],[GA]]^2))</f>
        <v>0.34904388704116401</v>
      </c>
      <c r="O26" s="1">
        <v>16.3</v>
      </c>
      <c r="P26" s="1">
        <v>73.78</v>
      </c>
      <c r="Q26" s="1">
        <f>Table147[[#This Row],[PP_PCT]]+Table147[[#This Row],[PK_PCT]]</f>
        <v>90.08</v>
      </c>
      <c r="R26" s="3">
        <v>9.4</v>
      </c>
      <c r="S26" s="3">
        <f>Table147[[#This Row],[GA]]/Table147[[#This Row],[GP]]</f>
        <v>3.7804878048780486</v>
      </c>
      <c r="T26" s="2">
        <v>0.91400000000000003</v>
      </c>
      <c r="U26" s="1">
        <v>98.7</v>
      </c>
      <c r="V26" s="1">
        <v>43.9</v>
      </c>
      <c r="W26" s="1">
        <v>44.1</v>
      </c>
      <c r="X26" s="1">
        <v>153.9</v>
      </c>
      <c r="Y26" s="3">
        <f>Table1358[[#This Row],[XGF]]/Table147[[#This Row],[GP]]</f>
        <v>1.876829268292683</v>
      </c>
      <c r="Z26" s="1">
        <v>208.4</v>
      </c>
      <c r="AA26" s="3">
        <f>Table1358[[#This Row],[XGA]]/Table147[[#This Row],[GP]]</f>
        <v>2.5414634146341464</v>
      </c>
      <c r="AB26" s="1">
        <v>61</v>
      </c>
      <c r="AC26" s="2">
        <f>Table1358[[#This Row],[HDGF]]/Table147[[#This Row],[GP]]</f>
        <v>0.74390243902439024</v>
      </c>
      <c r="AD26" s="1">
        <v>80</v>
      </c>
      <c r="AE26" s="2">
        <f>Table1358[[#This Row],[HDGA]]/Table147[[#This Row],[GP]]</f>
        <v>0.97560975609756095</v>
      </c>
      <c r="AF26" s="1">
        <v>8.9</v>
      </c>
    </row>
    <row r="27" spans="1:32" hidden="1" x14ac:dyDescent="0.35">
      <c r="A27" t="s">
        <v>56</v>
      </c>
      <c r="B27">
        <v>26</v>
      </c>
      <c r="C27" t="s">
        <v>82</v>
      </c>
      <c r="D27" s="1">
        <v>0</v>
      </c>
      <c r="E27" s="1">
        <v>26.6</v>
      </c>
      <c r="F27" s="1">
        <v>82</v>
      </c>
      <c r="G27" s="1">
        <v>73</v>
      </c>
      <c r="H27" s="2">
        <f>Table147[[#This Row],[PTS]]/Table147[[#This Row],[GP]]</f>
        <v>0.8902439024390244</v>
      </c>
      <c r="I27" s="2">
        <v>0.44500000000000001</v>
      </c>
      <c r="J27" s="1">
        <v>224</v>
      </c>
      <c r="K27" s="3">
        <f>Table147[[#This Row],[GF]]/Table147[[#This Row],[GP]]</f>
        <v>2.7317073170731709</v>
      </c>
      <c r="L27" s="1">
        <v>264</v>
      </c>
      <c r="M27" s="1">
        <v>3.22</v>
      </c>
      <c r="N27" s="2">
        <f>(Table147[[#This Row],[GF]]^2)/((Table147[[#This Row],[GF]]^2)+(Table147[[#This Row],[GA]]^2))</f>
        <v>0.41857981847303793</v>
      </c>
      <c r="O27" s="1">
        <v>19.34</v>
      </c>
      <c r="P27" s="1">
        <v>80.319999999999993</v>
      </c>
      <c r="Q27" s="1">
        <f>Table147[[#This Row],[PP_PCT]]+Table147[[#This Row],[PK_PCT]]</f>
        <v>99.66</v>
      </c>
      <c r="R27" s="3">
        <v>9.1</v>
      </c>
      <c r="S27" s="3">
        <f>Table147[[#This Row],[GA]]/Table147[[#This Row],[GP]]</f>
        <v>3.2195121951219514</v>
      </c>
      <c r="T27" s="2">
        <v>0.91500000000000004</v>
      </c>
      <c r="U27" s="1">
        <v>98.1</v>
      </c>
      <c r="V27" s="1">
        <v>44.3</v>
      </c>
      <c r="W27" s="1">
        <v>43.4</v>
      </c>
      <c r="X27" s="1">
        <v>143.80000000000001</v>
      </c>
      <c r="Y27" s="3">
        <f>Table1358[[#This Row],[XGF]]/Table147[[#This Row],[GP]]</f>
        <v>1.7536585365853661</v>
      </c>
      <c r="Z27" s="1">
        <v>194</v>
      </c>
      <c r="AA27" s="3">
        <f>Table1358[[#This Row],[XGA]]/Table147[[#This Row],[GP]]</f>
        <v>2.3658536585365852</v>
      </c>
      <c r="AB27" s="1">
        <v>51</v>
      </c>
      <c r="AC27" s="2">
        <f>Table1358[[#This Row],[HDGF]]/Table147[[#This Row],[GP]]</f>
        <v>0.62195121951219512</v>
      </c>
      <c r="AD27" s="1">
        <v>68</v>
      </c>
      <c r="AE27" s="2">
        <f>Table1358[[#This Row],[HDGA]]/Table147[[#This Row],[GP]]</f>
        <v>0.82926829268292679</v>
      </c>
      <c r="AF27" s="1">
        <v>10</v>
      </c>
    </row>
    <row r="28" spans="1:32" hidden="1" x14ac:dyDescent="0.35">
      <c r="A28" t="s">
        <v>56</v>
      </c>
      <c r="B28">
        <v>27</v>
      </c>
      <c r="C28" t="s">
        <v>83</v>
      </c>
      <c r="D28" s="1">
        <v>0</v>
      </c>
      <c r="E28" s="1">
        <v>28</v>
      </c>
      <c r="F28" s="1">
        <v>82</v>
      </c>
      <c r="G28" s="1">
        <v>68</v>
      </c>
      <c r="H28" s="2">
        <f>Table147[[#This Row],[PTS]]/Table147[[#This Row],[GP]]</f>
        <v>0.82926829268292679</v>
      </c>
      <c r="I28" s="2">
        <v>0.41499999999999998</v>
      </c>
      <c r="J28" s="1">
        <v>213</v>
      </c>
      <c r="K28" s="3">
        <f>Table147[[#This Row],[GF]]/Table147[[#This Row],[GP]]</f>
        <v>2.5975609756097562</v>
      </c>
      <c r="L28" s="1">
        <v>289</v>
      </c>
      <c r="M28" s="1">
        <v>3.52</v>
      </c>
      <c r="N28" s="2">
        <f>(Table147[[#This Row],[GF]]^2)/((Table147[[#This Row],[GF]]^2)+(Table147[[#This Row],[GA]]^2))</f>
        <v>0.35199782760493442</v>
      </c>
      <c r="O28" s="1">
        <v>19.18</v>
      </c>
      <c r="P28" s="1">
        <v>76.23</v>
      </c>
      <c r="Q28" s="1">
        <f>Table147[[#This Row],[PP_PCT]]+Table147[[#This Row],[PK_PCT]]</f>
        <v>95.41</v>
      </c>
      <c r="R28" s="3">
        <v>9</v>
      </c>
      <c r="S28" s="3">
        <f>Table147[[#This Row],[GA]]/Table147[[#This Row],[GP]]</f>
        <v>3.524390243902439</v>
      </c>
      <c r="T28" s="2">
        <v>0.90700000000000003</v>
      </c>
      <c r="U28" s="1">
        <v>99.2</v>
      </c>
      <c r="V28" s="1">
        <v>44.8</v>
      </c>
      <c r="W28" s="1">
        <v>43.7</v>
      </c>
      <c r="X28" s="1">
        <v>129.30000000000001</v>
      </c>
      <c r="Y28" s="3">
        <f>Table1358[[#This Row],[XGF]]/Table147[[#This Row],[GP]]</f>
        <v>1.576829268292683</v>
      </c>
      <c r="Z28" s="1">
        <v>171.5</v>
      </c>
      <c r="AA28" s="3">
        <f>Table1358[[#This Row],[XGA]]/Table147[[#This Row],[GP]]</f>
        <v>2.0914634146341462</v>
      </c>
      <c r="AB28" s="1">
        <v>43</v>
      </c>
      <c r="AC28" s="2">
        <f>Table1358[[#This Row],[HDGF]]/Table147[[#This Row],[GP]]</f>
        <v>0.52439024390243905</v>
      </c>
      <c r="AD28" s="1">
        <v>72</v>
      </c>
      <c r="AE28" s="2">
        <f>Table1358[[#This Row],[HDGA]]/Table147[[#This Row],[GP]]</f>
        <v>0.87804878048780488</v>
      </c>
      <c r="AF28" s="1">
        <v>7.9</v>
      </c>
    </row>
    <row r="29" spans="1:32" hidden="1" x14ac:dyDescent="0.35">
      <c r="A29" t="s">
        <v>56</v>
      </c>
      <c r="B29">
        <v>28</v>
      </c>
      <c r="C29" t="s">
        <v>84</v>
      </c>
      <c r="D29" s="1">
        <v>0</v>
      </c>
      <c r="E29" s="1">
        <v>25.8</v>
      </c>
      <c r="F29" s="1">
        <v>82</v>
      </c>
      <c r="G29" s="1">
        <v>63</v>
      </c>
      <c r="H29" s="2">
        <f>Table147[[#This Row],[PTS]]/Table147[[#This Row],[GP]]</f>
        <v>0.76829268292682928</v>
      </c>
      <c r="I29" s="2">
        <v>0.38400000000000001</v>
      </c>
      <c r="J29" s="1">
        <v>245</v>
      </c>
      <c r="K29" s="3">
        <f>Table147[[#This Row],[GF]]/Table147[[#This Row],[GP]]</f>
        <v>2.9878048780487805</v>
      </c>
      <c r="L29" s="1">
        <v>302</v>
      </c>
      <c r="M29" s="1">
        <v>3.68</v>
      </c>
      <c r="N29" s="2">
        <f>(Table147[[#This Row],[GF]]^2)/((Table147[[#This Row],[GF]]^2)+(Table147[[#This Row],[GA]]^2))</f>
        <v>0.39691461293799468</v>
      </c>
      <c r="O29" s="1">
        <v>15.56</v>
      </c>
      <c r="P29" s="1">
        <v>80.19</v>
      </c>
      <c r="Q29" s="1">
        <f>Table147[[#This Row],[PP_PCT]]+Table147[[#This Row],[PK_PCT]]</f>
        <v>95.75</v>
      </c>
      <c r="R29" s="3">
        <v>9.6</v>
      </c>
      <c r="S29" s="3">
        <f>Table147[[#This Row],[GA]]/Table147[[#This Row],[GP]]</f>
        <v>3.6829268292682928</v>
      </c>
      <c r="T29" s="2">
        <v>0.92700000000000005</v>
      </c>
      <c r="U29" s="1">
        <v>101.2</v>
      </c>
      <c r="V29" s="1">
        <v>53</v>
      </c>
      <c r="W29" s="1">
        <v>52</v>
      </c>
      <c r="X29" s="1">
        <v>187.1</v>
      </c>
      <c r="Y29" s="3">
        <f>Table1358[[#This Row],[XGF]]/Table147[[#This Row],[GP]]</f>
        <v>2.2817073170731708</v>
      </c>
      <c r="Z29" s="1">
        <v>172.9</v>
      </c>
      <c r="AA29" s="3">
        <f>Table1358[[#This Row],[XGA]]/Table147[[#This Row],[GP]]</f>
        <v>2.1085365853658535</v>
      </c>
      <c r="AB29" s="1">
        <v>75</v>
      </c>
      <c r="AC29" s="2">
        <f>Table1358[[#This Row],[HDGF]]/Table147[[#This Row],[GP]]</f>
        <v>0.91463414634146345</v>
      </c>
      <c r="AD29" s="1">
        <v>75</v>
      </c>
      <c r="AE29" s="2">
        <f>Table1358[[#This Row],[HDGA]]/Table147[[#This Row],[GP]]</f>
        <v>0.91463414634146345</v>
      </c>
      <c r="AF29" s="1">
        <v>8.1</v>
      </c>
    </row>
    <row r="30" spans="1:32" hidden="1" x14ac:dyDescent="0.35">
      <c r="A30" t="s">
        <v>56</v>
      </c>
      <c r="B30">
        <v>29</v>
      </c>
      <c r="C30" t="s">
        <v>85</v>
      </c>
      <c r="D30" s="1">
        <v>0</v>
      </c>
      <c r="E30" s="1">
        <v>28.3</v>
      </c>
      <c r="F30" s="1">
        <v>82</v>
      </c>
      <c r="G30" s="1">
        <v>61</v>
      </c>
      <c r="H30" s="2">
        <f>Table147[[#This Row],[PTS]]/Table147[[#This Row],[GP]]</f>
        <v>0.74390243902439024</v>
      </c>
      <c r="I30" s="2">
        <v>0.372</v>
      </c>
      <c r="J30" s="1">
        <v>210</v>
      </c>
      <c r="K30" s="3">
        <f>Table147[[#This Row],[GF]]/Table147[[#This Row],[GP]]</f>
        <v>2.5609756097560976</v>
      </c>
      <c r="L30" s="1">
        <v>294</v>
      </c>
      <c r="M30" s="1">
        <v>3.59</v>
      </c>
      <c r="N30" s="2">
        <f>(Table147[[#This Row],[GF]]^2)/((Table147[[#This Row],[GF]]^2)+(Table147[[#This Row],[GA]]^2))</f>
        <v>0.33783783783783783</v>
      </c>
      <c r="O30" s="1">
        <v>12.55</v>
      </c>
      <c r="P30" s="1">
        <v>75.739999999999995</v>
      </c>
      <c r="Q30" s="1">
        <f>Table147[[#This Row],[PP_PCT]]+Table147[[#This Row],[PK_PCT]]</f>
        <v>88.289999999999992</v>
      </c>
      <c r="R30" s="3">
        <v>8.3000000000000007</v>
      </c>
      <c r="S30" s="3">
        <f>Table147[[#This Row],[GA]]/Table147[[#This Row],[GP]]</f>
        <v>3.5853658536585367</v>
      </c>
      <c r="T30" s="2">
        <v>0.93100000000000005</v>
      </c>
      <c r="U30" s="1">
        <v>100.8</v>
      </c>
      <c r="V30" s="1">
        <v>52.4</v>
      </c>
      <c r="W30" s="1">
        <v>51.6</v>
      </c>
      <c r="X30" s="1">
        <v>190.4</v>
      </c>
      <c r="Y30" s="3">
        <f>Table1358[[#This Row],[XGF]]/Table147[[#This Row],[GP]]</f>
        <v>2.3219512195121954</v>
      </c>
      <c r="Z30" s="1">
        <v>173.6</v>
      </c>
      <c r="AA30" s="3">
        <f>Table1358[[#This Row],[XGA]]/Table147[[#This Row],[GP]]</f>
        <v>2.1170731707317074</v>
      </c>
      <c r="AB30" s="1">
        <v>70</v>
      </c>
      <c r="AC30" s="2">
        <f>Table1358[[#This Row],[HDGF]]/Table147[[#This Row],[GP]]</f>
        <v>0.85365853658536583</v>
      </c>
      <c r="AD30" s="1">
        <v>47</v>
      </c>
      <c r="AE30" s="2">
        <f>Table1358[[#This Row],[HDGA]]/Table147[[#This Row],[GP]]</f>
        <v>0.57317073170731703</v>
      </c>
      <c r="AF30" s="1">
        <v>9</v>
      </c>
    </row>
    <row r="31" spans="1:32" hidden="1" x14ac:dyDescent="0.35">
      <c r="A31" t="s">
        <v>56</v>
      </c>
      <c r="B31">
        <v>30</v>
      </c>
      <c r="C31" t="s">
        <v>86</v>
      </c>
      <c r="D31" s="1">
        <v>0</v>
      </c>
      <c r="E31" s="1">
        <v>28.7</v>
      </c>
      <c r="F31" s="1">
        <v>82</v>
      </c>
      <c r="G31" s="1">
        <v>60</v>
      </c>
      <c r="H31" s="2">
        <f>Table147[[#This Row],[PTS]]/Table147[[#This Row],[GP]]</f>
        <v>0.73170731707317072</v>
      </c>
      <c r="I31" s="2">
        <v>0.36599999999999999</v>
      </c>
      <c r="J31" s="1">
        <v>213</v>
      </c>
      <c r="K31" s="3">
        <f>Table147[[#This Row],[GF]]/Table147[[#This Row],[GP]]</f>
        <v>2.5975609756097562</v>
      </c>
      <c r="L31" s="1">
        <v>284</v>
      </c>
      <c r="M31" s="1">
        <v>3.46</v>
      </c>
      <c r="N31" s="2">
        <f>(Table147[[#This Row],[GF]]^2)/((Table147[[#This Row],[GF]]^2)+(Table147[[#This Row],[GA]]^2))</f>
        <v>0.36</v>
      </c>
      <c r="O31" s="1">
        <v>14.55</v>
      </c>
      <c r="P31" s="1">
        <v>74.89</v>
      </c>
      <c r="Q31" s="1">
        <f>Table147[[#This Row],[PP_PCT]]+Table147[[#This Row],[PK_PCT]]</f>
        <v>89.44</v>
      </c>
      <c r="R31" s="3">
        <v>8.9</v>
      </c>
      <c r="S31" s="3">
        <f>Table147[[#This Row],[GA]]/Table147[[#This Row],[GP]]</f>
        <v>3.4634146341463414</v>
      </c>
      <c r="T31" s="2">
        <v>0.91700000000000004</v>
      </c>
      <c r="U31" s="1">
        <v>100.4</v>
      </c>
      <c r="V31" s="1">
        <v>53.2</v>
      </c>
      <c r="W31" s="1">
        <v>52.1</v>
      </c>
      <c r="X31" s="1">
        <v>184.5</v>
      </c>
      <c r="Y31" s="3">
        <f>Table1358[[#This Row],[XGF]]/Table147[[#This Row],[GP]]</f>
        <v>2.25</v>
      </c>
      <c r="Z31" s="1">
        <v>163.6</v>
      </c>
      <c r="AA31" s="3">
        <f>Table1358[[#This Row],[XGA]]/Table147[[#This Row],[GP]]</f>
        <v>1.9951219512195122</v>
      </c>
      <c r="AB31" s="1">
        <v>64</v>
      </c>
      <c r="AC31" s="2">
        <f>Table1358[[#This Row],[HDGF]]/Table147[[#This Row],[GP]]</f>
        <v>0.78048780487804881</v>
      </c>
      <c r="AD31" s="1">
        <v>70</v>
      </c>
      <c r="AE31" s="2">
        <f>Table1358[[#This Row],[HDGA]]/Table147[[#This Row],[GP]]</f>
        <v>0.85365853658536583</v>
      </c>
      <c r="AF31" s="1">
        <v>8.5</v>
      </c>
    </row>
    <row r="32" spans="1:32" hidden="1" x14ac:dyDescent="0.35">
      <c r="A32" t="s">
        <v>56</v>
      </c>
      <c r="B32">
        <v>31</v>
      </c>
      <c r="C32" t="s">
        <v>87</v>
      </c>
      <c r="D32" s="1">
        <v>0</v>
      </c>
      <c r="E32" s="1">
        <v>28</v>
      </c>
      <c r="F32" s="1">
        <v>82</v>
      </c>
      <c r="G32" s="1">
        <v>57</v>
      </c>
      <c r="H32" s="2">
        <f>Table147[[#This Row],[PTS]]/Table147[[#This Row],[GP]]</f>
        <v>0.69512195121951215</v>
      </c>
      <c r="I32" s="2">
        <v>0.34799999999999998</v>
      </c>
      <c r="J32" s="1">
        <v>206</v>
      </c>
      <c r="K32" s="3">
        <f>Table147[[#This Row],[GF]]/Table147[[#This Row],[GP]]</f>
        <v>2.5121951219512195</v>
      </c>
      <c r="L32" s="1">
        <v>309</v>
      </c>
      <c r="M32" s="1">
        <v>3.77</v>
      </c>
      <c r="N32" s="2">
        <f>(Table147[[#This Row],[GF]]^2)/((Table147[[#This Row],[GF]]^2)+(Table147[[#This Row],[GA]]^2))</f>
        <v>0.30769230769230771</v>
      </c>
      <c r="O32" s="1">
        <v>13.86</v>
      </c>
      <c r="P32" s="1">
        <v>75</v>
      </c>
      <c r="Q32" s="1">
        <f>Table147[[#This Row],[PP_PCT]]+Table147[[#This Row],[PK_PCT]]</f>
        <v>88.86</v>
      </c>
      <c r="R32" s="3">
        <v>9.6999999999999993</v>
      </c>
      <c r="S32" s="3">
        <f>Table147[[#This Row],[GA]]/Table147[[#This Row],[GP]]</f>
        <v>3.7682926829268291</v>
      </c>
      <c r="T32" s="2">
        <v>0.91600000000000004</v>
      </c>
      <c r="U32" s="1">
        <v>99.5</v>
      </c>
      <c r="V32" s="1">
        <v>54.8</v>
      </c>
      <c r="W32" s="1">
        <v>53.7</v>
      </c>
      <c r="X32" s="1">
        <v>163.1</v>
      </c>
      <c r="Y32" s="3">
        <f>Table1358[[#This Row],[XGF]]/Table147[[#This Row],[GP]]</f>
        <v>1.9890243902439024</v>
      </c>
      <c r="Z32" s="1">
        <v>141.9</v>
      </c>
      <c r="AA32" s="3">
        <f>Table1358[[#This Row],[XGA]]/Table147[[#This Row],[GP]]</f>
        <v>1.7304878048780488</v>
      </c>
      <c r="AB32" s="1">
        <v>55</v>
      </c>
      <c r="AC32" s="2">
        <f>Table1358[[#This Row],[HDGF]]/Table147[[#This Row],[GP]]</f>
        <v>0.67073170731707321</v>
      </c>
      <c r="AD32" s="1">
        <v>60</v>
      </c>
      <c r="AE32" s="2">
        <f>Table1358[[#This Row],[HDGA]]/Table147[[#This Row],[GP]]</f>
        <v>0.73170731707317072</v>
      </c>
      <c r="AF32" s="1">
        <v>10.199999999999999</v>
      </c>
    </row>
    <row r="33" spans="1:32" hidden="1" x14ac:dyDescent="0.35">
      <c r="A33" t="s">
        <v>56</v>
      </c>
      <c r="B33">
        <v>32</v>
      </c>
      <c r="C33" t="s">
        <v>88</v>
      </c>
      <c r="D33" s="1">
        <v>0</v>
      </c>
      <c r="E33" s="1">
        <v>27.8</v>
      </c>
      <c r="F33" s="1">
        <v>82</v>
      </c>
      <c r="G33" s="1">
        <v>55</v>
      </c>
      <c r="H33" s="2">
        <f>Table147[[#This Row],[PTS]]/Table147[[#This Row],[GP]]</f>
        <v>0.67073170731707321</v>
      </c>
      <c r="I33" s="2">
        <v>0.33500000000000002</v>
      </c>
      <c r="J33" s="1">
        <v>218</v>
      </c>
      <c r="K33" s="3">
        <f>Table147[[#This Row],[GF]]/Table147[[#This Row],[GP]]</f>
        <v>2.6585365853658538</v>
      </c>
      <c r="L33" s="1">
        <v>317</v>
      </c>
      <c r="M33" s="1">
        <v>3.87</v>
      </c>
      <c r="N33" s="2">
        <f>(Table147[[#This Row],[GF]]^2)/((Table147[[#This Row],[GF]]^2)+(Table147[[#This Row],[GA]]^2))</f>
        <v>0.32107990514346713</v>
      </c>
      <c r="O33" s="1">
        <v>13.71</v>
      </c>
      <c r="P33" s="1">
        <v>75.55</v>
      </c>
      <c r="Q33" s="1">
        <f>Table147[[#This Row],[PP_PCT]]+Table147[[#This Row],[PK_PCT]]</f>
        <v>89.259999999999991</v>
      </c>
      <c r="R33" s="3">
        <v>8.9</v>
      </c>
      <c r="S33" s="3">
        <f>Table147[[#This Row],[GA]]/Table147[[#This Row],[GP]]</f>
        <v>3.8658536585365852</v>
      </c>
      <c r="T33" s="2">
        <v>0.91500000000000004</v>
      </c>
      <c r="U33" s="1">
        <v>99.9</v>
      </c>
      <c r="V33" s="1">
        <v>47.9</v>
      </c>
      <c r="W33" s="1">
        <v>46.8</v>
      </c>
      <c r="X33" s="1">
        <v>162.69999999999999</v>
      </c>
      <c r="Y33" s="3">
        <f>Table1358[[#This Row],[XGF]]/Table147[[#This Row],[GP]]</f>
        <v>1.9841463414634144</v>
      </c>
      <c r="Z33" s="1">
        <v>212.4</v>
      </c>
      <c r="AA33" s="3">
        <f>Table1358[[#This Row],[XGA]]/Table147[[#This Row],[GP]]</f>
        <v>2.5902439024390245</v>
      </c>
      <c r="AB33" s="1">
        <v>73</v>
      </c>
      <c r="AC33" s="2">
        <f>Table1358[[#This Row],[HDGF]]/Table147[[#This Row],[GP]]</f>
        <v>0.8902439024390244</v>
      </c>
      <c r="AD33" s="1">
        <v>71</v>
      </c>
      <c r="AE33" s="2">
        <f>Table1358[[#This Row],[HDGA]]/Table147[[#This Row],[GP]]</f>
        <v>0.86585365853658536</v>
      </c>
      <c r="AF33" s="1">
        <v>10.199999999999999</v>
      </c>
    </row>
    <row r="34" spans="1:32" hidden="1" x14ac:dyDescent="0.35">
      <c r="A34" t="s">
        <v>89</v>
      </c>
      <c r="B34">
        <v>1</v>
      </c>
      <c r="C34" t="s">
        <v>66</v>
      </c>
      <c r="D34" s="1">
        <v>1</v>
      </c>
      <c r="E34" s="1">
        <v>29.5</v>
      </c>
      <c r="F34" s="1">
        <v>82</v>
      </c>
      <c r="G34" s="1">
        <v>135</v>
      </c>
      <c r="H34" s="2">
        <f>Table147[[#This Row],[PTS]]/Table147[[#This Row],[GP]]</f>
        <v>1.6463414634146341</v>
      </c>
      <c r="I34" s="2">
        <v>0.82299999999999995</v>
      </c>
      <c r="J34" s="1">
        <v>301</v>
      </c>
      <c r="K34" s="3">
        <f>Table147[[#This Row],[GF]]/Table147[[#This Row],[GP]]</f>
        <v>3.6707317073170733</v>
      </c>
      <c r="L34" s="1">
        <v>174</v>
      </c>
      <c r="M34" s="1">
        <v>2.12</v>
      </c>
      <c r="N34" s="2">
        <f>(Table147[[#This Row],[GF]]^2)/((Table147[[#This Row],[GF]]^2)+(Table147[[#This Row],[GA]]^2))</f>
        <v>0.74953051448993602</v>
      </c>
      <c r="O34" s="1">
        <v>22.22</v>
      </c>
      <c r="P34" s="1">
        <v>87.28</v>
      </c>
      <c r="Q34" s="1">
        <f>Table147[[#This Row],[PP_PCT]]+Table147[[#This Row],[PK_PCT]]</f>
        <v>109.5</v>
      </c>
      <c r="R34" s="3">
        <v>11.1</v>
      </c>
      <c r="S34" s="3">
        <f>Table147[[#This Row],[GA]]/Table147[[#This Row],[GP]]</f>
        <v>2.1219512195121952</v>
      </c>
      <c r="T34" s="2">
        <v>0.90900000000000003</v>
      </c>
      <c r="U34" s="1">
        <v>98.1</v>
      </c>
      <c r="V34" s="1">
        <v>45</v>
      </c>
      <c r="W34" s="1">
        <v>44.5</v>
      </c>
      <c r="X34" s="1">
        <v>163.30000000000001</v>
      </c>
      <c r="Y34" s="3">
        <f>Table1358[[#This Row],[XGF]]/Table147[[#This Row],[GP]]</f>
        <v>1.9914634146341466</v>
      </c>
      <c r="Z34" s="1">
        <v>209.4</v>
      </c>
      <c r="AA34" s="3">
        <f>Table1358[[#This Row],[XGA]]/Table147[[#This Row],[GP]]</f>
        <v>2.5536585365853659</v>
      </c>
      <c r="AB34" s="1">
        <v>52</v>
      </c>
      <c r="AC34" s="2">
        <f>Table1358[[#This Row],[HDGF]]/Table147[[#This Row],[GP]]</f>
        <v>0.63414634146341464</v>
      </c>
      <c r="AD34" s="1">
        <v>90</v>
      </c>
      <c r="AE34" s="2">
        <f>Table1358[[#This Row],[HDGA]]/Table147[[#This Row],[GP]]</f>
        <v>1.0975609756097562</v>
      </c>
      <c r="AF34" s="1">
        <v>10.5</v>
      </c>
    </row>
    <row r="35" spans="1:32" hidden="1" x14ac:dyDescent="0.35">
      <c r="A35" t="s">
        <v>89</v>
      </c>
      <c r="B35">
        <v>2</v>
      </c>
      <c r="C35" t="s">
        <v>59</v>
      </c>
      <c r="D35" s="1">
        <v>1</v>
      </c>
      <c r="E35" s="1">
        <v>29.3</v>
      </c>
      <c r="F35" s="1">
        <v>82</v>
      </c>
      <c r="G35" s="1">
        <v>113</v>
      </c>
      <c r="H35" s="2">
        <f>Table147[[#This Row],[PTS]]/Table147[[#This Row],[GP]]</f>
        <v>1.3780487804878048</v>
      </c>
      <c r="I35" s="2">
        <v>0.68899999999999995</v>
      </c>
      <c r="J35" s="1">
        <v>262</v>
      </c>
      <c r="K35" s="3">
        <f>Table147[[#This Row],[GF]]/Table147[[#This Row],[GP]]</f>
        <v>3.1951219512195124</v>
      </c>
      <c r="L35" s="1">
        <v>210</v>
      </c>
      <c r="M35" s="1">
        <v>2.56</v>
      </c>
      <c r="N35" s="2">
        <f>(Table147[[#This Row],[GF]]^2)/((Table147[[#This Row],[GF]]^2)+(Table147[[#This Row],[GA]]^2))</f>
        <v>0.6088483644362449</v>
      </c>
      <c r="O35" s="1">
        <v>19.760000000000002</v>
      </c>
      <c r="P35" s="1">
        <v>84.38</v>
      </c>
      <c r="Q35" s="1">
        <f>Table147[[#This Row],[PP_PCT]]+Table147[[#This Row],[PK_PCT]]</f>
        <v>104.14</v>
      </c>
      <c r="R35" s="3">
        <v>9.1999999999999993</v>
      </c>
      <c r="S35" s="3">
        <f>Table147[[#This Row],[GA]]/Table147[[#This Row],[GP]]</f>
        <v>2.5609756097560976</v>
      </c>
      <c r="T35" s="2">
        <v>0.91900000000000004</v>
      </c>
      <c r="U35" s="1">
        <v>100.2</v>
      </c>
      <c r="V35" s="1">
        <v>48.3</v>
      </c>
      <c r="W35" s="1">
        <v>47.4</v>
      </c>
      <c r="X35" s="1">
        <v>165.1</v>
      </c>
      <c r="Y35" s="3">
        <f>Table1358[[#This Row],[XGF]]/Table147[[#This Row],[GP]]</f>
        <v>2.0134146341463413</v>
      </c>
      <c r="Z35" s="1">
        <v>195.1</v>
      </c>
      <c r="AA35" s="3">
        <f>Table1358[[#This Row],[XGA]]/Table147[[#This Row],[GP]]</f>
        <v>2.3792682926829269</v>
      </c>
      <c r="AB35" s="1">
        <v>72</v>
      </c>
      <c r="AC35" s="2">
        <f>Table1358[[#This Row],[HDGF]]/Table147[[#This Row],[GP]]</f>
        <v>0.87804878048780488</v>
      </c>
      <c r="AD35" s="1">
        <v>71</v>
      </c>
      <c r="AE35" s="2">
        <f>Table1358[[#This Row],[HDGA]]/Table147[[#This Row],[GP]]</f>
        <v>0.86585365853658536</v>
      </c>
      <c r="AF35" s="1">
        <v>7.5</v>
      </c>
    </row>
    <row r="36" spans="1:32" hidden="1" x14ac:dyDescent="0.35">
      <c r="A36" t="s">
        <v>89</v>
      </c>
      <c r="B36">
        <v>3</v>
      </c>
      <c r="C36" t="s">
        <v>84</v>
      </c>
      <c r="D36" s="1">
        <v>1</v>
      </c>
      <c r="E36" s="1">
        <v>26.7</v>
      </c>
      <c r="F36" s="1">
        <v>82</v>
      </c>
      <c r="G36" s="1">
        <v>112</v>
      </c>
      <c r="H36" s="2">
        <f>Table147[[#This Row],[PTS]]/Table147[[#This Row],[GP]]</f>
        <v>1.3658536585365855</v>
      </c>
      <c r="I36" s="2">
        <v>0.68300000000000005</v>
      </c>
      <c r="J36" s="1">
        <v>289</v>
      </c>
      <c r="K36" s="3">
        <f>Table147[[#This Row],[GF]]/Table147[[#This Row],[GP]]</f>
        <v>3.524390243902439</v>
      </c>
      <c r="L36" s="1">
        <v>222</v>
      </c>
      <c r="M36" s="1">
        <v>2.71</v>
      </c>
      <c r="N36" s="2">
        <f>(Table147[[#This Row],[GF]]^2)/((Table147[[#This Row],[GF]]^2)+(Table147[[#This Row],[GA]]^2))</f>
        <v>0.62889951432551483</v>
      </c>
      <c r="O36" s="1">
        <v>21.88</v>
      </c>
      <c r="P36" s="1">
        <v>82.61</v>
      </c>
      <c r="Q36" s="1">
        <f>Table147[[#This Row],[PP_PCT]]+Table147[[#This Row],[PK_PCT]]</f>
        <v>104.49</v>
      </c>
      <c r="R36" s="3">
        <v>10.199999999999999</v>
      </c>
      <c r="S36" s="3">
        <f>Table147[[#This Row],[GA]]/Table147[[#This Row],[GP]]</f>
        <v>2.7073170731707319</v>
      </c>
      <c r="T36" s="2">
        <v>0.91500000000000004</v>
      </c>
      <c r="U36" s="1">
        <v>100.7</v>
      </c>
      <c r="V36" s="1">
        <v>49</v>
      </c>
      <c r="W36" s="1">
        <v>48.9</v>
      </c>
      <c r="X36" s="1">
        <v>146.1</v>
      </c>
      <c r="Y36" s="3">
        <f>Table1358[[#This Row],[XGF]]/Table147[[#This Row],[GP]]</f>
        <v>1.7817073170731708</v>
      </c>
      <c r="Z36" s="1">
        <v>157.9</v>
      </c>
      <c r="AA36" s="3">
        <f>Table1358[[#This Row],[XGA]]/Table147[[#This Row],[GP]]</f>
        <v>1.9256097560975611</v>
      </c>
      <c r="AB36" s="1">
        <v>57</v>
      </c>
      <c r="AC36" s="2">
        <f>Table1358[[#This Row],[HDGF]]/Table147[[#This Row],[GP]]</f>
        <v>0.69512195121951215</v>
      </c>
      <c r="AD36" s="1">
        <v>65</v>
      </c>
      <c r="AE36" s="2">
        <f>Table1358[[#This Row],[HDGA]]/Table147[[#This Row],[GP]]</f>
        <v>0.79268292682926833</v>
      </c>
      <c r="AF36" s="1">
        <v>7.7</v>
      </c>
    </row>
    <row r="37" spans="1:32" hidden="1" x14ac:dyDescent="0.35">
      <c r="A37" t="s">
        <v>89</v>
      </c>
      <c r="B37">
        <v>4</v>
      </c>
      <c r="C37" t="s">
        <v>73</v>
      </c>
      <c r="D37" s="1">
        <v>1</v>
      </c>
      <c r="E37" s="1">
        <v>29.1</v>
      </c>
      <c r="F37" s="1">
        <v>82</v>
      </c>
      <c r="G37" s="1">
        <v>111</v>
      </c>
      <c r="H37" s="2">
        <f>Table147[[#This Row],[PTS]]/Table147[[#This Row],[GP]]</f>
        <v>1.3536585365853659</v>
      </c>
      <c r="I37" s="2">
        <v>0.67700000000000005</v>
      </c>
      <c r="J37" s="1">
        <v>267</v>
      </c>
      <c r="K37" s="3">
        <f>Table147[[#This Row],[GF]]/Table147[[#This Row],[GP]]</f>
        <v>3.2560975609756095</v>
      </c>
      <c r="L37" s="1">
        <v>225</v>
      </c>
      <c r="M37" s="1">
        <v>2.74</v>
      </c>
      <c r="N37" s="2">
        <f>(Table147[[#This Row],[GF]]^2)/((Table147[[#This Row],[GF]]^2)+(Table147[[#This Row],[GA]]^2))</f>
        <v>0.58474826517053002</v>
      </c>
      <c r="O37" s="1">
        <v>20.29</v>
      </c>
      <c r="P37" s="1">
        <v>77.44</v>
      </c>
      <c r="Q37" s="1">
        <f>Table147[[#This Row],[PP_PCT]]+Table147[[#This Row],[PK_PCT]]</f>
        <v>97.72999999999999</v>
      </c>
      <c r="R37" s="3">
        <v>10.3</v>
      </c>
      <c r="S37" s="3">
        <f>Table147[[#This Row],[GA]]/Table147[[#This Row],[GP]]</f>
        <v>2.7439024390243905</v>
      </c>
      <c r="T37" s="2">
        <v>0.92500000000000004</v>
      </c>
      <c r="U37" s="1">
        <v>99.7</v>
      </c>
      <c r="V37" s="1">
        <v>48.9</v>
      </c>
      <c r="W37" s="1">
        <v>49.2</v>
      </c>
      <c r="X37" s="1">
        <v>176</v>
      </c>
      <c r="Y37" s="3">
        <f>Table1358[[#This Row],[XGF]]/Table147[[#This Row],[GP]]</f>
        <v>2.1463414634146343</v>
      </c>
      <c r="Z37" s="1">
        <v>172.7</v>
      </c>
      <c r="AA37" s="3">
        <f>Table1358[[#This Row],[XGA]]/Table147[[#This Row],[GP]]</f>
        <v>2.1060975609756096</v>
      </c>
      <c r="AB37" s="1">
        <v>67</v>
      </c>
      <c r="AC37" s="2">
        <f>Table1358[[#This Row],[HDGF]]/Table147[[#This Row],[GP]]</f>
        <v>0.81707317073170727</v>
      </c>
      <c r="AD37" s="1">
        <v>64</v>
      </c>
      <c r="AE37" s="2">
        <f>Table1358[[#This Row],[HDGA]]/Table147[[#This Row],[GP]]</f>
        <v>0.78048780487804881</v>
      </c>
      <c r="AF37" s="1">
        <v>7.2</v>
      </c>
    </row>
    <row r="38" spans="1:32" hidden="1" x14ac:dyDescent="0.35">
      <c r="A38" t="s">
        <v>89</v>
      </c>
      <c r="B38">
        <v>5</v>
      </c>
      <c r="C38" t="s">
        <v>60</v>
      </c>
      <c r="D38" s="1">
        <v>1</v>
      </c>
      <c r="E38" s="1">
        <v>28.6</v>
      </c>
      <c r="F38" s="1">
        <v>82</v>
      </c>
      <c r="G38" s="1">
        <v>111</v>
      </c>
      <c r="H38" s="2">
        <f>Table147[[#This Row],[PTS]]/Table147[[#This Row],[GP]]</f>
        <v>1.3536585365853659</v>
      </c>
      <c r="I38" s="2">
        <v>0.67700000000000005</v>
      </c>
      <c r="J38" s="1">
        <v>278</v>
      </c>
      <c r="K38" s="3">
        <f>Table147[[#This Row],[GF]]/Table147[[#This Row],[GP]]</f>
        <v>3.3902439024390243</v>
      </c>
      <c r="L38" s="1">
        <v>220</v>
      </c>
      <c r="M38" s="1">
        <v>2.68</v>
      </c>
      <c r="N38" s="2">
        <f>(Table147[[#This Row],[GF]]^2)/((Table147[[#This Row],[GF]]^2)+(Table147[[#This Row],[GA]]^2))</f>
        <v>0.61490722765029759</v>
      </c>
      <c r="O38" s="1">
        <v>26.02</v>
      </c>
      <c r="P38" s="1">
        <v>81.849999999999994</v>
      </c>
      <c r="Q38" s="1">
        <f>Table147[[#This Row],[PP_PCT]]+Table147[[#This Row],[PK_PCT]]</f>
        <v>107.86999999999999</v>
      </c>
      <c r="R38" s="3">
        <v>10.6</v>
      </c>
      <c r="S38" s="3">
        <f>Table147[[#This Row],[GA]]/Table147[[#This Row],[GP]]</f>
        <v>2.6829268292682928</v>
      </c>
      <c r="T38" s="2">
        <v>0.92800000000000005</v>
      </c>
      <c r="U38" s="1">
        <v>101</v>
      </c>
      <c r="V38" s="1">
        <v>51.6</v>
      </c>
      <c r="W38" s="1">
        <v>50.7</v>
      </c>
      <c r="X38" s="1">
        <v>181.8</v>
      </c>
      <c r="Y38" s="3">
        <f>Table1358[[#This Row],[XGF]]/Table147[[#This Row],[GP]]</f>
        <v>2.2170731707317075</v>
      </c>
      <c r="Z38" s="1">
        <v>164.6</v>
      </c>
      <c r="AA38" s="3">
        <f>Table1358[[#This Row],[XGA]]/Table147[[#This Row],[GP]]</f>
        <v>2.0073170731707317</v>
      </c>
      <c r="AB38" s="1">
        <v>72</v>
      </c>
      <c r="AC38" s="2">
        <f>Table1358[[#This Row],[HDGF]]/Table147[[#This Row],[GP]]</f>
        <v>0.87804878048780488</v>
      </c>
      <c r="AD38" s="1">
        <v>54</v>
      </c>
      <c r="AE38" s="2">
        <f>Table1358[[#This Row],[HDGA]]/Table147[[#This Row],[GP]]</f>
        <v>0.65853658536585369</v>
      </c>
      <c r="AF38" s="1">
        <v>8.4</v>
      </c>
    </row>
    <row r="39" spans="1:32" hidden="1" x14ac:dyDescent="0.35">
      <c r="A39" t="s">
        <v>89</v>
      </c>
      <c r="B39">
        <v>6</v>
      </c>
      <c r="C39" t="s">
        <v>58</v>
      </c>
      <c r="D39" s="1">
        <v>1</v>
      </c>
      <c r="E39" s="1">
        <v>28.1</v>
      </c>
      <c r="F39" s="1">
        <v>82</v>
      </c>
      <c r="G39" s="1">
        <v>109</v>
      </c>
      <c r="H39" s="2">
        <f>Table147[[#This Row],[PTS]]/Table147[[#This Row],[GP]]</f>
        <v>1.3292682926829269</v>
      </c>
      <c r="I39" s="2">
        <v>0.66500000000000004</v>
      </c>
      <c r="J39" s="1">
        <v>274</v>
      </c>
      <c r="K39" s="3">
        <f>Table147[[#This Row],[GF]]/Table147[[#This Row],[GP]]</f>
        <v>3.3414634146341462</v>
      </c>
      <c r="L39" s="1">
        <v>223</v>
      </c>
      <c r="M39" s="1">
        <v>2.72</v>
      </c>
      <c r="N39" s="2">
        <f>(Table147[[#This Row],[GF]]^2)/((Table147[[#This Row],[GF]]^2)+(Table147[[#This Row],[GA]]^2))</f>
        <v>0.60154641240334927</v>
      </c>
      <c r="O39" s="1">
        <v>24.52</v>
      </c>
      <c r="P39" s="1">
        <v>79.03</v>
      </c>
      <c r="Q39" s="1">
        <f>Table147[[#This Row],[PP_PCT]]+Table147[[#This Row],[PK_PCT]]</f>
        <v>103.55</v>
      </c>
      <c r="R39" s="3">
        <v>10</v>
      </c>
      <c r="S39" s="3">
        <f>Table147[[#This Row],[GA]]/Table147[[#This Row],[GP]]</f>
        <v>2.7195121951219514</v>
      </c>
      <c r="T39" s="2">
        <v>0.91900000000000004</v>
      </c>
      <c r="U39" s="1">
        <v>100.5</v>
      </c>
      <c r="V39" s="1">
        <v>53.7</v>
      </c>
      <c r="W39" s="1">
        <v>53.1</v>
      </c>
      <c r="X39" s="1">
        <v>182.3</v>
      </c>
      <c r="Y39" s="3">
        <f>Table1358[[#This Row],[XGF]]/Table147[[#This Row],[GP]]</f>
        <v>2.223170731707317</v>
      </c>
      <c r="Z39" s="1">
        <v>151.5</v>
      </c>
      <c r="AA39" s="3">
        <f>Table1358[[#This Row],[XGA]]/Table147[[#This Row],[GP]]</f>
        <v>1.8475609756097562</v>
      </c>
      <c r="AB39" s="1">
        <v>73</v>
      </c>
      <c r="AC39" s="2">
        <f>Table1358[[#This Row],[HDGF]]/Table147[[#This Row],[GP]]</f>
        <v>0.8902439024390244</v>
      </c>
      <c r="AD39" s="1">
        <v>71</v>
      </c>
      <c r="AE39" s="2">
        <f>Table1358[[#This Row],[HDGA]]/Table147[[#This Row],[GP]]</f>
        <v>0.86585365853658536</v>
      </c>
      <c r="AF39" s="1">
        <v>8.1999999999999993</v>
      </c>
    </row>
    <row r="40" spans="1:32" hidden="1" x14ac:dyDescent="0.35">
      <c r="A40" t="s">
        <v>89</v>
      </c>
      <c r="B40">
        <v>7</v>
      </c>
      <c r="C40" t="s">
        <v>67</v>
      </c>
      <c r="D40" s="1">
        <v>1</v>
      </c>
      <c r="E40" s="1">
        <v>27.9</v>
      </c>
      <c r="F40" s="1">
        <v>82</v>
      </c>
      <c r="G40" s="1">
        <v>109</v>
      </c>
      <c r="H40" s="2">
        <f>Table147[[#This Row],[PTS]]/Table147[[#This Row],[GP]]</f>
        <v>1.3292682926829269</v>
      </c>
      <c r="I40" s="2">
        <v>0.66500000000000004</v>
      </c>
      <c r="J40" s="1">
        <v>325</v>
      </c>
      <c r="K40" s="3">
        <f>Table147[[#This Row],[GF]]/Table147[[#This Row],[GP]]</f>
        <v>3.9634146341463414</v>
      </c>
      <c r="L40" s="1">
        <v>256</v>
      </c>
      <c r="M40" s="1">
        <v>3.12</v>
      </c>
      <c r="N40" s="2">
        <f>(Table147[[#This Row],[GF]]^2)/((Table147[[#This Row],[GF]]^2)+(Table147[[#This Row],[GA]]^2))</f>
        <v>0.61710903768966063</v>
      </c>
      <c r="O40" s="1">
        <v>32.36</v>
      </c>
      <c r="P40" s="1">
        <v>76.98</v>
      </c>
      <c r="Q40" s="1">
        <f>Table147[[#This Row],[PP_PCT]]+Table147[[#This Row],[PK_PCT]]</f>
        <v>109.34</v>
      </c>
      <c r="R40" s="3">
        <v>11.8</v>
      </c>
      <c r="S40" s="3">
        <f>Table147[[#This Row],[GA]]/Table147[[#This Row],[GP]]</f>
        <v>3.1219512195121952</v>
      </c>
      <c r="T40" s="2">
        <v>0.92400000000000004</v>
      </c>
      <c r="U40" s="1">
        <v>101.6</v>
      </c>
      <c r="V40" s="1">
        <v>50.6</v>
      </c>
      <c r="W40" s="1">
        <v>49.1</v>
      </c>
      <c r="X40" s="1">
        <v>155.1</v>
      </c>
      <c r="Y40" s="3">
        <f>Table1358[[#This Row],[XGF]]/Table147[[#This Row],[GP]]</f>
        <v>1.8914634146341462</v>
      </c>
      <c r="Z40" s="1">
        <v>140</v>
      </c>
      <c r="AA40" s="3">
        <f>Table1358[[#This Row],[XGA]]/Table147[[#This Row],[GP]]</f>
        <v>1.7073170731707317</v>
      </c>
      <c r="AB40" s="1">
        <v>66</v>
      </c>
      <c r="AC40" s="2">
        <f>Table1358[[#This Row],[HDGF]]/Table147[[#This Row],[GP]]</f>
        <v>0.80487804878048785</v>
      </c>
      <c r="AD40" s="1">
        <v>53</v>
      </c>
      <c r="AE40" s="2">
        <f>Table1358[[#This Row],[HDGA]]/Table147[[#This Row],[GP]]</f>
        <v>0.64634146341463417</v>
      </c>
      <c r="AF40" s="1">
        <v>8.6</v>
      </c>
    </row>
    <row r="41" spans="1:32" hidden="1" x14ac:dyDescent="0.35">
      <c r="A41" t="s">
        <v>89</v>
      </c>
      <c r="B41">
        <v>8</v>
      </c>
      <c r="C41" t="s">
        <v>71</v>
      </c>
      <c r="D41" s="1">
        <v>1</v>
      </c>
      <c r="E41" s="1">
        <v>28.4</v>
      </c>
      <c r="F41" s="1">
        <v>82</v>
      </c>
      <c r="G41" s="1">
        <v>108</v>
      </c>
      <c r="H41" s="2">
        <f>Table147[[#This Row],[PTS]]/Table147[[#This Row],[GP]]</f>
        <v>1.3170731707317074</v>
      </c>
      <c r="I41" s="2">
        <v>0.65900000000000003</v>
      </c>
      <c r="J41" s="1">
        <v>281</v>
      </c>
      <c r="K41" s="3">
        <f>Table147[[#This Row],[GF]]/Table147[[#This Row],[GP]]</f>
        <v>3.4268292682926829</v>
      </c>
      <c r="L41" s="1">
        <v>215</v>
      </c>
      <c r="M41" s="1">
        <v>2.62</v>
      </c>
      <c r="N41" s="2">
        <f>(Table147[[#This Row],[GF]]^2)/((Table147[[#This Row],[GF]]^2)+(Table147[[#This Row],[GA]]^2))</f>
        <v>0.63074944482609874</v>
      </c>
      <c r="O41" s="1">
        <v>25</v>
      </c>
      <c r="P41" s="1">
        <v>83.47</v>
      </c>
      <c r="Q41" s="1">
        <f>Table147[[#This Row],[PP_PCT]]+Table147[[#This Row],[PK_PCT]]</f>
        <v>108.47</v>
      </c>
      <c r="R41" s="3">
        <v>10.7</v>
      </c>
      <c r="S41" s="3">
        <f>Table147[[#This Row],[GA]]/Table147[[#This Row],[GP]]</f>
        <v>2.6219512195121952</v>
      </c>
      <c r="T41" s="2">
        <v>0.91400000000000003</v>
      </c>
      <c r="U41" s="1">
        <v>99.4</v>
      </c>
      <c r="V41" s="1">
        <v>46</v>
      </c>
      <c r="W41" s="1">
        <v>45.3</v>
      </c>
      <c r="X41" s="1">
        <v>173.4</v>
      </c>
      <c r="Y41" s="3">
        <f>Table1358[[#This Row],[XGF]]/Table147[[#This Row],[GP]]</f>
        <v>2.1146341463414635</v>
      </c>
      <c r="Z41" s="1">
        <v>206.7</v>
      </c>
      <c r="AA41" s="3">
        <f>Table1358[[#This Row],[XGA]]/Table147[[#This Row],[GP]]</f>
        <v>2.520731707317073</v>
      </c>
      <c r="AB41" s="1">
        <v>65</v>
      </c>
      <c r="AC41" s="2">
        <f>Table1358[[#This Row],[HDGF]]/Table147[[#This Row],[GP]]</f>
        <v>0.79268292682926833</v>
      </c>
      <c r="AD41" s="1">
        <v>79</v>
      </c>
      <c r="AE41" s="2">
        <f>Table1358[[#This Row],[HDGA]]/Table147[[#This Row],[GP]]</f>
        <v>0.96341463414634143</v>
      </c>
      <c r="AF41" s="1">
        <v>7.8</v>
      </c>
    </row>
    <row r="42" spans="1:32" hidden="1" x14ac:dyDescent="0.35">
      <c r="A42" t="s">
        <v>89</v>
      </c>
      <c r="B42">
        <v>9</v>
      </c>
      <c r="C42" t="s">
        <v>64</v>
      </c>
      <c r="D42" s="1">
        <v>1</v>
      </c>
      <c r="E42" s="1">
        <v>27.7</v>
      </c>
      <c r="F42" s="1">
        <v>82</v>
      </c>
      <c r="G42" s="1">
        <v>107</v>
      </c>
      <c r="H42" s="2">
        <f>Table147[[#This Row],[PTS]]/Table147[[#This Row],[GP]]</f>
        <v>1.3048780487804879</v>
      </c>
      <c r="I42" s="2">
        <v>0.65200000000000002</v>
      </c>
      <c r="J42" s="1">
        <v>273</v>
      </c>
      <c r="K42" s="3">
        <f>Table147[[#This Row],[GF]]/Table147[[#This Row],[GP]]</f>
        <v>3.3292682926829267</v>
      </c>
      <c r="L42" s="1">
        <v>216</v>
      </c>
      <c r="M42" s="1">
        <v>2.63</v>
      </c>
      <c r="N42" s="2">
        <f>(Table147[[#This Row],[GF]]^2)/((Table147[[#This Row],[GF]]^2)+(Table147[[#This Row],[GA]]^2))</f>
        <v>0.61500185666542884</v>
      </c>
      <c r="O42" s="1">
        <v>24.08</v>
      </c>
      <c r="P42" s="1">
        <v>81.17</v>
      </c>
      <c r="Q42" s="1">
        <f>Table147[[#This Row],[PP_PCT]]+Table147[[#This Row],[PK_PCT]]</f>
        <v>105.25</v>
      </c>
      <c r="R42" s="3">
        <v>10.6</v>
      </c>
      <c r="S42" s="3">
        <f>Table147[[#This Row],[GA]]/Table147[[#This Row],[GP]]</f>
        <v>2.6341463414634148</v>
      </c>
      <c r="T42" s="2">
        <v>0.91300000000000003</v>
      </c>
      <c r="U42" s="1">
        <v>99.1</v>
      </c>
      <c r="V42" s="1">
        <v>46.1</v>
      </c>
      <c r="W42" s="1">
        <v>46.6</v>
      </c>
      <c r="X42" s="1">
        <v>154</v>
      </c>
      <c r="Y42" s="3">
        <f>Table1358[[#This Row],[XGF]]/Table147[[#This Row],[GP]]</f>
        <v>1.8780487804878048</v>
      </c>
      <c r="Z42" s="1">
        <v>163.4</v>
      </c>
      <c r="AA42" s="3">
        <f>Table1358[[#This Row],[XGA]]/Table147[[#This Row],[GP]]</f>
        <v>1.9926829268292683</v>
      </c>
      <c r="AB42" s="1">
        <v>51</v>
      </c>
      <c r="AC42" s="2">
        <f>Table1358[[#This Row],[HDGF]]/Table147[[#This Row],[GP]]</f>
        <v>0.62195121951219512</v>
      </c>
      <c r="AD42" s="1">
        <v>73</v>
      </c>
      <c r="AE42" s="2">
        <f>Table1358[[#This Row],[HDGA]]/Table147[[#This Row],[GP]]</f>
        <v>0.8902439024390244</v>
      </c>
      <c r="AF42" s="1">
        <v>7.6</v>
      </c>
    </row>
    <row r="43" spans="1:32" hidden="1" x14ac:dyDescent="0.35">
      <c r="A43" t="s">
        <v>89</v>
      </c>
      <c r="B43">
        <v>10</v>
      </c>
      <c r="C43" t="s">
        <v>70</v>
      </c>
      <c r="D43" s="1">
        <v>1</v>
      </c>
      <c r="E43" s="1">
        <v>28.7</v>
      </c>
      <c r="F43" s="1">
        <v>82</v>
      </c>
      <c r="G43" s="1">
        <v>104</v>
      </c>
      <c r="H43" s="2">
        <f>Table147[[#This Row],[PTS]]/Table147[[#This Row],[GP]]</f>
        <v>1.2682926829268293</v>
      </c>
      <c r="I43" s="2">
        <v>0.63400000000000001</v>
      </c>
      <c r="J43" s="1">
        <v>274</v>
      </c>
      <c r="K43" s="3">
        <f>Table147[[#This Row],[GF]]/Table147[[#This Row],[GP]]</f>
        <v>3.3414634146341462</v>
      </c>
      <c r="L43" s="1">
        <v>254</v>
      </c>
      <c r="M43" s="1">
        <v>3.1</v>
      </c>
      <c r="N43" s="2">
        <f>(Table147[[#This Row],[GF]]^2)/((Table147[[#This Row],[GF]]^2)+(Table147[[#This Row],[GA]]^2))</f>
        <v>0.53782451716430746</v>
      </c>
      <c r="O43" s="1">
        <v>25.28</v>
      </c>
      <c r="P43" s="1">
        <v>75.84</v>
      </c>
      <c r="Q43" s="1">
        <f>Table147[[#This Row],[PP_PCT]]+Table147[[#This Row],[PK_PCT]]</f>
        <v>101.12</v>
      </c>
      <c r="R43" s="3">
        <v>10.3</v>
      </c>
      <c r="S43" s="3">
        <f>Table147[[#This Row],[GA]]/Table147[[#This Row],[GP]]</f>
        <v>3.0975609756097562</v>
      </c>
      <c r="T43" s="2">
        <v>0.91500000000000004</v>
      </c>
      <c r="U43" s="1">
        <v>100.7</v>
      </c>
      <c r="V43" s="1">
        <v>46.5</v>
      </c>
      <c r="W43" s="1">
        <v>45.9</v>
      </c>
      <c r="X43" s="1">
        <v>150.6</v>
      </c>
      <c r="Y43" s="3">
        <f>Table1358[[#This Row],[XGF]]/Table147[[#This Row],[GP]]</f>
        <v>1.8365853658536584</v>
      </c>
      <c r="Z43" s="1">
        <v>177</v>
      </c>
      <c r="AA43" s="3">
        <f>Table1358[[#This Row],[XGA]]/Table147[[#This Row],[GP]]</f>
        <v>2.1585365853658538</v>
      </c>
      <c r="AB43" s="1">
        <v>71</v>
      </c>
      <c r="AC43" s="2">
        <f>Table1358[[#This Row],[HDGF]]/Table147[[#This Row],[GP]]</f>
        <v>0.86585365853658536</v>
      </c>
      <c r="AD43" s="1">
        <v>74</v>
      </c>
      <c r="AE43" s="2">
        <f>Table1358[[#This Row],[HDGA]]/Table147[[#This Row],[GP]]</f>
        <v>0.90243902439024393</v>
      </c>
      <c r="AF43" s="1">
        <v>8.6</v>
      </c>
    </row>
    <row r="44" spans="1:32" hidden="1" x14ac:dyDescent="0.35">
      <c r="A44" t="s">
        <v>89</v>
      </c>
      <c r="B44">
        <v>11</v>
      </c>
      <c r="C44" t="s">
        <v>61</v>
      </c>
      <c r="D44" s="1">
        <v>1</v>
      </c>
      <c r="E44" s="1">
        <v>29.3</v>
      </c>
      <c r="F44" s="1">
        <v>82</v>
      </c>
      <c r="G44" s="1">
        <v>103</v>
      </c>
      <c r="H44" s="2">
        <f>Table147[[#This Row],[PTS]]/Table147[[#This Row],[GP]]</f>
        <v>1.2560975609756098</v>
      </c>
      <c r="I44" s="2">
        <v>0.628</v>
      </c>
      <c r="J44" s="1">
        <v>239</v>
      </c>
      <c r="K44" s="3">
        <f>Table147[[#This Row],[GF]]/Table147[[#This Row],[GP]]</f>
        <v>2.9146341463414633</v>
      </c>
      <c r="L44" s="1">
        <v>219</v>
      </c>
      <c r="M44" s="1">
        <v>2.67</v>
      </c>
      <c r="N44" s="2">
        <f>(Table147[[#This Row],[GF]]^2)/((Table147[[#This Row],[GF]]^2)+(Table147[[#This Row],[GA]]^2))</f>
        <v>0.54358500980186897</v>
      </c>
      <c r="O44" s="1">
        <v>21.43</v>
      </c>
      <c r="P44" s="1">
        <v>82.03</v>
      </c>
      <c r="Q44" s="1">
        <f>Table147[[#This Row],[PP_PCT]]+Table147[[#This Row],[PK_PCT]]</f>
        <v>103.46000000000001</v>
      </c>
      <c r="R44" s="3">
        <v>9.4</v>
      </c>
      <c r="S44" s="3">
        <f>Table147[[#This Row],[GA]]/Table147[[#This Row],[GP]]</f>
        <v>2.6707317073170733</v>
      </c>
      <c r="T44" s="2">
        <v>0.92</v>
      </c>
      <c r="U44" s="1">
        <v>99.4</v>
      </c>
      <c r="V44" s="1">
        <v>48.6</v>
      </c>
      <c r="W44" s="1">
        <v>47.7</v>
      </c>
      <c r="X44" s="1">
        <v>140.5</v>
      </c>
      <c r="Y44" s="3">
        <f>Table1358[[#This Row],[XGF]]/Table147[[#This Row],[GP]]</f>
        <v>1.7134146341463414</v>
      </c>
      <c r="Z44" s="1">
        <v>146.1</v>
      </c>
      <c r="AA44" s="3">
        <f>Table1358[[#This Row],[XGA]]/Table147[[#This Row],[GP]]</f>
        <v>1.7817073170731708</v>
      </c>
      <c r="AB44" s="1">
        <v>41</v>
      </c>
      <c r="AC44" s="2">
        <f>Table1358[[#This Row],[HDGF]]/Table147[[#This Row],[GP]]</f>
        <v>0.5</v>
      </c>
      <c r="AD44" s="1">
        <v>39</v>
      </c>
      <c r="AE44" s="2">
        <f>Table1358[[#This Row],[HDGA]]/Table147[[#This Row],[GP]]</f>
        <v>0.47560975609756095</v>
      </c>
      <c r="AF44" s="1">
        <v>11.3</v>
      </c>
    </row>
    <row r="45" spans="1:32" hidden="1" x14ac:dyDescent="0.35">
      <c r="A45" t="s">
        <v>89</v>
      </c>
      <c r="B45">
        <v>12</v>
      </c>
      <c r="C45" t="s">
        <v>86</v>
      </c>
      <c r="D45" s="1">
        <v>1</v>
      </c>
      <c r="E45" s="1">
        <v>29</v>
      </c>
      <c r="F45" s="1">
        <v>82</v>
      </c>
      <c r="G45" s="1">
        <v>100</v>
      </c>
      <c r="H45" s="2">
        <f>Table147[[#This Row],[PTS]]/Table147[[#This Row],[GP]]</f>
        <v>1.2195121951219512</v>
      </c>
      <c r="I45" s="2">
        <v>0.61</v>
      </c>
      <c r="J45" s="1">
        <v>289</v>
      </c>
      <c r="K45" s="3">
        <f>Table147[[#This Row],[GF]]/Table147[[#This Row],[GP]]</f>
        <v>3.524390243902439</v>
      </c>
      <c r="L45" s="1">
        <v>252</v>
      </c>
      <c r="M45" s="1">
        <v>3.07</v>
      </c>
      <c r="N45" s="2">
        <f>(Table147[[#This Row],[GF]]^2)/((Table147[[#This Row],[GF]]^2)+(Table147[[#This Row],[GA]]^2))</f>
        <v>0.56807345689508582</v>
      </c>
      <c r="O45" s="1">
        <v>19.75</v>
      </c>
      <c r="P45" s="1">
        <v>76.69</v>
      </c>
      <c r="Q45" s="1">
        <f>Table147[[#This Row],[PP_PCT]]+Table147[[#This Row],[PK_PCT]]</f>
        <v>96.44</v>
      </c>
      <c r="R45" s="3">
        <v>11.6</v>
      </c>
      <c r="S45" s="3">
        <f>Table147[[#This Row],[GA]]/Table147[[#This Row],[GP]]</f>
        <v>3.0731707317073171</v>
      </c>
      <c r="T45" s="2">
        <v>0.92100000000000004</v>
      </c>
      <c r="U45" s="1">
        <v>99.9</v>
      </c>
      <c r="V45" s="1">
        <v>52.5</v>
      </c>
      <c r="W45" s="1">
        <v>51.6</v>
      </c>
      <c r="X45" s="1">
        <v>192.1</v>
      </c>
      <c r="Y45" s="3">
        <f>Table1358[[#This Row],[XGF]]/Table147[[#This Row],[GP]]</f>
        <v>2.3426829268292684</v>
      </c>
      <c r="Z45" s="1">
        <v>182.9</v>
      </c>
      <c r="AA45" s="3">
        <f>Table1358[[#This Row],[XGA]]/Table147[[#This Row],[GP]]</f>
        <v>2.2304878048780488</v>
      </c>
      <c r="AB45" s="1">
        <v>86</v>
      </c>
      <c r="AC45" s="2">
        <f>Table1358[[#This Row],[HDGF]]/Table147[[#This Row],[GP]]</f>
        <v>1.0487804878048781</v>
      </c>
      <c r="AD45" s="1">
        <v>67</v>
      </c>
      <c r="AE45" s="2">
        <f>Table1358[[#This Row],[HDGA]]/Table147[[#This Row],[GP]]</f>
        <v>0.81707317073170727</v>
      </c>
      <c r="AF45" s="1">
        <v>8.5</v>
      </c>
    </row>
    <row r="46" spans="1:32" hidden="1" x14ac:dyDescent="0.35">
      <c r="A46" t="s">
        <v>89</v>
      </c>
      <c r="B46">
        <v>13</v>
      </c>
      <c r="C46" t="s">
        <v>63</v>
      </c>
      <c r="D46" s="1">
        <v>1</v>
      </c>
      <c r="E46" s="1">
        <v>29.9</v>
      </c>
      <c r="F46" s="1">
        <v>82</v>
      </c>
      <c r="G46" s="1">
        <v>98</v>
      </c>
      <c r="H46" s="2">
        <f>Table147[[#This Row],[PTS]]/Table147[[#This Row],[GP]]</f>
        <v>1.1951219512195121</v>
      </c>
      <c r="I46" s="2">
        <v>0.59799999999999998</v>
      </c>
      <c r="J46" s="1">
        <v>280</v>
      </c>
      <c r="K46" s="3">
        <f>Table147[[#This Row],[GF]]/Table147[[#This Row],[GP]]</f>
        <v>3.4146341463414633</v>
      </c>
      <c r="L46" s="1">
        <v>252</v>
      </c>
      <c r="M46" s="1">
        <v>3.07</v>
      </c>
      <c r="N46" s="2">
        <f>(Table147[[#This Row],[GF]]^2)/((Table147[[#This Row],[GF]]^2)+(Table147[[#This Row],[GA]]^2))</f>
        <v>0.5524861878453039</v>
      </c>
      <c r="O46" s="1">
        <v>25.36</v>
      </c>
      <c r="P46" s="1">
        <v>79.69</v>
      </c>
      <c r="Q46" s="1">
        <f>Table147[[#This Row],[PP_PCT]]+Table147[[#This Row],[PK_PCT]]</f>
        <v>105.05</v>
      </c>
      <c r="R46" s="3">
        <v>10.7</v>
      </c>
      <c r="S46" s="3">
        <f>Table147[[#This Row],[GA]]/Table147[[#This Row],[GP]]</f>
        <v>3.0731707317073171</v>
      </c>
      <c r="T46" s="2">
        <v>0.92</v>
      </c>
      <c r="U46" s="1">
        <v>100.5</v>
      </c>
      <c r="V46" s="1">
        <v>52.2</v>
      </c>
      <c r="W46" s="1">
        <v>51.6</v>
      </c>
      <c r="X46" s="1">
        <v>203.1</v>
      </c>
      <c r="Y46" s="3">
        <f>Table1358[[#This Row],[XGF]]/Table147[[#This Row],[GP]]</f>
        <v>2.4768292682926827</v>
      </c>
      <c r="Z46" s="1">
        <v>174</v>
      </c>
      <c r="AA46" s="3">
        <f>Table1358[[#This Row],[XGA]]/Table147[[#This Row],[GP]]</f>
        <v>2.1219512195121952</v>
      </c>
      <c r="AB46" s="1">
        <v>70</v>
      </c>
      <c r="AC46" s="2">
        <f>Table1358[[#This Row],[HDGF]]/Table147[[#This Row],[GP]]</f>
        <v>0.85365853658536583</v>
      </c>
      <c r="AD46" s="1">
        <v>71</v>
      </c>
      <c r="AE46" s="2">
        <f>Table1358[[#This Row],[HDGA]]/Table147[[#This Row],[GP]]</f>
        <v>0.86585365853658536</v>
      </c>
      <c r="AF46" s="1">
        <v>12.1</v>
      </c>
    </row>
    <row r="47" spans="1:32" hidden="1" x14ac:dyDescent="0.35">
      <c r="A47" t="s">
        <v>89</v>
      </c>
      <c r="B47">
        <v>14</v>
      </c>
      <c r="C47" t="s">
        <v>75</v>
      </c>
      <c r="D47" s="1">
        <v>1</v>
      </c>
      <c r="E47" s="1">
        <v>28.7</v>
      </c>
      <c r="F47" s="1">
        <v>82</v>
      </c>
      <c r="G47" s="1">
        <v>95</v>
      </c>
      <c r="H47" s="2">
        <f>Table147[[#This Row],[PTS]]/Table147[[#This Row],[GP]]</f>
        <v>1.1585365853658536</v>
      </c>
      <c r="I47" s="2">
        <v>0.57899999999999996</v>
      </c>
      <c r="J47" s="1">
        <v>246</v>
      </c>
      <c r="K47" s="3">
        <f>Table147[[#This Row],[GF]]/Table147[[#This Row],[GP]]</f>
        <v>3</v>
      </c>
      <c r="L47" s="1">
        <v>224</v>
      </c>
      <c r="M47" s="1">
        <v>2.73</v>
      </c>
      <c r="N47" s="2">
        <f>(Table147[[#This Row],[GF]]^2)/((Table147[[#This Row],[GF]]^2)+(Table147[[#This Row],[GA]]^2))</f>
        <v>0.54670617569472046</v>
      </c>
      <c r="O47" s="1">
        <v>19.260000000000002</v>
      </c>
      <c r="P47" s="1">
        <v>82.43</v>
      </c>
      <c r="Q47" s="1">
        <f>Table147[[#This Row],[PP_PCT]]+Table147[[#This Row],[PK_PCT]]</f>
        <v>101.69000000000001</v>
      </c>
      <c r="R47" s="3">
        <v>9.9</v>
      </c>
      <c r="S47" s="3">
        <f>Table147[[#This Row],[GA]]/Table147[[#This Row],[GP]]</f>
        <v>2.7317073170731709</v>
      </c>
      <c r="T47" s="2">
        <v>0.92100000000000004</v>
      </c>
      <c r="U47" s="1">
        <v>100.2</v>
      </c>
      <c r="V47" s="1">
        <v>55.6</v>
      </c>
      <c r="W47" s="1">
        <v>54.8</v>
      </c>
      <c r="X47" s="1">
        <v>209</v>
      </c>
      <c r="Y47" s="3">
        <f>Table1358[[#This Row],[XGF]]/Table147[[#This Row],[GP]]</f>
        <v>2.5487804878048781</v>
      </c>
      <c r="Z47" s="1">
        <v>158.69999999999999</v>
      </c>
      <c r="AA47" s="3">
        <f>Table1358[[#This Row],[XGA]]/Table147[[#This Row],[GP]]</f>
        <v>1.9353658536585365</v>
      </c>
      <c r="AB47" s="1">
        <v>93</v>
      </c>
      <c r="AC47" s="2">
        <f>Table1358[[#This Row],[HDGF]]/Table147[[#This Row],[GP]]</f>
        <v>1.1341463414634145</v>
      </c>
      <c r="AD47" s="1">
        <v>61</v>
      </c>
      <c r="AE47" s="2">
        <f>Table1358[[#This Row],[HDGA]]/Table147[[#This Row],[GP]]</f>
        <v>0.74390243902439024</v>
      </c>
      <c r="AF47" s="1">
        <v>8.5</v>
      </c>
    </row>
    <row r="48" spans="1:32" hidden="1" x14ac:dyDescent="0.35">
      <c r="A48" t="s">
        <v>89</v>
      </c>
      <c r="B48">
        <v>15</v>
      </c>
      <c r="C48" t="s">
        <v>62</v>
      </c>
      <c r="D48" s="1">
        <v>0</v>
      </c>
      <c r="E48" s="1">
        <v>29.8</v>
      </c>
      <c r="F48" s="1">
        <v>82</v>
      </c>
      <c r="G48" s="1">
        <v>93</v>
      </c>
      <c r="H48" s="2">
        <f>Table147[[#This Row],[PTS]]/Table147[[#This Row],[GP]]</f>
        <v>1.1341463414634145</v>
      </c>
      <c r="I48" s="2">
        <v>0.56699999999999995</v>
      </c>
      <c r="J48" s="1">
        <v>258</v>
      </c>
      <c r="K48" s="3">
        <f>Table147[[#This Row],[GF]]/Table147[[#This Row],[GP]]</f>
        <v>3.1463414634146343</v>
      </c>
      <c r="L48" s="1">
        <v>247</v>
      </c>
      <c r="M48" s="1">
        <v>3.01</v>
      </c>
      <c r="N48" s="2">
        <f>(Table147[[#This Row],[GF]]^2)/((Table147[[#This Row],[GF]]^2)+(Table147[[#This Row],[GA]]^2))</f>
        <v>0.52177184827510525</v>
      </c>
      <c r="O48" s="1">
        <v>19.84</v>
      </c>
      <c r="P48" s="1">
        <v>82.59</v>
      </c>
      <c r="Q48" s="1">
        <f>Table147[[#This Row],[PP_PCT]]+Table147[[#This Row],[PK_PCT]]</f>
        <v>102.43</v>
      </c>
      <c r="R48" s="3">
        <v>8.8000000000000007</v>
      </c>
      <c r="S48" s="3">
        <f>Table147[[#This Row],[GA]]/Table147[[#This Row],[GP]]</f>
        <v>3.0121951219512195</v>
      </c>
      <c r="T48" s="2">
        <v>0.91100000000000003</v>
      </c>
      <c r="U48" s="1">
        <v>98.6</v>
      </c>
      <c r="V48" s="1">
        <v>54.5</v>
      </c>
      <c r="W48" s="1">
        <v>54.1</v>
      </c>
      <c r="X48" s="1">
        <v>174.2</v>
      </c>
      <c r="Y48" s="3">
        <f>Table1358[[#This Row],[XGF]]/Table147[[#This Row],[GP]]</f>
        <v>2.1243902439024387</v>
      </c>
      <c r="Z48" s="1">
        <v>146.19999999999999</v>
      </c>
      <c r="AA48" s="3">
        <f>Table1358[[#This Row],[XGA]]/Table147[[#This Row],[GP]]</f>
        <v>1.7829268292682925</v>
      </c>
      <c r="AB48" s="1">
        <v>64</v>
      </c>
      <c r="AC48" s="2">
        <f>Table1358[[#This Row],[HDGF]]/Table147[[#This Row],[GP]]</f>
        <v>0.78048780487804881</v>
      </c>
      <c r="AD48" s="1">
        <v>56</v>
      </c>
      <c r="AE48" s="2">
        <f>Table1358[[#This Row],[HDGA]]/Table147[[#This Row],[GP]]</f>
        <v>0.68292682926829273</v>
      </c>
      <c r="AF48" s="1">
        <v>9.1999999999999993</v>
      </c>
    </row>
    <row r="49" spans="1:32" hidden="1" x14ac:dyDescent="0.35">
      <c r="A49" t="s">
        <v>89</v>
      </c>
      <c r="B49">
        <v>16</v>
      </c>
      <c r="C49" t="s">
        <v>76</v>
      </c>
      <c r="D49" s="1">
        <v>1</v>
      </c>
      <c r="E49" s="1">
        <v>29.3</v>
      </c>
      <c r="F49" s="1">
        <v>82</v>
      </c>
      <c r="G49" s="1">
        <v>93</v>
      </c>
      <c r="H49" s="2">
        <f>Table147[[#This Row],[PTS]]/Table147[[#This Row],[GP]]</f>
        <v>1.1341463414634145</v>
      </c>
      <c r="I49" s="2">
        <v>0.56699999999999995</v>
      </c>
      <c r="J49" s="1">
        <v>242</v>
      </c>
      <c r="K49" s="3">
        <f>Table147[[#This Row],[GF]]/Table147[[#This Row],[GP]]</f>
        <v>2.9512195121951219</v>
      </c>
      <c r="L49" s="1">
        <v>217</v>
      </c>
      <c r="M49" s="1">
        <v>2.65</v>
      </c>
      <c r="N49" s="2">
        <f>(Table147[[#This Row],[GF]]^2)/((Table147[[#This Row],[GF]]^2)+(Table147[[#This Row],[GA]]^2))</f>
        <v>0.55430513094753575</v>
      </c>
      <c r="O49" s="1">
        <v>15.77</v>
      </c>
      <c r="P49" s="1">
        <v>82.19</v>
      </c>
      <c r="Q49" s="1">
        <f>Table147[[#This Row],[PP_PCT]]+Table147[[#This Row],[PK_PCT]]</f>
        <v>97.96</v>
      </c>
      <c r="R49" s="3">
        <v>9.6</v>
      </c>
      <c r="S49" s="3">
        <f>Table147[[#This Row],[GA]]/Table147[[#This Row],[GP]]</f>
        <v>2.6463414634146343</v>
      </c>
      <c r="T49" s="2">
        <v>0.91900000000000004</v>
      </c>
      <c r="U49" s="1">
        <v>100.4</v>
      </c>
      <c r="V49" s="1">
        <v>56.6</v>
      </c>
      <c r="W49" s="1">
        <v>56.3</v>
      </c>
      <c r="X49" s="1">
        <v>231.9</v>
      </c>
      <c r="Y49" s="3">
        <f>Table1358[[#This Row],[XGF]]/Table147[[#This Row],[GP]]</f>
        <v>2.8280487804878049</v>
      </c>
      <c r="Z49" s="1">
        <v>171.7</v>
      </c>
      <c r="AA49" s="3">
        <f>Table1358[[#This Row],[XGA]]/Table147[[#This Row],[GP]]</f>
        <v>2.0939024390243901</v>
      </c>
      <c r="AB49" s="1">
        <v>90</v>
      </c>
      <c r="AC49" s="2">
        <f>Table1358[[#This Row],[HDGF]]/Table147[[#This Row],[GP]]</f>
        <v>1.0975609756097562</v>
      </c>
      <c r="AD49" s="1">
        <v>64</v>
      </c>
      <c r="AE49" s="2">
        <f>Table1358[[#This Row],[HDGA]]/Table147[[#This Row],[GP]]</f>
        <v>0.78048780487804881</v>
      </c>
      <c r="AF49" s="1">
        <v>8</v>
      </c>
    </row>
    <row r="50" spans="1:32" hidden="1" x14ac:dyDescent="0.35">
      <c r="A50" t="s">
        <v>89</v>
      </c>
      <c r="B50">
        <v>17</v>
      </c>
      <c r="C50" t="s">
        <v>57</v>
      </c>
      <c r="D50" s="1">
        <v>1</v>
      </c>
      <c r="E50" s="1">
        <v>28.7</v>
      </c>
      <c r="F50" s="1">
        <v>82</v>
      </c>
      <c r="G50" s="1">
        <v>92</v>
      </c>
      <c r="H50" s="2">
        <f>Table147[[#This Row],[PTS]]/Table147[[#This Row],[GP]]</f>
        <v>1.1219512195121952</v>
      </c>
      <c r="I50" s="2">
        <v>0.56100000000000005</v>
      </c>
      <c r="J50" s="1">
        <v>288</v>
      </c>
      <c r="K50" s="3">
        <f>Table147[[#This Row],[GF]]/Table147[[#This Row],[GP]]</f>
        <v>3.5121951219512195</v>
      </c>
      <c r="L50" s="1">
        <v>272</v>
      </c>
      <c r="M50" s="1">
        <v>3.32</v>
      </c>
      <c r="N50" s="2">
        <f>(Table147[[#This Row],[GF]]^2)/((Table147[[#This Row],[GF]]^2)+(Table147[[#This Row],[GA]]^2))</f>
        <v>0.52854812398042417</v>
      </c>
      <c r="O50" s="1">
        <v>22.83</v>
      </c>
      <c r="P50" s="1">
        <v>75.95</v>
      </c>
      <c r="Q50" s="1">
        <f>Table147[[#This Row],[PP_PCT]]+Table147[[#This Row],[PK_PCT]]</f>
        <v>98.78</v>
      </c>
      <c r="R50" s="3">
        <v>9.5</v>
      </c>
      <c r="S50" s="3">
        <f>Table147[[#This Row],[GA]]/Table147[[#This Row],[GP]]</f>
        <v>3.3170731707317072</v>
      </c>
      <c r="T50" s="2">
        <v>0.92200000000000004</v>
      </c>
      <c r="U50" s="1">
        <v>100.2</v>
      </c>
      <c r="V50" s="1">
        <v>54.3</v>
      </c>
      <c r="W50" s="1">
        <v>53.5</v>
      </c>
      <c r="X50" s="1">
        <v>210.5</v>
      </c>
      <c r="Y50" s="3">
        <f>Table1358[[#This Row],[XGF]]/Table147[[#This Row],[GP]]</f>
        <v>2.5670731707317072</v>
      </c>
      <c r="Z50" s="1">
        <v>184.9</v>
      </c>
      <c r="AA50" s="3">
        <f>Table1358[[#This Row],[XGA]]/Table147[[#This Row],[GP]]</f>
        <v>2.2548780487804878</v>
      </c>
      <c r="AB50" s="1">
        <v>73</v>
      </c>
      <c r="AC50" s="2">
        <f>Table1358[[#This Row],[HDGF]]/Table147[[#This Row],[GP]]</f>
        <v>0.8902439024390244</v>
      </c>
      <c r="AD50" s="1">
        <v>59</v>
      </c>
      <c r="AE50" s="2">
        <f>Table1358[[#This Row],[HDGA]]/Table147[[#This Row],[GP]]</f>
        <v>0.71951219512195119</v>
      </c>
      <c r="AF50" s="1">
        <v>12.2</v>
      </c>
    </row>
    <row r="51" spans="1:32" hidden="1" x14ac:dyDescent="0.35">
      <c r="A51" t="s">
        <v>89</v>
      </c>
      <c r="B51">
        <v>18</v>
      </c>
      <c r="C51" t="s">
        <v>72</v>
      </c>
      <c r="D51" s="1">
        <v>0</v>
      </c>
      <c r="E51" s="1">
        <v>28.3</v>
      </c>
      <c r="F51" s="1">
        <v>82</v>
      </c>
      <c r="G51" s="1">
        <v>92</v>
      </c>
      <c r="H51" s="2">
        <f>Table147[[#This Row],[PTS]]/Table147[[#This Row],[GP]]</f>
        <v>1.1219512195121952</v>
      </c>
      <c r="I51" s="2">
        <v>0.56100000000000005</v>
      </c>
      <c r="J51" s="1">
        <v>223</v>
      </c>
      <c r="K51" s="3">
        <f>Table147[[#This Row],[GF]]/Table147[[#This Row],[GP]]</f>
        <v>2.7195121951219514</v>
      </c>
      <c r="L51" s="1">
        <v>236</v>
      </c>
      <c r="M51" s="1">
        <v>2.88</v>
      </c>
      <c r="N51" s="2">
        <f>(Table147[[#This Row],[GF]]^2)/((Table147[[#This Row],[GF]]^2)+(Table147[[#This Row],[GA]]^2))</f>
        <v>0.47170026084894473</v>
      </c>
      <c r="O51" s="1">
        <v>17.600000000000001</v>
      </c>
      <c r="P51" s="1">
        <v>82.55</v>
      </c>
      <c r="Q51" s="1">
        <f>Table147[[#This Row],[PP_PCT]]+Table147[[#This Row],[PK_PCT]]</f>
        <v>100.15</v>
      </c>
      <c r="R51" s="3">
        <v>9.1999999999999993</v>
      </c>
      <c r="S51" s="3">
        <f>Table147[[#This Row],[GA]]/Table147[[#This Row],[GP]]</f>
        <v>2.8780487804878048</v>
      </c>
      <c r="T51" s="2">
        <v>0.93500000000000005</v>
      </c>
      <c r="U51" s="1">
        <v>100.6</v>
      </c>
      <c r="V51" s="1">
        <v>56.2</v>
      </c>
      <c r="W51" s="1">
        <v>53.8</v>
      </c>
      <c r="X51" s="1">
        <v>166.2</v>
      </c>
      <c r="Y51" s="3">
        <f>Table1358[[#This Row],[XGF]]/Table147[[#This Row],[GP]]</f>
        <v>2.026829268292683</v>
      </c>
      <c r="Z51" s="1">
        <v>144.80000000000001</v>
      </c>
      <c r="AA51" s="3">
        <f>Table1358[[#This Row],[XGA]]/Table147[[#This Row],[GP]]</f>
        <v>1.7658536585365856</v>
      </c>
      <c r="AB51" s="1">
        <v>51</v>
      </c>
      <c r="AC51" s="2">
        <f>Table1358[[#This Row],[HDGF]]/Table147[[#This Row],[GP]]</f>
        <v>0.62195121951219512</v>
      </c>
      <c r="AD51" s="1">
        <v>57</v>
      </c>
      <c r="AE51" s="2">
        <f>Table1358[[#This Row],[HDGA]]/Table147[[#This Row],[GP]]</f>
        <v>0.69512195121951215</v>
      </c>
      <c r="AF51" s="1">
        <v>9.6</v>
      </c>
    </row>
    <row r="52" spans="1:32" hidden="1" x14ac:dyDescent="0.35">
      <c r="A52" t="s">
        <v>89</v>
      </c>
      <c r="B52">
        <v>19</v>
      </c>
      <c r="C52" t="s">
        <v>80</v>
      </c>
      <c r="D52" s="1">
        <v>0</v>
      </c>
      <c r="E52" s="1">
        <v>26.1</v>
      </c>
      <c r="F52" s="1">
        <v>82</v>
      </c>
      <c r="G52" s="1">
        <v>91</v>
      </c>
      <c r="H52" s="2">
        <f>Table147[[#This Row],[PTS]]/Table147[[#This Row],[GP]]</f>
        <v>1.1097560975609757</v>
      </c>
      <c r="I52" s="2">
        <v>0.55500000000000005</v>
      </c>
      <c r="J52" s="1">
        <v>293</v>
      </c>
      <c r="K52" s="3">
        <f>Table147[[#This Row],[GF]]/Table147[[#This Row],[GP]]</f>
        <v>3.5731707317073171</v>
      </c>
      <c r="L52" s="1">
        <v>297</v>
      </c>
      <c r="M52" s="1">
        <v>3.62</v>
      </c>
      <c r="N52" s="2">
        <f>(Table147[[#This Row],[GF]]^2)/((Table147[[#This Row],[GF]]^2)+(Table147[[#This Row],[GA]]^2))</f>
        <v>0.49322065058773512</v>
      </c>
      <c r="O52" s="1">
        <v>23.42</v>
      </c>
      <c r="P52" s="1">
        <v>73.010000000000005</v>
      </c>
      <c r="Q52" s="1">
        <f>Table147[[#This Row],[PP_PCT]]+Table147[[#This Row],[PK_PCT]]</f>
        <v>96.43</v>
      </c>
      <c r="R52" s="3">
        <v>11</v>
      </c>
      <c r="S52" s="3">
        <f>Table147[[#This Row],[GA]]/Table147[[#This Row],[GP]]</f>
        <v>3.6219512195121952</v>
      </c>
      <c r="T52" s="2">
        <v>0.92200000000000004</v>
      </c>
      <c r="U52" s="1">
        <v>99.7</v>
      </c>
      <c r="V52" s="1">
        <v>55.4</v>
      </c>
      <c r="W52" s="1">
        <v>54</v>
      </c>
      <c r="X52" s="1">
        <v>161.9</v>
      </c>
      <c r="Y52" s="3">
        <f>Table1358[[#This Row],[XGF]]/Table147[[#This Row],[GP]]</f>
        <v>1.974390243902439</v>
      </c>
      <c r="Z52" s="1">
        <v>127.5</v>
      </c>
      <c r="AA52" s="3">
        <f>Table1358[[#This Row],[XGA]]/Table147[[#This Row],[GP]]</f>
        <v>1.5548780487804879</v>
      </c>
      <c r="AB52" s="1">
        <v>53</v>
      </c>
      <c r="AC52" s="2">
        <f>Table1358[[#This Row],[HDGF]]/Table147[[#This Row],[GP]]</f>
        <v>0.64634146341463417</v>
      </c>
      <c r="AD52" s="1">
        <v>48</v>
      </c>
      <c r="AE52" s="2">
        <f>Table1358[[#This Row],[HDGA]]/Table147[[#This Row],[GP]]</f>
        <v>0.58536585365853655</v>
      </c>
      <c r="AF52" s="1">
        <v>7.4</v>
      </c>
    </row>
    <row r="53" spans="1:32" hidden="1" x14ac:dyDescent="0.35">
      <c r="A53" t="s">
        <v>89</v>
      </c>
      <c r="B53">
        <v>20</v>
      </c>
      <c r="C53" t="s">
        <v>68</v>
      </c>
      <c r="D53" s="1">
        <v>0</v>
      </c>
      <c r="E53" s="1">
        <v>31</v>
      </c>
      <c r="F53" s="1">
        <v>82</v>
      </c>
      <c r="G53" s="1">
        <v>91</v>
      </c>
      <c r="H53" s="2">
        <f>Table147[[#This Row],[PTS]]/Table147[[#This Row],[GP]]</f>
        <v>1.1097560975609757</v>
      </c>
      <c r="I53" s="2">
        <v>0.55500000000000005</v>
      </c>
      <c r="J53" s="1">
        <v>261</v>
      </c>
      <c r="K53" s="3">
        <f>Table147[[#This Row],[GF]]/Table147[[#This Row],[GP]]</f>
        <v>3.1829268292682928</v>
      </c>
      <c r="L53" s="1">
        <v>263</v>
      </c>
      <c r="M53" s="1">
        <v>3.21</v>
      </c>
      <c r="N53" s="2">
        <f>(Table147[[#This Row],[GF]]^2)/((Table147[[#This Row],[GF]]^2)+(Table147[[#This Row],[GA]]^2))</f>
        <v>0.49618326170879162</v>
      </c>
      <c r="O53" s="1">
        <v>21.72</v>
      </c>
      <c r="P53" s="1">
        <v>79.09</v>
      </c>
      <c r="Q53" s="1">
        <f>Table147[[#This Row],[PP_PCT]]+Table147[[#This Row],[PK_PCT]]</f>
        <v>100.81</v>
      </c>
      <c r="R53" s="3">
        <v>9.3000000000000007</v>
      </c>
      <c r="S53" s="3">
        <f>Table147[[#This Row],[GA]]/Table147[[#This Row],[GP]]</f>
        <v>3.2073170731707319</v>
      </c>
      <c r="T53" s="2">
        <v>0.92</v>
      </c>
      <c r="U53" s="1">
        <v>98.7</v>
      </c>
      <c r="V53" s="1">
        <v>54.1</v>
      </c>
      <c r="W53" s="1">
        <v>54.8</v>
      </c>
      <c r="X53" s="1">
        <v>183.5</v>
      </c>
      <c r="Y53" s="3">
        <f>Table1358[[#This Row],[XGF]]/Table147[[#This Row],[GP]]</f>
        <v>2.2378048780487805</v>
      </c>
      <c r="Z53" s="1">
        <v>167.3</v>
      </c>
      <c r="AA53" s="3">
        <f>Table1358[[#This Row],[XGA]]/Table147[[#This Row],[GP]]</f>
        <v>2.0402439024390246</v>
      </c>
      <c r="AB53" s="1">
        <v>75</v>
      </c>
      <c r="AC53" s="2">
        <f>Table1358[[#This Row],[HDGF]]/Table147[[#This Row],[GP]]</f>
        <v>0.91463414634146345</v>
      </c>
      <c r="AD53" s="1">
        <v>68</v>
      </c>
      <c r="AE53" s="2">
        <f>Table1358[[#This Row],[HDGA]]/Table147[[#This Row],[GP]]</f>
        <v>0.82926829268292679</v>
      </c>
      <c r="AF53" s="1">
        <v>8.6</v>
      </c>
    </row>
    <row r="54" spans="1:32" hidden="1" x14ac:dyDescent="0.35">
      <c r="A54" t="s">
        <v>89</v>
      </c>
      <c r="B54">
        <v>21</v>
      </c>
      <c r="C54" t="s">
        <v>82</v>
      </c>
      <c r="D54" s="1">
        <v>0</v>
      </c>
      <c r="E54" s="1">
        <v>27.3</v>
      </c>
      <c r="F54" s="1">
        <v>82</v>
      </c>
      <c r="G54" s="1">
        <v>86</v>
      </c>
      <c r="H54" s="2">
        <f>Table147[[#This Row],[PTS]]/Table147[[#This Row],[GP]]</f>
        <v>1.0487804878048781</v>
      </c>
      <c r="I54" s="2">
        <v>0.52400000000000002</v>
      </c>
      <c r="J54" s="1">
        <v>259</v>
      </c>
      <c r="K54" s="3">
        <f>Table147[[#This Row],[GF]]/Table147[[#This Row],[GP]]</f>
        <v>3.1585365853658538</v>
      </c>
      <c r="L54" s="1">
        <v>270</v>
      </c>
      <c r="M54" s="1">
        <v>3.29</v>
      </c>
      <c r="N54" s="2">
        <f>(Table147[[#This Row],[GF]]^2)/((Table147[[#This Row],[GF]]^2)+(Table147[[#This Row],[GA]]^2))</f>
        <v>0.47921503632635859</v>
      </c>
      <c r="O54" s="1">
        <v>23.53</v>
      </c>
      <c r="P54" s="1">
        <v>80.069999999999993</v>
      </c>
      <c r="Q54" s="1">
        <f>Table147[[#This Row],[PP_PCT]]+Table147[[#This Row],[PK_PCT]]</f>
        <v>103.6</v>
      </c>
      <c r="R54" s="3">
        <v>9.4</v>
      </c>
      <c r="S54" s="3">
        <f>Table147[[#This Row],[GA]]/Table147[[#This Row],[GP]]</f>
        <v>3.2926829268292681</v>
      </c>
      <c r="T54" s="2">
        <v>0.91400000000000003</v>
      </c>
      <c r="U54" s="1">
        <v>99.1</v>
      </c>
      <c r="V54" s="1">
        <v>52.3</v>
      </c>
      <c r="W54" s="1">
        <v>53.8</v>
      </c>
      <c r="X54" s="1">
        <v>184.3</v>
      </c>
      <c r="Y54" s="3">
        <f>Table1358[[#This Row],[XGF]]/Table147[[#This Row],[GP]]</f>
        <v>2.2475609756097561</v>
      </c>
      <c r="Z54" s="1">
        <v>161.1</v>
      </c>
      <c r="AA54" s="3">
        <f>Table1358[[#This Row],[XGA]]/Table147[[#This Row],[GP]]</f>
        <v>1.9646341463414634</v>
      </c>
      <c r="AB54" s="1">
        <v>61</v>
      </c>
      <c r="AC54" s="2">
        <f>Table1358[[#This Row],[HDGF]]/Table147[[#This Row],[GP]]</f>
        <v>0.74390243902439024</v>
      </c>
      <c r="AD54" s="1">
        <v>59</v>
      </c>
      <c r="AE54" s="2">
        <f>Table1358[[#This Row],[HDGA]]/Table147[[#This Row],[GP]]</f>
        <v>0.71951219512195119</v>
      </c>
      <c r="AF54" s="1">
        <v>12.4</v>
      </c>
    </row>
    <row r="55" spans="1:32" hidden="1" x14ac:dyDescent="0.35">
      <c r="A55" t="s">
        <v>89</v>
      </c>
      <c r="B55">
        <v>22</v>
      </c>
      <c r="C55" t="s">
        <v>74</v>
      </c>
      <c r="D55" s="1">
        <v>0</v>
      </c>
      <c r="E55" s="1">
        <v>27.3</v>
      </c>
      <c r="F55" s="1">
        <v>82</v>
      </c>
      <c r="G55" s="1">
        <v>83</v>
      </c>
      <c r="H55" s="2">
        <f>Table147[[#This Row],[PTS]]/Table147[[#This Row],[GP]]</f>
        <v>1.0121951219512195</v>
      </c>
      <c r="I55" s="2">
        <v>0.50600000000000001</v>
      </c>
      <c r="J55" s="1">
        <v>270</v>
      </c>
      <c r="K55" s="3">
        <f>Table147[[#This Row],[GF]]/Table147[[#This Row],[GP]]</f>
        <v>3.2926829268292681</v>
      </c>
      <c r="L55" s="1">
        <v>296</v>
      </c>
      <c r="M55" s="1">
        <v>3.61</v>
      </c>
      <c r="N55" s="2">
        <f>(Table147[[#This Row],[GF]]^2)/((Table147[[#This Row],[GF]]^2)+(Table147[[#This Row],[GA]]^2))</f>
        <v>0.45416033292631264</v>
      </c>
      <c r="O55" s="1">
        <v>22.71</v>
      </c>
      <c r="P55" s="1">
        <v>71.599999999999994</v>
      </c>
      <c r="Q55" s="1">
        <f>Table147[[#This Row],[PP_PCT]]+Table147[[#This Row],[PK_PCT]]</f>
        <v>94.31</v>
      </c>
      <c r="R55" s="3">
        <v>11.1</v>
      </c>
      <c r="S55" s="3">
        <f>Table147[[#This Row],[GA]]/Table147[[#This Row],[GP]]</f>
        <v>3.6097560975609757</v>
      </c>
      <c r="T55" s="2">
        <v>0.92300000000000004</v>
      </c>
      <c r="U55" s="1">
        <v>99.6</v>
      </c>
      <c r="V55" s="1">
        <v>54.4</v>
      </c>
      <c r="W55" s="1">
        <v>54.9</v>
      </c>
      <c r="X55" s="1">
        <v>169.6</v>
      </c>
      <c r="Y55" s="3">
        <f>Table1358[[#This Row],[XGF]]/Table147[[#This Row],[GP]]</f>
        <v>2.0682926829268293</v>
      </c>
      <c r="Z55" s="1">
        <v>146.30000000000001</v>
      </c>
      <c r="AA55" s="3">
        <f>Table1358[[#This Row],[XGA]]/Table147[[#This Row],[GP]]</f>
        <v>1.7841463414634147</v>
      </c>
      <c r="AB55" s="1">
        <v>67</v>
      </c>
      <c r="AC55" s="2">
        <f>Table1358[[#This Row],[HDGF]]/Table147[[#This Row],[GP]]</f>
        <v>0.81707317073170727</v>
      </c>
      <c r="AD55" s="1">
        <v>61</v>
      </c>
      <c r="AE55" s="2">
        <f>Table1358[[#This Row],[HDGA]]/Table147[[#This Row],[GP]]</f>
        <v>0.74390243902439024</v>
      </c>
      <c r="AF55" s="1">
        <v>9</v>
      </c>
    </row>
    <row r="56" spans="1:32" hidden="1" x14ac:dyDescent="0.35">
      <c r="A56" t="s">
        <v>89</v>
      </c>
      <c r="B56">
        <v>23</v>
      </c>
      <c r="C56" t="s">
        <v>65</v>
      </c>
      <c r="D56" s="1">
        <v>0</v>
      </c>
      <c r="E56" s="1">
        <v>29.3</v>
      </c>
      <c r="F56" s="1">
        <v>82</v>
      </c>
      <c r="G56" s="1">
        <v>81</v>
      </c>
      <c r="H56" s="2">
        <f>Table147[[#This Row],[PTS]]/Table147[[#This Row],[GP]]</f>
        <v>0.98780487804878048</v>
      </c>
      <c r="I56" s="2">
        <v>0.49399999999999999</v>
      </c>
      <c r="J56" s="1">
        <v>260</v>
      </c>
      <c r="K56" s="3">
        <f>Table147[[#This Row],[GF]]/Table147[[#This Row],[GP]]</f>
        <v>3.1707317073170733</v>
      </c>
      <c r="L56" s="1">
        <v>298</v>
      </c>
      <c r="M56" s="1">
        <v>3.63</v>
      </c>
      <c r="N56" s="2">
        <f>(Table147[[#This Row],[GF]]^2)/((Table147[[#This Row],[GF]]^2)+(Table147[[#This Row],[GA]]^2))</f>
        <v>0.43221400987187031</v>
      </c>
      <c r="O56" s="1">
        <v>19.329999999999998</v>
      </c>
      <c r="P56" s="1">
        <v>72.349999999999994</v>
      </c>
      <c r="Q56" s="1">
        <f>Table147[[#This Row],[PP_PCT]]+Table147[[#This Row],[PK_PCT]]</f>
        <v>91.679999999999993</v>
      </c>
      <c r="R56" s="3">
        <v>11.1</v>
      </c>
      <c r="S56" s="3">
        <f>Table147[[#This Row],[GA]]/Table147[[#This Row],[GP]]</f>
        <v>3.6341463414634148</v>
      </c>
      <c r="T56" s="2">
        <v>0.92600000000000005</v>
      </c>
      <c r="U56" s="1">
        <v>101</v>
      </c>
      <c r="V56" s="1">
        <v>53.8</v>
      </c>
      <c r="W56" s="1">
        <v>54.2</v>
      </c>
      <c r="X56" s="1">
        <v>138.1</v>
      </c>
      <c r="Y56" s="3">
        <f>Table1358[[#This Row],[XGF]]/Table147[[#This Row],[GP]]</f>
        <v>1.6841463414634146</v>
      </c>
      <c r="Z56" s="1">
        <v>132.69999999999999</v>
      </c>
      <c r="AA56" s="3">
        <f>Table1358[[#This Row],[XGA]]/Table147[[#This Row],[GP]]</f>
        <v>1.6182926829268292</v>
      </c>
      <c r="AB56" s="1">
        <v>57</v>
      </c>
      <c r="AC56" s="2">
        <f>Table1358[[#This Row],[HDGF]]/Table147[[#This Row],[GP]]</f>
        <v>0.69512195121951215</v>
      </c>
      <c r="AD56" s="1">
        <v>48</v>
      </c>
      <c r="AE56" s="2">
        <f>Table1358[[#This Row],[HDGA]]/Table147[[#This Row],[GP]]</f>
        <v>0.58536585365853655</v>
      </c>
      <c r="AF56" s="1">
        <v>7.8</v>
      </c>
    </row>
    <row r="57" spans="1:32" hidden="1" x14ac:dyDescent="0.35">
      <c r="A57" t="s">
        <v>89</v>
      </c>
      <c r="B57">
        <v>24</v>
      </c>
      <c r="C57" t="s">
        <v>69</v>
      </c>
      <c r="D57" s="1">
        <v>0</v>
      </c>
      <c r="E57" s="1">
        <v>30.9</v>
      </c>
      <c r="F57" s="1">
        <v>82</v>
      </c>
      <c r="G57" s="1">
        <v>80</v>
      </c>
      <c r="H57" s="2">
        <f>Table147[[#This Row],[PTS]]/Table147[[#This Row],[GP]]</f>
        <v>0.97560975609756095</v>
      </c>
      <c r="I57" s="2">
        <v>0.48799999999999999</v>
      </c>
      <c r="J57" s="1">
        <v>253</v>
      </c>
      <c r="K57" s="3">
        <f>Table147[[#This Row],[GF]]/Table147[[#This Row],[GP]]</f>
        <v>3.0853658536585367</v>
      </c>
      <c r="L57" s="1">
        <v>261</v>
      </c>
      <c r="M57" s="1">
        <v>3.18</v>
      </c>
      <c r="N57" s="2">
        <f>(Table147[[#This Row],[GF]]^2)/((Table147[[#This Row],[GF]]^2)+(Table147[[#This Row],[GA]]^2))</f>
        <v>0.48443956709301444</v>
      </c>
      <c r="O57" s="1">
        <v>21.22</v>
      </c>
      <c r="P57" s="1">
        <v>81.86</v>
      </c>
      <c r="Q57" s="1">
        <f>Table147[[#This Row],[PP_PCT]]+Table147[[#This Row],[PK_PCT]]</f>
        <v>103.08</v>
      </c>
      <c r="R57" s="3">
        <v>9.9</v>
      </c>
      <c r="S57" s="3">
        <f>Table147[[#This Row],[GA]]/Table147[[#This Row],[GP]]</f>
        <v>3.1829268292682928</v>
      </c>
      <c r="T57" s="2">
        <v>0.92600000000000005</v>
      </c>
      <c r="U57" s="1">
        <v>101.9</v>
      </c>
      <c r="V57" s="1">
        <v>51.3</v>
      </c>
      <c r="W57" s="1">
        <v>51.3</v>
      </c>
      <c r="X57" s="1">
        <v>182.8</v>
      </c>
      <c r="Y57" s="3">
        <f>Table1358[[#This Row],[XGF]]/Table147[[#This Row],[GP]]</f>
        <v>2.229268292682927</v>
      </c>
      <c r="Z57" s="1">
        <v>156.19999999999999</v>
      </c>
      <c r="AA57" s="3">
        <f>Table1358[[#This Row],[XGA]]/Table147[[#This Row],[GP]]</f>
        <v>1.9048780487804877</v>
      </c>
      <c r="AB57" s="1">
        <v>83</v>
      </c>
      <c r="AC57" s="2">
        <f>Table1358[[#This Row],[HDGF]]/Table147[[#This Row],[GP]]</f>
        <v>1.0121951219512195</v>
      </c>
      <c r="AD57" s="1">
        <v>60</v>
      </c>
      <c r="AE57" s="2">
        <f>Table1358[[#This Row],[HDGA]]/Table147[[#This Row],[GP]]</f>
        <v>0.73170731707317072</v>
      </c>
      <c r="AF57" s="1">
        <v>8.6999999999999993</v>
      </c>
    </row>
    <row r="58" spans="1:32" hidden="1" x14ac:dyDescent="0.35">
      <c r="A58" t="s">
        <v>89</v>
      </c>
      <c r="B58">
        <v>25</v>
      </c>
      <c r="C58" t="s">
        <v>81</v>
      </c>
      <c r="D58" s="1">
        <v>0</v>
      </c>
      <c r="E58" s="1">
        <v>27.3</v>
      </c>
      <c r="F58" s="1">
        <v>82</v>
      </c>
      <c r="G58" s="1">
        <v>80</v>
      </c>
      <c r="H58" s="2">
        <f>Table147[[#This Row],[PTS]]/Table147[[#This Row],[GP]]</f>
        <v>0.97560975609756095</v>
      </c>
      <c r="I58" s="2">
        <v>0.48799999999999999</v>
      </c>
      <c r="J58" s="1">
        <v>237</v>
      </c>
      <c r="K58" s="3">
        <f>Table147[[#This Row],[GF]]/Table147[[#This Row],[GP]]</f>
        <v>2.8902439024390243</v>
      </c>
      <c r="L58" s="1">
        <v>275</v>
      </c>
      <c r="M58" s="1">
        <v>3.35</v>
      </c>
      <c r="N58" s="2">
        <f>(Table147[[#This Row],[GF]]^2)/((Table147[[#This Row],[GF]]^2)+(Table147[[#This Row],[GA]]^2))</f>
        <v>0.4261878385965977</v>
      </c>
      <c r="O58" s="1">
        <v>21.11</v>
      </c>
      <c r="P58" s="1">
        <v>78.31</v>
      </c>
      <c r="Q58" s="1">
        <f>Table147[[#This Row],[PP_PCT]]+Table147[[#This Row],[PK_PCT]]</f>
        <v>99.42</v>
      </c>
      <c r="R58" s="3">
        <v>10.3</v>
      </c>
      <c r="S58" s="3">
        <f>Table147[[#This Row],[GA]]/Table147[[#This Row],[GP]]</f>
        <v>3.3536585365853657</v>
      </c>
      <c r="T58" s="2">
        <v>0.93200000000000005</v>
      </c>
      <c r="U58" s="1">
        <v>100.5</v>
      </c>
      <c r="V58" s="1">
        <v>49.6</v>
      </c>
      <c r="W58" s="1">
        <v>50.2</v>
      </c>
      <c r="X58" s="1">
        <v>167.2</v>
      </c>
      <c r="Y58" s="3">
        <f>Table1358[[#This Row],[XGF]]/Table147[[#This Row],[GP]]</f>
        <v>2.0390243902439025</v>
      </c>
      <c r="Z58" s="1">
        <v>170.2</v>
      </c>
      <c r="AA58" s="3">
        <f>Table1358[[#This Row],[XGA]]/Table147[[#This Row],[GP]]</f>
        <v>2.075609756097561</v>
      </c>
      <c r="AB58" s="1">
        <v>69</v>
      </c>
      <c r="AC58" s="2">
        <f>Table1358[[#This Row],[HDGF]]/Table147[[#This Row],[GP]]</f>
        <v>0.84146341463414631</v>
      </c>
      <c r="AD58" s="1">
        <v>64</v>
      </c>
      <c r="AE58" s="2">
        <f>Table1358[[#This Row],[HDGA]]/Table147[[#This Row],[GP]]</f>
        <v>0.78048780487804881</v>
      </c>
      <c r="AF58" s="1">
        <v>8.1</v>
      </c>
    </row>
    <row r="59" spans="1:32" hidden="1" x14ac:dyDescent="0.35">
      <c r="A59" t="s">
        <v>89</v>
      </c>
      <c r="B59">
        <v>26</v>
      </c>
      <c r="C59" t="s">
        <v>85</v>
      </c>
      <c r="D59" s="1">
        <v>0</v>
      </c>
      <c r="E59" s="1">
        <v>26.8</v>
      </c>
      <c r="F59" s="1">
        <v>82</v>
      </c>
      <c r="G59" s="1">
        <v>75</v>
      </c>
      <c r="H59" s="2">
        <f>Table147[[#This Row],[PTS]]/Table147[[#This Row],[GP]]</f>
        <v>0.91463414634146345</v>
      </c>
      <c r="I59" s="2">
        <v>0.45700000000000002</v>
      </c>
      <c r="J59" s="1">
        <v>220</v>
      </c>
      <c r="K59" s="3">
        <f>Table147[[#This Row],[GF]]/Table147[[#This Row],[GP]]</f>
        <v>2.6829268292682928</v>
      </c>
      <c r="L59" s="1">
        <v>276</v>
      </c>
      <c r="M59" s="1">
        <v>3.37</v>
      </c>
      <c r="N59" s="2">
        <f>(Table147[[#This Row],[GF]]^2)/((Table147[[#This Row],[GF]]^2)+(Table147[[#This Row],[GA]]^2))</f>
        <v>0.38851785255586951</v>
      </c>
      <c r="O59" s="1">
        <v>15.56</v>
      </c>
      <c r="P59" s="1">
        <v>74.680000000000007</v>
      </c>
      <c r="Q59" s="1">
        <f>Table147[[#This Row],[PP_PCT]]+Table147[[#This Row],[PK_PCT]]</f>
        <v>90.240000000000009</v>
      </c>
      <c r="R59" s="3">
        <v>9.1</v>
      </c>
      <c r="S59" s="3">
        <f>Table147[[#This Row],[GA]]/Table147[[#This Row],[GP]]</f>
        <v>3.3658536585365852</v>
      </c>
      <c r="T59" s="2">
        <v>0.91700000000000004</v>
      </c>
      <c r="U59" s="1">
        <v>99.9</v>
      </c>
      <c r="V59" s="1">
        <v>50.3</v>
      </c>
      <c r="W59" s="1">
        <v>50</v>
      </c>
      <c r="X59" s="1">
        <v>151.19999999999999</v>
      </c>
      <c r="Y59" s="3">
        <f>Table1358[[#This Row],[XGF]]/Table147[[#This Row],[GP]]</f>
        <v>1.8439024390243901</v>
      </c>
      <c r="Z59" s="1">
        <v>149.30000000000001</v>
      </c>
      <c r="AA59" s="3">
        <f>Table1358[[#This Row],[XGA]]/Table147[[#This Row],[GP]]</f>
        <v>1.8207317073170732</v>
      </c>
      <c r="AB59" s="1">
        <v>64</v>
      </c>
      <c r="AC59" s="2">
        <f>Table1358[[#This Row],[HDGF]]/Table147[[#This Row],[GP]]</f>
        <v>0.78048780487804881</v>
      </c>
      <c r="AD59" s="1">
        <v>52</v>
      </c>
      <c r="AE59" s="2">
        <f>Table1358[[#This Row],[HDGA]]/Table147[[#This Row],[GP]]</f>
        <v>0.63414634146341464</v>
      </c>
      <c r="AF59" s="1">
        <v>10.4</v>
      </c>
    </row>
    <row r="60" spans="1:32" hidden="1" x14ac:dyDescent="0.35">
      <c r="A60" t="s">
        <v>89</v>
      </c>
      <c r="B60">
        <v>27</v>
      </c>
      <c r="C60" t="s">
        <v>87</v>
      </c>
      <c r="D60" s="1">
        <v>0</v>
      </c>
      <c r="E60" s="1">
        <v>26.4</v>
      </c>
      <c r="F60" s="1">
        <v>82</v>
      </c>
      <c r="G60" s="1">
        <v>70</v>
      </c>
      <c r="H60" s="2">
        <f>Table147[[#This Row],[PTS]]/Table147[[#This Row],[GP]]</f>
        <v>0.85365853658536583</v>
      </c>
      <c r="I60" s="2">
        <v>0.42699999999999999</v>
      </c>
      <c r="J60" s="1">
        <v>225</v>
      </c>
      <c r="K60" s="3">
        <f>Table147[[#This Row],[GF]]/Table147[[#This Row],[GP]]</f>
        <v>2.7439024390243905</v>
      </c>
      <c r="L60" s="1">
        <v>295</v>
      </c>
      <c r="M60" s="1">
        <v>3.6</v>
      </c>
      <c r="N60" s="2">
        <f>(Table147[[#This Row],[GF]]^2)/((Table147[[#This Row],[GF]]^2)+(Table147[[#This Row],[GA]]^2))</f>
        <v>0.36778060297856885</v>
      </c>
      <c r="O60" s="1">
        <v>18.91</v>
      </c>
      <c r="P60" s="1">
        <v>74.61</v>
      </c>
      <c r="Q60" s="1">
        <f>Table147[[#This Row],[PP_PCT]]+Table147[[#This Row],[PK_PCT]]</f>
        <v>93.52</v>
      </c>
      <c r="R60" s="3">
        <v>10.6</v>
      </c>
      <c r="S60" s="3">
        <f>Table147[[#This Row],[GA]]/Table147[[#This Row],[GP]]</f>
        <v>3.5975609756097562</v>
      </c>
      <c r="T60" s="2">
        <v>0.93200000000000005</v>
      </c>
      <c r="U60" s="1">
        <v>100.6</v>
      </c>
      <c r="V60" s="1">
        <v>48</v>
      </c>
      <c r="W60" s="1">
        <v>47.7</v>
      </c>
      <c r="X60" s="1">
        <v>135.6</v>
      </c>
      <c r="Y60" s="3">
        <f>Table1358[[#This Row],[XGF]]/Table147[[#This Row],[GP]]</f>
        <v>1.6536585365853658</v>
      </c>
      <c r="Z60" s="1">
        <v>146.80000000000001</v>
      </c>
      <c r="AA60" s="3">
        <f>Table1358[[#This Row],[XGA]]/Table147[[#This Row],[GP]]</f>
        <v>1.7902439024390244</v>
      </c>
      <c r="AB60" s="1">
        <v>37</v>
      </c>
      <c r="AC60" s="2">
        <f>Table1358[[#This Row],[HDGF]]/Table147[[#This Row],[GP]]</f>
        <v>0.45121951219512196</v>
      </c>
      <c r="AD60" s="1">
        <v>50</v>
      </c>
      <c r="AE60" s="2">
        <f>Table1358[[#This Row],[HDGA]]/Table147[[#This Row],[GP]]</f>
        <v>0.6097560975609756</v>
      </c>
      <c r="AF60" s="1">
        <v>11.9</v>
      </c>
    </row>
    <row r="61" spans="1:32" hidden="1" x14ac:dyDescent="0.35">
      <c r="A61" t="s">
        <v>89</v>
      </c>
      <c r="B61">
        <v>28</v>
      </c>
      <c r="C61" t="s">
        <v>88</v>
      </c>
      <c r="D61" s="1">
        <v>0</v>
      </c>
      <c r="E61" s="1">
        <v>27.3</v>
      </c>
      <c r="F61" s="1">
        <v>82</v>
      </c>
      <c r="G61" s="1">
        <v>68</v>
      </c>
      <c r="H61" s="2">
        <f>Table147[[#This Row],[PTS]]/Table147[[#This Row],[GP]]</f>
        <v>0.82926829268292679</v>
      </c>
      <c r="I61" s="2">
        <v>0.41499999999999998</v>
      </c>
      <c r="J61" s="1">
        <v>227</v>
      </c>
      <c r="K61" s="3">
        <f>Table147[[#This Row],[GF]]/Table147[[#This Row],[GP]]</f>
        <v>2.7682926829268291</v>
      </c>
      <c r="L61" s="1">
        <v>305</v>
      </c>
      <c r="M61" s="1">
        <v>3.72</v>
      </c>
      <c r="N61" s="2">
        <f>(Table147[[#This Row],[GF]]^2)/((Table147[[#This Row],[GF]]^2)+(Table147[[#This Row],[GA]]^2))</f>
        <v>0.35646886284710211</v>
      </c>
      <c r="O61" s="1">
        <v>16.100000000000001</v>
      </c>
      <c r="P61" s="1">
        <v>72.73</v>
      </c>
      <c r="Q61" s="1">
        <f>Table147[[#This Row],[PP_PCT]]+Table147[[#This Row],[PK_PCT]]</f>
        <v>88.830000000000013</v>
      </c>
      <c r="R61" s="3">
        <v>10.1</v>
      </c>
      <c r="S61" s="3">
        <f>Table147[[#This Row],[GA]]/Table147[[#This Row],[GP]]</f>
        <v>3.7195121951219514</v>
      </c>
      <c r="T61" s="2">
        <v>0.91500000000000004</v>
      </c>
      <c r="U61" s="1">
        <v>99.1</v>
      </c>
      <c r="V61" s="1">
        <v>47</v>
      </c>
      <c r="W61" s="1">
        <v>46.6</v>
      </c>
      <c r="X61" s="1">
        <v>164.9</v>
      </c>
      <c r="Y61" s="3">
        <f>Table1358[[#This Row],[XGF]]/Table147[[#This Row],[GP]]</f>
        <v>2.0109756097560978</v>
      </c>
      <c r="Z61" s="1">
        <v>199.6</v>
      </c>
      <c r="AA61" s="3">
        <f>Table1358[[#This Row],[XGA]]/Table147[[#This Row],[GP]]</f>
        <v>2.4341463414634146</v>
      </c>
      <c r="AB61" s="1">
        <v>69</v>
      </c>
      <c r="AC61" s="2">
        <f>Table1358[[#This Row],[HDGF]]/Table147[[#This Row],[GP]]</f>
        <v>0.84146341463414631</v>
      </c>
      <c r="AD61" s="1">
        <v>95</v>
      </c>
      <c r="AE61" s="2">
        <f>Table1358[[#This Row],[HDGA]]/Table147[[#This Row],[GP]]</f>
        <v>1.1585365853658536</v>
      </c>
      <c r="AF61" s="1">
        <v>11.6</v>
      </c>
    </row>
    <row r="62" spans="1:32" hidden="1" x14ac:dyDescent="0.35">
      <c r="A62" t="s">
        <v>89</v>
      </c>
      <c r="B62">
        <v>29</v>
      </c>
      <c r="C62" t="s">
        <v>78</v>
      </c>
      <c r="D62" s="1">
        <v>0</v>
      </c>
      <c r="E62" s="1">
        <v>29.4</v>
      </c>
      <c r="F62" s="1">
        <v>82</v>
      </c>
      <c r="G62" s="1">
        <v>60</v>
      </c>
      <c r="H62" s="2">
        <f>Table147[[#This Row],[PTS]]/Table147[[#This Row],[GP]]</f>
        <v>0.73170731707317072</v>
      </c>
      <c r="I62" s="2">
        <v>0.36599999999999999</v>
      </c>
      <c r="J62" s="1">
        <v>233</v>
      </c>
      <c r="K62" s="3">
        <f>Table147[[#This Row],[GF]]/Table147[[#This Row],[GP]]</f>
        <v>2.8414634146341462</v>
      </c>
      <c r="L62" s="1">
        <v>315</v>
      </c>
      <c r="M62" s="1">
        <v>3.84</v>
      </c>
      <c r="N62" s="2">
        <f>(Table147[[#This Row],[GF]]^2)/((Table147[[#This Row],[GF]]^2)+(Table147[[#This Row],[GA]]^2))</f>
        <v>0.3536420131062965</v>
      </c>
      <c r="O62" s="1">
        <v>18.39</v>
      </c>
      <c r="P62" s="1">
        <v>82.38</v>
      </c>
      <c r="Q62" s="1">
        <f>Table147[[#This Row],[PP_PCT]]+Table147[[#This Row],[PK_PCT]]</f>
        <v>100.77</v>
      </c>
      <c r="R62" s="3">
        <v>9.6</v>
      </c>
      <c r="S62" s="3">
        <f>Table147[[#This Row],[GA]]/Table147[[#This Row],[GP]]</f>
        <v>3.8414634146341462</v>
      </c>
      <c r="T62" s="2">
        <v>0.91100000000000003</v>
      </c>
      <c r="U62" s="1">
        <v>99.7</v>
      </c>
      <c r="V62" s="1">
        <v>45.4</v>
      </c>
      <c r="W62" s="1">
        <v>45.4</v>
      </c>
      <c r="X62" s="1">
        <v>153.5</v>
      </c>
      <c r="Y62" s="3">
        <f>Table1358[[#This Row],[XGF]]/Table147[[#This Row],[GP]]</f>
        <v>1.8719512195121952</v>
      </c>
      <c r="Z62" s="1">
        <v>199.4</v>
      </c>
      <c r="AA62" s="3">
        <f>Table1358[[#This Row],[XGA]]/Table147[[#This Row],[GP]]</f>
        <v>2.4317073170731707</v>
      </c>
      <c r="AB62" s="1">
        <v>66</v>
      </c>
      <c r="AC62" s="2">
        <f>Table1358[[#This Row],[HDGF]]/Table147[[#This Row],[GP]]</f>
        <v>0.80487804878048785</v>
      </c>
      <c r="AD62" s="1">
        <v>90</v>
      </c>
      <c r="AE62" s="2">
        <f>Table1358[[#This Row],[HDGA]]/Table147[[#This Row],[GP]]</f>
        <v>1.0975609756097562</v>
      </c>
      <c r="AF62" s="1">
        <v>8</v>
      </c>
    </row>
    <row r="63" spans="1:32" hidden="1" x14ac:dyDescent="0.35">
      <c r="A63" t="s">
        <v>89</v>
      </c>
      <c r="B63">
        <v>30</v>
      </c>
      <c r="C63" t="s">
        <v>83</v>
      </c>
      <c r="D63" s="1">
        <v>0</v>
      </c>
      <c r="E63" s="1">
        <v>28.7</v>
      </c>
      <c r="F63" s="1">
        <v>82</v>
      </c>
      <c r="G63" s="1">
        <v>59</v>
      </c>
      <c r="H63" s="2">
        <f>Table147[[#This Row],[PTS]]/Table147[[#This Row],[GP]]</f>
        <v>0.71951219512195119</v>
      </c>
      <c r="I63" s="2">
        <v>0.36</v>
      </c>
      <c r="J63" s="1">
        <v>202</v>
      </c>
      <c r="K63" s="3">
        <f>Table147[[#This Row],[GF]]/Table147[[#This Row],[GP]]</f>
        <v>2.4634146341463414</v>
      </c>
      <c r="L63" s="1">
        <v>299</v>
      </c>
      <c r="M63" s="1">
        <v>3.65</v>
      </c>
      <c r="N63" s="2">
        <f>(Table147[[#This Row],[GF]]^2)/((Table147[[#This Row],[GF]]^2)+(Table147[[#This Row],[GA]]^2))</f>
        <v>0.31338274259821053</v>
      </c>
      <c r="O63" s="1">
        <v>16.38</v>
      </c>
      <c r="P63" s="1">
        <v>76.19</v>
      </c>
      <c r="Q63" s="1">
        <f>Table147[[#This Row],[PP_PCT]]+Table147[[#This Row],[PK_PCT]]</f>
        <v>92.57</v>
      </c>
      <c r="R63" s="3">
        <v>9.1</v>
      </c>
      <c r="S63" s="3">
        <f>Table147[[#This Row],[GA]]/Table147[[#This Row],[GP]]</f>
        <v>3.6463414634146343</v>
      </c>
      <c r="T63" s="2">
        <v>0.92500000000000004</v>
      </c>
      <c r="U63" s="1">
        <v>100.9</v>
      </c>
      <c r="V63" s="1">
        <v>46.3</v>
      </c>
      <c r="W63" s="1">
        <v>46.2</v>
      </c>
      <c r="X63" s="1">
        <v>157.6</v>
      </c>
      <c r="Y63" s="3">
        <f>Table1358[[#This Row],[XGF]]/Table147[[#This Row],[GP]]</f>
        <v>1.9219512195121951</v>
      </c>
      <c r="Z63" s="1">
        <v>174.5</v>
      </c>
      <c r="AA63" s="3">
        <f>Table1358[[#This Row],[XGA]]/Table147[[#This Row],[GP]]</f>
        <v>2.1280487804878048</v>
      </c>
      <c r="AB63" s="1">
        <v>73</v>
      </c>
      <c r="AC63" s="2">
        <f>Table1358[[#This Row],[HDGF]]/Table147[[#This Row],[GP]]</f>
        <v>0.8902439024390244</v>
      </c>
      <c r="AD63" s="1">
        <v>59</v>
      </c>
      <c r="AE63" s="2">
        <f>Table1358[[#This Row],[HDGA]]/Table147[[#This Row],[GP]]</f>
        <v>0.71951219512195119</v>
      </c>
      <c r="AF63" s="1">
        <v>8.6</v>
      </c>
    </row>
    <row r="64" spans="1:32" hidden="1" x14ac:dyDescent="0.35">
      <c r="A64" t="s">
        <v>89</v>
      </c>
      <c r="B64">
        <v>31</v>
      </c>
      <c r="C64" t="s">
        <v>77</v>
      </c>
      <c r="D64" s="1">
        <v>0</v>
      </c>
      <c r="E64" s="1">
        <v>26.7</v>
      </c>
      <c r="F64" s="1">
        <v>82</v>
      </c>
      <c r="G64" s="1">
        <v>59</v>
      </c>
      <c r="H64" s="2">
        <f>Table147[[#This Row],[PTS]]/Table147[[#This Row],[GP]]</f>
        <v>0.71951219512195119</v>
      </c>
      <c r="I64" s="2">
        <v>0.36</v>
      </c>
      <c r="J64" s="1">
        <v>213</v>
      </c>
      <c r="K64" s="3">
        <f>Table147[[#This Row],[GF]]/Table147[[#This Row],[GP]]</f>
        <v>2.5975609756097562</v>
      </c>
      <c r="L64" s="1">
        <v>329</v>
      </c>
      <c r="M64" s="1">
        <v>4.01</v>
      </c>
      <c r="N64" s="2">
        <f>(Table147[[#This Row],[GF]]^2)/((Table147[[#This Row],[GF]]^2)+(Table147[[#This Row],[GA]]^2))</f>
        <v>0.29535186511294836</v>
      </c>
      <c r="O64" s="1">
        <v>18.3</v>
      </c>
      <c r="P64" s="1">
        <v>75.11</v>
      </c>
      <c r="Q64" s="1">
        <f>Table147[[#This Row],[PP_PCT]]+Table147[[#This Row],[PK_PCT]]</f>
        <v>93.41</v>
      </c>
      <c r="R64" s="3">
        <v>8.9</v>
      </c>
      <c r="S64" s="3">
        <f>Table147[[#This Row],[GA]]/Table147[[#This Row],[GP]]</f>
        <v>4.0121951219512191</v>
      </c>
      <c r="T64" s="2">
        <v>0.90500000000000003</v>
      </c>
      <c r="U64" s="1">
        <v>99.2</v>
      </c>
      <c r="V64" s="1">
        <v>48.5</v>
      </c>
      <c r="W64" s="1">
        <v>47.7</v>
      </c>
      <c r="X64" s="1">
        <v>144.4</v>
      </c>
      <c r="Y64" s="3">
        <f>Table1358[[#This Row],[XGF]]/Table147[[#This Row],[GP]]</f>
        <v>1.7609756097560976</v>
      </c>
      <c r="Z64" s="1">
        <v>156.5</v>
      </c>
      <c r="AA64" s="3">
        <f>Table1358[[#This Row],[XGA]]/Table147[[#This Row],[GP]]</f>
        <v>1.9085365853658536</v>
      </c>
      <c r="AB64" s="1">
        <v>40</v>
      </c>
      <c r="AC64" s="2">
        <f>Table1358[[#This Row],[HDGF]]/Table147[[#This Row],[GP]]</f>
        <v>0.48780487804878048</v>
      </c>
      <c r="AD64" s="1">
        <v>53</v>
      </c>
      <c r="AE64" s="2">
        <f>Table1358[[#This Row],[HDGA]]/Table147[[#This Row],[GP]]</f>
        <v>0.64634146341463417</v>
      </c>
      <c r="AF64" s="1">
        <v>8</v>
      </c>
    </row>
    <row r="65" spans="1:32" hidden="1" x14ac:dyDescent="0.35">
      <c r="A65" t="s">
        <v>89</v>
      </c>
      <c r="B65">
        <v>32</v>
      </c>
      <c r="C65" t="s">
        <v>79</v>
      </c>
      <c r="D65" s="1">
        <v>0</v>
      </c>
      <c r="E65" s="1">
        <v>28.2</v>
      </c>
      <c r="F65" s="1">
        <v>82</v>
      </c>
      <c r="G65" s="1">
        <v>58</v>
      </c>
      <c r="H65" s="2">
        <f>Table147[[#This Row],[PTS]]/Table147[[#This Row],[GP]]</f>
        <v>0.70731707317073167</v>
      </c>
      <c r="I65" s="2">
        <v>0.35399999999999998</v>
      </c>
      <c r="J65" s="1">
        <v>206</v>
      </c>
      <c r="K65" s="3">
        <f>Table147[[#This Row],[GF]]/Table147[[#This Row],[GP]]</f>
        <v>2.5121951219512195</v>
      </c>
      <c r="L65" s="1">
        <v>335</v>
      </c>
      <c r="M65" s="1">
        <v>4.09</v>
      </c>
      <c r="N65" s="2">
        <f>(Table147[[#This Row],[GF]]^2)/((Table147[[#This Row],[GF]]^2)+(Table147[[#This Row],[GA]]^2))</f>
        <v>0.27438074239788957</v>
      </c>
      <c r="O65" s="1">
        <v>15.72</v>
      </c>
      <c r="P65" s="1">
        <v>72.14</v>
      </c>
      <c r="Q65" s="1">
        <f>Table147[[#This Row],[PP_PCT]]+Table147[[#This Row],[PK_PCT]]</f>
        <v>87.86</v>
      </c>
      <c r="R65" s="3">
        <v>8.9</v>
      </c>
      <c r="S65" s="3">
        <f>Table147[[#This Row],[GA]]/Table147[[#This Row],[GP]]</f>
        <v>4.0853658536585362</v>
      </c>
      <c r="T65" s="2">
        <v>0.92500000000000004</v>
      </c>
      <c r="U65" s="1">
        <v>100.7</v>
      </c>
      <c r="V65" s="1">
        <v>49.5</v>
      </c>
      <c r="W65" s="1">
        <v>49.8</v>
      </c>
      <c r="X65" s="1">
        <v>161.4</v>
      </c>
      <c r="Y65" s="3">
        <f>Table1358[[#This Row],[XGF]]/Table147[[#This Row],[GP]]</f>
        <v>1.9682926829268292</v>
      </c>
      <c r="Z65" s="1">
        <v>169.1</v>
      </c>
      <c r="AA65" s="3">
        <f>Table1358[[#This Row],[XGA]]/Table147[[#This Row],[GP]]</f>
        <v>2.0621951219512193</v>
      </c>
      <c r="AB65" s="1">
        <v>76</v>
      </c>
      <c r="AC65" s="2">
        <f>Table1358[[#This Row],[HDGF]]/Table147[[#This Row],[GP]]</f>
        <v>0.92682926829268297</v>
      </c>
      <c r="AD65" s="1">
        <v>69</v>
      </c>
      <c r="AE65" s="2">
        <f>Table1358[[#This Row],[HDGA]]/Table147[[#This Row],[GP]]</f>
        <v>0.84146341463414631</v>
      </c>
      <c r="AF65" s="1">
        <v>11.3</v>
      </c>
    </row>
    <row r="66" spans="1:32" hidden="1" x14ac:dyDescent="0.35">
      <c r="A66" t="s">
        <v>90</v>
      </c>
      <c r="B66">
        <v>1</v>
      </c>
      <c r="C66" t="s">
        <v>64</v>
      </c>
      <c r="D66" s="1">
        <v>1</v>
      </c>
      <c r="E66" s="1">
        <v>29.1</v>
      </c>
      <c r="F66" s="1">
        <v>82</v>
      </c>
      <c r="G66" s="1">
        <v>114</v>
      </c>
      <c r="H66" s="2">
        <f>Table147[[#This Row],[PTS]]/Table147[[#This Row],[GP]]</f>
        <v>1.3902439024390243</v>
      </c>
      <c r="I66" s="2">
        <v>0.69499999999999995</v>
      </c>
      <c r="J66" s="1">
        <v>278</v>
      </c>
      <c r="K66" s="3">
        <f>Table147[[#This Row],[GF]]/Table147[[#This Row],[GP]]</f>
        <v>3.3902439024390243</v>
      </c>
      <c r="L66" s="1">
        <v>226</v>
      </c>
      <c r="M66" s="1">
        <v>2.76</v>
      </c>
      <c r="N66" s="2">
        <f>(Table147[[#This Row],[GF]]^2)/((Table147[[#This Row],[GF]]^2)+(Table147[[#This Row],[GA]]^2))</f>
        <v>0.60208787784356499</v>
      </c>
      <c r="O66" s="1">
        <v>26.42</v>
      </c>
      <c r="P66" s="1">
        <v>84.48</v>
      </c>
      <c r="Q66" s="1">
        <f>Table147[[#This Row],[PP_PCT]]+Table147[[#This Row],[PK_PCT]]</f>
        <v>110.9</v>
      </c>
      <c r="R66" s="3">
        <v>10.8</v>
      </c>
      <c r="S66" s="3">
        <f>Table147[[#This Row],[GA]]/Table147[[#This Row],[GP]]</f>
        <v>2.7560975609756095</v>
      </c>
      <c r="T66" s="2">
        <v>0.93</v>
      </c>
      <c r="U66" s="1">
        <v>100.6</v>
      </c>
      <c r="V66" s="1">
        <v>47.1</v>
      </c>
      <c r="W66" s="1">
        <v>46.7</v>
      </c>
      <c r="X66" s="1">
        <v>169.6</v>
      </c>
      <c r="Y66" s="3">
        <f>Table1358[[#This Row],[XGF]]/Table147[[#This Row],[GP]]</f>
        <v>2.0682926829268293</v>
      </c>
      <c r="Z66" s="1">
        <v>189.3</v>
      </c>
      <c r="AA66" s="3">
        <f>Table1358[[#This Row],[XGA]]/Table147[[#This Row],[GP]]</f>
        <v>2.3085365853658537</v>
      </c>
      <c r="AB66" s="1">
        <v>67</v>
      </c>
      <c r="AC66" s="2">
        <f>Table1358[[#This Row],[HDGF]]/Table147[[#This Row],[GP]]</f>
        <v>0.81707317073170727</v>
      </c>
      <c r="AD66" s="1">
        <v>65</v>
      </c>
      <c r="AE66" s="2">
        <f>Table1358[[#This Row],[HDGA]]/Table147[[#This Row],[GP]]</f>
        <v>0.79268292682926833</v>
      </c>
      <c r="AF66" s="1">
        <v>9.4</v>
      </c>
    </row>
    <row r="67" spans="1:32" hidden="1" x14ac:dyDescent="0.35">
      <c r="A67" t="s">
        <v>90</v>
      </c>
      <c r="B67">
        <v>2</v>
      </c>
      <c r="C67" t="s">
        <v>71</v>
      </c>
      <c r="D67" s="1">
        <v>1</v>
      </c>
      <c r="E67" s="1">
        <v>29.3</v>
      </c>
      <c r="F67" s="1">
        <v>82</v>
      </c>
      <c r="G67" s="1">
        <v>113</v>
      </c>
      <c r="H67" s="2">
        <f>Table147[[#This Row],[PTS]]/Table147[[#This Row],[GP]]</f>
        <v>1.3780487804878048</v>
      </c>
      <c r="I67" s="2">
        <v>0.68899999999999995</v>
      </c>
      <c r="J67" s="1">
        <v>294</v>
      </c>
      <c r="K67" s="3">
        <f>Table147[[#This Row],[GF]]/Table147[[#This Row],[GP]]</f>
        <v>3.5853658536585367</v>
      </c>
      <c r="L67" s="1">
        <v>232</v>
      </c>
      <c r="M67" s="1">
        <v>2.83</v>
      </c>
      <c r="N67" s="2">
        <f>(Table147[[#This Row],[GF]]^2)/((Table147[[#This Row],[GF]]^2)+(Table147[[#This Row],[GA]]^2))</f>
        <v>0.61625552545273066</v>
      </c>
      <c r="O67" s="1">
        <v>24.17</v>
      </c>
      <c r="P67" s="1">
        <v>82.01</v>
      </c>
      <c r="Q67" s="1">
        <f>Table147[[#This Row],[PP_PCT]]+Table147[[#This Row],[PK_PCT]]</f>
        <v>106.18</v>
      </c>
      <c r="R67" s="3">
        <v>11.4</v>
      </c>
      <c r="S67" s="3">
        <f>Table147[[#This Row],[GA]]/Table147[[#This Row],[GP]]</f>
        <v>2.8292682926829267</v>
      </c>
      <c r="T67" s="2">
        <v>0.92700000000000005</v>
      </c>
      <c r="U67" s="1">
        <v>100.4</v>
      </c>
      <c r="V67" s="1">
        <v>51.8</v>
      </c>
      <c r="W67" s="1">
        <v>51.8</v>
      </c>
      <c r="X67" s="1">
        <v>182.3</v>
      </c>
      <c r="Y67" s="3">
        <f>Table1358[[#This Row],[XGF]]/Table147[[#This Row],[GP]]</f>
        <v>2.223170731707317</v>
      </c>
      <c r="Z67" s="1">
        <v>168.7</v>
      </c>
      <c r="AA67" s="3">
        <f>Table1358[[#This Row],[XGA]]/Table147[[#This Row],[GP]]</f>
        <v>2.0573170731707315</v>
      </c>
      <c r="AB67" s="1">
        <v>72</v>
      </c>
      <c r="AC67" s="2">
        <f>Table1358[[#This Row],[HDGF]]/Table147[[#This Row],[GP]]</f>
        <v>0.87804878048780488</v>
      </c>
      <c r="AD67" s="1">
        <v>55</v>
      </c>
      <c r="AE67" s="2">
        <f>Table1358[[#This Row],[HDGA]]/Table147[[#This Row],[GP]]</f>
        <v>0.67073170731707321</v>
      </c>
      <c r="AF67" s="1">
        <v>6.8</v>
      </c>
    </row>
    <row r="68" spans="1:32" hidden="1" x14ac:dyDescent="0.35">
      <c r="A68" t="s">
        <v>90</v>
      </c>
      <c r="B68">
        <v>3</v>
      </c>
      <c r="C68" t="s">
        <v>59</v>
      </c>
      <c r="D68" s="1">
        <v>1</v>
      </c>
      <c r="E68" s="1">
        <v>29.4</v>
      </c>
      <c r="F68" s="1">
        <v>82</v>
      </c>
      <c r="G68" s="1">
        <v>111</v>
      </c>
      <c r="H68" s="2">
        <f>Table147[[#This Row],[PTS]]/Table147[[#This Row],[GP]]</f>
        <v>1.3536585365853659</v>
      </c>
      <c r="I68" s="2">
        <v>0.67700000000000005</v>
      </c>
      <c r="J68" s="1">
        <v>277</v>
      </c>
      <c r="K68" s="3">
        <f>Table147[[#This Row],[GF]]/Table147[[#This Row],[GP]]</f>
        <v>3.3780487804878048</v>
      </c>
      <c r="L68" s="1">
        <v>211</v>
      </c>
      <c r="M68" s="1">
        <v>2.57</v>
      </c>
      <c r="N68" s="2">
        <f>(Table147[[#This Row],[GF]]^2)/((Table147[[#This Row],[GF]]^2)+(Table147[[#This Row],[GA]]^2))</f>
        <v>0.63281649484536084</v>
      </c>
      <c r="O68" s="1">
        <v>26.91</v>
      </c>
      <c r="P68" s="1">
        <v>86.43</v>
      </c>
      <c r="Q68" s="1">
        <f>Table147[[#This Row],[PP_PCT]]+Table147[[#This Row],[PK_PCT]]</f>
        <v>113.34</v>
      </c>
      <c r="R68" s="3">
        <v>10.1</v>
      </c>
      <c r="S68" s="3">
        <f>Table147[[#This Row],[GA]]/Table147[[#This Row],[GP]]</f>
        <v>2.5731707317073171</v>
      </c>
      <c r="T68" s="2">
        <v>0.91200000000000003</v>
      </c>
      <c r="U68" s="1">
        <v>97.6</v>
      </c>
      <c r="V68" s="1">
        <v>51.4</v>
      </c>
      <c r="W68" s="1">
        <v>50.2</v>
      </c>
      <c r="X68" s="1">
        <v>149.80000000000001</v>
      </c>
      <c r="Y68" s="3">
        <f>Table1358[[#This Row],[XGF]]/Table147[[#This Row],[GP]]</f>
        <v>1.826829268292683</v>
      </c>
      <c r="Z68" s="1">
        <v>145.4</v>
      </c>
      <c r="AA68" s="3">
        <f>Table1358[[#This Row],[XGA]]/Table147[[#This Row],[GP]]</f>
        <v>1.7731707317073171</v>
      </c>
      <c r="AB68" s="1">
        <v>48</v>
      </c>
      <c r="AC68" s="2">
        <f>Table1358[[#This Row],[HDGF]]/Table147[[#This Row],[GP]]</f>
        <v>0.58536585365853655</v>
      </c>
      <c r="AD68" s="1">
        <v>44</v>
      </c>
      <c r="AE68" s="2">
        <f>Table1358[[#This Row],[HDGA]]/Table147[[#This Row],[GP]]</f>
        <v>0.53658536585365857</v>
      </c>
      <c r="AF68" s="1">
        <v>8.5</v>
      </c>
    </row>
    <row r="69" spans="1:32" hidden="1" x14ac:dyDescent="0.35">
      <c r="A69" t="s">
        <v>90</v>
      </c>
      <c r="B69">
        <v>4</v>
      </c>
      <c r="C69" t="s">
        <v>75</v>
      </c>
      <c r="D69" s="1">
        <v>1</v>
      </c>
      <c r="E69" s="1">
        <v>29.4</v>
      </c>
      <c r="F69" s="1">
        <v>82</v>
      </c>
      <c r="G69" s="1">
        <v>110</v>
      </c>
      <c r="H69" s="2">
        <f>Table147[[#This Row],[PTS]]/Table147[[#This Row],[GP]]</f>
        <v>1.3414634146341464</v>
      </c>
      <c r="I69" s="2">
        <v>0.67100000000000004</v>
      </c>
      <c r="J69" s="1">
        <v>259</v>
      </c>
      <c r="K69" s="3">
        <f>Table147[[#This Row],[GF]]/Table147[[#This Row],[GP]]</f>
        <v>3.1585365853658538</v>
      </c>
      <c r="L69" s="1">
        <v>198</v>
      </c>
      <c r="M69" s="1">
        <v>2.41</v>
      </c>
      <c r="N69" s="2">
        <f>(Table147[[#This Row],[GF]]^2)/((Table147[[#This Row],[GF]]^2)+(Table147[[#This Row],[GA]]^2))</f>
        <v>0.63114268241050009</v>
      </c>
      <c r="O69" s="1">
        <v>18.75</v>
      </c>
      <c r="P69" s="1">
        <v>77.13</v>
      </c>
      <c r="Q69" s="1">
        <f>Table147[[#This Row],[PP_PCT]]+Table147[[#This Row],[PK_PCT]]</f>
        <v>95.88</v>
      </c>
      <c r="R69" s="3">
        <v>10.4</v>
      </c>
      <c r="S69" s="3">
        <f>Table147[[#This Row],[GA]]/Table147[[#This Row],[GP]]</f>
        <v>2.4146341463414633</v>
      </c>
      <c r="T69" s="2">
        <v>0.90500000000000003</v>
      </c>
      <c r="U69" s="1">
        <v>98.6</v>
      </c>
      <c r="V69" s="1">
        <v>50.4</v>
      </c>
      <c r="W69" s="1">
        <v>50.1</v>
      </c>
      <c r="X69" s="1">
        <v>185.4</v>
      </c>
      <c r="Y69" s="3">
        <f>Table1358[[#This Row],[XGF]]/Table147[[#This Row],[GP]]</f>
        <v>2.2609756097560978</v>
      </c>
      <c r="Z69" s="1">
        <v>180.3</v>
      </c>
      <c r="AA69" s="3">
        <f>Table1358[[#This Row],[XGA]]/Table147[[#This Row],[GP]]</f>
        <v>2.198780487804878</v>
      </c>
      <c r="AB69" s="1">
        <v>82</v>
      </c>
      <c r="AC69" s="2">
        <f>Table1358[[#This Row],[HDGF]]/Table147[[#This Row],[GP]]</f>
        <v>1</v>
      </c>
      <c r="AD69" s="1">
        <v>92</v>
      </c>
      <c r="AE69" s="2">
        <f>Table1358[[#This Row],[HDGA]]/Table147[[#This Row],[GP]]</f>
        <v>1.1219512195121952</v>
      </c>
      <c r="AF69" s="1">
        <v>8.1999999999999993</v>
      </c>
    </row>
    <row r="70" spans="1:32" hidden="1" x14ac:dyDescent="0.35">
      <c r="A70" t="s">
        <v>90</v>
      </c>
      <c r="B70">
        <v>5</v>
      </c>
      <c r="C70" t="s">
        <v>57</v>
      </c>
      <c r="D70" s="1">
        <v>1</v>
      </c>
      <c r="E70" s="1">
        <v>29.5</v>
      </c>
      <c r="F70" s="1">
        <v>82</v>
      </c>
      <c r="G70" s="1">
        <v>110</v>
      </c>
      <c r="H70" s="2">
        <f>Table147[[#This Row],[PTS]]/Table147[[#This Row],[GP]]</f>
        <v>1.3414634146341464</v>
      </c>
      <c r="I70" s="2">
        <v>0.67100000000000004</v>
      </c>
      <c r="J70" s="1">
        <v>265</v>
      </c>
      <c r="K70" s="3">
        <f>Table147[[#This Row],[GF]]/Table147[[#This Row],[GP]]</f>
        <v>3.2317073170731709</v>
      </c>
      <c r="L70" s="1">
        <v>198</v>
      </c>
      <c r="M70" s="1">
        <v>2.41</v>
      </c>
      <c r="N70" s="2">
        <f>(Table147[[#This Row],[GF]]^2)/((Table147[[#This Row],[GF]]^2)+(Table147[[#This Row],[GA]]^2))</f>
        <v>0.64174030650010505</v>
      </c>
      <c r="O70" s="1">
        <v>23.51</v>
      </c>
      <c r="P70" s="1">
        <v>82.47</v>
      </c>
      <c r="Q70" s="1">
        <f>Table147[[#This Row],[PP_PCT]]+Table147[[#This Row],[PK_PCT]]</f>
        <v>105.98</v>
      </c>
      <c r="R70" s="3">
        <v>9.6</v>
      </c>
      <c r="S70" s="3">
        <f>Table147[[#This Row],[GA]]/Table147[[#This Row],[GP]]</f>
        <v>2.4146341463414633</v>
      </c>
      <c r="T70" s="2">
        <v>0.92200000000000004</v>
      </c>
      <c r="U70" s="1">
        <v>100.4</v>
      </c>
      <c r="V70" s="1">
        <v>53.8</v>
      </c>
      <c r="W70" s="1">
        <v>54</v>
      </c>
      <c r="X70" s="1">
        <v>201.7</v>
      </c>
      <c r="Y70" s="3">
        <f>Table1358[[#This Row],[XGF]]/Table147[[#This Row],[GP]]</f>
        <v>2.4597560975609754</v>
      </c>
      <c r="Z70" s="1">
        <v>155.6</v>
      </c>
      <c r="AA70" s="3">
        <f>Table1358[[#This Row],[XGA]]/Table147[[#This Row],[GP]]</f>
        <v>1.897560975609756</v>
      </c>
      <c r="AB70" s="1">
        <v>84</v>
      </c>
      <c r="AC70" s="2">
        <f>Table1358[[#This Row],[HDGF]]/Table147[[#This Row],[GP]]</f>
        <v>1.024390243902439</v>
      </c>
      <c r="AD70" s="1">
        <v>62</v>
      </c>
      <c r="AE70" s="2">
        <f>Table1358[[#This Row],[HDGA]]/Table147[[#This Row],[GP]]</f>
        <v>0.75609756097560976</v>
      </c>
      <c r="AF70" s="1">
        <v>13.6</v>
      </c>
    </row>
    <row r="71" spans="1:32" hidden="1" x14ac:dyDescent="0.35">
      <c r="A71" t="s">
        <v>90</v>
      </c>
      <c r="B71">
        <v>6</v>
      </c>
      <c r="C71" t="s">
        <v>66</v>
      </c>
      <c r="D71" s="1">
        <v>1</v>
      </c>
      <c r="E71" s="1">
        <v>28.6</v>
      </c>
      <c r="F71" s="1">
        <v>82</v>
      </c>
      <c r="G71" s="1">
        <v>109</v>
      </c>
      <c r="H71" s="2">
        <f>Table147[[#This Row],[PTS]]/Table147[[#This Row],[GP]]</f>
        <v>1.3292682926829269</v>
      </c>
      <c r="I71" s="2">
        <v>0.66500000000000004</v>
      </c>
      <c r="J71" s="1">
        <v>263</v>
      </c>
      <c r="K71" s="3">
        <f>Table147[[#This Row],[GF]]/Table147[[#This Row],[GP]]</f>
        <v>3.2073170731707319</v>
      </c>
      <c r="L71" s="1">
        <v>221</v>
      </c>
      <c r="M71" s="1">
        <v>2.7</v>
      </c>
      <c r="N71" s="2">
        <f>(Table147[[#This Row],[GF]]^2)/((Table147[[#This Row],[GF]]^2)+(Table147[[#This Row],[GA]]^2))</f>
        <v>0.58612829421235491</v>
      </c>
      <c r="O71" s="1">
        <v>22.22</v>
      </c>
      <c r="P71" s="1">
        <v>82.46</v>
      </c>
      <c r="Q71" s="1">
        <f>Table147[[#This Row],[PP_PCT]]+Table147[[#This Row],[PK_PCT]]</f>
        <v>104.67999999999999</v>
      </c>
      <c r="R71" s="3">
        <v>11</v>
      </c>
      <c r="S71" s="3">
        <f>Table147[[#This Row],[GA]]/Table147[[#This Row],[GP]]</f>
        <v>2.6951219512195124</v>
      </c>
      <c r="T71" s="2">
        <v>0.91200000000000003</v>
      </c>
      <c r="U71" s="1">
        <v>99.5</v>
      </c>
      <c r="V71" s="1">
        <v>52.6</v>
      </c>
      <c r="W71" s="1">
        <v>50.8</v>
      </c>
      <c r="X71" s="1">
        <v>177.2</v>
      </c>
      <c r="Y71" s="3">
        <f>Table1358[[#This Row],[XGF]]/Table147[[#This Row],[GP]]</f>
        <v>2.1609756097560973</v>
      </c>
      <c r="Z71" s="1">
        <v>173.8</v>
      </c>
      <c r="AA71" s="3">
        <f>Table1358[[#This Row],[XGA]]/Table147[[#This Row],[GP]]</f>
        <v>2.1195121951219513</v>
      </c>
      <c r="AB71" s="1">
        <v>69</v>
      </c>
      <c r="AC71" s="2">
        <f>Table1358[[#This Row],[HDGF]]/Table147[[#This Row],[GP]]</f>
        <v>0.84146341463414631</v>
      </c>
      <c r="AD71" s="1">
        <v>77</v>
      </c>
      <c r="AE71" s="2">
        <f>Table1358[[#This Row],[HDGA]]/Table147[[#This Row],[GP]]</f>
        <v>0.93902439024390238</v>
      </c>
      <c r="AF71" s="1">
        <v>9.5</v>
      </c>
    </row>
    <row r="72" spans="1:32" hidden="1" x14ac:dyDescent="0.35">
      <c r="A72" t="s">
        <v>90</v>
      </c>
      <c r="B72">
        <v>7</v>
      </c>
      <c r="C72" t="s">
        <v>74</v>
      </c>
      <c r="D72" s="1">
        <v>1</v>
      </c>
      <c r="E72" s="1">
        <v>28.6</v>
      </c>
      <c r="F72" s="1">
        <v>82</v>
      </c>
      <c r="G72" s="1">
        <v>109</v>
      </c>
      <c r="H72" s="2">
        <f>Table147[[#This Row],[PTS]]/Table147[[#This Row],[GP]]</f>
        <v>1.3292682926829269</v>
      </c>
      <c r="I72" s="2">
        <v>0.66500000000000004</v>
      </c>
      <c r="J72" s="1">
        <v>279</v>
      </c>
      <c r="K72" s="3">
        <f>Table147[[#This Row],[GF]]/Table147[[#This Row],[GP]]</f>
        <v>3.4024390243902438</v>
      </c>
      <c r="L72" s="1">
        <v>221</v>
      </c>
      <c r="M72" s="1">
        <v>2.7</v>
      </c>
      <c r="N72" s="2">
        <f>(Table147[[#This Row],[GF]]^2)/((Table147[[#This Row],[GF]]^2)+(Table147[[#This Row],[GA]]^2))</f>
        <v>0.6144598285470706</v>
      </c>
      <c r="O72" s="1">
        <v>22.57</v>
      </c>
      <c r="P72" s="1">
        <v>79.13</v>
      </c>
      <c r="Q72" s="1">
        <f>Table147[[#This Row],[PP_PCT]]+Table147[[#This Row],[PK_PCT]]</f>
        <v>101.69999999999999</v>
      </c>
      <c r="R72" s="3">
        <v>12</v>
      </c>
      <c r="S72" s="3">
        <f>Table147[[#This Row],[GA]]/Table147[[#This Row],[GP]]</f>
        <v>2.6951219512195124</v>
      </c>
      <c r="T72" s="2">
        <v>0.92200000000000004</v>
      </c>
      <c r="U72" s="1">
        <v>100.1</v>
      </c>
      <c r="V72" s="1">
        <v>51.4</v>
      </c>
      <c r="W72" s="1">
        <v>49.8</v>
      </c>
      <c r="X72" s="1">
        <v>152.80000000000001</v>
      </c>
      <c r="Y72" s="3">
        <f>Table1358[[#This Row],[XGF]]/Table147[[#This Row],[GP]]</f>
        <v>1.8634146341463416</v>
      </c>
      <c r="Z72" s="1">
        <v>141.69999999999999</v>
      </c>
      <c r="AA72" s="3">
        <f>Table1358[[#This Row],[XGA]]/Table147[[#This Row],[GP]]</f>
        <v>1.7280487804878046</v>
      </c>
      <c r="AB72" s="1">
        <v>51</v>
      </c>
      <c r="AC72" s="2">
        <f>Table1358[[#This Row],[HDGF]]/Table147[[#This Row],[GP]]</f>
        <v>0.62195121951219512</v>
      </c>
      <c r="AD72" s="1">
        <v>46</v>
      </c>
      <c r="AE72" s="2">
        <f>Table1358[[#This Row],[HDGA]]/Table147[[#This Row],[GP]]</f>
        <v>0.56097560975609762</v>
      </c>
      <c r="AF72" s="1">
        <v>9.6</v>
      </c>
    </row>
    <row r="73" spans="1:32" hidden="1" x14ac:dyDescent="0.35">
      <c r="A73" t="s">
        <v>90</v>
      </c>
      <c r="B73">
        <v>8</v>
      </c>
      <c r="C73" t="s">
        <v>58</v>
      </c>
      <c r="D73" s="1">
        <v>1</v>
      </c>
      <c r="E73" s="1">
        <v>28.8</v>
      </c>
      <c r="F73" s="1">
        <v>82</v>
      </c>
      <c r="G73" s="1">
        <v>107</v>
      </c>
      <c r="H73" s="2">
        <f>Table147[[#This Row],[PTS]]/Table147[[#This Row],[GP]]</f>
        <v>1.3048780487804879</v>
      </c>
      <c r="I73" s="2">
        <v>0.65200000000000002</v>
      </c>
      <c r="J73" s="1">
        <v>302</v>
      </c>
      <c r="K73" s="3">
        <f>Table147[[#This Row],[GF]]/Table147[[#This Row],[GP]]</f>
        <v>3.6829268292682928</v>
      </c>
      <c r="L73" s="1">
        <v>252</v>
      </c>
      <c r="M73" s="1">
        <v>3.07</v>
      </c>
      <c r="N73" s="2">
        <f>(Table147[[#This Row],[GF]]^2)/((Table147[[#This Row],[GF]]^2)+(Table147[[#This Row],[GA]]^2))</f>
        <v>0.58952348941231225</v>
      </c>
      <c r="O73" s="1">
        <v>24.46</v>
      </c>
      <c r="P73" s="1">
        <v>79.92</v>
      </c>
      <c r="Q73" s="1">
        <f>Table147[[#This Row],[PP_PCT]]+Table147[[#This Row],[PK_PCT]]</f>
        <v>104.38</v>
      </c>
      <c r="R73" s="3">
        <v>11.2</v>
      </c>
      <c r="S73" s="3">
        <f>Table147[[#This Row],[GA]]/Table147[[#This Row],[GP]]</f>
        <v>3.0731707317073171</v>
      </c>
      <c r="T73" s="2">
        <v>0.93</v>
      </c>
      <c r="U73" s="1">
        <v>100.9</v>
      </c>
      <c r="V73" s="1">
        <v>46</v>
      </c>
      <c r="W73" s="1">
        <v>46.1</v>
      </c>
      <c r="X73" s="1">
        <v>174.9</v>
      </c>
      <c r="Y73" s="3">
        <f>Table1358[[#This Row],[XGF]]/Table147[[#This Row],[GP]]</f>
        <v>2.1329268292682926</v>
      </c>
      <c r="Z73" s="1">
        <v>196.6</v>
      </c>
      <c r="AA73" s="3">
        <f>Table1358[[#This Row],[XGA]]/Table147[[#This Row],[GP]]</f>
        <v>2.397560975609756</v>
      </c>
      <c r="AB73" s="1">
        <v>74</v>
      </c>
      <c r="AC73" s="2">
        <f>Table1358[[#This Row],[HDGF]]/Table147[[#This Row],[GP]]</f>
        <v>0.90243902439024393</v>
      </c>
      <c r="AD73" s="1">
        <v>66</v>
      </c>
      <c r="AE73" s="2">
        <f>Table1358[[#This Row],[HDGA]]/Table147[[#This Row],[GP]]</f>
        <v>0.80487804878048785</v>
      </c>
      <c r="AF73" s="1">
        <v>8.9</v>
      </c>
    </row>
    <row r="74" spans="1:32" hidden="1" x14ac:dyDescent="0.35">
      <c r="A74" t="s">
        <v>90</v>
      </c>
      <c r="B74">
        <v>9</v>
      </c>
      <c r="C74" t="s">
        <v>67</v>
      </c>
      <c r="D74" s="1">
        <v>1</v>
      </c>
      <c r="E74" s="1">
        <v>29.4</v>
      </c>
      <c r="F74" s="1">
        <v>82</v>
      </c>
      <c r="G74" s="1">
        <v>104</v>
      </c>
      <c r="H74" s="2">
        <f>Table147[[#This Row],[PTS]]/Table147[[#This Row],[GP]]</f>
        <v>1.2682926829268293</v>
      </c>
      <c r="I74" s="2">
        <v>0.63400000000000001</v>
      </c>
      <c r="J74" s="1">
        <v>292</v>
      </c>
      <c r="K74" s="3">
        <f>Table147[[#This Row],[GF]]/Table147[[#This Row],[GP]]</f>
        <v>3.5609756097560976</v>
      </c>
      <c r="L74" s="1">
        <v>236</v>
      </c>
      <c r="M74" s="1">
        <v>2.88</v>
      </c>
      <c r="N74" s="2">
        <f>(Table147[[#This Row],[GF]]^2)/((Table147[[#This Row],[GF]]^2)+(Table147[[#This Row],[GA]]^2))</f>
        <v>0.60488081725312148</v>
      </c>
      <c r="O74" s="1">
        <v>26.34</v>
      </c>
      <c r="P74" s="1">
        <v>79.459999999999994</v>
      </c>
      <c r="Q74" s="1">
        <f>Table147[[#This Row],[PP_PCT]]+Table147[[#This Row],[PK_PCT]]</f>
        <v>105.8</v>
      </c>
      <c r="R74" s="3">
        <v>10.5</v>
      </c>
      <c r="S74" s="3">
        <f>Table147[[#This Row],[GA]]/Table147[[#This Row],[GP]]</f>
        <v>2.8780487804878048</v>
      </c>
      <c r="T74" s="2">
        <v>0.93100000000000005</v>
      </c>
      <c r="U74" s="1">
        <v>101.3</v>
      </c>
      <c r="V74" s="1">
        <v>49.8</v>
      </c>
      <c r="W74" s="1">
        <v>49.5</v>
      </c>
      <c r="X74" s="1">
        <v>188.3</v>
      </c>
      <c r="Y74" s="3">
        <f>Table1358[[#This Row],[XGF]]/Table147[[#This Row],[GP]]</f>
        <v>2.2963414634146342</v>
      </c>
      <c r="Z74" s="1">
        <v>183.8</v>
      </c>
      <c r="AA74" s="3">
        <f>Table1358[[#This Row],[XGA]]/Table147[[#This Row],[GP]]</f>
        <v>2.2414634146341466</v>
      </c>
      <c r="AB74" s="1">
        <v>71</v>
      </c>
      <c r="AC74" s="2">
        <f>Table1358[[#This Row],[HDGF]]/Table147[[#This Row],[GP]]</f>
        <v>0.86585365853658536</v>
      </c>
      <c r="AD74" s="1">
        <v>65</v>
      </c>
      <c r="AE74" s="2">
        <f>Table1358[[#This Row],[HDGA]]/Table147[[#This Row],[GP]]</f>
        <v>0.79268292682926833</v>
      </c>
      <c r="AF74" s="1">
        <v>9.5</v>
      </c>
    </row>
    <row r="75" spans="1:32" hidden="1" x14ac:dyDescent="0.35">
      <c r="A75" t="s">
        <v>90</v>
      </c>
      <c r="B75">
        <v>10</v>
      </c>
      <c r="C75" t="s">
        <v>60</v>
      </c>
      <c r="D75" s="1">
        <v>1</v>
      </c>
      <c r="E75" s="1">
        <v>28.9</v>
      </c>
      <c r="F75" s="1">
        <v>82</v>
      </c>
      <c r="G75" s="1">
        <v>102</v>
      </c>
      <c r="H75" s="2">
        <f>Table147[[#This Row],[PTS]]/Table147[[#This Row],[GP]]</f>
        <v>1.2439024390243902</v>
      </c>
      <c r="I75" s="2">
        <v>0.622</v>
      </c>
      <c r="J75" s="1">
        <v>298</v>
      </c>
      <c r="K75" s="3">
        <f>Table147[[#This Row],[GF]]/Table147[[#This Row],[GP]]</f>
        <v>3.6341463414634148</v>
      </c>
      <c r="L75" s="1">
        <v>261</v>
      </c>
      <c r="M75" s="1">
        <v>3.18</v>
      </c>
      <c r="N75" s="2">
        <f>(Table147[[#This Row],[GF]]^2)/((Table147[[#This Row],[GF]]^2)+(Table147[[#This Row],[GA]]^2))</f>
        <v>0.56590090807710691</v>
      </c>
      <c r="O75" s="1">
        <v>23.95</v>
      </c>
      <c r="P75" s="1">
        <v>76.89</v>
      </c>
      <c r="Q75" s="1">
        <f>Table147[[#This Row],[PP_PCT]]+Table147[[#This Row],[PK_PCT]]</f>
        <v>100.84</v>
      </c>
      <c r="R75" s="3">
        <v>11.2</v>
      </c>
      <c r="S75" s="3">
        <f>Table147[[#This Row],[GA]]/Table147[[#This Row],[GP]]</f>
        <v>3.1829268292682928</v>
      </c>
      <c r="T75" s="2">
        <v>0.93</v>
      </c>
      <c r="U75" s="1">
        <v>100.7</v>
      </c>
      <c r="V75" s="1">
        <v>47.5</v>
      </c>
      <c r="W75" s="1">
        <v>48.3</v>
      </c>
      <c r="X75" s="1">
        <v>174.4</v>
      </c>
      <c r="Y75" s="3">
        <f>Table1358[[#This Row],[XGF]]/Table147[[#This Row],[GP]]</f>
        <v>2.126829268292683</v>
      </c>
      <c r="Z75" s="1">
        <v>177.4</v>
      </c>
      <c r="AA75" s="3">
        <f>Table1358[[#This Row],[XGA]]/Table147[[#This Row],[GP]]</f>
        <v>2.1634146341463416</v>
      </c>
      <c r="AB75" s="1">
        <v>65</v>
      </c>
      <c r="AC75" s="2">
        <f>Table1358[[#This Row],[HDGF]]/Table147[[#This Row],[GP]]</f>
        <v>0.79268292682926833</v>
      </c>
      <c r="AD75" s="1">
        <v>60</v>
      </c>
      <c r="AE75" s="2">
        <f>Table1358[[#This Row],[HDGA]]/Table147[[#This Row],[GP]]</f>
        <v>0.73170731707317072</v>
      </c>
      <c r="AF75" s="1">
        <v>9.9</v>
      </c>
    </row>
    <row r="76" spans="1:32" hidden="1" x14ac:dyDescent="0.35">
      <c r="A76" t="s">
        <v>90</v>
      </c>
      <c r="B76">
        <v>11</v>
      </c>
      <c r="C76" t="s">
        <v>72</v>
      </c>
      <c r="D76" s="1">
        <v>1</v>
      </c>
      <c r="E76" s="1">
        <v>29.5</v>
      </c>
      <c r="F76" s="1">
        <v>82</v>
      </c>
      <c r="G76" s="1">
        <v>99</v>
      </c>
      <c r="H76" s="2">
        <f>Table147[[#This Row],[PTS]]/Table147[[#This Row],[GP]]</f>
        <v>1.2073170731707317</v>
      </c>
      <c r="I76" s="2">
        <v>0.60399999999999998</v>
      </c>
      <c r="J76" s="1">
        <v>266</v>
      </c>
      <c r="K76" s="3">
        <f>Table147[[#This Row],[GF]]/Table147[[#This Row],[GP]]</f>
        <v>3.2439024390243905</v>
      </c>
      <c r="L76" s="1">
        <v>248</v>
      </c>
      <c r="M76" s="1">
        <v>3.02</v>
      </c>
      <c r="N76" s="2">
        <f>(Table147[[#This Row],[GF]]^2)/((Table147[[#This Row],[GF]]^2)+(Table147[[#This Row],[GA]]^2))</f>
        <v>0.53497656131861482</v>
      </c>
      <c r="O76" s="1">
        <v>21.56</v>
      </c>
      <c r="P76" s="1">
        <v>76.92</v>
      </c>
      <c r="Q76" s="1">
        <f>Table147[[#This Row],[PP_PCT]]+Table147[[#This Row],[PK_PCT]]</f>
        <v>98.48</v>
      </c>
      <c r="R76" s="3">
        <v>10.1</v>
      </c>
      <c r="S76" s="3">
        <f>Table147[[#This Row],[GA]]/Table147[[#This Row],[GP]]</f>
        <v>3.024390243902439</v>
      </c>
      <c r="T76" s="2">
        <v>0.92500000000000004</v>
      </c>
      <c r="U76" s="1">
        <v>100.5</v>
      </c>
      <c r="V76" s="1">
        <v>50.4</v>
      </c>
      <c r="W76" s="1">
        <v>50.4</v>
      </c>
      <c r="X76" s="1">
        <v>148.5</v>
      </c>
      <c r="Y76" s="3">
        <f>Table1358[[#This Row],[XGF]]/Table147[[#This Row],[GP]]</f>
        <v>1.8109756097560976</v>
      </c>
      <c r="Z76" s="1">
        <v>152.80000000000001</v>
      </c>
      <c r="AA76" s="3">
        <f>Table1358[[#This Row],[XGA]]/Table147[[#This Row],[GP]]</f>
        <v>1.8634146341463416</v>
      </c>
      <c r="AB76" s="1">
        <v>49</v>
      </c>
      <c r="AC76" s="2">
        <f>Table1358[[#This Row],[HDGF]]/Table147[[#This Row],[GP]]</f>
        <v>0.59756097560975607</v>
      </c>
      <c r="AD76" s="1">
        <v>41</v>
      </c>
      <c r="AE76" s="2">
        <f>Table1358[[#This Row],[HDGA]]/Table147[[#This Row],[GP]]</f>
        <v>0.5</v>
      </c>
      <c r="AF76" s="1">
        <v>9.6999999999999993</v>
      </c>
    </row>
    <row r="77" spans="1:32" hidden="1" x14ac:dyDescent="0.35">
      <c r="A77" t="s">
        <v>90</v>
      </c>
      <c r="B77">
        <v>12</v>
      </c>
      <c r="C77" t="s">
        <v>70</v>
      </c>
      <c r="D77" s="1">
        <v>1</v>
      </c>
      <c r="E77" s="1">
        <v>29.5</v>
      </c>
      <c r="F77" s="1">
        <v>82</v>
      </c>
      <c r="G77" s="1">
        <v>99</v>
      </c>
      <c r="H77" s="2">
        <f>Table147[[#This Row],[PTS]]/Table147[[#This Row],[GP]]</f>
        <v>1.2073170731707317</v>
      </c>
      <c r="I77" s="2">
        <v>0.60399999999999998</v>
      </c>
      <c r="J77" s="1">
        <v>254</v>
      </c>
      <c r="K77" s="3">
        <f>Table147[[#This Row],[GF]]/Table147[[#This Row],[GP]]</f>
        <v>3.0975609756097562</v>
      </c>
      <c r="L77" s="1">
        <v>210</v>
      </c>
      <c r="M77" s="1">
        <v>2.56</v>
      </c>
      <c r="N77" s="2">
        <f>(Table147[[#This Row],[GF]]^2)/((Table147[[#This Row],[GF]]^2)+(Table147[[#This Row],[GA]]^2))</f>
        <v>0.59398247035427565</v>
      </c>
      <c r="O77" s="1">
        <v>22.58</v>
      </c>
      <c r="P77" s="1">
        <v>84.58</v>
      </c>
      <c r="Q77" s="1">
        <f>Table147[[#This Row],[PP_PCT]]+Table147[[#This Row],[PK_PCT]]</f>
        <v>107.16</v>
      </c>
      <c r="R77" s="3">
        <v>9.6999999999999993</v>
      </c>
      <c r="S77" s="3">
        <f>Table147[[#This Row],[GA]]/Table147[[#This Row],[GP]]</f>
        <v>2.5609756097560976</v>
      </c>
      <c r="T77" s="2">
        <v>0.93</v>
      </c>
      <c r="U77" s="1">
        <v>101</v>
      </c>
      <c r="V77" s="1">
        <v>47.1</v>
      </c>
      <c r="W77" s="1">
        <v>47.4</v>
      </c>
      <c r="X77" s="1">
        <v>163.9</v>
      </c>
      <c r="Y77" s="3">
        <f>Table1358[[#This Row],[XGF]]/Table147[[#This Row],[GP]]</f>
        <v>1.998780487804878</v>
      </c>
      <c r="Z77" s="1">
        <v>177.1</v>
      </c>
      <c r="AA77" s="3">
        <f>Table1358[[#This Row],[XGA]]/Table147[[#This Row],[GP]]</f>
        <v>2.1597560975609755</v>
      </c>
      <c r="AB77" s="1">
        <v>75</v>
      </c>
      <c r="AC77" s="2">
        <f>Table1358[[#This Row],[HDGF]]/Table147[[#This Row],[GP]]</f>
        <v>0.91463414634146345</v>
      </c>
      <c r="AD77" s="1">
        <v>64</v>
      </c>
      <c r="AE77" s="2">
        <f>Table1358[[#This Row],[HDGA]]/Table147[[#This Row],[GP]]</f>
        <v>0.78048780487804881</v>
      </c>
      <c r="AF77" s="1">
        <v>8.6999999999999993</v>
      </c>
    </row>
    <row r="78" spans="1:32" hidden="1" x14ac:dyDescent="0.35">
      <c r="A78" t="s">
        <v>90</v>
      </c>
      <c r="B78">
        <v>13</v>
      </c>
      <c r="C78" t="s">
        <v>63</v>
      </c>
      <c r="D78" s="1">
        <v>1</v>
      </c>
      <c r="E78" s="1">
        <v>29.1</v>
      </c>
      <c r="F78" s="1">
        <v>82</v>
      </c>
      <c r="G78" s="1">
        <v>98</v>
      </c>
      <c r="H78" s="2">
        <f>Table147[[#This Row],[PTS]]/Table147[[#This Row],[GP]]</f>
        <v>1.1951219512195121</v>
      </c>
      <c r="I78" s="2">
        <v>0.59799999999999998</v>
      </c>
      <c r="J78" s="1">
        <v>288</v>
      </c>
      <c r="K78" s="3">
        <f>Table147[[#This Row],[GF]]/Table147[[#This Row],[GP]]</f>
        <v>3.5121951219512195</v>
      </c>
      <c r="L78" s="1">
        <v>267</v>
      </c>
      <c r="M78" s="1">
        <v>3.26</v>
      </c>
      <c r="N78" s="2">
        <f>(Table147[[#This Row],[GF]]^2)/((Table147[[#This Row],[GF]]^2)+(Table147[[#This Row],[GA]]^2))</f>
        <v>0.53778374277878271</v>
      </c>
      <c r="O78" s="1">
        <v>28.63</v>
      </c>
      <c r="P78" s="1">
        <v>83.33</v>
      </c>
      <c r="Q78" s="1">
        <f>Table147[[#This Row],[PP_PCT]]+Table147[[#This Row],[PK_PCT]]</f>
        <v>111.96</v>
      </c>
      <c r="R78" s="3">
        <v>12</v>
      </c>
      <c r="S78" s="3">
        <f>Table147[[#This Row],[GA]]/Table147[[#This Row],[GP]]</f>
        <v>3.2560975609756095</v>
      </c>
      <c r="T78" s="2">
        <v>0.92600000000000005</v>
      </c>
      <c r="U78" s="1">
        <v>101.1</v>
      </c>
      <c r="V78" s="1">
        <v>49.8</v>
      </c>
      <c r="W78" s="1">
        <v>50.3</v>
      </c>
      <c r="X78" s="1">
        <v>178.5</v>
      </c>
      <c r="Y78" s="3">
        <f>Table1358[[#This Row],[XGF]]/Table147[[#This Row],[GP]]</f>
        <v>2.1768292682926829</v>
      </c>
      <c r="Z78" s="1">
        <v>180.7</v>
      </c>
      <c r="AA78" s="3">
        <f>Table1358[[#This Row],[XGA]]/Table147[[#This Row],[GP]]</f>
        <v>2.2036585365853658</v>
      </c>
      <c r="AB78" s="1">
        <v>72</v>
      </c>
      <c r="AC78" s="2">
        <f>Table1358[[#This Row],[HDGF]]/Table147[[#This Row],[GP]]</f>
        <v>0.87804878048780488</v>
      </c>
      <c r="AD78" s="1">
        <v>54</v>
      </c>
      <c r="AE78" s="2">
        <f>Table1358[[#This Row],[HDGA]]/Table147[[#This Row],[GP]]</f>
        <v>0.65853658536585369</v>
      </c>
      <c r="AF78" s="1">
        <v>11</v>
      </c>
    </row>
    <row r="79" spans="1:32" hidden="1" x14ac:dyDescent="0.35">
      <c r="A79" t="s">
        <v>90</v>
      </c>
      <c r="B79">
        <v>14</v>
      </c>
      <c r="C79" t="s">
        <v>73</v>
      </c>
      <c r="D79" s="1">
        <v>1</v>
      </c>
      <c r="E79" s="1">
        <v>29</v>
      </c>
      <c r="F79" s="1">
        <v>82</v>
      </c>
      <c r="G79" s="1">
        <v>98</v>
      </c>
      <c r="H79" s="2">
        <f>Table147[[#This Row],[PTS]]/Table147[[#This Row],[GP]]</f>
        <v>1.1951219512195121</v>
      </c>
      <c r="I79" s="2">
        <v>0.59799999999999998</v>
      </c>
      <c r="J79" s="1">
        <v>263</v>
      </c>
      <c r="K79" s="3">
        <f>Table147[[#This Row],[GF]]/Table147[[#This Row],[GP]]</f>
        <v>3.2073170731707319</v>
      </c>
      <c r="L79" s="1">
        <v>243</v>
      </c>
      <c r="M79" s="1">
        <v>2.96</v>
      </c>
      <c r="N79" s="2">
        <f>(Table147[[#This Row],[GF]]^2)/((Table147[[#This Row],[GF]]^2)+(Table147[[#This Row],[GA]]^2))</f>
        <v>0.53946403781060381</v>
      </c>
      <c r="O79" s="1">
        <v>20.239999999999998</v>
      </c>
      <c r="P79" s="1">
        <v>79.34</v>
      </c>
      <c r="Q79" s="1">
        <f>Table147[[#This Row],[PP_PCT]]+Table147[[#This Row],[PK_PCT]]</f>
        <v>99.58</v>
      </c>
      <c r="R79" s="3">
        <v>10.3</v>
      </c>
      <c r="S79" s="3">
        <f>Table147[[#This Row],[GA]]/Table147[[#This Row],[GP]]</f>
        <v>2.9634146341463414</v>
      </c>
      <c r="T79" s="2">
        <v>0.92100000000000004</v>
      </c>
      <c r="U79" s="1">
        <v>99.9</v>
      </c>
      <c r="V79" s="1">
        <v>50.5</v>
      </c>
      <c r="W79" s="1">
        <v>50.4</v>
      </c>
      <c r="X79" s="1">
        <v>169</v>
      </c>
      <c r="Y79" s="3">
        <f>Table1358[[#This Row],[XGF]]/Table147[[#This Row],[GP]]</f>
        <v>2.0609756097560976</v>
      </c>
      <c r="Z79" s="1">
        <v>167.8</v>
      </c>
      <c r="AA79" s="3">
        <f>Table1358[[#This Row],[XGA]]/Table147[[#This Row],[GP]]</f>
        <v>2.0463414634146342</v>
      </c>
      <c r="AB79" s="1">
        <v>55</v>
      </c>
      <c r="AC79" s="2">
        <f>Table1358[[#This Row],[HDGF]]/Table147[[#This Row],[GP]]</f>
        <v>0.67073170731707321</v>
      </c>
      <c r="AD79" s="1">
        <v>73</v>
      </c>
      <c r="AE79" s="2">
        <f>Table1358[[#This Row],[HDGA]]/Table147[[#This Row],[GP]]</f>
        <v>0.8902439024390244</v>
      </c>
      <c r="AF79" s="1">
        <v>7.4</v>
      </c>
    </row>
    <row r="80" spans="1:32" hidden="1" x14ac:dyDescent="0.35">
      <c r="A80" t="s">
        <v>90</v>
      </c>
      <c r="B80">
        <v>15</v>
      </c>
      <c r="C80" t="s">
        <v>76</v>
      </c>
      <c r="D80" s="1">
        <v>1</v>
      </c>
      <c r="E80" s="1">
        <v>29.6</v>
      </c>
      <c r="F80" s="1">
        <v>82</v>
      </c>
      <c r="G80" s="1">
        <v>94</v>
      </c>
      <c r="H80" s="2">
        <f>Table147[[#This Row],[PTS]]/Table147[[#This Row],[GP]]</f>
        <v>1.1463414634146341</v>
      </c>
      <c r="I80" s="2">
        <v>0.57299999999999995</v>
      </c>
      <c r="J80" s="1">
        <v>245</v>
      </c>
      <c r="K80" s="3">
        <f>Table147[[#This Row],[GF]]/Table147[[#This Row],[GP]]</f>
        <v>2.9878048780487805</v>
      </c>
      <c r="L80" s="1">
        <v>258</v>
      </c>
      <c r="M80" s="1">
        <v>3.15</v>
      </c>
      <c r="N80" s="2">
        <f>(Table147[[#This Row],[GF]]^2)/((Table147[[#This Row],[GF]]^2)+(Table147[[#This Row],[GA]]^2))</f>
        <v>0.47417232144973104</v>
      </c>
      <c r="O80" s="1">
        <v>20.350000000000001</v>
      </c>
      <c r="P80" s="1">
        <v>71.489999999999995</v>
      </c>
      <c r="Q80" s="1">
        <f>Table147[[#This Row],[PP_PCT]]+Table147[[#This Row],[PK_PCT]]</f>
        <v>91.84</v>
      </c>
      <c r="R80" s="3">
        <v>9.9</v>
      </c>
      <c r="S80" s="3">
        <f>Table147[[#This Row],[GA]]/Table147[[#This Row],[GP]]</f>
        <v>3.1463414634146343</v>
      </c>
      <c r="T80" s="2">
        <v>0.91800000000000004</v>
      </c>
      <c r="U80" s="1">
        <v>100.4</v>
      </c>
      <c r="V80" s="1">
        <v>49.3</v>
      </c>
      <c r="W80" s="1">
        <v>48.7</v>
      </c>
      <c r="X80" s="1">
        <v>145</v>
      </c>
      <c r="Y80" s="3">
        <f>Table1358[[#This Row],[XGF]]/Table147[[#This Row],[GP]]</f>
        <v>1.7682926829268293</v>
      </c>
      <c r="Z80" s="1">
        <v>172.4</v>
      </c>
      <c r="AA80" s="3">
        <f>Table1358[[#This Row],[XGA]]/Table147[[#This Row],[GP]]</f>
        <v>2.102439024390244</v>
      </c>
      <c r="AB80" s="1">
        <v>57</v>
      </c>
      <c r="AC80" s="2">
        <f>Table1358[[#This Row],[HDGF]]/Table147[[#This Row],[GP]]</f>
        <v>0.69512195121951215</v>
      </c>
      <c r="AD80" s="1">
        <v>52</v>
      </c>
      <c r="AE80" s="2">
        <f>Table1358[[#This Row],[HDGA]]/Table147[[#This Row],[GP]]</f>
        <v>0.63414634146341464</v>
      </c>
      <c r="AF80" s="1">
        <v>7.1</v>
      </c>
    </row>
    <row r="81" spans="1:32" hidden="1" x14ac:dyDescent="0.35">
      <c r="A81" t="s">
        <v>90</v>
      </c>
      <c r="B81">
        <v>16</v>
      </c>
      <c r="C81" t="s">
        <v>65</v>
      </c>
      <c r="D81" s="1">
        <v>0</v>
      </c>
      <c r="E81" s="1">
        <v>29</v>
      </c>
      <c r="F81" s="1">
        <v>82</v>
      </c>
      <c r="G81" s="1">
        <v>92</v>
      </c>
      <c r="H81" s="2">
        <f>Table147[[#This Row],[PTS]]/Table147[[#This Row],[GP]]</f>
        <v>1.1219512195121952</v>
      </c>
      <c r="I81" s="2">
        <v>0.56100000000000005</v>
      </c>
      <c r="J81" s="1">
        <v>234</v>
      </c>
      <c r="K81" s="3">
        <f>Table147[[#This Row],[GF]]/Table147[[#This Row],[GP]]</f>
        <v>2.8536585365853657</v>
      </c>
      <c r="L81" s="1">
        <v>248</v>
      </c>
      <c r="M81" s="1">
        <v>3.02</v>
      </c>
      <c r="N81" s="2">
        <f>(Table147[[#This Row],[GF]]^2)/((Table147[[#This Row],[GF]]^2)+(Table147[[#This Row],[GA]]^2))</f>
        <v>0.4709788405298469</v>
      </c>
      <c r="O81" s="1">
        <v>18</v>
      </c>
      <c r="P81" s="1">
        <v>78.599999999999994</v>
      </c>
      <c r="Q81" s="1">
        <f>Table147[[#This Row],[PP_PCT]]+Table147[[#This Row],[PK_PCT]]</f>
        <v>96.6</v>
      </c>
      <c r="R81" s="3">
        <v>9.9</v>
      </c>
      <c r="S81" s="3">
        <f>Table147[[#This Row],[GA]]/Table147[[#This Row],[GP]]</f>
        <v>3.024390243902439</v>
      </c>
      <c r="T81" s="2">
        <v>0.92300000000000004</v>
      </c>
      <c r="U81" s="1">
        <v>99.5</v>
      </c>
      <c r="V81" s="1">
        <v>47.9</v>
      </c>
      <c r="W81" s="1">
        <v>48.1</v>
      </c>
      <c r="X81" s="1">
        <v>161.6</v>
      </c>
      <c r="Y81" s="3">
        <f>Table1358[[#This Row],[XGF]]/Table147[[#This Row],[GP]]</f>
        <v>1.9707317073170731</v>
      </c>
      <c r="Z81" s="1">
        <v>187.8</v>
      </c>
      <c r="AA81" s="3">
        <f>Table1358[[#This Row],[XGA]]/Table147[[#This Row],[GP]]</f>
        <v>2.2902439024390246</v>
      </c>
      <c r="AB81" s="1">
        <v>55</v>
      </c>
      <c r="AC81" s="2">
        <f>Table1358[[#This Row],[HDGF]]/Table147[[#This Row],[GP]]</f>
        <v>0.67073170731707321</v>
      </c>
      <c r="AD81" s="1">
        <v>79</v>
      </c>
      <c r="AE81" s="2">
        <f>Table1358[[#This Row],[HDGA]]/Table147[[#This Row],[GP]]</f>
        <v>0.96341463414634143</v>
      </c>
      <c r="AF81" s="1">
        <v>7.4</v>
      </c>
    </row>
    <row r="82" spans="1:32" hidden="1" x14ac:dyDescent="0.35">
      <c r="A82" t="s">
        <v>90</v>
      </c>
      <c r="B82">
        <v>17</v>
      </c>
      <c r="C82" t="s">
        <v>69</v>
      </c>
      <c r="D82" s="1">
        <v>1</v>
      </c>
      <c r="E82" s="1">
        <v>30</v>
      </c>
      <c r="F82" s="1">
        <v>82</v>
      </c>
      <c r="G82" s="1">
        <v>91</v>
      </c>
      <c r="H82" s="2">
        <f>Table147[[#This Row],[PTS]]/Table147[[#This Row],[GP]]</f>
        <v>1.1097560975609757</v>
      </c>
      <c r="I82" s="2">
        <v>0.55500000000000005</v>
      </c>
      <c r="J82" s="1">
        <v>216</v>
      </c>
      <c r="K82" s="3">
        <f>Table147[[#This Row],[GF]]/Table147[[#This Row],[GP]]</f>
        <v>2.6341463414634148</v>
      </c>
      <c r="L82" s="1">
        <v>252</v>
      </c>
      <c r="M82" s="1">
        <v>3.07</v>
      </c>
      <c r="N82" s="2">
        <f>(Table147[[#This Row],[GF]]^2)/((Table147[[#This Row],[GF]]^2)+(Table147[[#This Row],[GA]]^2))</f>
        <v>0.42352941176470588</v>
      </c>
      <c r="O82" s="1">
        <v>20.61</v>
      </c>
      <c r="P82" s="1">
        <v>78.97</v>
      </c>
      <c r="Q82" s="1">
        <f>Table147[[#This Row],[PP_PCT]]+Table147[[#This Row],[PK_PCT]]</f>
        <v>99.58</v>
      </c>
      <c r="R82" s="3">
        <v>9.9</v>
      </c>
      <c r="S82" s="3">
        <f>Table147[[#This Row],[GA]]/Table147[[#This Row],[GP]]</f>
        <v>3.0731707317073171</v>
      </c>
      <c r="T82" s="2">
        <v>0.91400000000000003</v>
      </c>
      <c r="U82" s="1">
        <v>98.5</v>
      </c>
      <c r="V82" s="1">
        <v>51.5</v>
      </c>
      <c r="W82" s="1">
        <v>52.1</v>
      </c>
      <c r="X82" s="1">
        <v>176.7</v>
      </c>
      <c r="Y82" s="3">
        <f>Table1358[[#This Row],[XGF]]/Table147[[#This Row],[GP]]</f>
        <v>2.1548780487804877</v>
      </c>
      <c r="Z82" s="1">
        <v>168.5</v>
      </c>
      <c r="AA82" s="3">
        <f>Table1358[[#This Row],[XGA]]/Table147[[#This Row],[GP]]</f>
        <v>2.0548780487804876</v>
      </c>
      <c r="AB82" s="1">
        <v>68</v>
      </c>
      <c r="AC82" s="2">
        <f>Table1358[[#This Row],[HDGF]]/Table147[[#This Row],[GP]]</f>
        <v>0.82926829268292679</v>
      </c>
      <c r="AD82" s="1">
        <v>76</v>
      </c>
      <c r="AE82" s="2">
        <f>Table1358[[#This Row],[HDGA]]/Table147[[#This Row],[GP]]</f>
        <v>0.92682926829268297</v>
      </c>
      <c r="AF82" s="1">
        <v>7.7</v>
      </c>
    </row>
    <row r="83" spans="1:32" hidden="1" x14ac:dyDescent="0.35">
      <c r="A83" t="s">
        <v>90</v>
      </c>
      <c r="B83">
        <v>18</v>
      </c>
      <c r="C83" t="s">
        <v>81</v>
      </c>
      <c r="D83" s="1">
        <v>0</v>
      </c>
      <c r="E83" s="1">
        <v>29.3</v>
      </c>
      <c r="F83" s="1">
        <v>82</v>
      </c>
      <c r="G83" s="1">
        <v>91</v>
      </c>
      <c r="H83" s="2">
        <f>Table147[[#This Row],[PTS]]/Table147[[#This Row],[GP]]</f>
        <v>1.1097560975609757</v>
      </c>
      <c r="I83" s="2">
        <v>0.55500000000000005</v>
      </c>
      <c r="J83" s="1">
        <v>275</v>
      </c>
      <c r="K83" s="3">
        <f>Table147[[#This Row],[GF]]/Table147[[#This Row],[GP]]</f>
        <v>3.3536585365853657</v>
      </c>
      <c r="L83" s="1">
        <v>273</v>
      </c>
      <c r="M83" s="1">
        <v>3.33</v>
      </c>
      <c r="N83" s="2">
        <f>(Table147[[#This Row],[GF]]^2)/((Table147[[#This Row],[GF]]^2)+(Table147[[#This Row],[GA]]^2))</f>
        <v>0.50364958642460411</v>
      </c>
      <c r="O83" s="1">
        <v>23.08</v>
      </c>
      <c r="P83" s="1">
        <v>79.58</v>
      </c>
      <c r="Q83" s="1">
        <f>Table147[[#This Row],[PP_PCT]]+Table147[[#This Row],[PK_PCT]]</f>
        <v>102.66</v>
      </c>
      <c r="R83" s="3">
        <v>11.6</v>
      </c>
      <c r="S83" s="3">
        <f>Table147[[#This Row],[GA]]/Table147[[#This Row],[GP]]</f>
        <v>3.3292682926829267</v>
      </c>
      <c r="T83" s="2">
        <v>0.90900000000000003</v>
      </c>
      <c r="U83" s="1">
        <v>98.6</v>
      </c>
      <c r="V83" s="1">
        <v>51</v>
      </c>
      <c r="W83" s="1">
        <v>51.2</v>
      </c>
      <c r="X83" s="1">
        <v>166.7</v>
      </c>
      <c r="Y83" s="3">
        <f>Table1358[[#This Row],[XGF]]/Table147[[#This Row],[GP]]</f>
        <v>2.0329268292682925</v>
      </c>
      <c r="Z83" s="1">
        <v>163.9</v>
      </c>
      <c r="AA83" s="3">
        <f>Table1358[[#This Row],[XGA]]/Table147[[#This Row],[GP]]</f>
        <v>1.998780487804878</v>
      </c>
      <c r="AB83" s="1">
        <v>75</v>
      </c>
      <c r="AC83" s="2">
        <f>Table1358[[#This Row],[HDGF]]/Table147[[#This Row],[GP]]</f>
        <v>0.91463414634146345</v>
      </c>
      <c r="AD83" s="1">
        <v>66</v>
      </c>
      <c r="AE83" s="2">
        <f>Table1358[[#This Row],[HDGA]]/Table147[[#This Row],[GP]]</f>
        <v>0.80487804878048785</v>
      </c>
      <c r="AF83" s="1">
        <v>8.6999999999999993</v>
      </c>
    </row>
    <row r="84" spans="1:32" hidden="1" x14ac:dyDescent="0.35">
      <c r="A84" t="s">
        <v>90</v>
      </c>
      <c r="B84">
        <v>19</v>
      </c>
      <c r="C84" t="s">
        <v>68</v>
      </c>
      <c r="D84" s="1">
        <v>0</v>
      </c>
      <c r="E84" s="1">
        <v>31.3</v>
      </c>
      <c r="F84" s="1">
        <v>82</v>
      </c>
      <c r="G84" s="1">
        <v>88</v>
      </c>
      <c r="H84" s="2">
        <f>Table147[[#This Row],[PTS]]/Table147[[#This Row],[GP]]</f>
        <v>1.0731707317073171</v>
      </c>
      <c r="I84" s="2">
        <v>0.53700000000000003</v>
      </c>
      <c r="J84" s="1">
        <v>253</v>
      </c>
      <c r="K84" s="3">
        <f>Table147[[#This Row],[GF]]/Table147[[#This Row],[GP]]</f>
        <v>3.0853658536585367</v>
      </c>
      <c r="L84" s="1">
        <v>248</v>
      </c>
      <c r="M84" s="1">
        <v>3.02</v>
      </c>
      <c r="N84" s="2">
        <f>(Table147[[#This Row],[GF]]^2)/((Table147[[#This Row],[GF]]^2)+(Table147[[#This Row],[GA]]^2))</f>
        <v>0.50997904599523558</v>
      </c>
      <c r="O84" s="1">
        <v>15.27</v>
      </c>
      <c r="P84" s="1">
        <v>80.66</v>
      </c>
      <c r="Q84" s="1">
        <f>Table147[[#This Row],[PP_PCT]]+Table147[[#This Row],[PK_PCT]]</f>
        <v>95.929999999999993</v>
      </c>
      <c r="R84" s="3">
        <v>9.4</v>
      </c>
      <c r="S84" s="3">
        <f>Table147[[#This Row],[GA]]/Table147[[#This Row],[GP]]</f>
        <v>3.024390243902439</v>
      </c>
      <c r="T84" s="2">
        <v>0.91900000000000004</v>
      </c>
      <c r="U84" s="1">
        <v>98.8</v>
      </c>
      <c r="V84" s="1">
        <v>50.8</v>
      </c>
      <c r="W84" s="1">
        <v>50.5</v>
      </c>
      <c r="X84" s="1">
        <v>136.19999999999999</v>
      </c>
      <c r="Y84" s="3">
        <f>Table1358[[#This Row],[XGF]]/Table147[[#This Row],[GP]]</f>
        <v>1.6609756097560975</v>
      </c>
      <c r="Z84" s="1">
        <v>140.30000000000001</v>
      </c>
      <c r="AA84" s="3">
        <f>Table1358[[#This Row],[XGA]]/Table147[[#This Row],[GP]]</f>
        <v>1.7109756097560977</v>
      </c>
      <c r="AB84" s="1">
        <v>44</v>
      </c>
      <c r="AC84" s="2">
        <f>Table1358[[#This Row],[HDGF]]/Table147[[#This Row],[GP]]</f>
        <v>0.53658536585365857</v>
      </c>
      <c r="AD84" s="1">
        <v>55</v>
      </c>
      <c r="AE84" s="2">
        <f>Table1358[[#This Row],[HDGA]]/Table147[[#This Row],[GP]]</f>
        <v>0.67073170731707321</v>
      </c>
      <c r="AF84" s="1">
        <v>7.4</v>
      </c>
    </row>
    <row r="85" spans="1:32" hidden="1" x14ac:dyDescent="0.35">
      <c r="A85" t="s">
        <v>90</v>
      </c>
      <c r="B85">
        <v>20</v>
      </c>
      <c r="C85" t="s">
        <v>61</v>
      </c>
      <c r="D85" s="1">
        <v>0</v>
      </c>
      <c r="E85" s="1">
        <v>29.3</v>
      </c>
      <c r="F85" s="1">
        <v>82</v>
      </c>
      <c r="G85" s="1">
        <v>87</v>
      </c>
      <c r="H85" s="2">
        <f>Table147[[#This Row],[PTS]]/Table147[[#This Row],[GP]]</f>
        <v>1.0609756097560976</v>
      </c>
      <c r="I85" s="2">
        <v>0.53</v>
      </c>
      <c r="J85" s="1">
        <v>248</v>
      </c>
      <c r="K85" s="3">
        <f>Table147[[#This Row],[GF]]/Table147[[#This Row],[GP]]</f>
        <v>3.024390243902439</v>
      </c>
      <c r="L85" s="1">
        <v>260</v>
      </c>
      <c r="M85" s="1">
        <v>3.17</v>
      </c>
      <c r="N85" s="2">
        <f>(Table147[[#This Row],[GF]]^2)/((Table147[[#This Row],[GF]]^2)+(Table147[[#This Row],[GA]]^2))</f>
        <v>0.47639112653364729</v>
      </c>
      <c r="O85" s="1">
        <v>22.71</v>
      </c>
      <c r="P85" s="1">
        <v>74.52</v>
      </c>
      <c r="Q85" s="1">
        <f>Table147[[#This Row],[PP_PCT]]+Table147[[#This Row],[PK_PCT]]</f>
        <v>97.22999999999999</v>
      </c>
      <c r="R85" s="3">
        <v>10</v>
      </c>
      <c r="S85" s="3">
        <f>Table147[[#This Row],[GA]]/Table147[[#This Row],[GP]]</f>
        <v>3.1707317073170733</v>
      </c>
      <c r="T85" s="2">
        <v>0.91900000000000004</v>
      </c>
      <c r="U85" s="1">
        <v>99.5</v>
      </c>
      <c r="V85" s="1">
        <v>46.6</v>
      </c>
      <c r="W85" s="1">
        <v>46.7</v>
      </c>
      <c r="X85" s="1">
        <v>164.1</v>
      </c>
      <c r="Y85" s="3">
        <f>Table1358[[#This Row],[XGF]]/Table147[[#This Row],[GP]]</f>
        <v>2.0012195121951217</v>
      </c>
      <c r="Z85" s="1">
        <v>185.4</v>
      </c>
      <c r="AA85" s="3">
        <f>Table1358[[#This Row],[XGA]]/Table147[[#This Row],[GP]]</f>
        <v>2.2609756097560978</v>
      </c>
      <c r="AB85" s="1">
        <v>74</v>
      </c>
      <c r="AC85" s="2">
        <f>Table1358[[#This Row],[HDGF]]/Table147[[#This Row],[GP]]</f>
        <v>0.90243902439024393</v>
      </c>
      <c r="AD85" s="1">
        <v>76</v>
      </c>
      <c r="AE85" s="2">
        <f>Table1358[[#This Row],[HDGA]]/Table147[[#This Row],[GP]]</f>
        <v>0.92682926829268297</v>
      </c>
      <c r="AF85" s="1">
        <v>11.4</v>
      </c>
    </row>
    <row r="86" spans="1:32" hidden="1" x14ac:dyDescent="0.35">
      <c r="A86" t="s">
        <v>90</v>
      </c>
      <c r="B86">
        <v>21</v>
      </c>
      <c r="C86" t="s">
        <v>85</v>
      </c>
      <c r="D86" s="1">
        <v>0</v>
      </c>
      <c r="E86" s="1">
        <v>27.1</v>
      </c>
      <c r="F86" s="1">
        <v>82</v>
      </c>
      <c r="G86" s="1">
        <v>87</v>
      </c>
      <c r="H86" s="2">
        <f>Table147[[#This Row],[PTS]]/Table147[[#This Row],[GP]]</f>
        <v>1.0609756097560976</v>
      </c>
      <c r="I86" s="2">
        <v>0.53</v>
      </c>
      <c r="J86" s="1">
        <v>231</v>
      </c>
      <c r="K86" s="3">
        <f>Table147[[#This Row],[GF]]/Table147[[#This Row],[GP]]</f>
        <v>2.8170731707317072</v>
      </c>
      <c r="L86" s="1">
        <v>258</v>
      </c>
      <c r="M86" s="1">
        <v>3.15</v>
      </c>
      <c r="N86" s="2">
        <f>(Table147[[#This Row],[GF]]^2)/((Table147[[#This Row],[GF]]^2)+(Table147[[#This Row],[GA]]^2))</f>
        <v>0.44495309568480301</v>
      </c>
      <c r="O86" s="1">
        <v>12.2</v>
      </c>
      <c r="P86" s="1">
        <v>83.4</v>
      </c>
      <c r="Q86" s="1">
        <f>Table147[[#This Row],[PP_PCT]]+Table147[[#This Row],[PK_PCT]]</f>
        <v>95.600000000000009</v>
      </c>
      <c r="R86" s="3">
        <v>8.5</v>
      </c>
      <c r="S86" s="3">
        <f>Table147[[#This Row],[GA]]/Table147[[#This Row],[GP]]</f>
        <v>3.1463414634146343</v>
      </c>
      <c r="T86" s="2">
        <v>0.92</v>
      </c>
      <c r="U86" s="1">
        <v>99.3</v>
      </c>
      <c r="V86" s="1">
        <v>47.4</v>
      </c>
      <c r="W86" s="1">
        <v>48.7</v>
      </c>
      <c r="X86" s="1">
        <v>169.2</v>
      </c>
      <c r="Y86" s="3">
        <f>Table1358[[#This Row],[XGF]]/Table147[[#This Row],[GP]]</f>
        <v>2.0634146341463415</v>
      </c>
      <c r="Z86" s="1">
        <v>178.2</v>
      </c>
      <c r="AA86" s="3">
        <f>Table1358[[#This Row],[XGA]]/Table147[[#This Row],[GP]]</f>
        <v>2.1731707317073168</v>
      </c>
      <c r="AB86" s="1">
        <v>65</v>
      </c>
      <c r="AC86" s="2">
        <f>Table1358[[#This Row],[HDGF]]/Table147[[#This Row],[GP]]</f>
        <v>0.79268292682926833</v>
      </c>
      <c r="AD86" s="1">
        <v>74</v>
      </c>
      <c r="AE86" s="2">
        <f>Table1358[[#This Row],[HDGA]]/Table147[[#This Row],[GP]]</f>
        <v>0.90243902439024393</v>
      </c>
      <c r="AF86" s="1">
        <v>10.1</v>
      </c>
    </row>
    <row r="87" spans="1:32" hidden="1" x14ac:dyDescent="0.35">
      <c r="A87" t="s">
        <v>90</v>
      </c>
      <c r="B87">
        <v>22</v>
      </c>
      <c r="C87" t="s">
        <v>80</v>
      </c>
      <c r="D87" s="1">
        <v>0</v>
      </c>
      <c r="E87" s="1">
        <v>25.7</v>
      </c>
      <c r="F87" s="1">
        <v>82</v>
      </c>
      <c r="G87" s="1">
        <v>84</v>
      </c>
      <c r="H87" s="2">
        <f>Table147[[#This Row],[PTS]]/Table147[[#This Row],[GP]]</f>
        <v>1.024390243902439</v>
      </c>
      <c r="I87" s="2">
        <v>0.51200000000000001</v>
      </c>
      <c r="J87" s="1">
        <v>244</v>
      </c>
      <c r="K87" s="3">
        <f>Table147[[#This Row],[GF]]/Table147[[#This Row],[GP]]</f>
        <v>2.975609756097561</v>
      </c>
      <c r="L87" s="1">
        <v>243</v>
      </c>
      <c r="M87" s="1">
        <v>2.96</v>
      </c>
      <c r="N87" s="2">
        <f>(Table147[[#This Row],[GF]]^2)/((Table147[[#This Row],[GF]]^2)+(Table147[[#This Row],[GA]]^2))</f>
        <v>0.50205337943247463</v>
      </c>
      <c r="O87" s="1">
        <v>16.59</v>
      </c>
      <c r="P87" s="1">
        <v>79.84</v>
      </c>
      <c r="Q87" s="1">
        <f>Table147[[#This Row],[PP_PCT]]+Table147[[#This Row],[PK_PCT]]</f>
        <v>96.43</v>
      </c>
      <c r="R87" s="3">
        <v>9.6</v>
      </c>
      <c r="S87" s="3">
        <f>Table147[[#This Row],[GA]]/Table147[[#This Row],[GP]]</f>
        <v>2.9634146341463414</v>
      </c>
      <c r="T87" s="2">
        <v>0.90500000000000003</v>
      </c>
      <c r="U87" s="1">
        <v>97.6</v>
      </c>
      <c r="V87" s="1">
        <v>52.1</v>
      </c>
      <c r="W87" s="1">
        <v>54</v>
      </c>
      <c r="X87" s="1">
        <v>177.5</v>
      </c>
      <c r="Y87" s="3">
        <f>Table1358[[#This Row],[XGF]]/Table147[[#This Row],[GP]]</f>
        <v>2.1646341463414633</v>
      </c>
      <c r="Z87" s="1">
        <v>149.80000000000001</v>
      </c>
      <c r="AA87" s="3">
        <f>Table1358[[#This Row],[XGA]]/Table147[[#This Row],[GP]]</f>
        <v>1.826829268292683</v>
      </c>
      <c r="AB87" s="1">
        <v>66</v>
      </c>
      <c r="AC87" s="2">
        <f>Table1358[[#This Row],[HDGF]]/Table147[[#This Row],[GP]]</f>
        <v>0.80487804878048785</v>
      </c>
      <c r="AD87" s="1">
        <v>70</v>
      </c>
      <c r="AE87" s="2">
        <f>Table1358[[#This Row],[HDGA]]/Table147[[#This Row],[GP]]</f>
        <v>0.85365853658536583</v>
      </c>
      <c r="AF87" s="1">
        <v>9.8000000000000007</v>
      </c>
    </row>
    <row r="88" spans="1:32" hidden="1" x14ac:dyDescent="0.35">
      <c r="A88" t="s">
        <v>90</v>
      </c>
      <c r="B88">
        <v>23</v>
      </c>
      <c r="C88" t="s">
        <v>84</v>
      </c>
      <c r="D88" s="1">
        <v>0</v>
      </c>
      <c r="E88" s="1">
        <v>26.8</v>
      </c>
      <c r="F88" s="1">
        <v>82</v>
      </c>
      <c r="G88" s="1">
        <v>81</v>
      </c>
      <c r="H88" s="2">
        <f>Table147[[#This Row],[PTS]]/Table147[[#This Row],[GP]]</f>
        <v>0.98780487804878048</v>
      </c>
      <c r="I88" s="2">
        <v>0.49399999999999999</v>
      </c>
      <c r="J88" s="1">
        <v>264</v>
      </c>
      <c r="K88" s="3">
        <f>Table147[[#This Row],[GF]]/Table147[[#This Row],[GP]]</f>
        <v>3.2195121951219514</v>
      </c>
      <c r="L88" s="1">
        <v>281</v>
      </c>
      <c r="M88" s="1">
        <v>3.43</v>
      </c>
      <c r="N88" s="2">
        <f>(Table147[[#This Row],[GF]]^2)/((Table147[[#This Row],[GF]]^2)+(Table147[[#This Row],[GA]]^2))</f>
        <v>0.46883765984783765</v>
      </c>
      <c r="O88" s="1">
        <v>22.45</v>
      </c>
      <c r="P88" s="1">
        <v>80.66</v>
      </c>
      <c r="Q88" s="1">
        <f>Table147[[#This Row],[PP_PCT]]+Table147[[#This Row],[PK_PCT]]</f>
        <v>103.11</v>
      </c>
      <c r="R88" s="3">
        <v>10.5</v>
      </c>
      <c r="S88" s="3">
        <f>Table147[[#This Row],[GA]]/Table147[[#This Row],[GP]]</f>
        <v>3.4268292682926829</v>
      </c>
      <c r="T88" s="2">
        <v>0.89800000000000002</v>
      </c>
      <c r="U88" s="1">
        <v>98.1</v>
      </c>
      <c r="V88" s="1">
        <v>49</v>
      </c>
      <c r="W88" s="1">
        <v>50.4</v>
      </c>
      <c r="X88" s="1">
        <v>159.30000000000001</v>
      </c>
      <c r="Y88" s="3">
        <f>Table1358[[#This Row],[XGF]]/Table147[[#This Row],[GP]]</f>
        <v>1.9426829268292685</v>
      </c>
      <c r="Z88" s="1">
        <v>144.5</v>
      </c>
      <c r="AA88" s="3">
        <f>Table1358[[#This Row],[XGA]]/Table147[[#This Row],[GP]]</f>
        <v>1.7621951219512195</v>
      </c>
      <c r="AB88" s="1">
        <v>54</v>
      </c>
      <c r="AC88" s="2">
        <f>Table1358[[#This Row],[HDGF]]/Table147[[#This Row],[GP]]</f>
        <v>0.65853658536585369</v>
      </c>
      <c r="AD88" s="1">
        <v>55</v>
      </c>
      <c r="AE88" s="2">
        <f>Table1358[[#This Row],[HDGA]]/Table147[[#This Row],[GP]]</f>
        <v>0.67073170731707321</v>
      </c>
      <c r="AF88" s="1">
        <v>9.1</v>
      </c>
    </row>
    <row r="89" spans="1:32" hidden="1" x14ac:dyDescent="0.35">
      <c r="A89" t="s">
        <v>90</v>
      </c>
      <c r="B89">
        <v>24</v>
      </c>
      <c r="C89" t="s">
        <v>86</v>
      </c>
      <c r="D89" s="1">
        <v>0</v>
      </c>
      <c r="E89" s="1">
        <v>29.4</v>
      </c>
      <c r="F89" s="1">
        <v>82</v>
      </c>
      <c r="G89" s="1">
        <v>81</v>
      </c>
      <c r="H89" s="2">
        <f>Table147[[#This Row],[PTS]]/Table147[[#This Row],[GP]]</f>
        <v>0.98780487804878048</v>
      </c>
      <c r="I89" s="2">
        <v>0.49399999999999999</v>
      </c>
      <c r="J89" s="1">
        <v>214</v>
      </c>
      <c r="K89" s="3">
        <f>Table147[[#This Row],[GF]]/Table147[[#This Row],[GP]]</f>
        <v>2.6097560975609757</v>
      </c>
      <c r="L89" s="1">
        <v>232</v>
      </c>
      <c r="M89" s="1">
        <v>2.83</v>
      </c>
      <c r="N89" s="2">
        <f>(Table147[[#This Row],[GF]]^2)/((Table147[[#This Row],[GF]]^2)+(Table147[[#This Row],[GA]]^2))</f>
        <v>0.45970688616743627</v>
      </c>
      <c r="O89" s="1">
        <v>20.66</v>
      </c>
      <c r="P89" s="1">
        <v>78.83</v>
      </c>
      <c r="Q89" s="1">
        <f>Table147[[#This Row],[PP_PCT]]+Table147[[#This Row],[PK_PCT]]</f>
        <v>99.49</v>
      </c>
      <c r="R89" s="3">
        <v>9.1</v>
      </c>
      <c r="S89" s="3">
        <f>Table147[[#This Row],[GA]]/Table147[[#This Row],[GP]]</f>
        <v>2.8292682926829267</v>
      </c>
      <c r="T89" s="2">
        <v>0.93</v>
      </c>
      <c r="U89" s="1">
        <v>100.5</v>
      </c>
      <c r="V89" s="1">
        <v>52.1</v>
      </c>
      <c r="W89" s="1">
        <v>52.9</v>
      </c>
      <c r="X89" s="1">
        <v>198.7</v>
      </c>
      <c r="Y89" s="3">
        <f>Table1358[[#This Row],[XGF]]/Table147[[#This Row],[GP]]</f>
        <v>2.4231707317073168</v>
      </c>
      <c r="Z89" s="1">
        <v>174.7</v>
      </c>
      <c r="AA89" s="3">
        <f>Table1358[[#This Row],[XGA]]/Table147[[#This Row],[GP]]</f>
        <v>2.1304878048780487</v>
      </c>
      <c r="AB89" s="1">
        <v>80</v>
      </c>
      <c r="AC89" s="2">
        <f>Table1358[[#This Row],[HDGF]]/Table147[[#This Row],[GP]]</f>
        <v>0.97560975609756095</v>
      </c>
      <c r="AD89" s="1">
        <v>69</v>
      </c>
      <c r="AE89" s="2">
        <f>Table1358[[#This Row],[HDGA]]/Table147[[#This Row],[GP]]</f>
        <v>0.84146341463414631</v>
      </c>
      <c r="AF89" s="1">
        <v>8</v>
      </c>
    </row>
    <row r="90" spans="1:32" hidden="1" x14ac:dyDescent="0.35">
      <c r="A90" t="s">
        <v>90</v>
      </c>
      <c r="B90">
        <v>25</v>
      </c>
      <c r="C90" t="s">
        <v>62</v>
      </c>
      <c r="D90" s="1">
        <v>0</v>
      </c>
      <c r="E90" s="1">
        <v>29.2</v>
      </c>
      <c r="F90" s="1">
        <v>82</v>
      </c>
      <c r="G90" s="1">
        <v>81</v>
      </c>
      <c r="H90" s="2">
        <f>Table147[[#This Row],[PTS]]/Table147[[#This Row],[GP]]</f>
        <v>0.98780487804878048</v>
      </c>
      <c r="I90" s="2">
        <v>0.49399999999999999</v>
      </c>
      <c r="J90" s="1">
        <v>253</v>
      </c>
      <c r="K90" s="3">
        <f>Table147[[#This Row],[GF]]/Table147[[#This Row],[GP]]</f>
        <v>3.0853658536585367</v>
      </c>
      <c r="L90" s="1">
        <v>267</v>
      </c>
      <c r="M90" s="1">
        <v>3.26</v>
      </c>
      <c r="N90" s="2">
        <f>(Table147[[#This Row],[GF]]^2)/((Table147[[#This Row],[GF]]^2)+(Table147[[#This Row],[GA]]^2))</f>
        <v>0.47309642418956671</v>
      </c>
      <c r="O90" s="1">
        <v>17.86</v>
      </c>
      <c r="P90" s="1">
        <v>80.819999999999993</v>
      </c>
      <c r="Q90" s="1">
        <f>Table147[[#This Row],[PP_PCT]]+Table147[[#This Row],[PK_PCT]]</f>
        <v>98.679999999999993</v>
      </c>
      <c r="R90" s="3">
        <v>9.8000000000000007</v>
      </c>
      <c r="S90" s="3">
        <f>Table147[[#This Row],[GA]]/Table147[[#This Row],[GP]]</f>
        <v>3.2560975609756095</v>
      </c>
      <c r="T90" s="2">
        <v>0.92200000000000004</v>
      </c>
      <c r="U90" s="1">
        <v>99.4</v>
      </c>
      <c r="V90" s="1">
        <v>52</v>
      </c>
      <c r="W90" s="1">
        <v>52.1</v>
      </c>
      <c r="X90" s="1">
        <v>201.9</v>
      </c>
      <c r="Y90" s="3">
        <f>Table1358[[#This Row],[XGF]]/Table147[[#This Row],[GP]]</f>
        <v>2.4621951219512197</v>
      </c>
      <c r="Z90" s="1">
        <v>188.1</v>
      </c>
      <c r="AA90" s="3">
        <f>Table1358[[#This Row],[XGA]]/Table147[[#This Row],[GP]]</f>
        <v>2.2939024390243903</v>
      </c>
      <c r="AB90" s="1">
        <v>75</v>
      </c>
      <c r="AC90" s="2">
        <f>Table1358[[#This Row],[HDGF]]/Table147[[#This Row],[GP]]</f>
        <v>0.91463414634146345</v>
      </c>
      <c r="AD90" s="1">
        <v>77</v>
      </c>
      <c r="AE90" s="2">
        <f>Table1358[[#This Row],[HDGA]]/Table147[[#This Row],[GP]]</f>
        <v>0.93902439024390238</v>
      </c>
      <c r="AF90" s="1">
        <v>9.4</v>
      </c>
    </row>
    <row r="91" spans="1:32" hidden="1" x14ac:dyDescent="0.35">
      <c r="A91" t="s">
        <v>90</v>
      </c>
      <c r="B91">
        <v>26</v>
      </c>
      <c r="C91" t="s">
        <v>82</v>
      </c>
      <c r="D91" s="1">
        <v>0</v>
      </c>
      <c r="E91" s="1">
        <v>27</v>
      </c>
      <c r="F91" s="1">
        <v>82</v>
      </c>
      <c r="G91" s="1">
        <v>78</v>
      </c>
      <c r="H91" s="2">
        <f>Table147[[#This Row],[PTS]]/Table147[[#This Row],[GP]]</f>
        <v>0.95121951219512191</v>
      </c>
      <c r="I91" s="2">
        <v>0.47599999999999998</v>
      </c>
      <c r="J91" s="1">
        <v>250</v>
      </c>
      <c r="K91" s="3">
        <f>Table147[[#This Row],[GF]]/Table147[[#This Row],[GP]]</f>
        <v>3.0487804878048781</v>
      </c>
      <c r="L91" s="1">
        <v>281</v>
      </c>
      <c r="M91" s="1">
        <v>3.43</v>
      </c>
      <c r="N91" s="2">
        <f>(Table147[[#This Row],[GF]]^2)/((Table147[[#This Row],[GF]]^2)+(Table147[[#This Row],[GA]]^2))</f>
        <v>0.4418178862018507</v>
      </c>
      <c r="O91" s="1">
        <v>18.02</v>
      </c>
      <c r="P91" s="1">
        <v>75.099999999999994</v>
      </c>
      <c r="Q91" s="1">
        <f>Table147[[#This Row],[PP_PCT]]+Table147[[#This Row],[PK_PCT]]</f>
        <v>93.11999999999999</v>
      </c>
      <c r="R91" s="3">
        <v>9.6</v>
      </c>
      <c r="S91" s="3">
        <f>Table147[[#This Row],[GA]]/Table147[[#This Row],[GP]]</f>
        <v>3.4268292682926829</v>
      </c>
      <c r="T91" s="2">
        <v>0.91900000000000004</v>
      </c>
      <c r="U91" s="1">
        <v>99.8</v>
      </c>
      <c r="V91" s="1">
        <v>51.7</v>
      </c>
      <c r="W91" s="1">
        <v>50.7</v>
      </c>
      <c r="X91" s="1">
        <v>184.6</v>
      </c>
      <c r="Y91" s="3">
        <f>Table1358[[#This Row],[XGF]]/Table147[[#This Row],[GP]]</f>
        <v>2.2512195121951217</v>
      </c>
      <c r="Z91" s="1">
        <v>171.3</v>
      </c>
      <c r="AA91" s="3">
        <f>Table1358[[#This Row],[XGA]]/Table147[[#This Row],[GP]]</f>
        <v>2.0890243902439027</v>
      </c>
      <c r="AB91" s="1">
        <v>71</v>
      </c>
      <c r="AC91" s="2">
        <f>Table1358[[#This Row],[HDGF]]/Table147[[#This Row],[GP]]</f>
        <v>0.86585365853658536</v>
      </c>
      <c r="AD91" s="1">
        <v>73</v>
      </c>
      <c r="AE91" s="2">
        <f>Table1358[[#This Row],[HDGA]]/Table147[[#This Row],[GP]]</f>
        <v>0.8902439024390244</v>
      </c>
      <c r="AF91" s="1">
        <v>10.4</v>
      </c>
    </row>
    <row r="92" spans="1:32" hidden="1" x14ac:dyDescent="0.35">
      <c r="A92" t="s">
        <v>90</v>
      </c>
      <c r="B92">
        <v>27</v>
      </c>
      <c r="C92" t="s">
        <v>87</v>
      </c>
      <c r="D92" s="1">
        <v>0</v>
      </c>
      <c r="E92" s="1">
        <v>26.7</v>
      </c>
      <c r="F92" s="1">
        <v>82</v>
      </c>
      <c r="G92" s="1">
        <v>77</v>
      </c>
      <c r="H92" s="2">
        <f>Table147[[#This Row],[PTS]]/Table147[[#This Row],[GP]]</f>
        <v>0.93902439024390238</v>
      </c>
      <c r="I92" s="2">
        <v>0.47</v>
      </c>
      <c r="J92" s="1">
        <v>254</v>
      </c>
      <c r="K92" s="3">
        <f>Table147[[#This Row],[GF]]/Table147[[#This Row],[GP]]</f>
        <v>3.0975609756097562</v>
      </c>
      <c r="L92" s="1">
        <v>274</v>
      </c>
      <c r="M92" s="1">
        <v>3.34</v>
      </c>
      <c r="N92" s="2">
        <f>(Table147[[#This Row],[GF]]^2)/((Table147[[#This Row],[GF]]^2)+(Table147[[#This Row],[GA]]^2))</f>
        <v>0.4621754828356926</v>
      </c>
      <c r="O92" s="1">
        <v>21.99</v>
      </c>
      <c r="P92" s="1">
        <v>76.319999999999993</v>
      </c>
      <c r="Q92" s="1">
        <f>Table147[[#This Row],[PP_PCT]]+Table147[[#This Row],[PK_PCT]]</f>
        <v>98.309999999999988</v>
      </c>
      <c r="R92" s="3">
        <v>11.2</v>
      </c>
      <c r="S92" s="3">
        <f>Table147[[#This Row],[GA]]/Table147[[#This Row],[GP]]</f>
        <v>3.3414634146341462</v>
      </c>
      <c r="T92" s="2">
        <v>0.90500000000000003</v>
      </c>
      <c r="U92" s="1">
        <v>98.6</v>
      </c>
      <c r="V92" s="1">
        <v>51</v>
      </c>
      <c r="W92" s="1">
        <v>49.4</v>
      </c>
      <c r="X92" s="1">
        <v>151.30000000000001</v>
      </c>
      <c r="Y92" s="3">
        <f>Table1358[[#This Row],[XGF]]/Table147[[#This Row],[GP]]</f>
        <v>1.8451219512195123</v>
      </c>
      <c r="Z92" s="1">
        <v>166.5</v>
      </c>
      <c r="AA92" s="3">
        <f>Table1358[[#This Row],[XGA]]/Table147[[#This Row],[GP]]</f>
        <v>2.0304878048780486</v>
      </c>
      <c r="AB92" s="1">
        <v>52</v>
      </c>
      <c r="AC92" s="2">
        <f>Table1358[[#This Row],[HDGF]]/Table147[[#This Row],[GP]]</f>
        <v>0.63414634146341464</v>
      </c>
      <c r="AD92" s="1">
        <v>59</v>
      </c>
      <c r="AE92" s="2">
        <f>Table1358[[#This Row],[HDGA]]/Table147[[#This Row],[GP]]</f>
        <v>0.71951219512195119</v>
      </c>
      <c r="AF92" s="1">
        <v>11.5</v>
      </c>
    </row>
    <row r="93" spans="1:32" hidden="1" x14ac:dyDescent="0.35">
      <c r="A93" t="s">
        <v>90</v>
      </c>
      <c r="B93">
        <v>28</v>
      </c>
      <c r="C93" t="s">
        <v>88</v>
      </c>
      <c r="D93" s="1">
        <v>0</v>
      </c>
      <c r="E93" s="1">
        <v>26.7</v>
      </c>
      <c r="F93" s="1">
        <v>82</v>
      </c>
      <c r="G93" s="1">
        <v>76</v>
      </c>
      <c r="H93" s="2">
        <f>Table147[[#This Row],[PTS]]/Table147[[#This Row],[GP]]</f>
        <v>0.92682926829268297</v>
      </c>
      <c r="I93" s="2">
        <v>0.46300000000000002</v>
      </c>
      <c r="J93" s="1">
        <v>232</v>
      </c>
      <c r="K93" s="3">
        <f>Table147[[#This Row],[GF]]/Table147[[#This Row],[GP]]</f>
        <v>2.8292682926829267</v>
      </c>
      <c r="L93" s="1">
        <v>281</v>
      </c>
      <c r="M93" s="1">
        <v>3.43</v>
      </c>
      <c r="N93" s="2">
        <f>(Table147[[#This Row],[GF]]^2)/((Table147[[#This Row],[GF]]^2)+(Table147[[#This Row],[GA]]^2))</f>
        <v>0.40534698949429526</v>
      </c>
      <c r="O93" s="1">
        <v>17.46</v>
      </c>
      <c r="P93" s="1">
        <v>76.53</v>
      </c>
      <c r="Q93" s="1">
        <f>Table147[[#This Row],[PP_PCT]]+Table147[[#This Row],[PK_PCT]]</f>
        <v>93.990000000000009</v>
      </c>
      <c r="R93" s="3">
        <v>10.199999999999999</v>
      </c>
      <c r="S93" s="3">
        <f>Table147[[#This Row],[GA]]/Table147[[#This Row],[GP]]</f>
        <v>3.4268292682926829</v>
      </c>
      <c r="T93" s="2">
        <v>0.92</v>
      </c>
      <c r="U93" s="1">
        <v>99.2</v>
      </c>
      <c r="V93" s="1">
        <v>45.5</v>
      </c>
      <c r="W93" s="1">
        <v>46.8</v>
      </c>
      <c r="X93" s="1">
        <v>160.5</v>
      </c>
      <c r="Y93" s="3">
        <f>Table1358[[#This Row],[XGF]]/Table147[[#This Row],[GP]]</f>
        <v>1.9573170731707317</v>
      </c>
      <c r="Z93" s="1">
        <v>180</v>
      </c>
      <c r="AA93" s="3">
        <f>Table1358[[#This Row],[XGA]]/Table147[[#This Row],[GP]]</f>
        <v>2.1951219512195124</v>
      </c>
      <c r="AB93" s="1">
        <v>63</v>
      </c>
      <c r="AC93" s="2">
        <f>Table1358[[#This Row],[HDGF]]/Table147[[#This Row],[GP]]</f>
        <v>0.76829268292682928</v>
      </c>
      <c r="AD93" s="1">
        <v>69</v>
      </c>
      <c r="AE93" s="2">
        <f>Table1358[[#This Row],[HDGA]]/Table147[[#This Row],[GP]]</f>
        <v>0.84146341463414631</v>
      </c>
      <c r="AF93" s="1">
        <v>10.199999999999999</v>
      </c>
    </row>
    <row r="94" spans="1:32" hidden="1" x14ac:dyDescent="0.35">
      <c r="A94" t="s">
        <v>90</v>
      </c>
      <c r="B94">
        <v>29</v>
      </c>
      <c r="C94" t="s">
        <v>77</v>
      </c>
      <c r="D94" s="1">
        <v>0</v>
      </c>
      <c r="E94" s="1">
        <v>26.8</v>
      </c>
      <c r="F94" s="1">
        <v>82</v>
      </c>
      <c r="G94" s="1">
        <v>66</v>
      </c>
      <c r="H94" s="2">
        <f>Table147[[#This Row],[PTS]]/Table147[[#This Row],[GP]]</f>
        <v>0.80487804878048785</v>
      </c>
      <c r="I94" s="2">
        <v>0.40200000000000002</v>
      </c>
      <c r="J94" s="1">
        <v>234</v>
      </c>
      <c r="K94" s="3">
        <f>Table147[[#This Row],[GF]]/Table147[[#This Row],[GP]]</f>
        <v>2.8536585365853657</v>
      </c>
      <c r="L94" s="1">
        <v>298</v>
      </c>
      <c r="M94" s="1">
        <v>3.63</v>
      </c>
      <c r="N94" s="2">
        <f>(Table147[[#This Row],[GF]]^2)/((Table147[[#This Row],[GF]]^2)+(Table147[[#This Row],[GA]]^2))</f>
        <v>0.38141543605461131</v>
      </c>
      <c r="O94" s="1">
        <v>15.09</v>
      </c>
      <c r="P94" s="1">
        <v>76.27</v>
      </c>
      <c r="Q94" s="1">
        <f>Table147[[#This Row],[PP_PCT]]+Table147[[#This Row],[PK_PCT]]</f>
        <v>91.36</v>
      </c>
      <c r="R94" s="3">
        <v>9.5</v>
      </c>
      <c r="S94" s="3">
        <f>Table147[[#This Row],[GA]]/Table147[[#This Row],[GP]]</f>
        <v>3.6341463414634148</v>
      </c>
      <c r="T94" s="2">
        <v>0.90200000000000002</v>
      </c>
      <c r="U94" s="1">
        <v>98.3</v>
      </c>
      <c r="V94" s="1">
        <v>48.6</v>
      </c>
      <c r="W94" s="1">
        <v>48.4</v>
      </c>
      <c r="X94" s="1">
        <v>179.7</v>
      </c>
      <c r="Y94" s="3">
        <f>Table1358[[#This Row],[XGF]]/Table147[[#This Row],[GP]]</f>
        <v>2.1914634146341463</v>
      </c>
      <c r="Z94" s="1">
        <v>187</v>
      </c>
      <c r="AA94" s="3">
        <f>Table1358[[#This Row],[XGA]]/Table147[[#This Row],[GP]]</f>
        <v>2.2804878048780486</v>
      </c>
      <c r="AB94" s="1">
        <v>70</v>
      </c>
      <c r="AC94" s="2">
        <f>Table1358[[#This Row],[HDGF]]/Table147[[#This Row],[GP]]</f>
        <v>0.85365853658536583</v>
      </c>
      <c r="AD94" s="1">
        <v>94</v>
      </c>
      <c r="AE94" s="2">
        <f>Table1358[[#This Row],[HDGA]]/Table147[[#This Row],[GP]]</f>
        <v>1.1463414634146341</v>
      </c>
      <c r="AF94" s="1">
        <v>8.1999999999999993</v>
      </c>
    </row>
    <row r="95" spans="1:32" hidden="1" x14ac:dyDescent="0.35">
      <c r="A95" t="s">
        <v>90</v>
      </c>
      <c r="B95">
        <v>30</v>
      </c>
      <c r="C95" t="s">
        <v>79</v>
      </c>
      <c r="D95" s="1">
        <v>0</v>
      </c>
      <c r="E95" s="1">
        <v>27.7</v>
      </c>
      <c r="F95" s="1">
        <v>82</v>
      </c>
      <c r="G95" s="1">
        <v>59</v>
      </c>
      <c r="H95" s="2">
        <f>Table147[[#This Row],[PTS]]/Table147[[#This Row],[GP]]</f>
        <v>0.71951219512195119</v>
      </c>
      <c r="I95" s="2">
        <v>0.36</v>
      </c>
      <c r="J95" s="1">
        <v>203</v>
      </c>
      <c r="K95" s="3">
        <f>Table147[[#This Row],[GF]]/Table147[[#This Row],[GP]]</f>
        <v>2.475609756097561</v>
      </c>
      <c r="L95" s="1">
        <v>293</v>
      </c>
      <c r="M95" s="1">
        <v>3.57</v>
      </c>
      <c r="N95" s="2">
        <f>(Table147[[#This Row],[GF]]^2)/((Table147[[#This Row],[GF]]^2)+(Table147[[#This Row],[GA]]^2))</f>
        <v>0.32433219474570668</v>
      </c>
      <c r="O95" s="1">
        <v>18.3</v>
      </c>
      <c r="P95" s="1">
        <v>72.42</v>
      </c>
      <c r="Q95" s="1">
        <f>Table147[[#This Row],[PP_PCT]]+Table147[[#This Row],[PK_PCT]]</f>
        <v>90.72</v>
      </c>
      <c r="R95" s="3">
        <v>9.3000000000000007</v>
      </c>
      <c r="S95" s="3">
        <f>Table147[[#This Row],[GA]]/Table147[[#This Row],[GP]]</f>
        <v>3.5731707317073171</v>
      </c>
      <c r="T95" s="2">
        <v>0.90900000000000003</v>
      </c>
      <c r="U95" s="1">
        <v>97.5</v>
      </c>
      <c r="V95" s="1">
        <v>44.4</v>
      </c>
      <c r="W95" s="1">
        <v>43.3</v>
      </c>
      <c r="X95" s="1">
        <v>135.80000000000001</v>
      </c>
      <c r="Y95" s="3">
        <f>Table1358[[#This Row],[XGF]]/Table147[[#This Row],[GP]]</f>
        <v>1.6560975609756099</v>
      </c>
      <c r="Z95" s="1">
        <v>210.9</v>
      </c>
      <c r="AA95" s="3">
        <f>Table1358[[#This Row],[XGA]]/Table147[[#This Row],[GP]]</f>
        <v>2.5719512195121954</v>
      </c>
      <c r="AB95" s="1">
        <v>44</v>
      </c>
      <c r="AC95" s="2">
        <f>Table1358[[#This Row],[HDGF]]/Table147[[#This Row],[GP]]</f>
        <v>0.53658536585365857</v>
      </c>
      <c r="AD95" s="1">
        <v>82</v>
      </c>
      <c r="AE95" s="2">
        <f>Table1358[[#This Row],[HDGA]]/Table147[[#This Row],[GP]]</f>
        <v>1</v>
      </c>
      <c r="AF95" s="1">
        <v>13.5</v>
      </c>
    </row>
    <row r="96" spans="1:32" hidden="1" x14ac:dyDescent="0.35">
      <c r="A96" t="s">
        <v>90</v>
      </c>
      <c r="B96">
        <v>31</v>
      </c>
      <c r="C96" t="s">
        <v>83</v>
      </c>
      <c r="D96" s="1">
        <v>0</v>
      </c>
      <c r="E96" s="1">
        <v>27.4</v>
      </c>
      <c r="F96" s="1">
        <v>82</v>
      </c>
      <c r="G96" s="1">
        <v>52</v>
      </c>
      <c r="H96" s="2">
        <f>Table147[[#This Row],[PTS]]/Table147[[#This Row],[GP]]</f>
        <v>0.63414634146341464</v>
      </c>
      <c r="I96" s="2">
        <v>0.317</v>
      </c>
      <c r="J96" s="1">
        <v>178</v>
      </c>
      <c r="K96" s="3">
        <f>Table147[[#This Row],[GF]]/Table147[[#This Row],[GP]]</f>
        <v>2.1707317073170733</v>
      </c>
      <c r="L96" s="1">
        <v>289</v>
      </c>
      <c r="M96" s="1">
        <v>3.52</v>
      </c>
      <c r="N96" s="2">
        <f>(Table147[[#This Row],[GF]]^2)/((Table147[[#This Row],[GF]]^2)+(Table147[[#This Row],[GA]]^2))</f>
        <v>0.27502278546938069</v>
      </c>
      <c r="O96" s="1">
        <v>16.600000000000001</v>
      </c>
      <c r="P96" s="1">
        <v>75.760000000000005</v>
      </c>
      <c r="Q96" s="1">
        <f>Table147[[#This Row],[PP_PCT]]+Table147[[#This Row],[PK_PCT]]</f>
        <v>92.360000000000014</v>
      </c>
      <c r="R96" s="3">
        <v>8.3000000000000007</v>
      </c>
      <c r="S96" s="3">
        <f>Table147[[#This Row],[GA]]/Table147[[#This Row],[GP]]</f>
        <v>3.524390243902439</v>
      </c>
      <c r="T96" s="2">
        <v>0.91100000000000003</v>
      </c>
      <c r="U96" s="1">
        <v>98.9</v>
      </c>
      <c r="V96" s="1">
        <v>46.3</v>
      </c>
      <c r="W96" s="1">
        <v>45.6</v>
      </c>
      <c r="X96" s="1">
        <v>132.6</v>
      </c>
      <c r="Y96" s="3">
        <f>Table1358[[#This Row],[XGF]]/Table147[[#This Row],[GP]]</f>
        <v>1.6170731707317072</v>
      </c>
      <c r="Z96" s="1">
        <v>165.1</v>
      </c>
      <c r="AA96" s="3">
        <f>Table1358[[#This Row],[XGA]]/Table147[[#This Row],[GP]]</f>
        <v>2.0134146341463413</v>
      </c>
      <c r="AB96" s="1">
        <v>46</v>
      </c>
      <c r="AC96" s="2">
        <f>Table1358[[#This Row],[HDGF]]/Table147[[#This Row],[GP]]</f>
        <v>0.56097560975609762</v>
      </c>
      <c r="AD96" s="1">
        <v>60</v>
      </c>
      <c r="AE96" s="2">
        <f>Table1358[[#This Row],[HDGA]]/Table147[[#This Row],[GP]]</f>
        <v>0.73170731707317072</v>
      </c>
      <c r="AF96" s="1">
        <v>8.6999999999999993</v>
      </c>
    </row>
    <row r="97" spans="1:32" hidden="1" x14ac:dyDescent="0.35">
      <c r="A97" t="s">
        <v>90</v>
      </c>
      <c r="B97">
        <v>32</v>
      </c>
      <c r="C97" t="s">
        <v>78</v>
      </c>
      <c r="D97" s="1">
        <v>0</v>
      </c>
      <c r="E97" s="1">
        <v>27.7</v>
      </c>
      <c r="F97" s="1">
        <v>82</v>
      </c>
      <c r="G97" s="1">
        <v>47</v>
      </c>
      <c r="H97" s="2">
        <f>Table147[[#This Row],[PTS]]/Table147[[#This Row],[GP]]</f>
        <v>0.57317073170731703</v>
      </c>
      <c r="I97" s="2">
        <v>0.28699999999999998</v>
      </c>
      <c r="J97" s="1">
        <v>180</v>
      </c>
      <c r="K97" s="3">
        <f>Table147[[#This Row],[GF]]/Table147[[#This Row],[GP]]</f>
        <v>2.1951219512195124</v>
      </c>
      <c r="L97" s="1">
        <v>326</v>
      </c>
      <c r="M97" s="1">
        <v>3.98</v>
      </c>
      <c r="N97" s="2">
        <f>(Table147[[#This Row],[GF]]^2)/((Table147[[#This Row],[GF]]^2)+(Table147[[#This Row],[GA]]^2))</f>
        <v>0.23363812051111946</v>
      </c>
      <c r="O97" s="1">
        <v>20.190000000000001</v>
      </c>
      <c r="P97" s="1">
        <v>75.400000000000006</v>
      </c>
      <c r="Q97" s="1">
        <f>Table147[[#This Row],[PP_PCT]]+Table147[[#This Row],[PK_PCT]]</f>
        <v>95.59</v>
      </c>
      <c r="R97" s="3">
        <v>8.6999999999999993</v>
      </c>
      <c r="S97" s="3">
        <f>Table147[[#This Row],[GA]]/Table147[[#This Row],[GP]]</f>
        <v>3.975609756097561</v>
      </c>
      <c r="T97" s="2">
        <v>0.90800000000000003</v>
      </c>
      <c r="U97" s="1">
        <v>98.3</v>
      </c>
      <c r="V97" s="1">
        <v>50.7</v>
      </c>
      <c r="W97" s="1">
        <v>50.2</v>
      </c>
      <c r="X97" s="1">
        <v>160.19999999999999</v>
      </c>
      <c r="Y97" s="3">
        <f>Table1358[[#This Row],[XGF]]/Table147[[#This Row],[GP]]</f>
        <v>1.9536585365853658</v>
      </c>
      <c r="Z97" s="1">
        <v>160.30000000000001</v>
      </c>
      <c r="AA97" s="3">
        <f>Table1358[[#This Row],[XGA]]/Table147[[#This Row],[GP]]</f>
        <v>1.954878048780488</v>
      </c>
      <c r="AB97" s="1">
        <v>45</v>
      </c>
      <c r="AC97" s="2">
        <f>Table1358[[#This Row],[HDGF]]/Table147[[#This Row],[GP]]</f>
        <v>0.54878048780487809</v>
      </c>
      <c r="AD97" s="1">
        <v>77</v>
      </c>
      <c r="AE97" s="2">
        <f>Table1358[[#This Row],[HDGA]]/Table147[[#This Row],[GP]]</f>
        <v>0.93902439024390238</v>
      </c>
      <c r="AF97" s="1">
        <v>9.5</v>
      </c>
    </row>
    <row r="98" spans="1:32" x14ac:dyDescent="0.35">
      <c r="A98" t="s">
        <v>91</v>
      </c>
      <c r="B98">
        <v>1</v>
      </c>
      <c r="C98" t="s">
        <v>75</v>
      </c>
      <c r="D98" s="1">
        <v>1</v>
      </c>
      <c r="E98" s="1">
        <v>29.6</v>
      </c>
      <c r="F98" s="1">
        <v>73</v>
      </c>
      <c r="G98" s="1">
        <v>104</v>
      </c>
      <c r="H98" s="2">
        <f>Table147[[#This Row],[PTS]]/Table147[[#This Row],[GP]]</f>
        <v>1.4246575342465753</v>
      </c>
      <c r="I98" s="2">
        <v>0.71199999999999997</v>
      </c>
      <c r="J98" s="1">
        <v>252</v>
      </c>
      <c r="K98" s="3">
        <f>Table147[[#This Row],[GF]]/Table147[[#This Row],[GP]]</f>
        <v>3.452054794520548</v>
      </c>
      <c r="L98" s="1">
        <v>171</v>
      </c>
      <c r="M98" s="1">
        <v>2.34</v>
      </c>
      <c r="N98" s="2">
        <f>(Table147[[#This Row],[GF]]^2)/((Table147[[#This Row],[GF]]^2)+(Table147[[#This Row],[GA]]^2))</f>
        <v>0.68471615720524015</v>
      </c>
      <c r="O98" s="1">
        <v>30.1</v>
      </c>
      <c r="P98" s="1">
        <v>79.349999999999994</v>
      </c>
      <c r="Q98" s="1">
        <f>Table147[[#This Row],[PP_PCT]]+Table147[[#This Row],[PK_PCT]]</f>
        <v>109.44999999999999</v>
      </c>
      <c r="R98" s="3">
        <v>12.3</v>
      </c>
      <c r="S98" s="3">
        <f>Table147[[#This Row],[GA]]/Table147[[#This Row],[GP]]</f>
        <v>2.3424657534246576</v>
      </c>
      <c r="T98" s="2">
        <v>0.91300000000000003</v>
      </c>
      <c r="U98" s="1">
        <v>100.8</v>
      </c>
      <c r="V98" s="1">
        <v>52.9</v>
      </c>
      <c r="W98" s="1">
        <v>53.7</v>
      </c>
      <c r="X98" s="1">
        <v>178.1</v>
      </c>
      <c r="Y98" s="3">
        <f>Table1358[[#This Row],[XGF]]/Table147[[#This Row],[GP]]</f>
        <v>2.4397260273972603</v>
      </c>
      <c r="Z98" s="1">
        <v>154.5</v>
      </c>
      <c r="AA98" s="3">
        <f>Table1358[[#This Row],[XGA]]/Table147[[#This Row],[GP]]</f>
        <v>2.1164383561643834</v>
      </c>
      <c r="AB98" s="1">
        <v>82</v>
      </c>
      <c r="AC98" s="2">
        <f>Table1358[[#This Row],[HDGF]]/Table147[[#This Row],[GP]]</f>
        <v>1.1232876712328768</v>
      </c>
      <c r="AD98" s="1">
        <v>87</v>
      </c>
      <c r="AE98" s="2">
        <f>Table1358[[#This Row],[HDGA]]/Table147[[#This Row],[GP]]</f>
        <v>1.1917808219178083</v>
      </c>
      <c r="AF98" s="1">
        <v>7.6</v>
      </c>
    </row>
    <row r="99" spans="1:32" x14ac:dyDescent="0.35">
      <c r="A99" t="s">
        <v>91</v>
      </c>
      <c r="B99">
        <v>2</v>
      </c>
      <c r="C99" t="s">
        <v>69</v>
      </c>
      <c r="D99" s="1">
        <v>1</v>
      </c>
      <c r="E99" s="1">
        <v>29.4</v>
      </c>
      <c r="F99" s="1">
        <v>72</v>
      </c>
      <c r="G99" s="1">
        <v>103</v>
      </c>
      <c r="H99" s="2">
        <f>Table147[[#This Row],[PTS]]/Table147[[#This Row],[GP]]</f>
        <v>1.4305555555555556</v>
      </c>
      <c r="I99" s="2">
        <v>0.71499999999999997</v>
      </c>
      <c r="J99" s="1">
        <v>260</v>
      </c>
      <c r="K99" s="3">
        <f>Table147[[#This Row],[GF]]/Table147[[#This Row],[GP]]</f>
        <v>3.6111111111111112</v>
      </c>
      <c r="L99" s="1">
        <v>185</v>
      </c>
      <c r="M99" s="1">
        <v>2.57</v>
      </c>
      <c r="N99" s="2">
        <f>(Table147[[#This Row],[GF]]^2)/((Table147[[#This Row],[GF]]^2)+(Table147[[#This Row],[GA]]^2))</f>
        <v>0.66388411490301991</v>
      </c>
      <c r="O99" s="1">
        <v>21.54</v>
      </c>
      <c r="P99" s="1">
        <v>82.69</v>
      </c>
      <c r="Q99" s="1">
        <f>Table147[[#This Row],[PP_PCT]]+Table147[[#This Row],[PK_PCT]]</f>
        <v>104.22999999999999</v>
      </c>
      <c r="R99" s="3">
        <v>13.1</v>
      </c>
      <c r="S99" s="3">
        <f>Table147[[#This Row],[GA]]/Table147[[#This Row],[GP]]</f>
        <v>2.5694444444444446</v>
      </c>
      <c r="T99" s="2">
        <v>0.92800000000000005</v>
      </c>
      <c r="U99" s="1">
        <v>100</v>
      </c>
      <c r="V99" s="1">
        <v>51.8</v>
      </c>
      <c r="W99" s="1">
        <v>49.7</v>
      </c>
      <c r="X99" s="1">
        <v>155.1</v>
      </c>
      <c r="Y99" s="3">
        <f>Table1358[[#This Row],[XGF]]/Table147[[#This Row],[GP]]</f>
        <v>2.1541666666666668</v>
      </c>
      <c r="Z99" s="1">
        <v>148.1</v>
      </c>
      <c r="AA99" s="3">
        <f>Table1358[[#This Row],[XGA]]/Table147[[#This Row],[GP]]</f>
        <v>2.0569444444444445</v>
      </c>
      <c r="AB99" s="1">
        <v>46</v>
      </c>
      <c r="AC99" s="2">
        <f>Table1358[[#This Row],[HDGF]]/Table147[[#This Row],[GP]]</f>
        <v>0.63888888888888884</v>
      </c>
      <c r="AD99" s="1">
        <v>52</v>
      </c>
      <c r="AE99" s="2">
        <f>Table1358[[#This Row],[HDGA]]/Table147[[#This Row],[GP]]</f>
        <v>0.72222222222222221</v>
      </c>
      <c r="AF99" s="1">
        <v>8.3000000000000007</v>
      </c>
    </row>
    <row r="100" spans="1:32" x14ac:dyDescent="0.35">
      <c r="A100" t="s">
        <v>91</v>
      </c>
      <c r="B100">
        <v>3</v>
      </c>
      <c r="C100" t="s">
        <v>71</v>
      </c>
      <c r="D100" s="1">
        <v>1</v>
      </c>
      <c r="E100" s="1">
        <v>28.4</v>
      </c>
      <c r="F100" s="1">
        <v>72</v>
      </c>
      <c r="G100" s="1">
        <v>98</v>
      </c>
      <c r="H100" s="2">
        <f>Table147[[#This Row],[PTS]]/Table147[[#This Row],[GP]]</f>
        <v>1.3611111111111112</v>
      </c>
      <c r="I100" s="2">
        <v>0.68100000000000005</v>
      </c>
      <c r="J100" s="1">
        <v>244</v>
      </c>
      <c r="K100" s="3">
        <f>Table147[[#This Row],[GF]]/Table147[[#This Row],[GP]]</f>
        <v>3.3888888888888888</v>
      </c>
      <c r="L100" s="1">
        <v>185</v>
      </c>
      <c r="M100" s="1">
        <v>2.57</v>
      </c>
      <c r="N100" s="2">
        <f>(Table147[[#This Row],[GF]]^2)/((Table147[[#This Row],[GF]]^2)+(Table147[[#This Row],[GA]]^2))</f>
        <v>0.6349761627968985</v>
      </c>
      <c r="O100" s="1">
        <v>22.43</v>
      </c>
      <c r="P100" s="1">
        <v>84.18</v>
      </c>
      <c r="Q100" s="1">
        <f>Table147[[#This Row],[PP_PCT]]+Table147[[#This Row],[PK_PCT]]</f>
        <v>106.61000000000001</v>
      </c>
      <c r="R100" s="3">
        <v>11.8</v>
      </c>
      <c r="S100" s="3">
        <f>Table147[[#This Row],[GA]]/Table147[[#This Row],[GP]]</f>
        <v>2.5694444444444446</v>
      </c>
      <c r="T100" s="2">
        <v>0.91200000000000003</v>
      </c>
      <c r="U100" s="1">
        <v>99.9</v>
      </c>
      <c r="V100" s="1">
        <v>48.6</v>
      </c>
      <c r="W100" s="1">
        <v>48.2</v>
      </c>
      <c r="X100" s="1">
        <v>136.9</v>
      </c>
      <c r="Y100" s="3">
        <f>Table1358[[#This Row],[XGF]]/Table147[[#This Row],[GP]]</f>
        <v>1.901388888888889</v>
      </c>
      <c r="Z100" s="1">
        <v>153.4</v>
      </c>
      <c r="AA100" s="3">
        <f>Table1358[[#This Row],[XGA]]/Table147[[#This Row],[GP]]</f>
        <v>2.1305555555555555</v>
      </c>
      <c r="AB100" s="1">
        <v>48</v>
      </c>
      <c r="AC100" s="2">
        <f>Table1358[[#This Row],[HDGF]]/Table147[[#This Row],[GP]]</f>
        <v>0.66666666666666663</v>
      </c>
      <c r="AD100" s="1">
        <v>57</v>
      </c>
      <c r="AE100" s="2">
        <f>Table1358[[#This Row],[HDGA]]/Table147[[#This Row],[GP]]</f>
        <v>0.79166666666666663</v>
      </c>
      <c r="AF100" s="1">
        <v>6.9</v>
      </c>
    </row>
    <row r="101" spans="1:32" x14ac:dyDescent="0.35">
      <c r="A101" t="s">
        <v>91</v>
      </c>
      <c r="B101">
        <v>4</v>
      </c>
      <c r="C101" t="s">
        <v>73</v>
      </c>
      <c r="D101" s="1">
        <v>1</v>
      </c>
      <c r="E101" s="1">
        <v>29.3</v>
      </c>
      <c r="F101" s="1">
        <v>72</v>
      </c>
      <c r="G101" s="1">
        <v>96</v>
      </c>
      <c r="H101" s="2">
        <f>Table147[[#This Row],[PTS]]/Table147[[#This Row],[GP]]</f>
        <v>1.3333333333333333</v>
      </c>
      <c r="I101" s="2">
        <v>0.66700000000000004</v>
      </c>
      <c r="J101" s="1">
        <v>246</v>
      </c>
      <c r="K101" s="3">
        <f>Table147[[#This Row],[GF]]/Table147[[#This Row],[GP]]</f>
        <v>3.4166666666666665</v>
      </c>
      <c r="L101" s="1">
        <v>191</v>
      </c>
      <c r="M101" s="1">
        <v>2.65</v>
      </c>
      <c r="N101" s="2">
        <f>(Table147[[#This Row],[GF]]^2)/((Table147[[#This Row],[GF]]^2)+(Table147[[#This Row],[GA]]^2))</f>
        <v>0.62389558439951753</v>
      </c>
      <c r="O101" s="1">
        <v>30.36</v>
      </c>
      <c r="P101" s="1">
        <v>76.03</v>
      </c>
      <c r="Q101" s="1">
        <f>Table147[[#This Row],[PP_PCT]]+Table147[[#This Row],[PK_PCT]]</f>
        <v>106.39</v>
      </c>
      <c r="R101" s="3">
        <v>11.2</v>
      </c>
      <c r="S101" s="3">
        <f>Table147[[#This Row],[GA]]/Table147[[#This Row],[GP]]</f>
        <v>2.6527777777777777</v>
      </c>
      <c r="T101" s="2">
        <v>0.92400000000000004</v>
      </c>
      <c r="U101" s="1">
        <v>102</v>
      </c>
      <c r="V101" s="1">
        <v>47.2</v>
      </c>
      <c r="W101" s="1">
        <v>46.7</v>
      </c>
      <c r="X101" s="1">
        <v>182.1</v>
      </c>
      <c r="Y101" s="3">
        <f>Table1358[[#This Row],[XGF]]/Table147[[#This Row],[GP]]</f>
        <v>2.5291666666666668</v>
      </c>
      <c r="Z101" s="1">
        <v>188.6</v>
      </c>
      <c r="AA101" s="3">
        <f>Table1358[[#This Row],[XGA]]/Table147[[#This Row],[GP]]</f>
        <v>2.6194444444444445</v>
      </c>
      <c r="AB101" s="1">
        <v>67</v>
      </c>
      <c r="AC101" s="2">
        <f>Table1358[[#This Row],[HDGF]]/Table147[[#This Row],[GP]]</f>
        <v>0.93055555555555558</v>
      </c>
      <c r="AD101" s="1">
        <v>68</v>
      </c>
      <c r="AE101" s="2">
        <f>Table1358[[#This Row],[HDGA]]/Table147[[#This Row],[GP]]</f>
        <v>0.94444444444444442</v>
      </c>
      <c r="AF101" s="1">
        <v>5.7</v>
      </c>
    </row>
    <row r="102" spans="1:32" x14ac:dyDescent="0.35">
      <c r="A102" t="s">
        <v>91</v>
      </c>
      <c r="B102">
        <v>5</v>
      </c>
      <c r="C102" t="s">
        <v>58</v>
      </c>
      <c r="D102" s="1">
        <v>1</v>
      </c>
      <c r="E102" s="1">
        <v>28.6</v>
      </c>
      <c r="F102" s="1">
        <v>73</v>
      </c>
      <c r="G102" s="1">
        <v>93</v>
      </c>
      <c r="H102" s="2">
        <f>Table147[[#This Row],[PTS]]/Table147[[#This Row],[GP]]</f>
        <v>1.273972602739726</v>
      </c>
      <c r="I102" s="2">
        <v>0.63700000000000001</v>
      </c>
      <c r="J102" s="1">
        <v>246</v>
      </c>
      <c r="K102" s="3">
        <f>Table147[[#This Row],[GF]]/Table147[[#This Row],[GP]]</f>
        <v>3.3698630136986303</v>
      </c>
      <c r="L102" s="1">
        <v>204</v>
      </c>
      <c r="M102" s="1">
        <v>2.79</v>
      </c>
      <c r="N102" s="2">
        <f>(Table147[[#This Row],[GF]]^2)/((Table147[[#This Row],[GF]]^2)+(Table147[[#This Row],[GA]]^2))</f>
        <v>0.59252731758900246</v>
      </c>
      <c r="O102" s="1">
        <v>25.71</v>
      </c>
      <c r="P102" s="1">
        <v>79.12</v>
      </c>
      <c r="Q102" s="1">
        <f>Table147[[#This Row],[PP_PCT]]+Table147[[#This Row],[PK_PCT]]</f>
        <v>104.83000000000001</v>
      </c>
      <c r="R102" s="3">
        <v>11.3</v>
      </c>
      <c r="S102" s="3">
        <f>Table147[[#This Row],[GA]]/Table147[[#This Row],[GP]]</f>
        <v>2.7945205479452055</v>
      </c>
      <c r="T102" s="2">
        <v>0.91700000000000004</v>
      </c>
      <c r="U102" s="1">
        <v>100.5</v>
      </c>
      <c r="V102" s="1">
        <v>46.1</v>
      </c>
      <c r="W102" s="1">
        <v>46.4</v>
      </c>
      <c r="X102" s="1">
        <v>174.3</v>
      </c>
      <c r="Y102" s="3">
        <f>Table1358[[#This Row],[XGF]]/Table147[[#This Row],[GP]]</f>
        <v>2.3876712328767127</v>
      </c>
      <c r="Z102" s="1">
        <v>202.5</v>
      </c>
      <c r="AA102" s="3">
        <f>Table1358[[#This Row],[XGA]]/Table147[[#This Row],[GP]]</f>
        <v>2.7739726027397262</v>
      </c>
      <c r="AB102" s="1">
        <v>67</v>
      </c>
      <c r="AC102" s="2">
        <f>Table1358[[#This Row],[HDGF]]/Table147[[#This Row],[GP]]</f>
        <v>0.9178082191780822</v>
      </c>
      <c r="AD102" s="1">
        <v>91</v>
      </c>
      <c r="AE102" s="2">
        <f>Table1358[[#This Row],[HDGA]]/Table147[[#This Row],[GP]]</f>
        <v>1.2465753424657535</v>
      </c>
      <c r="AF102" s="1">
        <v>6.8</v>
      </c>
    </row>
    <row r="103" spans="1:32" x14ac:dyDescent="0.35">
      <c r="A103" t="s">
        <v>91</v>
      </c>
      <c r="B103">
        <v>6</v>
      </c>
      <c r="C103" t="s">
        <v>59</v>
      </c>
      <c r="D103" s="1">
        <v>1</v>
      </c>
      <c r="E103" s="1">
        <v>29.6</v>
      </c>
      <c r="F103" s="1">
        <v>72</v>
      </c>
      <c r="G103" s="1">
        <v>92</v>
      </c>
      <c r="H103" s="2">
        <f>Table147[[#This Row],[PTS]]/Table147[[#This Row],[GP]]</f>
        <v>1.2777777777777777</v>
      </c>
      <c r="I103" s="2">
        <v>0.63900000000000001</v>
      </c>
      <c r="J103" s="1">
        <v>232</v>
      </c>
      <c r="K103" s="3">
        <f>Table147[[#This Row],[GF]]/Table147[[#This Row],[GP]]</f>
        <v>3.2222222222222223</v>
      </c>
      <c r="L103" s="1">
        <v>190</v>
      </c>
      <c r="M103" s="1">
        <v>2.64</v>
      </c>
      <c r="N103" s="2">
        <f>(Table147[[#This Row],[GF]]^2)/((Table147[[#This Row],[GF]]^2)+(Table147[[#This Row],[GA]]^2))</f>
        <v>0.59854988657088204</v>
      </c>
      <c r="O103" s="1">
        <v>18.350000000000001</v>
      </c>
      <c r="P103" s="1">
        <v>84.76</v>
      </c>
      <c r="Q103" s="1">
        <f>Table147[[#This Row],[PP_PCT]]+Table147[[#This Row],[PK_PCT]]</f>
        <v>103.11000000000001</v>
      </c>
      <c r="R103" s="3">
        <v>10.199999999999999</v>
      </c>
      <c r="S103" s="3">
        <f>Table147[[#This Row],[GA]]/Table147[[#This Row],[GP]]</f>
        <v>2.6388888888888888</v>
      </c>
      <c r="T103" s="2">
        <v>0.92700000000000005</v>
      </c>
      <c r="U103" s="1">
        <v>100.4</v>
      </c>
      <c r="V103" s="1">
        <v>45.9</v>
      </c>
      <c r="W103" s="1">
        <v>45.5</v>
      </c>
      <c r="X103" s="1">
        <v>157.5</v>
      </c>
      <c r="Y103" s="3">
        <f>Table1358[[#This Row],[XGF]]/Table147[[#This Row],[GP]]</f>
        <v>2.1875</v>
      </c>
      <c r="Z103" s="1">
        <v>183.7</v>
      </c>
      <c r="AA103" s="3">
        <f>Table1358[[#This Row],[XGA]]/Table147[[#This Row],[GP]]</f>
        <v>2.5513888888888889</v>
      </c>
      <c r="AB103" s="1">
        <v>54</v>
      </c>
      <c r="AC103" s="2">
        <f>Table1358[[#This Row],[HDGF]]/Table147[[#This Row],[GP]]</f>
        <v>0.75</v>
      </c>
      <c r="AD103" s="1">
        <v>67</v>
      </c>
      <c r="AE103" s="2">
        <f>Table1358[[#This Row],[HDGA]]/Table147[[#This Row],[GP]]</f>
        <v>0.93055555555555558</v>
      </c>
      <c r="AF103" s="1">
        <v>7</v>
      </c>
    </row>
    <row r="104" spans="1:32" x14ac:dyDescent="0.35">
      <c r="A104" t="s">
        <v>91</v>
      </c>
      <c r="B104">
        <v>7</v>
      </c>
      <c r="C104" t="s">
        <v>57</v>
      </c>
      <c r="D104" s="1">
        <v>1</v>
      </c>
      <c r="E104" s="1">
        <v>29.5</v>
      </c>
      <c r="F104" s="1">
        <v>72</v>
      </c>
      <c r="G104" s="1">
        <v>91</v>
      </c>
      <c r="H104" s="2">
        <f>Table147[[#This Row],[PTS]]/Table147[[#This Row],[GP]]</f>
        <v>1.2638888888888888</v>
      </c>
      <c r="I104" s="2">
        <v>0.63200000000000001</v>
      </c>
      <c r="J104" s="1">
        <v>226</v>
      </c>
      <c r="K104" s="3">
        <f>Table147[[#This Row],[GF]]/Table147[[#This Row],[GP]]</f>
        <v>3.1388888888888888</v>
      </c>
      <c r="L104" s="1">
        <v>194</v>
      </c>
      <c r="M104" s="1">
        <v>2.69</v>
      </c>
      <c r="N104" s="2">
        <f>(Table147[[#This Row],[GF]]^2)/((Table147[[#This Row],[GF]]^2)+(Table147[[#This Row],[GA]]^2))</f>
        <v>0.57575074398052128</v>
      </c>
      <c r="O104" s="1">
        <v>24.07</v>
      </c>
      <c r="P104" s="1">
        <v>81.22</v>
      </c>
      <c r="Q104" s="1">
        <f>Table147[[#This Row],[PP_PCT]]+Table147[[#This Row],[PK_PCT]]</f>
        <v>105.28999999999999</v>
      </c>
      <c r="R104" s="3">
        <v>9.9</v>
      </c>
      <c r="S104" s="3">
        <f>Table147[[#This Row],[GA]]/Table147[[#This Row],[GP]]</f>
        <v>2.6944444444444446</v>
      </c>
      <c r="T104" s="2">
        <v>0.92500000000000004</v>
      </c>
      <c r="U104" s="1">
        <v>101.5</v>
      </c>
      <c r="V104" s="1">
        <v>49.7</v>
      </c>
      <c r="W104" s="1">
        <v>48.9</v>
      </c>
      <c r="X104" s="1">
        <v>155</v>
      </c>
      <c r="Y104" s="3">
        <f>Table1358[[#This Row],[XGF]]/Table147[[#This Row],[GP]]</f>
        <v>2.1527777777777777</v>
      </c>
      <c r="Z104" s="1">
        <v>137.6</v>
      </c>
      <c r="AA104" s="3">
        <f>Table1358[[#This Row],[XGA]]/Table147[[#This Row],[GP]]</f>
        <v>1.911111111111111</v>
      </c>
      <c r="AB104" s="1">
        <v>61</v>
      </c>
      <c r="AC104" s="2">
        <f>Table1358[[#This Row],[HDGF]]/Table147[[#This Row],[GP]]</f>
        <v>0.84722222222222221</v>
      </c>
      <c r="AD104" s="1">
        <v>43</v>
      </c>
      <c r="AE104" s="2">
        <f>Table1358[[#This Row],[HDGA]]/Table147[[#This Row],[GP]]</f>
        <v>0.59722222222222221</v>
      </c>
      <c r="AF104" s="1">
        <v>9.8000000000000007</v>
      </c>
    </row>
    <row r="105" spans="1:32" x14ac:dyDescent="0.35">
      <c r="A105" t="s">
        <v>91</v>
      </c>
      <c r="B105">
        <v>8</v>
      </c>
      <c r="C105" t="s">
        <v>60</v>
      </c>
      <c r="D105" s="1">
        <v>1</v>
      </c>
      <c r="E105" s="1">
        <v>29.3</v>
      </c>
      <c r="F105" s="1">
        <v>72</v>
      </c>
      <c r="G105" s="1">
        <v>90</v>
      </c>
      <c r="H105" s="2">
        <f>Table147[[#This Row],[PTS]]/Table147[[#This Row],[GP]]</f>
        <v>1.25</v>
      </c>
      <c r="I105" s="2">
        <v>0.625</v>
      </c>
      <c r="J105" s="1">
        <v>235</v>
      </c>
      <c r="K105" s="3">
        <f>Table147[[#This Row],[GF]]/Table147[[#This Row],[GP]]</f>
        <v>3.2638888888888888</v>
      </c>
      <c r="L105" s="1">
        <v>214</v>
      </c>
      <c r="M105" s="1">
        <v>2.97</v>
      </c>
      <c r="N105" s="2">
        <f>(Table147[[#This Row],[GF]]^2)/((Table147[[#This Row],[GF]]^2)+(Table147[[#This Row],[GA]]^2))</f>
        <v>0.54666851446728892</v>
      </c>
      <c r="O105" s="1">
        <v>26.53</v>
      </c>
      <c r="P105" s="1">
        <v>78.099999999999994</v>
      </c>
      <c r="Q105" s="1">
        <f>Table147[[#This Row],[PP_PCT]]+Table147[[#This Row],[PK_PCT]]</f>
        <v>104.63</v>
      </c>
      <c r="R105" s="3">
        <v>11.5</v>
      </c>
      <c r="S105" s="3">
        <f>Table147[[#This Row],[GA]]/Table147[[#This Row],[GP]]</f>
        <v>2.9722222222222223</v>
      </c>
      <c r="T105" s="2">
        <v>0.92500000000000004</v>
      </c>
      <c r="U105" s="1">
        <v>101.4</v>
      </c>
      <c r="V105" s="1">
        <v>50.9</v>
      </c>
      <c r="W105" s="1">
        <v>51.1</v>
      </c>
      <c r="X105" s="1">
        <v>181.2</v>
      </c>
      <c r="Y105" s="3">
        <f>Table1358[[#This Row],[XGF]]/Table147[[#This Row],[GP]]</f>
        <v>2.5166666666666666</v>
      </c>
      <c r="Z105" s="1">
        <v>168.5</v>
      </c>
      <c r="AA105" s="3">
        <f>Table1358[[#This Row],[XGA]]/Table147[[#This Row],[GP]]</f>
        <v>2.3402777777777777</v>
      </c>
      <c r="AB105" s="1">
        <v>77</v>
      </c>
      <c r="AC105" s="2">
        <f>Table1358[[#This Row],[HDGF]]/Table147[[#This Row],[GP]]</f>
        <v>1.0694444444444444</v>
      </c>
      <c r="AD105" s="1">
        <v>70</v>
      </c>
      <c r="AE105" s="2">
        <f>Table1358[[#This Row],[HDGA]]/Table147[[#This Row],[GP]]</f>
        <v>0.97222222222222221</v>
      </c>
      <c r="AF105" s="1">
        <v>7.9</v>
      </c>
    </row>
    <row r="106" spans="1:32" x14ac:dyDescent="0.35">
      <c r="A106" t="s">
        <v>91</v>
      </c>
      <c r="B106">
        <v>9</v>
      </c>
      <c r="C106" t="s">
        <v>63</v>
      </c>
      <c r="D106" s="1">
        <v>1</v>
      </c>
      <c r="E106" s="1">
        <v>29.6</v>
      </c>
      <c r="F106" s="1">
        <v>72</v>
      </c>
      <c r="G106" s="1">
        <v>89</v>
      </c>
      <c r="H106" s="2">
        <f>Table147[[#This Row],[PTS]]/Table147[[#This Row],[GP]]</f>
        <v>1.2361111111111112</v>
      </c>
      <c r="I106" s="2">
        <v>0.61799999999999999</v>
      </c>
      <c r="J106" s="1">
        <v>257</v>
      </c>
      <c r="K106" s="3">
        <f>Table147[[#This Row],[GF]]/Table147[[#This Row],[GP]]</f>
        <v>3.5694444444444446</v>
      </c>
      <c r="L106" s="1">
        <v>190</v>
      </c>
      <c r="M106" s="1">
        <v>2.64</v>
      </c>
      <c r="N106" s="2">
        <f>(Table147[[#This Row],[GF]]^2)/((Table147[[#This Row],[GF]]^2)+(Table147[[#This Row],[GA]]^2))</f>
        <v>0.64659468031992484</v>
      </c>
      <c r="O106" s="1">
        <v>25.98</v>
      </c>
      <c r="P106" s="1">
        <v>82.32</v>
      </c>
      <c r="Q106" s="1">
        <f>Table147[[#This Row],[PP_PCT]]+Table147[[#This Row],[PK_PCT]]</f>
        <v>108.3</v>
      </c>
      <c r="R106" s="3">
        <v>12.4</v>
      </c>
      <c r="S106" s="3">
        <f>Table147[[#This Row],[GA]]/Table147[[#This Row],[GP]]</f>
        <v>2.6388888888888888</v>
      </c>
      <c r="T106" s="2">
        <v>0.92300000000000004</v>
      </c>
      <c r="U106" s="1">
        <v>100.5</v>
      </c>
      <c r="V106" s="1">
        <v>51.6</v>
      </c>
      <c r="W106" s="1">
        <v>51.5</v>
      </c>
      <c r="X106" s="1">
        <v>196.1</v>
      </c>
      <c r="Y106" s="3">
        <f>Table1358[[#This Row],[XGF]]/Table147[[#This Row],[GP]]</f>
        <v>2.723611111111111</v>
      </c>
      <c r="Z106" s="1">
        <v>187.7</v>
      </c>
      <c r="AA106" s="3">
        <f>Table1358[[#This Row],[XGA]]/Table147[[#This Row],[GP]]</f>
        <v>2.6069444444444443</v>
      </c>
      <c r="AB106" s="1">
        <v>80</v>
      </c>
      <c r="AC106" s="2">
        <f>Table1358[[#This Row],[HDGF]]/Table147[[#This Row],[GP]]</f>
        <v>1.1111111111111112</v>
      </c>
      <c r="AD106" s="1">
        <v>58</v>
      </c>
      <c r="AE106" s="2">
        <f>Table1358[[#This Row],[HDGA]]/Table147[[#This Row],[GP]]</f>
        <v>0.80555555555555558</v>
      </c>
      <c r="AF106" s="1">
        <v>8.1999999999999993</v>
      </c>
    </row>
    <row r="107" spans="1:32" x14ac:dyDescent="0.35">
      <c r="A107" t="s">
        <v>91</v>
      </c>
      <c r="B107">
        <v>10</v>
      </c>
      <c r="C107" t="s">
        <v>70</v>
      </c>
      <c r="D107" s="1">
        <v>1</v>
      </c>
      <c r="E107" s="1">
        <v>29.3</v>
      </c>
      <c r="F107" s="1">
        <v>71</v>
      </c>
      <c r="G107" s="1">
        <v>89</v>
      </c>
      <c r="H107" s="2">
        <f>Table147[[#This Row],[PTS]]/Table147[[#This Row],[GP]]</f>
        <v>1.2535211267605635</v>
      </c>
      <c r="I107" s="2">
        <v>0.627</v>
      </c>
      <c r="J107" s="1">
        <v>205</v>
      </c>
      <c r="K107" s="3">
        <f>Table147[[#This Row],[GF]]/Table147[[#This Row],[GP]]</f>
        <v>2.887323943661972</v>
      </c>
      <c r="L107" s="1">
        <v>179</v>
      </c>
      <c r="M107" s="1">
        <v>2.52</v>
      </c>
      <c r="N107" s="2">
        <f>(Table147[[#This Row],[GF]]^2)/((Table147[[#This Row],[GF]]^2)+(Table147[[#This Row],[GA]]^2))</f>
        <v>0.56739934652877166</v>
      </c>
      <c r="O107" s="1">
        <v>16.27</v>
      </c>
      <c r="P107" s="1">
        <v>81.37</v>
      </c>
      <c r="Q107" s="1">
        <f>Table147[[#This Row],[PP_PCT]]+Table147[[#This Row],[PK_PCT]]</f>
        <v>97.64</v>
      </c>
      <c r="R107" s="3">
        <v>10.4</v>
      </c>
      <c r="S107" s="3">
        <f>Table147[[#This Row],[GA]]/Table147[[#This Row],[GP]]</f>
        <v>2.5211267605633805</v>
      </c>
      <c r="T107" s="2">
        <v>0.90900000000000003</v>
      </c>
      <c r="U107" s="1">
        <v>99.5</v>
      </c>
      <c r="V107" s="1">
        <v>51.1</v>
      </c>
      <c r="W107" s="1">
        <v>50.2</v>
      </c>
      <c r="X107" s="1">
        <v>167.7</v>
      </c>
      <c r="Y107" s="3">
        <f>Table1358[[#This Row],[XGF]]/Table147[[#This Row],[GP]]</f>
        <v>2.3619718309859152</v>
      </c>
      <c r="Z107" s="1">
        <v>166.6</v>
      </c>
      <c r="AA107" s="3">
        <f>Table1358[[#This Row],[XGA]]/Table147[[#This Row],[GP]]</f>
        <v>2.3464788732394366</v>
      </c>
      <c r="AB107" s="1">
        <v>69</v>
      </c>
      <c r="AC107" s="2">
        <f>Table1358[[#This Row],[HDGF]]/Table147[[#This Row],[GP]]</f>
        <v>0.971830985915493</v>
      </c>
      <c r="AD107" s="1">
        <v>74</v>
      </c>
      <c r="AE107" s="2">
        <f>Table1358[[#This Row],[HDGA]]/Table147[[#This Row],[GP]]</f>
        <v>1.0422535211267605</v>
      </c>
      <c r="AF107" s="1">
        <v>7.8</v>
      </c>
    </row>
    <row r="108" spans="1:32" x14ac:dyDescent="0.35">
      <c r="A108" t="s">
        <v>91</v>
      </c>
      <c r="B108">
        <v>11</v>
      </c>
      <c r="C108" t="s">
        <v>61</v>
      </c>
      <c r="D108" s="1">
        <v>1</v>
      </c>
      <c r="E108" s="1">
        <v>29.6</v>
      </c>
      <c r="F108" s="1">
        <v>73</v>
      </c>
      <c r="G108" s="1">
        <v>87</v>
      </c>
      <c r="H108" s="2">
        <f>Table147[[#This Row],[PTS]]/Table147[[#This Row],[GP]]</f>
        <v>1.1917808219178083</v>
      </c>
      <c r="I108" s="2">
        <v>0.59599999999999997</v>
      </c>
      <c r="J108" s="1">
        <v>197</v>
      </c>
      <c r="K108" s="3">
        <f>Table147[[#This Row],[GF]]/Table147[[#This Row],[GP]]</f>
        <v>2.6986301369863015</v>
      </c>
      <c r="L108" s="1">
        <v>204</v>
      </c>
      <c r="M108" s="1">
        <v>2.79</v>
      </c>
      <c r="N108" s="2">
        <f>(Table147[[#This Row],[GF]]^2)/((Table147[[#This Row],[GF]]^2)+(Table147[[#This Row],[GA]]^2))</f>
        <v>0.48254895865713399</v>
      </c>
      <c r="O108" s="1">
        <v>20.65</v>
      </c>
      <c r="P108" s="1">
        <v>71.739999999999995</v>
      </c>
      <c r="Q108" s="1">
        <f>Table147[[#This Row],[PP_PCT]]+Table147[[#This Row],[PK_PCT]]</f>
        <v>92.389999999999986</v>
      </c>
      <c r="R108" s="3">
        <v>9.9</v>
      </c>
      <c r="S108" s="3">
        <f>Table147[[#This Row],[GA]]/Table147[[#This Row],[GP]]</f>
        <v>2.7945205479452055</v>
      </c>
      <c r="T108" s="2">
        <v>0.92800000000000005</v>
      </c>
      <c r="U108" s="1">
        <v>102</v>
      </c>
      <c r="V108" s="1">
        <v>51</v>
      </c>
      <c r="W108" s="1">
        <v>50.3</v>
      </c>
      <c r="X108" s="1">
        <v>163.19999999999999</v>
      </c>
      <c r="Y108" s="3">
        <f>Table1358[[#This Row],[XGF]]/Table147[[#This Row],[GP]]</f>
        <v>2.2356164383561641</v>
      </c>
      <c r="Z108" s="1">
        <v>150.19999999999999</v>
      </c>
      <c r="AA108" s="3">
        <f>Table1358[[#This Row],[XGA]]/Table147[[#This Row],[GP]]</f>
        <v>2.0575342465753423</v>
      </c>
      <c r="AB108" s="1">
        <v>59</v>
      </c>
      <c r="AC108" s="2">
        <f>Table1358[[#This Row],[HDGF]]/Table147[[#This Row],[GP]]</f>
        <v>0.80821917808219179</v>
      </c>
      <c r="AD108" s="1">
        <v>31</v>
      </c>
      <c r="AE108" s="2">
        <f>Table1358[[#This Row],[HDGA]]/Table147[[#This Row],[GP]]</f>
        <v>0.42465753424657532</v>
      </c>
      <c r="AF108" s="1">
        <v>7.6</v>
      </c>
    </row>
    <row r="109" spans="1:32" x14ac:dyDescent="0.35">
      <c r="A109" t="s">
        <v>91</v>
      </c>
      <c r="B109">
        <v>12</v>
      </c>
      <c r="C109" t="s">
        <v>67</v>
      </c>
      <c r="D109" s="1">
        <v>1</v>
      </c>
      <c r="E109" s="1">
        <v>30.4</v>
      </c>
      <c r="F109" s="1">
        <v>72</v>
      </c>
      <c r="G109" s="1">
        <v>87</v>
      </c>
      <c r="H109" s="2">
        <f>Table147[[#This Row],[PTS]]/Table147[[#This Row],[GP]]</f>
        <v>1.2083333333333333</v>
      </c>
      <c r="I109" s="2">
        <v>0.60399999999999998</v>
      </c>
      <c r="J109" s="1">
        <v>233</v>
      </c>
      <c r="K109" s="3">
        <f>Table147[[#This Row],[GF]]/Table147[[#This Row],[GP]]</f>
        <v>3.2361111111111112</v>
      </c>
      <c r="L109" s="1">
        <v>212</v>
      </c>
      <c r="M109" s="1">
        <v>2.94</v>
      </c>
      <c r="N109" s="2">
        <f>(Table147[[#This Row],[GF]]^2)/((Table147[[#This Row],[GF]]^2)+(Table147[[#This Row],[GA]]^2))</f>
        <v>0.54708615077645539</v>
      </c>
      <c r="O109" s="1">
        <v>25.41</v>
      </c>
      <c r="P109" s="1">
        <v>76.540000000000006</v>
      </c>
      <c r="Q109" s="1">
        <f>Table147[[#This Row],[PP_PCT]]+Table147[[#This Row],[PK_PCT]]</f>
        <v>101.95</v>
      </c>
      <c r="R109" s="3">
        <v>10.1</v>
      </c>
      <c r="S109" s="3">
        <f>Table147[[#This Row],[GA]]/Table147[[#This Row],[GP]]</f>
        <v>2.9444444444444446</v>
      </c>
      <c r="T109" s="2">
        <v>0.91500000000000004</v>
      </c>
      <c r="U109" s="1">
        <v>100.2</v>
      </c>
      <c r="V109" s="1">
        <v>53.4</v>
      </c>
      <c r="W109" s="1">
        <v>53</v>
      </c>
      <c r="X109" s="1">
        <v>210.6</v>
      </c>
      <c r="Y109" s="3">
        <f>Table1358[[#This Row],[XGF]]/Table147[[#This Row],[GP]]</f>
        <v>2.9249999999999998</v>
      </c>
      <c r="Z109" s="1">
        <v>170.8</v>
      </c>
      <c r="AA109" s="3">
        <f>Table1358[[#This Row],[XGA]]/Table147[[#This Row],[GP]]</f>
        <v>2.3722222222222222</v>
      </c>
      <c r="AB109" s="1">
        <v>81</v>
      </c>
      <c r="AC109" s="2">
        <f>Table1358[[#This Row],[HDGF]]/Table147[[#This Row],[GP]]</f>
        <v>1.125</v>
      </c>
      <c r="AD109" s="1">
        <v>75</v>
      </c>
      <c r="AE109" s="2">
        <f>Table1358[[#This Row],[HDGA]]/Table147[[#This Row],[GP]]</f>
        <v>1.0416666666666667</v>
      </c>
      <c r="AF109" s="1">
        <v>6.9</v>
      </c>
    </row>
    <row r="110" spans="1:32" x14ac:dyDescent="0.35">
      <c r="A110" t="s">
        <v>91</v>
      </c>
      <c r="B110">
        <v>13</v>
      </c>
      <c r="C110" t="s">
        <v>65</v>
      </c>
      <c r="D110" s="1">
        <v>1</v>
      </c>
      <c r="E110" s="1">
        <v>29.2</v>
      </c>
      <c r="F110" s="1">
        <v>74</v>
      </c>
      <c r="G110" s="1">
        <v>85</v>
      </c>
      <c r="H110" s="2">
        <f>Table147[[#This Row],[PTS]]/Table147[[#This Row],[GP]]</f>
        <v>1.1486486486486487</v>
      </c>
      <c r="I110" s="2">
        <v>0.57399999999999995</v>
      </c>
      <c r="J110" s="1">
        <v>223</v>
      </c>
      <c r="K110" s="3">
        <f>Table147[[#This Row],[GF]]/Table147[[#This Row],[GP]]</f>
        <v>3.0135135135135136</v>
      </c>
      <c r="L110" s="1">
        <v>210</v>
      </c>
      <c r="M110" s="1">
        <v>2.84</v>
      </c>
      <c r="N110" s="2">
        <f>(Table147[[#This Row],[GF]]^2)/((Table147[[#This Row],[GF]]^2)+(Table147[[#This Row],[GA]]^2))</f>
        <v>0.52999605665625771</v>
      </c>
      <c r="O110" s="1">
        <v>21.3</v>
      </c>
      <c r="P110" s="1">
        <v>72.989999999999995</v>
      </c>
      <c r="Q110" s="1">
        <f>Table147[[#This Row],[PP_PCT]]+Table147[[#This Row],[PK_PCT]]</f>
        <v>94.289999999999992</v>
      </c>
      <c r="R110" s="3">
        <v>11.2</v>
      </c>
      <c r="S110" s="3">
        <f>Table147[[#This Row],[GA]]/Table147[[#This Row],[GP]]</f>
        <v>2.8378378378378377</v>
      </c>
      <c r="T110" s="2">
        <v>0.92800000000000005</v>
      </c>
      <c r="U110" s="1">
        <v>101.2</v>
      </c>
      <c r="V110" s="1">
        <v>50.9</v>
      </c>
      <c r="W110" s="1">
        <v>51.7</v>
      </c>
      <c r="X110" s="1">
        <v>201.5</v>
      </c>
      <c r="Y110" s="3">
        <f>Table1358[[#This Row],[XGF]]/Table147[[#This Row],[GP]]</f>
        <v>2.7229729729729728</v>
      </c>
      <c r="Z110" s="1">
        <v>167.4</v>
      </c>
      <c r="AA110" s="3">
        <f>Table1358[[#This Row],[XGA]]/Table147[[#This Row],[GP]]</f>
        <v>2.2621621621621624</v>
      </c>
      <c r="AB110" s="1">
        <v>76</v>
      </c>
      <c r="AC110" s="2">
        <f>Table1358[[#This Row],[HDGF]]/Table147[[#This Row],[GP]]</f>
        <v>1.027027027027027</v>
      </c>
      <c r="AD110" s="1">
        <v>58</v>
      </c>
      <c r="AE110" s="2">
        <f>Table1358[[#This Row],[HDGA]]/Table147[[#This Row],[GP]]</f>
        <v>0.78378378378378377</v>
      </c>
      <c r="AF110" s="1">
        <v>7.7</v>
      </c>
    </row>
    <row r="111" spans="1:32" x14ac:dyDescent="0.35">
      <c r="A111" t="s">
        <v>91</v>
      </c>
      <c r="B111">
        <v>14</v>
      </c>
      <c r="C111" t="s">
        <v>84</v>
      </c>
      <c r="D111" s="1">
        <v>1</v>
      </c>
      <c r="E111" s="1">
        <v>29.5</v>
      </c>
      <c r="F111" s="1">
        <v>74</v>
      </c>
      <c r="G111" s="1">
        <v>83</v>
      </c>
      <c r="H111" s="2">
        <f>Table147[[#This Row],[PTS]]/Table147[[#This Row],[GP]]</f>
        <v>1.1216216216216217</v>
      </c>
      <c r="I111" s="2">
        <v>0.56100000000000005</v>
      </c>
      <c r="J111" s="1">
        <v>218</v>
      </c>
      <c r="K111" s="3">
        <f>Table147[[#This Row],[GF]]/Table147[[#This Row],[GP]]</f>
        <v>2.9459459459459461</v>
      </c>
      <c r="L111" s="1">
        <v>195</v>
      </c>
      <c r="M111" s="1">
        <v>2.64</v>
      </c>
      <c r="N111" s="2">
        <f>(Table147[[#This Row],[GF]]^2)/((Table147[[#This Row],[GF]]^2)+(Table147[[#This Row],[GA]]^2))</f>
        <v>0.55551789033185661</v>
      </c>
      <c r="O111" s="1">
        <v>27.72</v>
      </c>
      <c r="P111" s="1">
        <v>81.86</v>
      </c>
      <c r="Q111" s="1">
        <f>Table147[[#This Row],[PP_PCT]]+Table147[[#This Row],[PK_PCT]]</f>
        <v>109.58</v>
      </c>
      <c r="R111" s="3">
        <v>10.4</v>
      </c>
      <c r="S111" s="3">
        <f>Table147[[#This Row],[GA]]/Table147[[#This Row],[GP]]</f>
        <v>2.6351351351351351</v>
      </c>
      <c r="T111" s="2">
        <v>0.91700000000000004</v>
      </c>
      <c r="U111" s="1">
        <v>100.5</v>
      </c>
      <c r="V111" s="1">
        <v>51.5</v>
      </c>
      <c r="W111" s="1">
        <v>51.4</v>
      </c>
      <c r="X111" s="1">
        <v>191.4</v>
      </c>
      <c r="Y111" s="3">
        <f>Table1358[[#This Row],[XGF]]/Table147[[#This Row],[GP]]</f>
        <v>2.5864864864864865</v>
      </c>
      <c r="Z111" s="1">
        <v>163.69999999999999</v>
      </c>
      <c r="AA111" s="3">
        <f>Table1358[[#This Row],[XGA]]/Table147[[#This Row],[GP]]</f>
        <v>2.2121621621621621</v>
      </c>
      <c r="AB111" s="1">
        <v>81</v>
      </c>
      <c r="AC111" s="2">
        <f>Table1358[[#This Row],[HDGF]]/Table147[[#This Row],[GP]]</f>
        <v>1.0945945945945945</v>
      </c>
      <c r="AD111" s="1">
        <v>67</v>
      </c>
      <c r="AE111" s="2">
        <f>Table1358[[#This Row],[HDGA]]/Table147[[#This Row],[GP]]</f>
        <v>0.90540540540540537</v>
      </c>
      <c r="AF111" s="1">
        <v>8.3000000000000007</v>
      </c>
    </row>
    <row r="112" spans="1:32" x14ac:dyDescent="0.35">
      <c r="A112" t="s">
        <v>91</v>
      </c>
      <c r="B112">
        <v>15</v>
      </c>
      <c r="C112" t="s">
        <v>82</v>
      </c>
      <c r="D112" s="1">
        <v>1</v>
      </c>
      <c r="E112" s="1">
        <v>28.1</v>
      </c>
      <c r="F112" s="1">
        <v>71</v>
      </c>
      <c r="G112" s="1">
        <v>81</v>
      </c>
      <c r="H112" s="2">
        <f>Table147[[#This Row],[PTS]]/Table147[[#This Row],[GP]]</f>
        <v>1.1408450704225352</v>
      </c>
      <c r="I112" s="2">
        <v>0.56999999999999995</v>
      </c>
      <c r="J112" s="1">
        <v>207</v>
      </c>
      <c r="K112" s="3">
        <f>Table147[[#This Row],[GF]]/Table147[[#This Row],[GP]]</f>
        <v>2.915492957746479</v>
      </c>
      <c r="L112" s="1">
        <v>204</v>
      </c>
      <c r="M112" s="1">
        <v>2.87</v>
      </c>
      <c r="N112" s="2">
        <f>(Table147[[#This Row],[GF]]^2)/((Table147[[#This Row],[GF]]^2)+(Table147[[#This Row],[GA]]^2))</f>
        <v>0.50729888119339372</v>
      </c>
      <c r="O112" s="1">
        <v>24.02</v>
      </c>
      <c r="P112" s="1">
        <v>77.290000000000006</v>
      </c>
      <c r="Q112" s="1">
        <f>Table147[[#This Row],[PP_PCT]]+Table147[[#This Row],[PK_PCT]]</f>
        <v>101.31</v>
      </c>
      <c r="R112" s="3">
        <v>10</v>
      </c>
      <c r="S112" s="3">
        <f>Table147[[#This Row],[GA]]/Table147[[#This Row],[GP]]</f>
        <v>2.8732394366197185</v>
      </c>
      <c r="T112" s="2">
        <v>0.92600000000000005</v>
      </c>
      <c r="U112" s="1">
        <v>101.1</v>
      </c>
      <c r="V112" s="1">
        <v>48.8</v>
      </c>
      <c r="W112" s="1">
        <v>48.7</v>
      </c>
      <c r="X112" s="1">
        <v>153.80000000000001</v>
      </c>
      <c r="Y112" s="3">
        <f>Table1358[[#This Row],[XGF]]/Table147[[#This Row],[GP]]</f>
        <v>2.1661971830985918</v>
      </c>
      <c r="Z112" s="1">
        <v>144.5</v>
      </c>
      <c r="AA112" s="3">
        <f>Table1358[[#This Row],[XGA]]/Table147[[#This Row],[GP]]</f>
        <v>2.035211267605634</v>
      </c>
      <c r="AB112" s="1">
        <v>52</v>
      </c>
      <c r="AC112" s="2">
        <f>Table1358[[#This Row],[HDGF]]/Table147[[#This Row],[GP]]</f>
        <v>0.73239436619718312</v>
      </c>
      <c r="AD112" s="1">
        <v>54</v>
      </c>
      <c r="AE112" s="2">
        <f>Table1358[[#This Row],[HDGA]]/Table147[[#This Row],[GP]]</f>
        <v>0.76056338028169013</v>
      </c>
      <c r="AF112" s="1">
        <v>8.6999999999999993</v>
      </c>
    </row>
    <row r="113" spans="1:32" x14ac:dyDescent="0.35">
      <c r="A113" t="s">
        <v>91</v>
      </c>
      <c r="B113">
        <v>16</v>
      </c>
      <c r="C113" t="s">
        <v>74</v>
      </c>
      <c r="D113" s="1">
        <v>1</v>
      </c>
      <c r="E113" s="1">
        <v>28.7</v>
      </c>
      <c r="F113" s="1">
        <v>73</v>
      </c>
      <c r="G113" s="1">
        <v>81</v>
      </c>
      <c r="H113" s="2">
        <f>Table147[[#This Row],[PTS]]/Table147[[#This Row],[GP]]</f>
        <v>1.1095890410958904</v>
      </c>
      <c r="I113" s="2">
        <v>0.55500000000000005</v>
      </c>
      <c r="J113" s="1">
        <v>209</v>
      </c>
      <c r="K113" s="3">
        <f>Table147[[#This Row],[GF]]/Table147[[#This Row],[GP]]</f>
        <v>2.8630136986301369</v>
      </c>
      <c r="L113" s="1">
        <v>224</v>
      </c>
      <c r="M113" s="1">
        <v>3.07</v>
      </c>
      <c r="N113" s="2">
        <f>(Table147[[#This Row],[GF]]^2)/((Table147[[#This Row],[GF]]^2)+(Table147[[#This Row],[GA]]^2))</f>
        <v>0.46539949071459774</v>
      </c>
      <c r="O113" s="1">
        <v>22.73</v>
      </c>
      <c r="P113" s="1">
        <v>82.5</v>
      </c>
      <c r="Q113" s="1">
        <f>Table147[[#This Row],[PP_PCT]]+Table147[[#This Row],[PK_PCT]]</f>
        <v>105.23</v>
      </c>
      <c r="R113" s="3">
        <v>11.2</v>
      </c>
      <c r="S113" s="3">
        <f>Table147[[#This Row],[GA]]/Table147[[#This Row],[GP]]</f>
        <v>3.0684931506849313</v>
      </c>
      <c r="T113" s="2">
        <v>0.91700000000000004</v>
      </c>
      <c r="U113" s="1">
        <v>99.3</v>
      </c>
      <c r="V113" s="1">
        <v>53.8</v>
      </c>
      <c r="W113" s="1">
        <v>53</v>
      </c>
      <c r="X113" s="1">
        <v>150.4</v>
      </c>
      <c r="Y113" s="3">
        <f>Table1358[[#This Row],[XGF]]/Table147[[#This Row],[GP]]</f>
        <v>2.0602739726027397</v>
      </c>
      <c r="Z113" s="1">
        <v>139.30000000000001</v>
      </c>
      <c r="AA113" s="3">
        <f>Table1358[[#This Row],[XGA]]/Table147[[#This Row],[GP]]</f>
        <v>1.908219178082192</v>
      </c>
      <c r="AB113" s="1">
        <v>52</v>
      </c>
      <c r="AC113" s="2">
        <f>Table1358[[#This Row],[HDGF]]/Table147[[#This Row],[GP]]</f>
        <v>0.71232876712328763</v>
      </c>
      <c r="AD113" s="1">
        <v>55</v>
      </c>
      <c r="AE113" s="2">
        <f>Table1358[[#This Row],[HDGA]]/Table147[[#This Row],[GP]]</f>
        <v>0.75342465753424659</v>
      </c>
      <c r="AF113" s="1">
        <v>9.4</v>
      </c>
    </row>
    <row r="114" spans="1:32" x14ac:dyDescent="0.35">
      <c r="A114" t="s">
        <v>91</v>
      </c>
      <c r="B114">
        <v>17</v>
      </c>
      <c r="C114" t="s">
        <v>62</v>
      </c>
      <c r="D114" s="1">
        <v>0</v>
      </c>
      <c r="E114" s="1">
        <v>28.4</v>
      </c>
      <c r="F114" s="1">
        <v>71</v>
      </c>
      <c r="G114" s="1">
        <v>79</v>
      </c>
      <c r="H114" s="2">
        <f>Table147[[#This Row],[PTS]]/Table147[[#This Row],[GP]]</f>
        <v>1.1126760563380282</v>
      </c>
      <c r="I114" s="2">
        <v>0.55600000000000005</v>
      </c>
      <c r="J114" s="1">
        <v>185</v>
      </c>
      <c r="K114" s="3">
        <f>Table147[[#This Row],[GF]]/Table147[[#This Row],[GP]]</f>
        <v>2.6056338028169015</v>
      </c>
      <c r="L114" s="1">
        <v>209</v>
      </c>
      <c r="M114" s="1">
        <v>2.94</v>
      </c>
      <c r="N114" s="2">
        <f>(Table147[[#This Row],[GF]]^2)/((Table147[[#This Row],[GF]]^2)+(Table147[[#This Row],[GA]]^2))</f>
        <v>0.43931147793494724</v>
      </c>
      <c r="O114" s="1">
        <v>21.46</v>
      </c>
      <c r="P114" s="1">
        <v>74.63</v>
      </c>
      <c r="Q114" s="1">
        <f>Table147[[#This Row],[PP_PCT]]+Table147[[#This Row],[PK_PCT]]</f>
        <v>96.09</v>
      </c>
      <c r="R114" s="3">
        <v>8.9</v>
      </c>
      <c r="S114" s="3">
        <f>Table147[[#This Row],[GA]]/Table147[[#This Row],[GP]]</f>
        <v>2.943661971830986</v>
      </c>
      <c r="T114" s="2">
        <v>0.93300000000000005</v>
      </c>
      <c r="U114" s="1">
        <v>100.7</v>
      </c>
      <c r="V114" s="1">
        <v>49.6</v>
      </c>
      <c r="W114" s="1">
        <v>49.8</v>
      </c>
      <c r="X114" s="1">
        <v>172.6</v>
      </c>
      <c r="Y114" s="3">
        <f>Table1358[[#This Row],[XGF]]/Table147[[#This Row],[GP]]</f>
        <v>2.4309859154929576</v>
      </c>
      <c r="Z114" s="1">
        <v>179.3</v>
      </c>
      <c r="AA114" s="3">
        <f>Table1358[[#This Row],[XGA]]/Table147[[#This Row],[GP]]</f>
        <v>2.5253521126760563</v>
      </c>
      <c r="AB114" s="1">
        <v>60</v>
      </c>
      <c r="AC114" s="2">
        <f>Table1358[[#This Row],[HDGF]]/Table147[[#This Row],[GP]]</f>
        <v>0.84507042253521125</v>
      </c>
      <c r="AD114" s="1">
        <v>62</v>
      </c>
      <c r="AE114" s="2">
        <f>Table1358[[#This Row],[HDGA]]/Table147[[#This Row],[GP]]</f>
        <v>0.87323943661971826</v>
      </c>
      <c r="AF114" s="1">
        <v>10</v>
      </c>
    </row>
    <row r="115" spans="1:32" x14ac:dyDescent="0.35">
      <c r="A115" t="s">
        <v>91</v>
      </c>
      <c r="B115">
        <v>18</v>
      </c>
      <c r="C115" t="s">
        <v>92</v>
      </c>
      <c r="D115" s="1">
        <v>0</v>
      </c>
      <c r="E115" s="1">
        <v>27.6</v>
      </c>
      <c r="F115" s="1">
        <v>73</v>
      </c>
      <c r="G115" s="1">
        <v>76</v>
      </c>
      <c r="H115" s="2">
        <f>Table147[[#This Row],[PTS]]/Table147[[#This Row],[GP]]</f>
        <v>1.0410958904109588</v>
      </c>
      <c r="I115" s="2">
        <v>0.52100000000000002</v>
      </c>
      <c r="J115" s="1">
        <v>203</v>
      </c>
      <c r="K115" s="3">
        <f>Table147[[#This Row],[GF]]/Table147[[#This Row],[GP]]</f>
        <v>2.7808219178082192</v>
      </c>
      <c r="L115" s="1">
        <v>223</v>
      </c>
      <c r="M115" s="1">
        <v>3.05</v>
      </c>
      <c r="N115" s="2">
        <f>(Table147[[#This Row],[GF]]^2)/((Table147[[#This Row],[GF]]^2)+(Table147[[#This Row],[GA]]^2))</f>
        <v>0.45315489674283577</v>
      </c>
      <c r="O115" s="1">
        <v>21.63</v>
      </c>
      <c r="P115" s="1">
        <v>80.45</v>
      </c>
      <c r="Q115" s="1">
        <f>Table147[[#This Row],[PP_PCT]]+Table147[[#This Row],[PK_PCT]]</f>
        <v>102.08</v>
      </c>
      <c r="R115" s="3">
        <v>9.9</v>
      </c>
      <c r="S115" s="3">
        <f>Table147[[#This Row],[GA]]/Table147[[#This Row],[GP]]</f>
        <v>3.0547945205479454</v>
      </c>
      <c r="T115" s="2">
        <v>0.91100000000000003</v>
      </c>
      <c r="U115" s="1">
        <v>99.6</v>
      </c>
      <c r="V115" s="1">
        <v>47.6</v>
      </c>
      <c r="W115" s="1">
        <v>47.5</v>
      </c>
      <c r="X115" s="1">
        <v>172.1</v>
      </c>
      <c r="Y115" s="3">
        <f>Table1358[[#This Row],[XGF]]/Table147[[#This Row],[GP]]</f>
        <v>2.3575342465753426</v>
      </c>
      <c r="Z115" s="1">
        <v>182.7</v>
      </c>
      <c r="AA115" s="3">
        <f>Table1358[[#This Row],[XGA]]/Table147[[#This Row],[GP]]</f>
        <v>2.5027397260273969</v>
      </c>
      <c r="AB115" s="1">
        <v>79</v>
      </c>
      <c r="AC115" s="2">
        <f>Table1358[[#This Row],[HDGF]]/Table147[[#This Row],[GP]]</f>
        <v>1.0821917808219179</v>
      </c>
      <c r="AD115" s="1">
        <v>74</v>
      </c>
      <c r="AE115" s="2">
        <f>Table1358[[#This Row],[HDGA]]/Table147[[#This Row],[GP]]</f>
        <v>1.0136986301369864</v>
      </c>
      <c r="AF115" s="1">
        <v>9.5</v>
      </c>
    </row>
    <row r="116" spans="1:32" x14ac:dyDescent="0.35">
      <c r="A116" t="s">
        <v>91</v>
      </c>
      <c r="B116">
        <v>19</v>
      </c>
      <c r="C116" t="s">
        <v>88</v>
      </c>
      <c r="D116" s="1">
        <v>0</v>
      </c>
      <c r="E116" s="1">
        <v>26.8</v>
      </c>
      <c r="F116" s="1">
        <v>72</v>
      </c>
      <c r="G116" s="1">
        <v>75</v>
      </c>
      <c r="H116" s="2">
        <f>Table147[[#This Row],[PTS]]/Table147[[#This Row],[GP]]</f>
        <v>1.0416666666666667</v>
      </c>
      <c r="I116" s="2">
        <v>0.52100000000000002</v>
      </c>
      <c r="J116" s="1">
        <v>214</v>
      </c>
      <c r="K116" s="3">
        <f>Table147[[#This Row],[GF]]/Table147[[#This Row],[GP]]</f>
        <v>2.9722222222222223</v>
      </c>
      <c r="L116" s="1">
        <v>241</v>
      </c>
      <c r="M116" s="1">
        <v>3.35</v>
      </c>
      <c r="N116" s="2">
        <f>(Table147[[#This Row],[GF]]^2)/((Table147[[#This Row],[GF]]^2)+(Table147[[#This Row],[GA]]^2))</f>
        <v>0.44086756452342674</v>
      </c>
      <c r="O116" s="1">
        <v>20.85</v>
      </c>
      <c r="P116" s="1">
        <v>80.260000000000005</v>
      </c>
      <c r="Q116" s="1">
        <f>Table147[[#This Row],[PP_PCT]]+Table147[[#This Row],[PK_PCT]]</f>
        <v>101.11000000000001</v>
      </c>
      <c r="R116" s="3">
        <v>11.4</v>
      </c>
      <c r="S116" s="3">
        <f>Table147[[#This Row],[GA]]/Table147[[#This Row],[GP]]</f>
        <v>3.3472222222222223</v>
      </c>
      <c r="T116" s="2">
        <v>0.92800000000000005</v>
      </c>
      <c r="U116" s="1">
        <v>102.4</v>
      </c>
      <c r="V116" s="1">
        <v>52</v>
      </c>
      <c r="W116" s="1">
        <v>51.2</v>
      </c>
      <c r="X116" s="1">
        <v>168.1</v>
      </c>
      <c r="Y116" s="3">
        <f>Table1358[[#This Row],[XGF]]/Table147[[#This Row],[GP]]</f>
        <v>2.3347222222222221</v>
      </c>
      <c r="Z116" s="1">
        <v>159.1</v>
      </c>
      <c r="AA116" s="3">
        <f>Table1358[[#This Row],[XGA]]/Table147[[#This Row],[GP]]</f>
        <v>2.2097222222222221</v>
      </c>
      <c r="AB116" s="1">
        <v>82</v>
      </c>
      <c r="AC116" s="2">
        <f>Table1358[[#This Row],[HDGF]]/Table147[[#This Row],[GP]]</f>
        <v>1.1388888888888888</v>
      </c>
      <c r="AD116" s="1">
        <v>57</v>
      </c>
      <c r="AE116" s="2">
        <f>Table1358[[#This Row],[HDGA]]/Table147[[#This Row],[GP]]</f>
        <v>0.79166666666666663</v>
      </c>
      <c r="AF116" s="1">
        <v>9.3000000000000007</v>
      </c>
    </row>
    <row r="117" spans="1:32" x14ac:dyDescent="0.35">
      <c r="A117" t="s">
        <v>91</v>
      </c>
      <c r="B117">
        <v>20</v>
      </c>
      <c r="C117" t="s">
        <v>64</v>
      </c>
      <c r="D117" s="1">
        <v>0</v>
      </c>
      <c r="E117" s="1">
        <v>28.9</v>
      </c>
      <c r="F117" s="1">
        <v>73</v>
      </c>
      <c r="G117" s="1">
        <v>75</v>
      </c>
      <c r="H117" s="2">
        <f>Table147[[#This Row],[PTS]]/Table147[[#This Row],[GP]]</f>
        <v>1.0273972602739727</v>
      </c>
      <c r="I117" s="2">
        <v>0.51400000000000001</v>
      </c>
      <c r="J117" s="1">
        <v>217</v>
      </c>
      <c r="K117" s="3">
        <f>Table147[[#This Row],[GF]]/Table147[[#This Row],[GP]]</f>
        <v>2.9726027397260273</v>
      </c>
      <c r="L117" s="1">
        <v>221</v>
      </c>
      <c r="M117" s="1">
        <v>3.03</v>
      </c>
      <c r="N117" s="2">
        <f>(Table147[[#This Row],[GF]]^2)/((Table147[[#This Row],[GF]]^2)+(Table147[[#This Row],[GA]]^2))</f>
        <v>0.49086834149900971</v>
      </c>
      <c r="O117" s="1">
        <v>17.89</v>
      </c>
      <c r="P117" s="1">
        <v>82.19</v>
      </c>
      <c r="Q117" s="1">
        <f>Table147[[#This Row],[PP_PCT]]+Table147[[#This Row],[PK_PCT]]</f>
        <v>100.08</v>
      </c>
      <c r="R117" s="3">
        <v>10.5</v>
      </c>
      <c r="S117" s="3">
        <f>Table147[[#This Row],[GA]]/Table147[[#This Row],[GP]]</f>
        <v>3.0273972602739727</v>
      </c>
      <c r="T117" s="2">
        <v>0.91200000000000003</v>
      </c>
      <c r="U117" s="1">
        <v>99.8</v>
      </c>
      <c r="V117" s="1">
        <v>49.7</v>
      </c>
      <c r="W117" s="1">
        <v>48.9</v>
      </c>
      <c r="X117" s="1">
        <v>137.19999999999999</v>
      </c>
      <c r="Y117" s="3">
        <f>Table1358[[#This Row],[XGF]]/Table147[[#This Row],[GP]]</f>
        <v>1.8794520547945204</v>
      </c>
      <c r="Z117" s="1">
        <v>138</v>
      </c>
      <c r="AA117" s="3">
        <f>Table1358[[#This Row],[XGA]]/Table147[[#This Row],[GP]]</f>
        <v>1.8904109589041096</v>
      </c>
      <c r="AB117" s="1">
        <v>52</v>
      </c>
      <c r="AC117" s="2">
        <f>Table1358[[#This Row],[HDGF]]/Table147[[#This Row],[GP]]</f>
        <v>0.71232876712328763</v>
      </c>
      <c r="AD117" s="1">
        <v>53</v>
      </c>
      <c r="AE117" s="2">
        <f>Table1358[[#This Row],[HDGA]]/Table147[[#This Row],[GP]]</f>
        <v>0.72602739726027399</v>
      </c>
      <c r="AF117" s="1">
        <v>8.6</v>
      </c>
    </row>
    <row r="118" spans="1:32" x14ac:dyDescent="0.35">
      <c r="A118" t="s">
        <v>91</v>
      </c>
      <c r="B118">
        <v>21</v>
      </c>
      <c r="C118" t="s">
        <v>77</v>
      </c>
      <c r="D118" s="1">
        <v>0</v>
      </c>
      <c r="E118" s="1">
        <v>27.6</v>
      </c>
      <c r="F118" s="1">
        <v>71</v>
      </c>
      <c r="G118" s="1">
        <v>75</v>
      </c>
      <c r="H118" s="2">
        <f>Table147[[#This Row],[PTS]]/Table147[[#This Row],[GP]]</f>
        <v>1.056338028169014</v>
      </c>
      <c r="I118" s="2">
        <v>0.52800000000000002</v>
      </c>
      <c r="J118" s="1">
        <v>226</v>
      </c>
      <c r="K118" s="3">
        <f>Table147[[#This Row],[GF]]/Table147[[#This Row],[GP]]</f>
        <v>3.183098591549296</v>
      </c>
      <c r="L118" s="1">
        <v>238</v>
      </c>
      <c r="M118" s="1">
        <v>3.35</v>
      </c>
      <c r="N118" s="2">
        <f>(Table147[[#This Row],[GF]]^2)/((Table147[[#This Row],[GF]]^2)+(Table147[[#This Row],[GA]]^2))</f>
        <v>0.47415521722985515</v>
      </c>
      <c r="O118" s="1">
        <v>18.79</v>
      </c>
      <c r="P118" s="1">
        <v>75</v>
      </c>
      <c r="Q118" s="1">
        <f>Table147[[#This Row],[PP_PCT]]+Table147[[#This Row],[PK_PCT]]</f>
        <v>93.789999999999992</v>
      </c>
      <c r="R118" s="3">
        <v>11</v>
      </c>
      <c r="S118" s="3">
        <f>Table147[[#This Row],[GA]]/Table147[[#This Row],[GP]]</f>
        <v>3.352112676056338</v>
      </c>
      <c r="T118" s="2">
        <v>0.92</v>
      </c>
      <c r="U118" s="1">
        <v>99.6</v>
      </c>
      <c r="V118" s="1">
        <v>52.6</v>
      </c>
      <c r="W118" s="1">
        <v>53.7</v>
      </c>
      <c r="X118" s="1">
        <v>205.7</v>
      </c>
      <c r="Y118" s="3">
        <f>Table1358[[#This Row],[XGF]]/Table147[[#This Row],[GP]]</f>
        <v>2.8971830985915492</v>
      </c>
      <c r="Z118" s="1">
        <v>176.9</v>
      </c>
      <c r="AA118" s="3">
        <f>Table1358[[#This Row],[XGA]]/Table147[[#This Row],[GP]]</f>
        <v>2.4915492957746479</v>
      </c>
      <c r="AB118" s="1">
        <v>83</v>
      </c>
      <c r="AC118" s="2">
        <f>Table1358[[#This Row],[HDGF]]/Table147[[#This Row],[GP]]</f>
        <v>1.1690140845070423</v>
      </c>
      <c r="AD118" s="1">
        <v>86</v>
      </c>
      <c r="AE118" s="2">
        <f>Table1358[[#This Row],[HDGA]]/Table147[[#This Row],[GP]]</f>
        <v>1.2112676056338028</v>
      </c>
      <c r="AF118" s="1">
        <v>8.1</v>
      </c>
    </row>
    <row r="119" spans="1:32" x14ac:dyDescent="0.35">
      <c r="A119" t="s">
        <v>91</v>
      </c>
      <c r="B119">
        <v>22</v>
      </c>
      <c r="C119" t="s">
        <v>76</v>
      </c>
      <c r="D119" s="1">
        <v>0</v>
      </c>
      <c r="E119" s="1">
        <v>29.7</v>
      </c>
      <c r="F119" s="1">
        <v>71</v>
      </c>
      <c r="G119" s="1">
        <v>74</v>
      </c>
      <c r="H119" s="2">
        <f>Table147[[#This Row],[PTS]]/Table147[[#This Row],[GP]]</f>
        <v>1.0422535211267605</v>
      </c>
      <c r="I119" s="2">
        <v>0.52100000000000002</v>
      </c>
      <c r="J119" s="1">
        <v>193</v>
      </c>
      <c r="K119" s="3">
        <f>Table147[[#This Row],[GF]]/Table147[[#This Row],[GP]]</f>
        <v>2.7183098591549295</v>
      </c>
      <c r="L119" s="1">
        <v>212</v>
      </c>
      <c r="M119" s="1">
        <v>2.99</v>
      </c>
      <c r="N119" s="2">
        <f>(Table147[[#This Row],[GF]]^2)/((Table147[[#This Row],[GF]]^2)+(Table147[[#This Row],[GA]]^2))</f>
        <v>0.45318944435657538</v>
      </c>
      <c r="O119" s="1">
        <v>12</v>
      </c>
      <c r="P119" s="1">
        <v>72.260000000000005</v>
      </c>
      <c r="Q119" s="1">
        <f>Table147[[#This Row],[PP_PCT]]+Table147[[#This Row],[PK_PCT]]</f>
        <v>84.26</v>
      </c>
      <c r="R119" s="3">
        <v>9.3000000000000007</v>
      </c>
      <c r="S119" s="3">
        <f>Table147[[#This Row],[GA]]/Table147[[#This Row],[GP]]</f>
        <v>2.9859154929577465</v>
      </c>
      <c r="T119" s="2">
        <v>0.92700000000000005</v>
      </c>
      <c r="U119" s="1">
        <v>101</v>
      </c>
      <c r="V119" s="1">
        <v>48.4</v>
      </c>
      <c r="W119" s="1">
        <v>49.2</v>
      </c>
      <c r="X119" s="1">
        <v>187.3</v>
      </c>
      <c r="Y119" s="3">
        <f>Table1358[[#This Row],[XGF]]/Table147[[#This Row],[GP]]</f>
        <v>2.6380281690140848</v>
      </c>
      <c r="Z119" s="1">
        <v>174.7</v>
      </c>
      <c r="AA119" s="3">
        <f>Table1358[[#This Row],[XGA]]/Table147[[#This Row],[GP]]</f>
        <v>2.4605633802816902</v>
      </c>
      <c r="AB119" s="1">
        <v>81</v>
      </c>
      <c r="AC119" s="2">
        <f>Table1358[[#This Row],[HDGF]]/Table147[[#This Row],[GP]]</f>
        <v>1.1408450704225352</v>
      </c>
      <c r="AD119" s="1">
        <v>56</v>
      </c>
      <c r="AE119" s="2">
        <f>Table1358[[#This Row],[HDGA]]/Table147[[#This Row],[GP]]</f>
        <v>0.78873239436619713</v>
      </c>
      <c r="AF119" s="1">
        <v>5.8</v>
      </c>
    </row>
    <row r="120" spans="1:32" x14ac:dyDescent="0.35">
      <c r="A120" t="s">
        <v>91</v>
      </c>
      <c r="B120">
        <v>23</v>
      </c>
      <c r="C120" t="s">
        <v>81</v>
      </c>
      <c r="D120" s="1">
        <v>0</v>
      </c>
      <c r="E120" s="1">
        <v>29.4</v>
      </c>
      <c r="F120" s="1">
        <v>72</v>
      </c>
      <c r="G120" s="1">
        <v>72</v>
      </c>
      <c r="H120" s="2">
        <f>Table147[[#This Row],[PTS]]/Table147[[#This Row],[GP]]</f>
        <v>1</v>
      </c>
      <c r="I120" s="2">
        <v>0.5</v>
      </c>
      <c r="J120" s="1">
        <v>205</v>
      </c>
      <c r="K120" s="3">
        <f>Table147[[#This Row],[GF]]/Table147[[#This Row],[GP]]</f>
        <v>2.8472222222222223</v>
      </c>
      <c r="L120" s="1">
        <v>231</v>
      </c>
      <c r="M120" s="1">
        <v>3.21</v>
      </c>
      <c r="N120" s="2">
        <f>(Table147[[#This Row],[GF]]^2)/((Table147[[#This Row],[GF]]^2)+(Table147[[#This Row],[GA]]^2))</f>
        <v>0.44057828192816556</v>
      </c>
      <c r="O120" s="1">
        <v>28.71</v>
      </c>
      <c r="P120" s="1">
        <v>68.86</v>
      </c>
      <c r="Q120" s="1">
        <f>Table147[[#This Row],[PP_PCT]]+Table147[[#This Row],[PK_PCT]]</f>
        <v>97.57</v>
      </c>
      <c r="R120" s="3">
        <v>10.4</v>
      </c>
      <c r="S120" s="3">
        <f>Table147[[#This Row],[GA]]/Table147[[#This Row],[GP]]</f>
        <v>3.2083333333333335</v>
      </c>
      <c r="T120" s="2">
        <v>0.92300000000000004</v>
      </c>
      <c r="U120" s="1">
        <v>100.4</v>
      </c>
      <c r="V120" s="1">
        <v>49</v>
      </c>
      <c r="W120" s="1">
        <v>49.5</v>
      </c>
      <c r="X120" s="1">
        <v>174</v>
      </c>
      <c r="Y120" s="3">
        <f>Table1358[[#This Row],[XGF]]/Table147[[#This Row],[GP]]</f>
        <v>2.4166666666666665</v>
      </c>
      <c r="Z120" s="1">
        <v>164.6</v>
      </c>
      <c r="AA120" s="3">
        <f>Table1358[[#This Row],[XGA]]/Table147[[#This Row],[GP]]</f>
        <v>2.286111111111111</v>
      </c>
      <c r="AB120" s="1">
        <v>64</v>
      </c>
      <c r="AC120" s="2">
        <f>Table1358[[#This Row],[HDGF]]/Table147[[#This Row],[GP]]</f>
        <v>0.88888888888888884</v>
      </c>
      <c r="AD120" s="1">
        <v>67</v>
      </c>
      <c r="AE120" s="2">
        <f>Table1358[[#This Row],[HDGA]]/Table147[[#This Row],[GP]]</f>
        <v>0.93055555555555558</v>
      </c>
      <c r="AF120" s="1">
        <v>6.9</v>
      </c>
    </row>
    <row r="121" spans="1:32" x14ac:dyDescent="0.35">
      <c r="A121" t="s">
        <v>91</v>
      </c>
      <c r="B121">
        <v>24</v>
      </c>
      <c r="C121" t="s">
        <v>79</v>
      </c>
      <c r="D121" s="1">
        <v>0</v>
      </c>
      <c r="E121" s="1">
        <v>27.5</v>
      </c>
      <c r="F121" s="1">
        <v>72</v>
      </c>
      <c r="G121" s="1">
        <v>72</v>
      </c>
      <c r="H121" s="2">
        <f>Table147[[#This Row],[PTS]]/Table147[[#This Row],[GP]]</f>
        <v>1</v>
      </c>
      <c r="I121" s="2">
        <v>0.5</v>
      </c>
      <c r="J121" s="1">
        <v>196</v>
      </c>
      <c r="K121" s="3">
        <f>Table147[[#This Row],[GF]]/Table147[[#This Row],[GP]]</f>
        <v>2.7222222222222223</v>
      </c>
      <c r="L121" s="1">
        <v>225</v>
      </c>
      <c r="M121" s="1">
        <v>3.13</v>
      </c>
      <c r="N121" s="2">
        <f>(Table147[[#This Row],[GF]]^2)/((Table147[[#This Row],[GF]]^2)+(Table147[[#This Row],[GA]]^2))</f>
        <v>0.43144169539874888</v>
      </c>
      <c r="O121" s="1">
        <v>12.12</v>
      </c>
      <c r="P121" s="1">
        <v>73.11</v>
      </c>
      <c r="Q121" s="1">
        <f>Table147[[#This Row],[PP_PCT]]+Table147[[#This Row],[PK_PCT]]</f>
        <v>85.23</v>
      </c>
      <c r="R121" s="3">
        <v>9.8000000000000007</v>
      </c>
      <c r="S121" s="3">
        <f>Table147[[#This Row],[GA]]/Table147[[#This Row],[GP]]</f>
        <v>3.125</v>
      </c>
      <c r="T121" s="2">
        <v>0.91900000000000004</v>
      </c>
      <c r="U121" s="1">
        <v>100.2</v>
      </c>
      <c r="V121" s="1">
        <v>51.7</v>
      </c>
      <c r="W121" s="1">
        <v>51.5</v>
      </c>
      <c r="X121" s="1">
        <v>166.9</v>
      </c>
      <c r="Y121" s="3">
        <f>Table1358[[#This Row],[XGF]]/Table147[[#This Row],[GP]]</f>
        <v>2.3180555555555555</v>
      </c>
      <c r="Z121" s="1">
        <v>141.4</v>
      </c>
      <c r="AA121" s="3">
        <f>Table1358[[#This Row],[XGA]]/Table147[[#This Row],[GP]]</f>
        <v>1.963888888888889</v>
      </c>
      <c r="AB121" s="1">
        <v>55</v>
      </c>
      <c r="AC121" s="2">
        <f>Table1358[[#This Row],[HDGF]]/Table147[[#This Row],[GP]]</f>
        <v>0.76388888888888884</v>
      </c>
      <c r="AD121" s="1">
        <v>51</v>
      </c>
      <c r="AE121" s="2">
        <f>Table1358[[#This Row],[HDGA]]/Table147[[#This Row],[GP]]</f>
        <v>0.70833333333333337</v>
      </c>
      <c r="AF121" s="1">
        <v>8.9</v>
      </c>
    </row>
    <row r="122" spans="1:32" x14ac:dyDescent="0.35">
      <c r="A122" t="s">
        <v>91</v>
      </c>
      <c r="B122">
        <v>25</v>
      </c>
      <c r="C122" t="s">
        <v>66</v>
      </c>
      <c r="D122" s="1">
        <v>0</v>
      </c>
      <c r="E122" s="1">
        <v>28.2</v>
      </c>
      <c r="F122" s="1">
        <v>73</v>
      </c>
      <c r="G122" s="1">
        <v>69</v>
      </c>
      <c r="H122" s="2">
        <f>Table147[[#This Row],[PTS]]/Table147[[#This Row],[GP]]</f>
        <v>0.9452054794520548</v>
      </c>
      <c r="I122" s="2">
        <v>0.47299999999999998</v>
      </c>
      <c r="J122" s="1">
        <v>192</v>
      </c>
      <c r="K122" s="3">
        <f>Table147[[#This Row],[GF]]/Table147[[#This Row],[GP]]</f>
        <v>2.6301369863013697</v>
      </c>
      <c r="L122" s="1">
        <v>241</v>
      </c>
      <c r="M122" s="1">
        <v>3.3</v>
      </c>
      <c r="N122" s="2">
        <f>(Table147[[#This Row],[GF]]^2)/((Table147[[#This Row],[GF]]^2)+(Table147[[#This Row],[GA]]^2))</f>
        <v>0.38826689135815473</v>
      </c>
      <c r="O122" s="1">
        <v>14.69</v>
      </c>
      <c r="P122" s="1">
        <v>76.709999999999994</v>
      </c>
      <c r="Q122" s="1">
        <f>Table147[[#This Row],[PP_PCT]]+Table147[[#This Row],[PK_PCT]]</f>
        <v>91.399999999999991</v>
      </c>
      <c r="R122" s="3">
        <v>9.9</v>
      </c>
      <c r="S122" s="3">
        <f>Table147[[#This Row],[GA]]/Table147[[#This Row],[GP]]</f>
        <v>3.3013698630136985</v>
      </c>
      <c r="T122" s="2">
        <v>0.92200000000000004</v>
      </c>
      <c r="U122" s="1">
        <v>100.5</v>
      </c>
      <c r="V122" s="1">
        <v>50.6</v>
      </c>
      <c r="W122" s="1">
        <v>51.4</v>
      </c>
      <c r="X122" s="1">
        <v>173.2</v>
      </c>
      <c r="Y122" s="3">
        <f>Table1358[[#This Row],[XGF]]/Table147[[#This Row],[GP]]</f>
        <v>2.3726027397260272</v>
      </c>
      <c r="Z122" s="1">
        <v>165.1</v>
      </c>
      <c r="AA122" s="3">
        <f>Table1358[[#This Row],[XGA]]/Table147[[#This Row],[GP]]</f>
        <v>2.2616438356164381</v>
      </c>
      <c r="AB122" s="1">
        <v>70</v>
      </c>
      <c r="AC122" s="2">
        <f>Table1358[[#This Row],[HDGF]]/Table147[[#This Row],[GP]]</f>
        <v>0.95890410958904104</v>
      </c>
      <c r="AD122" s="1">
        <v>70</v>
      </c>
      <c r="AE122" s="2">
        <f>Table1358[[#This Row],[HDGA]]/Table147[[#This Row],[GP]]</f>
        <v>0.95890410958904104</v>
      </c>
      <c r="AF122" s="1">
        <v>10.199999999999999</v>
      </c>
    </row>
    <row r="123" spans="1:32" x14ac:dyDescent="0.35">
      <c r="A123" t="s">
        <v>91</v>
      </c>
      <c r="B123">
        <v>26</v>
      </c>
      <c r="C123" t="s">
        <v>68</v>
      </c>
      <c r="D123" s="1">
        <v>0</v>
      </c>
      <c r="E123" s="1">
        <v>30.9</v>
      </c>
      <c r="F123" s="1">
        <v>74</v>
      </c>
      <c r="G123" s="1">
        <v>69</v>
      </c>
      <c r="H123" s="2">
        <f>Table147[[#This Row],[PTS]]/Table147[[#This Row],[GP]]</f>
        <v>0.93243243243243246</v>
      </c>
      <c r="I123" s="2">
        <v>0.46600000000000003</v>
      </c>
      <c r="J123" s="1">
        <v>216</v>
      </c>
      <c r="K123" s="3">
        <f>Table147[[#This Row],[GF]]/Table147[[#This Row],[GP]]</f>
        <v>2.9189189189189189</v>
      </c>
      <c r="L123" s="1">
        <v>268</v>
      </c>
      <c r="M123" s="1">
        <v>3.62</v>
      </c>
      <c r="N123" s="2">
        <f>(Table147[[#This Row],[GF]]^2)/((Table147[[#This Row],[GF]]^2)+(Table147[[#This Row],[GA]]^2))</f>
        <v>0.39378798109385549</v>
      </c>
      <c r="O123" s="1">
        <v>24</v>
      </c>
      <c r="P123" s="1">
        <v>77.66</v>
      </c>
      <c r="Q123" s="1">
        <f>Table147[[#This Row],[PP_PCT]]+Table147[[#This Row],[PK_PCT]]</f>
        <v>101.66</v>
      </c>
      <c r="R123" s="3">
        <v>10.4</v>
      </c>
      <c r="S123" s="3">
        <f>Table147[[#This Row],[GA]]/Table147[[#This Row],[GP]]</f>
        <v>3.6216216216216215</v>
      </c>
      <c r="T123" s="2">
        <v>0.91600000000000004</v>
      </c>
      <c r="U123" s="1">
        <v>99.6</v>
      </c>
      <c r="V123" s="1">
        <v>49.8</v>
      </c>
      <c r="W123" s="1">
        <v>49.5</v>
      </c>
      <c r="X123" s="1">
        <v>182.2</v>
      </c>
      <c r="Y123" s="3">
        <f>Table1358[[#This Row],[XGF]]/Table147[[#This Row],[GP]]</f>
        <v>2.4621621621621621</v>
      </c>
      <c r="Z123" s="1">
        <v>181.9</v>
      </c>
      <c r="AA123" s="3">
        <f>Table1358[[#This Row],[XGA]]/Table147[[#This Row],[GP]]</f>
        <v>2.458108108108108</v>
      </c>
      <c r="AB123" s="1">
        <v>68</v>
      </c>
      <c r="AC123" s="2">
        <f>Table1358[[#This Row],[HDGF]]/Table147[[#This Row],[GP]]</f>
        <v>0.91891891891891897</v>
      </c>
      <c r="AD123" s="1">
        <v>65</v>
      </c>
      <c r="AE123" s="2">
        <f>Table1358[[#This Row],[HDGA]]/Table147[[#This Row],[GP]]</f>
        <v>0.8783783783783784</v>
      </c>
      <c r="AF123" s="1">
        <v>7</v>
      </c>
    </row>
    <row r="124" spans="1:32" x14ac:dyDescent="0.35">
      <c r="A124" t="s">
        <v>91</v>
      </c>
      <c r="B124">
        <v>27</v>
      </c>
      <c r="C124" t="s">
        <v>86</v>
      </c>
      <c r="D124" s="1">
        <v>0</v>
      </c>
      <c r="E124" s="1">
        <v>28.9</v>
      </c>
      <c r="F124" s="1">
        <v>73</v>
      </c>
      <c r="G124" s="1">
        <v>68</v>
      </c>
      <c r="H124" s="2">
        <f>Table147[[#This Row],[PTS]]/Table147[[#This Row],[GP]]</f>
        <v>0.93150684931506844</v>
      </c>
      <c r="I124" s="2">
        <v>0.46600000000000003</v>
      </c>
      <c r="J124" s="1">
        <v>221</v>
      </c>
      <c r="K124" s="3">
        <f>Table147[[#This Row],[GF]]/Table147[[#This Row],[GP]]</f>
        <v>3.0273972602739727</v>
      </c>
      <c r="L124" s="1">
        <v>234</v>
      </c>
      <c r="M124" s="1">
        <v>3.21</v>
      </c>
      <c r="N124" s="2">
        <f>(Table147[[#This Row],[GF]]^2)/((Table147[[#This Row],[GF]]^2)+(Table147[[#This Row],[GA]]^2))</f>
        <v>0.47145187601957583</v>
      </c>
      <c r="O124" s="1">
        <v>19.600000000000001</v>
      </c>
      <c r="P124" s="1">
        <v>76.97</v>
      </c>
      <c r="Q124" s="1">
        <f>Table147[[#This Row],[PP_PCT]]+Table147[[#This Row],[PK_PCT]]</f>
        <v>96.57</v>
      </c>
      <c r="R124" s="3">
        <v>11</v>
      </c>
      <c r="S124" s="3">
        <f>Table147[[#This Row],[GA]]/Table147[[#This Row],[GP]]</f>
        <v>3.2054794520547945</v>
      </c>
      <c r="T124" s="2">
        <v>0.91800000000000004</v>
      </c>
      <c r="U124" s="1">
        <v>99.6</v>
      </c>
      <c r="V124" s="1">
        <v>47.2</v>
      </c>
      <c r="W124" s="1">
        <v>46.3</v>
      </c>
      <c r="X124" s="1">
        <v>150.1</v>
      </c>
      <c r="Y124" s="3">
        <f>Table1358[[#This Row],[XGF]]/Table147[[#This Row],[GP]]</f>
        <v>2.0561643835616437</v>
      </c>
      <c r="Z124" s="1">
        <v>167.1</v>
      </c>
      <c r="AA124" s="3">
        <f>Table1358[[#This Row],[XGA]]/Table147[[#This Row],[GP]]</f>
        <v>2.2890410958904108</v>
      </c>
      <c r="AB124" s="1">
        <v>63</v>
      </c>
      <c r="AC124" s="2">
        <f>Table1358[[#This Row],[HDGF]]/Table147[[#This Row],[GP]]</f>
        <v>0.86301369863013699</v>
      </c>
      <c r="AD124" s="1">
        <v>69</v>
      </c>
      <c r="AE124" s="2">
        <f>Table1358[[#This Row],[HDGA]]/Table147[[#This Row],[GP]]</f>
        <v>0.9452054794520548</v>
      </c>
      <c r="AF124" s="1">
        <v>6.6</v>
      </c>
    </row>
    <row r="125" spans="1:32" x14ac:dyDescent="0.35">
      <c r="A125" t="s">
        <v>91</v>
      </c>
      <c r="B125">
        <v>28</v>
      </c>
      <c r="C125" t="s">
        <v>85</v>
      </c>
      <c r="D125" s="1">
        <v>0</v>
      </c>
      <c r="E125" s="1">
        <v>26.8</v>
      </c>
      <c r="F125" s="1">
        <v>74</v>
      </c>
      <c r="G125" s="1">
        <v>67</v>
      </c>
      <c r="H125" s="2">
        <f>Table147[[#This Row],[PTS]]/Table147[[#This Row],[GP]]</f>
        <v>0.90540540540540537</v>
      </c>
      <c r="I125" s="2">
        <v>0.45300000000000001</v>
      </c>
      <c r="J125" s="1">
        <v>203</v>
      </c>
      <c r="K125" s="3">
        <f>Table147[[#This Row],[GF]]/Table147[[#This Row],[GP]]</f>
        <v>2.7432432432432434</v>
      </c>
      <c r="L125" s="1">
        <v>255</v>
      </c>
      <c r="M125" s="1">
        <v>3.45</v>
      </c>
      <c r="N125" s="2">
        <f>(Table147[[#This Row],[GF]]^2)/((Table147[[#This Row],[GF]]^2)+(Table147[[#This Row],[GA]]^2))</f>
        <v>0.38790782611969804</v>
      </c>
      <c r="O125" s="1">
        <v>13.92</v>
      </c>
      <c r="P125" s="1">
        <v>77.599999999999994</v>
      </c>
      <c r="Q125" s="1">
        <f>Table147[[#This Row],[PP_PCT]]+Table147[[#This Row],[PK_PCT]]</f>
        <v>91.52</v>
      </c>
      <c r="R125" s="3">
        <v>10.199999999999999</v>
      </c>
      <c r="S125" s="3">
        <f>Table147[[#This Row],[GA]]/Table147[[#This Row],[GP]]</f>
        <v>3.4459459459459461</v>
      </c>
      <c r="T125" s="2">
        <v>0.92300000000000004</v>
      </c>
      <c r="U125" s="1">
        <v>102.6</v>
      </c>
      <c r="V125" s="1">
        <v>51.2</v>
      </c>
      <c r="W125" s="1">
        <v>51.4</v>
      </c>
      <c r="X125" s="1">
        <v>153.69999999999999</v>
      </c>
      <c r="Y125" s="3">
        <f>Table1358[[#This Row],[XGF]]/Table147[[#This Row],[GP]]</f>
        <v>2.077027027027027</v>
      </c>
      <c r="Z125" s="1">
        <v>142.5</v>
      </c>
      <c r="AA125" s="3">
        <f>Table1358[[#This Row],[XGA]]/Table147[[#This Row],[GP]]</f>
        <v>1.9256756756756757</v>
      </c>
      <c r="AB125" s="1">
        <v>67</v>
      </c>
      <c r="AC125" s="2">
        <f>Table1358[[#This Row],[HDGF]]/Table147[[#This Row],[GP]]</f>
        <v>0.90540540540540537</v>
      </c>
      <c r="AD125" s="1">
        <v>46</v>
      </c>
      <c r="AE125" s="2">
        <f>Table1358[[#This Row],[HDGA]]/Table147[[#This Row],[GP]]</f>
        <v>0.6216216216216216</v>
      </c>
      <c r="AF125" s="1">
        <v>7.5</v>
      </c>
    </row>
    <row r="126" spans="1:32" x14ac:dyDescent="0.35">
      <c r="A126" t="s">
        <v>91</v>
      </c>
      <c r="B126">
        <v>29</v>
      </c>
      <c r="C126" t="s">
        <v>80</v>
      </c>
      <c r="D126" s="1">
        <v>0</v>
      </c>
      <c r="E126" s="1">
        <v>25.9</v>
      </c>
      <c r="F126" s="1">
        <v>71</v>
      </c>
      <c r="G126" s="1">
        <v>66</v>
      </c>
      <c r="H126" s="2">
        <f>Table147[[#This Row],[PTS]]/Table147[[#This Row],[GP]]</f>
        <v>0.92957746478873238</v>
      </c>
      <c r="I126" s="2">
        <v>0.46500000000000002</v>
      </c>
      <c r="J126" s="1">
        <v>224</v>
      </c>
      <c r="K126" s="3">
        <f>Table147[[#This Row],[GF]]/Table147[[#This Row],[GP]]</f>
        <v>3.1549295774647885</v>
      </c>
      <c r="L126" s="1">
        <v>248</v>
      </c>
      <c r="M126" s="1">
        <v>3.49</v>
      </c>
      <c r="N126" s="2">
        <f>(Table147[[#This Row],[GF]]^2)/((Table147[[#This Row],[GF]]^2)+(Table147[[#This Row],[GA]]^2))</f>
        <v>0.44928366762177652</v>
      </c>
      <c r="O126" s="1">
        <v>17.559999999999999</v>
      </c>
      <c r="P126" s="1">
        <v>76.739999999999995</v>
      </c>
      <c r="Q126" s="1">
        <f>Table147[[#This Row],[PP_PCT]]+Table147[[#This Row],[PK_PCT]]</f>
        <v>94.3</v>
      </c>
      <c r="R126" s="3">
        <v>11.4</v>
      </c>
      <c r="S126" s="3">
        <f>Table147[[#This Row],[GA]]/Table147[[#This Row],[GP]]</f>
        <v>3.492957746478873</v>
      </c>
      <c r="T126" s="2">
        <v>0.92700000000000005</v>
      </c>
      <c r="U126" s="1">
        <v>100</v>
      </c>
      <c r="V126" s="1">
        <v>49.4</v>
      </c>
      <c r="W126" s="1">
        <v>49.5</v>
      </c>
      <c r="X126" s="1">
        <v>186.6</v>
      </c>
      <c r="Y126" s="3">
        <f>Table1358[[#This Row],[XGF]]/Table147[[#This Row],[GP]]</f>
        <v>2.6281690140845071</v>
      </c>
      <c r="Z126" s="1">
        <v>190.9</v>
      </c>
      <c r="AA126" s="3">
        <f>Table1358[[#This Row],[XGA]]/Table147[[#This Row],[GP]]</f>
        <v>2.6887323943661974</v>
      </c>
      <c r="AB126" s="1">
        <v>72</v>
      </c>
      <c r="AC126" s="2">
        <f>Table1358[[#This Row],[HDGF]]/Table147[[#This Row],[GP]]</f>
        <v>1.0140845070422535</v>
      </c>
      <c r="AD126" s="1">
        <v>66</v>
      </c>
      <c r="AE126" s="2">
        <f>Table1358[[#This Row],[HDGA]]/Table147[[#This Row],[GP]]</f>
        <v>0.92957746478873238</v>
      </c>
      <c r="AF126" s="1">
        <v>10.8</v>
      </c>
    </row>
    <row r="127" spans="1:32" x14ac:dyDescent="0.35">
      <c r="A127" t="s">
        <v>91</v>
      </c>
      <c r="B127">
        <v>30</v>
      </c>
      <c r="C127" t="s">
        <v>72</v>
      </c>
      <c r="D127" s="1">
        <v>0</v>
      </c>
      <c r="E127" s="1">
        <v>30</v>
      </c>
      <c r="F127" s="1">
        <v>72</v>
      </c>
      <c r="G127" s="1">
        <v>62</v>
      </c>
      <c r="H127" s="2">
        <f>Table147[[#This Row],[PTS]]/Table147[[#This Row],[GP]]</f>
        <v>0.86111111111111116</v>
      </c>
      <c r="I127" s="2">
        <v>0.43099999999999999</v>
      </c>
      <c r="J127" s="1">
        <v>183</v>
      </c>
      <c r="K127" s="3">
        <f>Table147[[#This Row],[GF]]/Table147[[#This Row],[GP]]</f>
        <v>2.5416666666666665</v>
      </c>
      <c r="L127" s="1">
        <v>232</v>
      </c>
      <c r="M127" s="1">
        <v>3.22</v>
      </c>
      <c r="N127" s="2">
        <f>(Table147[[#This Row],[GF]]^2)/((Table147[[#This Row],[GF]]^2)+(Table147[[#This Row],[GA]]^2))</f>
        <v>0.38355113213381742</v>
      </c>
      <c r="O127" s="1">
        <v>21.18</v>
      </c>
      <c r="P127" s="1">
        <v>81.31</v>
      </c>
      <c r="Q127" s="1">
        <f>Table147[[#This Row],[PP_PCT]]+Table147[[#This Row],[PK_PCT]]</f>
        <v>102.49000000000001</v>
      </c>
      <c r="R127" s="3">
        <v>8.6999999999999993</v>
      </c>
      <c r="S127" s="3">
        <f>Table147[[#This Row],[GA]]/Table147[[#This Row],[GP]]</f>
        <v>3.2222222222222223</v>
      </c>
      <c r="T127" s="2">
        <v>0.92800000000000005</v>
      </c>
      <c r="U127" s="1">
        <v>100.5</v>
      </c>
      <c r="V127" s="1">
        <v>51.7</v>
      </c>
      <c r="W127" s="1">
        <v>51.6</v>
      </c>
      <c r="X127" s="1">
        <v>170.9</v>
      </c>
      <c r="Y127" s="3">
        <f>Table1358[[#This Row],[XGF]]/Table147[[#This Row],[GP]]</f>
        <v>2.3736111111111113</v>
      </c>
      <c r="Z127" s="1">
        <v>170.4</v>
      </c>
      <c r="AA127" s="3">
        <f>Table1358[[#This Row],[XGA]]/Table147[[#This Row],[GP]]</f>
        <v>2.3666666666666667</v>
      </c>
      <c r="AB127" s="1">
        <v>58</v>
      </c>
      <c r="AC127" s="2">
        <f>Table1358[[#This Row],[HDGF]]/Table147[[#This Row],[GP]]</f>
        <v>0.80555555555555558</v>
      </c>
      <c r="AD127" s="1">
        <v>64</v>
      </c>
      <c r="AE127" s="2">
        <f>Table1358[[#This Row],[HDGA]]/Table147[[#This Row],[GP]]</f>
        <v>0.88888888888888884</v>
      </c>
      <c r="AF127" s="1">
        <v>10.1</v>
      </c>
    </row>
    <row r="128" spans="1:32" x14ac:dyDescent="0.35">
      <c r="A128" t="s">
        <v>91</v>
      </c>
      <c r="B128">
        <v>31</v>
      </c>
      <c r="C128" t="s">
        <v>83</v>
      </c>
      <c r="D128" s="1">
        <v>0</v>
      </c>
      <c r="E128" s="1">
        <v>28.4</v>
      </c>
      <c r="F128" s="1">
        <v>73</v>
      </c>
      <c r="G128" s="1">
        <v>51</v>
      </c>
      <c r="H128" s="2">
        <f>Table147[[#This Row],[PTS]]/Table147[[#This Row],[GP]]</f>
        <v>0.69863013698630139</v>
      </c>
      <c r="I128" s="2">
        <v>0.34899999999999998</v>
      </c>
      <c r="J128" s="1">
        <v>198</v>
      </c>
      <c r="K128" s="3">
        <f>Table147[[#This Row],[GF]]/Table147[[#This Row],[GP]]</f>
        <v>2.7123287671232879</v>
      </c>
      <c r="L128" s="1">
        <v>262</v>
      </c>
      <c r="M128" s="1">
        <v>3.59</v>
      </c>
      <c r="N128" s="2">
        <f>(Table147[[#This Row],[GF]]^2)/((Table147[[#This Row],[GF]]^2)+(Table147[[#This Row],[GA]]^2))</f>
        <v>0.36351160893108819</v>
      </c>
      <c r="O128" s="1">
        <v>25.6</v>
      </c>
      <c r="P128" s="1">
        <v>80.599999999999994</v>
      </c>
      <c r="Q128" s="1">
        <f>Table147[[#This Row],[PP_PCT]]+Table147[[#This Row],[PK_PCT]]</f>
        <v>106.19999999999999</v>
      </c>
      <c r="R128" s="3">
        <v>11.1</v>
      </c>
      <c r="S128" s="3">
        <f>Table147[[#This Row],[GA]]/Table147[[#This Row],[GP]]</f>
        <v>3.5890410958904111</v>
      </c>
      <c r="T128" s="2">
        <v>0.94</v>
      </c>
      <c r="U128" s="1">
        <v>102.2</v>
      </c>
      <c r="V128" s="1">
        <v>51.6</v>
      </c>
      <c r="W128" s="1">
        <v>51.4</v>
      </c>
      <c r="X128" s="1">
        <v>171.1</v>
      </c>
      <c r="Y128" s="3">
        <f>Table1358[[#This Row],[XGF]]/Table147[[#This Row],[GP]]</f>
        <v>2.3438356164383563</v>
      </c>
      <c r="Z128" s="1">
        <v>161.9</v>
      </c>
      <c r="AA128" s="3">
        <f>Table1358[[#This Row],[XGA]]/Table147[[#This Row],[GP]]</f>
        <v>2.2178082191780821</v>
      </c>
      <c r="AB128" s="1">
        <v>65</v>
      </c>
      <c r="AC128" s="2">
        <f>Table1358[[#This Row],[HDGF]]/Table147[[#This Row],[GP]]</f>
        <v>0.8904109589041096</v>
      </c>
      <c r="AD128" s="1">
        <v>49</v>
      </c>
      <c r="AE128" s="2">
        <f>Table1358[[#This Row],[HDGA]]/Table147[[#This Row],[GP]]</f>
        <v>0.67123287671232879</v>
      </c>
      <c r="AF128" s="1">
        <v>8.8000000000000007</v>
      </c>
    </row>
    <row r="129" spans="1:32" x14ac:dyDescent="0.35">
      <c r="A129" t="s">
        <v>91</v>
      </c>
      <c r="B129">
        <v>32</v>
      </c>
      <c r="C129" t="s">
        <v>78</v>
      </c>
      <c r="D129" s="1">
        <v>0</v>
      </c>
      <c r="E129" s="1">
        <v>27.3</v>
      </c>
      <c r="F129" s="1">
        <v>71</v>
      </c>
      <c r="G129" s="1">
        <v>49</v>
      </c>
      <c r="H129" s="2">
        <f>Table147[[#This Row],[PTS]]/Table147[[#This Row],[GP]]</f>
        <v>0.6901408450704225</v>
      </c>
      <c r="I129" s="2">
        <v>0.34499999999999997</v>
      </c>
      <c r="J129" s="1">
        <v>186</v>
      </c>
      <c r="K129" s="3">
        <f>Table147[[#This Row],[GF]]/Table147[[#This Row],[GP]]</f>
        <v>2.619718309859155</v>
      </c>
      <c r="L129" s="1">
        <v>260</v>
      </c>
      <c r="M129" s="1">
        <v>3.66</v>
      </c>
      <c r="N129" s="2">
        <f>(Table147[[#This Row],[GF]]^2)/((Table147[[#This Row],[GF]]^2)+(Table147[[#This Row],[GA]]^2))</f>
        <v>0.33852596970527221</v>
      </c>
      <c r="O129" s="1">
        <v>19.399999999999999</v>
      </c>
      <c r="P129" s="1">
        <v>74.31</v>
      </c>
      <c r="Q129" s="1">
        <f>Table147[[#This Row],[PP_PCT]]+Table147[[#This Row],[PK_PCT]]</f>
        <v>93.710000000000008</v>
      </c>
      <c r="R129" s="3">
        <v>9.6999999999999993</v>
      </c>
      <c r="S129" s="3">
        <f>Table147[[#This Row],[GA]]/Table147[[#This Row],[GP]]</f>
        <v>3.6619718309859155</v>
      </c>
      <c r="T129" s="2">
        <v>0.93700000000000006</v>
      </c>
      <c r="U129" s="1">
        <v>102.3</v>
      </c>
      <c r="V129" s="1">
        <v>50.5</v>
      </c>
      <c r="W129" s="1">
        <v>50.6</v>
      </c>
      <c r="X129" s="1">
        <v>145.69999999999999</v>
      </c>
      <c r="Y129" s="3">
        <f>Table1358[[#This Row],[XGF]]/Table147[[#This Row],[GP]]</f>
        <v>2.0521126760563377</v>
      </c>
      <c r="Z129" s="1">
        <v>134.4</v>
      </c>
      <c r="AA129" s="3">
        <f>Table1358[[#This Row],[XGA]]/Table147[[#This Row],[GP]]</f>
        <v>1.8929577464788734</v>
      </c>
      <c r="AB129" s="1">
        <v>58</v>
      </c>
      <c r="AC129" s="2">
        <f>Table1358[[#This Row],[HDGF]]/Table147[[#This Row],[GP]]</f>
        <v>0.81690140845070425</v>
      </c>
      <c r="AD129" s="1">
        <v>39</v>
      </c>
      <c r="AE129" s="2">
        <f>Table1358[[#This Row],[HDGA]]/Table147[[#This Row],[GP]]</f>
        <v>0.54929577464788737</v>
      </c>
      <c r="AF129" s="1">
        <v>8.6</v>
      </c>
    </row>
  </sheetData>
  <conditionalFormatting sqref="I2:I12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129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129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:N12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12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R12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:S129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:T12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:W12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:Y129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:AA129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:AC129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:AE129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:AF12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Sheet5</vt:lpstr>
      <vt:lpstr>Sheet6</vt:lpstr>
      <vt:lpstr>All_Stats</vt:lpstr>
      <vt:lpstr>Sheet7</vt:lpstr>
      <vt:lpstr>2021_2022</vt:lpstr>
      <vt:lpstr>2022_2023</vt:lpstr>
      <vt:lpstr>2023_2024</vt:lpstr>
      <vt:lpstr>2024_2025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Steven Fox</dc:creator>
  <cp:keywords/>
  <dc:description/>
  <cp:lastModifiedBy>Steven Fox</cp:lastModifiedBy>
  <cp:revision/>
  <dcterms:created xsi:type="dcterms:W3CDTF">2025-03-30T19:44:41Z</dcterms:created>
  <dcterms:modified xsi:type="dcterms:W3CDTF">2025-03-31T23:11:47Z</dcterms:modified>
  <cp:category/>
  <cp:contentStatus/>
</cp:coreProperties>
</file>