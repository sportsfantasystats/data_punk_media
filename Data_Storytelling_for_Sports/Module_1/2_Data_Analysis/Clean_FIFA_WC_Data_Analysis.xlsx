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Data_Stories/Community/Community_Calls/Sports_AI_and_Storytelling_Workshop/Module_1_From_Stats_to_Stories_Create_Your_First_Story/Data_Analysis/"/>
    </mc:Choice>
  </mc:AlternateContent>
  <xr:revisionPtr revIDLastSave="248" documentId="8_{2AB488E6-F202-4C23-A606-6ED072C1F464}" xr6:coauthVersionLast="47" xr6:coauthVersionMax="47" xr10:uidLastSave="{2A450BC8-9E8A-4D01-9CA5-646A51AF2020}"/>
  <bookViews>
    <workbookView xWindow="-108" yWindow="-108" windowWidth="30936" windowHeight="18696" xr2:uid="{C9D88ACE-3946-4A33-B358-CD89A9F29A75}"/>
  </bookViews>
  <sheets>
    <sheet name="clean_fulLwc_dataset" sheetId="1" r:id="rId1"/>
    <sheet name="Pivot_Table" sheetId="2" r:id="rId2"/>
    <sheet name="Nation_Age" sheetId="9" r:id="rId3"/>
    <sheet name="Nation_Cards" sheetId="3" r:id="rId4"/>
    <sheet name="Nation_Goals" sheetId="7" r:id="rId5"/>
    <sheet name="Nation_Cards_vs_Goals" sheetId="4" r:id="rId6"/>
    <sheet name="Nation_Age_vs_Goals" sheetId="5" r:id="rId7"/>
    <sheet name="Player_Age_vs_Goals" sheetId="8" r:id="rId8"/>
  </sheets>
  <calcPr calcId="0" iterateDelta="1E-4"/>
  <pivotCaches>
    <pivotCache cacheId="28" r:id="rId9"/>
  </pivotCaches>
</workbook>
</file>

<file path=xl/calcChain.xml><?xml version="1.0" encoding="utf-8"?>
<calcChain xmlns="http://schemas.openxmlformats.org/spreadsheetml/2006/main">
  <c r="D35" i="9" l="1"/>
  <c r="D38" i="9"/>
  <c r="D10" i="9"/>
  <c r="D45" i="9"/>
  <c r="D11" i="9"/>
  <c r="D13" i="9"/>
  <c r="D47" i="9"/>
  <c r="D12" i="9"/>
  <c r="D6" i="9"/>
  <c r="D41" i="9"/>
  <c r="D5" i="9"/>
  <c r="D7" i="9"/>
  <c r="D48" i="9"/>
  <c r="D16" i="9"/>
  <c r="D19" i="9"/>
  <c r="D23" i="9"/>
  <c r="D37" i="9"/>
  <c r="D15" i="9"/>
  <c r="D43" i="9"/>
  <c r="D25" i="9"/>
  <c r="D33" i="9"/>
  <c r="D18" i="9"/>
  <c r="D2" i="9"/>
  <c r="D44" i="9"/>
  <c r="D32" i="9"/>
  <c r="D17" i="9"/>
  <c r="D22" i="9"/>
  <c r="D30" i="9"/>
  <c r="D49" i="9"/>
  <c r="D28" i="9"/>
  <c r="D24" i="9"/>
  <c r="D42" i="9"/>
  <c r="D3" i="9"/>
  <c r="D21" i="9"/>
  <c r="D31" i="9"/>
  <c r="D4" i="9"/>
  <c r="D20" i="9"/>
  <c r="D27" i="9"/>
  <c r="D36" i="9"/>
  <c r="D46" i="9"/>
  <c r="D34" i="9"/>
  <c r="D14" i="9"/>
  <c r="D29" i="9"/>
  <c r="D39" i="9"/>
  <c r="D40" i="9"/>
  <c r="D8" i="9"/>
  <c r="D26" i="9"/>
  <c r="D9" i="9"/>
  <c r="D47" i="4"/>
  <c r="D38" i="4"/>
  <c r="D17" i="4"/>
  <c r="D23" i="4"/>
  <c r="D24" i="4"/>
  <c r="D5" i="4"/>
  <c r="D3" i="4"/>
  <c r="D30" i="4"/>
  <c r="D4" i="4"/>
  <c r="D26" i="4"/>
  <c r="D16" i="4"/>
  <c r="D27" i="4"/>
  <c r="D42" i="4"/>
  <c r="D7" i="4"/>
  <c r="D48" i="4"/>
  <c r="D18" i="4"/>
  <c r="D9" i="4"/>
  <c r="D41" i="4"/>
  <c r="D45" i="4"/>
  <c r="D33" i="4"/>
  <c r="D37" i="4"/>
  <c r="D8" i="4"/>
  <c r="D10" i="4"/>
  <c r="D19" i="4"/>
  <c r="D22" i="4"/>
  <c r="D29" i="4"/>
  <c r="D31" i="4"/>
  <c r="D36" i="4"/>
  <c r="D40" i="4"/>
  <c r="D34" i="4"/>
  <c r="D28" i="4"/>
  <c r="D46" i="4"/>
  <c r="D21" i="4"/>
  <c r="D2" i="4"/>
  <c r="D25" i="4"/>
  <c r="D12" i="4"/>
  <c r="D13" i="4"/>
  <c r="D20" i="4"/>
  <c r="D39" i="4"/>
  <c r="D6" i="4"/>
  <c r="D43" i="4"/>
  <c r="D14" i="4"/>
  <c r="D35" i="4"/>
  <c r="D49" i="4"/>
  <c r="D44" i="4"/>
  <c r="D15" i="4"/>
  <c r="D11" i="4"/>
  <c r="D32" i="4"/>
  <c r="D7" i="3"/>
  <c r="D19" i="3"/>
  <c r="D30" i="3"/>
  <c r="D42" i="3"/>
  <c r="D18" i="3"/>
  <c r="D43" i="3"/>
  <c r="D44" i="3"/>
  <c r="D31" i="3"/>
  <c r="D14" i="3"/>
  <c r="D20" i="3"/>
  <c r="D21" i="3"/>
  <c r="D22" i="3"/>
  <c r="D45" i="3"/>
  <c r="D2" i="3"/>
  <c r="D15" i="3"/>
  <c r="D3" i="3"/>
  <c r="D32" i="3"/>
  <c r="D38" i="3"/>
  <c r="D8" i="3"/>
  <c r="D4" i="3"/>
  <c r="D16" i="3"/>
  <c r="D9" i="3"/>
  <c r="D46" i="3"/>
  <c r="D29" i="3"/>
  <c r="D39" i="3"/>
  <c r="D23" i="3"/>
  <c r="D24" i="3"/>
  <c r="D25" i="3"/>
  <c r="D10" i="3"/>
  <c r="D13" i="3"/>
  <c r="D17" i="3"/>
  <c r="D5" i="3"/>
  <c r="D26" i="3"/>
  <c r="D33" i="3"/>
  <c r="D27" i="3"/>
  <c r="D47" i="3"/>
  <c r="D36" i="3"/>
  <c r="D40" i="3"/>
  <c r="D34" i="3"/>
  <c r="D11" i="3"/>
  <c r="D6" i="3"/>
  <c r="D12" i="3"/>
  <c r="D35" i="3"/>
  <c r="D37" i="3"/>
  <c r="D28" i="3"/>
  <c r="D41" i="3"/>
</calcChain>
</file>

<file path=xl/sharedStrings.xml><?xml version="1.0" encoding="utf-8"?>
<sst xmlns="http://schemas.openxmlformats.org/spreadsheetml/2006/main" count="7387" uniqueCount="1153">
  <si>
    <t>PLAYER_NAME</t>
  </si>
  <si>
    <t>POS</t>
  </si>
  <si>
    <t>TEAM</t>
  </si>
  <si>
    <t>NATION</t>
  </si>
  <si>
    <t>AGE</t>
  </si>
  <si>
    <t>AGE_GROUP</t>
  </si>
  <si>
    <t>MP</t>
  </si>
  <si>
    <t>STARTS</t>
  </si>
  <si>
    <t>MIN</t>
  </si>
  <si>
    <t>90S</t>
  </si>
  <si>
    <t>GOALS</t>
  </si>
  <si>
    <t>ASSISTS</t>
  </si>
  <si>
    <t>POINTS</t>
  </si>
  <si>
    <t>GOALS_PK</t>
  </si>
  <si>
    <t>PK</t>
  </si>
  <si>
    <t>PK_ATT</t>
  </si>
  <si>
    <t>YEL_CRD</t>
  </si>
  <si>
    <t>RED_CRD</t>
  </si>
  <si>
    <t>G_PER90</t>
  </si>
  <si>
    <t>ROLE</t>
  </si>
  <si>
    <t>SUB_GAMES</t>
  </si>
  <si>
    <t>Brenden Aaronson</t>
  </si>
  <si>
    <t>MF</t>
  </si>
  <si>
    <t>United States</t>
  </si>
  <si>
    <t>US</t>
  </si>
  <si>
    <t>23-27</t>
  </si>
  <si>
    <t>Always Started</t>
  </si>
  <si>
    <t>Thelo Aasgaard</t>
  </si>
  <si>
    <t>Norway</t>
  </si>
  <si>
    <t>NO</t>
  </si>
  <si>
    <t>Hamza Abdelkarim</t>
  </si>
  <si>
    <t>FW</t>
  </si>
  <si>
    <t>Egypt</t>
  </si>
  <si>
    <t>EG</t>
  </si>
  <si>
    <t>U23</t>
  </si>
  <si>
    <t>Pure Sub</t>
  </si>
  <si>
    <t>Hossam Abdelmaguid</t>
  </si>
  <si>
    <t>DF</t>
  </si>
  <si>
    <t>Mohamed Abdelmonem</t>
  </si>
  <si>
    <t>27-31</t>
  </si>
  <si>
    <t>Mixed</t>
  </si>
  <si>
    <t>Ali Abdi</t>
  </si>
  <si>
    <t>Tunisia</t>
  </si>
  <si>
    <t>TN</t>
  </si>
  <si>
    <t>31-35</t>
  </si>
  <si>
    <t>Saud Abdulhamid</t>
  </si>
  <si>
    <t>Saudi Arabia</t>
  </si>
  <si>
    <t>SA</t>
  </si>
  <si>
    <t>Abdulla Abdullaev</t>
  </si>
  <si>
    <t>Uzbekistan</t>
  </si>
  <si>
    <t>UZ</t>
  </si>
  <si>
    <t>Yusuf Abdurisag</t>
  </si>
  <si>
    <t>Qatar</t>
  </si>
  <si>
    <t>QA</t>
  </si>
  <si>
    <t>Husam Abu Dahab</t>
  </si>
  <si>
    <t>Jordan</t>
  </si>
  <si>
    <t>JO</t>
  </si>
  <si>
    <t>Mohammad Abu Hasheesh</t>
  </si>
  <si>
    <t>Mohannad Abu Taha</t>
  </si>
  <si>
    <t>Mo Abualnadi</t>
  </si>
  <si>
    <t>Yazeed Abulaila</t>
  </si>
  <si>
    <t>GK</t>
  </si>
  <si>
    <t>Mahmoud Abunada</t>
  </si>
  <si>
    <t>Elias Achouri</t>
  </si>
  <si>
    <t>FW,MF</t>
  </si>
  <si>
    <t>Che Adams</t>
  </si>
  <si>
    <t>sct Scotland</t>
  </si>
  <si>
    <t>Jayden Adams</t>
  </si>
  <si>
    <t>South Africa</t>
  </si>
  <si>
    <t>ZA</t>
  </si>
  <si>
    <t>Tyler Adams</t>
  </si>
  <si>
    <t>Ricardo Ade</t>
  </si>
  <si>
    <t>Haiti</t>
  </si>
  <si>
    <t>HT</t>
  </si>
  <si>
    <t>35+</t>
  </si>
  <si>
    <t>Ibrahim Adel</t>
  </si>
  <si>
    <t>Simon Adingra</t>
  </si>
  <si>
    <t>Cote d'Ivoire</t>
  </si>
  <si>
    <t>CI</t>
  </si>
  <si>
    <t>Jonas Adjetey</t>
  </si>
  <si>
    <t>Ghana</t>
  </si>
  <si>
    <t>GH</t>
  </si>
  <si>
    <t>Michel Aebischer</t>
  </si>
  <si>
    <t>MF,FW</t>
  </si>
  <si>
    <t>Switzerland</t>
  </si>
  <si>
    <t>CH</t>
  </si>
  <si>
    <t>Akram Afif</t>
  </si>
  <si>
    <t>Emmanuel Agbadou</t>
  </si>
  <si>
    <t>Rodrigo Aguirre</t>
  </si>
  <si>
    <t>Uruguay</t>
  </si>
  <si>
    <t>UY</t>
  </si>
  <si>
    <t>Ali Ahmed</t>
  </si>
  <si>
    <t>Canada</t>
  </si>
  <si>
    <t>CA</t>
  </si>
  <si>
    <t>Homam Ahmed</t>
  </si>
  <si>
    <t>Rayan Ait-Nouri</t>
  </si>
  <si>
    <t>Algeria</t>
  </si>
  <si>
    <t>DZ</t>
  </si>
  <si>
    <t>Kristoffer Ajer</t>
  </si>
  <si>
    <t>Manuel Akanji</t>
  </si>
  <si>
    <t>Nathan Ake</t>
  </si>
  <si>
    <t>Netherlands</t>
  </si>
  <si>
    <t>NL</t>
  </si>
  <si>
    <t>Yunus Akgun</t>
  </si>
  <si>
    <t>Turkiye</t>
  </si>
  <si>
    <t>TR</t>
  </si>
  <si>
    <t>Maghnes Akliouche</t>
  </si>
  <si>
    <t>France</t>
  </si>
  <si>
    <t>FR</t>
  </si>
  <si>
    <t>Kerem Akturko?lu</t>
  </si>
  <si>
    <t>Ahmed Alaaeldin</t>
  </si>
  <si>
    <t>David Alaba</t>
  </si>
  <si>
    <t>Austria</t>
  </si>
  <si>
    <t>AT</t>
  </si>
  <si>
    <t>Kerim Alajbegovi?</t>
  </si>
  <si>
    <t>BosniaHerz</t>
  </si>
  <si>
    <t>BA</t>
  </si>
  <si>
    <t>Jordy Alcivar</t>
  </si>
  <si>
    <t>Ecuador</t>
  </si>
  <si>
    <t>EC</t>
  </si>
  <si>
    <t>Omar Alderete</t>
  </si>
  <si>
    <t>Paraguay</t>
  </si>
  <si>
    <t>PY</t>
  </si>
  <si>
    <t>Almoez Ali</t>
  </si>
  <si>
    <t>Hussein Ali</t>
  </si>
  <si>
    <t>Iraq</t>
  </si>
  <si>
    <t>IQ</t>
  </si>
  <si>
    <t>Mohanad Ali</t>
  </si>
  <si>
    <t>Taha Ali</t>
  </si>
  <si>
    <t>Sweden</t>
  </si>
  <si>
    <t>SE</t>
  </si>
  <si>
    <t>Khojiakbar Alijonov</t>
  </si>
  <si>
    <t>Ali Alipour</t>
  </si>
  <si>
    <t>IR Iran</t>
  </si>
  <si>
    <t>IR</t>
  </si>
  <si>
    <t>Alisson</t>
  </si>
  <si>
    <t>Brazil</t>
  </si>
  <si>
    <t>BR</t>
  </si>
  <si>
    <t>Thiago Almada</t>
  </si>
  <si>
    <t>Argentina</t>
  </si>
  <si>
    <t>AR</t>
  </si>
  <si>
    <t>Miguel Almiron</t>
  </si>
  <si>
    <t>Junior Alonso</t>
  </si>
  <si>
    <t>Bar?? Alper Y?lmaz</t>
  </si>
  <si>
    <t>Roberto Alvarado</t>
  </si>
  <si>
    <t>Mexico</t>
  </si>
  <si>
    <t>MX</t>
  </si>
  <si>
    <t>Edson Alvarez</t>
  </si>
  <si>
    <t>MF,DF</t>
  </si>
  <si>
    <t>Julian Alvarez</t>
  </si>
  <si>
    <t>Ayoube Amaimouni</t>
  </si>
  <si>
    <t>Morocco</t>
  </si>
  <si>
    <t>MA</t>
  </si>
  <si>
    <t>Zeki Amdouni</t>
  </si>
  <si>
    <t>Michael Amir Murillo</t>
  </si>
  <si>
    <t>DF,MF</t>
  </si>
  <si>
    <t>Panama</t>
  </si>
  <si>
    <t>PA</t>
  </si>
  <si>
    <t>Nadiem Amiri</t>
  </si>
  <si>
    <t>Germany</t>
  </si>
  <si>
    <t>DE</t>
  </si>
  <si>
    <t>Amir Al Ammari</t>
  </si>
  <si>
    <t>Azizbek Amonov</t>
  </si>
  <si>
    <t>Mohamed Amoura</t>
  </si>
  <si>
    <t>Sofyan Amrabat</t>
  </si>
  <si>
    <t>Abdulelah Al-Amri</t>
  </si>
  <si>
    <t>Youssef Amyn</t>
  </si>
  <si>
    <t>Elliot Anderson</t>
  </si>
  <si>
    <t>eng England</t>
  </si>
  <si>
    <t>Andres Andrade Cedeno</t>
  </si>
  <si>
    <t>Fredrik Andre Bjorkan</t>
  </si>
  <si>
    <t>Nilson Angulo</t>
  </si>
  <si>
    <t>Waldemar Anton</t>
  </si>
  <si>
    <t>Jeremy Antonisse</t>
  </si>
  <si>
    <t>Curacao</t>
  </si>
  <si>
    <t>CW</t>
  </si>
  <si>
    <t>Houssem Aouar</t>
  </si>
  <si>
    <t>Oswin Appollis</t>
  </si>
  <si>
    <t>Yazan Al-Arab</t>
  </si>
  <si>
    <t>Maxi Araujo</t>
  </si>
  <si>
    <t>Tomas Araujo</t>
  </si>
  <si>
    <t>Portugal</t>
  </si>
  <si>
    <t>PT</t>
  </si>
  <si>
    <t>Telmo Arcanjo</t>
  </si>
  <si>
    <t>Cabo Verde</t>
  </si>
  <si>
    <t>CV</t>
  </si>
  <si>
    <t>Alex Arce</t>
  </si>
  <si>
    <t>Carlens Arcus</t>
  </si>
  <si>
    <t>Jhon Arias</t>
  </si>
  <si>
    <t>Colombia</t>
  </si>
  <si>
    <t>CO</t>
  </si>
  <si>
    <t>Santiago Arias</t>
  </si>
  <si>
    <t>Marko Arnautovi?</t>
  </si>
  <si>
    <t>Benjamin Asare</t>
  </si>
  <si>
    <t>Emam Ashour</t>
  </si>
  <si>
    <t>Rustam Ashurmatov</t>
  </si>
  <si>
    <t>Lawrence Ati-Zigi</t>
  </si>
  <si>
    <t>Marwan Attia</t>
  </si>
  <si>
    <t>Fredrik Aursnes</t>
  </si>
  <si>
    <t>Gabriel Avalos</t>
  </si>
  <si>
    <t>Yasin Ayari</t>
  </si>
  <si>
    <t>O?uz Ayd?n</t>
  </si>
  <si>
    <t>Jordan Ayew</t>
  </si>
  <si>
    <t>Kaan Ayhan</t>
  </si>
  <si>
    <t>Neil El Aynaoui</t>
  </si>
  <si>
    <t>Ali Azaizeh</t>
  </si>
  <si>
    <t>Juninho Bacuna</t>
  </si>
  <si>
    <t>Leandro Bacuna</t>
  </si>
  <si>
    <t>Alex Baena</t>
  </si>
  <si>
    <t>Spain</t>
  </si>
  <si>
    <t>ES</t>
  </si>
  <si>
    <t>Esmir Bajraktarevic</t>
  </si>
  <si>
    <t>Cedric Bakambu</t>
  </si>
  <si>
    <t>Congo DR</t>
  </si>
  <si>
    <t>CD</t>
  </si>
  <si>
    <t>Fabian Balbuena</t>
  </si>
  <si>
    <t>Folarin Balogun</t>
  </si>
  <si>
    <t>Simon Banza</t>
  </si>
  <si>
    <t>Yoel Barcenas</t>
  </si>
  <si>
    <t>Valentin Barco</t>
  </si>
  <si>
    <t>Bradley Barcola</t>
  </si>
  <si>
    <t>Abdulkerim Bardakc?</t>
  </si>
  <si>
    <t>Ivan Bai?</t>
  </si>
  <si>
    <t>Ahmed Basil</t>
  </si>
  <si>
    <t>Martin Baturina</t>
  </si>
  <si>
    <t>Croatia</t>
  </si>
  <si>
    <t>HR</t>
  </si>
  <si>
    <t>Ibrahim Bayesh</t>
  </si>
  <si>
    <t>Samed Badar</t>
  </si>
  <si>
    <t>Riechedly Bazoer</t>
  </si>
  <si>
    <t>Patrick Beach</t>
  </si>
  <si>
    <t>Australia</t>
  </si>
  <si>
    <t>AU</t>
  </si>
  <si>
    <t>Aziz Behich</t>
  </si>
  <si>
    <t>Maximilian Beier</t>
  </si>
  <si>
    <t>Alireza Beiranvand</t>
  </si>
  <si>
    <t>Zineddine Belaid</t>
  </si>
  <si>
    <t>Rafik Belghali</t>
  </si>
  <si>
    <t>Joe Bell</t>
  </si>
  <si>
    <t>New Zealand</t>
  </si>
  <si>
    <t>NZ</t>
  </si>
  <si>
    <t>Jean-Ricner Bellegarde</t>
  </si>
  <si>
    <t>Jude Bellingham</t>
  </si>
  <si>
    <t>Mortadha Ben Ouanes</t>
  </si>
  <si>
    <t>Anis Ben Slimane</t>
  </si>
  <si>
    <t>Oussama Benbot</t>
  </si>
  <si>
    <t>Nadhir Benbouali</t>
  </si>
  <si>
    <t>Gilson Benchimol</t>
  </si>
  <si>
    <t>Ramy Bensebaini</t>
  </si>
  <si>
    <t>Nabil Bentaleb</t>
  </si>
  <si>
    <t>Rodrigo Bentancur</t>
  </si>
  <si>
    <t>Patrick Berg</t>
  </si>
  <si>
    <t>Sander Berge</t>
  </si>
  <si>
    <t>Lucas Bergvall</t>
  </si>
  <si>
    <t>Sebastian Berhalter</t>
  </si>
  <si>
    <t>Alexander Bernhardsson</t>
  </si>
  <si>
    <t>Tyler Bindon</t>
  </si>
  <si>
    <t>Cesar Blackman</t>
  </si>
  <si>
    <t>Damian Bobadilla</t>
  </si>
  <si>
    <t>Oscar Bobb</t>
  </si>
  <si>
    <t>Moise Bombito</t>
  </si>
  <si>
    <t>Theo Bongonda</t>
  </si>
  <si>
    <t>Ange-Yoan Bonny</t>
  </si>
  <si>
    <t>Jordy Bos</t>
  </si>
  <si>
    <t>Ayyoub Bouaddi</t>
  </si>
  <si>
    <t>Hicham Boudaoui</t>
  </si>
  <si>
    <t>Karim Boudiaf</t>
  </si>
  <si>
    <t>Adil Boulbina</t>
  </si>
  <si>
    <t>Yassine Bounou</t>
  </si>
  <si>
    <t>Nawaf Boushal</t>
  </si>
  <si>
    <t>Michael Boxall</t>
  </si>
  <si>
    <t>Sultan Al-Brake</t>
  </si>
  <si>
    <t>Joshua Brenet</t>
  </si>
  <si>
    <t>Brian Brobbey</t>
  </si>
  <si>
    <t>Dylan Bronn</t>
  </si>
  <si>
    <t>Nathaniel Brown</t>
  </si>
  <si>
    <t>Tajon Buchanan</t>
  </si>
  <si>
    <t>Ante Budimir</t>
  </si>
  <si>
    <t>Firas Al-Buraikan</t>
  </si>
  <si>
    <t>Cameron Burgess</t>
  </si>
  <si>
    <t>Denis Burni?</t>
  </si>
  <si>
    <t>Gustavo Caballero</t>
  </si>
  <si>
    <t>Jovane Cabral</t>
  </si>
  <si>
    <t>Liberato Cacace</t>
  </si>
  <si>
    <t>Juan Caceres</t>
  </si>
  <si>
    <t>Sebastian Caceres</t>
  </si>
  <si>
    <t>Jordy Caicedo</t>
  </si>
  <si>
    <t>Moises Caicedo</t>
  </si>
  <si>
    <t>U?urcan Cak?r</t>
  </si>
  <si>
    <t>Hakan Calhano?lu</t>
  </si>
  <si>
    <t>Lamine Camara</t>
  </si>
  <si>
    <t>Senegal</t>
  </si>
  <si>
    <t>SN</t>
  </si>
  <si>
    <t>Jaminton Campaz</t>
  </si>
  <si>
    <t>?rfan Can Kahveci</t>
  </si>
  <si>
    <t>Jose Canale</t>
  </si>
  <si>
    <t>Joao Cancelo</t>
  </si>
  <si>
    <t>Agustin Canobbio</t>
  </si>
  <si>
    <t>Casemiro</t>
  </si>
  <si>
    <t>Josue Casimir</t>
  </si>
  <si>
    <t>Timothy Castagne</t>
  </si>
  <si>
    <t>Belgium</t>
  </si>
  <si>
    <t>BE</t>
  </si>
  <si>
    <t>Kevin Castano</t>
  </si>
  <si>
    <t>Jens Castrop</t>
  </si>
  <si>
    <t>Korea Republic</t>
  </si>
  <si>
    <t>KR</t>
  </si>
  <si>
    <t>Zeki Celik</t>
  </si>
  <si>
    <t>Luka ?erv</t>
  </si>
  <si>
    <t>Czechia</t>
  </si>
  <si>
    <t>CZ</t>
  </si>
  <si>
    <t>Fares Chaibi</t>
  </si>
  <si>
    <t>t?pan Chaloupek</t>
  </si>
  <si>
    <t>Mouhib Chamakh</t>
  </si>
  <si>
    <t>Firas Chaouat</t>
  </si>
  <si>
    <t>Luis Chavez</t>
  </si>
  <si>
    <t>Mateo Chavez</t>
  </si>
  <si>
    <t>Samir Chergui</t>
  </si>
  <si>
    <t>Rayan Cherki</t>
  </si>
  <si>
    <t>Mathieu Choiniere</t>
  </si>
  <si>
    <t>Tahith Chong</t>
  </si>
  <si>
    <t>Toma Chory</t>
  </si>
  <si>
    <t>Ryan Christie</t>
  </si>
  <si>
    <t>Carney Chukwuemeka</t>
  </si>
  <si>
    <t>Mojmir Chytil</t>
  </si>
  <si>
    <t>Brian Cipenga</t>
  </si>
  <si>
    <t>Alessandro Circati</t>
  </si>
  <si>
    <t>Pathe Ciss</t>
  </si>
  <si>
    <t>Livano Comenencia</t>
  </si>
  <si>
    <t>Francisco Conceicao</t>
  </si>
  <si>
    <t>Jhon Cordoba</t>
  </si>
  <si>
    <t>Jose Cordoba</t>
  </si>
  <si>
    <t>Derek Cornelius</t>
  </si>
  <si>
    <t>Diogo Costa</t>
  </si>
  <si>
    <t>Nuno da Costa</t>
  </si>
  <si>
    <t>Samu Costa</t>
  </si>
  <si>
    <t>Vladimir Coufal</t>
  </si>
  <si>
    <t>Thibaut Courtois</t>
  </si>
  <si>
    <t>Maxime Crepeau</t>
  </si>
  <si>
    <t>Max Crocombe</t>
  </si>
  <si>
    <t>Pau Cubarsi</t>
  </si>
  <si>
    <t>Andres Cubas</t>
  </si>
  <si>
    <t>Cucho</t>
  </si>
  <si>
    <t>Marc Cucurella</t>
  </si>
  <si>
    <t>Matheus Cunha</t>
  </si>
  <si>
    <t>Findlay Curtis</t>
  </si>
  <si>
    <t>Aymen Dahmen</t>
  </si>
  <si>
    <t>Diogo Dalot</t>
  </si>
  <si>
    <t>Danilo</t>
  </si>
  <si>
    <t>Kevin Danso</t>
  </si>
  <si>
    <t>Vladimir Darida</t>
  </si>
  <si>
    <t>Jonathan David</t>
  </si>
  <si>
    <t>Promise David</t>
  </si>
  <si>
    <t>Alphonso Davies</t>
  </si>
  <si>
    <t>DF,FW</t>
  </si>
  <si>
    <t>Erick Davis</t>
  </si>
  <si>
    <t>Nasser Al-Dawsari</t>
  </si>
  <si>
    <t>Salem Al-Dawsari</t>
  </si>
  <si>
    <t>Mohammad Al-Dawud</t>
  </si>
  <si>
    <t>Kevin De Bruyne</t>
  </si>
  <si>
    <t>Maxim De Cuyper</t>
  </si>
  <si>
    <t>Luc De Fougerolles</t>
  </si>
  <si>
    <t>Charles De Ketelaere</t>
  </si>
  <si>
    <t>Nicolas De La Cruz</t>
  </si>
  <si>
    <t>Rodrigo De Paul</t>
  </si>
  <si>
    <t>Amar Dedi?</t>
  </si>
  <si>
    <t>Louicius Deedson</t>
  </si>
  <si>
    <t>Hannes Delcroix</t>
  </si>
  <si>
    <t>Ousmane Dembele</t>
  </si>
  <si>
    <t>Merih Demiral</t>
  </si>
  <si>
    <t>Ermedin Demirovi?</t>
  </si>
  <si>
    <t>Sergino Dest</t>
  </si>
  <si>
    <t>Frans Dhia Putros</t>
  </si>
  <si>
    <t>Oumar Diakite</t>
  </si>
  <si>
    <t>Amad Diallo</t>
  </si>
  <si>
    <t>Assane Diao</t>
  </si>
  <si>
    <t>Habib Diarra</t>
  </si>
  <si>
    <t>Ruben Dias</t>
  </si>
  <si>
    <t>Krepin Diatta</t>
  </si>
  <si>
    <t>Mory Diaw</t>
  </si>
  <si>
    <t>Brahim Diaz</t>
  </si>
  <si>
    <t>Ismael Diaz</t>
  </si>
  <si>
    <t>Luis Diaz</t>
  </si>
  <si>
    <t>Bamba Dieng</t>
  </si>
  <si>
    <t>Lucas Digne</t>
  </si>
  <si>
    <t>Diney</t>
  </si>
  <si>
    <t>Ousmane Diomande</t>
  </si>
  <si>
    <t>Yan Diomande</t>
  </si>
  <si>
    <t>Issa Diop</t>
  </si>
  <si>
    <t>El Hadji Malick Diouf</t>
  </si>
  <si>
    <t>Ritsu Doan</t>
  </si>
  <si>
    <t>Japan</t>
  </si>
  <si>
    <t>JP</t>
  </si>
  <si>
    <t>Jeremy Doku</t>
  </si>
  <si>
    <t>Merchas Doski</t>
  </si>
  <si>
    <t>David Doud?ra</t>
  </si>
  <si>
    <t>Desire Doue</t>
  </si>
  <si>
    <t>Guela Doue</t>
  </si>
  <si>
    <t>Deroy Duarte</t>
  </si>
  <si>
    <t>Laros Duarte</t>
  </si>
  <si>
    <t>Denzel Dumfries</t>
  </si>
  <si>
    <t>Jean-Kevin Duverne</t>
  </si>
  <si>
    <t>Lyndon Dykes</t>
  </si>
  <si>
    <t>Edin Deko</t>
  </si>
  <si>
    <t>Roshon van Eijma</t>
  </si>
  <si>
    <t>Anthony Elanga</t>
  </si>
  <si>
    <t>Meschak Elia</t>
  </si>
  <si>
    <t>Callan Elliot</t>
  </si>
  <si>
    <t>Eren Elmal?</t>
  </si>
  <si>
    <t>Nico Elvedi</t>
  </si>
  <si>
    <t>Breel Embolo</t>
  </si>
  <si>
    <t>Julio Enciso</t>
  </si>
  <si>
    <t>Endrick</t>
  </si>
  <si>
    <t>Sherzod Esanov</t>
  </si>
  <si>
    <t>Fidel Escobar</t>
  </si>
  <si>
    <t>Pervis Estupinan</t>
  </si>
  <si>
    <t>Derrick Etienne</t>
  </si>
  <si>
    <t>Stephen Eustaquio</t>
  </si>
  <si>
    <t>Martin Experience</t>
  </si>
  <si>
    <t>Saeid Ezatolahi</t>
  </si>
  <si>
    <t>Eberechi Eze</t>
  </si>
  <si>
    <t>Fabinho</t>
  </si>
  <si>
    <t>Jose Fajardo</t>
  </si>
  <si>
    <t>Odeh Al-Fakhouri</t>
  </si>
  <si>
    <t>Henrik Falchener</t>
  </si>
  <si>
    <t>Marko Farji</t>
  </si>
  <si>
    <t>Christian Fassnacht</t>
  </si>
  <si>
    <t>Abdul Fatawu Issahaku</t>
  </si>
  <si>
    <t>Ahmed Fathy</t>
  </si>
  <si>
    <t>Hamdy Fathy</t>
  </si>
  <si>
    <t>Ahmed Fatouh</t>
  </si>
  <si>
    <t>Abbosbek Fayzullayev</t>
  </si>
  <si>
    <t>Joao Felix</t>
  </si>
  <si>
    <t>Lewis Ferguson</t>
  </si>
  <si>
    <t>Bruno Fernandes</t>
  </si>
  <si>
    <t>Enzo Fernandez</t>
  </si>
  <si>
    <t>Matias Fernandez-Pardo</t>
  </si>
  <si>
    <t>Alvaro Fidalgo</t>
  </si>
  <si>
    <t>Sherel Floranus</t>
  </si>
  <si>
    <t>Seko Fofana</t>
  </si>
  <si>
    <t>Yahia Fofana</t>
  </si>
  <si>
    <t>Deveron Fonville</t>
  </si>
  <si>
    <t>Yassin Fortune</t>
  </si>
  <si>
    <t>Lyle Foster</t>
  </si>
  <si>
    <t>Alan Franco</t>
  </si>
  <si>
    <t>Alex Freeman</t>
  </si>
  <si>
    <t>Matt Freese</t>
  </si>
  <si>
    <t>Remo Freuler</t>
  </si>
  <si>
    <t>Marco Friedl</t>
  </si>
  <si>
    <t>Jurien Gaari</t>
  </si>
  <si>
    <t>Jassem Gaber</t>
  </si>
  <si>
    <t>Cody Gakpo</t>
  </si>
  <si>
    <t>Matias Galarza</t>
  </si>
  <si>
    <t>Hernan Galindez</t>
  </si>
  <si>
    <t>Jesus Gallardo</t>
  </si>
  <si>
    <t>Ahmed Al-Ganehi</t>
  </si>
  <si>
    <t>Ben Gannon-Doak</t>
  </si>
  <si>
    <t>Gavi</t>
  </si>
  <si>
    <t>Jason Geria</t>
  </si>
  <si>
    <t>Khalid Al Ghannam</t>
  </si>
  <si>
    <t>Ismael Gharbi</t>
  </si>
  <si>
    <t>Mehdi Ghayedi</t>
  </si>
  <si>
    <t>Fares Ghedjemis</t>
  </si>
  <si>
    <t>Saman Ghoddos</t>
  </si>
  <si>
    <t>Mohammad Ghorbani</t>
  </si>
  <si>
    <t>Lee Gi-hyuk</t>
  </si>
  <si>
    <t>Armin Gigovic</t>
  </si>
  <si>
    <t>Orlando Gill</t>
  </si>
  <si>
    <t>Santiago Gimenez</t>
  </si>
  <si>
    <t>Anibal Godoy</t>
  </si>
  <si>
    <t>Andres Gomez</t>
  </si>
  <si>
    <t>Diego Gomez</t>
  </si>
  <si>
    <t>Gustavo Gomez</t>
  </si>
  <si>
    <t>Armando Gonzalez</t>
  </si>
  <si>
    <t>Nicolas Gonzalez</t>
  </si>
  <si>
    <t>Anthony Gordon</t>
  </si>
  <si>
    <t>Leon Goretzka</t>
  </si>
  <si>
    <t>Kenji Gorre</t>
  </si>
  <si>
    <t>Keisuke Got?</t>
  </si>
  <si>
    <t>Amine Gouiri</t>
  </si>
  <si>
    <t>Ryan Gravenberch</t>
  </si>
  <si>
    <t>Michael Gregoritsch</t>
  </si>
  <si>
    <t>Florian Grillitsch</t>
  </si>
  <si>
    <t>Pascal Gross</t>
  </si>
  <si>
    <t>Gabriel Gudmundsson</t>
  </si>
  <si>
    <t>Cho Gue-sung</t>
  </si>
  <si>
    <t>Marc Guehi</t>
  </si>
  <si>
    <t>Evann Guessand</t>
  </si>
  <si>
    <t>Idrissa Gueye</t>
  </si>
  <si>
    <t>Pape Gueye</t>
  </si>
  <si>
    <t>Bruno Guimaraes</t>
  </si>
  <si>
    <t>Deniz Gul</t>
  </si>
  <si>
    <t>Arda Guler</t>
  </si>
  <si>
    <t>Angus Gunn</t>
  </si>
  <si>
    <t>Malo Gusto</t>
  </si>
  <si>
    <t>Brian Gutierrez</t>
  </si>
  <si>
    <t>Jorge Gutierrez</t>
  </si>
  <si>
    <t>Joko Gvardiol</t>
  </si>
  <si>
    <t>Viktor Gyokeres</t>
  </si>
  <si>
    <t>Aziz G?aniyev</t>
  </si>
  <si>
    <t>Erling Haaland</t>
  </si>
  <si>
    <t>Ihsan Haddad</t>
  </si>
  <si>
    <t>Anis Hadj Moussa</t>
  </si>
  <si>
    <t>Jaouen Hadjam</t>
  </si>
  <si>
    <t>Amir Hadiahmetovi?</t>
  </si>
  <si>
    <t>Dennis Hadikaduni?</t>
  </si>
  <si>
    <t>Karim Hafez</t>
  </si>
  <si>
    <t>Ehsan Hajsafi</t>
  </si>
  <si>
    <t>Achraf Hakimi</t>
  </si>
  <si>
    <t>Redouane Halhal</t>
  </si>
  <si>
    <t>Ali Al Hamadi</t>
  </si>
  <si>
    <t>Abdullah Al-Hamdan</t>
  </si>
  <si>
    <t>Mohamed Amine Ben Hamida</t>
  </si>
  <si>
    <t>Odiljon Hamrobekov</t>
  </si>
  <si>
    <t>Lee Han-beom</t>
  </si>
  <si>
    <t>Grant Hanley</t>
  </si>
  <si>
    <t>Sontje Hansen</t>
  </si>
  <si>
    <t>Mohamed Hany</t>
  </si>
  <si>
    <t>Moteb Al-Harbi</t>
  </si>
  <si>
    <t>Saleh Hardani</t>
  </si>
  <si>
    <t>Carlos Harvey</t>
  </si>
  <si>
    <t>Akam Hashim</t>
  </si>
  <si>
    <t>Jalal Hassan</t>
  </si>
  <si>
    <t>Abdulaziz Hatem</t>
  </si>
  <si>
    <t>Jorrel Hato</t>
  </si>
  <si>
    <t>Kai Havertz</t>
  </si>
  <si>
    <t>Hassan Al-Haydos</t>
  </si>
  <si>
    <t>Jan Paul van Hecke</t>
  </si>
  <si>
    <t>Hwang Hee-chan</t>
  </si>
  <si>
    <t>Torbjorn Heggem</t>
  </si>
  <si>
    <t>Alaa Al Hejji</t>
  </si>
  <si>
    <t>Jordan Henderson</t>
  </si>
  <si>
    <t>Jack Hendry</t>
  </si>
  <si>
    <t>Luiz Henrique</t>
  </si>
  <si>
    <t>Theo Hernandez</t>
  </si>
  <si>
    <t>Lucas Herrington</t>
  </si>
  <si>
    <t>Son Heung-min</t>
  </si>
  <si>
    <t>Aaron Hickey</t>
  </si>
  <si>
    <t>Isak Hien</t>
  </si>
  <si>
    <t>Piero Hincapie</t>
  </si>
  <si>
    <t>Adam Hloek</t>
  </si>
  <si>
    <t>Toma Hole</t>
  </si>
  <si>
    <t>Amirhossein Hosseinzadeh</t>
  </si>
  <si>
    <t>Robin Hrana?</t>
  </si>
  <si>
    <t>Ajdin Hrustic</t>
  </si>
  <si>
    <t>Cesar Huerta</t>
  </si>
  <si>
    <t>Al-Hashmi Al-Hussain</t>
  </si>
  <si>
    <t>Ayman Hussein</t>
  </si>
  <si>
    <t>Oh Hyeon-gyu</t>
  </si>
  <si>
    <t>Yang Hyun-jun</t>
  </si>
  <si>
    <t>Roger Ibanez</t>
  </si>
  <si>
    <t>Yasser Ibrahim</t>
  </si>
  <si>
    <t>Hwang In-beom</t>
  </si>
  <si>
    <t>Christ Inao Oulai</t>
  </si>
  <si>
    <t>Zidane Iqbal</t>
  </si>
  <si>
    <t>Nestory Irankunda</t>
  </si>
  <si>
    <t>Jackson Irvine</t>
  </si>
  <si>
    <t>Alexander Isak</t>
  </si>
  <si>
    <t>Wilson Isidor</t>
  </si>
  <si>
    <t>Jamshid Iskanderov</t>
  </si>
  <si>
    <t>Zaid Ismail</t>
  </si>
  <si>
    <t>Ko Itakura</t>
  </si>
  <si>
    <t>Jacob Italiano</t>
  </si>
  <si>
    <t>Hiroki Ito</t>
  </si>
  <si>
    <t>Junya It?</t>
  </si>
  <si>
    <t>Cedric Itten</t>
  </si>
  <si>
    <t>Nicolas Jackson</t>
  </si>
  <si>
    <t>Lee Jae-sung</t>
  </si>
  <si>
    <t>Alireza Jahanbakhsh</t>
  </si>
  <si>
    <t>Ismail Jakobs</t>
  </si>
  <si>
    <t>Reece James</t>
  </si>
  <si>
    <t>Amer Jamous</t>
  </si>
  <si>
    <t>Luca Jaquez</t>
  </si>
  <si>
    <t>Ardon Jashari</t>
  </si>
  <si>
    <t>Ali Jasim</t>
  </si>
  <si>
    <t>Danley Jean-Jacques</t>
  </si>
  <si>
    <t>Eom Ji-sung</t>
  </si>
  <si>
    <t>Raul Jimenez</t>
  </si>
  <si>
    <t>Kim Jin-gyu</t>
  </si>
  <si>
    <t>Park Jinseob</t>
  </si>
  <si>
    <t>Ruslanbek Jiyanov</t>
  </si>
  <si>
    <t>Alistair Johnston</t>
  </si>
  <si>
    <t>Frenkie de Jong</t>
  </si>
  <si>
    <t>Lenny Joseph</t>
  </si>
  <si>
    <t>Edmilson Junior</t>
  </si>
  <si>
    <t>Vinicius Junior</t>
  </si>
  <si>
    <t>Elijah Just</t>
  </si>
  <si>
    <t>Musab Al Juwayr</t>
  </si>
  <si>
    <t>Ayoub El Kaabi</t>
  </si>
  <si>
    <t>Ozan Kabak</t>
  </si>
  <si>
    <t>Ferdi Kadioglu</t>
  </si>
  <si>
    <t>Kaku</t>
  </si>
  <si>
    <t>Saa Kalajdi?</t>
  </si>
  <si>
    <t>Gedeon Kalulu</t>
  </si>
  <si>
    <t>Daichi Kamada</t>
  </si>
  <si>
    <t>Hossein Kanaanizadegan</t>
  </si>
  <si>
    <t>Harry Kane</t>
  </si>
  <si>
    <t>Lee Kang-in</t>
  </si>
  <si>
    <t>Mohamed Kanno</t>
  </si>
  <si>
    <t>Steve Kapuadi</t>
  </si>
  <si>
    <t>Bekhruz Karimov</t>
  </si>
  <si>
    <t>Jesper Karlstrom</t>
  </si>
  <si>
    <t>Gervane Kastaneer</t>
  </si>
  <si>
    <t>Nikola Kati?</t>
  </si>
  <si>
    <t>Edo Kayembe</t>
  </si>
  <si>
    <t>Joris Kayembe</t>
  </si>
  <si>
    <t>Franck Kessie</t>
  </si>
  <si>
    <t>Abdullah Al-Khaibari</t>
  </si>
  <si>
    <t>Shoja' Khalilzadeh</t>
  </si>
  <si>
    <t>Dostonbek Khamdamov</t>
  </si>
  <si>
    <t>Bilal El Khannouss</t>
  </si>
  <si>
    <t>Rani Khedira</t>
  </si>
  <si>
    <t>Boualem Khoukhi</t>
  </si>
  <si>
    <t>Abdukodir Khusanov</t>
  </si>
  <si>
    <t>Joshua Kimmich</t>
  </si>
  <si>
    <t>Justin Kluivert</t>
  </si>
  <si>
    <t>Gregor Kobel</t>
  </si>
  <si>
    <t>Orkun Kokcu</t>
  </si>
  <si>
    <t>Sead Kolainac</t>
  </si>
  <si>
    <t>Ghislain Konan</t>
  </si>
  <si>
    <t>Ibrahima Konate</t>
  </si>
  <si>
    <t>Ismael Kone</t>
  </si>
  <si>
    <t>Manu Kone</t>
  </si>
  <si>
    <t>Ezri Konsa</t>
  </si>
  <si>
    <t>Teun Koopmeiners</t>
  </si>
  <si>
    <t>Odilon Kossounou</t>
  </si>
  <si>
    <t>Kalidou Koulibaly</t>
  </si>
  <si>
    <t>Jules Kounde</t>
  </si>
  <si>
    <t>Mateo Kova?i?</t>
  </si>
  <si>
    <t>Matej Kovar</t>
  </si>
  <si>
    <t>Andrej Kramari?</t>
  </si>
  <si>
    <t>Ladislav Krej?i</t>
  </si>
  <si>
    <t>Takefusa Kubo</t>
  </si>
  <si>
    <t>Brandley Kuwas</t>
  </si>
  <si>
    <t>Prince Kwabena Adu</t>
  </si>
  <si>
    <t>Maxence Lacroix</t>
  </si>
  <si>
    <t>Gustaf Lagerbielke</t>
  </si>
  <si>
    <t>Konrad Laimer</t>
  </si>
  <si>
    <t>Ali Lajami</t>
  </si>
  <si>
    <t>Noa Lang</t>
  </si>
  <si>
    <t>Sondre Langas</t>
  </si>
  <si>
    <t>Aymeric Laporte</t>
  </si>
  <si>
    <t>Cyle Larin</t>
  </si>
  <si>
    <t>Richie Laryea</t>
  </si>
  <si>
    <t>Mohanad Lasheen</t>
  </si>
  <si>
    <t>Issa Laye</t>
  </si>
  <si>
    <t>Rafael Leao</t>
  </si>
  <si>
    <t>Mathew Leckie</t>
  </si>
  <si>
    <t>Jefferson Lerma</t>
  </si>
  <si>
    <t>Jamie Leweling</t>
  </si>
  <si>
    <t>Philipp Lienhart</t>
  </si>
  <si>
    <t>Victor Lindelof</t>
  </si>
  <si>
    <t>Erik Lira</t>
  </si>
  <si>
    <t>Dominik Livakovi?</t>
  </si>
  <si>
    <t>Dailon Livramento</t>
  </si>
  <si>
    <t>Marcos Llorente</t>
  </si>
  <si>
    <t>Giovani Lo Celso</t>
  </si>
  <si>
    <t>Jurgen Locadia</t>
  </si>
  <si>
    <t>Azarias Londono</t>
  </si>
  <si>
    <t>Sidny Lopes Cabral</t>
  </si>
  <si>
    <t>Flaco Lopez</t>
  </si>
  <si>
    <t>Derrick Luckassen</t>
  </si>
  <si>
    <t>Jhon Lucumi</t>
  </si>
  <si>
    <t>Jose Luis Rodriguez</t>
  </si>
  <si>
    <t>Romelu Lukaku</t>
  </si>
  <si>
    <t>Dodi Lukebakio</t>
  </si>
  <si>
    <t>Jovo Luki?</t>
  </si>
  <si>
    <t>Alexis Mac Allister</t>
  </si>
  <si>
    <t>Deiver Machado</t>
  </si>
  <si>
    <t>Shuto Machino</t>
  </si>
  <si>
    <t>Assim Madibo</t>
  </si>
  <si>
    <t>Noni Madueke</t>
  </si>
  <si>
    <t>Daizen Maeda</t>
  </si>
  <si>
    <t>Gabriel Magalhaes</t>
  </si>
  <si>
    <t>Ermin Mahmi?</t>
  </si>
  <si>
    <t>Hadj Mahmoud</t>
  </si>
  <si>
    <t>Riyad Mahrez</t>
  </si>
  <si>
    <t>Alexandro Maidana</t>
  </si>
  <si>
    <t>Mike Maignan</t>
  </si>
  <si>
    <t>Evidence Makgopa</t>
  </si>
  <si>
    <t>Ahmed Maknzi</t>
  </si>
  <si>
    <t>Donyell Malen</t>
  </si>
  <si>
    <t>Arjan Malic</t>
  </si>
  <si>
    <t>Mohamed Manai</t>
  </si>
  <si>
    <t>Aissa Mandi</t>
  </si>
  <si>
    <t>Sadio Mane</t>
  </si>
  <si>
    <t>Juan Manuel Sanabria</t>
  </si>
  <si>
    <t>Johan Manzambi</t>
  </si>
  <si>
    <t>Mahmoud Al-Mardi</t>
  </si>
  <si>
    <t>Jearl Margaritha</t>
  </si>
  <si>
    <t>Omar Marmoush</t>
  </si>
  <si>
    <t>Marquinhos</t>
  </si>
  <si>
    <t>Gabriel Martinelli</t>
  </si>
  <si>
    <t>Guillermo Martinez Ayala</t>
  </si>
  <si>
    <t>Cristian Martinez</t>
  </si>
  <si>
    <t>Emiliano Martinez</t>
  </si>
  <si>
    <t>Lautaro Martinez</t>
  </si>
  <si>
    <t>Lisandro Martinez</t>
  </si>
  <si>
    <t>Thapelo Maseko</t>
  </si>
  <si>
    <t>Hazem Mastouri</t>
  </si>
  <si>
    <t>Arthur Masuaku</t>
  </si>
  <si>
    <t>Igor Matanovi?</t>
  </si>
  <si>
    <t>Pape Matar Sarr</t>
  </si>
  <si>
    <t>Jean-Philippe Mateta</t>
  </si>
  <si>
    <t>Mauricio</t>
  </si>
  <si>
    <t>Fiston Mayele</t>
  </si>
  <si>
    <t>Ibrahim Maza</t>
  </si>
  <si>
    <t>Noussair Mazraoui</t>
  </si>
  <si>
    <t>Kylian Mbappe</t>
  </si>
  <si>
    <t>Thalente Mbatha</t>
  </si>
  <si>
    <t>Ibrahim Mbaye</t>
  </si>
  <si>
    <t>Chancel Mbemba</t>
  </si>
  <si>
    <t>Mbekezeli Mbokazi</t>
  </si>
  <si>
    <t>Nathanael Mbuku</t>
  </si>
  <si>
    <t>Callum McCowatt</t>
  </si>
  <si>
    <t>John McGinn</t>
  </si>
  <si>
    <t>Scott McKenna</t>
  </si>
  <si>
    <t>Weston McKennie</t>
  </si>
  <si>
    <t>Mark McKenzie</t>
  </si>
  <si>
    <t>Kenny McLean</t>
  </si>
  <si>
    <t>Scott McTominay</t>
  </si>
  <si>
    <t>Brandon Mechele</t>
  </si>
  <si>
    <t>Facundo Medina</t>
  </si>
  <si>
    <t>Hannibal Mejbri</t>
  </si>
  <si>
    <t>Amar Memi?</t>
  </si>
  <si>
    <t>Memphis</t>
  </si>
  <si>
    <t>Sultan Mendash</t>
  </si>
  <si>
    <t>Lucas Mendes</t>
  </si>
  <si>
    <t>Nuno Mendes</t>
  </si>
  <si>
    <t>Ryan Mendes</t>
  </si>
  <si>
    <t>Edouard Mendy</t>
  </si>
  <si>
    <t>Gideon Mensah</t>
  </si>
  <si>
    <t>Mikel Merino</t>
  </si>
  <si>
    <t>Lionel Messi</t>
  </si>
  <si>
    <t>Connor Metcalfe</t>
  </si>
  <si>
    <t>Thomas Meunier</t>
  </si>
  <si>
    <t>Liam Millar</t>
  </si>
  <si>
    <t>Kim Min-jae</t>
  </si>
  <si>
    <t>Alan Minda</t>
  </si>
  <si>
    <t>Aubrey Modiba</t>
  </si>
  <si>
    <t>Luka Modri?</t>
  </si>
  <si>
    <t>Relebohile Mofokeng</t>
  </si>
  <si>
    <t>Shahriar Moghanlou</t>
  </si>
  <si>
    <t>Milad Mohammadi</t>
  </si>
  <si>
    <t>Mohammad Mohebi</t>
  </si>
  <si>
    <t>Johan Mojica</t>
  </si>
  <si>
    <t>Teboho Mokoena</t>
  </si>
  <si>
    <t>Nahuel Molina</t>
  </si>
  <si>
    <t>Jamiro Monteiro</t>
  </si>
  <si>
    <t>Cesar Montes</t>
  </si>
  <si>
    <t>Gonzalo Montiel</t>
  </si>
  <si>
    <t>Kim Moon-hwan</t>
  </si>
  <si>
    <t>Gilberto Mora</t>
  </si>
  <si>
    <t>Steven Moreira</t>
  </si>
  <si>
    <t>Tshepang Moremi</t>
  </si>
  <si>
    <t>Orlando Mosquera</t>
  </si>
  <si>
    <t>Samir El Mourabet</t>
  </si>
  <si>
    <t>Samuel Moutoussamy</t>
  </si>
  <si>
    <t>Akmal Mozgovoy</t>
  </si>
  <si>
    <t>Lionel Mpasi</t>
  </si>
  <si>
    <t>Khuliso Mudau</t>
  </si>
  <si>
    <t>Tarik Muharemovic</t>
  </si>
  <si>
    <t>Miro Muheim</t>
  </si>
  <si>
    <t>Ngal'Ayel Mukau</t>
  </si>
  <si>
    <t>Mert Muldur</t>
  </si>
  <si>
    <t>Daniel Munoz</t>
  </si>
  <si>
    <t>Petar Musa</t>
  </si>
  <si>
    <t>Jamal Musiala</t>
  </si>
  <si>
    <t>Fernando Muslera</t>
  </si>
  <si>
    <t>Phillipp Mwene</t>
  </si>
  <si>
    <t>David Moller Wolfe</t>
  </si>
  <si>
    <t>Y?to Nagatomo</t>
  </si>
  <si>
    <t>Keito Nakamura</t>
  </si>
  <si>
    <t>Abdallah Nasib</t>
  </si>
  <si>
    <t>Sherzod Nasrullaev</t>
  </si>
  <si>
    <t>Duckens Nazon</t>
  </si>
  <si>
    <t>Iliman Ndiaye</t>
  </si>
  <si>
    <t>Dan Ndoye</t>
  </si>
  <si>
    <t>Ali Nemati</t>
  </si>
  <si>
    <t>Abduvohid Nematov</t>
  </si>
  <si>
    <t>Pedro Neto</t>
  </si>
  <si>
    <t>Manuel Neuer</t>
  </si>
  <si>
    <t>Joao Neves</t>
  </si>
  <si>
    <t>Ruben Neves</t>
  </si>
  <si>
    <t>Neymar</t>
  </si>
  <si>
    <t>Nathan Ngoy</t>
  </si>
  <si>
    <t>Moussa Niakhate</t>
  </si>
  <si>
    <t>Felix Nmecha</t>
  </si>
  <si>
    <t>Kristoffer Nordfeldt</t>
  </si>
  <si>
    <t>Tyrese Noslin</t>
  </si>
  <si>
    <t>Ernest Nuamah</t>
  </si>
  <si>
    <t>Matheus Nunes</t>
  </si>
  <si>
    <t>Darwin Nunez</t>
  </si>
  <si>
    <t>Antonio Nusa</t>
  </si>
  <si>
    <t>Benjamin Nygren</t>
  </si>
  <si>
    <t>Orjan Nyland</t>
  </si>
  <si>
    <t>Aiden O'Neill</t>
  </si>
  <si>
    <t>Nico O'Reilly</t>
  </si>
  <si>
    <t>Salim Obaid</t>
  </si>
  <si>
    <t>Armando Obispo</t>
  </si>
  <si>
    <t>Guillermo Ochoa</t>
  </si>
  <si>
    <t>K?ki Ogawa</t>
  </si>
  <si>
    <t>Braian Ojeda</t>
  </si>
  <si>
    <t>Ime Okon</t>
  </si>
  <si>
    <t>Paul Okon-Engstler</t>
  </si>
  <si>
    <t>Ben Old</t>
  </si>
  <si>
    <t>Michael Olise</t>
  </si>
  <si>
    <t>Mathias Olivera</t>
  </si>
  <si>
    <t>Dani Olmo</t>
  </si>
  <si>
    <t>Tani Oluwaseyi</t>
  </si>
  <si>
    <t>Ali Olwan</t>
  </si>
  <si>
    <t>Amadou Onana</t>
  </si>
  <si>
    <t>Christopher Operi</t>
  </si>
  <si>
    <t>Jerome Opoku</t>
  </si>
  <si>
    <t>Joel Ordonez</t>
  </si>
  <si>
    <t>Jonathan Osorio</t>
  </si>
  <si>
    <t>Nicolas Otamendi</t>
  </si>
  <si>
    <t>Ayoub Al-Oui</t>
  </si>
  <si>
    <t>Azzedine Ounahi</t>
  </si>
  <si>
    <t>Mohammed Al-Owais</t>
  </si>
  <si>
    <t>Elisha Owusu</t>
  </si>
  <si>
    <t>Mikel Oyarzabal</t>
  </si>
  <si>
    <t>Salih Ozcan</t>
  </si>
  <si>
    <t>Willian Pacho</t>
  </si>
  <si>
    <t>Exequiel Palacios</t>
  </si>
  <si>
    <t>Lucas Paqueta</t>
  </si>
  <si>
    <t>Leandro Paredes</t>
  </si>
  <si>
    <t>Thomas Partey</t>
  </si>
  <si>
    <t>Marco Paali?</t>
  </si>
  <si>
    <t>Mario Paali?</t>
  </si>
  <si>
    <t>Nathan Patterson</t>
  </si>
  <si>
    <t>Joao Paulo Fernandes</t>
  </si>
  <si>
    <t>Aleksandar Pavlovic</t>
  </si>
  <si>
    <t>Tim Payne</t>
  </si>
  <si>
    <t>Nicolas Paz</t>
  </si>
  <si>
    <t>Marcus Pedersen</t>
  </si>
  <si>
    <t>Pedri</t>
  </si>
  <si>
    <t>Nicolas Pepe</t>
  </si>
  <si>
    <t>Ricardo Pepi</t>
  </si>
  <si>
    <t>Kojo Peprah Oppong</t>
  </si>
  <si>
    <t>Ivan Perii?</t>
  </si>
  <si>
    <t>Jens Petter Hauge</t>
  </si>
  <si>
    <t>Charles Pickel</t>
  </si>
  <si>
    <t>Jordan Pickford</t>
  </si>
  <si>
    <t>Pico</t>
  </si>
  <si>
    <t>Frantzdy Pierrot</t>
  </si>
  <si>
    <t>Kevin Pina</t>
  </si>
  <si>
    <t>Wagner Pina</t>
  </si>
  <si>
    <t>Orbelin Pineda</t>
  </si>
  <si>
    <t>Yeremy Pino</t>
  </si>
  <si>
    <t>Isidro Pitta</t>
  </si>
  <si>
    <t>Johny Placide</t>
  </si>
  <si>
    <t>Gonzalo Plata</t>
  </si>
  <si>
    <t>Marin Pongra?i?</t>
  </si>
  <si>
    <t>Jackson Porozo</t>
  </si>
  <si>
    <t>Pedro Porro</t>
  </si>
  <si>
    <t>Stefan Posch</t>
  </si>
  <si>
    <t>Alexander Prass</t>
  </si>
  <si>
    <t>Angelo Preciado</t>
  </si>
  <si>
    <t>Ruben Providence</t>
  </si>
  <si>
    <t>Luka Provod</t>
  </si>
  <si>
    <t>Gustavo Puerta</t>
  </si>
  <si>
    <t>Christian Pulisic</t>
  </si>
  <si>
    <t>Ahmed Qasem</t>
  </si>
  <si>
    <t>Jarell Quansah</t>
  </si>
  <si>
    <t>Julian Quinones</t>
  </si>
  <si>
    <t>Alberto Quintero</t>
  </si>
  <si>
    <t>Juan Quintero</t>
  </si>
  <si>
    <t>Ramy Rabia</t>
  </si>
  <si>
    <t>Adrien Rabiot</t>
  </si>
  <si>
    <t>Stjepan Radelji?</t>
  </si>
  <si>
    <t>Soufiane Rahimi</t>
  </si>
  <si>
    <t>Abdul Rahman Baba</t>
  </si>
  <si>
    <t>Anthony Ralston</t>
  </si>
  <si>
    <t>Goncalo Ramos</t>
  </si>
  <si>
    <t>Jiovany Ramos</t>
  </si>
  <si>
    <t>Jesse Randall</t>
  </si>
  <si>
    <t>Raul Rangel</t>
  </si>
  <si>
    <t>Raphinha</t>
  </si>
  <si>
    <t>Nizar Al Rashdan</t>
  </si>
  <si>
    <t>Marcus Rashford</t>
  </si>
  <si>
    <t>Nicolas Raskin</t>
  </si>
  <si>
    <t>David Raum</t>
  </si>
  <si>
    <t>Noor Al Rawabdeh</t>
  </si>
  <si>
    <t>Rayan</t>
  </si>
  <si>
    <t>Iqraam Rayners</t>
  </si>
  <si>
    <t>Tim Ream</t>
  </si>
  <si>
    <t>Tijjani Reijnders</t>
  </si>
  <si>
    <t>Omar Rekik</t>
  </si>
  <si>
    <t>Israel Reyes</t>
  </si>
  <si>
    <t>Gio Reyna</t>
  </si>
  <si>
    <t>Ramin Rezaeian</t>
  </si>
  <si>
    <t>Chadi Riad</t>
  </si>
  <si>
    <t>Declan Rice</t>
  </si>
  <si>
    <t>Chris Richards</t>
  </si>
  <si>
    <t>Fabian Rieder</t>
  </si>
  <si>
    <t>Richard Rios</t>
  </si>
  <si>
    <t>Ro-Ro</t>
  </si>
  <si>
    <t>Andy Robertson</t>
  </si>
  <si>
    <t>Antonee Robinson</t>
  </si>
  <si>
    <t>Miles Robinson</t>
  </si>
  <si>
    <t>Sergio Rochet</t>
  </si>
  <si>
    <t>Rodri</t>
  </si>
  <si>
    <t>Garry Rodrigues</t>
  </si>
  <si>
    <t>Brian Rodriguez</t>
  </si>
  <si>
    <t>James Rodriguez</t>
  </si>
  <si>
    <t>Kevin Rodriguez</t>
  </si>
  <si>
    <t>Ricardo Rodriguez</t>
  </si>
  <si>
    <t>Tomas Rodriguez</t>
  </si>
  <si>
    <t>Godfried Roemeratoe</t>
  </si>
  <si>
    <t>Morgan Rogers</t>
  </si>
  <si>
    <t>Cristian Romero</t>
  </si>
  <si>
    <t>Luis Romo</t>
  </si>
  <si>
    <t>Cristiano Ronaldo</t>
  </si>
  <si>
    <t>Eloy Room</t>
  </si>
  <si>
    <t>Marten de Roon</t>
  </si>
  <si>
    <t>Saed Al-Rosan</t>
  </si>
  <si>
    <t>Antonio Rudiger</t>
  </si>
  <si>
    <t>Fabian Ruiz Pena</t>
  </si>
  <si>
    <t>Julian Ryerson</t>
  </si>
  <si>
    <t>Elias Saad</t>
  </si>
  <si>
    <t>Mustafa Saadoon</t>
  </si>
  <si>
    <t>Mahmoud Saber</t>
  </si>
  <si>
    <t>Marcel Sabitzer</t>
  </si>
  <si>
    <t>Noah Sadiki</t>
  </si>
  <si>
    <t>Michal Sadilek</t>
  </si>
  <si>
    <t>Alexis Saelemaekers</t>
  </si>
  <si>
    <t>Ismael Saibari</t>
  </si>
  <si>
    <t>Bukayo Saka</t>
  </si>
  <si>
    <t>Mohamed Salah</t>
  </si>
  <si>
    <t>Anass Salah-Eddine</t>
  </si>
  <si>
    <t>Nathan Saliba</t>
  </si>
  <si>
    <t>William Saliba</t>
  </si>
  <si>
    <t>Shurandy Sambo</t>
  </si>
  <si>
    <t>Antonio Sanabria</t>
  </si>
  <si>
    <t>Davinson Sanchez</t>
  </si>
  <si>
    <t>Jorge Sanchez</t>
  </si>
  <si>
    <t>Alex Sandro</t>
  </si>
  <si>
    <t>Leroy Sane</t>
  </si>
  <si>
    <t>Ibrahim Sangare</t>
  </si>
  <si>
    <t>Kaish? Sano</t>
  </si>
  <si>
    <t>Danilo Santos</t>
  </si>
  <si>
    <t>Douglas Santos</t>
  </si>
  <si>
    <t>Ismaila Sarr</t>
  </si>
  <si>
    <t>Farrukh Sayfiev</t>
  </si>
  <si>
    <t>Joe Scally</t>
  </si>
  <si>
    <t>Patrik Schick</t>
  </si>
  <si>
    <t>Andreas Schjelderup</t>
  </si>
  <si>
    <t>Alexander Schlager</t>
  </si>
  <si>
    <t>Xaver Schlager</t>
  </si>
  <si>
    <t>Nico Schlotterbeck</t>
  </si>
  <si>
    <t>Romano Schmid</t>
  </si>
  <si>
    <t>Kamogelo Sebelebele</t>
  </si>
  <si>
    <t>Abdoulaye Seck</t>
  </si>
  <si>
    <t>Nicolas Seiwald</t>
  </si>
  <si>
    <t>Ayumu Seko</t>
  </si>
  <si>
    <t>Egil Selvik</t>
  </si>
  <si>
    <t>Ken Sema</t>
  </si>
  <si>
    <t>Nelson Semedo</t>
  </si>
  <si>
    <t>Willy Semedo</t>
  </si>
  <si>
    <t>Antoine Semenyo</t>
  </si>
  <si>
    <t>Marvin Senaya</t>
  </si>
  <si>
    <t>Marcos Senesi</t>
  </si>
  <si>
    <t>Igor Sergeev</t>
  </si>
  <si>
    <t>Jean Seri</t>
  </si>
  <si>
    <t>Kim Seung-gyu</t>
  </si>
  <si>
    <t>Paik Seung-ho</t>
  </si>
  <si>
    <t>Jacob Shaffelburg</t>
  </si>
  <si>
    <t>Mohammed Abu Al-Shamat</t>
  </si>
  <si>
    <t>Lawrence Shankland</t>
  </si>
  <si>
    <t>Sharara</t>
  </si>
  <si>
    <t>Aimar Sher</t>
  </si>
  <si>
    <t>Kento Shiogai</t>
  </si>
  <si>
    <t>Mostafa Shobeir</t>
  </si>
  <si>
    <t>Eldor Shomurodov</t>
  </si>
  <si>
    <t>Otabek Shukurov</t>
  </si>
  <si>
    <t>Nkosinathi Sibisi</t>
  </si>
  <si>
    <t>Kwasi Sibo</t>
  </si>
  <si>
    <t>Niko Sigur</t>
  </si>
  <si>
    <t>Bernardo Silva</t>
  </si>
  <si>
    <t>Ederson Silva</t>
  </si>
  <si>
    <t>Giuliano Simeone</t>
  </si>
  <si>
    <t>Dominique Simon</t>
  </si>
  <si>
    <t>Unai Simon</t>
  </si>
  <si>
    <t>Sarpreet Singh</t>
  </si>
  <si>
    <t>Wilfried Singo</t>
  </si>
  <si>
    <t>Sphephelo Sithole</t>
  </si>
  <si>
    <t>Ellyes Skhiri</t>
  </si>
  <si>
    <t>Alexandr Sojka</t>
  </si>
  <si>
    <t>Ramon Sosa</t>
  </si>
  <si>
    <t>Toma Sou?ek</t>
  </si>
  <si>
    <t>Harry Souttar</t>
  </si>
  <si>
    <t>Djibril Sow</t>
  </si>
  <si>
    <t>Ca?lar Soyuncu</t>
  </si>
  <si>
    <t>Djed Spence</t>
  </si>
  <si>
    <t>Marko Stamenic</t>
  </si>
  <si>
    <t>Josip Stanii?</t>
  </si>
  <si>
    <t>Carl Starfelt</t>
  </si>
  <si>
    <t>Ross Stewart</t>
  </si>
  <si>
    <t>Angelo Stiller</t>
  </si>
  <si>
    <t>John Stones</t>
  </si>
  <si>
    <t>Jorgen Strand Larsen</t>
  </si>
  <si>
    <t>Elliot Stroud</t>
  </si>
  <si>
    <t>Luis Suarez</t>
  </si>
  <si>
    <t>Luka Su?i?</t>
  </si>
  <si>
    <t>Petar Su?i?</t>
  </si>
  <si>
    <t>Yukinari Sugawara</t>
  </si>
  <si>
    <t>Rebin Sulaka</t>
  </si>
  <si>
    <t>Pavel ulc</t>
  </si>
  <si>
    <t>Kamaldeen Sulemana</t>
  </si>
  <si>
    <t>Crysencio Summerville</t>
  </si>
  <si>
    <t>Ivan unji?</t>
  </si>
  <si>
    <t>Finn Surman</t>
  </si>
  <si>
    <t>Josip utalo</t>
  </si>
  <si>
    <t>Junnosuke Suzuki</t>
  </si>
  <si>
    <t>Yuito Suzuki</t>
  </si>
  <si>
    <t>Zion Suzuki</t>
  </si>
  <si>
    <t>Mattias Svanberg</t>
  </si>
  <si>
    <t>Daniel Svensson</t>
  </si>
  <si>
    <t>Alexander Sorloth</t>
  </si>
  <si>
    <t>Musa Al-Taamari</t>
  </si>
  <si>
    <t>Lee Tae-seok</t>
  </si>
  <si>
    <t>Nicolas Tagliafico</t>
  </si>
  <si>
    <t>Jonathan Tah</t>
  </si>
  <si>
    <t>Benjamin Tahirovic</t>
  </si>
  <si>
    <t>Zaid Tahseen</t>
  </si>
  <si>
    <t>Chemsdine Talbi</t>
  </si>
  <si>
    <t>Montassar Talbi</t>
  </si>
  <si>
    <t>Hassan Al Tambakti</t>
  </si>
  <si>
    <t>Ao Tanaka</t>
  </si>
  <si>
    <t>Shogo Taniguchi</t>
  </si>
  <si>
    <t>Mehdi Taremi</t>
  </si>
  <si>
    <t>Aurelien Tchouameni</t>
  </si>
  <si>
    <t>Arthur Theate</t>
  </si>
  <si>
    <t>Igor Thiago</t>
  </si>
  <si>
    <t>Malick Thiaw</t>
  </si>
  <si>
    <t>Ryan Thomas</t>
  </si>
  <si>
    <t>Brandon Thomas-Asante</t>
  </si>
  <si>
    <t>Morten Thorsby</t>
  </si>
  <si>
    <t>Kristian Thorstvedt</t>
  </si>
  <si>
    <t>Marcus Thuram</t>
  </si>
  <si>
    <t>Youri Tielemans</t>
  </si>
  <si>
    <t>Kieran Tierney</t>
  </si>
  <si>
    <t>Guus Til</t>
  </si>
  <si>
    <t>Malik Tillman</t>
  </si>
  <si>
    <t>Quinten Timber</t>
  </si>
  <si>
    <t>Takehiro Tomiyasu</t>
  </si>
  <si>
    <t>Mehdi Torabi</t>
  </si>
  <si>
    <t>Felix Torres Caicedo</t>
  </si>
  <si>
    <t>Ferran Torres</t>
  </si>
  <si>
    <t>Sebastian Tounekti</t>
  </si>
  <si>
    <t>Bazoumana Toure</t>
  </si>
  <si>
    <t>Mo Toure</t>
  </si>
  <si>
    <t>Trezeguet</t>
  </si>
  <si>
    <t>Francisco Trincao</t>
  </si>
  <si>
    <t>Leandro Trossard</t>
  </si>
  <si>
    <t>Auston Trusty</t>
  </si>
  <si>
    <t>Axel Tuanzebe</t>
  </si>
  <si>
    <t>Matt Turner</t>
  </si>
  <si>
    <t>Ayase Ueda</t>
  </si>
  <si>
    <t>Manuel Ugarte</t>
  </si>
  <si>
    <t>Deniz Undav</t>
  </si>
  <si>
    <t>Dayot Upamecano</t>
  </si>
  <si>
    <t>Jakhongir Urozov</t>
  </si>
  <si>
    <t>Oston Urunov</t>
  </si>
  <si>
    <t>Can Uzun</t>
  </si>
  <si>
    <t>Enner Valencia</t>
  </si>
  <si>
    <t>Yan Valery</t>
  </si>
  <si>
    <t>Federico Valverde</t>
  </si>
  <si>
    <t>Virgil van Dijk</t>
  </si>
  <si>
    <t>Hans Vanaken</t>
  </si>
  <si>
    <t>Guillermo Varela</t>
  </si>
  <si>
    <t>Helio Varela</t>
  </si>
  <si>
    <t>Camilo Vargas</t>
  </si>
  <si>
    <t>Obed Vargas</t>
  </si>
  <si>
    <t>Ruben Vargas</t>
  </si>
  <si>
    <t>Nikola Vasilj</t>
  </si>
  <si>
    <t>Johan Vasquez</t>
  </si>
  <si>
    <t>Alexis Vega</t>
  </si>
  <si>
    <t>Renato Veiga</t>
  </si>
  <si>
    <t>Gustavo Velasquez</t>
  </si>
  <si>
    <t>Nishan Velupillay</t>
  </si>
  <si>
    <t>Micky van de Ven</t>
  </si>
  <si>
    <t>Bart Verbruggen</t>
  </si>
  <si>
    <t>Matias Vina</t>
  </si>
  <si>
    <t>Federico Vinas</t>
  </si>
  <si>
    <t>Denis Viinsky</t>
  </si>
  <si>
    <t>Pedro Vite</t>
  </si>
  <si>
    <t>Vitinha</t>
  </si>
  <si>
    <t>Nikola Vlai?</t>
  </si>
  <si>
    <t>Cristian Volpato</t>
  </si>
  <si>
    <t>Vozinha</t>
  </si>
  <si>
    <t>Francis de Vries</t>
  </si>
  <si>
    <t>Luka Vukovi?</t>
  </si>
  <si>
    <t>Elye Wahi</t>
  </si>
  <si>
    <t>Aaron Wan-Bissaka</t>
  </si>
  <si>
    <t>Paul Wanner</t>
  </si>
  <si>
    <t>Tsuyoshi Watanabe</t>
  </si>
  <si>
    <t>Cecilio Waterman</t>
  </si>
  <si>
    <t>Ollie Watkins</t>
  </si>
  <si>
    <t>Timothy Weah</t>
  </si>
  <si>
    <t>Wout Weghorst</t>
  </si>
  <si>
    <t>Jacob Widell Zetterstrom</t>
  </si>
  <si>
    <t>Silvan Widmer</t>
  </si>
  <si>
    <t>Inaki Williams</t>
  </si>
  <si>
    <t>Nico Williams</t>
  </si>
  <si>
    <t>Ronwen Williams</t>
  </si>
  <si>
    <t>Patrick Wimmer</t>
  </si>
  <si>
    <t>Florian Wirtz</t>
  </si>
  <si>
    <t>Yoane Wissa</t>
  </si>
  <si>
    <t>Nick Woltemade</t>
  </si>
  <si>
    <t>Chris Wood</t>
  </si>
  <si>
    <t>Haji Wright</t>
  </si>
  <si>
    <t>Granit Xhaka</t>
  </si>
  <si>
    <t>Kevin Yakob</t>
  </si>
  <si>
    <t>Lamine Yamal</t>
  </si>
  <si>
    <t>Yannick</t>
  </si>
  <si>
    <t>Gessime Yassine</t>
  </si>
  <si>
    <t>John Yeboah</t>
  </si>
  <si>
    <t>Tete Yengi</t>
  </si>
  <si>
    <t>Kenan Y?ld?z</t>
  </si>
  <si>
    <t>Caleb Yirenkyi</t>
  </si>
  <si>
    <t>Seol Young-woo</t>
  </si>
  <si>
    <t>Manaf Younis</t>
  </si>
  <si>
    <t>Aria Yousefi</t>
  </si>
  <si>
    <t>Ali Yousif</t>
  </si>
  <si>
    <t>?smail Yuksek</t>
  </si>
  <si>
    <t>Utkir Yusupov</t>
  </si>
  <si>
    <t>Denis Zakaria</t>
  </si>
  <si>
    <t>Jaroslav Zeleny</t>
  </si>
  <si>
    <t>Alejandro Zendejas</t>
  </si>
  <si>
    <t>Besfort Zeneli</t>
  </si>
  <si>
    <t>Ramiz Zerrouki</t>
  </si>
  <si>
    <t>Luca Zidane</t>
  </si>
  <si>
    <t>Mostafa Ziko</t>
  </si>
  <si>
    <t>David Zima</t>
  </si>
  <si>
    <t>Zizo</t>
  </si>
  <si>
    <t>Themba Zwane</t>
  </si>
  <si>
    <t>Martin Odegaard</t>
  </si>
  <si>
    <t>Leo Ostigard</t>
  </si>
  <si>
    <t>Row Labels</t>
  </si>
  <si>
    <t>Grand Total</t>
  </si>
  <si>
    <t>RED</t>
  </si>
  <si>
    <t>YELLOW</t>
  </si>
  <si>
    <t>TOTAL</t>
  </si>
  <si>
    <t>TOTAL_CARDS</t>
  </si>
  <si>
    <t>Scotland</t>
  </si>
  <si>
    <t>England</t>
  </si>
  <si>
    <t>ST</t>
  </si>
  <si>
    <t>EN</t>
  </si>
  <si>
    <t>Average of AGE</t>
  </si>
  <si>
    <t>AVG_AGE</t>
  </si>
  <si>
    <t>AVG_DIFF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</si>
</sst>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Nation_Age!$B$1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Nation_Age!$A$2:$A$49</c:f>
              <c:strCache>
                <c:ptCount val="48"/>
                <c:pt idx="0">
                  <c:v>IR Iran</c:v>
                </c:pt>
                <c:pt idx="1">
                  <c:v>Panama</c:v>
                </c:pt>
                <c:pt idx="2">
                  <c:v>Qatar</c:v>
                </c:pt>
                <c:pt idx="3">
                  <c:v>Colombia</c:v>
                </c:pt>
                <c:pt idx="4">
                  <c:v>Cabo Verde</c:v>
                </c:pt>
                <c:pt idx="5">
                  <c:v>Congo DR</c:v>
                </c:pt>
                <c:pt idx="6">
                  <c:v>Uruguay</c:v>
                </c:pt>
                <c:pt idx="7">
                  <c:v>Scotland</c:v>
                </c:pt>
                <c:pt idx="8">
                  <c:v>Argentina</c:v>
                </c:pt>
                <c:pt idx="9">
                  <c:v>Austria</c:v>
                </c:pt>
                <c:pt idx="10">
                  <c:v>Brazil</c:v>
                </c:pt>
                <c:pt idx="11">
                  <c:v>Belgium</c:v>
                </c:pt>
                <c:pt idx="12">
                  <c:v>Switzerland</c:v>
                </c:pt>
                <c:pt idx="13">
                  <c:v>Egypt</c:v>
                </c:pt>
                <c:pt idx="14">
                  <c:v>Croatia</c:v>
                </c:pt>
                <c:pt idx="15">
                  <c:v>Jordan</c:v>
                </c:pt>
                <c:pt idx="16">
                  <c:v>Haiti</c:v>
                </c:pt>
                <c:pt idx="17">
                  <c:v>Curacao</c:v>
                </c:pt>
                <c:pt idx="18">
                  <c:v>Saudi Arabia</c:v>
                </c:pt>
                <c:pt idx="19">
                  <c:v>Paraguay</c:v>
                </c:pt>
                <c:pt idx="20">
                  <c:v>Korea Republic</c:v>
                </c:pt>
                <c:pt idx="21">
                  <c:v>Czechia</c:v>
                </c:pt>
                <c:pt idx="22">
                  <c:v>New Zealand</c:v>
                </c:pt>
                <c:pt idx="23">
                  <c:v>Germany</c:v>
                </c:pt>
                <c:pt idx="24">
                  <c:v>Uzbekistan</c:v>
                </c:pt>
                <c:pt idx="25">
                  <c:v>Senegal</c:v>
                </c:pt>
                <c:pt idx="26">
                  <c:v>Netherlands</c:v>
                </c:pt>
                <c:pt idx="27">
                  <c:v>Tunisia</c:v>
                </c:pt>
                <c:pt idx="28">
                  <c:v>Mexico</c:v>
                </c:pt>
                <c:pt idx="29">
                  <c:v>Portugal</c:v>
                </c:pt>
                <c:pt idx="30">
                  <c:v>Japan</c:v>
                </c:pt>
                <c:pt idx="31">
                  <c:v>Ghana</c:v>
                </c:pt>
                <c:pt idx="32">
                  <c:v>Sweden</c:v>
                </c:pt>
                <c:pt idx="33">
                  <c:v>England</c:v>
                </c:pt>
                <c:pt idx="34">
                  <c:v>South Africa</c:v>
                </c:pt>
                <c:pt idx="35">
                  <c:v>Ecuador</c:v>
                </c:pt>
                <c:pt idx="36">
                  <c:v>Algeria</c:v>
                </c:pt>
                <c:pt idx="37">
                  <c:v>Turkiye</c:v>
                </c:pt>
                <c:pt idx="38">
                  <c:v>United States</c:v>
                </c:pt>
                <c:pt idx="39">
                  <c:v>Canada</c:v>
                </c:pt>
                <c:pt idx="40">
                  <c:v>Norway</c:v>
                </c:pt>
                <c:pt idx="41">
                  <c:v>France</c:v>
                </c:pt>
                <c:pt idx="42">
                  <c:v>Iraq</c:v>
                </c:pt>
                <c:pt idx="43">
                  <c:v>Australia</c:v>
                </c:pt>
                <c:pt idx="44">
                  <c:v>Spain</c:v>
                </c:pt>
                <c:pt idx="45">
                  <c:v>BosniaHerz</c:v>
                </c:pt>
                <c:pt idx="46">
                  <c:v>Cote d'Ivoire</c:v>
                </c:pt>
                <c:pt idx="47">
                  <c:v>Morocco</c:v>
                </c:pt>
              </c:strCache>
            </c:strRef>
          </c:cat>
          <c:val>
            <c:numRef>
              <c:f>Nation_Age!$B$2:$B$49</c:f>
              <c:numCache>
                <c:formatCode>0.00</c:formatCode>
                <c:ptCount val="48"/>
                <c:pt idx="0">
                  <c:v>30.991999999999997</c:v>
                </c:pt>
                <c:pt idx="1">
                  <c:v>30.40349999999999</c:v>
                </c:pt>
                <c:pt idx="2">
                  <c:v>30.019545454545451</c:v>
                </c:pt>
                <c:pt idx="3">
                  <c:v>29.9255</c:v>
                </c:pt>
                <c:pt idx="4">
                  <c:v>29.919523809523813</c:v>
                </c:pt>
                <c:pt idx="5">
                  <c:v>29.135714285714286</c:v>
                </c:pt>
                <c:pt idx="6">
                  <c:v>29.131176470588233</c:v>
                </c:pt>
                <c:pt idx="7">
                  <c:v>28.971000000000004</c:v>
                </c:pt>
                <c:pt idx="8">
                  <c:v>28.839583333333326</c:v>
                </c:pt>
                <c:pt idx="9">
                  <c:v>28.820000000000004</c:v>
                </c:pt>
                <c:pt idx="10">
                  <c:v>28.803181818181816</c:v>
                </c:pt>
                <c:pt idx="11">
                  <c:v>28.794736842105269</c:v>
                </c:pt>
                <c:pt idx="12">
                  <c:v>28.756666666666668</c:v>
                </c:pt>
                <c:pt idx="13">
                  <c:v>28.684999999999995</c:v>
                </c:pt>
                <c:pt idx="14">
                  <c:v>28.646842105263161</c:v>
                </c:pt>
                <c:pt idx="15">
                  <c:v>28.635999999999996</c:v>
                </c:pt>
                <c:pt idx="16">
                  <c:v>28.630000000000003</c:v>
                </c:pt>
                <c:pt idx="17">
                  <c:v>28.605454545454549</c:v>
                </c:pt>
                <c:pt idx="18">
                  <c:v>28.533888888888882</c:v>
                </c:pt>
                <c:pt idx="19">
                  <c:v>28.532083333333336</c:v>
                </c:pt>
                <c:pt idx="20">
                  <c:v>28.266500000000001</c:v>
                </c:pt>
                <c:pt idx="21">
                  <c:v>28.185714285714283</c:v>
                </c:pt>
                <c:pt idx="22">
                  <c:v>28.105882352941173</c:v>
                </c:pt>
                <c:pt idx="23">
                  <c:v>28.026086956521741</c:v>
                </c:pt>
                <c:pt idx="24">
                  <c:v>28.002173913043475</c:v>
                </c:pt>
                <c:pt idx="25">
                  <c:v>27.959047619047617</c:v>
                </c:pt>
                <c:pt idx="26">
                  <c:v>27.930000000000003</c:v>
                </c:pt>
                <c:pt idx="27">
                  <c:v>27.903000000000002</c:v>
                </c:pt>
                <c:pt idx="28">
                  <c:v>27.861599999999999</c:v>
                </c:pt>
                <c:pt idx="29">
                  <c:v>27.727727272727272</c:v>
                </c:pt>
                <c:pt idx="30">
                  <c:v>27.580833333333327</c:v>
                </c:pt>
                <c:pt idx="31">
                  <c:v>27.395238095238092</c:v>
                </c:pt>
                <c:pt idx="32">
                  <c:v>27.384761904761906</c:v>
                </c:pt>
                <c:pt idx="33">
                  <c:v>27.241000000000003</c:v>
                </c:pt>
                <c:pt idx="34">
                  <c:v>27.202105263157897</c:v>
                </c:pt>
                <c:pt idx="35">
                  <c:v>27.154210526315794</c:v>
                </c:pt>
                <c:pt idx="36">
                  <c:v>27.130909090909089</c:v>
                </c:pt>
                <c:pt idx="37">
                  <c:v>27.086521739130436</c:v>
                </c:pt>
                <c:pt idx="38">
                  <c:v>27.055652173913042</c:v>
                </c:pt>
                <c:pt idx="39">
                  <c:v>27.047142857142859</c:v>
                </c:pt>
                <c:pt idx="40">
                  <c:v>26.987199999999998</c:v>
                </c:pt>
                <c:pt idx="41">
                  <c:v>26.841428571428569</c:v>
                </c:pt>
                <c:pt idx="42">
                  <c:v>26.778400000000001</c:v>
                </c:pt>
                <c:pt idx="43">
                  <c:v>26.543499999999995</c:v>
                </c:pt>
                <c:pt idx="44">
                  <c:v>26.54</c:v>
                </c:pt>
                <c:pt idx="45">
                  <c:v>26.472727272727273</c:v>
                </c:pt>
                <c:pt idx="46">
                  <c:v>25.885000000000002</c:v>
                </c:pt>
                <c:pt idx="47">
                  <c:v>25.659499999999998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8-4094-8AD8-A47599A1BE39}"/>
            </c:ext>
          </c:extLst>
        </c:ser>
        <c:ser>
          <c:idx val="1"/>
          <c:order val="1"/>
          <c:tx>
            <c:strRef>
              <c:f>Nation_Age!$C$1</c:f>
              <c:strCache>
                <c:ptCount val="1"/>
                <c:pt idx="0">
                  <c:v>AVG_AGE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Nation_Age!$A$2:$A$49</c:f>
              <c:strCache>
                <c:ptCount val="48"/>
                <c:pt idx="0">
                  <c:v>IR Iran</c:v>
                </c:pt>
                <c:pt idx="1">
                  <c:v>Panama</c:v>
                </c:pt>
                <c:pt idx="2">
                  <c:v>Qatar</c:v>
                </c:pt>
                <c:pt idx="3">
                  <c:v>Colombia</c:v>
                </c:pt>
                <c:pt idx="4">
                  <c:v>Cabo Verde</c:v>
                </c:pt>
                <c:pt idx="5">
                  <c:v>Congo DR</c:v>
                </c:pt>
                <c:pt idx="6">
                  <c:v>Uruguay</c:v>
                </c:pt>
                <c:pt idx="7">
                  <c:v>Scotland</c:v>
                </c:pt>
                <c:pt idx="8">
                  <c:v>Argentina</c:v>
                </c:pt>
                <c:pt idx="9">
                  <c:v>Austria</c:v>
                </c:pt>
                <c:pt idx="10">
                  <c:v>Brazil</c:v>
                </c:pt>
                <c:pt idx="11">
                  <c:v>Belgium</c:v>
                </c:pt>
                <c:pt idx="12">
                  <c:v>Switzerland</c:v>
                </c:pt>
                <c:pt idx="13">
                  <c:v>Egypt</c:v>
                </c:pt>
                <c:pt idx="14">
                  <c:v>Croatia</c:v>
                </c:pt>
                <c:pt idx="15">
                  <c:v>Jordan</c:v>
                </c:pt>
                <c:pt idx="16">
                  <c:v>Haiti</c:v>
                </c:pt>
                <c:pt idx="17">
                  <c:v>Curacao</c:v>
                </c:pt>
                <c:pt idx="18">
                  <c:v>Saudi Arabia</c:v>
                </c:pt>
                <c:pt idx="19">
                  <c:v>Paraguay</c:v>
                </c:pt>
                <c:pt idx="20">
                  <c:v>Korea Republic</c:v>
                </c:pt>
                <c:pt idx="21">
                  <c:v>Czechia</c:v>
                </c:pt>
                <c:pt idx="22">
                  <c:v>New Zealand</c:v>
                </c:pt>
                <c:pt idx="23">
                  <c:v>Germany</c:v>
                </c:pt>
                <c:pt idx="24">
                  <c:v>Uzbekistan</c:v>
                </c:pt>
                <c:pt idx="25">
                  <c:v>Senegal</c:v>
                </c:pt>
                <c:pt idx="26">
                  <c:v>Netherlands</c:v>
                </c:pt>
                <c:pt idx="27">
                  <c:v>Tunisia</c:v>
                </c:pt>
                <c:pt idx="28">
                  <c:v>Mexico</c:v>
                </c:pt>
                <c:pt idx="29">
                  <c:v>Portugal</c:v>
                </c:pt>
                <c:pt idx="30">
                  <c:v>Japan</c:v>
                </c:pt>
                <c:pt idx="31">
                  <c:v>Ghana</c:v>
                </c:pt>
                <c:pt idx="32">
                  <c:v>Sweden</c:v>
                </c:pt>
                <c:pt idx="33">
                  <c:v>England</c:v>
                </c:pt>
                <c:pt idx="34">
                  <c:v>South Africa</c:v>
                </c:pt>
                <c:pt idx="35">
                  <c:v>Ecuador</c:v>
                </c:pt>
                <c:pt idx="36">
                  <c:v>Algeria</c:v>
                </c:pt>
                <c:pt idx="37">
                  <c:v>Turkiye</c:v>
                </c:pt>
                <c:pt idx="38">
                  <c:v>United States</c:v>
                </c:pt>
                <c:pt idx="39">
                  <c:v>Canada</c:v>
                </c:pt>
                <c:pt idx="40">
                  <c:v>Norway</c:v>
                </c:pt>
                <c:pt idx="41">
                  <c:v>France</c:v>
                </c:pt>
                <c:pt idx="42">
                  <c:v>Iraq</c:v>
                </c:pt>
                <c:pt idx="43">
                  <c:v>Australia</c:v>
                </c:pt>
                <c:pt idx="44">
                  <c:v>Spain</c:v>
                </c:pt>
                <c:pt idx="45">
                  <c:v>BosniaHerz</c:v>
                </c:pt>
                <c:pt idx="46">
                  <c:v>Cote d'Ivoire</c:v>
                </c:pt>
                <c:pt idx="47">
                  <c:v>Morocco</c:v>
                </c:pt>
              </c:strCache>
            </c:strRef>
          </c:cat>
          <c:val>
            <c:numRef>
              <c:f>Nation_Age!$C$2:$C$49</c:f>
              <c:numCache>
                <c:formatCode>General</c:formatCode>
                <c:ptCount val="48"/>
                <c:pt idx="0">
                  <c:v>28.06</c:v>
                </c:pt>
                <c:pt idx="1">
                  <c:v>28.06</c:v>
                </c:pt>
                <c:pt idx="2">
                  <c:v>28.06</c:v>
                </c:pt>
                <c:pt idx="3">
                  <c:v>28.06</c:v>
                </c:pt>
                <c:pt idx="4">
                  <c:v>28.06</c:v>
                </c:pt>
                <c:pt idx="5">
                  <c:v>28.06</c:v>
                </c:pt>
                <c:pt idx="6">
                  <c:v>28.06</c:v>
                </c:pt>
                <c:pt idx="7">
                  <c:v>28.06</c:v>
                </c:pt>
                <c:pt idx="8">
                  <c:v>28.06</c:v>
                </c:pt>
                <c:pt idx="9">
                  <c:v>28.06</c:v>
                </c:pt>
                <c:pt idx="10">
                  <c:v>28.06</c:v>
                </c:pt>
                <c:pt idx="11">
                  <c:v>28.06</c:v>
                </c:pt>
                <c:pt idx="12">
                  <c:v>28.06</c:v>
                </c:pt>
                <c:pt idx="13">
                  <c:v>28.06</c:v>
                </c:pt>
                <c:pt idx="14">
                  <c:v>28.06</c:v>
                </c:pt>
                <c:pt idx="15">
                  <c:v>28.06</c:v>
                </c:pt>
                <c:pt idx="16">
                  <c:v>28.06</c:v>
                </c:pt>
                <c:pt idx="17">
                  <c:v>28.06</c:v>
                </c:pt>
                <c:pt idx="18">
                  <c:v>28.06</c:v>
                </c:pt>
                <c:pt idx="19">
                  <c:v>28.06</c:v>
                </c:pt>
                <c:pt idx="20">
                  <c:v>28.06</c:v>
                </c:pt>
                <c:pt idx="21">
                  <c:v>28.06</c:v>
                </c:pt>
                <c:pt idx="22">
                  <c:v>28.06</c:v>
                </c:pt>
                <c:pt idx="23">
                  <c:v>28.06</c:v>
                </c:pt>
                <c:pt idx="24">
                  <c:v>28.06</c:v>
                </c:pt>
                <c:pt idx="25">
                  <c:v>28.06</c:v>
                </c:pt>
                <c:pt idx="26">
                  <c:v>28.06</c:v>
                </c:pt>
                <c:pt idx="27">
                  <c:v>28.06</c:v>
                </c:pt>
                <c:pt idx="28">
                  <c:v>28.06</c:v>
                </c:pt>
                <c:pt idx="29">
                  <c:v>28.06</c:v>
                </c:pt>
                <c:pt idx="30">
                  <c:v>28.06</c:v>
                </c:pt>
                <c:pt idx="31">
                  <c:v>28.06</c:v>
                </c:pt>
                <c:pt idx="32">
                  <c:v>28.06</c:v>
                </c:pt>
                <c:pt idx="33">
                  <c:v>28.06</c:v>
                </c:pt>
                <c:pt idx="34">
                  <c:v>28.06</c:v>
                </c:pt>
                <c:pt idx="35">
                  <c:v>28.06</c:v>
                </c:pt>
                <c:pt idx="36">
                  <c:v>28.06</c:v>
                </c:pt>
                <c:pt idx="37">
                  <c:v>28.06</c:v>
                </c:pt>
                <c:pt idx="38">
                  <c:v>28.06</c:v>
                </c:pt>
                <c:pt idx="39">
                  <c:v>28.06</c:v>
                </c:pt>
                <c:pt idx="40">
                  <c:v>28.06</c:v>
                </c:pt>
                <c:pt idx="41">
                  <c:v>28.06</c:v>
                </c:pt>
                <c:pt idx="42">
                  <c:v>28.06</c:v>
                </c:pt>
                <c:pt idx="43">
                  <c:v>28.06</c:v>
                </c:pt>
                <c:pt idx="44">
                  <c:v>28.06</c:v>
                </c:pt>
                <c:pt idx="45">
                  <c:v>28.06</c:v>
                </c:pt>
                <c:pt idx="46">
                  <c:v>28.06</c:v>
                </c:pt>
                <c:pt idx="47">
                  <c:v>28.06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28-4094-8AD8-A47599A1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8392672"/>
        <c:axId val="1261187152"/>
      </c:lineChart>
      <c:catAx>
        <c:axId val="210839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261187152"/>
        <c:crosses val="autoZero"/>
        <c:auto val="1"/>
        <c:lblAlgn val="ctr"/>
        <c:lblOffset val="100"/>
        <c:noMultiLvlLbl val="0"/>
      </c:catAx>
      <c:valAx>
        <c:axId val="1261187152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21083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Nation_Cards!$B$1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Nation_Cards!$A$2:$A$47</c:f>
              <c:strCache>
                <c:ptCount val="46"/>
                <c:pt idx="0">
                  <c:v>CZ</c:v>
                </c:pt>
                <c:pt idx="1">
                  <c:v>DZ</c:v>
                </c:pt>
                <c:pt idx="2">
                  <c:v>FR</c:v>
                </c:pt>
                <c:pt idx="3">
                  <c:v>NO</c:v>
                </c:pt>
                <c:pt idx="4">
                  <c:v>TN</c:v>
                </c:pt>
                <c:pt idx="5">
                  <c:v>AR</c:v>
                </c:pt>
                <c:pt idx="6">
                  <c:v>ES</c:v>
                </c:pt>
                <c:pt idx="7">
                  <c:v>HR</c:v>
                </c:pt>
                <c:pt idx="8">
                  <c:v>MA</c:v>
                </c:pt>
                <c:pt idx="9">
                  <c:v>SN</c:v>
                </c:pt>
                <c:pt idx="10">
                  <c:v>TR</c:v>
                </c:pt>
                <c:pt idx="11">
                  <c:v>MX</c:v>
                </c:pt>
                <c:pt idx="12">
                  <c:v>CH</c:v>
                </c:pt>
                <c:pt idx="13">
                  <c:v>DE</c:v>
                </c:pt>
                <c:pt idx="14">
                  <c:v>GH</c:v>
                </c:pt>
                <c:pt idx="15">
                  <c:v>NL</c:v>
                </c:pt>
                <c:pt idx="16">
                  <c:v>BE</c:v>
                </c:pt>
                <c:pt idx="17">
                  <c:v>AT</c:v>
                </c:pt>
                <c:pt idx="18">
                  <c:v>CI</c:v>
                </c:pt>
                <c:pt idx="19">
                  <c:v>CO</c:v>
                </c:pt>
                <c:pt idx="20">
                  <c:v>CV</c:v>
                </c:pt>
                <c:pt idx="21">
                  <c:v>JO</c:v>
                </c:pt>
                <c:pt idx="22">
                  <c:v>JP</c:v>
                </c:pt>
                <c:pt idx="23">
                  <c:v>KR</c:v>
                </c:pt>
                <c:pt idx="24">
                  <c:v>NZ</c:v>
                </c:pt>
                <c:pt idx="25">
                  <c:v>PT</c:v>
                </c:pt>
                <c:pt idx="26">
                  <c:v>UZ</c:v>
                </c:pt>
                <c:pt idx="27">
                  <c:v>IQ</c:v>
                </c:pt>
                <c:pt idx="28">
                  <c:v>AU</c:v>
                </c:pt>
                <c:pt idx="29">
                  <c:v>CD</c:v>
                </c:pt>
                <c:pt idx="30">
                  <c:v>EC</c:v>
                </c:pt>
                <c:pt idx="31">
                  <c:v>PA</c:v>
                </c:pt>
                <c:pt idx="32">
                  <c:v>SE</c:v>
                </c:pt>
                <c:pt idx="33">
                  <c:v>US</c:v>
                </c:pt>
                <c:pt idx="34">
                  <c:v>QA</c:v>
                </c:pt>
                <c:pt idx="35">
                  <c:v>UY</c:v>
                </c:pt>
                <c:pt idx="36">
                  <c:v>EG</c:v>
                </c:pt>
                <c:pt idx="37">
                  <c:v>IR</c:v>
                </c:pt>
                <c:pt idx="38">
                  <c:v>SA</c:v>
                </c:pt>
                <c:pt idx="39">
                  <c:v>ZA</c:v>
                </c:pt>
                <c:pt idx="40">
                  <c:v>BA</c:v>
                </c:pt>
                <c:pt idx="41">
                  <c:v>BR</c:v>
                </c:pt>
                <c:pt idx="42">
                  <c:v>CA</c:v>
                </c:pt>
                <c:pt idx="43">
                  <c:v>CW</c:v>
                </c:pt>
                <c:pt idx="44">
                  <c:v>HT</c:v>
                </c:pt>
                <c:pt idx="45">
                  <c:v>PY</c:v>
                </c:pt>
              </c:strCache>
            </c:strRef>
          </c:cat>
          <c:val>
            <c:numRef>
              <c:f>Nation_Cards!$B$2:$B$47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F-47F4-B95B-F337B1329A47}"/>
            </c:ext>
          </c:extLst>
        </c:ser>
        <c:ser>
          <c:idx val="1"/>
          <c:order val="1"/>
          <c:tx>
            <c:strRef>
              <c:f>Nation_Cards!$C$1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Nation_Cards!$A$2:$A$47</c:f>
              <c:strCache>
                <c:ptCount val="46"/>
                <c:pt idx="0">
                  <c:v>CZ</c:v>
                </c:pt>
                <c:pt idx="1">
                  <c:v>DZ</c:v>
                </c:pt>
                <c:pt idx="2">
                  <c:v>FR</c:v>
                </c:pt>
                <c:pt idx="3">
                  <c:v>NO</c:v>
                </c:pt>
                <c:pt idx="4">
                  <c:v>TN</c:v>
                </c:pt>
                <c:pt idx="5">
                  <c:v>AR</c:v>
                </c:pt>
                <c:pt idx="6">
                  <c:v>ES</c:v>
                </c:pt>
                <c:pt idx="7">
                  <c:v>HR</c:v>
                </c:pt>
                <c:pt idx="8">
                  <c:v>MA</c:v>
                </c:pt>
                <c:pt idx="9">
                  <c:v>SN</c:v>
                </c:pt>
                <c:pt idx="10">
                  <c:v>TR</c:v>
                </c:pt>
                <c:pt idx="11">
                  <c:v>MX</c:v>
                </c:pt>
                <c:pt idx="12">
                  <c:v>CH</c:v>
                </c:pt>
                <c:pt idx="13">
                  <c:v>DE</c:v>
                </c:pt>
                <c:pt idx="14">
                  <c:v>GH</c:v>
                </c:pt>
                <c:pt idx="15">
                  <c:v>NL</c:v>
                </c:pt>
                <c:pt idx="16">
                  <c:v>BE</c:v>
                </c:pt>
                <c:pt idx="17">
                  <c:v>AT</c:v>
                </c:pt>
                <c:pt idx="18">
                  <c:v>CI</c:v>
                </c:pt>
                <c:pt idx="19">
                  <c:v>CO</c:v>
                </c:pt>
                <c:pt idx="20">
                  <c:v>CV</c:v>
                </c:pt>
                <c:pt idx="21">
                  <c:v>JO</c:v>
                </c:pt>
                <c:pt idx="22">
                  <c:v>JP</c:v>
                </c:pt>
                <c:pt idx="23">
                  <c:v>KR</c:v>
                </c:pt>
                <c:pt idx="24">
                  <c:v>NZ</c:v>
                </c:pt>
                <c:pt idx="25">
                  <c:v>PT</c:v>
                </c:pt>
                <c:pt idx="26">
                  <c:v>UZ</c:v>
                </c:pt>
                <c:pt idx="27">
                  <c:v>IQ</c:v>
                </c:pt>
                <c:pt idx="28">
                  <c:v>AU</c:v>
                </c:pt>
                <c:pt idx="29">
                  <c:v>CD</c:v>
                </c:pt>
                <c:pt idx="30">
                  <c:v>EC</c:v>
                </c:pt>
                <c:pt idx="31">
                  <c:v>PA</c:v>
                </c:pt>
                <c:pt idx="32">
                  <c:v>SE</c:v>
                </c:pt>
                <c:pt idx="33">
                  <c:v>US</c:v>
                </c:pt>
                <c:pt idx="34">
                  <c:v>QA</c:v>
                </c:pt>
                <c:pt idx="35">
                  <c:v>UY</c:v>
                </c:pt>
                <c:pt idx="36">
                  <c:v>EG</c:v>
                </c:pt>
                <c:pt idx="37">
                  <c:v>IR</c:v>
                </c:pt>
                <c:pt idx="38">
                  <c:v>SA</c:v>
                </c:pt>
                <c:pt idx="39">
                  <c:v>ZA</c:v>
                </c:pt>
                <c:pt idx="40">
                  <c:v>BA</c:v>
                </c:pt>
                <c:pt idx="41">
                  <c:v>BR</c:v>
                </c:pt>
                <c:pt idx="42">
                  <c:v>CA</c:v>
                </c:pt>
                <c:pt idx="43">
                  <c:v>CW</c:v>
                </c:pt>
                <c:pt idx="44">
                  <c:v>HT</c:v>
                </c:pt>
                <c:pt idx="45">
                  <c:v>PY</c:v>
                </c:pt>
              </c:strCache>
            </c:strRef>
          </c:cat>
          <c:val>
            <c:numRef>
              <c:f>Nation_Cards!$C$2:$C$47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5F-47F4-B95B-F337B132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02065568"/>
        <c:axId val="1261152592"/>
      </c:barChart>
      <c:catAx>
        <c:axId val="180206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152592"/>
        <c:crosses val="autoZero"/>
        <c:auto val="1"/>
        <c:lblAlgn val="ctr"/>
        <c:lblOffset val="100"/>
        <c:noMultiLvlLbl val="0"/>
      </c:catAx>
      <c:valAx>
        <c:axId val="12611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6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Nation_Goals!$B$1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Nation_Goals!$A$2:$A$49</c:f>
              <c:strCache>
                <c:ptCount val="48"/>
                <c:pt idx="0">
                  <c:v>Germany</c:v>
                </c:pt>
                <c:pt idx="1">
                  <c:v>France</c:v>
                </c:pt>
                <c:pt idx="2">
                  <c:v>Netherlands</c:v>
                </c:pt>
                <c:pt idx="3">
                  <c:v>Brazil</c:v>
                </c:pt>
                <c:pt idx="4">
                  <c:v>Canada</c:v>
                </c:pt>
                <c:pt idx="5">
                  <c:v>Japan</c:v>
                </c:pt>
                <c:pt idx="6">
                  <c:v>Senegal</c:v>
                </c:pt>
                <c:pt idx="7">
                  <c:v>Argentina</c:v>
                </c:pt>
                <c:pt idx="8">
                  <c:v>Morocco</c:v>
                </c:pt>
                <c:pt idx="9">
                  <c:v>Norway</c:v>
                </c:pt>
                <c:pt idx="10">
                  <c:v>Sweden</c:v>
                </c:pt>
                <c:pt idx="11">
                  <c:v>Switzerland</c:v>
                </c:pt>
                <c:pt idx="12">
                  <c:v>Mexico</c:v>
                </c:pt>
                <c:pt idx="13">
                  <c:v>United States</c:v>
                </c:pt>
                <c:pt idx="14">
                  <c:v>England</c:v>
                </c:pt>
                <c:pt idx="15">
                  <c:v>Algeria</c:v>
                </c:pt>
                <c:pt idx="16">
                  <c:v>Belgium</c:v>
                </c:pt>
                <c:pt idx="17">
                  <c:v>Croatia</c:v>
                </c:pt>
                <c:pt idx="18">
                  <c:v>Egypt</c:v>
                </c:pt>
                <c:pt idx="19">
                  <c:v>Portugal</c:v>
                </c:pt>
                <c:pt idx="20">
                  <c:v>Austria</c:v>
                </c:pt>
                <c:pt idx="21">
                  <c:v>BosniaHerz</c:v>
                </c:pt>
                <c:pt idx="22">
                  <c:v>Colombia</c:v>
                </c:pt>
                <c:pt idx="23">
                  <c:v>Cote d'Ivoire</c:v>
                </c:pt>
                <c:pt idx="24">
                  <c:v>New Zealand</c:v>
                </c:pt>
                <c:pt idx="25">
                  <c:v>Spain</c:v>
                </c:pt>
                <c:pt idx="26">
                  <c:v>Congo DR</c:v>
                </c:pt>
                <c:pt idx="27">
                  <c:v>IR Iran</c:v>
                </c:pt>
                <c:pt idx="28">
                  <c:v>Jordan</c:v>
                </c:pt>
                <c:pt idx="29">
                  <c:v>Paraguay</c:v>
                </c:pt>
                <c:pt idx="30">
                  <c:v>Turkiye</c:v>
                </c:pt>
                <c:pt idx="31">
                  <c:v>Uruguay</c:v>
                </c:pt>
                <c:pt idx="32">
                  <c:v>Australia</c:v>
                </c:pt>
                <c:pt idx="33">
                  <c:v>Cabo Verde</c:v>
                </c:pt>
                <c:pt idx="34">
                  <c:v>Czechia</c:v>
                </c:pt>
                <c:pt idx="35">
                  <c:v>Ecuador</c:v>
                </c:pt>
                <c:pt idx="36">
                  <c:v>Ghana</c:v>
                </c:pt>
                <c:pt idx="37">
                  <c:v>Korea Republic</c:v>
                </c:pt>
                <c:pt idx="38">
                  <c:v>Qatar</c:v>
                </c:pt>
                <c:pt idx="39">
                  <c:v>Tunisia</c:v>
                </c:pt>
                <c:pt idx="40">
                  <c:v>Uzbekistan</c:v>
                </c:pt>
                <c:pt idx="41">
                  <c:v>South Africa</c:v>
                </c:pt>
                <c:pt idx="42">
                  <c:v>Curacao</c:v>
                </c:pt>
                <c:pt idx="43">
                  <c:v>Haiti</c:v>
                </c:pt>
                <c:pt idx="44">
                  <c:v>Iraq</c:v>
                </c:pt>
                <c:pt idx="45">
                  <c:v>Saudi Arabia</c:v>
                </c:pt>
                <c:pt idx="46">
                  <c:v>Scotland</c:v>
                </c:pt>
                <c:pt idx="47">
                  <c:v>Panama</c:v>
                </c:pt>
              </c:strCache>
            </c:strRef>
          </c:cat>
          <c:val>
            <c:numRef>
              <c:f>Nation_Goals!$B$2:$B$49</c:f>
              <c:numCache>
                <c:formatCode>General</c:formatCode>
                <c:ptCount val="48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2-4C32-B656-31B7DB8B6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01996896"/>
        <c:axId val="1261006192"/>
      </c:barChart>
      <c:catAx>
        <c:axId val="180199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06192"/>
        <c:crosses val="autoZero"/>
        <c:auto val="1"/>
        <c:lblAlgn val="ctr"/>
        <c:lblOffset val="100"/>
        <c:noMultiLvlLbl val="0"/>
      </c:catAx>
      <c:valAx>
        <c:axId val="12610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9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Nation_Cards_vs_Goals!$E$1</c:f>
              <c:strCache>
                <c:ptCount val="1"/>
                <c:pt idx="0">
                  <c:v>GOALS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Nation_Cards_vs_Goals!$D$2:$D$49</c:f>
              <c:numCache>
                <c:formatCode>General</c:formatCode>
                <c:ptCount val="48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xVal>
          <c:yVal>
            <c:numRef>
              <c:f>Nation_Cards_vs_Goals!$E$2:$E$49</c:f>
              <c:numCache>
                <c:formatCode>General</c:formatCode>
                <c:ptCount val="48"/>
                <c:pt idx="0">
                  <c:v>3</c:v>
                </c:pt>
                <c:pt idx="1">
                  <c:v>9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7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8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11</c:v>
                </c:pt>
                <c:pt idx="32">
                  <c:v>10</c:v>
                </c:pt>
                <c:pt idx="33">
                  <c:v>7</c:v>
                </c:pt>
                <c:pt idx="34">
                  <c:v>6</c:v>
                </c:pt>
                <c:pt idx="35">
                  <c:v>2</c:v>
                </c:pt>
                <c:pt idx="36">
                  <c:v>8</c:v>
                </c:pt>
                <c:pt idx="37">
                  <c:v>8</c:v>
                </c:pt>
                <c:pt idx="38">
                  <c:v>7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3</c:v>
                </c:pt>
                <c:pt idx="43">
                  <c:v>10</c:v>
                </c:pt>
                <c:pt idx="44">
                  <c:v>7</c:v>
                </c:pt>
                <c:pt idx="45">
                  <c:v>5</c:v>
                </c:pt>
                <c:pt idx="46">
                  <c:v>2</c:v>
                </c:pt>
                <c:pt idx="4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3-46BA-9121-544FE4DD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70447"/>
        <c:axId val="1261174192"/>
      </c:scatterChart>
      <c:valAx>
        <c:axId val="145457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174192"/>
        <c:crosses val="autoZero"/>
        <c:crossBetween val="midCat"/>
      </c:valAx>
      <c:valAx>
        <c:axId val="12611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7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Nation_Age_vs_Goals!$C$1</c:f>
              <c:strCache>
                <c:ptCount val="1"/>
                <c:pt idx="0">
                  <c:v>GOALS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Nation_Age_vs_Goals!$B$2:$B$49</c:f>
              <c:numCache>
                <c:formatCode>0.00</c:formatCode>
                <c:ptCount val="48"/>
                <c:pt idx="0">
                  <c:v>27.130909090909089</c:v>
                </c:pt>
                <c:pt idx="1">
                  <c:v>28.839583333333326</c:v>
                </c:pt>
                <c:pt idx="2">
                  <c:v>26.543499999999995</c:v>
                </c:pt>
                <c:pt idx="3">
                  <c:v>28.820000000000004</c:v>
                </c:pt>
                <c:pt idx="4">
                  <c:v>28.794736842105269</c:v>
                </c:pt>
                <c:pt idx="5">
                  <c:v>26.472727272727273</c:v>
                </c:pt>
                <c:pt idx="6">
                  <c:v>28.803181818181816</c:v>
                </c:pt>
                <c:pt idx="7">
                  <c:v>29.919523809523813</c:v>
                </c:pt>
                <c:pt idx="8">
                  <c:v>27.047142857142859</c:v>
                </c:pt>
                <c:pt idx="9">
                  <c:v>29.9255</c:v>
                </c:pt>
                <c:pt idx="10">
                  <c:v>29.135714285714286</c:v>
                </c:pt>
                <c:pt idx="11">
                  <c:v>25.885000000000002</c:v>
                </c:pt>
                <c:pt idx="12">
                  <c:v>28.646842105263161</c:v>
                </c:pt>
                <c:pt idx="13">
                  <c:v>28.605454545454549</c:v>
                </c:pt>
                <c:pt idx="14">
                  <c:v>28.185714285714283</c:v>
                </c:pt>
                <c:pt idx="15">
                  <c:v>27.154210526315794</c:v>
                </c:pt>
                <c:pt idx="16">
                  <c:v>28.684999999999995</c:v>
                </c:pt>
                <c:pt idx="17">
                  <c:v>27.241000000000003</c:v>
                </c:pt>
                <c:pt idx="18">
                  <c:v>26.841428571428569</c:v>
                </c:pt>
                <c:pt idx="19">
                  <c:v>28.026086956521741</c:v>
                </c:pt>
                <c:pt idx="20">
                  <c:v>27.395238095238092</c:v>
                </c:pt>
                <c:pt idx="21">
                  <c:v>28.630000000000003</c:v>
                </c:pt>
                <c:pt idx="22">
                  <c:v>30.991999999999997</c:v>
                </c:pt>
                <c:pt idx="23">
                  <c:v>26.778400000000001</c:v>
                </c:pt>
                <c:pt idx="24">
                  <c:v>27.580833333333327</c:v>
                </c:pt>
                <c:pt idx="25">
                  <c:v>28.635999999999996</c:v>
                </c:pt>
                <c:pt idx="26">
                  <c:v>28.266500000000001</c:v>
                </c:pt>
                <c:pt idx="27">
                  <c:v>27.861599999999999</c:v>
                </c:pt>
                <c:pt idx="28">
                  <c:v>25.659499999999998</c:v>
                </c:pt>
                <c:pt idx="29">
                  <c:v>27.930000000000003</c:v>
                </c:pt>
                <c:pt idx="30">
                  <c:v>28.105882352941173</c:v>
                </c:pt>
                <c:pt idx="31">
                  <c:v>26.987199999999998</c:v>
                </c:pt>
                <c:pt idx="32">
                  <c:v>30.40349999999999</c:v>
                </c:pt>
                <c:pt idx="33">
                  <c:v>28.532083333333336</c:v>
                </c:pt>
                <c:pt idx="34">
                  <c:v>27.727727272727272</c:v>
                </c:pt>
                <c:pt idx="35">
                  <c:v>30.019545454545451</c:v>
                </c:pt>
                <c:pt idx="36">
                  <c:v>28.533888888888882</c:v>
                </c:pt>
                <c:pt idx="37">
                  <c:v>28.971000000000004</c:v>
                </c:pt>
                <c:pt idx="38">
                  <c:v>27.959047619047617</c:v>
                </c:pt>
                <c:pt idx="39">
                  <c:v>27.202105263157897</c:v>
                </c:pt>
                <c:pt idx="40">
                  <c:v>26.54</c:v>
                </c:pt>
                <c:pt idx="41">
                  <c:v>27.384761904761906</c:v>
                </c:pt>
                <c:pt idx="42">
                  <c:v>28.756666666666668</c:v>
                </c:pt>
                <c:pt idx="43">
                  <c:v>27.903000000000002</c:v>
                </c:pt>
                <c:pt idx="44">
                  <c:v>27.086521739130436</c:v>
                </c:pt>
                <c:pt idx="45">
                  <c:v>27.055652173913042</c:v>
                </c:pt>
                <c:pt idx="46">
                  <c:v>29.131176470588233</c:v>
                </c:pt>
                <c:pt idx="47">
                  <c:v>28.002173913043475</c:v>
                </c:pt>
              </c:numCache>
            </c:numRef>
          </c:xVal>
          <c:yVal>
            <c:numRef>
              <c:f>Nation_Age_vs_Goals!$C$2:$C$49</c:f>
              <c:numCache>
                <c:formatCode>General</c:formatCode>
                <c:ptCount val="48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9</c:v>
                </c:pt>
                <c:pt idx="7">
                  <c:v>2</c:v>
                </c:pt>
                <c:pt idx="8">
                  <c:v>8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6</c:v>
                </c:pt>
                <c:pt idx="18">
                  <c:v>10</c:v>
                </c:pt>
                <c:pt idx="19">
                  <c:v>11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8</c:v>
                </c:pt>
                <c:pt idx="25">
                  <c:v>3</c:v>
                </c:pt>
                <c:pt idx="26">
                  <c:v>2</c:v>
                </c:pt>
                <c:pt idx="27">
                  <c:v>6</c:v>
                </c:pt>
                <c:pt idx="28">
                  <c:v>7</c:v>
                </c:pt>
                <c:pt idx="29">
                  <c:v>10</c:v>
                </c:pt>
                <c:pt idx="30">
                  <c:v>4</c:v>
                </c:pt>
                <c:pt idx="31">
                  <c:v>7</c:v>
                </c:pt>
                <c:pt idx="32">
                  <c:v>0</c:v>
                </c:pt>
                <c:pt idx="33">
                  <c:v>3</c:v>
                </c:pt>
                <c:pt idx="34">
                  <c:v>5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8</c:v>
                </c:pt>
                <c:pt idx="39">
                  <c:v>2</c:v>
                </c:pt>
                <c:pt idx="40">
                  <c:v>4</c:v>
                </c:pt>
                <c:pt idx="41">
                  <c:v>7</c:v>
                </c:pt>
                <c:pt idx="42">
                  <c:v>7</c:v>
                </c:pt>
                <c:pt idx="43">
                  <c:v>2</c:v>
                </c:pt>
                <c:pt idx="44">
                  <c:v>3</c:v>
                </c:pt>
                <c:pt idx="45">
                  <c:v>6</c:v>
                </c:pt>
                <c:pt idx="46">
                  <c:v>3</c:v>
                </c:pt>
                <c:pt idx="4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B-4746-9DD3-4E9D4F657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286416"/>
        <c:axId val="1261176592"/>
      </c:scatterChart>
      <c:valAx>
        <c:axId val="2108286416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176592"/>
        <c:crosses val="autoZero"/>
        <c:crossBetween val="midCat"/>
      </c:valAx>
      <c:valAx>
        <c:axId val="12611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8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160020</xdr:rowOff>
    </xdr:from>
    <xdr:to>
      <xdr:col>22</xdr:col>
      <xdr:colOff>464820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C510E-AFBB-AC34-24B0-8EF6BC4A3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</xdr:row>
      <xdr:rowOff>53340</xdr:rowOff>
    </xdr:from>
    <xdr:to>
      <xdr:col>13</xdr:col>
      <xdr:colOff>152400</xdr:colOff>
      <xdr:row>43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1C77B-AFE4-B0EE-2913-D0318BB08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38100</xdr:rowOff>
    </xdr:from>
    <xdr:to>
      <xdr:col>17</xdr:col>
      <xdr:colOff>57150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DEE5A-6E9F-7C9F-CB74-0AD45B3E4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2</xdr:row>
      <xdr:rowOff>3810</xdr:rowOff>
    </xdr:from>
    <xdr:to>
      <xdr:col>17</xdr:col>
      <xdr:colOff>121920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9BFE2-FCE8-5FD1-6F41-36A9AF536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5</xdr:row>
      <xdr:rowOff>95250</xdr:rowOff>
    </xdr:from>
    <xdr:to>
      <xdr:col>14</xdr:col>
      <xdr:colOff>449580</xdr:colOff>
      <xdr:row>28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3D850-9926-CFBE-1677-2A5819B9B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206.548036458335" createdVersion="8" refreshedVersion="8" minRefreshableVersion="3" recordCount="1008" xr:uid="{1C9ABE6B-80A3-48AD-81CC-263DD8057039}">
  <cacheSource type="worksheet">
    <worksheetSource name="Table1"/>
  </cacheSource>
  <cacheFields count="21">
    <cacheField name="PLAYER_NAME" numFmtId="0">
      <sharedItems/>
    </cacheField>
    <cacheField name="POS" numFmtId="0">
      <sharedItems/>
    </cacheField>
    <cacheField name="TEAM" numFmtId="0">
      <sharedItems count="50">
        <s v="United States"/>
        <s v="Norway"/>
        <s v="Egypt"/>
        <s v="Tunisia"/>
        <s v="Saudi Arabia"/>
        <s v="Uzbekistan"/>
        <s v="Qatar"/>
        <s v="Jordan"/>
        <s v="Scotland"/>
        <s v="South Africa"/>
        <s v="Haiti"/>
        <s v="Cote d'Ivoire"/>
        <s v="Ghana"/>
        <s v="Switzerland"/>
        <s v="Uruguay"/>
        <s v="Canada"/>
        <s v="Algeria"/>
        <s v="Netherlands"/>
        <s v="Turkiye"/>
        <s v="France"/>
        <s v="Austria"/>
        <s v="BosniaHerz"/>
        <s v="Ecuador"/>
        <s v="Paraguay"/>
        <s v="Iraq"/>
        <s v="Sweden"/>
        <s v="IR Iran"/>
        <s v="Brazil"/>
        <s v="Argentina"/>
        <s v="Mexico"/>
        <s v="Morocco"/>
        <s v="Panama"/>
        <s v="Germany"/>
        <s v="England"/>
        <s v="Curacao"/>
        <s v="Portugal"/>
        <s v="Cabo Verde"/>
        <s v="Colombia"/>
        <s v="Spain"/>
        <s v="Congo DR"/>
        <s v="Croatia"/>
        <s v="Australia"/>
        <s v="New Zealand"/>
        <s v="Senegal"/>
        <s v="Belgium"/>
        <s v="Korea Republic"/>
        <s v="Czechia"/>
        <s v="Japan"/>
        <s v="sct Scotland" u="1"/>
        <s v="eng England" u="1"/>
      </sharedItems>
    </cacheField>
    <cacheField name="NATION" numFmtId="0">
      <sharedItems/>
    </cacheField>
    <cacheField name="AGE" numFmtId="0">
      <sharedItems containsSemiMixedTypes="0" containsString="0" containsNumber="1" minValue="17.71" maxValue="41.4"/>
    </cacheField>
    <cacheField name="AGE_GROUP" numFmtId="0">
      <sharedItems/>
    </cacheField>
    <cacheField name="MP" numFmtId="0">
      <sharedItems containsSemiMixedTypes="0" containsString="0" containsNumber="1" containsInteger="1" minValue="1" maxValue="4"/>
    </cacheField>
    <cacheField name="STARTS" numFmtId="0">
      <sharedItems containsSemiMixedTypes="0" containsString="0" containsNumber="1" containsInteger="1" minValue="0" maxValue="4"/>
    </cacheField>
    <cacheField name="MIN" numFmtId="0">
      <sharedItems containsSemiMixedTypes="0" containsString="0" containsNumber="1" containsInteger="1" minValue="1" maxValue="390"/>
    </cacheField>
    <cacheField name="90S" numFmtId="0">
      <sharedItems containsSemiMixedTypes="0" containsString="0" containsNumber="1" minValue="0" maxValue="4.3"/>
    </cacheField>
    <cacheField name="GOALS" numFmtId="0">
      <sharedItems containsSemiMixedTypes="0" containsString="0" containsNumber="1" containsInteger="1" minValue="0" maxValue="6"/>
    </cacheField>
    <cacheField name="ASSISTS" numFmtId="0">
      <sharedItems containsSemiMixedTypes="0" containsString="0" containsNumber="1" containsInteger="1" minValue="0" maxValue="4"/>
    </cacheField>
    <cacheField name="POINTS" numFmtId="0">
      <sharedItems containsSemiMixedTypes="0" containsString="0" containsNumber="1" containsInteger="1" minValue="0" maxValue="6"/>
    </cacheField>
    <cacheField name="GOALS_PK" numFmtId="0">
      <sharedItems containsSemiMixedTypes="0" containsString="0" containsNumber="1" containsInteger="1" minValue="0" maxValue="6"/>
    </cacheField>
    <cacheField name="PK" numFmtId="0">
      <sharedItems containsSemiMixedTypes="0" containsString="0" containsNumber="1" containsInteger="1" minValue="0" maxValue="1"/>
    </cacheField>
    <cacheField name="PK_ATT" numFmtId="0">
      <sharedItems containsSemiMixedTypes="0" containsString="0" containsNumber="1" containsInteger="1" minValue="0" maxValue="1"/>
    </cacheField>
    <cacheField name="YEL_CRD" numFmtId="0">
      <sharedItems containsSemiMixedTypes="0" containsString="0" containsNumber="1" containsInteger="1" minValue="0" maxValue="2"/>
    </cacheField>
    <cacheField name="RED_CRD" numFmtId="0">
      <sharedItems containsSemiMixedTypes="0" containsString="0" containsNumber="1" containsInteger="1" minValue="0" maxValue="1"/>
    </cacheField>
    <cacheField name="G_PER90" numFmtId="0">
      <sharedItems containsSemiMixedTypes="0" containsString="0" containsNumber="1" minValue="0" maxValue="10"/>
    </cacheField>
    <cacheField name="ROLE" numFmtId="0">
      <sharedItems/>
    </cacheField>
    <cacheField name="SUB_GAMES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s v="Brenden Aaronson"/>
    <s v="MF"/>
    <x v="0"/>
    <s v="US"/>
    <n v="25.69"/>
    <s v="23-27"/>
    <n v="1"/>
    <n v="1"/>
    <n v="76"/>
    <n v="0.8"/>
    <n v="0"/>
    <n v="0"/>
    <n v="0"/>
    <n v="0"/>
    <n v="0"/>
    <n v="0"/>
    <n v="0"/>
    <n v="0"/>
    <n v="0"/>
    <s v="Always Started"/>
    <n v="0"/>
  </r>
  <r>
    <s v="Thelo Aasgaard"/>
    <s v="MF"/>
    <x v="1"/>
    <s v="NO"/>
    <n v="24.16"/>
    <s v="23-27"/>
    <n v="1"/>
    <n v="1"/>
    <n v="90"/>
    <n v="1"/>
    <n v="1"/>
    <n v="0"/>
    <n v="1"/>
    <n v="1"/>
    <n v="0"/>
    <n v="0"/>
    <n v="0"/>
    <n v="0"/>
    <n v="1"/>
    <s v="Always Started"/>
    <n v="0"/>
  </r>
  <r>
    <s v="Hamza Abdelkarim"/>
    <s v="FW"/>
    <x v="2"/>
    <s v="EG"/>
    <n v="18.489999999999998"/>
    <s v="U23"/>
    <n v="3"/>
    <n v="0"/>
    <n v="45"/>
    <n v="0.5"/>
    <n v="0"/>
    <n v="0"/>
    <n v="0"/>
    <n v="0"/>
    <n v="0"/>
    <n v="0"/>
    <n v="0"/>
    <n v="0"/>
    <n v="0"/>
    <s v="Pure Sub"/>
    <n v="3"/>
  </r>
  <r>
    <s v="Hossam Abdelmaguid"/>
    <s v="DF"/>
    <x v="2"/>
    <s v="EG"/>
    <n v="25.17"/>
    <s v="23-27"/>
    <n v="1"/>
    <n v="0"/>
    <n v="5"/>
    <n v="0.1"/>
    <n v="0"/>
    <n v="0"/>
    <n v="0"/>
    <n v="0"/>
    <n v="0"/>
    <n v="0"/>
    <n v="0"/>
    <n v="0"/>
    <n v="0"/>
    <s v="Pure Sub"/>
    <n v="1"/>
  </r>
  <r>
    <s v="Mohamed Abdelmonem"/>
    <s v="DF"/>
    <x v="2"/>
    <s v="EG"/>
    <n v="27.41"/>
    <s v="27-31"/>
    <n v="2"/>
    <n v="1"/>
    <n v="14"/>
    <n v="0.2"/>
    <n v="0"/>
    <n v="0"/>
    <n v="0"/>
    <n v="0"/>
    <n v="0"/>
    <n v="0"/>
    <n v="0"/>
    <n v="0"/>
    <n v="0"/>
    <s v="Mixed"/>
    <n v="1"/>
  </r>
  <r>
    <s v="Ali Abdi"/>
    <s v="DF"/>
    <x v="3"/>
    <s v="TN"/>
    <n v="32.53"/>
    <s v="31-35"/>
    <n v="3"/>
    <n v="3"/>
    <n v="269"/>
    <n v="3"/>
    <n v="0"/>
    <n v="0"/>
    <n v="0"/>
    <n v="0"/>
    <n v="0"/>
    <n v="0"/>
    <n v="0"/>
    <n v="0"/>
    <n v="0"/>
    <s v="Always Started"/>
    <n v="0"/>
  </r>
  <r>
    <s v="Saud Abdulhamid"/>
    <s v="DF"/>
    <x v="4"/>
    <s v="SA"/>
    <n v="26.95"/>
    <s v="23-27"/>
    <n v="3"/>
    <n v="3"/>
    <n v="269"/>
    <n v="3"/>
    <n v="0"/>
    <n v="0"/>
    <n v="0"/>
    <n v="0"/>
    <n v="0"/>
    <n v="0"/>
    <n v="1"/>
    <n v="0"/>
    <n v="0"/>
    <s v="Always Started"/>
    <n v="0"/>
  </r>
  <r>
    <s v="Abdulla Abdullaev"/>
    <s v="DF"/>
    <x v="5"/>
    <s v="UZ"/>
    <n v="28.83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Yusuf Abdurisag"/>
    <s v="FW"/>
    <x v="6"/>
    <s v="QA"/>
    <n v="26.9"/>
    <s v="23-27"/>
    <n v="2"/>
    <n v="2"/>
    <n v="98"/>
    <n v="1.1000000000000001"/>
    <n v="0"/>
    <n v="0"/>
    <n v="0"/>
    <n v="0"/>
    <n v="0"/>
    <n v="0"/>
    <n v="0"/>
    <n v="0"/>
    <n v="0"/>
    <s v="Always Started"/>
    <n v="0"/>
  </r>
  <r>
    <s v="Husam Abu Dahab"/>
    <s v="DF"/>
    <x v="7"/>
    <s v="JO"/>
    <n v="26.13"/>
    <s v="23-27"/>
    <n v="2"/>
    <n v="2"/>
    <n v="178"/>
    <n v="2"/>
    <n v="0"/>
    <n v="0"/>
    <n v="0"/>
    <n v="0"/>
    <n v="0"/>
    <n v="0"/>
    <n v="1"/>
    <n v="0"/>
    <n v="0"/>
    <s v="Always Started"/>
    <n v="0"/>
  </r>
  <r>
    <s v="Mohammad Abu Hasheesh"/>
    <s v="DF"/>
    <x v="7"/>
    <s v="JO"/>
    <n v="31.14"/>
    <s v="31-35"/>
    <n v="1"/>
    <n v="0"/>
    <n v="6"/>
    <n v="0.1"/>
    <n v="0"/>
    <n v="0"/>
    <n v="0"/>
    <n v="0"/>
    <n v="0"/>
    <n v="0"/>
    <n v="0"/>
    <n v="0"/>
    <n v="0"/>
    <s v="Pure Sub"/>
    <n v="1"/>
  </r>
  <r>
    <s v="Mohannad Abu Taha"/>
    <s v="DF"/>
    <x v="7"/>
    <s v="JO"/>
    <n v="23.41"/>
    <s v="23-27"/>
    <n v="3"/>
    <n v="3"/>
    <n v="264"/>
    <n v="2.9"/>
    <n v="0"/>
    <n v="0"/>
    <n v="0"/>
    <n v="0"/>
    <n v="0"/>
    <n v="0"/>
    <n v="1"/>
    <n v="0"/>
    <n v="0"/>
    <s v="Always Started"/>
    <n v="0"/>
  </r>
  <r>
    <s v="Mo Abualnadi"/>
    <s v="DF"/>
    <x v="7"/>
    <s v="JO"/>
    <n v="25.39"/>
    <s v="23-27"/>
    <n v="1"/>
    <n v="1"/>
    <n v="71"/>
    <n v="0.8"/>
    <n v="0"/>
    <n v="0"/>
    <n v="0"/>
    <n v="0"/>
    <n v="0"/>
    <n v="0"/>
    <n v="0"/>
    <n v="0"/>
    <n v="0"/>
    <s v="Always Started"/>
    <n v="0"/>
  </r>
  <r>
    <s v="Yazeed Abulaila"/>
    <s v="GK"/>
    <x v="7"/>
    <s v="JO"/>
    <n v="33.47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Mahmoud Abunada"/>
    <s v="GK"/>
    <x v="6"/>
    <s v="QA"/>
    <n v="26.4"/>
    <s v="23-27"/>
    <n v="3"/>
    <n v="3"/>
    <n v="270"/>
    <n v="3"/>
    <n v="0"/>
    <n v="0"/>
    <n v="0"/>
    <n v="0"/>
    <n v="0"/>
    <n v="0"/>
    <n v="1"/>
    <n v="0"/>
    <n v="0"/>
    <s v="Always Started"/>
    <n v="0"/>
  </r>
  <r>
    <s v="Elias Achouri"/>
    <s v="FW,MF"/>
    <x v="3"/>
    <s v="TN"/>
    <n v="27.38"/>
    <s v="27-31"/>
    <n v="3"/>
    <n v="0"/>
    <n v="43"/>
    <n v="0.5"/>
    <n v="0"/>
    <n v="0"/>
    <n v="0"/>
    <n v="0"/>
    <n v="0"/>
    <n v="0"/>
    <n v="0"/>
    <n v="0"/>
    <n v="0"/>
    <s v="Pure Sub"/>
    <n v="3"/>
  </r>
  <r>
    <s v="Che Adams"/>
    <s v="FW"/>
    <x v="8"/>
    <s v="ST"/>
    <n v="29.96"/>
    <s v="27-31"/>
    <n v="3"/>
    <n v="2"/>
    <n v="145"/>
    <n v="1.6"/>
    <n v="0"/>
    <n v="0"/>
    <n v="0"/>
    <n v="0"/>
    <n v="0"/>
    <n v="0"/>
    <n v="0"/>
    <n v="0"/>
    <n v="0"/>
    <s v="Mixed"/>
    <n v="1"/>
  </r>
  <r>
    <s v="Jayden Adams"/>
    <s v="MF"/>
    <x v="9"/>
    <s v="ZA"/>
    <n v="25.15"/>
    <s v="23-27"/>
    <n v="3"/>
    <n v="2"/>
    <n v="116"/>
    <n v="1.3"/>
    <n v="0"/>
    <n v="0"/>
    <n v="0"/>
    <n v="0"/>
    <n v="0"/>
    <n v="0"/>
    <n v="0"/>
    <n v="0"/>
    <n v="0"/>
    <s v="Mixed"/>
    <n v="1"/>
  </r>
  <r>
    <s v="Tyler Adams"/>
    <s v="MF"/>
    <x v="0"/>
    <s v="US"/>
    <n v="27.37"/>
    <s v="27-31"/>
    <n v="2"/>
    <n v="2"/>
    <n v="180"/>
    <n v="2"/>
    <n v="0"/>
    <n v="0"/>
    <n v="0"/>
    <n v="0"/>
    <n v="0"/>
    <n v="0"/>
    <n v="1"/>
    <n v="0"/>
    <n v="0"/>
    <s v="Always Started"/>
    <n v="0"/>
  </r>
  <r>
    <s v="Ricardo Ade"/>
    <s v="DF"/>
    <x v="10"/>
    <s v="HT"/>
    <n v="36.11"/>
    <s v="35+"/>
    <n v="3"/>
    <n v="3"/>
    <n v="270"/>
    <n v="3"/>
    <n v="0"/>
    <n v="0"/>
    <n v="0"/>
    <n v="0"/>
    <n v="0"/>
    <n v="0"/>
    <n v="0"/>
    <n v="0"/>
    <n v="0"/>
    <s v="Always Started"/>
    <n v="0"/>
  </r>
  <r>
    <s v="Ibrahim Adel"/>
    <s v="MF"/>
    <x v="2"/>
    <s v="EG"/>
    <n v="25.19"/>
    <s v="23-27"/>
    <n v="1"/>
    <n v="0"/>
    <n v="3"/>
    <n v="0"/>
    <n v="0"/>
    <n v="0"/>
    <n v="0"/>
    <n v="0"/>
    <n v="0"/>
    <n v="0"/>
    <n v="0"/>
    <n v="0"/>
    <n v="0"/>
    <s v="Pure Sub"/>
    <n v="1"/>
  </r>
  <r>
    <s v="Simon Adingra"/>
    <s v="FW,MF"/>
    <x v="11"/>
    <s v="CI"/>
    <n v="24.49"/>
    <s v="23-27"/>
    <n v="1"/>
    <n v="0"/>
    <n v="16"/>
    <n v="0.2"/>
    <n v="0"/>
    <n v="0"/>
    <n v="0"/>
    <n v="0"/>
    <n v="0"/>
    <n v="0"/>
    <n v="0"/>
    <n v="0"/>
    <n v="0"/>
    <s v="Pure Sub"/>
    <n v="1"/>
  </r>
  <r>
    <s v="Jonas Adjetey"/>
    <s v="DF"/>
    <x v="12"/>
    <s v="GH"/>
    <n v="22.54"/>
    <s v="U23"/>
    <n v="3"/>
    <n v="3"/>
    <n v="225"/>
    <n v="2.5"/>
    <n v="0"/>
    <n v="0"/>
    <n v="0"/>
    <n v="0"/>
    <n v="0"/>
    <n v="0"/>
    <n v="0"/>
    <n v="0"/>
    <n v="0"/>
    <s v="Always Started"/>
    <n v="0"/>
  </r>
  <r>
    <s v="Michel Aebischer"/>
    <s v="MF,FW"/>
    <x v="13"/>
    <s v="CH"/>
    <n v="29.48"/>
    <s v="27-31"/>
    <n v="3"/>
    <n v="2"/>
    <n v="152"/>
    <n v="1.7"/>
    <n v="0"/>
    <n v="0"/>
    <n v="0"/>
    <n v="0"/>
    <n v="0"/>
    <n v="0"/>
    <n v="0"/>
    <n v="0"/>
    <n v="0"/>
    <s v="Mixed"/>
    <n v="1"/>
  </r>
  <r>
    <s v="Akram Afif"/>
    <s v="FW,MF"/>
    <x v="6"/>
    <s v="QA"/>
    <n v="29.61"/>
    <s v="27-31"/>
    <n v="3"/>
    <n v="3"/>
    <n v="238"/>
    <n v="2.6"/>
    <n v="0"/>
    <n v="0"/>
    <n v="0"/>
    <n v="0"/>
    <n v="0"/>
    <n v="0"/>
    <n v="0"/>
    <n v="0"/>
    <n v="0"/>
    <s v="Always Started"/>
    <n v="0"/>
  </r>
  <r>
    <s v="Emmanuel Agbadou"/>
    <s v="DF"/>
    <x v="11"/>
    <s v="CI"/>
    <n v="29.04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Rodrigo Aguirre"/>
    <s v="FW"/>
    <x v="14"/>
    <s v="UY"/>
    <n v="31.74"/>
    <s v="31-35"/>
    <n v="1"/>
    <n v="0"/>
    <n v="1"/>
    <n v="0"/>
    <n v="0"/>
    <n v="0"/>
    <n v="0"/>
    <n v="0"/>
    <n v="0"/>
    <n v="0"/>
    <n v="0"/>
    <n v="0"/>
    <n v="0"/>
    <s v="Pure Sub"/>
    <n v="1"/>
  </r>
  <r>
    <s v="Ali Ahmed"/>
    <s v="MF"/>
    <x v="15"/>
    <s v="CA"/>
    <n v="25.72"/>
    <s v="23-27"/>
    <n v="3"/>
    <n v="2"/>
    <n v="157"/>
    <n v="1.7"/>
    <n v="0"/>
    <n v="0"/>
    <n v="0"/>
    <n v="0"/>
    <n v="0"/>
    <n v="0"/>
    <n v="0"/>
    <n v="0"/>
    <n v="0"/>
    <s v="Mixed"/>
    <n v="1"/>
  </r>
  <r>
    <s v="Homam Ahmed"/>
    <s v="DF"/>
    <x v="6"/>
    <s v="QA"/>
    <n v="26.85"/>
    <s v="23-27"/>
    <n v="2"/>
    <n v="2"/>
    <n v="122"/>
    <n v="1.4"/>
    <n v="0"/>
    <n v="1"/>
    <n v="1"/>
    <n v="0"/>
    <n v="0"/>
    <n v="0"/>
    <n v="0"/>
    <n v="1"/>
    <n v="0"/>
    <s v="Always Started"/>
    <n v="0"/>
  </r>
  <r>
    <s v="Rayan Ait-Nouri"/>
    <s v="DF"/>
    <x v="16"/>
    <s v="DZ"/>
    <n v="25.07"/>
    <s v="23-27"/>
    <n v="3"/>
    <n v="2"/>
    <n v="194"/>
    <n v="2.2000000000000002"/>
    <n v="0"/>
    <n v="0"/>
    <n v="0"/>
    <n v="0"/>
    <n v="0"/>
    <n v="0"/>
    <n v="0"/>
    <n v="0"/>
    <n v="0"/>
    <s v="Mixed"/>
    <n v="1"/>
  </r>
  <r>
    <s v="Kristoffer Ajer"/>
    <s v="DF"/>
    <x v="1"/>
    <s v="NO"/>
    <n v="28.2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Manuel Akanji"/>
    <s v="DF"/>
    <x v="13"/>
    <s v="CH"/>
    <n v="30.95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Nathan Ake"/>
    <s v="DF"/>
    <x v="17"/>
    <s v="NL"/>
    <n v="31.36"/>
    <s v="31-35"/>
    <n v="3"/>
    <n v="2"/>
    <n v="170"/>
    <n v="1.9"/>
    <n v="0"/>
    <n v="0"/>
    <n v="0"/>
    <n v="0"/>
    <n v="0"/>
    <n v="0"/>
    <n v="0"/>
    <n v="0"/>
    <n v="0"/>
    <s v="Mixed"/>
    <n v="1"/>
  </r>
  <r>
    <s v="Yunus Akgun"/>
    <s v="MF"/>
    <x v="18"/>
    <s v="TR"/>
    <n v="25.98"/>
    <s v="23-27"/>
    <n v="2"/>
    <n v="1"/>
    <n v="88"/>
    <n v="1"/>
    <n v="0"/>
    <n v="0"/>
    <n v="0"/>
    <n v="0"/>
    <n v="0"/>
    <n v="0"/>
    <n v="1"/>
    <n v="0"/>
    <n v="0"/>
    <s v="Mixed"/>
    <n v="1"/>
  </r>
  <r>
    <s v="Maghnes Akliouche"/>
    <s v="MF"/>
    <x v="19"/>
    <s v="FR"/>
    <n v="24.34"/>
    <s v="23-27"/>
    <n v="1"/>
    <n v="0"/>
    <n v="8"/>
    <n v="0.1"/>
    <n v="0"/>
    <n v="0"/>
    <n v="0"/>
    <n v="0"/>
    <n v="0"/>
    <n v="0"/>
    <n v="0"/>
    <n v="0"/>
    <n v="0"/>
    <s v="Pure Sub"/>
    <n v="1"/>
  </r>
  <r>
    <s v="Kerem Akturko?lu"/>
    <s v="FW"/>
    <x v="18"/>
    <s v="TR"/>
    <n v="27.69"/>
    <s v="27-31"/>
    <n v="2"/>
    <n v="2"/>
    <n v="129"/>
    <n v="1.4"/>
    <n v="0"/>
    <n v="0"/>
    <n v="0"/>
    <n v="0"/>
    <n v="0"/>
    <n v="0"/>
    <n v="0"/>
    <n v="0"/>
    <n v="0"/>
    <s v="Always Started"/>
    <n v="0"/>
  </r>
  <r>
    <s v="Ahmed Alaaeldin"/>
    <s v="FW"/>
    <x v="6"/>
    <s v="QA"/>
    <n v="33.409999999999997"/>
    <s v="31-35"/>
    <n v="2"/>
    <n v="0"/>
    <n v="43"/>
    <n v="0.5"/>
    <n v="0"/>
    <n v="0"/>
    <n v="0"/>
    <n v="0"/>
    <n v="0"/>
    <n v="0"/>
    <n v="0"/>
    <n v="0"/>
    <n v="0"/>
    <s v="Pure Sub"/>
    <n v="2"/>
  </r>
  <r>
    <s v="David Alaba"/>
    <s v="DF"/>
    <x v="20"/>
    <s v="AT"/>
    <n v="34.020000000000003"/>
    <s v="31-35"/>
    <n v="3"/>
    <n v="3"/>
    <n v="185"/>
    <n v="2.1"/>
    <n v="0"/>
    <n v="1"/>
    <n v="1"/>
    <n v="0"/>
    <n v="0"/>
    <n v="0"/>
    <n v="0"/>
    <n v="0"/>
    <n v="0"/>
    <s v="Always Started"/>
    <n v="0"/>
  </r>
  <r>
    <s v="Kerim Alajbegovi?"/>
    <s v="MF"/>
    <x v="21"/>
    <s v="BA"/>
    <n v="18.77"/>
    <s v="U23"/>
    <n v="3"/>
    <n v="2"/>
    <n v="187"/>
    <n v="2.1"/>
    <n v="1"/>
    <n v="0"/>
    <n v="1"/>
    <n v="1"/>
    <n v="0"/>
    <n v="0"/>
    <n v="0"/>
    <n v="0"/>
    <n v="0.47599999999999998"/>
    <s v="Mixed"/>
    <n v="1"/>
  </r>
  <r>
    <s v="Jordy Alcivar"/>
    <s v="MF"/>
    <x v="22"/>
    <s v="EC"/>
    <n v="26.9"/>
    <s v="23-27"/>
    <n v="1"/>
    <n v="1"/>
    <n v="45"/>
    <n v="0.5"/>
    <n v="0"/>
    <n v="0"/>
    <n v="0"/>
    <n v="0"/>
    <n v="0"/>
    <n v="0"/>
    <n v="1"/>
    <n v="0"/>
    <n v="0"/>
    <s v="Always Started"/>
    <n v="0"/>
  </r>
  <r>
    <s v="Omar Alderete"/>
    <s v="DF"/>
    <x v="23"/>
    <s v="PY"/>
    <n v="29.51"/>
    <s v="27-31"/>
    <n v="3"/>
    <n v="3"/>
    <n v="263"/>
    <n v="2.9"/>
    <n v="0"/>
    <n v="0"/>
    <n v="0"/>
    <n v="0"/>
    <n v="0"/>
    <n v="0"/>
    <n v="0"/>
    <n v="0"/>
    <n v="0"/>
    <s v="Always Started"/>
    <n v="0"/>
  </r>
  <r>
    <s v="Almoez Ali"/>
    <s v="FW"/>
    <x v="6"/>
    <s v="QA"/>
    <n v="29.86"/>
    <s v="27-31"/>
    <n v="1"/>
    <n v="0"/>
    <n v="19"/>
    <n v="0.2"/>
    <n v="0"/>
    <n v="0"/>
    <n v="0"/>
    <n v="0"/>
    <n v="0"/>
    <n v="0"/>
    <n v="0"/>
    <n v="0"/>
    <n v="0"/>
    <s v="Pure Sub"/>
    <n v="1"/>
  </r>
  <r>
    <s v="Hussein Ali"/>
    <s v="DF"/>
    <x v="24"/>
    <s v="IQ"/>
    <n v="24.33"/>
    <s v="23-27"/>
    <n v="2"/>
    <n v="2"/>
    <n v="162"/>
    <n v="1.8"/>
    <n v="0"/>
    <n v="0"/>
    <n v="0"/>
    <n v="0"/>
    <n v="0"/>
    <n v="0"/>
    <n v="0"/>
    <n v="0"/>
    <n v="0"/>
    <s v="Always Started"/>
    <n v="0"/>
  </r>
  <r>
    <s v="Mohanad Ali"/>
    <s v="FW"/>
    <x v="24"/>
    <s v="IQ"/>
    <n v="26.03"/>
    <s v="23-27"/>
    <n v="1"/>
    <n v="0"/>
    <n v="13"/>
    <n v="0.1"/>
    <n v="0"/>
    <n v="0"/>
    <n v="0"/>
    <n v="0"/>
    <n v="0"/>
    <n v="0"/>
    <n v="0"/>
    <n v="0"/>
    <n v="0"/>
    <s v="Pure Sub"/>
    <n v="1"/>
  </r>
  <r>
    <s v="Taha Ali"/>
    <s v="FW,MF"/>
    <x v="25"/>
    <s v="SE"/>
    <n v="28"/>
    <s v="27-31"/>
    <n v="1"/>
    <n v="0"/>
    <n v="12"/>
    <n v="0.1"/>
    <n v="0"/>
    <n v="0"/>
    <n v="0"/>
    <n v="0"/>
    <n v="0"/>
    <n v="0"/>
    <n v="0"/>
    <n v="0"/>
    <n v="0"/>
    <s v="Pure Sub"/>
    <n v="1"/>
  </r>
  <r>
    <s v="Khojiakbar Alijonov"/>
    <s v="MF"/>
    <x v="5"/>
    <s v="UZ"/>
    <n v="29.2"/>
    <s v="27-31"/>
    <n v="2"/>
    <n v="1"/>
    <n v="135"/>
    <n v="1.5"/>
    <n v="0"/>
    <n v="0"/>
    <n v="0"/>
    <n v="0"/>
    <n v="0"/>
    <n v="0"/>
    <n v="0"/>
    <n v="0"/>
    <n v="0"/>
    <s v="Mixed"/>
    <n v="1"/>
  </r>
  <r>
    <s v="Ali Alipour"/>
    <s v="FW"/>
    <x v="26"/>
    <s v="IR"/>
    <n v="30.63"/>
    <s v="27-31"/>
    <n v="1"/>
    <n v="0"/>
    <n v="38"/>
    <n v="0.4"/>
    <n v="0"/>
    <n v="0"/>
    <n v="0"/>
    <n v="0"/>
    <n v="0"/>
    <n v="0"/>
    <n v="0"/>
    <n v="0"/>
    <n v="0"/>
    <s v="Pure Sub"/>
    <n v="1"/>
  </r>
  <r>
    <s v="Alisson"/>
    <s v="GK"/>
    <x v="27"/>
    <s v="BR"/>
    <n v="33.74"/>
    <s v="31-35"/>
    <n v="4"/>
    <n v="4"/>
    <n v="360"/>
    <n v="4"/>
    <n v="0"/>
    <n v="0"/>
    <n v="0"/>
    <n v="0"/>
    <n v="0"/>
    <n v="0"/>
    <n v="0"/>
    <n v="0"/>
    <n v="0"/>
    <s v="Always Started"/>
    <n v="0"/>
  </r>
  <r>
    <s v="Thiago Almada"/>
    <s v="MF"/>
    <x v="28"/>
    <s v="AR"/>
    <n v="25.18"/>
    <s v="23-27"/>
    <n v="3"/>
    <n v="2"/>
    <n v="148"/>
    <n v="1.6"/>
    <n v="0"/>
    <n v="0"/>
    <n v="0"/>
    <n v="0"/>
    <n v="0"/>
    <n v="0"/>
    <n v="0"/>
    <n v="0"/>
    <n v="0"/>
    <s v="Mixed"/>
    <n v="1"/>
  </r>
  <r>
    <s v="Miguel Almiron"/>
    <s v="MF,FW"/>
    <x v="23"/>
    <s v="PY"/>
    <n v="32.380000000000003"/>
    <s v="31-35"/>
    <n v="3"/>
    <n v="3"/>
    <n v="212"/>
    <n v="2.4"/>
    <n v="0"/>
    <n v="0"/>
    <n v="0"/>
    <n v="0"/>
    <n v="0"/>
    <n v="0"/>
    <n v="1"/>
    <n v="1"/>
    <n v="0"/>
    <s v="Always Started"/>
    <n v="0"/>
  </r>
  <r>
    <s v="Junior Alonso"/>
    <s v="DF"/>
    <x v="23"/>
    <s v="PY"/>
    <n v="33.39"/>
    <s v="31-35"/>
    <n v="4"/>
    <n v="3"/>
    <n v="300"/>
    <n v="3.3"/>
    <n v="0"/>
    <n v="0"/>
    <n v="0"/>
    <n v="0"/>
    <n v="0"/>
    <n v="0"/>
    <n v="1"/>
    <n v="0"/>
    <n v="0"/>
    <s v="Mixed"/>
    <n v="1"/>
  </r>
  <r>
    <s v="Bar?? Alper Y?lmaz"/>
    <s v="MF,FW"/>
    <x v="18"/>
    <s v="TR"/>
    <n v="26.1"/>
    <s v="23-27"/>
    <n v="3"/>
    <n v="2"/>
    <n v="179"/>
    <n v="2"/>
    <n v="1"/>
    <n v="1"/>
    <n v="2"/>
    <n v="1"/>
    <n v="0"/>
    <n v="0"/>
    <n v="0"/>
    <n v="0"/>
    <n v="0.5"/>
    <s v="Mixed"/>
    <n v="1"/>
  </r>
  <r>
    <s v="Roberto Alvarado"/>
    <s v="FW,MF"/>
    <x v="29"/>
    <s v="MX"/>
    <n v="27.81"/>
    <s v="27-31"/>
    <n v="3"/>
    <n v="3"/>
    <n v="259"/>
    <n v="2.9"/>
    <n v="0"/>
    <n v="2"/>
    <n v="2"/>
    <n v="0"/>
    <n v="0"/>
    <n v="0"/>
    <n v="0"/>
    <n v="0"/>
    <n v="0"/>
    <s v="Always Started"/>
    <n v="0"/>
  </r>
  <r>
    <s v="Edson Alvarez"/>
    <s v="MF,DF"/>
    <x v="29"/>
    <s v="MX"/>
    <n v="28.68"/>
    <s v="27-31"/>
    <n v="3"/>
    <n v="2"/>
    <n v="195"/>
    <n v="2.2000000000000002"/>
    <n v="0"/>
    <n v="0"/>
    <n v="0"/>
    <n v="0"/>
    <n v="0"/>
    <n v="0"/>
    <n v="1"/>
    <n v="0"/>
    <n v="0"/>
    <s v="Mixed"/>
    <n v="1"/>
  </r>
  <r>
    <s v="Julian Alvarez"/>
    <s v="FW"/>
    <x v="28"/>
    <s v="AR"/>
    <n v="26.41"/>
    <s v="23-27"/>
    <n v="3"/>
    <n v="1"/>
    <n v="144"/>
    <n v="1.6"/>
    <n v="0"/>
    <n v="0"/>
    <n v="0"/>
    <n v="0"/>
    <n v="0"/>
    <n v="0"/>
    <n v="0"/>
    <n v="0"/>
    <n v="0"/>
    <s v="Mixed"/>
    <n v="2"/>
  </r>
  <r>
    <s v="Ayoube Amaimouni"/>
    <s v="MF"/>
    <x v="30"/>
    <s v="MA"/>
    <n v="21.58"/>
    <s v="U23"/>
    <n v="2"/>
    <n v="0"/>
    <n v="18"/>
    <n v="0.2"/>
    <n v="0"/>
    <n v="0"/>
    <n v="0"/>
    <n v="0"/>
    <n v="0"/>
    <n v="0"/>
    <n v="0"/>
    <n v="0"/>
    <n v="0"/>
    <s v="Pure Sub"/>
    <n v="2"/>
  </r>
  <r>
    <s v="Zeki Amdouni"/>
    <s v="FW,MF"/>
    <x v="13"/>
    <s v="CH"/>
    <n v="25.57"/>
    <s v="23-27"/>
    <n v="1"/>
    <n v="0"/>
    <n v="12"/>
    <n v="0.1"/>
    <n v="0"/>
    <n v="0"/>
    <n v="0"/>
    <n v="0"/>
    <n v="0"/>
    <n v="0"/>
    <n v="0"/>
    <n v="0"/>
    <n v="0"/>
    <s v="Pure Sub"/>
    <n v="1"/>
  </r>
  <r>
    <s v="Michael Amir Murillo"/>
    <s v="DF,MF"/>
    <x v="31"/>
    <s v="PA"/>
    <n v="30.38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Nadiem Amiri"/>
    <s v="MF"/>
    <x v="32"/>
    <s v="DE"/>
    <n v="29.67"/>
    <s v="27-31"/>
    <n v="2"/>
    <n v="0"/>
    <n v="42"/>
    <n v="0.5"/>
    <n v="0"/>
    <n v="1"/>
    <n v="1"/>
    <n v="0"/>
    <n v="0"/>
    <n v="0"/>
    <n v="0"/>
    <n v="0"/>
    <n v="0"/>
    <s v="Pure Sub"/>
    <n v="2"/>
  </r>
  <r>
    <s v="Amir Al Ammari"/>
    <s v="MF"/>
    <x v="24"/>
    <s v="IQ"/>
    <n v="28.93"/>
    <s v="27-31"/>
    <n v="3"/>
    <n v="3"/>
    <n v="247"/>
    <n v="2.7"/>
    <n v="0"/>
    <n v="1"/>
    <n v="1"/>
    <n v="0"/>
    <n v="0"/>
    <n v="0"/>
    <n v="2"/>
    <n v="0"/>
    <n v="0"/>
    <s v="Always Started"/>
    <n v="0"/>
  </r>
  <r>
    <s v="Azizbek Amonov"/>
    <s v="FW"/>
    <x v="5"/>
    <s v="UZ"/>
    <n v="28.67"/>
    <s v="27-31"/>
    <n v="1"/>
    <n v="0"/>
    <n v="14"/>
    <n v="0.2"/>
    <n v="0"/>
    <n v="0"/>
    <n v="0"/>
    <n v="0"/>
    <n v="0"/>
    <n v="0"/>
    <n v="0"/>
    <n v="0"/>
    <n v="0"/>
    <s v="Pure Sub"/>
    <n v="1"/>
  </r>
  <r>
    <s v="Mohamed Amoura"/>
    <s v="FW,MF"/>
    <x v="16"/>
    <s v="DZ"/>
    <n v="26.14"/>
    <s v="23-27"/>
    <n v="1"/>
    <n v="0"/>
    <n v="27"/>
    <n v="0.3"/>
    <n v="0"/>
    <n v="0"/>
    <n v="0"/>
    <n v="0"/>
    <n v="0"/>
    <n v="0"/>
    <n v="0"/>
    <n v="0"/>
    <n v="0"/>
    <s v="Pure Sub"/>
    <n v="1"/>
  </r>
  <r>
    <s v="Sofyan Amrabat"/>
    <s v="MF"/>
    <x v="30"/>
    <s v="MA"/>
    <n v="29.86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Abdulelah Al-Amri"/>
    <s v="DF"/>
    <x v="4"/>
    <s v="SA"/>
    <n v="29.45"/>
    <s v="27-31"/>
    <n v="3"/>
    <n v="3"/>
    <n v="239"/>
    <n v="2.7"/>
    <n v="1"/>
    <n v="0"/>
    <n v="1"/>
    <n v="1"/>
    <n v="0"/>
    <n v="0"/>
    <n v="1"/>
    <n v="0"/>
    <n v="0.37"/>
    <s v="Always Started"/>
    <n v="0"/>
  </r>
  <r>
    <s v="Youssef Amyn"/>
    <s v="MF"/>
    <x v="24"/>
    <s v="IQ"/>
    <n v="22.86"/>
    <s v="U23"/>
    <n v="1"/>
    <n v="0"/>
    <n v="31"/>
    <n v="0.3"/>
    <n v="0"/>
    <n v="0"/>
    <n v="0"/>
    <n v="0"/>
    <n v="0"/>
    <n v="0"/>
    <n v="0"/>
    <n v="0"/>
    <n v="0"/>
    <s v="Pure Sub"/>
    <n v="1"/>
  </r>
  <r>
    <s v="Elliot Anderson"/>
    <s v="MF"/>
    <x v="33"/>
    <s v="EN"/>
    <n v="23.65"/>
    <s v="23-27"/>
    <n v="3"/>
    <n v="3"/>
    <n v="246"/>
    <n v="2.7"/>
    <n v="0"/>
    <n v="1"/>
    <n v="1"/>
    <n v="0"/>
    <n v="0"/>
    <n v="0"/>
    <n v="0"/>
    <n v="0"/>
    <n v="0"/>
    <s v="Always Started"/>
    <n v="0"/>
  </r>
  <r>
    <s v="Andres Andrade Cedeno"/>
    <s v="DF"/>
    <x v="31"/>
    <s v="PA"/>
    <n v="27.7"/>
    <s v="27-31"/>
    <n v="3"/>
    <n v="3"/>
    <n v="270"/>
    <n v="3"/>
    <n v="0"/>
    <n v="0"/>
    <n v="0"/>
    <n v="0"/>
    <n v="0"/>
    <n v="0"/>
    <n v="1"/>
    <n v="0"/>
    <n v="0"/>
    <s v="Always Started"/>
    <n v="0"/>
  </r>
  <r>
    <s v="Fredrik Andre Bjorkan"/>
    <s v="DF"/>
    <x v="1"/>
    <s v="NO"/>
    <n v="27.86"/>
    <s v="27-31"/>
    <n v="1"/>
    <n v="1"/>
    <n v="45"/>
    <n v="0.5"/>
    <n v="0"/>
    <n v="0"/>
    <n v="0"/>
    <n v="0"/>
    <n v="0"/>
    <n v="0"/>
    <n v="0"/>
    <n v="0"/>
    <n v="0"/>
    <s v="Always Started"/>
    <n v="0"/>
  </r>
  <r>
    <s v="Nilson Angulo"/>
    <s v="MF"/>
    <x v="22"/>
    <s v="EC"/>
    <n v="23.03"/>
    <s v="23-27"/>
    <n v="3"/>
    <n v="1"/>
    <n v="140"/>
    <n v="1.6"/>
    <n v="1"/>
    <n v="0"/>
    <n v="1"/>
    <n v="1"/>
    <n v="0"/>
    <n v="0"/>
    <n v="0"/>
    <n v="0"/>
    <n v="0.625"/>
    <s v="Mixed"/>
    <n v="2"/>
  </r>
  <r>
    <s v="Waldemar Anton"/>
    <s v="DF,MF"/>
    <x v="32"/>
    <s v="DE"/>
    <n v="29.94"/>
    <s v="27-31"/>
    <n v="2"/>
    <n v="0"/>
    <n v="50"/>
    <n v="0.6"/>
    <n v="0"/>
    <n v="0"/>
    <n v="0"/>
    <n v="0"/>
    <n v="0"/>
    <n v="0"/>
    <n v="0"/>
    <n v="0"/>
    <n v="0"/>
    <s v="Pure Sub"/>
    <n v="2"/>
  </r>
  <r>
    <s v="Jeremy Antonisse"/>
    <s v="FW,MF"/>
    <x v="34"/>
    <s v="CW"/>
    <n v="24.25"/>
    <s v="23-27"/>
    <n v="2"/>
    <n v="0"/>
    <n v="75"/>
    <n v="0.8"/>
    <n v="0"/>
    <n v="0"/>
    <n v="0"/>
    <n v="0"/>
    <n v="0"/>
    <n v="0"/>
    <n v="0"/>
    <n v="0"/>
    <n v="0"/>
    <s v="Pure Sub"/>
    <n v="2"/>
  </r>
  <r>
    <s v="Houssem Aouar"/>
    <s v="MF"/>
    <x v="16"/>
    <s v="DZ"/>
    <n v="28"/>
    <s v="27-31"/>
    <n v="2"/>
    <n v="1"/>
    <n v="116"/>
    <n v="1.3"/>
    <n v="0"/>
    <n v="2"/>
    <n v="2"/>
    <n v="0"/>
    <n v="0"/>
    <n v="0"/>
    <n v="0"/>
    <n v="0"/>
    <n v="0"/>
    <s v="Mixed"/>
    <n v="1"/>
  </r>
  <r>
    <s v="Oswin Appollis"/>
    <s v="MF,FW"/>
    <x v="9"/>
    <s v="ZA"/>
    <n v="24.85"/>
    <s v="23-27"/>
    <n v="4"/>
    <n v="3"/>
    <n v="255"/>
    <n v="2.8"/>
    <n v="0"/>
    <n v="0"/>
    <n v="0"/>
    <n v="0"/>
    <n v="0"/>
    <n v="0"/>
    <n v="0"/>
    <n v="0"/>
    <n v="0"/>
    <s v="Mixed"/>
    <n v="1"/>
  </r>
  <r>
    <s v="Yazan Al-Arab"/>
    <s v="DF"/>
    <x v="7"/>
    <s v="JO"/>
    <n v="30.41"/>
    <s v="27-31"/>
    <n v="3"/>
    <n v="3"/>
    <n v="270"/>
    <n v="3"/>
    <n v="0"/>
    <n v="0"/>
    <n v="0"/>
    <n v="0"/>
    <n v="0"/>
    <n v="0"/>
    <n v="1"/>
    <n v="0"/>
    <n v="0"/>
    <s v="Always Started"/>
    <n v="0"/>
  </r>
  <r>
    <s v="Maxi Araujo"/>
    <s v="FW,MF"/>
    <x v="14"/>
    <s v="UY"/>
    <n v="26.37"/>
    <s v="23-27"/>
    <n v="3"/>
    <n v="3"/>
    <n v="250"/>
    <n v="2.8"/>
    <n v="2"/>
    <n v="1"/>
    <n v="3"/>
    <n v="2"/>
    <n v="0"/>
    <n v="0"/>
    <n v="0"/>
    <n v="0"/>
    <n v="0.71399999999999997"/>
    <s v="Always Started"/>
    <n v="0"/>
  </r>
  <r>
    <s v="Tomas Araujo"/>
    <s v="DF"/>
    <x v="35"/>
    <s v="PT"/>
    <n v="24.12"/>
    <s v="23-27"/>
    <n v="1"/>
    <n v="1"/>
    <n v="90"/>
    <n v="1"/>
    <n v="0"/>
    <n v="0"/>
    <n v="0"/>
    <n v="0"/>
    <n v="0"/>
    <n v="0"/>
    <n v="1"/>
    <n v="0"/>
    <n v="0"/>
    <s v="Always Started"/>
    <n v="0"/>
  </r>
  <r>
    <s v="Telmo Arcanjo"/>
    <s v="MF"/>
    <x v="36"/>
    <s v="CV"/>
    <n v="25.02"/>
    <s v="23-27"/>
    <n v="2"/>
    <n v="1"/>
    <n v="57"/>
    <n v="0.6"/>
    <n v="0"/>
    <n v="0"/>
    <n v="0"/>
    <n v="0"/>
    <n v="0"/>
    <n v="0"/>
    <n v="0"/>
    <n v="0"/>
    <n v="0"/>
    <s v="Mixed"/>
    <n v="1"/>
  </r>
  <r>
    <s v="Alex Arce"/>
    <s v="FW"/>
    <x v="23"/>
    <s v="PY"/>
    <n v="31.04"/>
    <s v="31-35"/>
    <n v="2"/>
    <n v="0"/>
    <n v="53"/>
    <n v="0.6"/>
    <n v="0"/>
    <n v="0"/>
    <n v="0"/>
    <n v="0"/>
    <n v="0"/>
    <n v="0"/>
    <n v="1"/>
    <n v="0"/>
    <n v="0"/>
    <s v="Pure Sub"/>
    <n v="2"/>
  </r>
  <r>
    <s v="Carlens Arcus"/>
    <s v="MF,DF"/>
    <x v="10"/>
    <s v="HT"/>
    <n v="30.01"/>
    <s v="27-31"/>
    <n v="3"/>
    <n v="2"/>
    <n v="146"/>
    <n v="1.6"/>
    <n v="0"/>
    <n v="0"/>
    <n v="0"/>
    <n v="0"/>
    <n v="0"/>
    <n v="0"/>
    <n v="1"/>
    <n v="0"/>
    <n v="0"/>
    <s v="Mixed"/>
    <n v="1"/>
  </r>
  <r>
    <s v="Jhon Arias"/>
    <s v="MF"/>
    <x v="37"/>
    <s v="CO"/>
    <n v="28.77"/>
    <s v="27-31"/>
    <n v="3"/>
    <n v="3"/>
    <n v="240"/>
    <n v="2.7"/>
    <n v="0"/>
    <n v="0"/>
    <n v="0"/>
    <n v="0"/>
    <n v="0"/>
    <n v="0"/>
    <n v="0"/>
    <n v="0"/>
    <n v="0"/>
    <s v="Always Started"/>
    <n v="0"/>
  </r>
  <r>
    <s v="Santiago Arias"/>
    <s v="DF"/>
    <x v="37"/>
    <s v="CO"/>
    <n v="34.46"/>
    <s v="31-35"/>
    <n v="1"/>
    <n v="1"/>
    <n v="86"/>
    <n v="1"/>
    <n v="0"/>
    <n v="0"/>
    <n v="0"/>
    <n v="0"/>
    <n v="0"/>
    <n v="0"/>
    <n v="0"/>
    <n v="0"/>
    <n v="0"/>
    <s v="Always Started"/>
    <n v="0"/>
  </r>
  <r>
    <s v="Marko Arnautovi?"/>
    <s v="FW"/>
    <x v="20"/>
    <s v="AT"/>
    <n v="37.200000000000003"/>
    <s v="35+"/>
    <n v="3"/>
    <n v="1"/>
    <n v="113"/>
    <n v="1.3"/>
    <n v="2"/>
    <n v="0"/>
    <n v="2"/>
    <n v="1"/>
    <n v="1"/>
    <n v="1"/>
    <n v="1"/>
    <n v="0"/>
    <n v="1.538"/>
    <s v="Mixed"/>
    <n v="2"/>
  </r>
  <r>
    <s v="Benjamin Asare"/>
    <s v="GK"/>
    <x v="12"/>
    <s v="GH"/>
    <n v="33.96"/>
    <s v="31-35"/>
    <n v="3"/>
    <n v="2"/>
    <n v="225"/>
    <n v="2.5"/>
    <n v="0"/>
    <n v="0"/>
    <n v="0"/>
    <n v="0"/>
    <n v="0"/>
    <n v="0"/>
    <n v="0"/>
    <n v="0"/>
    <n v="0"/>
    <s v="Mixed"/>
    <n v="1"/>
  </r>
  <r>
    <s v="Emam Ashour"/>
    <s v="MF"/>
    <x v="2"/>
    <s v="EG"/>
    <n v="28.36"/>
    <s v="27-31"/>
    <n v="3"/>
    <n v="3"/>
    <n v="197"/>
    <n v="2.2000000000000002"/>
    <n v="1"/>
    <n v="0"/>
    <n v="1"/>
    <n v="1"/>
    <n v="0"/>
    <n v="0"/>
    <n v="0"/>
    <n v="0"/>
    <n v="0.45500000000000002"/>
    <s v="Always Started"/>
    <n v="0"/>
  </r>
  <r>
    <s v="Rustam Ashurmatov"/>
    <s v="DF"/>
    <x v="5"/>
    <s v="UZ"/>
    <n v="29.98"/>
    <s v="27-31"/>
    <n v="3"/>
    <n v="3"/>
    <n v="256"/>
    <n v="2.8"/>
    <n v="0"/>
    <n v="0"/>
    <n v="0"/>
    <n v="0"/>
    <n v="0"/>
    <n v="0"/>
    <n v="0"/>
    <n v="0"/>
    <n v="0"/>
    <s v="Always Started"/>
    <n v="0"/>
  </r>
  <r>
    <s v="Lawrence Ati-Zigi"/>
    <s v="GK"/>
    <x v="12"/>
    <s v="GH"/>
    <n v="29.58"/>
    <s v="27-31"/>
    <n v="1"/>
    <n v="1"/>
    <n v="45"/>
    <n v="0.5"/>
    <n v="0"/>
    <n v="0"/>
    <n v="0"/>
    <n v="0"/>
    <n v="0"/>
    <n v="0"/>
    <n v="0"/>
    <n v="0"/>
    <n v="0"/>
    <s v="Always Started"/>
    <n v="0"/>
  </r>
  <r>
    <s v="Marwan Attia"/>
    <s v="MF"/>
    <x v="2"/>
    <s v="EG"/>
    <n v="27.88"/>
    <s v="27-31"/>
    <n v="3"/>
    <n v="2"/>
    <n v="225"/>
    <n v="2.5"/>
    <n v="0"/>
    <n v="0"/>
    <n v="0"/>
    <n v="0"/>
    <n v="0"/>
    <n v="0"/>
    <n v="1"/>
    <n v="0"/>
    <n v="0"/>
    <s v="Mixed"/>
    <n v="1"/>
  </r>
  <r>
    <s v="Fredrik Aursnes"/>
    <s v="MF,DF"/>
    <x v="1"/>
    <s v="NO"/>
    <n v="30.55"/>
    <s v="27-31"/>
    <n v="3"/>
    <n v="3"/>
    <n v="207"/>
    <n v="2.2999999999999998"/>
    <n v="0"/>
    <n v="0"/>
    <n v="0"/>
    <n v="0"/>
    <n v="0"/>
    <n v="0"/>
    <n v="0"/>
    <n v="0"/>
    <n v="0"/>
    <s v="Always Started"/>
    <n v="0"/>
  </r>
  <r>
    <s v="Gabriel Avalos"/>
    <s v="FW"/>
    <x v="23"/>
    <s v="PY"/>
    <n v="35.71"/>
    <s v="35+"/>
    <n v="3"/>
    <n v="2"/>
    <n v="121"/>
    <n v="1.3"/>
    <n v="0"/>
    <n v="0"/>
    <n v="0"/>
    <n v="0"/>
    <n v="0"/>
    <n v="0"/>
    <n v="0"/>
    <n v="0"/>
    <n v="0"/>
    <s v="Mixed"/>
    <n v="1"/>
  </r>
  <r>
    <s v="Yasin Ayari"/>
    <s v="MF"/>
    <x v="25"/>
    <s v="SE"/>
    <n v="22.73"/>
    <s v="U23"/>
    <n v="3"/>
    <n v="3"/>
    <n v="258"/>
    <n v="2.9"/>
    <n v="2"/>
    <n v="0"/>
    <n v="2"/>
    <n v="2"/>
    <n v="0"/>
    <n v="0"/>
    <n v="1"/>
    <n v="0"/>
    <n v="0.69"/>
    <s v="Always Started"/>
    <n v="0"/>
  </r>
  <r>
    <s v="O?uz Ayd?n"/>
    <s v="DF"/>
    <x v="18"/>
    <s v="TR"/>
    <n v="25.67"/>
    <s v="23-27"/>
    <n v="1"/>
    <n v="1"/>
    <n v="89"/>
    <n v="1"/>
    <n v="0"/>
    <n v="0"/>
    <n v="0"/>
    <n v="0"/>
    <n v="0"/>
    <n v="0"/>
    <n v="0"/>
    <n v="0"/>
    <n v="0"/>
    <s v="Always Started"/>
    <n v="0"/>
  </r>
  <r>
    <s v="Jordan Ayew"/>
    <s v="FW"/>
    <x v="12"/>
    <s v="GH"/>
    <n v="34.799999999999997"/>
    <s v="31-35"/>
    <n v="3"/>
    <n v="3"/>
    <n v="222"/>
    <n v="2.5"/>
    <n v="0"/>
    <n v="0"/>
    <n v="0"/>
    <n v="0"/>
    <n v="0"/>
    <n v="0"/>
    <n v="0"/>
    <n v="0"/>
    <n v="0"/>
    <s v="Always Started"/>
    <n v="0"/>
  </r>
  <r>
    <s v="Kaan Ayhan"/>
    <s v="DF,MF"/>
    <x v="18"/>
    <s v="TR"/>
    <n v="31.64"/>
    <s v="31-35"/>
    <n v="1"/>
    <n v="0"/>
    <n v="3"/>
    <n v="0"/>
    <n v="1"/>
    <n v="0"/>
    <n v="1"/>
    <n v="1"/>
    <n v="0"/>
    <n v="0"/>
    <n v="0"/>
    <n v="0"/>
    <n v="0"/>
    <s v="Pure Sub"/>
    <n v="1"/>
  </r>
  <r>
    <s v="Neil El Aynaoui"/>
    <s v="MF"/>
    <x v="30"/>
    <s v="MA"/>
    <n v="24.99"/>
    <s v="23-27"/>
    <n v="4"/>
    <n v="4"/>
    <n v="382"/>
    <n v="4.2"/>
    <n v="0"/>
    <n v="0"/>
    <n v="0"/>
    <n v="0"/>
    <n v="0"/>
    <n v="0"/>
    <n v="0"/>
    <n v="0"/>
    <n v="0"/>
    <s v="Always Started"/>
    <n v="0"/>
  </r>
  <r>
    <s v="Ali Azaizeh"/>
    <s v="MF"/>
    <x v="7"/>
    <s v="JO"/>
    <n v="22.21"/>
    <s v="U23"/>
    <n v="3"/>
    <n v="1"/>
    <n v="54"/>
    <n v="0.6"/>
    <n v="0"/>
    <n v="0"/>
    <n v="0"/>
    <n v="0"/>
    <n v="0"/>
    <n v="0"/>
    <n v="0"/>
    <n v="0"/>
    <n v="0"/>
    <s v="Mixed"/>
    <n v="2"/>
  </r>
  <r>
    <s v="Juninho Bacuna"/>
    <s v="MF"/>
    <x v="34"/>
    <s v="CW"/>
    <n v="28.9"/>
    <s v="27-31"/>
    <n v="3"/>
    <n v="3"/>
    <n v="254"/>
    <n v="2.8"/>
    <n v="0"/>
    <n v="0"/>
    <n v="0"/>
    <n v="0"/>
    <n v="0"/>
    <n v="0"/>
    <n v="2"/>
    <n v="0"/>
    <n v="0"/>
    <s v="Always Started"/>
    <n v="0"/>
  </r>
  <r>
    <s v="Leandro Bacuna"/>
    <s v="MF"/>
    <x v="34"/>
    <s v="CW"/>
    <n v="34.86"/>
    <s v="31-35"/>
    <n v="3"/>
    <n v="3"/>
    <n v="270"/>
    <n v="3"/>
    <n v="0"/>
    <n v="0"/>
    <n v="0"/>
    <n v="0"/>
    <n v="0"/>
    <n v="0"/>
    <n v="1"/>
    <n v="0"/>
    <n v="0"/>
    <s v="Always Started"/>
    <n v="0"/>
  </r>
  <r>
    <s v="Alex Baena"/>
    <s v="FW"/>
    <x v="38"/>
    <s v="ES"/>
    <n v="24.94"/>
    <s v="23-27"/>
    <n v="2"/>
    <n v="2"/>
    <n v="126"/>
    <n v="1.4"/>
    <n v="1"/>
    <n v="0"/>
    <n v="1"/>
    <n v="1"/>
    <n v="0"/>
    <n v="0"/>
    <n v="1"/>
    <n v="0"/>
    <n v="0.71399999999999997"/>
    <s v="Always Started"/>
    <n v="0"/>
  </r>
  <r>
    <s v="Esmir Bajraktarevic"/>
    <s v="MF"/>
    <x v="21"/>
    <s v="BA"/>
    <n v="21.31"/>
    <s v="U23"/>
    <n v="3"/>
    <n v="2"/>
    <n v="190"/>
    <n v="2.1"/>
    <n v="0"/>
    <n v="0"/>
    <n v="0"/>
    <n v="0"/>
    <n v="0"/>
    <n v="0"/>
    <n v="0"/>
    <n v="0"/>
    <n v="0"/>
    <s v="Mixed"/>
    <n v="1"/>
  </r>
  <r>
    <s v="Cedric Bakambu"/>
    <s v="FW"/>
    <x v="39"/>
    <s v="CD"/>
    <n v="35.22"/>
    <s v="35+"/>
    <n v="3"/>
    <n v="3"/>
    <n v="190"/>
    <n v="2.1"/>
    <n v="0"/>
    <n v="0"/>
    <n v="0"/>
    <n v="0"/>
    <n v="0"/>
    <n v="0"/>
    <n v="0"/>
    <n v="0"/>
    <n v="0"/>
    <s v="Always Started"/>
    <n v="0"/>
  </r>
  <r>
    <s v="Fabian Balbuena"/>
    <s v="DF"/>
    <x v="23"/>
    <s v="PY"/>
    <n v="34.85"/>
    <s v="31-35"/>
    <n v="1"/>
    <n v="0"/>
    <n v="1"/>
    <n v="0"/>
    <n v="0"/>
    <n v="0"/>
    <n v="0"/>
    <n v="0"/>
    <n v="0"/>
    <n v="0"/>
    <n v="0"/>
    <n v="0"/>
    <n v="0"/>
    <s v="Pure Sub"/>
    <n v="1"/>
  </r>
  <r>
    <s v="Folarin Balogun"/>
    <s v="FW"/>
    <x v="0"/>
    <s v="US"/>
    <n v="24.99"/>
    <s v="23-27"/>
    <n v="2"/>
    <n v="2"/>
    <n v="160"/>
    <n v="1.8"/>
    <n v="2"/>
    <n v="0"/>
    <n v="2"/>
    <n v="2"/>
    <n v="0"/>
    <n v="0"/>
    <n v="1"/>
    <n v="0"/>
    <n v="1.111"/>
    <s v="Always Started"/>
    <n v="0"/>
  </r>
  <r>
    <s v="Simon Banza"/>
    <s v="FW,MF"/>
    <x v="39"/>
    <s v="CD"/>
    <n v="29.88"/>
    <s v="27-31"/>
    <n v="2"/>
    <n v="0"/>
    <n v="40"/>
    <n v="0.4"/>
    <n v="0"/>
    <n v="0"/>
    <n v="0"/>
    <n v="0"/>
    <n v="0"/>
    <n v="0"/>
    <n v="0"/>
    <n v="0"/>
    <n v="0"/>
    <s v="Pure Sub"/>
    <n v="2"/>
  </r>
  <r>
    <s v="Yoel Barcenas"/>
    <s v="MF"/>
    <x v="31"/>
    <s v="PA"/>
    <n v="32.68"/>
    <s v="31-35"/>
    <n v="3"/>
    <n v="3"/>
    <n v="249"/>
    <n v="2.8"/>
    <n v="0"/>
    <n v="0"/>
    <n v="0"/>
    <n v="0"/>
    <n v="0"/>
    <n v="0"/>
    <n v="1"/>
    <n v="0"/>
    <n v="0"/>
    <s v="Always Started"/>
    <n v="0"/>
  </r>
  <r>
    <s v="Valentin Barco"/>
    <s v="DF,MF"/>
    <x v="28"/>
    <s v="AR"/>
    <n v="21.94"/>
    <s v="U23"/>
    <n v="1"/>
    <n v="0"/>
    <n v="20"/>
    <n v="0.2"/>
    <n v="0"/>
    <n v="0"/>
    <n v="0"/>
    <n v="0"/>
    <n v="0"/>
    <n v="0"/>
    <n v="0"/>
    <n v="0"/>
    <n v="0"/>
    <s v="Pure Sub"/>
    <n v="1"/>
  </r>
  <r>
    <s v="Bradley Barcola"/>
    <s v="MF"/>
    <x v="19"/>
    <s v="FR"/>
    <n v="23.82"/>
    <s v="23-27"/>
    <n v="3"/>
    <n v="1"/>
    <n v="119"/>
    <n v="1.3"/>
    <n v="1"/>
    <n v="1"/>
    <n v="2"/>
    <n v="1"/>
    <n v="0"/>
    <n v="0"/>
    <n v="0"/>
    <n v="0"/>
    <n v="0.76900000000000002"/>
    <s v="Mixed"/>
    <n v="2"/>
  </r>
  <r>
    <s v="Abdulkerim Bardakc?"/>
    <s v="DF"/>
    <x v="18"/>
    <s v="TR"/>
    <n v="31.81"/>
    <s v="31-35"/>
    <n v="3"/>
    <n v="3"/>
    <n v="265"/>
    <n v="2.9"/>
    <n v="0"/>
    <n v="0"/>
    <n v="0"/>
    <n v="0"/>
    <n v="0"/>
    <n v="0"/>
    <n v="0"/>
    <n v="0"/>
    <n v="0"/>
    <s v="Always Started"/>
    <n v="0"/>
  </r>
  <r>
    <s v="Ivan Bai?"/>
    <s v="MF"/>
    <x v="21"/>
    <s v="BA"/>
    <n v="24.17"/>
    <s v="23-27"/>
    <n v="3"/>
    <n v="2"/>
    <n v="179"/>
    <n v="2"/>
    <n v="0"/>
    <n v="1"/>
    <n v="1"/>
    <n v="0"/>
    <n v="0"/>
    <n v="0"/>
    <n v="0"/>
    <n v="0"/>
    <n v="0"/>
    <s v="Mixed"/>
    <n v="1"/>
  </r>
  <r>
    <s v="Ahmed Basil"/>
    <s v="GK"/>
    <x v="24"/>
    <s v="IQ"/>
    <n v="29.86"/>
    <s v="27-31"/>
    <n v="2"/>
    <n v="2"/>
    <n v="135"/>
    <n v="1.5"/>
    <n v="0"/>
    <n v="0"/>
    <n v="0"/>
    <n v="0"/>
    <n v="0"/>
    <n v="0"/>
    <n v="0"/>
    <n v="0"/>
    <n v="0"/>
    <s v="Always Started"/>
    <n v="0"/>
  </r>
  <r>
    <s v="Martin Baturina"/>
    <s v="MF,FW"/>
    <x v="40"/>
    <s v="HR"/>
    <n v="23.37"/>
    <s v="23-27"/>
    <n v="3"/>
    <n v="3"/>
    <n v="254"/>
    <n v="2.8"/>
    <n v="1"/>
    <n v="0"/>
    <n v="1"/>
    <n v="1"/>
    <n v="0"/>
    <n v="0"/>
    <n v="0"/>
    <n v="0"/>
    <n v="0.35699999999999998"/>
    <s v="Always Started"/>
    <n v="0"/>
  </r>
  <r>
    <s v="Ibrahim Bayesh"/>
    <s v="MF,FW"/>
    <x v="24"/>
    <s v="IQ"/>
    <n v="26.16"/>
    <s v="23-27"/>
    <n v="3"/>
    <n v="3"/>
    <n v="235"/>
    <n v="2.6"/>
    <n v="0"/>
    <n v="0"/>
    <n v="0"/>
    <n v="0"/>
    <n v="0"/>
    <n v="0"/>
    <n v="0"/>
    <n v="0"/>
    <n v="0"/>
    <s v="Always Started"/>
    <n v="0"/>
  </r>
  <r>
    <s v="Samed Badar"/>
    <s v="FW"/>
    <x v="21"/>
    <s v="BA"/>
    <n v="22.41"/>
    <s v="U23"/>
    <n v="1"/>
    <n v="0"/>
    <n v="29"/>
    <n v="0.3"/>
    <n v="0"/>
    <n v="0"/>
    <n v="0"/>
    <n v="0"/>
    <n v="0"/>
    <n v="0"/>
    <n v="0"/>
    <n v="0"/>
    <n v="0"/>
    <s v="Pure Sub"/>
    <n v="1"/>
  </r>
  <r>
    <s v="Riechedly Bazoer"/>
    <s v="DF"/>
    <x v="34"/>
    <s v="CW"/>
    <n v="29.71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Patrick Beach"/>
    <s v="GK"/>
    <x v="41"/>
    <s v="AU"/>
    <n v="22.9"/>
    <s v="U23"/>
    <n v="3"/>
    <n v="3"/>
    <n v="270"/>
    <n v="3"/>
    <n v="0"/>
    <n v="0"/>
    <n v="0"/>
    <n v="0"/>
    <n v="0"/>
    <n v="0"/>
    <n v="0"/>
    <n v="0"/>
    <n v="0"/>
    <s v="Always Started"/>
    <n v="0"/>
  </r>
  <r>
    <s v="Aziz Behich"/>
    <s v="MF"/>
    <x v="41"/>
    <s v="AU"/>
    <n v="35.54"/>
    <s v="35+"/>
    <n v="2"/>
    <n v="1"/>
    <n v="97"/>
    <n v="1.1000000000000001"/>
    <n v="0"/>
    <n v="0"/>
    <n v="0"/>
    <n v="0"/>
    <n v="0"/>
    <n v="0"/>
    <n v="0"/>
    <n v="0"/>
    <n v="0"/>
    <s v="Mixed"/>
    <n v="1"/>
  </r>
  <r>
    <s v="Maximilian Beier"/>
    <s v="FW,MF"/>
    <x v="32"/>
    <s v="DE"/>
    <n v="23.7"/>
    <s v="23-27"/>
    <n v="1"/>
    <n v="0"/>
    <n v="27"/>
    <n v="0.3"/>
    <n v="0"/>
    <n v="0"/>
    <n v="0"/>
    <n v="0"/>
    <n v="0"/>
    <n v="0"/>
    <n v="0"/>
    <n v="0"/>
    <n v="0"/>
    <s v="Pure Sub"/>
    <n v="1"/>
  </r>
  <r>
    <s v="Alireza Beiranvand"/>
    <s v="GK"/>
    <x v="26"/>
    <s v="IR"/>
    <n v="33.770000000000003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Zineddine Belaid"/>
    <s v="DF"/>
    <x v="16"/>
    <s v="DZ"/>
    <n v="27.28"/>
    <s v="27-31"/>
    <n v="2"/>
    <n v="0"/>
    <n v="25"/>
    <n v="0.3"/>
    <n v="0"/>
    <n v="0"/>
    <n v="0"/>
    <n v="0"/>
    <n v="0"/>
    <n v="0"/>
    <n v="0"/>
    <n v="0"/>
    <n v="0"/>
    <s v="Pure Sub"/>
    <n v="2"/>
  </r>
  <r>
    <s v="Rafik Belghali"/>
    <s v="DF"/>
    <x v="16"/>
    <s v="DZ"/>
    <n v="24.06"/>
    <s v="23-27"/>
    <n v="3"/>
    <n v="3"/>
    <n v="250"/>
    <n v="2.8"/>
    <n v="1"/>
    <n v="0"/>
    <n v="1"/>
    <n v="1"/>
    <n v="0"/>
    <n v="0"/>
    <n v="0"/>
    <n v="0"/>
    <n v="0.35699999999999998"/>
    <s v="Always Started"/>
    <n v="0"/>
  </r>
  <r>
    <s v="Joe Bell"/>
    <s v="MF"/>
    <x v="42"/>
    <s v="NZ"/>
    <n v="27.18"/>
    <s v="27-31"/>
    <n v="3"/>
    <n v="3"/>
    <n v="243"/>
    <n v="2.7"/>
    <n v="0"/>
    <n v="0"/>
    <n v="0"/>
    <n v="0"/>
    <n v="0"/>
    <n v="0"/>
    <n v="0"/>
    <n v="0"/>
    <n v="0"/>
    <s v="Always Started"/>
    <n v="0"/>
  </r>
  <r>
    <s v="Jean-Ricner Bellegarde"/>
    <s v="MF"/>
    <x v="10"/>
    <s v="HT"/>
    <n v="28.01"/>
    <s v="27-31"/>
    <n v="3"/>
    <n v="3"/>
    <n v="260"/>
    <n v="2.9"/>
    <n v="0"/>
    <n v="0"/>
    <n v="0"/>
    <n v="0"/>
    <n v="0"/>
    <n v="0"/>
    <n v="1"/>
    <n v="0"/>
    <n v="0"/>
    <s v="Always Started"/>
    <n v="0"/>
  </r>
  <r>
    <s v="Jude Bellingham"/>
    <s v="MF"/>
    <x v="33"/>
    <s v="EN"/>
    <n v="23"/>
    <s v="U23"/>
    <n v="3"/>
    <n v="3"/>
    <n v="222"/>
    <n v="2.5"/>
    <n v="2"/>
    <n v="1"/>
    <n v="3"/>
    <n v="2"/>
    <n v="0"/>
    <n v="0"/>
    <n v="0"/>
    <n v="0"/>
    <n v="0.8"/>
    <s v="Always Started"/>
    <n v="0"/>
  </r>
  <r>
    <s v="Mortadha Ben Ouanes"/>
    <s v="DF,MF"/>
    <x v="3"/>
    <s v="TN"/>
    <n v="31.99"/>
    <s v="31-35"/>
    <n v="1"/>
    <n v="0"/>
    <n v="23"/>
    <n v="0.3"/>
    <n v="0"/>
    <n v="0"/>
    <n v="0"/>
    <n v="0"/>
    <n v="0"/>
    <n v="0"/>
    <n v="0"/>
    <n v="0"/>
    <n v="0"/>
    <s v="Pure Sub"/>
    <n v="1"/>
  </r>
  <r>
    <s v="Anis Ben Slimane"/>
    <s v="MF,FW"/>
    <x v="3"/>
    <s v="TN"/>
    <n v="25.29"/>
    <s v="23-27"/>
    <n v="3"/>
    <n v="3"/>
    <n v="240"/>
    <n v="2.7"/>
    <n v="0"/>
    <n v="0"/>
    <n v="0"/>
    <n v="0"/>
    <n v="0"/>
    <n v="0"/>
    <n v="0"/>
    <n v="0"/>
    <n v="0"/>
    <s v="Always Started"/>
    <n v="0"/>
  </r>
  <r>
    <s v="Oussama Benbot"/>
    <s v="GK"/>
    <x v="16"/>
    <s v="DZ"/>
    <n v="31.72"/>
    <s v="31-35"/>
    <n v="1"/>
    <n v="1"/>
    <n v="90"/>
    <n v="1"/>
    <n v="0"/>
    <n v="0"/>
    <n v="0"/>
    <n v="0"/>
    <n v="0"/>
    <n v="0"/>
    <n v="0"/>
    <n v="0"/>
    <n v="0"/>
    <s v="Always Started"/>
    <n v="0"/>
  </r>
  <r>
    <s v="Nadhir Benbouali"/>
    <s v="FW"/>
    <x v="16"/>
    <s v="DZ"/>
    <n v="26.2"/>
    <s v="23-27"/>
    <n v="1"/>
    <n v="0"/>
    <n v="45"/>
    <n v="0.5"/>
    <n v="1"/>
    <n v="0"/>
    <n v="1"/>
    <n v="1"/>
    <n v="0"/>
    <n v="0"/>
    <n v="0"/>
    <n v="0"/>
    <n v="2"/>
    <s v="Pure Sub"/>
    <n v="1"/>
  </r>
  <r>
    <s v="Gilson Benchimol"/>
    <s v="FW"/>
    <x v="36"/>
    <s v="CV"/>
    <n v="24.5"/>
    <s v="23-27"/>
    <n v="1"/>
    <n v="1"/>
    <n v="57"/>
    <n v="0.6"/>
    <n v="0"/>
    <n v="0"/>
    <n v="0"/>
    <n v="0"/>
    <n v="0"/>
    <n v="0"/>
    <n v="0"/>
    <n v="0"/>
    <n v="0"/>
    <s v="Always Started"/>
    <n v="0"/>
  </r>
  <r>
    <s v="Ramy Bensebaini"/>
    <s v="DF"/>
    <x v="16"/>
    <s v="DZ"/>
    <n v="31.21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Nabil Bentaleb"/>
    <s v="MF"/>
    <x v="16"/>
    <s v="DZ"/>
    <n v="31.6"/>
    <s v="31-35"/>
    <n v="3"/>
    <n v="2"/>
    <n v="215"/>
    <n v="2.4"/>
    <n v="0"/>
    <n v="0"/>
    <n v="0"/>
    <n v="0"/>
    <n v="0"/>
    <n v="0"/>
    <n v="0"/>
    <n v="0"/>
    <n v="0"/>
    <s v="Mixed"/>
    <n v="1"/>
  </r>
  <r>
    <s v="Rodrigo Bentancur"/>
    <s v="MF"/>
    <x v="14"/>
    <s v="UY"/>
    <n v="29.01"/>
    <s v="27-31"/>
    <n v="3"/>
    <n v="3"/>
    <n v="270"/>
    <n v="3"/>
    <n v="0"/>
    <n v="0"/>
    <n v="0"/>
    <n v="0"/>
    <n v="0"/>
    <n v="0"/>
    <n v="1"/>
    <n v="0"/>
    <n v="0"/>
    <s v="Always Started"/>
    <n v="0"/>
  </r>
  <r>
    <s v="Patrick Berg"/>
    <s v="MF"/>
    <x v="1"/>
    <s v="NO"/>
    <n v="28.6"/>
    <s v="27-31"/>
    <n v="3"/>
    <n v="1"/>
    <n v="145"/>
    <n v="1.6"/>
    <n v="0"/>
    <n v="1"/>
    <n v="1"/>
    <n v="0"/>
    <n v="0"/>
    <n v="0"/>
    <n v="1"/>
    <n v="0"/>
    <n v="0"/>
    <s v="Mixed"/>
    <n v="2"/>
  </r>
  <r>
    <s v="Sander Berge"/>
    <s v="MF"/>
    <x v="1"/>
    <s v="NO"/>
    <n v="28.37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Lucas Bergvall"/>
    <s v="MF"/>
    <x v="25"/>
    <s v="SE"/>
    <n v="20.41"/>
    <s v="U23"/>
    <n v="3"/>
    <n v="0"/>
    <n v="116"/>
    <n v="1.3"/>
    <n v="0"/>
    <n v="1"/>
    <n v="1"/>
    <n v="0"/>
    <n v="0"/>
    <n v="0"/>
    <n v="1"/>
    <n v="0"/>
    <n v="0"/>
    <s v="Pure Sub"/>
    <n v="3"/>
  </r>
  <r>
    <s v="Sebastian Berhalter"/>
    <s v="MF"/>
    <x v="0"/>
    <s v="US"/>
    <n v="25.14"/>
    <s v="23-27"/>
    <n v="3"/>
    <n v="1"/>
    <n v="152"/>
    <n v="1.7"/>
    <n v="1"/>
    <n v="1"/>
    <n v="2"/>
    <n v="1"/>
    <n v="0"/>
    <n v="0"/>
    <n v="1"/>
    <n v="0"/>
    <n v="0.58799999999999997"/>
    <s v="Mixed"/>
    <n v="2"/>
  </r>
  <r>
    <s v="Alexander Bernhardsson"/>
    <s v="MF"/>
    <x v="25"/>
    <s v="SE"/>
    <n v="27.81"/>
    <s v="27-31"/>
    <n v="3"/>
    <n v="3"/>
    <n v="217"/>
    <n v="2.4"/>
    <n v="0"/>
    <n v="0"/>
    <n v="0"/>
    <n v="0"/>
    <n v="0"/>
    <n v="0"/>
    <n v="0"/>
    <n v="0"/>
    <n v="0"/>
    <s v="Always Started"/>
    <n v="0"/>
  </r>
  <r>
    <s v="Tyler Bindon"/>
    <s v="DF"/>
    <x v="42"/>
    <s v="NZ"/>
    <n v="21.42"/>
    <s v="U23"/>
    <n v="3"/>
    <n v="1"/>
    <n v="97"/>
    <n v="1.1000000000000001"/>
    <n v="0"/>
    <n v="0"/>
    <n v="0"/>
    <n v="0"/>
    <n v="0"/>
    <n v="0"/>
    <n v="0"/>
    <n v="0"/>
    <n v="0"/>
    <s v="Mixed"/>
    <n v="2"/>
  </r>
  <r>
    <s v="Cesar Blackman"/>
    <s v="MF,DF"/>
    <x v="31"/>
    <s v="PA"/>
    <n v="28.24"/>
    <s v="27-31"/>
    <n v="2"/>
    <n v="2"/>
    <n v="178"/>
    <n v="2"/>
    <n v="0"/>
    <n v="0"/>
    <n v="0"/>
    <n v="0"/>
    <n v="0"/>
    <n v="0"/>
    <n v="1"/>
    <n v="0"/>
    <n v="0"/>
    <s v="Always Started"/>
    <n v="0"/>
  </r>
  <r>
    <s v="Damian Bobadilla"/>
    <s v="MF"/>
    <x v="23"/>
    <s v="PY"/>
    <n v="24.97"/>
    <s v="23-27"/>
    <n v="4"/>
    <n v="2"/>
    <n v="189"/>
    <n v="2.1"/>
    <n v="0"/>
    <n v="0"/>
    <n v="0"/>
    <n v="0"/>
    <n v="0"/>
    <n v="0"/>
    <n v="0"/>
    <n v="0"/>
    <n v="0"/>
    <s v="Mixed"/>
    <n v="2"/>
  </r>
  <r>
    <s v="Oscar Bobb"/>
    <s v="FW"/>
    <x v="1"/>
    <s v="NO"/>
    <n v="22.97"/>
    <s v="U23"/>
    <n v="3"/>
    <n v="1"/>
    <n v="107"/>
    <n v="1.2"/>
    <n v="0"/>
    <n v="0"/>
    <n v="0"/>
    <n v="0"/>
    <n v="0"/>
    <n v="0"/>
    <n v="0"/>
    <n v="0"/>
    <n v="0"/>
    <s v="Mixed"/>
    <n v="2"/>
  </r>
  <r>
    <s v="Moise Bombito"/>
    <s v="DF"/>
    <x v="15"/>
    <s v="CA"/>
    <n v="26.25"/>
    <s v="23-27"/>
    <n v="2"/>
    <n v="1"/>
    <n v="103"/>
    <n v="1.1000000000000001"/>
    <n v="0"/>
    <n v="0"/>
    <n v="0"/>
    <n v="0"/>
    <n v="0"/>
    <n v="0"/>
    <n v="0"/>
    <n v="0"/>
    <n v="0"/>
    <s v="Mixed"/>
    <n v="1"/>
  </r>
  <r>
    <s v="Theo Bongonda"/>
    <s v="FW,MF"/>
    <x v="39"/>
    <s v="CD"/>
    <n v="30.61"/>
    <s v="27-31"/>
    <n v="1"/>
    <n v="0"/>
    <n v="19"/>
    <n v="0.2"/>
    <n v="0"/>
    <n v="0"/>
    <n v="0"/>
    <n v="0"/>
    <n v="0"/>
    <n v="0"/>
    <n v="0"/>
    <n v="0"/>
    <n v="0"/>
    <s v="Pure Sub"/>
    <n v="1"/>
  </r>
  <r>
    <s v="Ange-Yoan Bonny"/>
    <s v="FW"/>
    <x v="11"/>
    <s v="CI"/>
    <n v="22.68"/>
    <s v="U23"/>
    <n v="3"/>
    <n v="2"/>
    <n v="175"/>
    <n v="1.9"/>
    <n v="0"/>
    <n v="0"/>
    <n v="0"/>
    <n v="0"/>
    <n v="0"/>
    <n v="0"/>
    <n v="0"/>
    <n v="0"/>
    <n v="0"/>
    <s v="Mixed"/>
    <n v="1"/>
  </r>
  <r>
    <s v="Jordy Bos"/>
    <s v="DF,MF"/>
    <x v="41"/>
    <s v="AU"/>
    <n v="23.67"/>
    <s v="23-27"/>
    <n v="3"/>
    <n v="3"/>
    <n v="263"/>
    <n v="2.9"/>
    <n v="0"/>
    <n v="0"/>
    <n v="0"/>
    <n v="0"/>
    <n v="0"/>
    <n v="0"/>
    <n v="1"/>
    <n v="0"/>
    <n v="0"/>
    <s v="Always Started"/>
    <n v="0"/>
  </r>
  <r>
    <s v="Ayyoub Bouaddi"/>
    <s v="MF"/>
    <x v="30"/>
    <s v="MA"/>
    <n v="18.739999999999998"/>
    <s v="U23"/>
    <n v="3"/>
    <n v="3"/>
    <n v="258"/>
    <n v="2.9"/>
    <n v="0"/>
    <n v="0"/>
    <n v="0"/>
    <n v="0"/>
    <n v="0"/>
    <n v="0"/>
    <n v="0"/>
    <n v="0"/>
    <n v="0"/>
    <s v="Always Started"/>
    <n v="0"/>
  </r>
  <r>
    <s v="Hicham Boudaoui"/>
    <s v="MF"/>
    <x v="16"/>
    <s v="DZ"/>
    <n v="26.77"/>
    <s v="23-27"/>
    <n v="2"/>
    <n v="2"/>
    <n v="108"/>
    <n v="1.2"/>
    <n v="0"/>
    <n v="0"/>
    <n v="0"/>
    <n v="0"/>
    <n v="0"/>
    <n v="0"/>
    <n v="0"/>
    <n v="0"/>
    <n v="0"/>
    <s v="Always Started"/>
    <n v="0"/>
  </r>
  <r>
    <s v="Karim Boudiaf"/>
    <s v="MF"/>
    <x v="6"/>
    <s v="QA"/>
    <n v="35.79"/>
    <s v="35+"/>
    <n v="2"/>
    <n v="1"/>
    <n v="102"/>
    <n v="1.1000000000000001"/>
    <n v="0"/>
    <n v="0"/>
    <n v="0"/>
    <n v="0"/>
    <n v="0"/>
    <n v="0"/>
    <n v="0"/>
    <n v="0"/>
    <n v="0"/>
    <s v="Mixed"/>
    <n v="1"/>
  </r>
  <r>
    <s v="Adil Boulbina"/>
    <s v="FW"/>
    <x v="16"/>
    <s v="DZ"/>
    <n v="23.16"/>
    <s v="23-27"/>
    <n v="1"/>
    <n v="0"/>
    <n v="10"/>
    <n v="0.1"/>
    <n v="0"/>
    <n v="0"/>
    <n v="0"/>
    <n v="0"/>
    <n v="0"/>
    <n v="0"/>
    <n v="0"/>
    <n v="0"/>
    <n v="0"/>
    <s v="Pure Sub"/>
    <n v="1"/>
  </r>
  <r>
    <s v="Yassine Bounou"/>
    <s v="GK"/>
    <x v="30"/>
    <s v="MA"/>
    <n v="35.24"/>
    <s v="35+"/>
    <n v="4"/>
    <n v="4"/>
    <n v="390"/>
    <n v="4.3"/>
    <n v="0"/>
    <n v="0"/>
    <n v="0"/>
    <n v="0"/>
    <n v="0"/>
    <n v="0"/>
    <n v="0"/>
    <n v="0"/>
    <n v="0"/>
    <s v="Always Started"/>
    <n v="0"/>
  </r>
  <r>
    <s v="Nawaf Boushal"/>
    <s v="DF"/>
    <x v="4"/>
    <s v="SA"/>
    <n v="26.79"/>
    <s v="23-27"/>
    <n v="2"/>
    <n v="1"/>
    <n v="91"/>
    <n v="1"/>
    <n v="0"/>
    <n v="0"/>
    <n v="0"/>
    <n v="0"/>
    <n v="0"/>
    <n v="0"/>
    <n v="0"/>
    <n v="0"/>
    <n v="0"/>
    <s v="Mixed"/>
    <n v="1"/>
  </r>
  <r>
    <s v="Michael Boxall"/>
    <s v="DF"/>
    <x v="42"/>
    <s v="NZ"/>
    <n v="37.869999999999997"/>
    <s v="35+"/>
    <n v="3"/>
    <n v="2"/>
    <n v="207"/>
    <n v="2.2999999999999998"/>
    <n v="0"/>
    <n v="0"/>
    <n v="0"/>
    <n v="0"/>
    <n v="0"/>
    <n v="0"/>
    <n v="0"/>
    <n v="0"/>
    <n v="0"/>
    <s v="Mixed"/>
    <n v="1"/>
  </r>
  <r>
    <s v="Sultan Al-Brake"/>
    <s v="DF"/>
    <x v="6"/>
    <s v="QA"/>
    <n v="30.23"/>
    <s v="27-31"/>
    <n v="2"/>
    <n v="1"/>
    <n v="141"/>
    <n v="1.6"/>
    <n v="0"/>
    <n v="0"/>
    <n v="0"/>
    <n v="0"/>
    <n v="0"/>
    <n v="0"/>
    <n v="0"/>
    <n v="0"/>
    <n v="0"/>
    <s v="Mixed"/>
    <n v="1"/>
  </r>
  <r>
    <s v="Joshua Brenet"/>
    <s v="DF"/>
    <x v="34"/>
    <s v="CW"/>
    <n v="32.28"/>
    <s v="31-35"/>
    <n v="2"/>
    <n v="2"/>
    <n v="179"/>
    <n v="2"/>
    <n v="0"/>
    <n v="0"/>
    <n v="0"/>
    <n v="0"/>
    <n v="0"/>
    <n v="0"/>
    <n v="0"/>
    <n v="0"/>
    <n v="0"/>
    <s v="Always Started"/>
    <n v="0"/>
  </r>
  <r>
    <s v="Brian Brobbey"/>
    <s v="FW"/>
    <x v="17"/>
    <s v="NL"/>
    <n v="24.41"/>
    <s v="23-27"/>
    <n v="4"/>
    <n v="3"/>
    <n v="223"/>
    <n v="2.5"/>
    <n v="3"/>
    <n v="0"/>
    <n v="3"/>
    <n v="3"/>
    <n v="0"/>
    <n v="0"/>
    <n v="0"/>
    <n v="0"/>
    <n v="1.2"/>
    <s v="Mixed"/>
    <n v="1"/>
  </r>
  <r>
    <s v="Dylan Bronn"/>
    <s v="DF"/>
    <x v="3"/>
    <s v="TN"/>
    <n v="31.03"/>
    <s v="31-35"/>
    <n v="1"/>
    <n v="1"/>
    <n v="45"/>
    <n v="0.5"/>
    <n v="0"/>
    <n v="0"/>
    <n v="0"/>
    <n v="0"/>
    <n v="0"/>
    <n v="0"/>
    <n v="0"/>
    <n v="0"/>
    <n v="0"/>
    <s v="Always Started"/>
    <n v="0"/>
  </r>
  <r>
    <s v="Nathaniel Brown"/>
    <s v="DF"/>
    <x v="32"/>
    <s v="DE"/>
    <n v="23.04"/>
    <s v="23-27"/>
    <n v="3"/>
    <n v="3"/>
    <n v="282"/>
    <n v="3.1"/>
    <n v="1"/>
    <n v="1"/>
    <n v="2"/>
    <n v="1"/>
    <n v="0"/>
    <n v="0"/>
    <n v="0"/>
    <n v="0"/>
    <n v="0.32300000000000001"/>
    <s v="Always Started"/>
    <n v="0"/>
  </r>
  <r>
    <s v="Tajon Buchanan"/>
    <s v="MF"/>
    <x v="15"/>
    <s v="CA"/>
    <n v="27.39"/>
    <s v="27-31"/>
    <n v="4"/>
    <n v="4"/>
    <n v="290"/>
    <n v="3.2"/>
    <n v="0"/>
    <n v="0"/>
    <n v="0"/>
    <n v="0"/>
    <n v="0"/>
    <n v="0"/>
    <n v="0"/>
    <n v="0"/>
    <n v="0"/>
    <s v="Always Started"/>
    <n v="0"/>
  </r>
  <r>
    <s v="Ante Budimir"/>
    <s v="FW"/>
    <x v="40"/>
    <s v="HR"/>
    <n v="34.94"/>
    <s v="31-35"/>
    <n v="2"/>
    <n v="1"/>
    <n v="110"/>
    <n v="1.2"/>
    <n v="1"/>
    <n v="0"/>
    <n v="1"/>
    <n v="1"/>
    <n v="0"/>
    <n v="0"/>
    <n v="0"/>
    <n v="0"/>
    <n v="0.83299999999999996"/>
    <s v="Mixed"/>
    <n v="1"/>
  </r>
  <r>
    <s v="Firas Al-Buraikan"/>
    <s v="FW"/>
    <x v="4"/>
    <s v="SA"/>
    <n v="26.13"/>
    <s v="23-27"/>
    <n v="3"/>
    <n v="3"/>
    <n v="238"/>
    <n v="2.6"/>
    <n v="0"/>
    <n v="0"/>
    <n v="0"/>
    <n v="0"/>
    <n v="0"/>
    <n v="0"/>
    <n v="1"/>
    <n v="0"/>
    <n v="0"/>
    <s v="Always Started"/>
    <n v="0"/>
  </r>
  <r>
    <s v="Cameron Burgess"/>
    <s v="DF"/>
    <x v="41"/>
    <s v="AU"/>
    <n v="30.69"/>
    <s v="27-31"/>
    <n v="2"/>
    <n v="2"/>
    <n v="135"/>
    <n v="1.5"/>
    <n v="0"/>
    <n v="0"/>
    <n v="0"/>
    <n v="0"/>
    <n v="0"/>
    <n v="0"/>
    <n v="0"/>
    <n v="0"/>
    <n v="0"/>
    <s v="Always Started"/>
    <n v="0"/>
  </r>
  <r>
    <s v="Denis Burni?"/>
    <s v="MF"/>
    <x v="21"/>
    <s v="BA"/>
    <n v="28.11"/>
    <s v="27-31"/>
    <n v="2"/>
    <n v="0"/>
    <n v="16"/>
    <n v="0.2"/>
    <n v="0"/>
    <n v="0"/>
    <n v="0"/>
    <n v="0"/>
    <n v="0"/>
    <n v="0"/>
    <n v="0"/>
    <n v="0"/>
    <n v="0"/>
    <s v="Pure Sub"/>
    <n v="2"/>
  </r>
  <r>
    <s v="Gustavo Caballero"/>
    <s v="FW,MF"/>
    <x v="23"/>
    <s v="PY"/>
    <n v="24.77"/>
    <s v="23-27"/>
    <n v="1"/>
    <n v="0"/>
    <n v="66"/>
    <n v="0.7"/>
    <n v="0"/>
    <n v="0"/>
    <n v="0"/>
    <n v="0"/>
    <n v="0"/>
    <n v="0"/>
    <n v="0"/>
    <n v="0"/>
    <n v="0"/>
    <s v="Pure Sub"/>
    <n v="1"/>
  </r>
  <r>
    <s v="Jovane Cabral"/>
    <s v="FW"/>
    <x v="36"/>
    <s v="CV"/>
    <n v="28.04"/>
    <s v="27-31"/>
    <n v="1"/>
    <n v="1"/>
    <n v="60"/>
    <n v="0.7"/>
    <n v="0"/>
    <n v="0"/>
    <n v="0"/>
    <n v="0"/>
    <n v="0"/>
    <n v="0"/>
    <n v="0"/>
    <n v="0"/>
    <n v="0"/>
    <s v="Always Started"/>
    <n v="0"/>
  </r>
  <r>
    <s v="Liberato Cacace"/>
    <s v="DF"/>
    <x v="42"/>
    <s v="NZ"/>
    <n v="25.76"/>
    <s v="23-27"/>
    <n v="3"/>
    <n v="3"/>
    <n v="220"/>
    <n v="2.4"/>
    <n v="0"/>
    <n v="0"/>
    <n v="0"/>
    <n v="0"/>
    <n v="0"/>
    <n v="0"/>
    <n v="0"/>
    <n v="0"/>
    <n v="0"/>
    <s v="Always Started"/>
    <n v="0"/>
  </r>
  <r>
    <s v="Juan Caceres"/>
    <s v="DF"/>
    <x v="23"/>
    <s v="PY"/>
    <n v="26.08"/>
    <s v="23-27"/>
    <n v="4"/>
    <n v="4"/>
    <n v="346"/>
    <n v="3.8"/>
    <n v="0"/>
    <n v="0"/>
    <n v="0"/>
    <n v="0"/>
    <n v="0"/>
    <n v="0"/>
    <n v="1"/>
    <n v="0"/>
    <n v="0"/>
    <s v="Always Started"/>
    <n v="0"/>
  </r>
  <r>
    <s v="Sebastian Caceres"/>
    <s v="DF"/>
    <x v="14"/>
    <s v="UY"/>
    <n v="26.87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Jordy Caicedo"/>
    <s v="FW"/>
    <x v="22"/>
    <s v="EC"/>
    <n v="28.61"/>
    <s v="27-31"/>
    <n v="2"/>
    <n v="0"/>
    <n v="8"/>
    <n v="0.1"/>
    <n v="0"/>
    <n v="0"/>
    <n v="0"/>
    <n v="0"/>
    <n v="0"/>
    <n v="0"/>
    <n v="0"/>
    <n v="0"/>
    <n v="0"/>
    <s v="Pure Sub"/>
    <n v="2"/>
  </r>
  <r>
    <s v="Moises Caicedo"/>
    <s v="MF"/>
    <x v="22"/>
    <s v="EC"/>
    <n v="24.66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U?urcan Cak?r"/>
    <s v="GK"/>
    <x v="18"/>
    <s v="TR"/>
    <n v="30.24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Hakan Calhano?lu"/>
    <s v="MF"/>
    <x v="18"/>
    <s v="TR"/>
    <n v="32.39"/>
    <s v="31-35"/>
    <n v="2"/>
    <n v="2"/>
    <n v="180"/>
    <n v="2"/>
    <n v="0"/>
    <n v="0"/>
    <n v="0"/>
    <n v="0"/>
    <n v="0"/>
    <n v="0"/>
    <n v="0"/>
    <n v="0"/>
    <n v="0"/>
    <s v="Always Started"/>
    <n v="0"/>
  </r>
  <r>
    <s v="Lamine Camara"/>
    <s v="MF"/>
    <x v="43"/>
    <s v="SN"/>
    <n v="22.49"/>
    <s v="U23"/>
    <n v="3"/>
    <n v="3"/>
    <n v="193"/>
    <n v="2.1"/>
    <n v="0"/>
    <n v="1"/>
    <n v="1"/>
    <n v="0"/>
    <n v="0"/>
    <n v="0"/>
    <n v="0"/>
    <n v="0"/>
    <n v="0"/>
    <s v="Always Started"/>
    <n v="0"/>
  </r>
  <r>
    <s v="Jaminton Campaz"/>
    <s v="FW,MF"/>
    <x v="37"/>
    <s v="CO"/>
    <n v="26.1"/>
    <s v="23-27"/>
    <n v="1"/>
    <n v="0"/>
    <n v="19"/>
    <n v="0.2"/>
    <n v="1"/>
    <n v="0"/>
    <n v="1"/>
    <n v="1"/>
    <n v="0"/>
    <n v="0"/>
    <n v="0"/>
    <n v="0"/>
    <n v="5"/>
    <s v="Pure Sub"/>
    <n v="1"/>
  </r>
  <r>
    <s v="?rfan Can Kahveci"/>
    <s v="MF"/>
    <x v="18"/>
    <s v="TR"/>
    <n v="30.96"/>
    <s v="27-31"/>
    <n v="1"/>
    <n v="0"/>
    <n v="1"/>
    <n v="0"/>
    <n v="0"/>
    <n v="0"/>
    <n v="0"/>
    <n v="0"/>
    <n v="0"/>
    <n v="0"/>
    <n v="0"/>
    <n v="0"/>
    <n v="0"/>
    <s v="Pure Sub"/>
    <n v="1"/>
  </r>
  <r>
    <s v="Jose Canale"/>
    <s v="DF"/>
    <x v="23"/>
    <s v="PY"/>
    <n v="29.94"/>
    <s v="27-31"/>
    <n v="3"/>
    <n v="1"/>
    <n v="128"/>
    <n v="1.4"/>
    <n v="0"/>
    <n v="0"/>
    <n v="0"/>
    <n v="0"/>
    <n v="0"/>
    <n v="0"/>
    <n v="0"/>
    <n v="0"/>
    <n v="0"/>
    <s v="Mixed"/>
    <n v="2"/>
  </r>
  <r>
    <s v="Joao Cancelo"/>
    <s v="DF"/>
    <x v="35"/>
    <s v="PT"/>
    <n v="32.090000000000003"/>
    <s v="31-35"/>
    <n v="3"/>
    <n v="3"/>
    <n v="180"/>
    <n v="2"/>
    <n v="0"/>
    <n v="1"/>
    <n v="1"/>
    <n v="0"/>
    <n v="0"/>
    <n v="0"/>
    <n v="0"/>
    <n v="0"/>
    <n v="0"/>
    <s v="Always Started"/>
    <n v="0"/>
  </r>
  <r>
    <s v="Agustin Canobbio"/>
    <s v="FW"/>
    <x v="14"/>
    <s v="UY"/>
    <n v="27.74"/>
    <s v="27-31"/>
    <n v="3"/>
    <n v="2"/>
    <n v="224"/>
    <n v="2.5"/>
    <n v="1"/>
    <n v="0"/>
    <n v="1"/>
    <n v="1"/>
    <n v="0"/>
    <n v="0"/>
    <n v="0"/>
    <n v="1"/>
    <n v="0.4"/>
    <s v="Mixed"/>
    <n v="1"/>
  </r>
  <r>
    <s v="Casemiro"/>
    <s v="MF"/>
    <x v="27"/>
    <s v="BR"/>
    <n v="34.35"/>
    <s v="31-35"/>
    <n v="4"/>
    <n v="4"/>
    <n v="289"/>
    <n v="3.2"/>
    <n v="1"/>
    <n v="0"/>
    <n v="1"/>
    <n v="1"/>
    <n v="0"/>
    <n v="0"/>
    <n v="2"/>
    <n v="0"/>
    <n v="0.312"/>
    <s v="Always Started"/>
    <n v="0"/>
  </r>
  <r>
    <s v="Josue Casimir"/>
    <s v="MF"/>
    <x v="10"/>
    <s v="HT"/>
    <n v="24.76"/>
    <s v="23-27"/>
    <n v="3"/>
    <n v="2"/>
    <n v="182"/>
    <n v="2"/>
    <n v="0"/>
    <n v="0"/>
    <n v="0"/>
    <n v="0"/>
    <n v="0"/>
    <n v="0"/>
    <n v="1"/>
    <n v="0"/>
    <n v="0"/>
    <s v="Mixed"/>
    <n v="1"/>
  </r>
  <r>
    <s v="Timothy Castagne"/>
    <s v="DF"/>
    <x v="44"/>
    <s v="BE"/>
    <n v="30.57"/>
    <s v="27-31"/>
    <n v="3"/>
    <n v="2"/>
    <n v="178"/>
    <n v="2"/>
    <n v="0"/>
    <n v="0"/>
    <n v="0"/>
    <n v="0"/>
    <n v="0"/>
    <n v="0"/>
    <n v="1"/>
    <n v="0"/>
    <n v="0"/>
    <s v="Mixed"/>
    <n v="1"/>
  </r>
  <r>
    <s v="Kevin Castano"/>
    <s v="MF"/>
    <x v="37"/>
    <s v="CO"/>
    <n v="25.75"/>
    <s v="23-27"/>
    <n v="2"/>
    <n v="0"/>
    <n v="16"/>
    <n v="0.2"/>
    <n v="0"/>
    <n v="0"/>
    <n v="0"/>
    <n v="0"/>
    <n v="0"/>
    <n v="0"/>
    <n v="0"/>
    <n v="0"/>
    <n v="0"/>
    <s v="Pure Sub"/>
    <n v="2"/>
  </r>
  <r>
    <s v="Jens Castrop"/>
    <s v="MF"/>
    <x v="45"/>
    <s v="KR"/>
    <n v="22.92"/>
    <s v="U23"/>
    <n v="1"/>
    <n v="0"/>
    <n v="45"/>
    <n v="0.5"/>
    <n v="0"/>
    <n v="0"/>
    <n v="0"/>
    <n v="0"/>
    <n v="0"/>
    <n v="0"/>
    <n v="0"/>
    <n v="0"/>
    <n v="0"/>
    <s v="Pure Sub"/>
    <n v="1"/>
  </r>
  <r>
    <s v="Zeki Celik"/>
    <s v="DF"/>
    <x v="18"/>
    <s v="TR"/>
    <n v="29.36"/>
    <s v="27-31"/>
    <n v="2"/>
    <n v="2"/>
    <n v="163"/>
    <n v="1.8"/>
    <n v="0"/>
    <n v="0"/>
    <n v="0"/>
    <n v="0"/>
    <n v="0"/>
    <n v="0"/>
    <n v="0"/>
    <n v="0"/>
    <n v="0"/>
    <s v="Always Started"/>
    <n v="0"/>
  </r>
  <r>
    <s v="Luka ?erv"/>
    <s v="MF"/>
    <x v="46"/>
    <s v="CZ"/>
    <n v="25.22"/>
    <s v="23-27"/>
    <n v="2"/>
    <n v="2"/>
    <n v="163"/>
    <n v="1.8"/>
    <n v="0"/>
    <n v="0"/>
    <n v="0"/>
    <n v="0"/>
    <n v="0"/>
    <n v="0"/>
    <n v="0"/>
    <n v="0"/>
    <n v="0"/>
    <s v="Always Started"/>
    <n v="0"/>
  </r>
  <r>
    <s v="Fares Chaibi"/>
    <s v="MF"/>
    <x v="16"/>
    <s v="DZ"/>
    <n v="23.59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t?pan Chaloupek"/>
    <s v="DF"/>
    <x v="46"/>
    <s v="CZ"/>
    <n v="23.31"/>
    <s v="23-27"/>
    <n v="1"/>
    <n v="1"/>
    <n v="90"/>
    <n v="1"/>
    <n v="0"/>
    <n v="0"/>
    <n v="0"/>
    <n v="0"/>
    <n v="0"/>
    <n v="0"/>
    <n v="0"/>
    <n v="0"/>
    <n v="0"/>
    <s v="Always Started"/>
    <n v="0"/>
  </r>
  <r>
    <s v="Mouhib Chamakh"/>
    <s v="GK"/>
    <x v="3"/>
    <s v="TN"/>
    <n v="24.85"/>
    <s v="23-27"/>
    <n v="1"/>
    <n v="1"/>
    <n v="90"/>
    <n v="1"/>
    <n v="0"/>
    <n v="0"/>
    <n v="0"/>
    <n v="0"/>
    <n v="0"/>
    <n v="0"/>
    <n v="0"/>
    <n v="0"/>
    <n v="0"/>
    <s v="Always Started"/>
    <n v="0"/>
  </r>
  <r>
    <s v="Firas Chaouat"/>
    <s v="FW"/>
    <x v="3"/>
    <s v="TN"/>
    <n v="30.15"/>
    <s v="27-31"/>
    <n v="3"/>
    <n v="0"/>
    <n v="49"/>
    <n v="0.5"/>
    <n v="0"/>
    <n v="0"/>
    <n v="0"/>
    <n v="0"/>
    <n v="0"/>
    <n v="0"/>
    <n v="0"/>
    <n v="0"/>
    <n v="0"/>
    <s v="Pure Sub"/>
    <n v="3"/>
  </r>
  <r>
    <s v="Luis Chavez"/>
    <s v="MF"/>
    <x v="29"/>
    <s v="MX"/>
    <n v="30.45"/>
    <s v="27-31"/>
    <n v="1"/>
    <n v="0"/>
    <n v="25"/>
    <n v="0.3"/>
    <n v="0"/>
    <n v="0"/>
    <n v="0"/>
    <n v="0"/>
    <n v="0"/>
    <n v="0"/>
    <n v="0"/>
    <n v="0"/>
    <n v="0"/>
    <s v="Pure Sub"/>
    <n v="1"/>
  </r>
  <r>
    <s v="Mateo Chavez"/>
    <s v="DF"/>
    <x v="29"/>
    <s v="MX"/>
    <n v="22.13"/>
    <s v="U23"/>
    <n v="1"/>
    <n v="1"/>
    <n v="77"/>
    <n v="0.9"/>
    <n v="1"/>
    <n v="0"/>
    <n v="1"/>
    <n v="1"/>
    <n v="0"/>
    <n v="0"/>
    <n v="0"/>
    <n v="0"/>
    <n v="1.111"/>
    <s v="Always Started"/>
    <n v="0"/>
  </r>
  <r>
    <s v="Samir Chergui"/>
    <s v="DF"/>
    <x v="16"/>
    <s v="DZ"/>
    <n v="27.39"/>
    <s v="27-31"/>
    <n v="1"/>
    <n v="0"/>
    <n v="20"/>
    <n v="0.2"/>
    <n v="0"/>
    <n v="0"/>
    <n v="0"/>
    <n v="0"/>
    <n v="0"/>
    <n v="0"/>
    <n v="0"/>
    <n v="0"/>
    <n v="0"/>
    <s v="Pure Sub"/>
    <n v="1"/>
  </r>
  <r>
    <s v="Rayan Cherki"/>
    <s v="FW,MF"/>
    <x v="19"/>
    <s v="FR"/>
    <n v="22.87"/>
    <s v="U23"/>
    <n v="3"/>
    <n v="0"/>
    <n v="53"/>
    <n v="0.6"/>
    <n v="0"/>
    <n v="0"/>
    <n v="0"/>
    <n v="0"/>
    <n v="0"/>
    <n v="0"/>
    <n v="0"/>
    <n v="0"/>
    <n v="0"/>
    <s v="Pure Sub"/>
    <n v="3"/>
  </r>
  <r>
    <s v="Mathieu Choiniere"/>
    <s v="MF"/>
    <x v="15"/>
    <s v="CA"/>
    <n v="27.39"/>
    <s v="27-31"/>
    <n v="1"/>
    <n v="1"/>
    <n v="57"/>
    <n v="0.6"/>
    <n v="0"/>
    <n v="0"/>
    <n v="0"/>
    <n v="0"/>
    <n v="0"/>
    <n v="0"/>
    <n v="0"/>
    <n v="0"/>
    <n v="0"/>
    <s v="Always Started"/>
    <n v="0"/>
  </r>
  <r>
    <s v="Tahith Chong"/>
    <s v="MF"/>
    <x v="34"/>
    <s v="CW"/>
    <n v="26.57"/>
    <s v="23-27"/>
    <n v="3"/>
    <n v="3"/>
    <n v="247"/>
    <n v="2.7"/>
    <n v="0"/>
    <n v="0"/>
    <n v="0"/>
    <n v="0"/>
    <n v="0"/>
    <n v="0"/>
    <n v="0"/>
    <n v="0"/>
    <n v="0"/>
    <s v="Always Started"/>
    <n v="0"/>
  </r>
  <r>
    <s v="Toma Chory"/>
    <s v="FW"/>
    <x v="46"/>
    <s v="CZ"/>
    <n v="31.42"/>
    <s v="31-35"/>
    <n v="2"/>
    <n v="0"/>
    <n v="31"/>
    <n v="0.3"/>
    <n v="0"/>
    <n v="0"/>
    <n v="0"/>
    <n v="0"/>
    <n v="0"/>
    <n v="0"/>
    <n v="0"/>
    <n v="0"/>
    <n v="0"/>
    <s v="Pure Sub"/>
    <n v="2"/>
  </r>
  <r>
    <s v="Ryan Christie"/>
    <s v="MF"/>
    <x v="8"/>
    <s v="ST"/>
    <n v="31.35"/>
    <s v="31-35"/>
    <n v="3"/>
    <n v="1"/>
    <n v="95"/>
    <n v="1.1000000000000001"/>
    <n v="0"/>
    <n v="0"/>
    <n v="0"/>
    <n v="0"/>
    <n v="0"/>
    <n v="0"/>
    <n v="1"/>
    <n v="0"/>
    <n v="0"/>
    <s v="Mixed"/>
    <n v="2"/>
  </r>
  <r>
    <s v="Carney Chukwuemeka"/>
    <s v="MF"/>
    <x v="20"/>
    <s v="AT"/>
    <n v="22.69"/>
    <s v="U23"/>
    <n v="2"/>
    <n v="0"/>
    <n v="38"/>
    <n v="0.4"/>
    <n v="0"/>
    <n v="0"/>
    <n v="0"/>
    <n v="0"/>
    <n v="0"/>
    <n v="0"/>
    <n v="0"/>
    <n v="0"/>
    <n v="0"/>
    <s v="Pure Sub"/>
    <n v="2"/>
  </r>
  <r>
    <s v="Mojmir Chytil"/>
    <s v="FW"/>
    <x v="46"/>
    <s v="CZ"/>
    <n v="27.17"/>
    <s v="27-31"/>
    <n v="1"/>
    <n v="0"/>
    <n v="7"/>
    <n v="0.1"/>
    <n v="0"/>
    <n v="0"/>
    <n v="0"/>
    <n v="0"/>
    <n v="0"/>
    <n v="0"/>
    <n v="0"/>
    <n v="0"/>
    <n v="0"/>
    <s v="Pure Sub"/>
    <n v="1"/>
  </r>
  <r>
    <s v="Brian Cipenga"/>
    <s v="MF"/>
    <x v="39"/>
    <s v="CD"/>
    <n v="28.3"/>
    <s v="27-31"/>
    <n v="1"/>
    <n v="1"/>
    <n v="71"/>
    <n v="0.8"/>
    <n v="0"/>
    <n v="0"/>
    <n v="0"/>
    <n v="0"/>
    <n v="0"/>
    <n v="0"/>
    <n v="0"/>
    <n v="0"/>
    <n v="0"/>
    <s v="Always Started"/>
    <n v="0"/>
  </r>
  <r>
    <s v="Alessandro Circati"/>
    <s v="DF"/>
    <x v="41"/>
    <s v="AU"/>
    <n v="22.72"/>
    <s v="U23"/>
    <n v="3"/>
    <n v="3"/>
    <n v="270"/>
    <n v="3"/>
    <n v="0"/>
    <n v="0"/>
    <n v="0"/>
    <n v="0"/>
    <n v="0"/>
    <n v="0"/>
    <n v="1"/>
    <n v="0"/>
    <n v="0"/>
    <s v="Always Started"/>
    <n v="0"/>
  </r>
  <r>
    <s v="Pathe Ciss"/>
    <s v="DF,MF"/>
    <x v="43"/>
    <s v="SN"/>
    <n v="32.29"/>
    <s v="31-35"/>
    <n v="3"/>
    <n v="0"/>
    <n v="64"/>
    <n v="0.7"/>
    <n v="0"/>
    <n v="0"/>
    <n v="0"/>
    <n v="0"/>
    <n v="0"/>
    <n v="0"/>
    <n v="0"/>
    <n v="0"/>
    <n v="0"/>
    <s v="Pure Sub"/>
    <n v="3"/>
  </r>
  <r>
    <s v="Livano Comenencia"/>
    <s v="MF"/>
    <x v="34"/>
    <s v="CW"/>
    <n v="22.4"/>
    <s v="U23"/>
    <n v="3"/>
    <n v="3"/>
    <n v="233"/>
    <n v="2.6"/>
    <n v="1"/>
    <n v="0"/>
    <n v="1"/>
    <n v="1"/>
    <n v="0"/>
    <n v="0"/>
    <n v="1"/>
    <n v="0"/>
    <n v="0.38500000000000001"/>
    <s v="Always Started"/>
    <n v="0"/>
  </r>
  <r>
    <s v="Francisco Conceicao"/>
    <s v="MF"/>
    <x v="35"/>
    <s v="PT"/>
    <n v="23.54"/>
    <s v="23-27"/>
    <n v="2"/>
    <n v="0"/>
    <n v="90"/>
    <n v="1"/>
    <n v="0"/>
    <n v="0"/>
    <n v="0"/>
    <n v="0"/>
    <n v="0"/>
    <n v="0"/>
    <n v="0"/>
    <n v="0"/>
    <n v="0"/>
    <s v="Pure Sub"/>
    <n v="2"/>
  </r>
  <r>
    <s v="Jhon Cordoba"/>
    <s v="FW"/>
    <x v="37"/>
    <s v="CO"/>
    <n v="33.14"/>
    <s v="31-35"/>
    <n v="2"/>
    <n v="1"/>
    <n v="92"/>
    <n v="1"/>
    <n v="0"/>
    <n v="0"/>
    <n v="0"/>
    <n v="0"/>
    <n v="0"/>
    <n v="0"/>
    <n v="0"/>
    <n v="0"/>
    <n v="0"/>
    <s v="Mixed"/>
    <n v="1"/>
  </r>
  <r>
    <s v="Jose Cordoba"/>
    <s v="DF"/>
    <x v="31"/>
    <s v="PA"/>
    <n v="25.32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Derek Cornelius"/>
    <s v="DF"/>
    <x v="15"/>
    <s v="CA"/>
    <n v="28.59"/>
    <s v="27-31"/>
    <n v="4"/>
    <n v="4"/>
    <n v="315"/>
    <n v="3.5"/>
    <n v="0"/>
    <n v="0"/>
    <n v="0"/>
    <n v="0"/>
    <n v="0"/>
    <n v="0"/>
    <n v="1"/>
    <n v="0"/>
    <n v="0"/>
    <s v="Always Started"/>
    <n v="0"/>
  </r>
  <r>
    <s v="Diogo Costa"/>
    <s v="GK"/>
    <x v="35"/>
    <s v="PT"/>
    <n v="26.78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Nuno da Costa"/>
    <s v="FW,MF"/>
    <x v="36"/>
    <s v="CV"/>
    <n v="35.380000000000003"/>
    <s v="35+"/>
    <n v="3"/>
    <n v="0"/>
    <n v="93"/>
    <n v="1"/>
    <n v="0"/>
    <n v="0"/>
    <n v="0"/>
    <n v="0"/>
    <n v="0"/>
    <n v="0"/>
    <n v="0"/>
    <n v="0"/>
    <n v="0"/>
    <s v="Pure Sub"/>
    <n v="3"/>
  </r>
  <r>
    <s v="Samu Costa"/>
    <s v="MF"/>
    <x v="35"/>
    <s v="PT"/>
    <n v="25.59"/>
    <s v="23-27"/>
    <n v="1"/>
    <n v="0"/>
    <n v="21"/>
    <n v="0.2"/>
    <n v="0"/>
    <n v="0"/>
    <n v="0"/>
    <n v="0"/>
    <n v="0"/>
    <n v="0"/>
    <n v="0"/>
    <n v="0"/>
    <n v="0"/>
    <s v="Pure Sub"/>
    <n v="1"/>
  </r>
  <r>
    <s v="Vladimir Coufal"/>
    <s v="MF,DF"/>
    <x v="46"/>
    <s v="CZ"/>
    <n v="33.85"/>
    <s v="31-35"/>
    <n v="3"/>
    <n v="3"/>
    <n v="270"/>
    <n v="3"/>
    <n v="0"/>
    <n v="1"/>
    <n v="1"/>
    <n v="0"/>
    <n v="0"/>
    <n v="0"/>
    <n v="0"/>
    <n v="0"/>
    <n v="0"/>
    <s v="Always Started"/>
    <n v="0"/>
  </r>
  <r>
    <s v="Thibaut Courtois"/>
    <s v="GK"/>
    <x v="44"/>
    <s v="BE"/>
    <n v="34.14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Maxime Crepeau"/>
    <s v="GK"/>
    <x v="15"/>
    <s v="CA"/>
    <n v="32.14"/>
    <s v="31-35"/>
    <n v="4"/>
    <n v="4"/>
    <n v="360"/>
    <n v="4"/>
    <n v="0"/>
    <n v="0"/>
    <n v="0"/>
    <n v="0"/>
    <n v="0"/>
    <n v="0"/>
    <n v="0"/>
    <n v="0"/>
    <n v="0"/>
    <s v="Always Started"/>
    <n v="0"/>
  </r>
  <r>
    <s v="Max Crocombe"/>
    <s v="GK"/>
    <x v="42"/>
    <s v="NZ"/>
    <n v="32.880000000000003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Pau Cubarsi"/>
    <s v="DF"/>
    <x v="38"/>
    <s v="ES"/>
    <n v="19.440000000000001"/>
    <s v="U23"/>
    <n v="3"/>
    <n v="3"/>
    <n v="270"/>
    <n v="3"/>
    <n v="0"/>
    <n v="0"/>
    <n v="0"/>
    <n v="0"/>
    <n v="0"/>
    <n v="0"/>
    <n v="0"/>
    <n v="0"/>
    <n v="0"/>
    <s v="Always Started"/>
    <n v="0"/>
  </r>
  <r>
    <s v="Andres Cubas"/>
    <s v="MF"/>
    <x v="23"/>
    <s v="PY"/>
    <n v="30.11"/>
    <s v="27-31"/>
    <n v="4"/>
    <n v="4"/>
    <n v="390"/>
    <n v="4.3"/>
    <n v="0"/>
    <n v="0"/>
    <n v="0"/>
    <n v="0"/>
    <n v="0"/>
    <n v="0"/>
    <n v="1"/>
    <n v="0"/>
    <n v="0"/>
    <s v="Always Started"/>
    <n v="0"/>
  </r>
  <r>
    <s v="Cucho"/>
    <s v="FW,MF"/>
    <x v="37"/>
    <s v="CO"/>
    <n v="27.19"/>
    <s v="27-31"/>
    <n v="1"/>
    <n v="0"/>
    <n v="11"/>
    <n v="0.1"/>
    <n v="0"/>
    <n v="1"/>
    <n v="1"/>
    <n v="0"/>
    <n v="0"/>
    <n v="0"/>
    <n v="0"/>
    <n v="0"/>
    <n v="0"/>
    <s v="Pure Sub"/>
    <n v="1"/>
  </r>
  <r>
    <s v="Marc Cucurella"/>
    <s v="DF"/>
    <x v="38"/>
    <s v="ES"/>
    <n v="27.94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Matheus Cunha"/>
    <s v="FW"/>
    <x v="27"/>
    <s v="BR"/>
    <n v="27.09"/>
    <s v="27-31"/>
    <n v="4"/>
    <n v="3"/>
    <n v="233"/>
    <n v="2.6"/>
    <n v="3"/>
    <n v="0"/>
    <n v="3"/>
    <n v="3"/>
    <n v="0"/>
    <n v="0"/>
    <n v="0"/>
    <n v="0"/>
    <n v="1.1539999999999999"/>
    <s v="Mixed"/>
    <n v="1"/>
  </r>
  <r>
    <s v="Findlay Curtis"/>
    <s v="MF"/>
    <x v="8"/>
    <s v="ST"/>
    <n v="19.739999999999998"/>
    <s v="U23"/>
    <n v="2"/>
    <n v="0"/>
    <n v="9"/>
    <n v="0.1"/>
    <n v="0"/>
    <n v="0"/>
    <n v="0"/>
    <n v="0"/>
    <n v="0"/>
    <n v="0"/>
    <n v="1"/>
    <n v="0"/>
    <n v="0"/>
    <s v="Pure Sub"/>
    <n v="2"/>
  </r>
  <r>
    <s v="Aymen Dahmen"/>
    <s v="GK"/>
    <x v="3"/>
    <s v="TN"/>
    <n v="29.42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Diogo Dalot"/>
    <s v="DF,MF"/>
    <x v="35"/>
    <s v="PT"/>
    <n v="27.28"/>
    <s v="27-31"/>
    <n v="1"/>
    <n v="0"/>
    <n v="45"/>
    <n v="0.5"/>
    <n v="0"/>
    <n v="0"/>
    <n v="0"/>
    <n v="0"/>
    <n v="0"/>
    <n v="0"/>
    <n v="0"/>
    <n v="0"/>
    <n v="0"/>
    <s v="Pure Sub"/>
    <n v="1"/>
  </r>
  <r>
    <s v="Danilo"/>
    <s v="DF"/>
    <x v="27"/>
    <s v="BR"/>
    <n v="34.96"/>
    <s v="31-35"/>
    <n v="4"/>
    <n v="3"/>
    <n v="315"/>
    <n v="3.5"/>
    <n v="0"/>
    <n v="0"/>
    <n v="0"/>
    <n v="0"/>
    <n v="0"/>
    <n v="0"/>
    <n v="2"/>
    <n v="0"/>
    <n v="0"/>
    <s v="Mixed"/>
    <n v="1"/>
  </r>
  <r>
    <s v="Kevin Danso"/>
    <s v="DF"/>
    <x v="20"/>
    <s v="AT"/>
    <n v="27.78"/>
    <s v="27-31"/>
    <n v="3"/>
    <n v="1"/>
    <n v="151"/>
    <n v="1.7"/>
    <n v="0"/>
    <n v="0"/>
    <n v="0"/>
    <n v="0"/>
    <n v="0"/>
    <n v="0"/>
    <n v="0"/>
    <n v="0"/>
    <n v="0"/>
    <s v="Mixed"/>
    <n v="2"/>
  </r>
  <r>
    <s v="Vladimir Darida"/>
    <s v="MF"/>
    <x v="46"/>
    <s v="CZ"/>
    <n v="35.89"/>
    <s v="35+"/>
    <n v="1"/>
    <n v="1"/>
    <n v="54"/>
    <n v="0.6"/>
    <n v="0"/>
    <n v="0"/>
    <n v="0"/>
    <n v="0"/>
    <n v="0"/>
    <n v="0"/>
    <n v="0"/>
    <n v="0"/>
    <n v="0"/>
    <s v="Always Started"/>
    <n v="0"/>
  </r>
  <r>
    <s v="Jonathan David"/>
    <s v="FW"/>
    <x v="15"/>
    <s v="CA"/>
    <n v="26.46"/>
    <s v="23-27"/>
    <n v="4"/>
    <n v="4"/>
    <n v="330"/>
    <n v="3.7"/>
    <n v="3"/>
    <n v="0"/>
    <n v="3"/>
    <n v="3"/>
    <n v="0"/>
    <n v="0"/>
    <n v="0"/>
    <n v="0"/>
    <n v="0.81100000000000005"/>
    <s v="Always Started"/>
    <n v="0"/>
  </r>
  <r>
    <s v="Promise David"/>
    <s v="FW"/>
    <x v="15"/>
    <s v="CA"/>
    <n v="24.99"/>
    <s v="23-27"/>
    <n v="3"/>
    <n v="0"/>
    <n v="67"/>
    <n v="0.7"/>
    <n v="1"/>
    <n v="1"/>
    <n v="2"/>
    <n v="1"/>
    <n v="0"/>
    <n v="0"/>
    <n v="0"/>
    <n v="0"/>
    <n v="1.429"/>
    <s v="Pure Sub"/>
    <n v="3"/>
  </r>
  <r>
    <s v="Alphonso Davies"/>
    <s v="DF,FW"/>
    <x v="15"/>
    <s v="CA"/>
    <n v="25.66"/>
    <s v="23-27"/>
    <n v="1"/>
    <n v="0"/>
    <n v="16"/>
    <n v="0.2"/>
    <n v="0"/>
    <n v="0"/>
    <n v="0"/>
    <n v="0"/>
    <n v="0"/>
    <n v="0"/>
    <n v="0"/>
    <n v="0"/>
    <n v="0"/>
    <s v="Pure Sub"/>
    <n v="1"/>
  </r>
  <r>
    <s v="Erick Davis"/>
    <s v="DF"/>
    <x v="31"/>
    <s v="PA"/>
    <n v="35.25"/>
    <s v="35+"/>
    <n v="2"/>
    <n v="0"/>
    <n v="4"/>
    <n v="0"/>
    <n v="0"/>
    <n v="0"/>
    <n v="0"/>
    <n v="0"/>
    <n v="0"/>
    <n v="0"/>
    <n v="0"/>
    <n v="0"/>
    <n v="0"/>
    <s v="Pure Sub"/>
    <n v="2"/>
  </r>
  <r>
    <s v="Nasser Al-Dawsari"/>
    <s v="MF"/>
    <x v="4"/>
    <s v="SA"/>
    <n v="27.53"/>
    <s v="27-31"/>
    <n v="3"/>
    <n v="2"/>
    <n v="207"/>
    <n v="2.2999999999999998"/>
    <n v="0"/>
    <n v="0"/>
    <n v="0"/>
    <n v="0"/>
    <n v="0"/>
    <n v="0"/>
    <n v="1"/>
    <n v="0"/>
    <n v="0"/>
    <s v="Mixed"/>
    <n v="1"/>
  </r>
  <r>
    <s v="Salem Al-Dawsari"/>
    <s v="MF"/>
    <x v="4"/>
    <s v="SA"/>
    <n v="34.86"/>
    <s v="31-35"/>
    <n v="3"/>
    <n v="3"/>
    <n v="245"/>
    <n v="2.7"/>
    <n v="0"/>
    <n v="0"/>
    <n v="0"/>
    <n v="0"/>
    <n v="0"/>
    <n v="0"/>
    <n v="1"/>
    <n v="0"/>
    <n v="0"/>
    <s v="Always Started"/>
    <n v="0"/>
  </r>
  <r>
    <s v="Mohammad Al-Dawud"/>
    <s v="FW,MF"/>
    <x v="7"/>
    <s v="JO"/>
    <n v="34.22"/>
    <s v="31-35"/>
    <n v="1"/>
    <n v="0"/>
    <n v="3"/>
    <n v="0"/>
    <n v="0"/>
    <n v="0"/>
    <n v="0"/>
    <n v="0"/>
    <n v="0"/>
    <n v="0"/>
    <n v="0"/>
    <n v="0"/>
    <n v="0"/>
    <s v="Pure Sub"/>
    <n v="1"/>
  </r>
  <r>
    <s v="Kevin De Bruyne"/>
    <s v="MF"/>
    <x v="44"/>
    <s v="BE"/>
    <n v="35.01"/>
    <s v="35+"/>
    <n v="3"/>
    <n v="3"/>
    <n v="242"/>
    <n v="2.7"/>
    <n v="1"/>
    <n v="0"/>
    <n v="1"/>
    <n v="1"/>
    <n v="0"/>
    <n v="0"/>
    <n v="0"/>
    <n v="0"/>
    <n v="0.37"/>
    <s v="Always Started"/>
    <n v="0"/>
  </r>
  <r>
    <s v="Maxim De Cuyper"/>
    <s v="DF"/>
    <x v="44"/>
    <s v="BE"/>
    <n v="25.52"/>
    <s v="23-27"/>
    <n v="3"/>
    <n v="2"/>
    <n v="215"/>
    <n v="2.4"/>
    <n v="0"/>
    <n v="0"/>
    <n v="0"/>
    <n v="0"/>
    <n v="0"/>
    <n v="0"/>
    <n v="1"/>
    <n v="0"/>
    <n v="0"/>
    <s v="Mixed"/>
    <n v="1"/>
  </r>
  <r>
    <s v="Luc De Fougerolles"/>
    <s v="DF"/>
    <x v="15"/>
    <s v="CA"/>
    <n v="20.71"/>
    <s v="U23"/>
    <n v="4"/>
    <n v="3"/>
    <n v="282"/>
    <n v="3.1"/>
    <n v="0"/>
    <n v="0"/>
    <n v="0"/>
    <n v="0"/>
    <n v="0"/>
    <n v="0"/>
    <n v="1"/>
    <n v="0"/>
    <n v="0"/>
    <s v="Mixed"/>
    <n v="1"/>
  </r>
  <r>
    <s v="Charles De Ketelaere"/>
    <s v="FW"/>
    <x v="44"/>
    <s v="BE"/>
    <n v="25.31"/>
    <s v="23-27"/>
    <n v="2"/>
    <n v="2"/>
    <n v="149"/>
    <n v="1.7"/>
    <n v="0"/>
    <n v="0"/>
    <n v="0"/>
    <n v="0"/>
    <n v="0"/>
    <n v="0"/>
    <n v="0"/>
    <n v="0"/>
    <n v="0"/>
    <s v="Always Started"/>
    <n v="0"/>
  </r>
  <r>
    <s v="Nicolas De La Cruz"/>
    <s v="MF"/>
    <x v="14"/>
    <s v="UY"/>
    <n v="29.08"/>
    <s v="27-31"/>
    <n v="3"/>
    <n v="0"/>
    <n v="86"/>
    <n v="1"/>
    <n v="0"/>
    <n v="0"/>
    <n v="0"/>
    <n v="0"/>
    <n v="0"/>
    <n v="0"/>
    <n v="1"/>
    <n v="0"/>
    <n v="0"/>
    <s v="Pure Sub"/>
    <n v="3"/>
  </r>
  <r>
    <s v="Rodrigo De Paul"/>
    <s v="MF"/>
    <x v="28"/>
    <s v="AR"/>
    <n v="32.1"/>
    <s v="31-35"/>
    <n v="2"/>
    <n v="2"/>
    <n v="171"/>
    <n v="1.9"/>
    <n v="0"/>
    <n v="1"/>
    <n v="1"/>
    <n v="0"/>
    <n v="0"/>
    <n v="0"/>
    <n v="0"/>
    <n v="0"/>
    <n v="0"/>
    <s v="Always Started"/>
    <n v="0"/>
  </r>
  <r>
    <s v="Amar Dedi?"/>
    <s v="DF"/>
    <x v="21"/>
    <s v="BA"/>
    <n v="23.87"/>
    <s v="23-27"/>
    <n v="2"/>
    <n v="2"/>
    <n v="180"/>
    <n v="2"/>
    <n v="0"/>
    <n v="0"/>
    <n v="0"/>
    <n v="0"/>
    <n v="0"/>
    <n v="0"/>
    <n v="1"/>
    <n v="0"/>
    <n v="0"/>
    <s v="Always Started"/>
    <n v="0"/>
  </r>
  <r>
    <s v="Louicius Deedson"/>
    <s v="MF"/>
    <x v="10"/>
    <s v="HT"/>
    <n v="25.38"/>
    <s v="23-27"/>
    <n v="3"/>
    <n v="1"/>
    <n v="112"/>
    <n v="1.2"/>
    <n v="0"/>
    <n v="0"/>
    <n v="0"/>
    <n v="0"/>
    <n v="0"/>
    <n v="0"/>
    <n v="0"/>
    <n v="0"/>
    <n v="0"/>
    <s v="Mixed"/>
    <n v="2"/>
  </r>
  <r>
    <s v="Hannes Delcroix"/>
    <s v="DF"/>
    <x v="10"/>
    <s v="HT"/>
    <n v="27.33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Ousmane Dembele"/>
    <s v="MF"/>
    <x v="19"/>
    <s v="FR"/>
    <n v="29.13"/>
    <s v="27-31"/>
    <n v="3"/>
    <n v="3"/>
    <n v="210"/>
    <n v="2.2999999999999998"/>
    <n v="4"/>
    <n v="1"/>
    <n v="5"/>
    <n v="4"/>
    <n v="0"/>
    <n v="0"/>
    <n v="0"/>
    <n v="0"/>
    <n v="1.7390000000000001"/>
    <s v="Always Started"/>
    <n v="0"/>
  </r>
  <r>
    <s v="Merih Demiral"/>
    <s v="DF"/>
    <x v="18"/>
    <s v="TR"/>
    <n v="28.32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Ermedin Demirovi?"/>
    <s v="FW"/>
    <x v="21"/>
    <s v="BA"/>
    <n v="28.27"/>
    <s v="27-31"/>
    <n v="3"/>
    <n v="3"/>
    <n v="264"/>
    <n v="2.9"/>
    <n v="0"/>
    <n v="0"/>
    <n v="0"/>
    <n v="0"/>
    <n v="0"/>
    <n v="0"/>
    <n v="1"/>
    <n v="0"/>
    <n v="0"/>
    <s v="Always Started"/>
    <n v="0"/>
  </r>
  <r>
    <s v="Sergino Dest"/>
    <s v="MF"/>
    <x v="0"/>
    <s v="US"/>
    <n v="25.65"/>
    <s v="23-27"/>
    <n v="3"/>
    <n v="2"/>
    <n v="165"/>
    <n v="1.8"/>
    <n v="0"/>
    <n v="0"/>
    <n v="0"/>
    <n v="0"/>
    <n v="0"/>
    <n v="0"/>
    <n v="0"/>
    <n v="0"/>
    <n v="0"/>
    <s v="Mixed"/>
    <n v="1"/>
  </r>
  <r>
    <s v="Frans Dhia Putros"/>
    <s v="DF"/>
    <x v="24"/>
    <s v="IQ"/>
    <n v="32.96"/>
    <s v="31-35"/>
    <n v="1"/>
    <n v="1"/>
    <n v="90"/>
    <n v="1"/>
    <n v="0"/>
    <n v="0"/>
    <n v="0"/>
    <n v="0"/>
    <n v="0"/>
    <n v="0"/>
    <n v="0"/>
    <n v="0"/>
    <n v="0"/>
    <s v="Always Started"/>
    <n v="0"/>
  </r>
  <r>
    <s v="Oumar Diakite"/>
    <s v="FW"/>
    <x v="11"/>
    <s v="CI"/>
    <n v="22.53"/>
    <s v="U23"/>
    <n v="1"/>
    <n v="0"/>
    <n v="24"/>
    <n v="0.3"/>
    <n v="0"/>
    <n v="0"/>
    <n v="0"/>
    <n v="0"/>
    <n v="0"/>
    <n v="0"/>
    <n v="0"/>
    <n v="0"/>
    <n v="0"/>
    <s v="Pure Sub"/>
    <n v="1"/>
  </r>
  <r>
    <s v="Amad Diallo"/>
    <s v="MF,FW"/>
    <x v="11"/>
    <s v="CI"/>
    <n v="23.97"/>
    <s v="23-27"/>
    <n v="3"/>
    <n v="2"/>
    <n v="154"/>
    <n v="1.7"/>
    <n v="1"/>
    <n v="0"/>
    <n v="1"/>
    <n v="1"/>
    <n v="0"/>
    <n v="0"/>
    <n v="0"/>
    <n v="0"/>
    <n v="0.58799999999999997"/>
    <s v="Mixed"/>
    <n v="1"/>
  </r>
  <r>
    <s v="Assane Diao"/>
    <s v="MF"/>
    <x v="43"/>
    <s v="SN"/>
    <n v="20.81"/>
    <s v="U23"/>
    <n v="1"/>
    <n v="0"/>
    <n v="10"/>
    <n v="0.1"/>
    <n v="0"/>
    <n v="0"/>
    <n v="0"/>
    <n v="0"/>
    <n v="0"/>
    <n v="0"/>
    <n v="0"/>
    <n v="0"/>
    <n v="0"/>
    <s v="Pure Sub"/>
    <n v="1"/>
  </r>
  <r>
    <s v="Habib Diarra"/>
    <s v="MF"/>
    <x v="43"/>
    <s v="SN"/>
    <n v="22.49"/>
    <s v="U23"/>
    <n v="2"/>
    <n v="1"/>
    <n v="71"/>
    <n v="0.8"/>
    <n v="1"/>
    <n v="0"/>
    <n v="1"/>
    <n v="1"/>
    <n v="0"/>
    <n v="0"/>
    <n v="0"/>
    <n v="0"/>
    <n v="1.25"/>
    <s v="Mixed"/>
    <n v="1"/>
  </r>
  <r>
    <s v="Ruben Dias"/>
    <s v="DF"/>
    <x v="35"/>
    <s v="PT"/>
    <n v="29.13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Krepin Diatta"/>
    <s v="DF"/>
    <x v="43"/>
    <s v="SN"/>
    <n v="27.34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Mory Diaw"/>
    <s v="GK"/>
    <x v="43"/>
    <s v="SN"/>
    <n v="33.020000000000003"/>
    <s v="31-35"/>
    <n v="2"/>
    <n v="1"/>
    <n v="118"/>
    <n v="1.3"/>
    <n v="0"/>
    <n v="0"/>
    <n v="0"/>
    <n v="0"/>
    <n v="0"/>
    <n v="0"/>
    <n v="0"/>
    <n v="0"/>
    <n v="0"/>
    <s v="Mixed"/>
    <n v="1"/>
  </r>
  <r>
    <s v="Brahim Diaz"/>
    <s v="MF"/>
    <x v="30"/>
    <s v="MA"/>
    <n v="26.91"/>
    <s v="23-27"/>
    <n v="4"/>
    <n v="4"/>
    <n v="294"/>
    <n v="3.3"/>
    <n v="0"/>
    <n v="2"/>
    <n v="2"/>
    <n v="0"/>
    <n v="0"/>
    <n v="0"/>
    <n v="0"/>
    <n v="0"/>
    <n v="0"/>
    <s v="Always Started"/>
    <n v="0"/>
  </r>
  <r>
    <s v="Ismael Diaz"/>
    <s v="FW,MF"/>
    <x v="31"/>
    <s v="PA"/>
    <n v="29.13"/>
    <s v="27-31"/>
    <n v="2"/>
    <n v="0"/>
    <n v="37"/>
    <n v="0.4"/>
    <n v="0"/>
    <n v="0"/>
    <n v="0"/>
    <n v="0"/>
    <n v="0"/>
    <n v="0"/>
    <n v="0"/>
    <n v="0"/>
    <n v="0"/>
    <s v="Pure Sub"/>
    <n v="2"/>
  </r>
  <r>
    <s v="Luis Diaz"/>
    <s v="FW"/>
    <x v="37"/>
    <s v="CO"/>
    <n v="29.46"/>
    <s v="27-31"/>
    <n v="3"/>
    <n v="3"/>
    <n v="269"/>
    <n v="3"/>
    <n v="1"/>
    <n v="1"/>
    <n v="2"/>
    <n v="1"/>
    <n v="0"/>
    <n v="0"/>
    <n v="0"/>
    <n v="0"/>
    <n v="0.33300000000000002"/>
    <s v="Always Started"/>
    <n v="0"/>
  </r>
  <r>
    <s v="Bamba Dieng"/>
    <s v="FW"/>
    <x v="43"/>
    <s v="SN"/>
    <n v="26.27"/>
    <s v="23-27"/>
    <n v="1"/>
    <n v="0"/>
    <n v="8"/>
    <n v="0.1"/>
    <n v="0"/>
    <n v="0"/>
    <n v="0"/>
    <n v="0"/>
    <n v="0"/>
    <n v="0"/>
    <n v="0"/>
    <n v="0"/>
    <n v="0"/>
    <s v="Pure Sub"/>
    <n v="1"/>
  </r>
  <r>
    <s v="Lucas Digne"/>
    <s v="DF"/>
    <x v="19"/>
    <s v="FR"/>
    <n v="32.94"/>
    <s v="31-35"/>
    <n v="1"/>
    <n v="1"/>
    <n v="90"/>
    <n v="1"/>
    <n v="0"/>
    <n v="0"/>
    <n v="0"/>
    <n v="0"/>
    <n v="0"/>
    <n v="0"/>
    <n v="0"/>
    <n v="0"/>
    <n v="0"/>
    <s v="Always Started"/>
    <n v="0"/>
  </r>
  <r>
    <s v="Diney"/>
    <s v="DF"/>
    <x v="36"/>
    <s v="CV"/>
    <n v="31.45"/>
    <s v="31-35"/>
    <n v="3"/>
    <n v="3"/>
    <n v="270"/>
    <n v="3"/>
    <n v="0"/>
    <n v="0"/>
    <n v="0"/>
    <n v="0"/>
    <n v="0"/>
    <n v="0"/>
    <n v="1"/>
    <n v="0"/>
    <n v="0"/>
    <s v="Always Started"/>
    <n v="0"/>
  </r>
  <r>
    <s v="Ousmane Diomande"/>
    <s v="DF"/>
    <x v="11"/>
    <s v="CI"/>
    <n v="22.57"/>
    <s v="U23"/>
    <n v="1"/>
    <n v="1"/>
    <n v="90"/>
    <n v="1"/>
    <n v="0"/>
    <n v="0"/>
    <n v="0"/>
    <n v="0"/>
    <n v="0"/>
    <n v="0"/>
    <n v="0"/>
    <n v="0"/>
    <n v="0"/>
    <s v="Always Started"/>
    <n v="0"/>
  </r>
  <r>
    <s v="Yan Diomande"/>
    <s v="MF,FW"/>
    <x v="11"/>
    <s v="CI"/>
    <n v="19.62"/>
    <s v="U23"/>
    <n v="3"/>
    <n v="3"/>
    <n v="240"/>
    <n v="2.7"/>
    <n v="0"/>
    <n v="1"/>
    <n v="1"/>
    <n v="0"/>
    <n v="0"/>
    <n v="0"/>
    <n v="0"/>
    <n v="0"/>
    <n v="0"/>
    <s v="Always Started"/>
    <n v="0"/>
  </r>
  <r>
    <s v="Issa Diop"/>
    <s v="DF"/>
    <x v="30"/>
    <s v="MA"/>
    <n v="29.47"/>
    <s v="27-31"/>
    <n v="3"/>
    <n v="3"/>
    <n v="300"/>
    <n v="3.3"/>
    <n v="1"/>
    <n v="0"/>
    <n v="1"/>
    <n v="1"/>
    <n v="0"/>
    <n v="0"/>
    <n v="2"/>
    <n v="0"/>
    <n v="0.30299999999999999"/>
    <s v="Always Started"/>
    <n v="0"/>
  </r>
  <r>
    <s v="El Hadji Malick Diouf"/>
    <s v="DF"/>
    <x v="43"/>
    <s v="SN"/>
    <n v="21.5"/>
    <s v="U23"/>
    <n v="2"/>
    <n v="2"/>
    <n v="143"/>
    <n v="1.6"/>
    <n v="0"/>
    <n v="0"/>
    <n v="0"/>
    <n v="0"/>
    <n v="0"/>
    <n v="0"/>
    <n v="0"/>
    <n v="0"/>
    <n v="0"/>
    <s v="Always Started"/>
    <n v="0"/>
  </r>
  <r>
    <s v="Ritsu Doan"/>
    <s v="MF"/>
    <x v="47"/>
    <s v="JP"/>
    <n v="28.04"/>
    <s v="27-31"/>
    <n v="4"/>
    <n v="4"/>
    <n v="278"/>
    <n v="3.1"/>
    <n v="0"/>
    <n v="1"/>
    <n v="1"/>
    <n v="0"/>
    <n v="0"/>
    <n v="0"/>
    <n v="0"/>
    <n v="0"/>
    <n v="0"/>
    <s v="Always Started"/>
    <n v="0"/>
  </r>
  <r>
    <s v="Jeremy Doku"/>
    <s v="MF"/>
    <x v="44"/>
    <s v="BE"/>
    <n v="24.09"/>
    <s v="23-27"/>
    <n v="2"/>
    <n v="2"/>
    <n v="140"/>
    <n v="1.6"/>
    <n v="0"/>
    <n v="0"/>
    <n v="0"/>
    <n v="0"/>
    <n v="0"/>
    <n v="0"/>
    <n v="0"/>
    <n v="0"/>
    <n v="0"/>
    <s v="Always Started"/>
    <n v="0"/>
  </r>
  <r>
    <s v="Merchas Doski"/>
    <s v="DF"/>
    <x v="24"/>
    <s v="IQ"/>
    <n v="26.56"/>
    <s v="23-27"/>
    <n v="3"/>
    <n v="3"/>
    <n v="270"/>
    <n v="3"/>
    <n v="0"/>
    <n v="0"/>
    <n v="0"/>
    <n v="0"/>
    <n v="0"/>
    <n v="0"/>
    <n v="1"/>
    <n v="0"/>
    <n v="0"/>
    <s v="Always Started"/>
    <n v="0"/>
  </r>
  <r>
    <s v="David Doud?ra"/>
    <s v="MF"/>
    <x v="46"/>
    <s v="CZ"/>
    <n v="28.08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Desire Doue"/>
    <s v="MF"/>
    <x v="19"/>
    <s v="FR"/>
    <n v="21.07"/>
    <s v="U23"/>
    <n v="3"/>
    <n v="2"/>
    <n v="199"/>
    <n v="2.2000000000000002"/>
    <n v="1"/>
    <n v="0"/>
    <n v="1"/>
    <n v="1"/>
    <n v="0"/>
    <n v="0"/>
    <n v="0"/>
    <n v="0"/>
    <n v="0.45500000000000002"/>
    <s v="Mixed"/>
    <n v="1"/>
  </r>
  <r>
    <s v="Guela Doue"/>
    <s v="DF"/>
    <x v="11"/>
    <s v="CI"/>
    <n v="23.7"/>
    <s v="23-27"/>
    <n v="3"/>
    <n v="2"/>
    <n v="187"/>
    <n v="2.1"/>
    <n v="0"/>
    <n v="0"/>
    <n v="0"/>
    <n v="0"/>
    <n v="0"/>
    <n v="0"/>
    <n v="1"/>
    <n v="0"/>
    <n v="0"/>
    <s v="Mixed"/>
    <n v="1"/>
  </r>
  <r>
    <s v="Deroy Duarte"/>
    <s v="MF"/>
    <x v="36"/>
    <s v="CV"/>
    <n v="26.99"/>
    <s v="23-27"/>
    <n v="3"/>
    <n v="1"/>
    <n v="165"/>
    <n v="1.8"/>
    <n v="0"/>
    <n v="0"/>
    <n v="0"/>
    <n v="0"/>
    <n v="0"/>
    <n v="0"/>
    <n v="0"/>
    <n v="0"/>
    <n v="0"/>
    <s v="Mixed"/>
    <n v="2"/>
  </r>
  <r>
    <s v="Laros Duarte"/>
    <s v="MF"/>
    <x v="36"/>
    <s v="CV"/>
    <n v="29.33"/>
    <s v="27-31"/>
    <n v="3"/>
    <n v="1"/>
    <n v="100"/>
    <n v="1.1000000000000001"/>
    <n v="0"/>
    <n v="0"/>
    <n v="0"/>
    <n v="0"/>
    <n v="0"/>
    <n v="0"/>
    <n v="0"/>
    <n v="0"/>
    <n v="0"/>
    <s v="Mixed"/>
    <n v="2"/>
  </r>
  <r>
    <s v="Denzel Dumfries"/>
    <s v="DF,MF"/>
    <x v="17"/>
    <s v="NL"/>
    <n v="30.2"/>
    <s v="27-31"/>
    <n v="4"/>
    <n v="4"/>
    <n v="390"/>
    <n v="4.3"/>
    <n v="0"/>
    <n v="2"/>
    <n v="2"/>
    <n v="0"/>
    <n v="0"/>
    <n v="0"/>
    <n v="0"/>
    <n v="0"/>
    <n v="0"/>
    <s v="Always Started"/>
    <n v="0"/>
  </r>
  <r>
    <s v="Jean-Kevin Duverne"/>
    <s v="DF"/>
    <x v="10"/>
    <s v="HT"/>
    <n v="28.97"/>
    <s v="27-31"/>
    <n v="2"/>
    <n v="2"/>
    <n v="169"/>
    <n v="1.9"/>
    <n v="0"/>
    <n v="1"/>
    <n v="1"/>
    <n v="0"/>
    <n v="0"/>
    <n v="0"/>
    <n v="0"/>
    <n v="0"/>
    <n v="0"/>
    <s v="Always Started"/>
    <n v="0"/>
  </r>
  <r>
    <s v="Lyndon Dykes"/>
    <s v="FW,MF"/>
    <x v="8"/>
    <s v="ST"/>
    <n v="30.73"/>
    <s v="27-31"/>
    <n v="2"/>
    <n v="0"/>
    <n v="36"/>
    <n v="0.4"/>
    <n v="0"/>
    <n v="0"/>
    <n v="0"/>
    <n v="0"/>
    <n v="0"/>
    <n v="0"/>
    <n v="0"/>
    <n v="0"/>
    <n v="0"/>
    <s v="Pure Sub"/>
    <n v="2"/>
  </r>
  <r>
    <s v="Edin Deko"/>
    <s v="FW"/>
    <x v="21"/>
    <s v="BA"/>
    <n v="40.29"/>
    <s v="35+"/>
    <n v="2"/>
    <n v="2"/>
    <n v="126"/>
    <n v="1.4"/>
    <n v="0"/>
    <n v="0"/>
    <n v="0"/>
    <n v="0"/>
    <n v="0"/>
    <n v="0"/>
    <n v="1"/>
    <n v="0"/>
    <n v="0"/>
    <s v="Always Started"/>
    <n v="0"/>
  </r>
  <r>
    <s v="Roshon van Eijma"/>
    <s v="DF"/>
    <x v="34"/>
    <s v="CW"/>
    <n v="28.06"/>
    <s v="27-31"/>
    <n v="1"/>
    <n v="0"/>
    <n v="15"/>
    <n v="0.2"/>
    <n v="0"/>
    <n v="0"/>
    <n v="0"/>
    <n v="0"/>
    <n v="0"/>
    <n v="0"/>
    <n v="0"/>
    <n v="0"/>
    <n v="0"/>
    <s v="Pure Sub"/>
    <n v="1"/>
  </r>
  <r>
    <s v="Anthony Elanga"/>
    <s v="FW"/>
    <x v="25"/>
    <s v="SE"/>
    <n v="24.18"/>
    <s v="23-27"/>
    <n v="3"/>
    <n v="1"/>
    <n v="127"/>
    <n v="1.4"/>
    <n v="2"/>
    <n v="0"/>
    <n v="2"/>
    <n v="2"/>
    <n v="0"/>
    <n v="0"/>
    <n v="0"/>
    <n v="0"/>
    <n v="1.429"/>
    <s v="Mixed"/>
    <n v="2"/>
  </r>
  <r>
    <s v="Meschak Elia"/>
    <s v="FW,MF"/>
    <x v="39"/>
    <s v="CD"/>
    <n v="28.9"/>
    <s v="27-31"/>
    <n v="1"/>
    <n v="0"/>
    <n v="19"/>
    <n v="0.2"/>
    <n v="0"/>
    <n v="1"/>
    <n v="1"/>
    <n v="0"/>
    <n v="0"/>
    <n v="0"/>
    <n v="0"/>
    <n v="0"/>
    <n v="0"/>
    <s v="Pure Sub"/>
    <n v="1"/>
  </r>
  <r>
    <s v="Callan Elliot"/>
    <s v="DF"/>
    <x v="42"/>
    <s v="NZ"/>
    <n v="26.98"/>
    <s v="23-27"/>
    <n v="1"/>
    <n v="0"/>
    <n v="13"/>
    <n v="0.1"/>
    <n v="0"/>
    <n v="0"/>
    <n v="0"/>
    <n v="0"/>
    <n v="0"/>
    <n v="0"/>
    <n v="0"/>
    <n v="0"/>
    <n v="0"/>
    <s v="Pure Sub"/>
    <n v="1"/>
  </r>
  <r>
    <s v="Eren Elmal?"/>
    <s v="DF"/>
    <x v="18"/>
    <s v="TR"/>
    <n v="25.98"/>
    <s v="23-27"/>
    <n v="2"/>
    <n v="1"/>
    <n v="111"/>
    <n v="1.2"/>
    <n v="0"/>
    <n v="0"/>
    <n v="0"/>
    <n v="0"/>
    <n v="0"/>
    <n v="0"/>
    <n v="1"/>
    <n v="0"/>
    <n v="0"/>
    <s v="Mixed"/>
    <n v="1"/>
  </r>
  <r>
    <s v="Nico Elvedi"/>
    <s v="DF"/>
    <x v="13"/>
    <s v="CH"/>
    <n v="29.75"/>
    <s v="27-31"/>
    <n v="3"/>
    <n v="3"/>
    <n v="270"/>
    <n v="3"/>
    <n v="0"/>
    <n v="0"/>
    <n v="0"/>
    <n v="0"/>
    <n v="0"/>
    <n v="0"/>
    <n v="1"/>
    <n v="0"/>
    <n v="0"/>
    <s v="Always Started"/>
    <n v="0"/>
  </r>
  <r>
    <s v="Breel Embolo"/>
    <s v="FW"/>
    <x v="13"/>
    <s v="CH"/>
    <n v="29.37"/>
    <s v="27-31"/>
    <n v="3"/>
    <n v="3"/>
    <n v="262"/>
    <n v="2.9"/>
    <n v="1"/>
    <n v="2"/>
    <n v="3"/>
    <n v="0"/>
    <n v="1"/>
    <n v="1"/>
    <n v="0"/>
    <n v="0"/>
    <n v="0.34499999999999997"/>
    <s v="Always Started"/>
    <n v="0"/>
  </r>
  <r>
    <s v="Julio Enciso"/>
    <s v="FW"/>
    <x v="23"/>
    <s v="PY"/>
    <n v="22.43"/>
    <s v="U23"/>
    <n v="4"/>
    <n v="4"/>
    <n v="326"/>
    <n v="3.6"/>
    <n v="1"/>
    <n v="2"/>
    <n v="3"/>
    <n v="1"/>
    <n v="0"/>
    <n v="0"/>
    <n v="0"/>
    <n v="0"/>
    <n v="0.27800000000000002"/>
    <s v="Always Started"/>
    <n v="0"/>
  </r>
  <r>
    <s v="Endrick"/>
    <s v="FW"/>
    <x v="27"/>
    <s v="BR"/>
    <n v="19.940000000000001"/>
    <s v="U23"/>
    <n v="3"/>
    <n v="0"/>
    <n v="81"/>
    <n v="0.9"/>
    <n v="0"/>
    <n v="0"/>
    <n v="0"/>
    <n v="0"/>
    <n v="0"/>
    <n v="0"/>
    <n v="0"/>
    <n v="0"/>
    <n v="0"/>
    <s v="Pure Sub"/>
    <n v="3"/>
  </r>
  <r>
    <s v="Sherzod Esanov"/>
    <s v="MF"/>
    <x v="5"/>
    <s v="UZ"/>
    <n v="23.41"/>
    <s v="23-27"/>
    <n v="1"/>
    <n v="0"/>
    <n v="1"/>
    <n v="0"/>
    <n v="0"/>
    <n v="0"/>
    <n v="0"/>
    <n v="0"/>
    <n v="0"/>
    <n v="0"/>
    <n v="0"/>
    <n v="0"/>
    <n v="0"/>
    <s v="Pure Sub"/>
    <n v="1"/>
  </r>
  <r>
    <s v="Fidel Escobar"/>
    <s v="DF"/>
    <x v="31"/>
    <s v="PA"/>
    <n v="31.47"/>
    <s v="31-35"/>
    <n v="1"/>
    <n v="1"/>
    <n v="90"/>
    <n v="1"/>
    <n v="0"/>
    <n v="0"/>
    <n v="0"/>
    <n v="0"/>
    <n v="0"/>
    <n v="0"/>
    <n v="0"/>
    <n v="0"/>
    <n v="0"/>
    <s v="Always Started"/>
    <n v="0"/>
  </r>
  <r>
    <s v="Pervis Estupinan"/>
    <s v="MF"/>
    <x v="22"/>
    <s v="EC"/>
    <n v="28.44"/>
    <s v="27-31"/>
    <n v="2"/>
    <n v="1"/>
    <n v="89"/>
    <n v="1"/>
    <n v="0"/>
    <n v="0"/>
    <n v="0"/>
    <n v="0"/>
    <n v="0"/>
    <n v="0"/>
    <n v="0"/>
    <n v="0"/>
    <n v="0"/>
    <s v="Mixed"/>
    <n v="1"/>
  </r>
  <r>
    <s v="Derrick Etienne"/>
    <s v="FW,MF"/>
    <x v="10"/>
    <s v="HT"/>
    <n v="29.59"/>
    <s v="27-31"/>
    <n v="1"/>
    <n v="0"/>
    <n v="10"/>
    <n v="0.1"/>
    <n v="0"/>
    <n v="0"/>
    <n v="0"/>
    <n v="0"/>
    <n v="0"/>
    <n v="0"/>
    <n v="0"/>
    <n v="0"/>
    <n v="0"/>
    <s v="Pure Sub"/>
    <n v="1"/>
  </r>
  <r>
    <s v="Stephen Eustaquio"/>
    <s v="MF"/>
    <x v="15"/>
    <s v="CA"/>
    <n v="29.52"/>
    <s v="27-31"/>
    <n v="4"/>
    <n v="3"/>
    <n v="302"/>
    <n v="3.4"/>
    <n v="1"/>
    <n v="0"/>
    <n v="1"/>
    <n v="1"/>
    <n v="0"/>
    <n v="0"/>
    <n v="0"/>
    <n v="0"/>
    <n v="0.29399999999999998"/>
    <s v="Mixed"/>
    <n v="1"/>
  </r>
  <r>
    <s v="Martin Experience"/>
    <s v="DF,MF"/>
    <x v="10"/>
    <s v="HT"/>
    <n v="27.31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Saeid Ezatolahi"/>
    <s v="MF"/>
    <x v="26"/>
    <s v="IR"/>
    <n v="29.74"/>
    <s v="27-31"/>
    <n v="3"/>
    <n v="3"/>
    <n v="264"/>
    <n v="2.9"/>
    <n v="0"/>
    <n v="0"/>
    <n v="0"/>
    <n v="0"/>
    <n v="0"/>
    <n v="0"/>
    <n v="2"/>
    <n v="0"/>
    <n v="0"/>
    <s v="Always Started"/>
    <n v="0"/>
  </r>
  <r>
    <s v="Eberechi Eze"/>
    <s v="FW,MF"/>
    <x v="33"/>
    <s v="EN"/>
    <n v="28"/>
    <s v="27-31"/>
    <n v="2"/>
    <n v="0"/>
    <n v="37"/>
    <n v="0.4"/>
    <n v="0"/>
    <n v="0"/>
    <n v="0"/>
    <n v="0"/>
    <n v="0"/>
    <n v="0"/>
    <n v="0"/>
    <n v="0"/>
    <n v="0"/>
    <s v="Pure Sub"/>
    <n v="2"/>
  </r>
  <r>
    <s v="Fabinho"/>
    <s v="DF,MF"/>
    <x v="27"/>
    <s v="BR"/>
    <n v="32.68"/>
    <s v="31-35"/>
    <n v="3"/>
    <n v="0"/>
    <n v="71"/>
    <n v="0.8"/>
    <n v="0"/>
    <n v="0"/>
    <n v="0"/>
    <n v="0"/>
    <n v="0"/>
    <n v="0"/>
    <n v="1"/>
    <n v="0"/>
    <n v="0"/>
    <s v="Pure Sub"/>
    <n v="3"/>
  </r>
  <r>
    <s v="Jose Fajardo"/>
    <s v="FW"/>
    <x v="31"/>
    <s v="PA"/>
    <n v="32.869999999999997"/>
    <s v="31-35"/>
    <n v="3"/>
    <n v="1"/>
    <n v="155"/>
    <n v="1.7"/>
    <n v="0"/>
    <n v="0"/>
    <n v="0"/>
    <n v="0"/>
    <n v="0"/>
    <n v="0"/>
    <n v="1"/>
    <n v="0"/>
    <n v="0"/>
    <s v="Mixed"/>
    <n v="2"/>
  </r>
  <r>
    <s v="Odeh Al-Fakhouri"/>
    <s v="MF,FW"/>
    <x v="7"/>
    <s v="JO"/>
    <n v="20.6"/>
    <s v="U23"/>
    <n v="3"/>
    <n v="2"/>
    <n v="148"/>
    <n v="1.6"/>
    <n v="0"/>
    <n v="0"/>
    <n v="0"/>
    <n v="0"/>
    <n v="0"/>
    <n v="0"/>
    <n v="0"/>
    <n v="0"/>
    <n v="0"/>
    <s v="Mixed"/>
    <n v="1"/>
  </r>
  <r>
    <s v="Henrik Falchener"/>
    <s v="DF"/>
    <x v="1"/>
    <s v="NO"/>
    <n v="23.15"/>
    <s v="23-27"/>
    <n v="1"/>
    <n v="1"/>
    <n v="65"/>
    <n v="0.7"/>
    <n v="0"/>
    <n v="0"/>
    <n v="0"/>
    <n v="0"/>
    <n v="0"/>
    <n v="0"/>
    <n v="0"/>
    <n v="0"/>
    <n v="0"/>
    <s v="Always Started"/>
    <n v="0"/>
  </r>
  <r>
    <s v="Marko Farji"/>
    <s v="MF"/>
    <x v="24"/>
    <s v="IQ"/>
    <n v="22.29"/>
    <s v="U23"/>
    <n v="2"/>
    <n v="0"/>
    <n v="54"/>
    <n v="0.6"/>
    <n v="0"/>
    <n v="0"/>
    <n v="0"/>
    <n v="0"/>
    <n v="0"/>
    <n v="0"/>
    <n v="0"/>
    <n v="0"/>
    <n v="0"/>
    <s v="Pure Sub"/>
    <n v="2"/>
  </r>
  <r>
    <s v="Christian Fassnacht"/>
    <s v="FW,MF"/>
    <x v="13"/>
    <s v="CH"/>
    <n v="32.630000000000003"/>
    <s v="31-35"/>
    <n v="1"/>
    <n v="0"/>
    <n v="6"/>
    <n v="0.1"/>
    <n v="0"/>
    <n v="0"/>
    <n v="0"/>
    <n v="0"/>
    <n v="0"/>
    <n v="0"/>
    <n v="0"/>
    <n v="0"/>
    <n v="0"/>
    <s v="Pure Sub"/>
    <n v="1"/>
  </r>
  <r>
    <s v="Abdul Fatawu Issahaku"/>
    <s v="FW,MF"/>
    <x v="12"/>
    <s v="GH"/>
    <n v="22.31"/>
    <s v="U23"/>
    <n v="3"/>
    <n v="0"/>
    <n v="103"/>
    <n v="1.1000000000000001"/>
    <n v="0"/>
    <n v="0"/>
    <n v="0"/>
    <n v="0"/>
    <n v="0"/>
    <n v="0"/>
    <n v="0"/>
    <n v="0"/>
    <n v="0"/>
    <s v="Pure Sub"/>
    <n v="3"/>
  </r>
  <r>
    <s v="Ahmed Fathy"/>
    <s v="MF"/>
    <x v="6"/>
    <s v="QA"/>
    <n v="33.43"/>
    <s v="31-35"/>
    <n v="3"/>
    <n v="1"/>
    <n v="150"/>
    <n v="1.7"/>
    <n v="0"/>
    <n v="0"/>
    <n v="0"/>
    <n v="0"/>
    <n v="0"/>
    <n v="0"/>
    <n v="2"/>
    <n v="0"/>
    <n v="0"/>
    <s v="Mixed"/>
    <n v="2"/>
  </r>
  <r>
    <s v="Hamdy Fathy"/>
    <s v="DF"/>
    <x v="2"/>
    <s v="EG"/>
    <n v="31.75"/>
    <s v="31-35"/>
    <n v="2"/>
    <n v="2"/>
    <n v="127"/>
    <n v="1.4"/>
    <n v="0"/>
    <n v="0"/>
    <n v="0"/>
    <n v="0"/>
    <n v="0"/>
    <n v="0"/>
    <n v="0"/>
    <n v="0"/>
    <n v="0"/>
    <s v="Always Started"/>
    <n v="0"/>
  </r>
  <r>
    <s v="Ahmed Fatouh"/>
    <s v="DF"/>
    <x v="2"/>
    <s v="EG"/>
    <n v="28.27"/>
    <s v="27-31"/>
    <n v="3"/>
    <n v="3"/>
    <n v="267"/>
    <n v="3"/>
    <n v="0"/>
    <n v="0"/>
    <n v="0"/>
    <n v="0"/>
    <n v="0"/>
    <n v="0"/>
    <n v="1"/>
    <n v="0"/>
    <n v="0"/>
    <s v="Always Started"/>
    <n v="0"/>
  </r>
  <r>
    <s v="Abbosbek Fayzullayev"/>
    <s v="MF"/>
    <x v="5"/>
    <s v="UZ"/>
    <n v="22.74"/>
    <s v="U23"/>
    <n v="3"/>
    <n v="3"/>
    <n v="220"/>
    <n v="2.4"/>
    <n v="1"/>
    <n v="0"/>
    <n v="1"/>
    <n v="1"/>
    <n v="0"/>
    <n v="0"/>
    <n v="0"/>
    <n v="0"/>
    <n v="0.41699999999999998"/>
    <s v="Always Started"/>
    <n v="0"/>
  </r>
  <r>
    <s v="Joao Felix"/>
    <s v="MF"/>
    <x v="35"/>
    <s v="PT"/>
    <n v="26.64"/>
    <s v="23-27"/>
    <n v="2"/>
    <n v="2"/>
    <n v="131"/>
    <n v="1.5"/>
    <n v="0"/>
    <n v="0"/>
    <n v="0"/>
    <n v="0"/>
    <n v="0"/>
    <n v="0"/>
    <n v="0"/>
    <n v="0"/>
    <n v="0"/>
    <s v="Always Started"/>
    <n v="0"/>
  </r>
  <r>
    <s v="Lewis Ferguson"/>
    <s v="MF"/>
    <x v="8"/>
    <s v="ST"/>
    <n v="26.85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Bruno Fernandes"/>
    <s v="MF"/>
    <x v="35"/>
    <s v="PT"/>
    <n v="31.81"/>
    <s v="31-35"/>
    <n v="3"/>
    <n v="3"/>
    <n v="270"/>
    <n v="3"/>
    <n v="0"/>
    <n v="1"/>
    <n v="1"/>
    <n v="0"/>
    <n v="0"/>
    <n v="0"/>
    <n v="0"/>
    <n v="0"/>
    <n v="0"/>
    <s v="Always Started"/>
    <n v="0"/>
  </r>
  <r>
    <s v="Enzo Fernandez"/>
    <s v="MF"/>
    <x v="28"/>
    <s v="AR"/>
    <n v="25.45"/>
    <s v="23-27"/>
    <n v="2"/>
    <n v="2"/>
    <n v="180"/>
    <n v="2"/>
    <n v="0"/>
    <n v="0"/>
    <n v="0"/>
    <n v="0"/>
    <n v="0"/>
    <n v="0"/>
    <n v="0"/>
    <n v="0"/>
    <n v="0"/>
    <s v="Always Started"/>
    <n v="0"/>
  </r>
  <r>
    <s v="Matias Fernandez-Pardo"/>
    <s v="FW,MF"/>
    <x v="44"/>
    <s v="BE"/>
    <n v="21.4"/>
    <s v="U23"/>
    <n v="3"/>
    <n v="0"/>
    <n v="44"/>
    <n v="0.5"/>
    <n v="0"/>
    <n v="0"/>
    <n v="0"/>
    <n v="0"/>
    <n v="0"/>
    <n v="0"/>
    <n v="0"/>
    <n v="0"/>
    <n v="0"/>
    <s v="Pure Sub"/>
    <n v="3"/>
  </r>
  <r>
    <s v="Alvaro Fidalgo"/>
    <s v="MF"/>
    <x v="29"/>
    <s v="MX"/>
    <n v="29.22"/>
    <s v="27-31"/>
    <n v="2"/>
    <n v="1"/>
    <n v="84"/>
    <n v="0.9"/>
    <n v="1"/>
    <n v="0"/>
    <n v="1"/>
    <n v="1"/>
    <n v="0"/>
    <n v="0"/>
    <n v="0"/>
    <n v="0"/>
    <n v="1.111"/>
    <s v="Mixed"/>
    <n v="1"/>
  </r>
  <r>
    <s v="Sherel Floranus"/>
    <s v="DF"/>
    <x v="34"/>
    <s v="CW"/>
    <n v="27.85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Seko Fofana"/>
    <s v="MF"/>
    <x v="11"/>
    <s v="CI"/>
    <n v="31.15"/>
    <s v="31-35"/>
    <n v="2"/>
    <n v="1"/>
    <n v="92"/>
    <n v="1"/>
    <n v="0"/>
    <n v="0"/>
    <n v="0"/>
    <n v="0"/>
    <n v="0"/>
    <n v="0"/>
    <n v="1"/>
    <n v="0"/>
    <n v="0"/>
    <s v="Mixed"/>
    <n v="1"/>
  </r>
  <r>
    <s v="Yahia Fofana"/>
    <s v="GK"/>
    <x v="11"/>
    <s v="CI"/>
    <n v="25.86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Deveron Fonville"/>
    <s v="DF"/>
    <x v="34"/>
    <s v="CW"/>
    <n v="23.12"/>
    <s v="23-27"/>
    <n v="3"/>
    <n v="3"/>
    <n v="241"/>
    <n v="2.7"/>
    <n v="0"/>
    <n v="0"/>
    <n v="0"/>
    <n v="0"/>
    <n v="0"/>
    <n v="0"/>
    <n v="0"/>
    <n v="0"/>
    <n v="0"/>
    <s v="Always Started"/>
    <n v="0"/>
  </r>
  <r>
    <s v="Yassin Fortune"/>
    <s v="FW,MF"/>
    <x v="10"/>
    <s v="HT"/>
    <n v="27.41"/>
    <s v="27-31"/>
    <n v="1"/>
    <n v="0"/>
    <n v="6"/>
    <n v="0.1"/>
    <n v="0"/>
    <n v="0"/>
    <n v="0"/>
    <n v="0"/>
    <n v="0"/>
    <n v="0"/>
    <n v="0"/>
    <n v="0"/>
    <n v="0"/>
    <s v="Pure Sub"/>
    <n v="1"/>
  </r>
  <r>
    <s v="Lyle Foster"/>
    <s v="FW"/>
    <x v="9"/>
    <s v="ZA"/>
    <n v="25.82"/>
    <s v="23-27"/>
    <n v="1"/>
    <n v="1"/>
    <n v="55"/>
    <n v="0.6"/>
    <n v="0"/>
    <n v="0"/>
    <n v="0"/>
    <n v="0"/>
    <n v="0"/>
    <n v="0"/>
    <n v="0"/>
    <n v="0"/>
    <n v="0"/>
    <s v="Always Started"/>
    <n v="0"/>
  </r>
  <r>
    <s v="Alan Franco"/>
    <s v="DF"/>
    <x v="22"/>
    <s v="EC"/>
    <n v="27.86"/>
    <s v="27-31"/>
    <n v="3"/>
    <n v="3"/>
    <n v="206"/>
    <n v="2.2999999999999998"/>
    <n v="0"/>
    <n v="0"/>
    <n v="0"/>
    <n v="0"/>
    <n v="0"/>
    <n v="0"/>
    <n v="1"/>
    <n v="0"/>
    <n v="0"/>
    <s v="Always Started"/>
    <n v="0"/>
  </r>
  <r>
    <s v="Alex Freeman"/>
    <s v="DF"/>
    <x v="0"/>
    <s v="US"/>
    <n v="21.89"/>
    <s v="U23"/>
    <n v="3"/>
    <n v="2"/>
    <n v="194"/>
    <n v="2.2000000000000002"/>
    <n v="1"/>
    <n v="1"/>
    <n v="2"/>
    <n v="1"/>
    <n v="0"/>
    <n v="0"/>
    <n v="0"/>
    <n v="0"/>
    <n v="0.45500000000000002"/>
    <s v="Mixed"/>
    <n v="1"/>
  </r>
  <r>
    <s v="Matt Freese"/>
    <s v="GK"/>
    <x v="0"/>
    <s v="US"/>
    <n v="27.82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Remo Freuler"/>
    <s v="MF"/>
    <x v="13"/>
    <s v="CH"/>
    <n v="34.21"/>
    <s v="31-35"/>
    <n v="3"/>
    <n v="3"/>
    <n v="268"/>
    <n v="3"/>
    <n v="0"/>
    <n v="0"/>
    <n v="0"/>
    <n v="0"/>
    <n v="0"/>
    <n v="0"/>
    <n v="0"/>
    <n v="0"/>
    <n v="0"/>
    <s v="Always Started"/>
    <n v="0"/>
  </r>
  <r>
    <s v="Marco Friedl"/>
    <s v="DF"/>
    <x v="20"/>
    <s v="AT"/>
    <n v="28.29"/>
    <s v="27-31"/>
    <n v="1"/>
    <n v="0"/>
    <n v="24"/>
    <n v="0.3"/>
    <n v="0"/>
    <n v="0"/>
    <n v="0"/>
    <n v="0"/>
    <n v="0"/>
    <n v="0"/>
    <n v="0"/>
    <n v="0"/>
    <n v="0"/>
    <s v="Pure Sub"/>
    <n v="1"/>
  </r>
  <r>
    <s v="Jurien Gaari"/>
    <s v="DF"/>
    <x v="34"/>
    <s v="CW"/>
    <n v="32.520000000000003"/>
    <s v="31-35"/>
    <n v="2"/>
    <n v="2"/>
    <n v="166"/>
    <n v="1.8"/>
    <n v="0"/>
    <n v="0"/>
    <n v="0"/>
    <n v="0"/>
    <n v="0"/>
    <n v="0"/>
    <n v="1"/>
    <n v="0"/>
    <n v="0"/>
    <s v="Always Started"/>
    <n v="0"/>
  </r>
  <r>
    <s v="Jassem Gaber"/>
    <s v="MF"/>
    <x v="6"/>
    <s v="QA"/>
    <n v="24.36"/>
    <s v="23-27"/>
    <n v="3"/>
    <n v="3"/>
    <n v="149"/>
    <n v="1.7"/>
    <n v="0"/>
    <n v="0"/>
    <n v="0"/>
    <n v="0"/>
    <n v="0"/>
    <n v="0"/>
    <n v="1"/>
    <n v="0"/>
    <n v="0"/>
    <s v="Always Started"/>
    <n v="0"/>
  </r>
  <r>
    <s v="Cody Gakpo"/>
    <s v="FW"/>
    <x v="17"/>
    <s v="NL"/>
    <n v="27.15"/>
    <s v="27-31"/>
    <n v="4"/>
    <n v="4"/>
    <n v="368"/>
    <n v="4.0999999999999996"/>
    <n v="3"/>
    <n v="1"/>
    <n v="4"/>
    <n v="3"/>
    <n v="0"/>
    <n v="0"/>
    <n v="0"/>
    <n v="0"/>
    <n v="0.73199999999999998"/>
    <s v="Always Started"/>
    <n v="0"/>
  </r>
  <r>
    <s v="Matias Galarza"/>
    <s v="MF"/>
    <x v="23"/>
    <s v="PY"/>
    <n v="24.38"/>
    <s v="23-27"/>
    <n v="3"/>
    <n v="3"/>
    <n v="298"/>
    <n v="3.3"/>
    <n v="1"/>
    <n v="1"/>
    <n v="2"/>
    <n v="1"/>
    <n v="0"/>
    <n v="0"/>
    <n v="2"/>
    <n v="0"/>
    <n v="0.30299999999999999"/>
    <s v="Always Started"/>
    <n v="0"/>
  </r>
  <r>
    <s v="Hernan Galindez"/>
    <s v="GK"/>
    <x v="22"/>
    <s v="EC"/>
    <n v="39.25"/>
    <s v="35+"/>
    <n v="3"/>
    <n v="3"/>
    <n v="270"/>
    <n v="3"/>
    <n v="0"/>
    <n v="0"/>
    <n v="0"/>
    <n v="0"/>
    <n v="0"/>
    <n v="0"/>
    <n v="0"/>
    <n v="0"/>
    <n v="0"/>
    <s v="Always Started"/>
    <n v="0"/>
  </r>
  <r>
    <s v="Jesus Gallardo"/>
    <s v="DF"/>
    <x v="29"/>
    <s v="MX"/>
    <n v="31.87"/>
    <s v="31-35"/>
    <n v="3"/>
    <n v="2"/>
    <n v="193"/>
    <n v="2.1"/>
    <n v="0"/>
    <n v="0"/>
    <n v="0"/>
    <n v="0"/>
    <n v="0"/>
    <n v="0"/>
    <n v="0"/>
    <n v="0"/>
    <n v="0"/>
    <s v="Mixed"/>
    <n v="1"/>
  </r>
  <r>
    <s v="Ahmed Al-Ganehi"/>
    <s v="FW"/>
    <x v="6"/>
    <s v="QA"/>
    <n v="25.77"/>
    <s v="23-27"/>
    <n v="1"/>
    <n v="0"/>
    <n v="36"/>
    <n v="0.4"/>
    <n v="0"/>
    <n v="0"/>
    <n v="0"/>
    <n v="0"/>
    <n v="0"/>
    <n v="0"/>
    <n v="0"/>
    <n v="0"/>
    <n v="0"/>
    <s v="Pure Sub"/>
    <n v="1"/>
  </r>
  <r>
    <s v="Ben Gannon-Doak"/>
    <s v="MF"/>
    <x v="8"/>
    <s v="ST"/>
    <n v="20.63"/>
    <s v="U23"/>
    <n v="3"/>
    <n v="2"/>
    <n v="186"/>
    <n v="2.1"/>
    <n v="0"/>
    <n v="0"/>
    <n v="0"/>
    <n v="0"/>
    <n v="0"/>
    <n v="0"/>
    <n v="0"/>
    <n v="0"/>
    <n v="0"/>
    <s v="Mixed"/>
    <n v="1"/>
  </r>
  <r>
    <s v="Gavi"/>
    <s v="FW"/>
    <x v="38"/>
    <s v="ES"/>
    <n v="21.9"/>
    <s v="U23"/>
    <n v="1"/>
    <n v="1"/>
    <n v="70"/>
    <n v="0.8"/>
    <n v="0"/>
    <n v="0"/>
    <n v="0"/>
    <n v="0"/>
    <n v="0"/>
    <n v="0"/>
    <n v="0"/>
    <n v="0"/>
    <n v="0"/>
    <s v="Always Started"/>
    <n v="0"/>
  </r>
  <r>
    <s v="Jason Geria"/>
    <s v="DF"/>
    <x v="41"/>
    <s v="AU"/>
    <n v="33.14"/>
    <s v="31-35"/>
    <n v="2"/>
    <n v="0"/>
    <n v="62"/>
    <n v="0.7"/>
    <n v="0"/>
    <n v="0"/>
    <n v="0"/>
    <n v="0"/>
    <n v="0"/>
    <n v="0"/>
    <n v="0"/>
    <n v="0"/>
    <n v="0"/>
    <s v="Pure Sub"/>
    <n v="2"/>
  </r>
  <r>
    <s v="Khalid Al Ghannam"/>
    <s v="MF"/>
    <x v="4"/>
    <s v="SA"/>
    <n v="25.64"/>
    <s v="23-27"/>
    <n v="1"/>
    <n v="0"/>
    <n v="1"/>
    <n v="0"/>
    <n v="0"/>
    <n v="0"/>
    <n v="0"/>
    <n v="0"/>
    <n v="0"/>
    <n v="0"/>
    <n v="0"/>
    <n v="0"/>
    <n v="0"/>
    <s v="Pure Sub"/>
    <n v="1"/>
  </r>
  <r>
    <s v="Ismael Gharbi"/>
    <s v="MF"/>
    <x v="3"/>
    <s v="TN"/>
    <n v="22.22"/>
    <s v="U23"/>
    <n v="3"/>
    <n v="1"/>
    <n v="127"/>
    <n v="1.4"/>
    <n v="0"/>
    <n v="0"/>
    <n v="0"/>
    <n v="0"/>
    <n v="0"/>
    <n v="0"/>
    <n v="0"/>
    <n v="0"/>
    <n v="0"/>
    <s v="Mixed"/>
    <n v="2"/>
  </r>
  <r>
    <s v="Mehdi Ghayedi"/>
    <s v="FW"/>
    <x v="26"/>
    <s v="IR"/>
    <n v="27.57"/>
    <s v="27-31"/>
    <n v="1"/>
    <n v="0"/>
    <n v="45"/>
    <n v="0.5"/>
    <n v="0"/>
    <n v="0"/>
    <n v="0"/>
    <n v="0"/>
    <n v="0"/>
    <n v="0"/>
    <n v="0"/>
    <n v="0"/>
    <n v="0"/>
    <s v="Pure Sub"/>
    <n v="1"/>
  </r>
  <r>
    <s v="Fares Ghedjemis"/>
    <s v="FW,MF"/>
    <x v="16"/>
    <s v="DZ"/>
    <n v="23.81"/>
    <s v="23-27"/>
    <n v="1"/>
    <n v="0"/>
    <n v="1"/>
    <n v="0"/>
    <n v="0"/>
    <n v="0"/>
    <n v="0"/>
    <n v="0"/>
    <n v="0"/>
    <n v="0"/>
    <n v="0"/>
    <n v="0"/>
    <n v="0"/>
    <s v="Pure Sub"/>
    <n v="1"/>
  </r>
  <r>
    <s v="Saman Ghoddos"/>
    <s v="MF"/>
    <x v="26"/>
    <s v="IR"/>
    <n v="32.81"/>
    <s v="31-35"/>
    <n v="3"/>
    <n v="3"/>
    <n v="208"/>
    <n v="2.2999999999999998"/>
    <n v="0"/>
    <n v="0"/>
    <n v="0"/>
    <n v="0"/>
    <n v="0"/>
    <n v="0"/>
    <n v="0"/>
    <n v="0"/>
    <n v="0"/>
    <s v="Always Started"/>
    <n v="0"/>
  </r>
  <r>
    <s v="Mohammad Ghorbani"/>
    <s v="MF"/>
    <x v="26"/>
    <s v="IR"/>
    <n v="25.11"/>
    <s v="23-27"/>
    <n v="1"/>
    <n v="1"/>
    <n v="90"/>
    <n v="1"/>
    <n v="0"/>
    <n v="0"/>
    <n v="0"/>
    <n v="0"/>
    <n v="0"/>
    <n v="0"/>
    <n v="0"/>
    <n v="0"/>
    <n v="0"/>
    <s v="Always Started"/>
    <n v="0"/>
  </r>
  <r>
    <s v="Lee Gi-hyuk"/>
    <s v="DF"/>
    <x v="45"/>
    <s v="KR"/>
    <n v="25.98"/>
    <s v="23-27"/>
    <n v="3"/>
    <n v="3"/>
    <n v="270"/>
    <n v="3"/>
    <n v="0"/>
    <n v="0"/>
    <n v="0"/>
    <n v="0"/>
    <n v="0"/>
    <n v="0"/>
    <n v="1"/>
    <n v="0"/>
    <n v="0"/>
    <s v="Always Started"/>
    <n v="0"/>
  </r>
  <r>
    <s v="Armin Gigovic"/>
    <s v="MF"/>
    <x v="21"/>
    <s v="BA"/>
    <n v="24.23"/>
    <s v="23-27"/>
    <n v="1"/>
    <n v="0"/>
    <n v="29"/>
    <n v="0.3"/>
    <n v="0"/>
    <n v="0"/>
    <n v="0"/>
    <n v="0"/>
    <n v="0"/>
    <n v="0"/>
    <n v="0"/>
    <n v="0"/>
    <n v="0"/>
    <s v="Pure Sub"/>
    <n v="1"/>
  </r>
  <r>
    <s v="Orlando Gill"/>
    <s v="GK"/>
    <x v="23"/>
    <s v="PY"/>
    <n v="26.05"/>
    <s v="23-27"/>
    <n v="4"/>
    <n v="4"/>
    <n v="390"/>
    <n v="4.3"/>
    <n v="0"/>
    <n v="0"/>
    <n v="0"/>
    <n v="0"/>
    <n v="0"/>
    <n v="0"/>
    <n v="0"/>
    <n v="0"/>
    <n v="0"/>
    <s v="Always Started"/>
    <n v="0"/>
  </r>
  <r>
    <s v="Santiago Gimenez"/>
    <s v="FW"/>
    <x v="29"/>
    <s v="MX"/>
    <n v="25.2"/>
    <s v="23-27"/>
    <n v="2"/>
    <n v="0"/>
    <n v="39"/>
    <n v="0.4"/>
    <n v="0"/>
    <n v="0"/>
    <n v="0"/>
    <n v="0"/>
    <n v="0"/>
    <n v="0"/>
    <n v="0"/>
    <n v="0"/>
    <n v="0"/>
    <s v="Pure Sub"/>
    <n v="2"/>
  </r>
  <r>
    <s v="Anibal Godoy"/>
    <s v="MF"/>
    <x v="31"/>
    <s v="PA"/>
    <n v="36.380000000000003"/>
    <s v="35+"/>
    <n v="1"/>
    <n v="0"/>
    <n v="1"/>
    <n v="0"/>
    <n v="0"/>
    <n v="0"/>
    <n v="0"/>
    <n v="0"/>
    <n v="0"/>
    <n v="0"/>
    <n v="0"/>
    <n v="0"/>
    <n v="0"/>
    <s v="Pure Sub"/>
    <n v="1"/>
  </r>
  <r>
    <s v="Andres Gomez"/>
    <s v="MF"/>
    <x v="37"/>
    <s v="CO"/>
    <n v="23.8"/>
    <s v="23-27"/>
    <n v="1"/>
    <n v="0"/>
    <n v="1"/>
    <n v="0"/>
    <n v="0"/>
    <n v="0"/>
    <n v="0"/>
    <n v="0"/>
    <n v="0"/>
    <n v="0"/>
    <n v="0"/>
    <n v="0"/>
    <n v="0"/>
    <s v="Pure Sub"/>
    <n v="1"/>
  </r>
  <r>
    <s v="Diego Gomez"/>
    <s v="MF"/>
    <x v="23"/>
    <s v="PY"/>
    <n v="23.26"/>
    <s v="23-27"/>
    <n v="3"/>
    <n v="3"/>
    <n v="234"/>
    <n v="2.6"/>
    <n v="0"/>
    <n v="0"/>
    <n v="0"/>
    <n v="0"/>
    <n v="0"/>
    <n v="0"/>
    <n v="2"/>
    <n v="0"/>
    <n v="0"/>
    <s v="Always Started"/>
    <n v="0"/>
  </r>
  <r>
    <s v="Gustavo Gomez"/>
    <s v="DF"/>
    <x v="23"/>
    <s v="PY"/>
    <n v="33.15"/>
    <s v="31-35"/>
    <n v="4"/>
    <n v="4"/>
    <n v="390"/>
    <n v="4.3"/>
    <n v="0"/>
    <n v="0"/>
    <n v="0"/>
    <n v="0"/>
    <n v="0"/>
    <n v="0"/>
    <n v="0"/>
    <n v="0"/>
    <n v="0"/>
    <s v="Always Started"/>
    <n v="0"/>
  </r>
  <r>
    <s v="Armando Gonzalez"/>
    <s v="FW"/>
    <x v="29"/>
    <s v="MX"/>
    <n v="23.19"/>
    <s v="23-27"/>
    <n v="1"/>
    <n v="0"/>
    <n v="15"/>
    <n v="0.2"/>
    <n v="0"/>
    <n v="0"/>
    <n v="0"/>
    <n v="0"/>
    <n v="0"/>
    <n v="0"/>
    <n v="0"/>
    <n v="0"/>
    <n v="0"/>
    <s v="Pure Sub"/>
    <n v="1"/>
  </r>
  <r>
    <s v="Nicolas Gonzalez"/>
    <s v="FW,MF"/>
    <x v="28"/>
    <s v="AR"/>
    <n v="28.23"/>
    <s v="27-31"/>
    <n v="2"/>
    <n v="0"/>
    <n v="62"/>
    <n v="0.7"/>
    <n v="0"/>
    <n v="1"/>
    <n v="1"/>
    <n v="0"/>
    <n v="0"/>
    <n v="0"/>
    <n v="0"/>
    <n v="0"/>
    <n v="0"/>
    <s v="Pure Sub"/>
    <n v="2"/>
  </r>
  <r>
    <s v="Anthony Gordon"/>
    <s v="MF"/>
    <x v="33"/>
    <s v="EN"/>
    <n v="25.34"/>
    <s v="23-27"/>
    <n v="2"/>
    <n v="2"/>
    <n v="135"/>
    <n v="1.5"/>
    <n v="0"/>
    <n v="0"/>
    <n v="0"/>
    <n v="0"/>
    <n v="0"/>
    <n v="0"/>
    <n v="0"/>
    <n v="0"/>
    <n v="0"/>
    <s v="Always Started"/>
    <n v="0"/>
  </r>
  <r>
    <s v="Leon Goretzka"/>
    <s v="MF"/>
    <x v="32"/>
    <s v="DE"/>
    <n v="31.39"/>
    <s v="31-35"/>
    <n v="3"/>
    <n v="0"/>
    <n v="99"/>
    <n v="1.1000000000000001"/>
    <n v="0"/>
    <n v="0"/>
    <n v="0"/>
    <n v="0"/>
    <n v="0"/>
    <n v="0"/>
    <n v="0"/>
    <n v="0"/>
    <n v="0"/>
    <s v="Pure Sub"/>
    <n v="3"/>
  </r>
  <r>
    <s v="Kenji Gorre"/>
    <s v="FW,MF"/>
    <x v="34"/>
    <s v="CW"/>
    <n v="31.75"/>
    <s v="31-35"/>
    <n v="1"/>
    <n v="0"/>
    <n v="16"/>
    <n v="0.2"/>
    <n v="0"/>
    <n v="0"/>
    <n v="0"/>
    <n v="0"/>
    <n v="0"/>
    <n v="0"/>
    <n v="0"/>
    <n v="0"/>
    <n v="0"/>
    <s v="Pure Sub"/>
    <n v="1"/>
  </r>
  <r>
    <s v="Keisuke Got?"/>
    <s v="FW"/>
    <x v="47"/>
    <s v="JP"/>
    <n v="21.07"/>
    <s v="U23"/>
    <n v="1"/>
    <n v="0"/>
    <n v="7"/>
    <n v="0.1"/>
    <n v="0"/>
    <n v="0"/>
    <n v="0"/>
    <n v="0"/>
    <n v="0"/>
    <n v="0"/>
    <n v="0"/>
    <n v="0"/>
    <n v="0"/>
    <s v="Pure Sub"/>
    <n v="1"/>
  </r>
  <r>
    <s v="Amine Gouiri"/>
    <s v="FW"/>
    <x v="16"/>
    <s v="DZ"/>
    <n v="26.37"/>
    <s v="23-27"/>
    <n v="3"/>
    <n v="3"/>
    <n v="218"/>
    <n v="2.4"/>
    <n v="1"/>
    <n v="0"/>
    <n v="1"/>
    <n v="1"/>
    <n v="0"/>
    <n v="0"/>
    <n v="0"/>
    <n v="0"/>
    <n v="0.41699999999999998"/>
    <s v="Always Started"/>
    <n v="0"/>
  </r>
  <r>
    <s v="Ryan Gravenberch"/>
    <s v="MF"/>
    <x v="17"/>
    <s v="NL"/>
    <n v="24.12"/>
    <s v="23-27"/>
    <n v="4"/>
    <n v="4"/>
    <n v="345"/>
    <n v="3.8"/>
    <n v="0"/>
    <n v="2"/>
    <n v="2"/>
    <n v="0"/>
    <n v="0"/>
    <n v="0"/>
    <n v="0"/>
    <n v="0"/>
    <n v="0"/>
    <s v="Always Started"/>
    <n v="0"/>
  </r>
  <r>
    <s v="Michael Gregoritsch"/>
    <s v="FW"/>
    <x v="20"/>
    <s v="AT"/>
    <n v="32.200000000000003"/>
    <s v="31-35"/>
    <n v="2"/>
    <n v="1"/>
    <n v="129"/>
    <n v="1.4"/>
    <n v="0"/>
    <n v="1"/>
    <n v="1"/>
    <n v="0"/>
    <n v="0"/>
    <n v="0"/>
    <n v="0"/>
    <n v="0"/>
    <n v="0"/>
    <s v="Mixed"/>
    <n v="1"/>
  </r>
  <r>
    <s v="Florian Grillitsch"/>
    <s v="DF,MF"/>
    <x v="20"/>
    <s v="AT"/>
    <n v="30.9"/>
    <s v="27-31"/>
    <n v="1"/>
    <n v="0"/>
    <n v="45"/>
    <n v="0.5"/>
    <n v="0"/>
    <n v="0"/>
    <n v="0"/>
    <n v="0"/>
    <n v="0"/>
    <n v="0"/>
    <n v="0"/>
    <n v="0"/>
    <n v="0"/>
    <s v="Pure Sub"/>
    <n v="1"/>
  </r>
  <r>
    <s v="Pascal Gross"/>
    <s v="DF,MF"/>
    <x v="32"/>
    <s v="DE"/>
    <n v="35.04"/>
    <s v="35+"/>
    <n v="1"/>
    <n v="0"/>
    <n v="18"/>
    <n v="0.2"/>
    <n v="0"/>
    <n v="0"/>
    <n v="0"/>
    <n v="0"/>
    <n v="0"/>
    <n v="0"/>
    <n v="0"/>
    <n v="0"/>
    <n v="0"/>
    <s v="Pure Sub"/>
    <n v="1"/>
  </r>
  <r>
    <s v="Gabriel Gudmundsson"/>
    <s v="MF,DF"/>
    <x v="25"/>
    <s v="SE"/>
    <n v="27.17"/>
    <s v="27-31"/>
    <n v="3"/>
    <n v="3"/>
    <n v="240"/>
    <n v="2.7"/>
    <n v="0"/>
    <n v="0"/>
    <n v="0"/>
    <n v="0"/>
    <n v="0"/>
    <n v="0"/>
    <n v="1"/>
    <n v="0"/>
    <n v="0"/>
    <s v="Always Started"/>
    <n v="0"/>
  </r>
  <r>
    <s v="Cho Gue-sung"/>
    <s v="FW"/>
    <x v="45"/>
    <s v="KR"/>
    <n v="28.43"/>
    <s v="27-31"/>
    <n v="2"/>
    <n v="0"/>
    <n v="31"/>
    <n v="0.3"/>
    <n v="0"/>
    <n v="0"/>
    <n v="0"/>
    <n v="0"/>
    <n v="0"/>
    <n v="0"/>
    <n v="1"/>
    <n v="0"/>
    <n v="0"/>
    <s v="Pure Sub"/>
    <n v="2"/>
  </r>
  <r>
    <s v="Marc Guehi"/>
    <s v="DF"/>
    <x v="33"/>
    <s v="EN"/>
    <n v="25.96"/>
    <s v="23-27"/>
    <n v="3"/>
    <n v="2"/>
    <n v="184"/>
    <n v="2"/>
    <n v="0"/>
    <n v="0"/>
    <n v="0"/>
    <n v="0"/>
    <n v="0"/>
    <n v="0"/>
    <n v="0"/>
    <n v="0"/>
    <n v="0"/>
    <s v="Mixed"/>
    <n v="1"/>
  </r>
  <r>
    <s v="Evann Guessand"/>
    <s v="FW,MF"/>
    <x v="11"/>
    <s v="CI"/>
    <n v="25"/>
    <s v="23-27"/>
    <n v="1"/>
    <n v="0"/>
    <n v="16"/>
    <n v="0.2"/>
    <n v="0"/>
    <n v="0"/>
    <n v="0"/>
    <n v="0"/>
    <n v="0"/>
    <n v="0"/>
    <n v="0"/>
    <n v="0"/>
    <n v="0"/>
    <s v="Pure Sub"/>
    <n v="1"/>
  </r>
  <r>
    <s v="Idrissa Gueye"/>
    <s v="MF"/>
    <x v="43"/>
    <s v="SN"/>
    <n v="36.76"/>
    <s v="35+"/>
    <n v="3"/>
    <n v="3"/>
    <n v="267"/>
    <n v="3"/>
    <n v="0"/>
    <n v="0"/>
    <n v="0"/>
    <n v="0"/>
    <n v="0"/>
    <n v="0"/>
    <n v="0"/>
    <n v="0"/>
    <n v="0"/>
    <s v="Always Started"/>
    <n v="0"/>
  </r>
  <r>
    <s v="Pape Gueye"/>
    <s v="MF"/>
    <x v="43"/>
    <s v="SN"/>
    <n v="27.43"/>
    <s v="27-31"/>
    <n v="3"/>
    <n v="2"/>
    <n v="169"/>
    <n v="1.9"/>
    <n v="2"/>
    <n v="1"/>
    <n v="3"/>
    <n v="2"/>
    <n v="0"/>
    <n v="0"/>
    <n v="1"/>
    <n v="0"/>
    <n v="1.0529999999999999"/>
    <s v="Mixed"/>
    <n v="1"/>
  </r>
  <r>
    <s v="Bruno Guimaraes"/>
    <s v="MF"/>
    <x v="27"/>
    <s v="BR"/>
    <n v="28.62"/>
    <s v="27-31"/>
    <n v="4"/>
    <n v="4"/>
    <n v="338"/>
    <n v="3.8"/>
    <n v="0"/>
    <n v="4"/>
    <n v="4"/>
    <n v="0"/>
    <n v="0"/>
    <n v="0"/>
    <n v="0"/>
    <n v="0"/>
    <n v="0"/>
    <s v="Always Started"/>
    <n v="0"/>
  </r>
  <r>
    <s v="Deniz Gul"/>
    <s v="FW"/>
    <x v="18"/>
    <s v="TR"/>
    <n v="21.99"/>
    <s v="U23"/>
    <n v="2"/>
    <n v="0"/>
    <n v="37"/>
    <n v="0.4"/>
    <n v="0"/>
    <n v="0"/>
    <n v="0"/>
    <n v="0"/>
    <n v="0"/>
    <n v="0"/>
    <n v="0"/>
    <n v="0"/>
    <n v="0"/>
    <s v="Pure Sub"/>
    <n v="2"/>
  </r>
  <r>
    <s v="Arda Guler"/>
    <s v="MF"/>
    <x v="18"/>
    <s v="TR"/>
    <n v="21.34"/>
    <s v="U23"/>
    <n v="3"/>
    <n v="3"/>
    <n v="270"/>
    <n v="3"/>
    <n v="1"/>
    <n v="0"/>
    <n v="1"/>
    <n v="1"/>
    <n v="0"/>
    <n v="0"/>
    <n v="0"/>
    <n v="0"/>
    <n v="0.33300000000000002"/>
    <s v="Always Started"/>
    <n v="0"/>
  </r>
  <r>
    <s v="Angus Gunn"/>
    <s v="GK"/>
    <x v="8"/>
    <s v="ST"/>
    <n v="30.44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Malo Gusto"/>
    <s v="DF,MF"/>
    <x v="19"/>
    <s v="FR"/>
    <n v="23.11"/>
    <s v="23-27"/>
    <n v="2"/>
    <n v="0"/>
    <n v="12"/>
    <n v="0.1"/>
    <n v="0"/>
    <n v="0"/>
    <n v="0"/>
    <n v="0"/>
    <n v="0"/>
    <n v="0"/>
    <n v="0"/>
    <n v="0"/>
    <n v="0"/>
    <s v="Pure Sub"/>
    <n v="2"/>
  </r>
  <r>
    <s v="Brian Gutierrez"/>
    <s v="MF"/>
    <x v="29"/>
    <s v="MX"/>
    <n v="23.04"/>
    <s v="23-27"/>
    <n v="2"/>
    <n v="2"/>
    <n v="135"/>
    <n v="1.5"/>
    <n v="0"/>
    <n v="0"/>
    <n v="0"/>
    <n v="0"/>
    <n v="0"/>
    <n v="0"/>
    <n v="1"/>
    <n v="0"/>
    <n v="0"/>
    <s v="Always Started"/>
    <n v="0"/>
  </r>
  <r>
    <s v="Jorge Gutierrez"/>
    <s v="DF"/>
    <x v="31"/>
    <s v="PA"/>
    <n v="27.83"/>
    <s v="27-31"/>
    <n v="1"/>
    <n v="1"/>
    <n v="87"/>
    <n v="1"/>
    <n v="0"/>
    <n v="0"/>
    <n v="0"/>
    <n v="0"/>
    <n v="0"/>
    <n v="0"/>
    <n v="0"/>
    <n v="0"/>
    <n v="0"/>
    <s v="Always Started"/>
    <n v="0"/>
  </r>
  <r>
    <s v="Joko Gvardiol"/>
    <s v="DF"/>
    <x v="40"/>
    <s v="HR"/>
    <n v="24.43"/>
    <s v="23-27"/>
    <n v="3"/>
    <n v="2"/>
    <n v="138"/>
    <n v="1.5"/>
    <n v="0"/>
    <n v="0"/>
    <n v="0"/>
    <n v="0"/>
    <n v="0"/>
    <n v="0"/>
    <n v="0"/>
    <n v="0"/>
    <n v="0"/>
    <s v="Mixed"/>
    <n v="1"/>
  </r>
  <r>
    <s v="Viktor Gyokeres"/>
    <s v="FW"/>
    <x v="25"/>
    <s v="SE"/>
    <n v="28.07"/>
    <s v="27-31"/>
    <n v="3"/>
    <n v="3"/>
    <n v="270"/>
    <n v="3"/>
    <n v="1"/>
    <n v="2"/>
    <n v="3"/>
    <n v="1"/>
    <n v="0"/>
    <n v="0"/>
    <n v="1"/>
    <n v="0"/>
    <n v="0.33300000000000002"/>
    <s v="Always Started"/>
    <n v="0"/>
  </r>
  <r>
    <s v="Aziz G?aniyev"/>
    <s v="MF"/>
    <x v="5"/>
    <s v="UZ"/>
    <n v="28.35"/>
    <s v="27-31"/>
    <n v="2"/>
    <n v="1"/>
    <n v="122"/>
    <n v="1.4"/>
    <n v="0"/>
    <n v="0"/>
    <n v="0"/>
    <n v="0"/>
    <n v="0"/>
    <n v="0"/>
    <n v="0"/>
    <n v="0"/>
    <n v="0"/>
    <s v="Mixed"/>
    <n v="1"/>
  </r>
  <r>
    <s v="Erling Haaland"/>
    <s v="FW"/>
    <x v="1"/>
    <s v="NO"/>
    <n v="25.94"/>
    <s v="23-27"/>
    <n v="2"/>
    <n v="2"/>
    <n v="180"/>
    <n v="2"/>
    <n v="4"/>
    <n v="0"/>
    <n v="4"/>
    <n v="4"/>
    <n v="0"/>
    <n v="0"/>
    <n v="0"/>
    <n v="0"/>
    <n v="2"/>
    <s v="Always Started"/>
    <n v="0"/>
  </r>
  <r>
    <s v="Ihsan Haddad"/>
    <s v="DF"/>
    <x v="7"/>
    <s v="JO"/>
    <n v="32.4"/>
    <s v="31-35"/>
    <n v="3"/>
    <n v="3"/>
    <n v="260"/>
    <n v="2.9"/>
    <n v="0"/>
    <n v="1"/>
    <n v="1"/>
    <n v="0"/>
    <n v="0"/>
    <n v="0"/>
    <n v="0"/>
    <n v="0"/>
    <n v="0"/>
    <s v="Always Started"/>
    <n v="0"/>
  </r>
  <r>
    <s v="Anis Hadj Moussa"/>
    <s v="MF"/>
    <x v="16"/>
    <s v="DZ"/>
    <n v="24.38"/>
    <s v="23-27"/>
    <n v="2"/>
    <n v="1"/>
    <n v="78"/>
    <n v="0.9"/>
    <n v="0"/>
    <n v="0"/>
    <n v="0"/>
    <n v="0"/>
    <n v="0"/>
    <n v="0"/>
    <n v="0"/>
    <n v="0"/>
    <n v="0"/>
    <s v="Mixed"/>
    <n v="1"/>
  </r>
  <r>
    <s v="Jaouen Hadjam"/>
    <s v="DF"/>
    <x v="16"/>
    <s v="DZ"/>
    <n v="23.26"/>
    <s v="23-27"/>
    <n v="2"/>
    <n v="1"/>
    <n v="76"/>
    <n v="0.8"/>
    <n v="0"/>
    <n v="0"/>
    <n v="0"/>
    <n v="0"/>
    <n v="0"/>
    <n v="0"/>
    <n v="0"/>
    <n v="0"/>
    <n v="0"/>
    <s v="Mixed"/>
    <n v="1"/>
  </r>
  <r>
    <s v="Amir Hadiahmetovi?"/>
    <s v="MF"/>
    <x v="21"/>
    <s v="BA"/>
    <n v="29.31"/>
    <s v="27-31"/>
    <n v="1"/>
    <n v="0"/>
    <n v="6"/>
    <n v="0.1"/>
    <n v="0"/>
    <n v="0"/>
    <n v="0"/>
    <n v="0"/>
    <n v="0"/>
    <n v="0"/>
    <n v="0"/>
    <n v="0"/>
    <n v="0"/>
    <s v="Pure Sub"/>
    <n v="1"/>
  </r>
  <r>
    <s v="Dennis Hadikaduni?"/>
    <s v="DF"/>
    <x v="21"/>
    <s v="BA"/>
    <n v="27.97"/>
    <s v="27-31"/>
    <n v="1"/>
    <n v="0"/>
    <n v="27"/>
    <n v="0.3"/>
    <n v="0"/>
    <n v="1"/>
    <n v="1"/>
    <n v="0"/>
    <n v="0"/>
    <n v="0"/>
    <n v="0"/>
    <n v="0"/>
    <n v="0"/>
    <s v="Pure Sub"/>
    <n v="1"/>
  </r>
  <r>
    <s v="Karim Hafez"/>
    <s v="DF"/>
    <x v="2"/>
    <s v="EG"/>
    <n v="30.3"/>
    <s v="27-31"/>
    <n v="1"/>
    <n v="0"/>
    <n v="3"/>
    <n v="0"/>
    <n v="0"/>
    <n v="0"/>
    <n v="0"/>
    <n v="0"/>
    <n v="0"/>
    <n v="0"/>
    <n v="0"/>
    <n v="0"/>
    <n v="0"/>
    <s v="Pure Sub"/>
    <n v="1"/>
  </r>
  <r>
    <s v="Ehsan Hajsafi"/>
    <s v="DF"/>
    <x v="26"/>
    <s v="IR"/>
    <n v="36.340000000000003"/>
    <s v="35+"/>
    <n v="2"/>
    <n v="1"/>
    <n v="91"/>
    <n v="1"/>
    <n v="0"/>
    <n v="0"/>
    <n v="0"/>
    <n v="0"/>
    <n v="0"/>
    <n v="0"/>
    <n v="1"/>
    <n v="0"/>
    <n v="0"/>
    <s v="Mixed"/>
    <n v="1"/>
  </r>
  <r>
    <s v="Achraf Hakimi"/>
    <s v="DF"/>
    <x v="30"/>
    <s v="MA"/>
    <n v="27.65"/>
    <s v="27-31"/>
    <n v="4"/>
    <n v="4"/>
    <n v="390"/>
    <n v="4.3"/>
    <n v="1"/>
    <n v="1"/>
    <n v="2"/>
    <n v="1"/>
    <n v="0"/>
    <n v="0"/>
    <n v="0"/>
    <n v="0"/>
    <n v="0.23300000000000001"/>
    <s v="Always Started"/>
    <n v="0"/>
  </r>
  <r>
    <s v="Redouane Halhal"/>
    <s v="DF"/>
    <x v="30"/>
    <s v="MA"/>
    <n v="23.32"/>
    <s v="23-27"/>
    <n v="1"/>
    <n v="1"/>
    <n v="90"/>
    <n v="1"/>
    <n v="0"/>
    <n v="0"/>
    <n v="0"/>
    <n v="0"/>
    <n v="0"/>
    <n v="0"/>
    <n v="0"/>
    <n v="0"/>
    <n v="0"/>
    <s v="Always Started"/>
    <n v="0"/>
  </r>
  <r>
    <s v="Ali Al Hamadi"/>
    <s v="FW"/>
    <x v="24"/>
    <s v="IQ"/>
    <n v="24.33"/>
    <s v="23-27"/>
    <n v="3"/>
    <n v="2"/>
    <n v="180"/>
    <n v="2"/>
    <n v="0"/>
    <n v="0"/>
    <n v="0"/>
    <n v="0"/>
    <n v="0"/>
    <n v="0"/>
    <n v="0"/>
    <n v="0"/>
    <n v="0"/>
    <s v="Mixed"/>
    <n v="1"/>
  </r>
  <r>
    <s v="Abdullah Al-Hamdan"/>
    <s v="FW"/>
    <x v="4"/>
    <s v="SA"/>
    <n v="26.79"/>
    <s v="23-27"/>
    <n v="3"/>
    <n v="0"/>
    <n v="71"/>
    <n v="0.8"/>
    <n v="0"/>
    <n v="0"/>
    <n v="0"/>
    <n v="0"/>
    <n v="0"/>
    <n v="0"/>
    <n v="0"/>
    <n v="0"/>
    <n v="0"/>
    <s v="Pure Sub"/>
    <n v="3"/>
  </r>
  <r>
    <s v="Mohamed Amine Ben Hamida"/>
    <s v="DF"/>
    <x v="3"/>
    <s v="TN"/>
    <n v="30.54"/>
    <s v="27-31"/>
    <n v="3"/>
    <n v="2"/>
    <n v="202"/>
    <n v="2.2000000000000002"/>
    <n v="0"/>
    <n v="0"/>
    <n v="0"/>
    <n v="0"/>
    <n v="0"/>
    <n v="0"/>
    <n v="0"/>
    <n v="0"/>
    <n v="0"/>
    <s v="Mixed"/>
    <n v="1"/>
  </r>
  <r>
    <s v="Odiljon Hamrobekov"/>
    <s v="MF"/>
    <x v="5"/>
    <s v="UZ"/>
    <n v="30.38"/>
    <s v="27-31"/>
    <n v="2"/>
    <n v="1"/>
    <n v="77"/>
    <n v="0.9"/>
    <n v="0"/>
    <n v="0"/>
    <n v="0"/>
    <n v="0"/>
    <n v="0"/>
    <n v="0"/>
    <n v="1"/>
    <n v="0"/>
    <n v="0"/>
    <s v="Mixed"/>
    <n v="1"/>
  </r>
  <r>
    <s v="Lee Han-beom"/>
    <s v="DF"/>
    <x v="45"/>
    <s v="KR"/>
    <n v="24.04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Grant Hanley"/>
    <s v="DF"/>
    <x v="8"/>
    <s v="ST"/>
    <n v="34.61"/>
    <s v="31-35"/>
    <n v="2"/>
    <n v="2"/>
    <n v="180"/>
    <n v="2"/>
    <n v="0"/>
    <n v="0"/>
    <n v="0"/>
    <n v="0"/>
    <n v="0"/>
    <n v="0"/>
    <n v="0"/>
    <n v="0"/>
    <n v="0"/>
    <s v="Always Started"/>
    <n v="0"/>
  </r>
  <r>
    <s v="Sontje Hansen"/>
    <s v="FW"/>
    <x v="34"/>
    <s v="CW"/>
    <n v="24.12"/>
    <s v="23-27"/>
    <n v="1"/>
    <n v="1"/>
    <n v="45"/>
    <n v="0.5"/>
    <n v="0"/>
    <n v="0"/>
    <n v="0"/>
    <n v="0"/>
    <n v="0"/>
    <n v="0"/>
    <n v="0"/>
    <n v="0"/>
    <n v="0"/>
    <s v="Always Started"/>
    <n v="0"/>
  </r>
  <r>
    <s v="Mohamed Hany"/>
    <s v="DF"/>
    <x v="2"/>
    <s v="EG"/>
    <n v="30.43"/>
    <s v="27-31"/>
    <n v="3"/>
    <n v="3"/>
    <n v="270"/>
    <n v="3"/>
    <n v="0"/>
    <n v="1"/>
    <n v="1"/>
    <n v="0"/>
    <n v="0"/>
    <n v="0"/>
    <n v="0"/>
    <n v="0"/>
    <n v="0"/>
    <s v="Always Started"/>
    <n v="0"/>
  </r>
  <r>
    <s v="Moteb Al-Harbi"/>
    <s v="DF"/>
    <x v="4"/>
    <s v="SA"/>
    <n v="26.36"/>
    <s v="23-27"/>
    <n v="3"/>
    <n v="2"/>
    <n v="188"/>
    <n v="2.1"/>
    <n v="0"/>
    <n v="0"/>
    <n v="0"/>
    <n v="0"/>
    <n v="0"/>
    <n v="0"/>
    <n v="0"/>
    <n v="0"/>
    <n v="0"/>
    <s v="Mixed"/>
    <n v="1"/>
  </r>
  <r>
    <s v="Saleh Hardani"/>
    <s v="DF"/>
    <x v="26"/>
    <s v="IR"/>
    <n v="27.51"/>
    <s v="27-31"/>
    <n v="2"/>
    <n v="1"/>
    <n v="90"/>
    <n v="1"/>
    <n v="0"/>
    <n v="0"/>
    <n v="0"/>
    <n v="0"/>
    <n v="0"/>
    <n v="0"/>
    <n v="0"/>
    <n v="0"/>
    <n v="0"/>
    <s v="Mixed"/>
    <n v="1"/>
  </r>
  <r>
    <s v="Carlos Harvey"/>
    <s v="MF"/>
    <x v="31"/>
    <s v="PA"/>
    <n v="26.4"/>
    <s v="23-27"/>
    <n v="3"/>
    <n v="3"/>
    <n v="267"/>
    <n v="3"/>
    <n v="0"/>
    <n v="0"/>
    <n v="0"/>
    <n v="0"/>
    <n v="0"/>
    <n v="0"/>
    <n v="1"/>
    <n v="0"/>
    <n v="0"/>
    <s v="Always Started"/>
    <n v="0"/>
  </r>
  <r>
    <s v="Akam Hashim"/>
    <s v="DF"/>
    <x v="24"/>
    <s v="IQ"/>
    <n v="27.87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Jalal Hassan"/>
    <s v="GK"/>
    <x v="24"/>
    <s v="IQ"/>
    <n v="35.119999999999997"/>
    <s v="35+"/>
    <n v="2"/>
    <n v="1"/>
    <n v="135"/>
    <n v="1.5"/>
    <n v="0"/>
    <n v="0"/>
    <n v="0"/>
    <n v="0"/>
    <n v="0"/>
    <n v="0"/>
    <n v="0"/>
    <n v="0"/>
    <n v="0"/>
    <s v="Mixed"/>
    <n v="1"/>
  </r>
  <r>
    <s v="Abdulaziz Hatem"/>
    <s v="MF"/>
    <x v="6"/>
    <s v="QA"/>
    <n v="36.49"/>
    <s v="35+"/>
    <n v="1"/>
    <n v="0"/>
    <n v="45"/>
    <n v="0.5"/>
    <n v="0"/>
    <n v="0"/>
    <n v="0"/>
    <n v="0"/>
    <n v="0"/>
    <n v="0"/>
    <n v="0"/>
    <n v="0"/>
    <n v="0"/>
    <s v="Pure Sub"/>
    <n v="1"/>
  </r>
  <r>
    <s v="Jorrel Hato"/>
    <s v="DF"/>
    <x v="17"/>
    <s v="NL"/>
    <n v="20.309999999999999"/>
    <s v="U23"/>
    <n v="1"/>
    <n v="0"/>
    <n v="35"/>
    <n v="0.4"/>
    <n v="0"/>
    <n v="0"/>
    <n v="0"/>
    <n v="0"/>
    <n v="0"/>
    <n v="0"/>
    <n v="0"/>
    <n v="0"/>
    <n v="0"/>
    <s v="Pure Sub"/>
    <n v="1"/>
  </r>
  <r>
    <s v="Kai Havertz"/>
    <s v="FW"/>
    <x v="32"/>
    <s v="DE"/>
    <n v="27.05"/>
    <s v="27-31"/>
    <n v="4"/>
    <n v="4"/>
    <n v="353"/>
    <n v="3.9"/>
    <n v="3"/>
    <n v="0"/>
    <n v="3"/>
    <n v="2"/>
    <n v="1"/>
    <n v="1"/>
    <n v="1"/>
    <n v="0"/>
    <n v="0.76900000000000002"/>
    <s v="Always Started"/>
    <n v="0"/>
  </r>
  <r>
    <s v="Hassan Al-Haydos"/>
    <s v="MF"/>
    <x v="6"/>
    <s v="QA"/>
    <n v="35.549999999999997"/>
    <s v="35+"/>
    <n v="2"/>
    <n v="1"/>
    <n v="57"/>
    <n v="0.6"/>
    <n v="1"/>
    <n v="0"/>
    <n v="1"/>
    <n v="1"/>
    <n v="0"/>
    <n v="0"/>
    <n v="0"/>
    <n v="0"/>
    <n v="1.667"/>
    <s v="Mixed"/>
    <n v="1"/>
  </r>
  <r>
    <s v="Jan Paul van Hecke"/>
    <s v="DF"/>
    <x v="17"/>
    <s v="NL"/>
    <n v="26.06"/>
    <s v="23-27"/>
    <n v="4"/>
    <n v="4"/>
    <n v="390"/>
    <n v="4.3"/>
    <n v="1"/>
    <n v="0"/>
    <n v="1"/>
    <n v="1"/>
    <n v="0"/>
    <n v="0"/>
    <n v="0"/>
    <n v="0"/>
    <n v="0.23300000000000001"/>
    <s v="Always Started"/>
    <n v="0"/>
  </r>
  <r>
    <s v="Hwang Hee-chan"/>
    <s v="FW"/>
    <x v="45"/>
    <s v="KR"/>
    <n v="30.42"/>
    <s v="27-31"/>
    <n v="3"/>
    <n v="1"/>
    <n v="108"/>
    <n v="1.2"/>
    <n v="0"/>
    <n v="0"/>
    <n v="0"/>
    <n v="0"/>
    <n v="0"/>
    <n v="0"/>
    <n v="0"/>
    <n v="0"/>
    <n v="0"/>
    <s v="Mixed"/>
    <n v="2"/>
  </r>
  <r>
    <s v="Torbjorn Heggem"/>
    <s v="DF"/>
    <x v="1"/>
    <s v="NO"/>
    <n v="27.46"/>
    <s v="27-31"/>
    <n v="2"/>
    <n v="2"/>
    <n v="173"/>
    <n v="1.9"/>
    <n v="0"/>
    <n v="0"/>
    <n v="0"/>
    <n v="0"/>
    <n v="0"/>
    <n v="0"/>
    <n v="0"/>
    <n v="0"/>
    <n v="0"/>
    <s v="Always Started"/>
    <n v="0"/>
  </r>
  <r>
    <s v="Alaa Al Hejji"/>
    <s v="MF"/>
    <x v="4"/>
    <s v="SA"/>
    <n v="30.57"/>
    <s v="27-31"/>
    <n v="2"/>
    <n v="0"/>
    <n v="32"/>
    <n v="0.4"/>
    <n v="0"/>
    <n v="0"/>
    <n v="0"/>
    <n v="0"/>
    <n v="0"/>
    <n v="0"/>
    <n v="0"/>
    <n v="0"/>
    <n v="0"/>
    <s v="Pure Sub"/>
    <n v="2"/>
  </r>
  <r>
    <s v="Jordan Henderson"/>
    <s v="MF"/>
    <x v="33"/>
    <s v="EN"/>
    <n v="36.04"/>
    <s v="35+"/>
    <n v="1"/>
    <n v="0"/>
    <n v="7"/>
    <n v="0.1"/>
    <n v="0"/>
    <n v="0"/>
    <n v="0"/>
    <n v="0"/>
    <n v="0"/>
    <n v="0"/>
    <n v="0"/>
    <n v="0"/>
    <n v="0"/>
    <s v="Pure Sub"/>
    <n v="1"/>
  </r>
  <r>
    <s v="Jack Hendry"/>
    <s v="DF"/>
    <x v="8"/>
    <s v="ST"/>
    <n v="31.15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Luiz Henrique"/>
    <s v="FW,MF"/>
    <x v="27"/>
    <s v="BR"/>
    <n v="25.49"/>
    <s v="23-27"/>
    <n v="1"/>
    <n v="0"/>
    <n v="29"/>
    <n v="0.3"/>
    <n v="0"/>
    <n v="0"/>
    <n v="0"/>
    <n v="0"/>
    <n v="0"/>
    <n v="0"/>
    <n v="0"/>
    <n v="0"/>
    <n v="0"/>
    <s v="Pure Sub"/>
    <n v="1"/>
  </r>
  <r>
    <s v="Theo Hernandez"/>
    <s v="DF"/>
    <x v="19"/>
    <s v="FR"/>
    <n v="28.73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Lucas Herrington"/>
    <s v="DF"/>
    <x v="41"/>
    <s v="AU"/>
    <n v="18.82"/>
    <s v="U23"/>
    <n v="1"/>
    <n v="1"/>
    <n v="90"/>
    <n v="1"/>
    <n v="0"/>
    <n v="0"/>
    <n v="0"/>
    <n v="0"/>
    <n v="0"/>
    <n v="0"/>
    <n v="0"/>
    <n v="0"/>
    <n v="0"/>
    <s v="Always Started"/>
    <n v="0"/>
  </r>
  <r>
    <s v="Son Heung-min"/>
    <s v="FW"/>
    <x v="45"/>
    <s v="KR"/>
    <n v="33.979999999999997"/>
    <s v="31-35"/>
    <n v="3"/>
    <n v="2"/>
    <n v="169"/>
    <n v="1.9"/>
    <n v="0"/>
    <n v="0"/>
    <n v="0"/>
    <n v="0"/>
    <n v="0"/>
    <n v="0"/>
    <n v="0"/>
    <n v="0"/>
    <n v="0"/>
    <s v="Mixed"/>
    <n v="1"/>
  </r>
  <r>
    <s v="Aaron Hickey"/>
    <s v="DF"/>
    <x v="8"/>
    <s v="ST"/>
    <n v="24.05"/>
    <s v="23-27"/>
    <n v="1"/>
    <n v="1"/>
    <n v="74"/>
    <n v="0.8"/>
    <n v="0"/>
    <n v="0"/>
    <n v="0"/>
    <n v="0"/>
    <n v="0"/>
    <n v="0"/>
    <n v="1"/>
    <n v="0"/>
    <n v="0"/>
    <s v="Always Started"/>
    <n v="0"/>
  </r>
  <r>
    <s v="Isak Hien"/>
    <s v="DF"/>
    <x v="25"/>
    <s v="SE"/>
    <n v="27.46"/>
    <s v="27-31"/>
    <n v="3"/>
    <n v="3"/>
    <n v="216"/>
    <n v="2.4"/>
    <n v="0"/>
    <n v="0"/>
    <n v="0"/>
    <n v="0"/>
    <n v="0"/>
    <n v="0"/>
    <n v="1"/>
    <n v="0"/>
    <n v="0"/>
    <s v="Always Started"/>
    <n v="0"/>
  </r>
  <r>
    <s v="Piero Hincapie"/>
    <s v="DF"/>
    <x v="22"/>
    <s v="EC"/>
    <n v="24.47"/>
    <s v="23-27"/>
    <n v="3"/>
    <n v="3"/>
    <n v="250"/>
    <n v="2.8"/>
    <n v="0"/>
    <n v="0"/>
    <n v="0"/>
    <n v="0"/>
    <n v="0"/>
    <n v="0"/>
    <n v="1"/>
    <n v="0"/>
    <n v="0"/>
    <s v="Always Started"/>
    <n v="0"/>
  </r>
  <r>
    <s v="Adam Hloek"/>
    <s v="FW"/>
    <x v="46"/>
    <s v="CZ"/>
    <n v="23.93"/>
    <s v="23-27"/>
    <n v="3"/>
    <n v="2"/>
    <n v="156"/>
    <n v="1.7"/>
    <n v="0"/>
    <n v="0"/>
    <n v="0"/>
    <n v="0"/>
    <n v="0"/>
    <n v="0"/>
    <n v="0"/>
    <n v="0"/>
    <n v="0"/>
    <s v="Mixed"/>
    <n v="1"/>
  </r>
  <r>
    <s v="Toma Hole"/>
    <s v="DF"/>
    <x v="46"/>
    <s v="CZ"/>
    <n v="33.25"/>
    <s v="31-35"/>
    <n v="2"/>
    <n v="2"/>
    <n v="153"/>
    <n v="1.7"/>
    <n v="0"/>
    <n v="0"/>
    <n v="0"/>
    <n v="0"/>
    <n v="0"/>
    <n v="0"/>
    <n v="0"/>
    <n v="0"/>
    <n v="0"/>
    <s v="Always Started"/>
    <n v="0"/>
  </r>
  <r>
    <s v="Amirhossein Hosseinzadeh"/>
    <s v="FW"/>
    <x v="26"/>
    <s v="IR"/>
    <n v="25.67"/>
    <s v="23-27"/>
    <n v="2"/>
    <n v="0"/>
    <n v="17"/>
    <n v="0.2"/>
    <n v="0"/>
    <n v="0"/>
    <n v="0"/>
    <n v="0"/>
    <n v="0"/>
    <n v="0"/>
    <n v="0"/>
    <n v="0"/>
    <n v="0"/>
    <s v="Pure Sub"/>
    <n v="2"/>
  </r>
  <r>
    <s v="Robin Hrana?"/>
    <s v="DF"/>
    <x v="46"/>
    <s v="CZ"/>
    <n v="26.42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Ajdin Hrustic"/>
    <s v="MF"/>
    <x v="41"/>
    <s v="AU"/>
    <n v="29.99"/>
    <s v="27-31"/>
    <n v="1"/>
    <n v="0"/>
    <n v="33"/>
    <n v="0.4"/>
    <n v="0"/>
    <n v="0"/>
    <n v="0"/>
    <n v="0"/>
    <n v="0"/>
    <n v="0"/>
    <n v="0"/>
    <n v="0"/>
    <n v="0"/>
    <s v="Pure Sub"/>
    <n v="1"/>
  </r>
  <r>
    <s v="Cesar Huerta"/>
    <s v="FW,MF"/>
    <x v="29"/>
    <s v="MX"/>
    <n v="25.57"/>
    <s v="23-27"/>
    <n v="1"/>
    <n v="0"/>
    <n v="7"/>
    <n v="0.1"/>
    <n v="0"/>
    <n v="0"/>
    <n v="0"/>
    <n v="0"/>
    <n v="0"/>
    <n v="0"/>
    <n v="0"/>
    <n v="0"/>
    <n v="0"/>
    <s v="Pure Sub"/>
    <n v="1"/>
  </r>
  <r>
    <s v="Al-Hashmi Al-Hussain"/>
    <s v="MF"/>
    <x v="6"/>
    <s v="QA"/>
    <n v="22.87"/>
    <s v="U23"/>
    <n v="1"/>
    <n v="0"/>
    <n v="32"/>
    <n v="0.4"/>
    <n v="0"/>
    <n v="0"/>
    <n v="0"/>
    <n v="0"/>
    <n v="0"/>
    <n v="0"/>
    <n v="0"/>
    <n v="0"/>
    <n v="0"/>
    <s v="Pure Sub"/>
    <n v="1"/>
  </r>
  <r>
    <s v="Ayman Hussein"/>
    <s v="FW"/>
    <x v="24"/>
    <s v="IQ"/>
    <n v="30.27"/>
    <s v="27-31"/>
    <n v="2"/>
    <n v="2"/>
    <n v="115"/>
    <n v="1.3"/>
    <n v="1"/>
    <n v="0"/>
    <n v="1"/>
    <n v="1"/>
    <n v="0"/>
    <n v="0"/>
    <n v="0"/>
    <n v="0"/>
    <n v="0.76900000000000002"/>
    <s v="Always Started"/>
    <n v="0"/>
  </r>
  <r>
    <s v="Oh Hyeon-gyu"/>
    <s v="FW"/>
    <x v="45"/>
    <s v="KR"/>
    <n v="25.22"/>
    <s v="23-27"/>
    <n v="3"/>
    <n v="1"/>
    <n v="129"/>
    <n v="1.4"/>
    <n v="1"/>
    <n v="0"/>
    <n v="1"/>
    <n v="1"/>
    <n v="0"/>
    <n v="0"/>
    <n v="0"/>
    <n v="0"/>
    <n v="0.71399999999999997"/>
    <s v="Mixed"/>
    <n v="2"/>
  </r>
  <r>
    <s v="Yang Hyun-jun"/>
    <s v="FW,MF"/>
    <x v="45"/>
    <s v="KR"/>
    <n v="24.1"/>
    <s v="23-27"/>
    <n v="1"/>
    <n v="0"/>
    <n v="20"/>
    <n v="0.2"/>
    <n v="0"/>
    <n v="0"/>
    <n v="0"/>
    <n v="0"/>
    <n v="0"/>
    <n v="0"/>
    <n v="0"/>
    <n v="0"/>
    <n v="0"/>
    <s v="Pure Sub"/>
    <n v="1"/>
  </r>
  <r>
    <s v="Roger Ibanez"/>
    <s v="DF"/>
    <x v="27"/>
    <s v="BR"/>
    <n v="27.6"/>
    <s v="27-31"/>
    <n v="1"/>
    <n v="1"/>
    <n v="45"/>
    <n v="0.5"/>
    <n v="0"/>
    <n v="0"/>
    <n v="0"/>
    <n v="0"/>
    <n v="0"/>
    <n v="0"/>
    <n v="1"/>
    <n v="0"/>
    <n v="0"/>
    <s v="Always Started"/>
    <n v="0"/>
  </r>
  <r>
    <s v="Yasser Ibrahim"/>
    <s v="DF"/>
    <x v="2"/>
    <s v="EG"/>
    <n v="33.380000000000003"/>
    <s v="31-35"/>
    <n v="3"/>
    <n v="2"/>
    <n v="257"/>
    <n v="2.9"/>
    <n v="0"/>
    <n v="0"/>
    <n v="0"/>
    <n v="0"/>
    <n v="0"/>
    <n v="0"/>
    <n v="1"/>
    <n v="0"/>
    <n v="0"/>
    <s v="Mixed"/>
    <n v="1"/>
  </r>
  <r>
    <s v="Hwang In-beom"/>
    <s v="MF"/>
    <x v="45"/>
    <s v="KR"/>
    <n v="29.77"/>
    <s v="27-31"/>
    <n v="3"/>
    <n v="3"/>
    <n v="263"/>
    <n v="2.9"/>
    <n v="1"/>
    <n v="1"/>
    <n v="2"/>
    <n v="1"/>
    <n v="0"/>
    <n v="0"/>
    <n v="0"/>
    <n v="0"/>
    <n v="0.34499999999999997"/>
    <s v="Always Started"/>
    <n v="0"/>
  </r>
  <r>
    <s v="Christ Inao Oulai"/>
    <s v="MF"/>
    <x v="11"/>
    <s v="CI"/>
    <n v="20.23"/>
    <s v="U23"/>
    <n v="3"/>
    <n v="1"/>
    <n v="149"/>
    <n v="1.7"/>
    <n v="0"/>
    <n v="0"/>
    <n v="0"/>
    <n v="0"/>
    <n v="0"/>
    <n v="0"/>
    <n v="0"/>
    <n v="0"/>
    <n v="0"/>
    <s v="Mixed"/>
    <n v="2"/>
  </r>
  <r>
    <s v="Zidane Iqbal"/>
    <s v="MF"/>
    <x v="24"/>
    <s v="IQ"/>
    <n v="23.18"/>
    <s v="23-27"/>
    <n v="3"/>
    <n v="2"/>
    <n v="188"/>
    <n v="2.1"/>
    <n v="0"/>
    <n v="0"/>
    <n v="0"/>
    <n v="0"/>
    <n v="0"/>
    <n v="0"/>
    <n v="0"/>
    <n v="0"/>
    <n v="0"/>
    <s v="Mixed"/>
    <n v="1"/>
  </r>
  <r>
    <s v="Nestory Irankunda"/>
    <s v="MF,FW"/>
    <x v="41"/>
    <s v="AU"/>
    <n v="20.39"/>
    <s v="U23"/>
    <n v="3"/>
    <n v="2"/>
    <n v="188"/>
    <n v="2.1"/>
    <n v="1"/>
    <n v="0"/>
    <n v="1"/>
    <n v="1"/>
    <n v="0"/>
    <n v="0"/>
    <n v="0"/>
    <n v="0"/>
    <n v="0.47599999999999998"/>
    <s v="Mixed"/>
    <n v="1"/>
  </r>
  <r>
    <s v="Jackson Irvine"/>
    <s v="MF"/>
    <x v="41"/>
    <s v="AU"/>
    <n v="33.31"/>
    <s v="31-35"/>
    <n v="3"/>
    <n v="1"/>
    <n v="103"/>
    <n v="1.1000000000000001"/>
    <n v="0"/>
    <n v="0"/>
    <n v="0"/>
    <n v="0"/>
    <n v="0"/>
    <n v="0"/>
    <n v="1"/>
    <n v="0"/>
    <n v="0"/>
    <s v="Mixed"/>
    <n v="2"/>
  </r>
  <r>
    <s v="Alexander Isak"/>
    <s v="FW"/>
    <x v="25"/>
    <s v="SE"/>
    <n v="26.77"/>
    <s v="23-27"/>
    <n v="3"/>
    <n v="3"/>
    <n v="269"/>
    <n v="3"/>
    <n v="1"/>
    <n v="3"/>
    <n v="4"/>
    <n v="1"/>
    <n v="0"/>
    <n v="0"/>
    <n v="0"/>
    <n v="0"/>
    <n v="0.33300000000000002"/>
    <s v="Always Started"/>
    <n v="0"/>
  </r>
  <r>
    <s v="Wilson Isidor"/>
    <s v="FW"/>
    <x v="10"/>
    <s v="HT"/>
    <n v="25.84"/>
    <s v="23-27"/>
    <n v="3"/>
    <n v="2"/>
    <n v="186"/>
    <n v="2.1"/>
    <n v="1"/>
    <n v="0"/>
    <n v="1"/>
    <n v="1"/>
    <n v="0"/>
    <n v="0"/>
    <n v="0"/>
    <n v="0"/>
    <n v="0.47599999999999998"/>
    <s v="Mixed"/>
    <n v="1"/>
  </r>
  <r>
    <s v="Jamshid Iskanderov"/>
    <s v="FW,MF"/>
    <x v="5"/>
    <s v="UZ"/>
    <n v="32.700000000000003"/>
    <s v="31-35"/>
    <n v="1"/>
    <n v="0"/>
    <n v="9"/>
    <n v="0.1"/>
    <n v="0"/>
    <n v="0"/>
    <n v="0"/>
    <n v="0"/>
    <n v="0"/>
    <n v="0"/>
    <n v="0"/>
    <n v="0"/>
    <n v="0"/>
    <s v="Pure Sub"/>
    <n v="1"/>
  </r>
  <r>
    <s v="Zaid Ismail"/>
    <s v="MF"/>
    <x v="24"/>
    <s v="IQ"/>
    <n v="24.49"/>
    <s v="23-27"/>
    <n v="2"/>
    <n v="2"/>
    <n v="117"/>
    <n v="1.3"/>
    <n v="0"/>
    <n v="0"/>
    <n v="0"/>
    <n v="0"/>
    <n v="0"/>
    <n v="0"/>
    <n v="0"/>
    <n v="0"/>
    <n v="0"/>
    <s v="Always Started"/>
    <n v="0"/>
  </r>
  <r>
    <s v="Ko Itakura"/>
    <s v="DF"/>
    <x v="47"/>
    <s v="JP"/>
    <n v="29.42"/>
    <s v="27-31"/>
    <n v="2"/>
    <n v="2"/>
    <n v="128"/>
    <n v="1.4"/>
    <n v="0"/>
    <n v="1"/>
    <n v="1"/>
    <n v="0"/>
    <n v="0"/>
    <n v="0"/>
    <n v="0"/>
    <n v="0"/>
    <n v="0"/>
    <s v="Always Started"/>
    <n v="0"/>
  </r>
  <r>
    <s v="Jacob Italiano"/>
    <s v="DF"/>
    <x v="41"/>
    <s v="AU"/>
    <n v="24.92"/>
    <s v="23-27"/>
    <n v="2"/>
    <n v="2"/>
    <n v="163"/>
    <n v="1.8"/>
    <n v="0"/>
    <n v="0"/>
    <n v="0"/>
    <n v="0"/>
    <n v="0"/>
    <n v="0"/>
    <n v="1"/>
    <n v="0"/>
    <n v="0"/>
    <s v="Always Started"/>
    <n v="0"/>
  </r>
  <r>
    <s v="Hiroki Ito"/>
    <s v="DF"/>
    <x v="47"/>
    <s v="JP"/>
    <n v="27.13"/>
    <s v="27-31"/>
    <n v="4"/>
    <n v="4"/>
    <n v="360"/>
    <n v="4"/>
    <n v="0"/>
    <n v="0"/>
    <n v="0"/>
    <n v="0"/>
    <n v="0"/>
    <n v="0"/>
    <n v="0"/>
    <n v="0"/>
    <n v="0"/>
    <s v="Always Started"/>
    <n v="0"/>
  </r>
  <r>
    <s v="Junya It?"/>
    <s v="MF"/>
    <x v="47"/>
    <s v="JP"/>
    <n v="33.31"/>
    <s v="31-35"/>
    <n v="4"/>
    <n v="2"/>
    <n v="216"/>
    <n v="2.4"/>
    <n v="1"/>
    <n v="0"/>
    <n v="1"/>
    <n v="1"/>
    <n v="0"/>
    <n v="0"/>
    <n v="0"/>
    <n v="0"/>
    <n v="0.41699999999999998"/>
    <s v="Mixed"/>
    <n v="2"/>
  </r>
  <r>
    <s v="Cedric Itten"/>
    <s v="FW,MF"/>
    <x v="13"/>
    <s v="CH"/>
    <n v="29.51"/>
    <s v="27-31"/>
    <n v="2"/>
    <n v="0"/>
    <n v="8"/>
    <n v="0.1"/>
    <n v="0"/>
    <n v="0"/>
    <n v="0"/>
    <n v="0"/>
    <n v="0"/>
    <n v="0"/>
    <n v="0"/>
    <n v="0"/>
    <n v="0"/>
    <s v="Pure Sub"/>
    <n v="2"/>
  </r>
  <r>
    <s v="Nicolas Jackson"/>
    <s v="FW"/>
    <x v="43"/>
    <s v="SN"/>
    <n v="25.03"/>
    <s v="23-27"/>
    <n v="3"/>
    <n v="2"/>
    <n v="206"/>
    <n v="2.2999999999999998"/>
    <n v="0"/>
    <n v="1"/>
    <n v="1"/>
    <n v="0"/>
    <n v="0"/>
    <n v="0"/>
    <n v="0"/>
    <n v="0"/>
    <n v="0"/>
    <s v="Mixed"/>
    <n v="1"/>
  </r>
  <r>
    <s v="Lee Jae-sung"/>
    <s v="FW"/>
    <x v="45"/>
    <s v="KR"/>
    <n v="33.89"/>
    <s v="31-35"/>
    <n v="2"/>
    <n v="2"/>
    <n v="117"/>
    <n v="1.3"/>
    <n v="0"/>
    <n v="0"/>
    <n v="0"/>
    <n v="0"/>
    <n v="0"/>
    <n v="0"/>
    <n v="0"/>
    <n v="0"/>
    <n v="0"/>
    <s v="Always Started"/>
    <n v="0"/>
  </r>
  <r>
    <s v="Alireza Jahanbakhsh"/>
    <s v="FW,MF"/>
    <x v="26"/>
    <s v="IR"/>
    <n v="32.880000000000003"/>
    <s v="31-35"/>
    <n v="2"/>
    <n v="0"/>
    <n v="46"/>
    <n v="0.5"/>
    <n v="0"/>
    <n v="0"/>
    <n v="0"/>
    <n v="0"/>
    <n v="0"/>
    <n v="0"/>
    <n v="0"/>
    <n v="0"/>
    <n v="0"/>
    <s v="Pure Sub"/>
    <n v="2"/>
  </r>
  <r>
    <s v="Ismail Jakobs"/>
    <s v="DF"/>
    <x v="43"/>
    <s v="SN"/>
    <n v="26.87"/>
    <s v="23-27"/>
    <n v="2"/>
    <n v="1"/>
    <n v="127"/>
    <n v="1.4"/>
    <n v="0"/>
    <n v="0"/>
    <n v="0"/>
    <n v="0"/>
    <n v="0"/>
    <n v="0"/>
    <n v="0"/>
    <n v="0"/>
    <n v="0"/>
    <s v="Mixed"/>
    <n v="1"/>
  </r>
  <r>
    <s v="Reece James"/>
    <s v="DF"/>
    <x v="33"/>
    <s v="EN"/>
    <n v="26.56"/>
    <s v="23-27"/>
    <n v="2"/>
    <n v="2"/>
    <n v="180"/>
    <n v="2"/>
    <n v="0"/>
    <n v="0"/>
    <n v="0"/>
    <n v="0"/>
    <n v="0"/>
    <n v="0"/>
    <n v="0"/>
    <n v="0"/>
    <n v="0"/>
    <s v="Always Started"/>
    <n v="0"/>
  </r>
  <r>
    <s v="Amer Jamous"/>
    <s v="MF"/>
    <x v="7"/>
    <s v="JO"/>
    <n v="23.99"/>
    <s v="23-27"/>
    <n v="1"/>
    <n v="0"/>
    <n v="15"/>
    <n v="0.2"/>
    <n v="0"/>
    <n v="0"/>
    <n v="0"/>
    <n v="0"/>
    <n v="0"/>
    <n v="0"/>
    <n v="0"/>
    <n v="0"/>
    <n v="0"/>
    <s v="Pure Sub"/>
    <n v="1"/>
  </r>
  <r>
    <s v="Luca Jaquez"/>
    <s v="DF"/>
    <x v="13"/>
    <s v="CH"/>
    <n v="23.08"/>
    <s v="23-27"/>
    <n v="2"/>
    <n v="1"/>
    <n v="78"/>
    <n v="0.9"/>
    <n v="0"/>
    <n v="0"/>
    <n v="0"/>
    <n v="0"/>
    <n v="0"/>
    <n v="0"/>
    <n v="0"/>
    <n v="0"/>
    <n v="0"/>
    <s v="Mixed"/>
    <n v="1"/>
  </r>
  <r>
    <s v="Ardon Jashari"/>
    <s v="MF"/>
    <x v="13"/>
    <s v="CH"/>
    <n v="23.92"/>
    <s v="23-27"/>
    <n v="1"/>
    <n v="0"/>
    <n v="2"/>
    <n v="0"/>
    <n v="0"/>
    <n v="0"/>
    <n v="0"/>
    <n v="0"/>
    <n v="0"/>
    <n v="0"/>
    <n v="0"/>
    <n v="0"/>
    <n v="0"/>
    <s v="Pure Sub"/>
    <n v="1"/>
  </r>
  <r>
    <s v="Ali Jasim"/>
    <s v="MF"/>
    <x v="24"/>
    <s v="IQ"/>
    <n v="22.44"/>
    <s v="U23"/>
    <n v="2"/>
    <n v="2"/>
    <n v="129"/>
    <n v="1.4"/>
    <n v="0"/>
    <n v="0"/>
    <n v="0"/>
    <n v="0"/>
    <n v="0"/>
    <n v="0"/>
    <n v="0"/>
    <n v="0"/>
    <n v="0"/>
    <s v="Always Started"/>
    <n v="0"/>
  </r>
  <r>
    <s v="Danley Jean-Jacques"/>
    <s v="MF"/>
    <x v="10"/>
    <s v="HT"/>
    <n v="26.11"/>
    <s v="23-27"/>
    <n v="3"/>
    <n v="3"/>
    <n v="259"/>
    <n v="2.9"/>
    <n v="0"/>
    <n v="0"/>
    <n v="0"/>
    <n v="0"/>
    <n v="0"/>
    <n v="0"/>
    <n v="1"/>
    <n v="0"/>
    <n v="0"/>
    <s v="Always Started"/>
    <n v="0"/>
  </r>
  <r>
    <s v="Eom Ji-sung"/>
    <s v="MF"/>
    <x v="45"/>
    <s v="KR"/>
    <n v="24.14"/>
    <s v="23-27"/>
    <n v="2"/>
    <n v="0"/>
    <n v="42"/>
    <n v="0.5"/>
    <n v="0"/>
    <n v="0"/>
    <n v="0"/>
    <n v="0"/>
    <n v="0"/>
    <n v="0"/>
    <n v="0"/>
    <n v="0"/>
    <n v="0"/>
    <s v="Pure Sub"/>
    <n v="2"/>
  </r>
  <r>
    <s v="Raul Jimenez"/>
    <s v="FW"/>
    <x v="29"/>
    <s v="MX"/>
    <n v="35.15"/>
    <s v="35+"/>
    <n v="2"/>
    <n v="2"/>
    <n v="154"/>
    <n v="1.7"/>
    <n v="1"/>
    <n v="0"/>
    <n v="1"/>
    <n v="1"/>
    <n v="0"/>
    <n v="0"/>
    <n v="0"/>
    <n v="0"/>
    <n v="0.58799999999999997"/>
    <s v="Always Started"/>
    <n v="0"/>
  </r>
  <r>
    <s v="Kim Jin-gyu"/>
    <s v="MF"/>
    <x v="45"/>
    <s v="KR"/>
    <n v="29.34"/>
    <s v="27-31"/>
    <n v="2"/>
    <n v="0"/>
    <n v="52"/>
    <n v="0.6"/>
    <n v="0"/>
    <n v="0"/>
    <n v="0"/>
    <n v="0"/>
    <n v="0"/>
    <n v="0"/>
    <n v="0"/>
    <n v="0"/>
    <n v="0"/>
    <s v="Pure Sub"/>
    <n v="2"/>
  </r>
  <r>
    <s v="Park Jinseob"/>
    <s v="DF,MF"/>
    <x v="45"/>
    <s v="KR"/>
    <n v="30.68"/>
    <s v="27-31"/>
    <n v="2"/>
    <n v="0"/>
    <n v="32"/>
    <n v="0.4"/>
    <n v="0"/>
    <n v="0"/>
    <n v="0"/>
    <n v="0"/>
    <n v="0"/>
    <n v="0"/>
    <n v="0"/>
    <n v="0"/>
    <n v="0"/>
    <s v="Pure Sub"/>
    <n v="2"/>
  </r>
  <r>
    <s v="Ruslanbek Jiyanov"/>
    <s v="FW"/>
    <x v="5"/>
    <s v="UZ"/>
    <n v="25.07"/>
    <s v="23-27"/>
    <n v="1"/>
    <n v="0"/>
    <n v="1"/>
    <n v="0"/>
    <n v="0"/>
    <n v="0"/>
    <n v="0"/>
    <n v="0"/>
    <n v="0"/>
    <n v="0"/>
    <n v="0"/>
    <n v="0"/>
    <n v="0"/>
    <s v="Pure Sub"/>
    <n v="1"/>
  </r>
  <r>
    <s v="Alistair Johnston"/>
    <s v="DF"/>
    <x v="15"/>
    <s v="CA"/>
    <n v="27.73"/>
    <s v="27-31"/>
    <n v="4"/>
    <n v="4"/>
    <n v="360"/>
    <n v="4"/>
    <n v="0"/>
    <n v="0"/>
    <n v="0"/>
    <n v="0"/>
    <n v="0"/>
    <n v="0"/>
    <n v="1"/>
    <n v="0"/>
    <n v="0"/>
    <s v="Always Started"/>
    <n v="0"/>
  </r>
  <r>
    <s v="Frenkie de Jong"/>
    <s v="MF"/>
    <x v="17"/>
    <s v="NL"/>
    <n v="29.13"/>
    <s v="27-31"/>
    <n v="4"/>
    <n v="4"/>
    <n v="328"/>
    <n v="3.6"/>
    <n v="0"/>
    <n v="0"/>
    <n v="0"/>
    <n v="0"/>
    <n v="0"/>
    <n v="0"/>
    <n v="0"/>
    <n v="0"/>
    <n v="0"/>
    <s v="Always Started"/>
    <n v="0"/>
  </r>
  <r>
    <s v="Lenny Joseph"/>
    <s v="FW"/>
    <x v="10"/>
    <s v="HT"/>
    <n v="25.71"/>
    <s v="23-27"/>
    <n v="3"/>
    <n v="1"/>
    <n v="117"/>
    <n v="1.3"/>
    <n v="0"/>
    <n v="0"/>
    <n v="0"/>
    <n v="0"/>
    <n v="0"/>
    <n v="0"/>
    <n v="0"/>
    <n v="0"/>
    <n v="0"/>
    <s v="Mixed"/>
    <n v="2"/>
  </r>
  <r>
    <s v="Edmilson Junior"/>
    <s v="MF,FW"/>
    <x v="6"/>
    <s v="QA"/>
    <n v="31.86"/>
    <s v="31-35"/>
    <n v="3"/>
    <n v="3"/>
    <n v="210"/>
    <n v="2.2999999999999998"/>
    <n v="0"/>
    <n v="1"/>
    <n v="1"/>
    <n v="0"/>
    <n v="0"/>
    <n v="0"/>
    <n v="0"/>
    <n v="0"/>
    <n v="0"/>
    <s v="Always Started"/>
    <n v="0"/>
  </r>
  <r>
    <s v="Vinicius Junior"/>
    <s v="FW"/>
    <x v="27"/>
    <s v="BR"/>
    <n v="25.97"/>
    <s v="23-27"/>
    <n v="4"/>
    <n v="4"/>
    <n v="350"/>
    <n v="3.9"/>
    <n v="4"/>
    <n v="1"/>
    <n v="5"/>
    <n v="4"/>
    <n v="0"/>
    <n v="0"/>
    <n v="0"/>
    <n v="0"/>
    <n v="1.026"/>
    <s v="Always Started"/>
    <n v="0"/>
  </r>
  <r>
    <s v="Elijah Just"/>
    <s v="MF"/>
    <x v="42"/>
    <s v="NZ"/>
    <n v="26.16"/>
    <s v="23-27"/>
    <n v="3"/>
    <n v="3"/>
    <n v="264"/>
    <n v="2.9"/>
    <n v="3"/>
    <n v="0"/>
    <n v="3"/>
    <n v="3"/>
    <n v="0"/>
    <n v="0"/>
    <n v="1"/>
    <n v="0"/>
    <n v="1.034"/>
    <s v="Always Started"/>
    <n v="0"/>
  </r>
  <r>
    <s v="Musab Al Juwayr"/>
    <s v="MF,FW"/>
    <x v="4"/>
    <s v="SA"/>
    <n v="23.03"/>
    <s v="23-27"/>
    <n v="3"/>
    <n v="2"/>
    <n v="152"/>
    <n v="1.7"/>
    <n v="0"/>
    <n v="0"/>
    <n v="0"/>
    <n v="0"/>
    <n v="0"/>
    <n v="0"/>
    <n v="0"/>
    <n v="0"/>
    <n v="0"/>
    <s v="Mixed"/>
    <n v="1"/>
  </r>
  <r>
    <s v="Ayoub El Kaabi"/>
    <s v="FW"/>
    <x v="30"/>
    <s v="MA"/>
    <n v="33.01"/>
    <s v="31-35"/>
    <n v="1"/>
    <n v="1"/>
    <n v="69"/>
    <n v="0.8"/>
    <n v="0"/>
    <n v="0"/>
    <n v="0"/>
    <n v="0"/>
    <n v="0"/>
    <n v="0"/>
    <n v="0"/>
    <n v="0"/>
    <n v="0"/>
    <s v="Always Started"/>
    <n v="0"/>
  </r>
  <r>
    <s v="Ozan Kabak"/>
    <s v="DF"/>
    <x v="18"/>
    <s v="TR"/>
    <n v="26.27"/>
    <s v="23-27"/>
    <n v="1"/>
    <n v="1"/>
    <n v="90"/>
    <n v="1"/>
    <n v="0"/>
    <n v="0"/>
    <n v="0"/>
    <n v="0"/>
    <n v="0"/>
    <n v="0"/>
    <n v="0"/>
    <n v="0"/>
    <n v="0"/>
    <s v="Always Started"/>
    <n v="0"/>
  </r>
  <r>
    <s v="Ferdi Kadioglu"/>
    <s v="DF"/>
    <x v="18"/>
    <s v="TR"/>
    <n v="26.73"/>
    <s v="23-27"/>
    <n v="2"/>
    <n v="2"/>
    <n v="159"/>
    <n v="1.8"/>
    <n v="0"/>
    <n v="0"/>
    <n v="0"/>
    <n v="0"/>
    <n v="0"/>
    <n v="0"/>
    <n v="0"/>
    <n v="0"/>
    <n v="0"/>
    <s v="Always Started"/>
    <n v="0"/>
  </r>
  <r>
    <s v="Kaku"/>
    <s v="MF"/>
    <x v="23"/>
    <s v="PY"/>
    <n v="31.47"/>
    <s v="31-35"/>
    <n v="1"/>
    <n v="0"/>
    <n v="11"/>
    <n v="0.1"/>
    <n v="0"/>
    <n v="0"/>
    <n v="0"/>
    <n v="0"/>
    <n v="0"/>
    <n v="0"/>
    <n v="0"/>
    <n v="0"/>
    <n v="0"/>
    <s v="Pure Sub"/>
    <n v="1"/>
  </r>
  <r>
    <s v="Saa Kalajdi?"/>
    <s v="FW"/>
    <x v="20"/>
    <s v="AT"/>
    <n v="28.98"/>
    <s v="27-31"/>
    <n v="2"/>
    <n v="1"/>
    <n v="46"/>
    <n v="0.5"/>
    <n v="1"/>
    <n v="0"/>
    <n v="1"/>
    <n v="1"/>
    <n v="0"/>
    <n v="0"/>
    <n v="0"/>
    <n v="0"/>
    <n v="2"/>
    <s v="Mixed"/>
    <n v="1"/>
  </r>
  <r>
    <s v="Gedeon Kalulu"/>
    <s v="DF"/>
    <x v="39"/>
    <s v="CD"/>
    <n v="28.84"/>
    <s v="27-31"/>
    <n v="1"/>
    <n v="0"/>
    <n v="6"/>
    <n v="0.1"/>
    <n v="0"/>
    <n v="0"/>
    <n v="0"/>
    <n v="0"/>
    <n v="0"/>
    <n v="0"/>
    <n v="0"/>
    <n v="0"/>
    <n v="0"/>
    <s v="Pure Sub"/>
    <n v="1"/>
  </r>
  <r>
    <s v="Daichi Kamada"/>
    <s v="MF"/>
    <x v="47"/>
    <s v="JP"/>
    <n v="29.9"/>
    <s v="27-31"/>
    <n v="4"/>
    <n v="4"/>
    <n v="329"/>
    <n v="3.7"/>
    <n v="2"/>
    <n v="0"/>
    <n v="2"/>
    <n v="2"/>
    <n v="0"/>
    <n v="0"/>
    <n v="1"/>
    <n v="0"/>
    <n v="0.54100000000000004"/>
    <s v="Always Started"/>
    <n v="0"/>
  </r>
  <r>
    <s v="Hossein Kanaanizadegan"/>
    <s v="DF"/>
    <x v="26"/>
    <s v="IR"/>
    <n v="32.270000000000003"/>
    <s v="31-35"/>
    <n v="2"/>
    <n v="2"/>
    <n v="135"/>
    <n v="1.5"/>
    <n v="0"/>
    <n v="0"/>
    <n v="0"/>
    <n v="0"/>
    <n v="0"/>
    <n v="0"/>
    <n v="1"/>
    <n v="0"/>
    <n v="0"/>
    <s v="Always Started"/>
    <n v="0"/>
  </r>
  <r>
    <s v="Harry Kane"/>
    <s v="FW"/>
    <x v="33"/>
    <s v="EN"/>
    <n v="32.92"/>
    <s v="31-35"/>
    <n v="3"/>
    <n v="3"/>
    <n v="263"/>
    <n v="2.9"/>
    <n v="3"/>
    <n v="0"/>
    <n v="3"/>
    <n v="2"/>
    <n v="1"/>
    <n v="1"/>
    <n v="0"/>
    <n v="0"/>
    <n v="1.034"/>
    <s v="Always Started"/>
    <n v="0"/>
  </r>
  <r>
    <s v="Lee Kang-in"/>
    <s v="FW"/>
    <x v="45"/>
    <s v="KR"/>
    <n v="25.36"/>
    <s v="23-27"/>
    <n v="3"/>
    <n v="3"/>
    <n v="270"/>
    <n v="3"/>
    <n v="0"/>
    <n v="1"/>
    <n v="1"/>
    <n v="0"/>
    <n v="0"/>
    <n v="0"/>
    <n v="1"/>
    <n v="0"/>
    <n v="0"/>
    <s v="Always Started"/>
    <n v="0"/>
  </r>
  <r>
    <s v="Mohamed Kanno"/>
    <s v="MF"/>
    <x v="4"/>
    <s v="SA"/>
    <n v="31.77"/>
    <s v="31-35"/>
    <n v="3"/>
    <n v="2"/>
    <n v="225"/>
    <n v="2.5"/>
    <n v="0"/>
    <n v="0"/>
    <n v="0"/>
    <n v="0"/>
    <n v="0"/>
    <n v="0"/>
    <n v="1"/>
    <n v="0"/>
    <n v="0"/>
    <s v="Mixed"/>
    <n v="1"/>
  </r>
  <r>
    <s v="Steve Kapuadi"/>
    <s v="DF"/>
    <x v="39"/>
    <s v="CD"/>
    <n v="28.17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Bekhruz Karimov"/>
    <s v="DF"/>
    <x v="5"/>
    <s v="UZ"/>
    <n v="18.899999999999999"/>
    <s v="U23"/>
    <n v="2"/>
    <n v="2"/>
    <n v="179"/>
    <n v="2"/>
    <n v="0"/>
    <n v="0"/>
    <n v="0"/>
    <n v="0"/>
    <n v="0"/>
    <n v="0"/>
    <n v="0"/>
    <n v="0"/>
    <n v="0"/>
    <s v="Always Started"/>
    <n v="0"/>
  </r>
  <r>
    <s v="Jesper Karlstrom"/>
    <s v="MF"/>
    <x v="25"/>
    <s v="SE"/>
    <n v="31.02"/>
    <s v="31-35"/>
    <n v="2"/>
    <n v="2"/>
    <n v="138"/>
    <n v="1.5"/>
    <n v="0"/>
    <n v="0"/>
    <n v="0"/>
    <n v="0"/>
    <n v="0"/>
    <n v="0"/>
    <n v="0"/>
    <n v="0"/>
    <n v="0"/>
    <s v="Always Started"/>
    <n v="0"/>
  </r>
  <r>
    <s v="Gervane Kastaneer"/>
    <s v="FW,MF"/>
    <x v="34"/>
    <s v="CW"/>
    <n v="30.06"/>
    <s v="27-31"/>
    <n v="3"/>
    <n v="0"/>
    <n v="30"/>
    <n v="0.3"/>
    <n v="0"/>
    <n v="0"/>
    <n v="0"/>
    <n v="0"/>
    <n v="0"/>
    <n v="0"/>
    <n v="2"/>
    <n v="0"/>
    <n v="0"/>
    <s v="Pure Sub"/>
    <n v="3"/>
  </r>
  <r>
    <s v="Nikola Kati?"/>
    <s v="DF"/>
    <x v="21"/>
    <s v="BA"/>
    <n v="29.72"/>
    <s v="27-31"/>
    <n v="3"/>
    <n v="3"/>
    <n v="243"/>
    <n v="2.7"/>
    <n v="0"/>
    <n v="0"/>
    <n v="0"/>
    <n v="0"/>
    <n v="0"/>
    <n v="0"/>
    <n v="1"/>
    <n v="0"/>
    <n v="0"/>
    <s v="Always Started"/>
    <n v="0"/>
  </r>
  <r>
    <s v="Edo Kayembe"/>
    <s v="MF"/>
    <x v="39"/>
    <s v="CD"/>
    <n v="28.07"/>
    <s v="27-31"/>
    <n v="2"/>
    <n v="2"/>
    <n v="145"/>
    <n v="1.6"/>
    <n v="0"/>
    <n v="0"/>
    <n v="0"/>
    <n v="0"/>
    <n v="0"/>
    <n v="0"/>
    <n v="0"/>
    <n v="0"/>
    <n v="0"/>
    <s v="Always Started"/>
    <n v="0"/>
  </r>
  <r>
    <s v="Joris Kayembe"/>
    <s v="DF,FW"/>
    <x v="39"/>
    <s v="CD"/>
    <n v="31.89"/>
    <s v="31-35"/>
    <n v="3"/>
    <n v="0"/>
    <n v="43"/>
    <n v="0.5"/>
    <n v="0"/>
    <n v="0"/>
    <n v="0"/>
    <n v="0"/>
    <n v="0"/>
    <n v="0"/>
    <n v="0"/>
    <n v="0"/>
    <n v="0"/>
    <s v="Pure Sub"/>
    <n v="3"/>
  </r>
  <r>
    <s v="Franck Kessie"/>
    <s v="MF"/>
    <x v="11"/>
    <s v="CI"/>
    <n v="29.53"/>
    <s v="27-31"/>
    <n v="3"/>
    <n v="3"/>
    <n v="256"/>
    <n v="2.8"/>
    <n v="1"/>
    <n v="0"/>
    <n v="1"/>
    <n v="1"/>
    <n v="0"/>
    <n v="0"/>
    <n v="1"/>
    <n v="0"/>
    <n v="0.35699999999999998"/>
    <s v="Always Started"/>
    <n v="0"/>
  </r>
  <r>
    <s v="Abdullah Al-Khaibari"/>
    <s v="MF"/>
    <x v="4"/>
    <s v="SA"/>
    <n v="29.87"/>
    <s v="27-31"/>
    <n v="3"/>
    <n v="3"/>
    <n v="180"/>
    <n v="2"/>
    <n v="0"/>
    <n v="0"/>
    <n v="0"/>
    <n v="0"/>
    <n v="0"/>
    <n v="0"/>
    <n v="0"/>
    <n v="0"/>
    <n v="0"/>
    <s v="Always Started"/>
    <n v="0"/>
  </r>
  <r>
    <s v="Shoja' Khalilzadeh"/>
    <s v="DF"/>
    <x v="26"/>
    <s v="IR"/>
    <n v="37.130000000000003"/>
    <s v="35+"/>
    <n v="3"/>
    <n v="3"/>
    <n v="270"/>
    <n v="3"/>
    <n v="0"/>
    <n v="0"/>
    <n v="0"/>
    <n v="0"/>
    <n v="0"/>
    <n v="0"/>
    <n v="1"/>
    <n v="0"/>
    <n v="0"/>
    <s v="Always Started"/>
    <n v="0"/>
  </r>
  <r>
    <s v="Dostonbek Khamdamov"/>
    <s v="MF"/>
    <x v="5"/>
    <s v="UZ"/>
    <n v="29.93"/>
    <s v="27-31"/>
    <n v="2"/>
    <n v="1"/>
    <n v="103"/>
    <n v="1.1000000000000001"/>
    <n v="0"/>
    <n v="0"/>
    <n v="0"/>
    <n v="0"/>
    <n v="0"/>
    <n v="0"/>
    <n v="0"/>
    <n v="0"/>
    <n v="0"/>
    <s v="Mixed"/>
    <n v="1"/>
  </r>
  <r>
    <s v="Bilal El Khannouss"/>
    <s v="MF"/>
    <x v="30"/>
    <s v="MA"/>
    <n v="22.14"/>
    <s v="U23"/>
    <n v="4"/>
    <n v="4"/>
    <n v="338"/>
    <n v="3.8"/>
    <n v="0"/>
    <n v="0"/>
    <n v="0"/>
    <n v="0"/>
    <n v="0"/>
    <n v="0"/>
    <n v="0"/>
    <n v="0"/>
    <n v="0"/>
    <s v="Always Started"/>
    <n v="0"/>
  </r>
  <r>
    <s v="Rani Khedira"/>
    <s v="MF"/>
    <x v="3"/>
    <s v="TN"/>
    <n v="32.42"/>
    <s v="31-35"/>
    <n v="3"/>
    <n v="2"/>
    <n v="149"/>
    <n v="1.7"/>
    <n v="0"/>
    <n v="0"/>
    <n v="0"/>
    <n v="0"/>
    <n v="0"/>
    <n v="0"/>
    <n v="1"/>
    <n v="0"/>
    <n v="0"/>
    <s v="Mixed"/>
    <n v="1"/>
  </r>
  <r>
    <s v="Boualem Khoukhi"/>
    <s v="DF"/>
    <x v="6"/>
    <s v="QA"/>
    <n v="35.97"/>
    <s v="35+"/>
    <n v="3"/>
    <n v="3"/>
    <n v="270"/>
    <n v="3"/>
    <n v="1"/>
    <n v="0"/>
    <n v="1"/>
    <n v="1"/>
    <n v="0"/>
    <n v="0"/>
    <n v="0"/>
    <n v="0"/>
    <n v="0.33300000000000002"/>
    <s v="Always Started"/>
    <n v="0"/>
  </r>
  <r>
    <s v="Abdukodir Khusanov"/>
    <s v="DF"/>
    <x v="5"/>
    <s v="UZ"/>
    <n v="22.33"/>
    <s v="U23"/>
    <n v="3"/>
    <n v="3"/>
    <n v="270"/>
    <n v="3"/>
    <n v="0"/>
    <n v="0"/>
    <n v="0"/>
    <n v="0"/>
    <n v="0"/>
    <n v="0"/>
    <n v="2"/>
    <n v="0"/>
    <n v="0"/>
    <s v="Always Started"/>
    <n v="0"/>
  </r>
  <r>
    <s v="Joshua Kimmich"/>
    <s v="DF"/>
    <x v="32"/>
    <s v="DE"/>
    <n v="31.39"/>
    <s v="31-35"/>
    <n v="4"/>
    <n v="4"/>
    <n v="351"/>
    <n v="3.9"/>
    <n v="0"/>
    <n v="2"/>
    <n v="2"/>
    <n v="0"/>
    <n v="0"/>
    <n v="0"/>
    <n v="0"/>
    <n v="0"/>
    <n v="0"/>
    <s v="Always Started"/>
    <n v="0"/>
  </r>
  <r>
    <s v="Justin Kluivert"/>
    <s v="FW,MF"/>
    <x v="17"/>
    <s v="NL"/>
    <n v="27.15"/>
    <s v="27-31"/>
    <n v="2"/>
    <n v="0"/>
    <n v="27"/>
    <n v="0.3"/>
    <n v="0"/>
    <n v="0"/>
    <n v="0"/>
    <n v="0"/>
    <n v="0"/>
    <n v="0"/>
    <n v="0"/>
    <n v="0"/>
    <n v="0"/>
    <s v="Pure Sub"/>
    <n v="2"/>
  </r>
  <r>
    <s v="Gregor Kobel"/>
    <s v="GK"/>
    <x v="13"/>
    <s v="CH"/>
    <n v="28.56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Orkun Kokcu"/>
    <s v="MF"/>
    <x v="18"/>
    <s v="TR"/>
    <n v="25.5"/>
    <s v="23-27"/>
    <n v="3"/>
    <n v="2"/>
    <n v="153"/>
    <n v="1.7"/>
    <n v="0"/>
    <n v="1"/>
    <n v="1"/>
    <n v="0"/>
    <n v="0"/>
    <n v="0"/>
    <n v="0"/>
    <n v="0"/>
    <n v="0"/>
    <s v="Mixed"/>
    <n v="1"/>
  </r>
  <r>
    <s v="Sead Kolainac"/>
    <s v="DF"/>
    <x v="21"/>
    <s v="BA"/>
    <n v="33.03"/>
    <s v="31-35"/>
    <n v="3"/>
    <n v="3"/>
    <n v="263"/>
    <n v="2.9"/>
    <n v="0"/>
    <n v="1"/>
    <n v="1"/>
    <n v="0"/>
    <n v="0"/>
    <n v="0"/>
    <n v="0"/>
    <n v="0"/>
    <n v="0"/>
    <s v="Always Started"/>
    <n v="0"/>
  </r>
  <r>
    <s v="Ghislain Konan"/>
    <s v="DF"/>
    <x v="11"/>
    <s v="CI"/>
    <n v="30.51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Ibrahima Konate"/>
    <s v="DF"/>
    <x v="19"/>
    <s v="FR"/>
    <n v="27.1"/>
    <s v="27-31"/>
    <n v="1"/>
    <n v="0"/>
    <n v="15"/>
    <n v="0.2"/>
    <n v="0"/>
    <n v="0"/>
    <n v="0"/>
    <n v="0"/>
    <n v="0"/>
    <n v="0"/>
    <n v="0"/>
    <n v="0"/>
    <n v="0"/>
    <s v="Pure Sub"/>
    <n v="1"/>
  </r>
  <r>
    <s v="Ismael Kone"/>
    <s v="MF"/>
    <x v="15"/>
    <s v="CA"/>
    <n v="24.04"/>
    <s v="23-27"/>
    <n v="2"/>
    <n v="2"/>
    <n v="146"/>
    <n v="1.6"/>
    <n v="0"/>
    <n v="0"/>
    <n v="0"/>
    <n v="0"/>
    <n v="0"/>
    <n v="0"/>
    <n v="0"/>
    <n v="0"/>
    <n v="0"/>
    <s v="Always Started"/>
    <n v="0"/>
  </r>
  <r>
    <s v="Manu Kone"/>
    <s v="MF"/>
    <x v="19"/>
    <s v="FR"/>
    <n v="25.12"/>
    <s v="23-27"/>
    <n v="2"/>
    <n v="2"/>
    <n v="180"/>
    <n v="2"/>
    <n v="0"/>
    <n v="0"/>
    <n v="0"/>
    <n v="0"/>
    <n v="0"/>
    <n v="0"/>
    <n v="0"/>
    <n v="0"/>
    <n v="0"/>
    <s v="Always Started"/>
    <n v="0"/>
  </r>
  <r>
    <s v="Ezri Konsa"/>
    <s v="DF"/>
    <x v="33"/>
    <s v="EN"/>
    <n v="28.68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Teun Koopmeiners"/>
    <s v="DF,MF"/>
    <x v="17"/>
    <s v="NL"/>
    <n v="28.33"/>
    <s v="27-31"/>
    <n v="4"/>
    <n v="0"/>
    <n v="122"/>
    <n v="1.4"/>
    <n v="0"/>
    <n v="0"/>
    <n v="0"/>
    <n v="0"/>
    <n v="0"/>
    <n v="0"/>
    <n v="0"/>
    <n v="0"/>
    <n v="0"/>
    <s v="Pure Sub"/>
    <n v="4"/>
  </r>
  <r>
    <s v="Odilon Kossounou"/>
    <s v="DF"/>
    <x v="11"/>
    <s v="CI"/>
    <n v="25.48"/>
    <s v="23-27"/>
    <n v="3"/>
    <n v="2"/>
    <n v="182"/>
    <n v="2"/>
    <n v="0"/>
    <n v="0"/>
    <n v="0"/>
    <n v="0"/>
    <n v="0"/>
    <n v="0"/>
    <n v="0"/>
    <n v="0"/>
    <n v="0"/>
    <s v="Mixed"/>
    <n v="1"/>
  </r>
  <r>
    <s v="Kalidou Koulibaly"/>
    <s v="DF"/>
    <x v="43"/>
    <s v="SN"/>
    <n v="35.03"/>
    <s v="35+"/>
    <n v="2"/>
    <n v="2"/>
    <n v="161"/>
    <n v="1.8"/>
    <n v="0"/>
    <n v="0"/>
    <n v="0"/>
    <n v="0"/>
    <n v="0"/>
    <n v="0"/>
    <n v="0"/>
    <n v="0"/>
    <n v="0"/>
    <s v="Always Started"/>
    <n v="0"/>
  </r>
  <r>
    <s v="Jules Kounde"/>
    <s v="DF"/>
    <x v="19"/>
    <s v="FR"/>
    <n v="27.63"/>
    <s v="27-31"/>
    <n v="3"/>
    <n v="3"/>
    <n v="258"/>
    <n v="2.9"/>
    <n v="0"/>
    <n v="0"/>
    <n v="0"/>
    <n v="0"/>
    <n v="0"/>
    <n v="0"/>
    <n v="0"/>
    <n v="0"/>
    <n v="0"/>
    <s v="Always Started"/>
    <n v="0"/>
  </r>
  <r>
    <s v="Mateo Kova?i?"/>
    <s v="MF"/>
    <x v="40"/>
    <s v="HR"/>
    <n v="32.15"/>
    <s v="31-35"/>
    <n v="3"/>
    <n v="2"/>
    <n v="181"/>
    <n v="2"/>
    <n v="0"/>
    <n v="1"/>
    <n v="1"/>
    <n v="0"/>
    <n v="0"/>
    <n v="0"/>
    <n v="0"/>
    <n v="0"/>
    <n v="0"/>
    <s v="Mixed"/>
    <n v="1"/>
  </r>
  <r>
    <s v="Matej Kovar"/>
    <s v="GK"/>
    <x v="46"/>
    <s v="CZ"/>
    <n v="26.12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Andrej Kramari?"/>
    <s v="FW,MF"/>
    <x v="40"/>
    <s v="HR"/>
    <n v="35.03"/>
    <s v="35+"/>
    <n v="2"/>
    <n v="0"/>
    <n v="58"/>
    <n v="0.6"/>
    <n v="0"/>
    <n v="0"/>
    <n v="0"/>
    <n v="0"/>
    <n v="0"/>
    <n v="0"/>
    <n v="0"/>
    <n v="0"/>
    <n v="0"/>
    <s v="Pure Sub"/>
    <n v="2"/>
  </r>
  <r>
    <s v="Ladislav Krej?i"/>
    <s v="DF"/>
    <x v="46"/>
    <s v="CZ"/>
    <n v="27.19"/>
    <s v="27-31"/>
    <n v="3"/>
    <n v="3"/>
    <n v="270"/>
    <n v="3"/>
    <n v="1"/>
    <n v="0"/>
    <n v="1"/>
    <n v="1"/>
    <n v="0"/>
    <n v="0"/>
    <n v="1"/>
    <n v="0"/>
    <n v="0.33300000000000002"/>
    <s v="Always Started"/>
    <n v="0"/>
  </r>
  <r>
    <s v="Takefusa Kubo"/>
    <s v="MF"/>
    <x v="47"/>
    <s v="JP"/>
    <n v="25.07"/>
    <s v="23-27"/>
    <n v="1"/>
    <n v="1"/>
    <n v="74"/>
    <n v="0.8"/>
    <n v="0"/>
    <n v="1"/>
    <n v="1"/>
    <n v="0"/>
    <n v="0"/>
    <n v="0"/>
    <n v="0"/>
    <n v="0"/>
    <n v="0"/>
    <s v="Always Started"/>
    <n v="0"/>
  </r>
  <r>
    <s v="Brandley Kuwas"/>
    <s v="FW,MF"/>
    <x v="34"/>
    <s v="CW"/>
    <n v="33.78"/>
    <s v="31-35"/>
    <n v="1"/>
    <n v="0"/>
    <n v="1"/>
    <n v="0"/>
    <n v="0"/>
    <n v="0"/>
    <n v="0"/>
    <n v="0"/>
    <n v="0"/>
    <n v="0"/>
    <n v="0"/>
    <n v="0"/>
    <n v="0"/>
    <s v="Pure Sub"/>
    <n v="1"/>
  </r>
  <r>
    <s v="Prince Kwabena Adu"/>
    <s v="FW"/>
    <x v="12"/>
    <s v="GH"/>
    <n v="22.77"/>
    <s v="U23"/>
    <n v="2"/>
    <n v="0"/>
    <n v="27"/>
    <n v="0.3"/>
    <n v="0"/>
    <n v="0"/>
    <n v="0"/>
    <n v="0"/>
    <n v="0"/>
    <n v="0"/>
    <n v="0"/>
    <n v="0"/>
    <n v="0"/>
    <s v="Pure Sub"/>
    <n v="2"/>
  </r>
  <r>
    <s v="Maxence Lacroix"/>
    <s v="DF"/>
    <x v="19"/>
    <s v="FR"/>
    <n v="26.23"/>
    <s v="23-27"/>
    <n v="1"/>
    <n v="1"/>
    <n v="90"/>
    <n v="1"/>
    <n v="0"/>
    <n v="0"/>
    <n v="0"/>
    <n v="0"/>
    <n v="0"/>
    <n v="0"/>
    <n v="0"/>
    <n v="0"/>
    <n v="0"/>
    <s v="Always Started"/>
    <n v="0"/>
  </r>
  <r>
    <s v="Gustaf Lagerbielke"/>
    <s v="DF"/>
    <x v="25"/>
    <s v="SE"/>
    <n v="26.22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Konrad Laimer"/>
    <s v="MF,DF"/>
    <x v="20"/>
    <s v="AT"/>
    <n v="29.09"/>
    <s v="27-31"/>
    <n v="3"/>
    <n v="3"/>
    <n v="270"/>
    <n v="3"/>
    <n v="0"/>
    <n v="1"/>
    <n v="1"/>
    <n v="0"/>
    <n v="0"/>
    <n v="0"/>
    <n v="1"/>
    <n v="0"/>
    <n v="0"/>
    <s v="Always Started"/>
    <n v="0"/>
  </r>
  <r>
    <s v="Ali Lajami"/>
    <s v="DF"/>
    <x v="4"/>
    <s v="SA"/>
    <n v="30.18"/>
    <s v="27-31"/>
    <n v="3"/>
    <n v="1"/>
    <n v="149"/>
    <n v="1.7"/>
    <n v="0"/>
    <n v="0"/>
    <n v="0"/>
    <n v="0"/>
    <n v="0"/>
    <n v="0"/>
    <n v="0"/>
    <n v="0"/>
    <n v="0"/>
    <s v="Mixed"/>
    <n v="2"/>
  </r>
  <r>
    <s v="Noa Lang"/>
    <s v="FW,MF"/>
    <x v="17"/>
    <s v="NL"/>
    <n v="27.04"/>
    <s v="27-31"/>
    <n v="2"/>
    <n v="0"/>
    <n v="8"/>
    <n v="0.1"/>
    <n v="0"/>
    <n v="0"/>
    <n v="0"/>
    <n v="0"/>
    <n v="0"/>
    <n v="0"/>
    <n v="0"/>
    <n v="0"/>
    <n v="0"/>
    <s v="Pure Sub"/>
    <n v="2"/>
  </r>
  <r>
    <s v="Sondre Langas"/>
    <s v="DF"/>
    <x v="1"/>
    <s v="NO"/>
    <n v="25.41"/>
    <s v="23-27"/>
    <n v="1"/>
    <n v="0"/>
    <n v="25"/>
    <n v="0.3"/>
    <n v="0"/>
    <n v="0"/>
    <n v="0"/>
    <n v="0"/>
    <n v="0"/>
    <n v="0"/>
    <n v="0"/>
    <n v="0"/>
    <n v="0"/>
    <s v="Pure Sub"/>
    <n v="1"/>
  </r>
  <r>
    <s v="Aymeric Laporte"/>
    <s v="DF"/>
    <x v="38"/>
    <s v="ES"/>
    <n v="32.090000000000003"/>
    <s v="31-35"/>
    <n v="3"/>
    <n v="3"/>
    <n v="270"/>
    <n v="3"/>
    <n v="0"/>
    <n v="1"/>
    <n v="1"/>
    <n v="0"/>
    <n v="0"/>
    <n v="0"/>
    <n v="0"/>
    <n v="0"/>
    <n v="0"/>
    <s v="Always Started"/>
    <n v="0"/>
  </r>
  <r>
    <s v="Cyle Larin"/>
    <s v="FW"/>
    <x v="15"/>
    <s v="CA"/>
    <n v="31.2"/>
    <s v="31-35"/>
    <n v="3"/>
    <n v="2"/>
    <n v="162"/>
    <n v="1.8"/>
    <n v="2"/>
    <n v="0"/>
    <n v="2"/>
    <n v="2"/>
    <n v="0"/>
    <n v="0"/>
    <n v="1"/>
    <n v="0"/>
    <n v="1.111"/>
    <s v="Mixed"/>
    <n v="1"/>
  </r>
  <r>
    <s v="Richie Laryea"/>
    <s v="DF"/>
    <x v="15"/>
    <s v="CA"/>
    <n v="31.48"/>
    <s v="31-35"/>
    <n v="4"/>
    <n v="4"/>
    <n v="352"/>
    <n v="3.9"/>
    <n v="0"/>
    <n v="0"/>
    <n v="0"/>
    <n v="0"/>
    <n v="0"/>
    <n v="0"/>
    <n v="0"/>
    <n v="0"/>
    <n v="0"/>
    <s v="Always Started"/>
    <n v="0"/>
  </r>
  <r>
    <s v="Mohanad Lasheen"/>
    <s v="MF"/>
    <x v="2"/>
    <s v="EG"/>
    <n v="30.09"/>
    <s v="27-31"/>
    <n v="3"/>
    <n v="3"/>
    <n v="270"/>
    <n v="3"/>
    <n v="0"/>
    <n v="0"/>
    <n v="0"/>
    <n v="0"/>
    <n v="0"/>
    <n v="0"/>
    <n v="2"/>
    <n v="0"/>
    <n v="0"/>
    <s v="Always Started"/>
    <n v="0"/>
  </r>
  <r>
    <s v="Issa Laye"/>
    <s v="MF,DF"/>
    <x v="6"/>
    <s v="QA"/>
    <n v="28.52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Rafael Leao"/>
    <s v="FW,MF"/>
    <x v="35"/>
    <s v="PT"/>
    <n v="27.05"/>
    <s v="27-31"/>
    <n v="3"/>
    <n v="0"/>
    <n v="48"/>
    <n v="0.5"/>
    <n v="1"/>
    <n v="0"/>
    <n v="1"/>
    <n v="1"/>
    <n v="0"/>
    <n v="0"/>
    <n v="0"/>
    <n v="0"/>
    <n v="2"/>
    <s v="Pure Sub"/>
    <n v="3"/>
  </r>
  <r>
    <s v="Mathew Leckie"/>
    <s v="MF"/>
    <x v="41"/>
    <s v="AU"/>
    <n v="35.4"/>
    <s v="35+"/>
    <n v="1"/>
    <n v="1"/>
    <n v="60"/>
    <n v="0.7"/>
    <n v="0"/>
    <n v="0"/>
    <n v="0"/>
    <n v="0"/>
    <n v="0"/>
    <n v="0"/>
    <n v="0"/>
    <n v="0"/>
    <n v="0"/>
    <s v="Always Started"/>
    <n v="0"/>
  </r>
  <r>
    <s v="Jefferson Lerma"/>
    <s v="MF"/>
    <x v="37"/>
    <s v="CO"/>
    <n v="31.68"/>
    <s v="31-35"/>
    <n v="3"/>
    <n v="3"/>
    <n v="239"/>
    <n v="2.7"/>
    <n v="0"/>
    <n v="0"/>
    <n v="0"/>
    <n v="0"/>
    <n v="0"/>
    <n v="0"/>
    <n v="1"/>
    <n v="0"/>
    <n v="0"/>
    <s v="Always Started"/>
    <n v="0"/>
  </r>
  <r>
    <s v="Jamie Leweling"/>
    <s v="FW,MF"/>
    <x v="32"/>
    <s v="DE"/>
    <n v="25.34"/>
    <s v="23-27"/>
    <n v="1"/>
    <n v="0"/>
    <n v="31"/>
    <n v="0.3"/>
    <n v="0"/>
    <n v="0"/>
    <n v="0"/>
    <n v="0"/>
    <n v="0"/>
    <n v="0"/>
    <n v="0"/>
    <n v="0"/>
    <n v="0"/>
    <s v="Pure Sub"/>
    <n v="1"/>
  </r>
  <r>
    <s v="Philipp Lienhart"/>
    <s v="DF"/>
    <x v="20"/>
    <s v="AT"/>
    <n v="29.97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Victor Lindelof"/>
    <s v="DF,MF"/>
    <x v="25"/>
    <s v="SE"/>
    <n v="31.95"/>
    <s v="31-35"/>
    <n v="3"/>
    <n v="3"/>
    <n v="266"/>
    <n v="3"/>
    <n v="0"/>
    <n v="0"/>
    <n v="0"/>
    <n v="0"/>
    <n v="0"/>
    <n v="0"/>
    <n v="0"/>
    <n v="0"/>
    <n v="0"/>
    <s v="Always Started"/>
    <n v="0"/>
  </r>
  <r>
    <s v="Erik Lira"/>
    <s v="MF"/>
    <x v="29"/>
    <s v="MX"/>
    <n v="26.15"/>
    <s v="23-27"/>
    <n v="2"/>
    <n v="2"/>
    <n v="165"/>
    <n v="1.8"/>
    <n v="0"/>
    <n v="1"/>
    <n v="1"/>
    <n v="0"/>
    <n v="0"/>
    <n v="0"/>
    <n v="0"/>
    <n v="0"/>
    <n v="0"/>
    <s v="Always Started"/>
    <n v="0"/>
  </r>
  <r>
    <s v="Dominik Livakovi?"/>
    <s v="GK"/>
    <x v="40"/>
    <s v="HR"/>
    <n v="31.47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Dailon Livramento"/>
    <s v="FW"/>
    <x v="36"/>
    <s v="CV"/>
    <n v="25.16"/>
    <s v="23-27"/>
    <n v="2"/>
    <n v="2"/>
    <n v="120"/>
    <n v="1.3"/>
    <n v="0"/>
    <n v="0"/>
    <n v="0"/>
    <n v="0"/>
    <n v="0"/>
    <n v="0"/>
    <n v="0"/>
    <n v="0"/>
    <n v="0"/>
    <s v="Always Started"/>
    <n v="0"/>
  </r>
  <r>
    <s v="Marcos Llorente"/>
    <s v="DF"/>
    <x v="38"/>
    <s v="ES"/>
    <n v="31.41"/>
    <s v="31-35"/>
    <n v="2"/>
    <n v="2"/>
    <n v="180"/>
    <n v="2"/>
    <n v="0"/>
    <n v="1"/>
    <n v="1"/>
    <n v="0"/>
    <n v="0"/>
    <n v="0"/>
    <n v="0"/>
    <n v="0"/>
    <n v="0"/>
    <s v="Always Started"/>
    <n v="0"/>
  </r>
  <r>
    <s v="Giovani Lo Celso"/>
    <s v="MF"/>
    <x v="28"/>
    <s v="AR"/>
    <n v="30.22"/>
    <s v="27-31"/>
    <n v="1"/>
    <n v="1"/>
    <n v="59"/>
    <n v="0.7"/>
    <n v="1"/>
    <n v="0"/>
    <n v="1"/>
    <n v="1"/>
    <n v="0"/>
    <n v="0"/>
    <n v="0"/>
    <n v="0"/>
    <n v="1.429"/>
    <s v="Always Started"/>
    <n v="0"/>
  </r>
  <r>
    <s v="Jurgen Locadia"/>
    <s v="FW"/>
    <x v="34"/>
    <s v="CW"/>
    <n v="32.64"/>
    <s v="31-35"/>
    <n v="3"/>
    <n v="3"/>
    <n v="235"/>
    <n v="2.6"/>
    <n v="0"/>
    <n v="0"/>
    <n v="0"/>
    <n v="0"/>
    <n v="0"/>
    <n v="0"/>
    <n v="0"/>
    <n v="0"/>
    <n v="0"/>
    <s v="Always Started"/>
    <n v="0"/>
  </r>
  <r>
    <s v="Azarias Londono"/>
    <s v="MF"/>
    <x v="31"/>
    <s v="PA"/>
    <n v="25.02"/>
    <s v="23-27"/>
    <n v="3"/>
    <n v="0"/>
    <n v="56"/>
    <n v="0.6"/>
    <n v="0"/>
    <n v="0"/>
    <n v="0"/>
    <n v="0"/>
    <n v="0"/>
    <n v="0"/>
    <n v="0"/>
    <n v="0"/>
    <n v="0"/>
    <s v="Pure Sub"/>
    <n v="3"/>
  </r>
  <r>
    <s v="Sidny Lopes Cabral"/>
    <s v="DF"/>
    <x v="36"/>
    <s v="CV"/>
    <n v="23.78"/>
    <s v="23-27"/>
    <n v="2"/>
    <n v="2"/>
    <n v="165"/>
    <n v="1.8"/>
    <n v="0"/>
    <n v="0"/>
    <n v="0"/>
    <n v="0"/>
    <n v="0"/>
    <n v="0"/>
    <n v="2"/>
    <n v="0"/>
    <n v="0"/>
    <s v="Always Started"/>
    <n v="0"/>
  </r>
  <r>
    <s v="Flaco Lopez"/>
    <s v="FW"/>
    <x v="28"/>
    <s v="AR"/>
    <n v="25.56"/>
    <s v="23-27"/>
    <n v="1"/>
    <n v="0"/>
    <n v="9"/>
    <n v="0.1"/>
    <n v="0"/>
    <n v="0"/>
    <n v="0"/>
    <n v="0"/>
    <n v="0"/>
    <n v="0"/>
    <n v="0"/>
    <n v="0"/>
    <n v="0"/>
    <s v="Pure Sub"/>
    <n v="1"/>
  </r>
  <r>
    <s v="Derrick Luckassen"/>
    <s v="DF"/>
    <x v="12"/>
    <s v="GH"/>
    <n v="30.99"/>
    <s v="27-31"/>
    <n v="1"/>
    <n v="1"/>
    <n v="90"/>
    <n v="1"/>
    <n v="1"/>
    <n v="0"/>
    <n v="1"/>
    <n v="1"/>
    <n v="0"/>
    <n v="0"/>
    <n v="0"/>
    <n v="0"/>
    <n v="1"/>
    <s v="Always Started"/>
    <n v="0"/>
  </r>
  <r>
    <s v="Jhon Lucumi"/>
    <s v="DF"/>
    <x v="37"/>
    <s v="CO"/>
    <n v="28.01"/>
    <s v="27-31"/>
    <n v="3"/>
    <n v="3"/>
    <n v="270"/>
    <n v="3"/>
    <n v="0"/>
    <n v="0"/>
    <n v="0"/>
    <n v="0"/>
    <n v="0"/>
    <n v="0"/>
    <n v="1"/>
    <n v="0"/>
    <n v="0"/>
    <s v="Always Started"/>
    <n v="0"/>
  </r>
  <r>
    <s v="Jose Luis Rodriguez"/>
    <s v="MF,FW"/>
    <x v="31"/>
    <s v="PA"/>
    <n v="28.03"/>
    <s v="27-31"/>
    <n v="3"/>
    <n v="3"/>
    <n v="233"/>
    <n v="2.6"/>
    <n v="0"/>
    <n v="0"/>
    <n v="0"/>
    <n v="0"/>
    <n v="0"/>
    <n v="0"/>
    <n v="0"/>
    <n v="0"/>
    <n v="0"/>
    <s v="Always Started"/>
    <n v="0"/>
  </r>
  <r>
    <s v="Romelu Lukaku"/>
    <s v="FW"/>
    <x v="44"/>
    <s v="BE"/>
    <n v="33.130000000000003"/>
    <s v="31-35"/>
    <n v="3"/>
    <n v="1"/>
    <n v="103"/>
    <n v="1.1000000000000001"/>
    <n v="1"/>
    <n v="1"/>
    <n v="2"/>
    <n v="1"/>
    <n v="0"/>
    <n v="0"/>
    <n v="1"/>
    <n v="0"/>
    <n v="0.90900000000000003"/>
    <s v="Mixed"/>
    <n v="2"/>
  </r>
  <r>
    <s v="Dodi Lukebakio"/>
    <s v="FW,MF"/>
    <x v="44"/>
    <s v="BE"/>
    <n v="28.76"/>
    <s v="27-31"/>
    <n v="1"/>
    <n v="0"/>
    <n v="33"/>
    <n v="0.4"/>
    <n v="0"/>
    <n v="0"/>
    <n v="0"/>
    <n v="0"/>
    <n v="0"/>
    <n v="0"/>
    <n v="0"/>
    <n v="0"/>
    <n v="0"/>
    <s v="Pure Sub"/>
    <n v="1"/>
  </r>
  <r>
    <s v="Jovo Luki?"/>
    <s v="FW"/>
    <x v="21"/>
    <s v="BA"/>
    <n v="27.59"/>
    <s v="27-31"/>
    <n v="2"/>
    <n v="1"/>
    <n v="67"/>
    <n v="0.7"/>
    <n v="1"/>
    <n v="0"/>
    <n v="1"/>
    <n v="1"/>
    <n v="0"/>
    <n v="0"/>
    <n v="1"/>
    <n v="0"/>
    <n v="1.429"/>
    <s v="Mixed"/>
    <n v="1"/>
  </r>
  <r>
    <s v="Alexis Mac Allister"/>
    <s v="MF"/>
    <x v="28"/>
    <s v="AR"/>
    <n v="27.51"/>
    <s v="27-31"/>
    <n v="3"/>
    <n v="2"/>
    <n v="210"/>
    <n v="2.2999999999999998"/>
    <n v="0"/>
    <n v="0"/>
    <n v="0"/>
    <n v="0"/>
    <n v="0"/>
    <n v="0"/>
    <n v="0"/>
    <n v="0"/>
    <n v="0"/>
    <s v="Mixed"/>
    <n v="1"/>
  </r>
  <r>
    <s v="Deiver Machado"/>
    <s v="DF"/>
    <x v="37"/>
    <s v="CO"/>
    <n v="32.82"/>
    <s v="31-35"/>
    <n v="1"/>
    <n v="1"/>
    <n v="90"/>
    <n v="1"/>
    <n v="0"/>
    <n v="0"/>
    <n v="0"/>
    <n v="0"/>
    <n v="0"/>
    <n v="0"/>
    <n v="0"/>
    <n v="0"/>
    <n v="0"/>
    <s v="Always Started"/>
    <n v="0"/>
  </r>
  <r>
    <s v="Shuto Machino"/>
    <s v="FW"/>
    <x v="47"/>
    <s v="JP"/>
    <n v="26.75"/>
    <s v="23-27"/>
    <n v="1"/>
    <n v="0"/>
    <n v="13"/>
    <n v="0.1"/>
    <n v="0"/>
    <n v="0"/>
    <n v="0"/>
    <n v="0"/>
    <n v="0"/>
    <n v="0"/>
    <n v="0"/>
    <n v="0"/>
    <n v="0"/>
    <s v="Pure Sub"/>
    <n v="1"/>
  </r>
  <r>
    <s v="Assim Madibo"/>
    <s v="MF"/>
    <x v="6"/>
    <s v="QA"/>
    <n v="29.69"/>
    <s v="27-31"/>
    <n v="2"/>
    <n v="2"/>
    <n v="131"/>
    <n v="1.5"/>
    <n v="0"/>
    <n v="0"/>
    <n v="0"/>
    <n v="0"/>
    <n v="0"/>
    <n v="0"/>
    <n v="0"/>
    <n v="1"/>
    <n v="0"/>
    <s v="Always Started"/>
    <n v="0"/>
  </r>
  <r>
    <s v="Noni Madueke"/>
    <s v="MF"/>
    <x v="33"/>
    <s v="EN"/>
    <n v="24.31"/>
    <s v="23-27"/>
    <n v="3"/>
    <n v="2"/>
    <n v="181"/>
    <n v="2"/>
    <n v="0"/>
    <n v="0"/>
    <n v="0"/>
    <n v="0"/>
    <n v="0"/>
    <n v="0"/>
    <n v="0"/>
    <n v="0"/>
    <n v="0"/>
    <s v="Mixed"/>
    <n v="1"/>
  </r>
  <r>
    <s v="Daizen Maeda"/>
    <s v="MF"/>
    <x v="47"/>
    <s v="JP"/>
    <n v="28.69"/>
    <s v="27-31"/>
    <n v="3"/>
    <n v="3"/>
    <n v="244"/>
    <n v="2.7"/>
    <n v="1"/>
    <n v="0"/>
    <n v="1"/>
    <n v="1"/>
    <n v="0"/>
    <n v="0"/>
    <n v="0"/>
    <n v="0"/>
    <n v="0.37"/>
    <s v="Always Started"/>
    <n v="0"/>
  </r>
  <r>
    <s v="Gabriel Magalhaes"/>
    <s v="DF"/>
    <x v="27"/>
    <s v="BR"/>
    <n v="28.53"/>
    <s v="27-31"/>
    <n v="4"/>
    <n v="4"/>
    <n v="360"/>
    <n v="4"/>
    <n v="0"/>
    <n v="1"/>
    <n v="1"/>
    <n v="0"/>
    <n v="0"/>
    <n v="0"/>
    <n v="0"/>
    <n v="0"/>
    <n v="0"/>
    <s v="Always Started"/>
    <n v="0"/>
  </r>
  <r>
    <s v="Ermin Mahmi?"/>
    <s v="MF"/>
    <x v="21"/>
    <s v="BA"/>
    <n v="21.3"/>
    <s v="U23"/>
    <n v="2"/>
    <n v="0"/>
    <n v="28"/>
    <n v="0.3"/>
    <n v="2"/>
    <n v="0"/>
    <n v="2"/>
    <n v="2"/>
    <n v="0"/>
    <n v="0"/>
    <n v="1"/>
    <n v="0"/>
    <n v="6.6669999999999998"/>
    <s v="Pure Sub"/>
    <n v="2"/>
  </r>
  <r>
    <s v="Hadj Mahmoud"/>
    <s v="MF"/>
    <x v="3"/>
    <s v="TN"/>
    <n v="26.18"/>
    <s v="23-27"/>
    <n v="2"/>
    <n v="0"/>
    <n v="43"/>
    <n v="0.5"/>
    <n v="0"/>
    <n v="0"/>
    <n v="0"/>
    <n v="0"/>
    <n v="0"/>
    <n v="0"/>
    <n v="0"/>
    <n v="0"/>
    <n v="0"/>
    <s v="Pure Sub"/>
    <n v="2"/>
  </r>
  <r>
    <s v="Riyad Mahrez"/>
    <s v="MF"/>
    <x v="16"/>
    <s v="DZ"/>
    <n v="35.35"/>
    <s v="35+"/>
    <n v="3"/>
    <n v="2"/>
    <n v="192"/>
    <n v="2.1"/>
    <n v="2"/>
    <n v="1"/>
    <n v="3"/>
    <n v="2"/>
    <n v="0"/>
    <n v="0"/>
    <n v="0"/>
    <n v="0"/>
    <n v="0.95199999999999996"/>
    <s v="Mixed"/>
    <n v="1"/>
  </r>
  <r>
    <s v="Alexandro Maidana"/>
    <s v="DF"/>
    <x v="23"/>
    <s v="PY"/>
    <n v="20.93"/>
    <s v="U23"/>
    <n v="2"/>
    <n v="1"/>
    <n v="55"/>
    <n v="0.6"/>
    <n v="0"/>
    <n v="0"/>
    <n v="0"/>
    <n v="0"/>
    <n v="0"/>
    <n v="0"/>
    <n v="0"/>
    <n v="0"/>
    <n v="0"/>
    <s v="Mixed"/>
    <n v="1"/>
  </r>
  <r>
    <s v="Mike Maignan"/>
    <s v="GK"/>
    <x v="19"/>
    <s v="FR"/>
    <n v="30.99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Evidence Makgopa"/>
    <s v="FW"/>
    <x v="9"/>
    <s v="ZA"/>
    <n v="26.07"/>
    <s v="23-27"/>
    <n v="4"/>
    <n v="2"/>
    <n v="215"/>
    <n v="2.4"/>
    <n v="0"/>
    <n v="0"/>
    <n v="0"/>
    <n v="0"/>
    <n v="0"/>
    <n v="0"/>
    <n v="0"/>
    <n v="0"/>
    <n v="0"/>
    <s v="Mixed"/>
    <n v="2"/>
  </r>
  <r>
    <s v="Ahmed Maknzi"/>
    <s v="DF"/>
    <x v="24"/>
    <s v="IQ"/>
    <n v="24.76"/>
    <s v="23-27"/>
    <n v="1"/>
    <n v="0"/>
    <n v="33"/>
    <n v="0.4"/>
    <n v="0"/>
    <n v="0"/>
    <n v="0"/>
    <n v="0"/>
    <n v="0"/>
    <n v="0"/>
    <n v="0"/>
    <n v="0"/>
    <n v="0"/>
    <s v="Pure Sub"/>
    <n v="1"/>
  </r>
  <r>
    <s v="Donyell Malen"/>
    <s v="FW"/>
    <x v="17"/>
    <s v="NL"/>
    <n v="27.47"/>
    <s v="27-31"/>
    <n v="3"/>
    <n v="3"/>
    <n v="185"/>
    <n v="2.1"/>
    <n v="0"/>
    <n v="0"/>
    <n v="0"/>
    <n v="0"/>
    <n v="0"/>
    <n v="0"/>
    <n v="0"/>
    <n v="0"/>
    <n v="0"/>
    <s v="Always Started"/>
    <n v="0"/>
  </r>
  <r>
    <s v="Arjan Malic"/>
    <s v="DF"/>
    <x v="21"/>
    <s v="BA"/>
    <n v="20.84"/>
    <s v="U23"/>
    <n v="1"/>
    <n v="1"/>
    <n v="45"/>
    <n v="0.5"/>
    <n v="0"/>
    <n v="0"/>
    <n v="0"/>
    <n v="0"/>
    <n v="0"/>
    <n v="0"/>
    <n v="0"/>
    <n v="0"/>
    <n v="0"/>
    <s v="Always Started"/>
    <n v="0"/>
  </r>
  <r>
    <s v="Mohamed Manai"/>
    <s v="DF"/>
    <x v="6"/>
    <s v="QA"/>
    <n v="23.68"/>
    <s v="23-27"/>
    <n v="3"/>
    <n v="0"/>
    <n v="69"/>
    <n v="0.8"/>
    <n v="0"/>
    <n v="0"/>
    <n v="0"/>
    <n v="0"/>
    <n v="0"/>
    <n v="0"/>
    <n v="0"/>
    <n v="0"/>
    <n v="0"/>
    <s v="Pure Sub"/>
    <n v="3"/>
  </r>
  <r>
    <s v="Aissa Mandi"/>
    <s v="DF"/>
    <x v="16"/>
    <s v="DZ"/>
    <n v="34.69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Sadio Mane"/>
    <s v="MF"/>
    <x v="43"/>
    <s v="SN"/>
    <n v="34.22"/>
    <s v="31-35"/>
    <n v="3"/>
    <n v="3"/>
    <n v="270"/>
    <n v="3"/>
    <n v="0"/>
    <n v="1"/>
    <n v="1"/>
    <n v="0"/>
    <n v="0"/>
    <n v="0"/>
    <n v="0"/>
    <n v="0"/>
    <n v="0"/>
    <s v="Always Started"/>
    <n v="0"/>
  </r>
  <r>
    <s v="Juan Manuel Sanabria"/>
    <s v="DF"/>
    <x v="14"/>
    <s v="UY"/>
    <n v="26.25"/>
    <s v="23-27"/>
    <n v="3"/>
    <n v="2"/>
    <n v="204"/>
    <n v="2.2999999999999998"/>
    <n v="0"/>
    <n v="0"/>
    <n v="0"/>
    <n v="0"/>
    <n v="0"/>
    <n v="0"/>
    <n v="1"/>
    <n v="0"/>
    <n v="0"/>
    <s v="Mixed"/>
    <n v="1"/>
  </r>
  <r>
    <s v="Johan Manzambi"/>
    <s v="FW"/>
    <x v="13"/>
    <s v="CH"/>
    <n v="20.71"/>
    <s v="U23"/>
    <n v="3"/>
    <n v="1"/>
    <n v="129"/>
    <n v="1.4"/>
    <n v="3"/>
    <n v="1"/>
    <n v="4"/>
    <n v="3"/>
    <n v="0"/>
    <n v="0"/>
    <n v="0"/>
    <n v="0"/>
    <n v="2.1429999999999998"/>
    <s v="Mixed"/>
    <n v="2"/>
  </r>
  <r>
    <s v="Mahmoud Al-Mardi"/>
    <s v="MF"/>
    <x v="7"/>
    <s v="JO"/>
    <n v="32.729999999999997"/>
    <s v="31-35"/>
    <n v="3"/>
    <n v="1"/>
    <n v="130"/>
    <n v="1.4"/>
    <n v="0"/>
    <n v="0"/>
    <n v="0"/>
    <n v="0"/>
    <n v="0"/>
    <n v="0"/>
    <n v="0"/>
    <n v="0"/>
    <n v="0"/>
    <s v="Mixed"/>
    <n v="2"/>
  </r>
  <r>
    <s v="Jearl Margaritha"/>
    <s v="FW,MF"/>
    <x v="34"/>
    <s v="CW"/>
    <n v="26.22"/>
    <s v="23-27"/>
    <n v="2"/>
    <n v="0"/>
    <n v="41"/>
    <n v="0.5"/>
    <n v="0"/>
    <n v="0"/>
    <n v="0"/>
    <n v="0"/>
    <n v="0"/>
    <n v="0"/>
    <n v="0"/>
    <n v="0"/>
    <n v="0"/>
    <s v="Pure Sub"/>
    <n v="2"/>
  </r>
  <r>
    <s v="Omar Marmoush"/>
    <s v="FW"/>
    <x v="2"/>
    <s v="EG"/>
    <n v="27.39"/>
    <s v="27-31"/>
    <n v="3"/>
    <n v="2"/>
    <n v="210"/>
    <n v="2.2999999999999998"/>
    <n v="0"/>
    <n v="0"/>
    <n v="0"/>
    <n v="0"/>
    <n v="0"/>
    <n v="0"/>
    <n v="0"/>
    <n v="0"/>
    <n v="0"/>
    <s v="Mixed"/>
    <n v="1"/>
  </r>
  <r>
    <s v="Marquinhos"/>
    <s v="DF"/>
    <x v="27"/>
    <s v="BR"/>
    <n v="32.130000000000003"/>
    <s v="31-35"/>
    <n v="4"/>
    <n v="4"/>
    <n v="360"/>
    <n v="4"/>
    <n v="0"/>
    <n v="0"/>
    <n v="0"/>
    <n v="0"/>
    <n v="0"/>
    <n v="0"/>
    <n v="0"/>
    <n v="0"/>
    <n v="0"/>
    <s v="Always Started"/>
    <n v="0"/>
  </r>
  <r>
    <s v="Gabriel Martinelli"/>
    <s v="FW,MF"/>
    <x v="27"/>
    <s v="BR"/>
    <n v="25.03"/>
    <s v="23-27"/>
    <n v="3"/>
    <n v="0"/>
    <n v="77"/>
    <n v="0.9"/>
    <n v="1"/>
    <n v="0"/>
    <n v="1"/>
    <n v="1"/>
    <n v="0"/>
    <n v="0"/>
    <n v="0"/>
    <n v="0"/>
    <n v="1.111"/>
    <s v="Pure Sub"/>
    <n v="3"/>
  </r>
  <r>
    <s v="Guillermo Martinez Ayala"/>
    <s v="FW"/>
    <x v="29"/>
    <s v="MX"/>
    <n v="31.29"/>
    <s v="31-35"/>
    <n v="1"/>
    <n v="1"/>
    <n v="62"/>
    <n v="0.7"/>
    <n v="0"/>
    <n v="0"/>
    <n v="0"/>
    <n v="0"/>
    <n v="0"/>
    <n v="0"/>
    <n v="0"/>
    <n v="0"/>
    <n v="0"/>
    <s v="Always Started"/>
    <n v="0"/>
  </r>
  <r>
    <s v="Cristian Martinez"/>
    <s v="MF,FW"/>
    <x v="31"/>
    <s v="PA"/>
    <n v="29.39"/>
    <s v="27-31"/>
    <n v="3"/>
    <n v="3"/>
    <n v="242"/>
    <n v="2.7"/>
    <n v="0"/>
    <n v="0"/>
    <n v="0"/>
    <n v="0"/>
    <n v="0"/>
    <n v="0"/>
    <n v="0"/>
    <n v="0"/>
    <n v="0"/>
    <s v="Always Started"/>
    <n v="0"/>
  </r>
  <r>
    <s v="Emiliano Martinez"/>
    <s v="GK"/>
    <x v="28"/>
    <s v="AR"/>
    <n v="33.82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Lautaro Martinez"/>
    <s v="FW"/>
    <x v="28"/>
    <s v="AR"/>
    <n v="28.85"/>
    <s v="27-31"/>
    <n v="3"/>
    <n v="3"/>
    <n v="177"/>
    <n v="2"/>
    <n v="1"/>
    <n v="0"/>
    <n v="1"/>
    <n v="0"/>
    <n v="1"/>
    <n v="1"/>
    <n v="0"/>
    <n v="0"/>
    <n v="0.5"/>
    <s v="Always Started"/>
    <n v="0"/>
  </r>
  <r>
    <s v="Lisandro Martinez"/>
    <s v="DF"/>
    <x v="28"/>
    <s v="AR"/>
    <n v="28.45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Thapelo Maseko"/>
    <s v="MF,FW"/>
    <x v="9"/>
    <s v="ZA"/>
    <n v="22.63"/>
    <s v="U23"/>
    <n v="3"/>
    <n v="3"/>
    <n v="242"/>
    <n v="2.7"/>
    <n v="1"/>
    <n v="0"/>
    <n v="1"/>
    <n v="1"/>
    <n v="0"/>
    <n v="0"/>
    <n v="0"/>
    <n v="0"/>
    <n v="0.37"/>
    <s v="Always Started"/>
    <n v="0"/>
  </r>
  <r>
    <s v="Hazem Mastouri"/>
    <s v="FW"/>
    <x v="3"/>
    <s v="TN"/>
    <n v="29.03"/>
    <s v="27-31"/>
    <n v="1"/>
    <n v="1"/>
    <n v="89"/>
    <n v="1"/>
    <n v="1"/>
    <n v="0"/>
    <n v="1"/>
    <n v="1"/>
    <n v="0"/>
    <n v="0"/>
    <n v="0"/>
    <n v="0"/>
    <n v="1"/>
    <s v="Always Started"/>
    <n v="0"/>
  </r>
  <r>
    <s v="Arthur Masuaku"/>
    <s v="DF"/>
    <x v="39"/>
    <s v="CD"/>
    <n v="32.64"/>
    <s v="31-35"/>
    <n v="3"/>
    <n v="3"/>
    <n v="227"/>
    <n v="2.5"/>
    <n v="0"/>
    <n v="1"/>
    <n v="1"/>
    <n v="0"/>
    <n v="0"/>
    <n v="0"/>
    <n v="0"/>
    <n v="0"/>
    <n v="0"/>
    <s v="Always Started"/>
    <n v="0"/>
  </r>
  <r>
    <s v="Igor Matanovi?"/>
    <s v="FW"/>
    <x v="40"/>
    <s v="HR"/>
    <n v="23.25"/>
    <s v="23-27"/>
    <n v="2"/>
    <n v="0"/>
    <n v="50"/>
    <n v="0.6"/>
    <n v="0"/>
    <n v="0"/>
    <n v="0"/>
    <n v="0"/>
    <n v="0"/>
    <n v="0"/>
    <n v="0"/>
    <n v="0"/>
    <n v="0"/>
    <s v="Pure Sub"/>
    <n v="2"/>
  </r>
  <r>
    <s v="Pape Matar Sarr"/>
    <s v="MF"/>
    <x v="43"/>
    <s v="SN"/>
    <n v="23.79"/>
    <s v="23-27"/>
    <n v="1"/>
    <n v="0"/>
    <n v="19"/>
    <n v="0.2"/>
    <n v="0"/>
    <n v="0"/>
    <n v="0"/>
    <n v="0"/>
    <n v="0"/>
    <n v="0"/>
    <n v="0"/>
    <n v="0"/>
    <n v="0"/>
    <s v="Pure Sub"/>
    <n v="1"/>
  </r>
  <r>
    <s v="Jean-Philippe Mateta"/>
    <s v="FW"/>
    <x v="19"/>
    <s v="FR"/>
    <n v="29.01"/>
    <s v="27-31"/>
    <n v="1"/>
    <n v="0"/>
    <n v="4"/>
    <n v="0"/>
    <n v="0"/>
    <n v="0"/>
    <n v="0"/>
    <n v="0"/>
    <n v="0"/>
    <n v="0"/>
    <n v="0"/>
    <n v="0"/>
    <n v="0"/>
    <s v="Pure Sub"/>
    <n v="1"/>
  </r>
  <r>
    <s v="Mauricio"/>
    <s v="MF"/>
    <x v="23"/>
    <s v="PY"/>
    <n v="25.11"/>
    <s v="23-27"/>
    <n v="3"/>
    <n v="0"/>
    <n v="153"/>
    <n v="1.7"/>
    <n v="1"/>
    <n v="0"/>
    <n v="1"/>
    <n v="1"/>
    <n v="0"/>
    <n v="0"/>
    <n v="0"/>
    <n v="0"/>
    <n v="0.58799999999999997"/>
    <s v="Pure Sub"/>
    <n v="3"/>
  </r>
  <r>
    <s v="Fiston Mayele"/>
    <s v="FW"/>
    <x v="39"/>
    <s v="CD"/>
    <n v="32.020000000000003"/>
    <s v="31-35"/>
    <n v="1"/>
    <n v="0"/>
    <n v="40"/>
    <n v="0.4"/>
    <n v="1"/>
    <n v="0"/>
    <n v="1"/>
    <n v="1"/>
    <n v="0"/>
    <n v="0"/>
    <n v="0"/>
    <n v="0"/>
    <n v="2.5"/>
    <s v="Pure Sub"/>
    <n v="1"/>
  </r>
  <r>
    <s v="Ibrahim Maza"/>
    <s v="MF"/>
    <x v="16"/>
    <s v="DZ"/>
    <n v="20.6"/>
    <s v="U23"/>
    <n v="3"/>
    <n v="3"/>
    <n v="261"/>
    <n v="2.9"/>
    <n v="0"/>
    <n v="0"/>
    <n v="0"/>
    <n v="0"/>
    <n v="0"/>
    <n v="0"/>
    <n v="0"/>
    <n v="0"/>
    <n v="0"/>
    <s v="Always Started"/>
    <n v="0"/>
  </r>
  <r>
    <s v="Noussair Mazraoui"/>
    <s v="DF"/>
    <x v="30"/>
    <s v="MA"/>
    <n v="28.62"/>
    <s v="27-31"/>
    <n v="4"/>
    <n v="3"/>
    <n v="297"/>
    <n v="3.3"/>
    <n v="0"/>
    <n v="0"/>
    <n v="0"/>
    <n v="0"/>
    <n v="0"/>
    <n v="0"/>
    <n v="0"/>
    <n v="0"/>
    <n v="0"/>
    <s v="Mixed"/>
    <n v="1"/>
  </r>
  <r>
    <s v="Kylian Mbappe"/>
    <s v="FW"/>
    <x v="19"/>
    <s v="FR"/>
    <n v="27.53"/>
    <s v="27-31"/>
    <n v="3"/>
    <n v="3"/>
    <n v="265"/>
    <n v="2.9"/>
    <n v="4"/>
    <n v="2"/>
    <n v="6"/>
    <n v="4"/>
    <n v="0"/>
    <n v="0"/>
    <n v="0"/>
    <n v="0"/>
    <n v="1.379"/>
    <s v="Always Started"/>
    <n v="0"/>
  </r>
  <r>
    <s v="Thalente Mbatha"/>
    <s v="MF"/>
    <x v="9"/>
    <s v="ZA"/>
    <n v="26.29"/>
    <s v="23-27"/>
    <n v="4"/>
    <n v="2"/>
    <n v="260"/>
    <n v="2.9"/>
    <n v="0"/>
    <n v="0"/>
    <n v="0"/>
    <n v="0"/>
    <n v="0"/>
    <n v="0"/>
    <n v="1"/>
    <n v="0"/>
    <n v="0"/>
    <s v="Mixed"/>
    <n v="2"/>
  </r>
  <r>
    <s v="Ibrahim Mbaye"/>
    <s v="MF"/>
    <x v="43"/>
    <s v="SN"/>
    <n v="18.43"/>
    <s v="U23"/>
    <n v="3"/>
    <n v="1"/>
    <n v="109"/>
    <n v="1.2"/>
    <n v="1"/>
    <n v="0"/>
    <n v="1"/>
    <n v="1"/>
    <n v="0"/>
    <n v="0"/>
    <n v="0"/>
    <n v="0"/>
    <n v="0.83299999999999996"/>
    <s v="Mixed"/>
    <n v="2"/>
  </r>
  <r>
    <s v="Chancel Mbemba"/>
    <s v="DF"/>
    <x v="39"/>
    <s v="CD"/>
    <n v="31.89"/>
    <s v="31-35"/>
    <n v="3"/>
    <n v="3"/>
    <n v="270"/>
    <n v="3"/>
    <n v="0"/>
    <n v="0"/>
    <n v="0"/>
    <n v="0"/>
    <n v="0"/>
    <n v="0"/>
    <n v="1"/>
    <n v="0"/>
    <n v="0"/>
    <s v="Always Started"/>
    <n v="0"/>
  </r>
  <r>
    <s v="Mbekezeli Mbokazi"/>
    <s v="DF"/>
    <x v="9"/>
    <s v="ZA"/>
    <n v="20.78"/>
    <s v="U23"/>
    <n v="4"/>
    <n v="4"/>
    <n v="360"/>
    <n v="4"/>
    <n v="0"/>
    <n v="0"/>
    <n v="0"/>
    <n v="0"/>
    <n v="0"/>
    <n v="0"/>
    <n v="0"/>
    <n v="0"/>
    <n v="0"/>
    <s v="Always Started"/>
    <n v="0"/>
  </r>
  <r>
    <s v="Nathanael Mbuku"/>
    <s v="MF"/>
    <x v="39"/>
    <s v="CD"/>
    <n v="24.29"/>
    <s v="23-27"/>
    <n v="2"/>
    <n v="1"/>
    <n v="80"/>
    <n v="0.9"/>
    <n v="0"/>
    <n v="0"/>
    <n v="0"/>
    <n v="0"/>
    <n v="0"/>
    <n v="0"/>
    <n v="1"/>
    <n v="0"/>
    <n v="0"/>
    <s v="Mixed"/>
    <n v="1"/>
  </r>
  <r>
    <s v="Callum McCowatt"/>
    <s v="MF"/>
    <x v="42"/>
    <s v="NZ"/>
    <n v="27.17"/>
    <s v="27-31"/>
    <n v="3"/>
    <n v="2"/>
    <n v="159"/>
    <n v="1.8"/>
    <n v="0"/>
    <n v="0"/>
    <n v="0"/>
    <n v="0"/>
    <n v="0"/>
    <n v="0"/>
    <n v="1"/>
    <n v="0"/>
    <n v="0"/>
    <s v="Mixed"/>
    <n v="1"/>
  </r>
  <r>
    <s v="John McGinn"/>
    <s v="MF"/>
    <x v="8"/>
    <s v="ST"/>
    <n v="31.7"/>
    <s v="31-35"/>
    <n v="3"/>
    <n v="3"/>
    <n v="259"/>
    <n v="2.9"/>
    <n v="1"/>
    <n v="0"/>
    <n v="1"/>
    <n v="1"/>
    <n v="0"/>
    <n v="0"/>
    <n v="0"/>
    <n v="0"/>
    <n v="0.34499999999999997"/>
    <s v="Always Started"/>
    <n v="0"/>
  </r>
  <r>
    <s v="Scott McKenna"/>
    <s v="DF"/>
    <x v="8"/>
    <s v="ST"/>
    <n v="29.63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Weston McKennie"/>
    <s v="MF"/>
    <x v="0"/>
    <s v="US"/>
    <n v="27.84"/>
    <s v="27-31"/>
    <n v="3"/>
    <n v="3"/>
    <n v="264"/>
    <n v="2.9"/>
    <n v="0"/>
    <n v="0"/>
    <n v="0"/>
    <n v="0"/>
    <n v="0"/>
    <n v="0"/>
    <n v="0"/>
    <n v="0"/>
    <n v="0"/>
    <s v="Always Started"/>
    <n v="0"/>
  </r>
  <r>
    <s v="Mark McKenzie"/>
    <s v="DF"/>
    <x v="0"/>
    <s v="US"/>
    <n v="27.34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Kenny McLean"/>
    <s v="MF"/>
    <x v="8"/>
    <s v="ST"/>
    <n v="34.47"/>
    <s v="31-35"/>
    <n v="3"/>
    <n v="1"/>
    <n v="118"/>
    <n v="1.3"/>
    <n v="0"/>
    <n v="0"/>
    <n v="0"/>
    <n v="0"/>
    <n v="0"/>
    <n v="0"/>
    <n v="1"/>
    <n v="0"/>
    <n v="0"/>
    <s v="Mixed"/>
    <n v="2"/>
  </r>
  <r>
    <s v="Scott McTominay"/>
    <s v="MF"/>
    <x v="8"/>
    <s v="ST"/>
    <n v="29.56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Brandon Mechele"/>
    <s v="DF"/>
    <x v="44"/>
    <s v="BE"/>
    <n v="33.42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Facundo Medina"/>
    <s v="DF"/>
    <x v="28"/>
    <s v="AR"/>
    <n v="27.09"/>
    <s v="27-31"/>
    <n v="2"/>
    <n v="2"/>
    <n v="171"/>
    <n v="1.9"/>
    <n v="0"/>
    <n v="1"/>
    <n v="1"/>
    <n v="0"/>
    <n v="0"/>
    <n v="0"/>
    <n v="1"/>
    <n v="0"/>
    <n v="0"/>
    <s v="Always Started"/>
    <n v="0"/>
  </r>
  <r>
    <s v="Hannibal Mejbri"/>
    <s v="MF"/>
    <x v="3"/>
    <s v="TN"/>
    <n v="23.44"/>
    <s v="23-27"/>
    <n v="3"/>
    <n v="3"/>
    <n v="270"/>
    <n v="3"/>
    <n v="0"/>
    <n v="2"/>
    <n v="2"/>
    <n v="0"/>
    <n v="0"/>
    <n v="0"/>
    <n v="0"/>
    <n v="0"/>
    <n v="0"/>
    <s v="Always Started"/>
    <n v="0"/>
  </r>
  <r>
    <s v="Amar Memi?"/>
    <s v="MF"/>
    <x v="21"/>
    <s v="BA"/>
    <n v="25.44"/>
    <s v="23-27"/>
    <n v="3"/>
    <n v="2"/>
    <n v="208"/>
    <n v="2.2999999999999998"/>
    <n v="0"/>
    <n v="0"/>
    <n v="0"/>
    <n v="0"/>
    <n v="0"/>
    <n v="0"/>
    <n v="0"/>
    <n v="0"/>
    <n v="0"/>
    <s v="Mixed"/>
    <n v="1"/>
  </r>
  <r>
    <s v="Memphis"/>
    <s v="FW,MF"/>
    <x v="17"/>
    <s v="NL"/>
    <n v="32.380000000000003"/>
    <s v="31-35"/>
    <n v="3"/>
    <n v="0"/>
    <n v="54"/>
    <n v="0.6"/>
    <n v="0"/>
    <n v="1"/>
    <n v="1"/>
    <n v="0"/>
    <n v="0"/>
    <n v="0"/>
    <n v="1"/>
    <n v="0"/>
    <n v="0"/>
    <s v="Pure Sub"/>
    <n v="3"/>
  </r>
  <r>
    <s v="Sultan Mendash"/>
    <s v="MF"/>
    <x v="4"/>
    <s v="SA"/>
    <n v="31.7"/>
    <s v="31-35"/>
    <n v="1"/>
    <n v="1"/>
    <n v="65"/>
    <n v="0.7"/>
    <n v="0"/>
    <n v="0"/>
    <n v="0"/>
    <n v="0"/>
    <n v="0"/>
    <n v="0"/>
    <n v="0"/>
    <n v="0"/>
    <n v="0"/>
    <s v="Always Started"/>
    <n v="0"/>
  </r>
  <r>
    <s v="Lucas Mendes"/>
    <s v="DF"/>
    <x v="6"/>
    <s v="QA"/>
    <n v="35.99"/>
    <s v="35+"/>
    <n v="1"/>
    <n v="0"/>
    <n v="4"/>
    <n v="0"/>
    <n v="0"/>
    <n v="0"/>
    <n v="0"/>
    <n v="0"/>
    <n v="0"/>
    <n v="0"/>
    <n v="0"/>
    <n v="0"/>
    <n v="0"/>
    <s v="Pure Sub"/>
    <n v="1"/>
  </r>
  <r>
    <s v="Nuno Mendes"/>
    <s v="DF"/>
    <x v="35"/>
    <s v="PT"/>
    <n v="24.03"/>
    <s v="23-27"/>
    <n v="3"/>
    <n v="3"/>
    <n v="250"/>
    <n v="2.8"/>
    <n v="1"/>
    <n v="0"/>
    <n v="1"/>
    <n v="1"/>
    <n v="0"/>
    <n v="0"/>
    <n v="0"/>
    <n v="0"/>
    <n v="0.35699999999999998"/>
    <s v="Always Started"/>
    <n v="0"/>
  </r>
  <r>
    <s v="Ryan Mendes"/>
    <s v="FW,MF"/>
    <x v="36"/>
    <s v="CV"/>
    <n v="36.47"/>
    <s v="35+"/>
    <n v="3"/>
    <n v="3"/>
    <n v="251"/>
    <n v="2.8"/>
    <n v="0"/>
    <n v="0"/>
    <n v="0"/>
    <n v="0"/>
    <n v="0"/>
    <n v="0"/>
    <n v="0"/>
    <n v="0"/>
    <n v="0"/>
    <s v="Always Started"/>
    <n v="0"/>
  </r>
  <r>
    <s v="Edouard Mendy"/>
    <s v="GK"/>
    <x v="43"/>
    <s v="SN"/>
    <n v="34.33"/>
    <s v="31-35"/>
    <n v="2"/>
    <n v="2"/>
    <n v="152"/>
    <n v="1.7"/>
    <n v="0"/>
    <n v="0"/>
    <n v="0"/>
    <n v="0"/>
    <n v="0"/>
    <n v="0"/>
    <n v="0"/>
    <n v="0"/>
    <n v="0"/>
    <s v="Always Started"/>
    <n v="0"/>
  </r>
  <r>
    <s v="Gideon Mensah"/>
    <s v="DF"/>
    <x v="12"/>
    <s v="GH"/>
    <n v="27.95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Mikel Merino"/>
    <s v="MF"/>
    <x v="38"/>
    <s v="ES"/>
    <n v="30.02"/>
    <s v="27-31"/>
    <n v="3"/>
    <n v="1"/>
    <n v="109"/>
    <n v="1.2"/>
    <n v="0"/>
    <n v="0"/>
    <n v="0"/>
    <n v="0"/>
    <n v="0"/>
    <n v="0"/>
    <n v="0"/>
    <n v="0"/>
    <n v="0"/>
    <s v="Mixed"/>
    <n v="2"/>
  </r>
  <r>
    <s v="Lionel Messi"/>
    <s v="FW"/>
    <x v="28"/>
    <s v="AR"/>
    <n v="39.020000000000003"/>
    <s v="35+"/>
    <n v="3"/>
    <n v="2"/>
    <n v="200"/>
    <n v="2.2000000000000002"/>
    <n v="6"/>
    <n v="0"/>
    <n v="6"/>
    <n v="6"/>
    <n v="0"/>
    <n v="1"/>
    <n v="0"/>
    <n v="0"/>
    <n v="2.7269999999999999"/>
    <s v="Mixed"/>
    <n v="1"/>
  </r>
  <r>
    <s v="Connor Metcalfe"/>
    <s v="MF"/>
    <x v="41"/>
    <s v="AU"/>
    <n v="26.65"/>
    <s v="23-27"/>
    <n v="3"/>
    <n v="2"/>
    <n v="225"/>
    <n v="2.5"/>
    <n v="1"/>
    <n v="0"/>
    <n v="1"/>
    <n v="1"/>
    <n v="0"/>
    <n v="0"/>
    <n v="0"/>
    <n v="0"/>
    <n v="0.4"/>
    <s v="Mixed"/>
    <n v="1"/>
  </r>
  <r>
    <s v="Thomas Meunier"/>
    <s v="DF"/>
    <x v="44"/>
    <s v="BE"/>
    <n v="34.799999999999997"/>
    <s v="31-35"/>
    <n v="2"/>
    <n v="2"/>
    <n v="147"/>
    <n v="1.6"/>
    <n v="0"/>
    <n v="0"/>
    <n v="0"/>
    <n v="0"/>
    <n v="0"/>
    <n v="0"/>
    <n v="0"/>
    <n v="0"/>
    <n v="0"/>
    <s v="Always Started"/>
    <n v="0"/>
  </r>
  <r>
    <s v="Liam Millar"/>
    <s v="MF"/>
    <x v="15"/>
    <s v="CA"/>
    <n v="26.76"/>
    <s v="23-27"/>
    <n v="3"/>
    <n v="2"/>
    <n v="162"/>
    <n v="1.8"/>
    <n v="0"/>
    <n v="0"/>
    <n v="0"/>
    <n v="0"/>
    <n v="0"/>
    <n v="0"/>
    <n v="1"/>
    <n v="0"/>
    <n v="0"/>
    <s v="Mixed"/>
    <n v="1"/>
  </r>
  <r>
    <s v="Kim Min-jae"/>
    <s v="DF"/>
    <x v="45"/>
    <s v="KR"/>
    <n v="29.62"/>
    <s v="27-31"/>
    <n v="3"/>
    <n v="3"/>
    <n v="245"/>
    <n v="2.7"/>
    <n v="0"/>
    <n v="0"/>
    <n v="0"/>
    <n v="0"/>
    <n v="0"/>
    <n v="0"/>
    <n v="0"/>
    <n v="0"/>
    <n v="0"/>
    <s v="Always Started"/>
    <n v="0"/>
  </r>
  <r>
    <s v="Alan Minda"/>
    <s v="MF"/>
    <x v="22"/>
    <s v="EC"/>
    <n v="23.13"/>
    <s v="23-27"/>
    <n v="1"/>
    <n v="1"/>
    <n v="55"/>
    <n v="0.6"/>
    <n v="0"/>
    <n v="0"/>
    <n v="0"/>
    <n v="0"/>
    <n v="0"/>
    <n v="0"/>
    <n v="0"/>
    <n v="0"/>
    <n v="0"/>
    <s v="Always Started"/>
    <n v="0"/>
  </r>
  <r>
    <s v="Aubrey Modiba"/>
    <s v="DF"/>
    <x v="9"/>
    <s v="ZA"/>
    <n v="30.94"/>
    <s v="27-31"/>
    <n v="4"/>
    <n v="4"/>
    <n v="346"/>
    <n v="3.8"/>
    <n v="0"/>
    <n v="0"/>
    <n v="0"/>
    <n v="0"/>
    <n v="0"/>
    <n v="0"/>
    <n v="1"/>
    <n v="0"/>
    <n v="0"/>
    <s v="Always Started"/>
    <n v="0"/>
  </r>
  <r>
    <s v="Luka Modri?"/>
    <s v="MF"/>
    <x v="40"/>
    <s v="HR"/>
    <n v="40.799999999999997"/>
    <s v="35+"/>
    <n v="3"/>
    <n v="3"/>
    <n v="227"/>
    <n v="2.5"/>
    <n v="0"/>
    <n v="1"/>
    <n v="1"/>
    <n v="0"/>
    <n v="0"/>
    <n v="0"/>
    <n v="0"/>
    <n v="0"/>
    <n v="0"/>
    <s v="Always Started"/>
    <n v="0"/>
  </r>
  <r>
    <s v="Relebohile Mofokeng"/>
    <s v="MF"/>
    <x v="9"/>
    <s v="ZA"/>
    <n v="21.68"/>
    <s v="U23"/>
    <n v="3"/>
    <n v="2"/>
    <n v="169"/>
    <n v="1.9"/>
    <n v="0"/>
    <n v="0"/>
    <n v="0"/>
    <n v="0"/>
    <n v="0"/>
    <n v="0"/>
    <n v="0"/>
    <n v="0"/>
    <n v="0"/>
    <s v="Mixed"/>
    <n v="1"/>
  </r>
  <r>
    <s v="Shahriar Moghanlou"/>
    <s v="FW"/>
    <x v="26"/>
    <s v="IR"/>
    <n v="31.52"/>
    <s v="31-35"/>
    <n v="3"/>
    <n v="1"/>
    <n v="88"/>
    <n v="1"/>
    <n v="0"/>
    <n v="0"/>
    <n v="0"/>
    <n v="0"/>
    <n v="0"/>
    <n v="0"/>
    <n v="0"/>
    <n v="0"/>
    <n v="0"/>
    <s v="Mixed"/>
    <n v="2"/>
  </r>
  <r>
    <s v="Milad Mohammadi"/>
    <s v="DF"/>
    <x v="26"/>
    <s v="IR"/>
    <n v="32.75"/>
    <s v="31-35"/>
    <n v="3"/>
    <n v="2"/>
    <n v="205"/>
    <n v="2.2999999999999998"/>
    <n v="0"/>
    <n v="0"/>
    <n v="0"/>
    <n v="0"/>
    <n v="0"/>
    <n v="0"/>
    <n v="0"/>
    <n v="0"/>
    <n v="0"/>
    <s v="Mixed"/>
    <n v="1"/>
  </r>
  <r>
    <s v="Mohammad Mohebi"/>
    <s v="MF"/>
    <x v="26"/>
    <s v="IR"/>
    <n v="27.53"/>
    <s v="27-31"/>
    <n v="3"/>
    <n v="3"/>
    <n v="244"/>
    <n v="2.7"/>
    <n v="1"/>
    <n v="0"/>
    <n v="1"/>
    <n v="1"/>
    <n v="0"/>
    <n v="0"/>
    <n v="0"/>
    <n v="0"/>
    <n v="0.37"/>
    <s v="Always Started"/>
    <n v="0"/>
  </r>
  <r>
    <s v="Johan Mojica"/>
    <s v="DF"/>
    <x v="37"/>
    <s v="CO"/>
    <n v="33.86"/>
    <s v="31-35"/>
    <n v="2"/>
    <n v="2"/>
    <n v="180"/>
    <n v="2"/>
    <n v="0"/>
    <n v="0"/>
    <n v="0"/>
    <n v="0"/>
    <n v="0"/>
    <n v="0"/>
    <n v="1"/>
    <n v="0"/>
    <n v="0"/>
    <s v="Always Started"/>
    <n v="0"/>
  </r>
  <r>
    <s v="Teboho Mokoena"/>
    <s v="MF"/>
    <x v="9"/>
    <s v="ZA"/>
    <n v="29.43"/>
    <s v="27-31"/>
    <n v="3"/>
    <n v="3"/>
    <n v="270"/>
    <n v="3"/>
    <n v="1"/>
    <n v="0"/>
    <n v="1"/>
    <n v="0"/>
    <n v="1"/>
    <n v="1"/>
    <n v="2"/>
    <n v="0"/>
    <n v="0.33300000000000002"/>
    <s v="Always Started"/>
    <n v="0"/>
  </r>
  <r>
    <s v="Nahuel Molina"/>
    <s v="DF"/>
    <x v="28"/>
    <s v="AR"/>
    <n v="28.23"/>
    <s v="27-31"/>
    <n v="2"/>
    <n v="1"/>
    <n v="135"/>
    <n v="1.5"/>
    <n v="0"/>
    <n v="0"/>
    <n v="0"/>
    <n v="0"/>
    <n v="0"/>
    <n v="0"/>
    <n v="0"/>
    <n v="0"/>
    <n v="0"/>
    <s v="Mixed"/>
    <n v="1"/>
  </r>
  <r>
    <s v="Jamiro Monteiro"/>
    <s v="MF"/>
    <x v="36"/>
    <s v="CV"/>
    <n v="32.6"/>
    <s v="31-35"/>
    <n v="3"/>
    <n v="3"/>
    <n v="227"/>
    <n v="2.5"/>
    <n v="0"/>
    <n v="0"/>
    <n v="0"/>
    <n v="0"/>
    <n v="0"/>
    <n v="0"/>
    <n v="0"/>
    <n v="0"/>
    <n v="0"/>
    <s v="Always Started"/>
    <n v="0"/>
  </r>
  <r>
    <s v="Cesar Montes"/>
    <s v="DF"/>
    <x v="29"/>
    <s v="MX"/>
    <n v="29.34"/>
    <s v="27-31"/>
    <n v="2"/>
    <n v="2"/>
    <n v="179"/>
    <n v="2"/>
    <n v="0"/>
    <n v="0"/>
    <n v="0"/>
    <n v="0"/>
    <n v="0"/>
    <n v="0"/>
    <n v="0"/>
    <n v="1"/>
    <n v="0"/>
    <s v="Always Started"/>
    <n v="0"/>
  </r>
  <r>
    <s v="Gonzalo Montiel"/>
    <s v="DF"/>
    <x v="28"/>
    <s v="AR"/>
    <n v="29.49"/>
    <s v="27-31"/>
    <n v="1"/>
    <n v="1"/>
    <n v="45"/>
    <n v="0.5"/>
    <n v="0"/>
    <n v="0"/>
    <n v="0"/>
    <n v="0"/>
    <n v="0"/>
    <n v="0"/>
    <n v="0"/>
    <n v="0"/>
    <n v="0"/>
    <s v="Always Started"/>
    <n v="0"/>
  </r>
  <r>
    <s v="Kim Moon-hwan"/>
    <s v="MF"/>
    <x v="45"/>
    <s v="KR"/>
    <n v="30.91"/>
    <s v="27-31"/>
    <n v="1"/>
    <n v="1"/>
    <n v="70"/>
    <n v="0.8"/>
    <n v="0"/>
    <n v="0"/>
    <n v="0"/>
    <n v="0"/>
    <n v="0"/>
    <n v="0"/>
    <n v="0"/>
    <n v="0"/>
    <n v="0"/>
    <s v="Always Started"/>
    <n v="0"/>
  </r>
  <r>
    <s v="Gilberto Mora"/>
    <s v="MF"/>
    <x v="29"/>
    <s v="MX"/>
    <n v="17.71"/>
    <s v="U23"/>
    <n v="2"/>
    <n v="1"/>
    <n v="96"/>
    <n v="1.1000000000000001"/>
    <n v="0"/>
    <n v="0"/>
    <n v="0"/>
    <n v="0"/>
    <n v="0"/>
    <n v="0"/>
    <n v="0"/>
    <n v="0"/>
    <n v="0"/>
    <s v="Mixed"/>
    <n v="1"/>
  </r>
  <r>
    <s v="Steven Moreira"/>
    <s v="DF"/>
    <x v="36"/>
    <s v="CV"/>
    <n v="31.88"/>
    <s v="31-35"/>
    <n v="3"/>
    <n v="2"/>
    <n v="181"/>
    <n v="2"/>
    <n v="0"/>
    <n v="0"/>
    <n v="0"/>
    <n v="0"/>
    <n v="0"/>
    <n v="0"/>
    <n v="0"/>
    <n v="0"/>
    <n v="0"/>
    <s v="Mixed"/>
    <n v="1"/>
  </r>
  <r>
    <s v="Tshepang Moremi"/>
    <s v="MF"/>
    <x v="9"/>
    <s v="ZA"/>
    <n v="25.74"/>
    <s v="23-27"/>
    <n v="2"/>
    <n v="0"/>
    <n v="34"/>
    <n v="0.4"/>
    <n v="0"/>
    <n v="1"/>
    <n v="1"/>
    <n v="0"/>
    <n v="0"/>
    <n v="0"/>
    <n v="0"/>
    <n v="0"/>
    <n v="0"/>
    <s v="Pure Sub"/>
    <n v="2"/>
  </r>
  <r>
    <s v="Orlando Mosquera"/>
    <s v="GK"/>
    <x v="31"/>
    <s v="PA"/>
    <n v="31.51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Samir El Mourabet"/>
    <s v="MF"/>
    <x v="30"/>
    <s v="MA"/>
    <n v="20.73"/>
    <s v="U23"/>
    <n v="4"/>
    <n v="0"/>
    <n v="77"/>
    <n v="0.9"/>
    <n v="0"/>
    <n v="0"/>
    <n v="0"/>
    <n v="0"/>
    <n v="0"/>
    <n v="0"/>
    <n v="0"/>
    <n v="0"/>
    <n v="0"/>
    <s v="Pure Sub"/>
    <n v="4"/>
  </r>
  <r>
    <s v="Samuel Moutoussamy"/>
    <s v="MF"/>
    <x v="39"/>
    <s v="CD"/>
    <n v="29.88"/>
    <s v="27-31"/>
    <n v="3"/>
    <n v="3"/>
    <n v="242"/>
    <n v="2.7"/>
    <n v="0"/>
    <n v="0"/>
    <n v="0"/>
    <n v="0"/>
    <n v="0"/>
    <n v="0"/>
    <n v="1"/>
    <n v="0"/>
    <n v="0"/>
    <s v="Always Started"/>
    <n v="0"/>
  </r>
  <r>
    <s v="Akmal Mozgovoy"/>
    <s v="MF"/>
    <x v="5"/>
    <s v="UZ"/>
    <n v="27.24"/>
    <s v="27-31"/>
    <n v="3"/>
    <n v="2"/>
    <n v="216"/>
    <n v="2.4"/>
    <n v="0"/>
    <n v="1"/>
    <n v="1"/>
    <n v="0"/>
    <n v="0"/>
    <n v="0"/>
    <n v="0"/>
    <n v="0"/>
    <n v="0"/>
    <s v="Mixed"/>
    <n v="1"/>
  </r>
  <r>
    <s v="Lionel Mpasi"/>
    <s v="GK"/>
    <x v="39"/>
    <s v="CD"/>
    <n v="31.91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Khuliso Mudau"/>
    <s v="DF"/>
    <x v="9"/>
    <s v="ZA"/>
    <n v="31.18"/>
    <s v="31-35"/>
    <n v="4"/>
    <n v="4"/>
    <n v="360"/>
    <n v="4"/>
    <n v="0"/>
    <n v="0"/>
    <n v="0"/>
    <n v="0"/>
    <n v="0"/>
    <n v="0"/>
    <n v="0"/>
    <n v="0"/>
    <n v="0"/>
    <s v="Always Started"/>
    <n v="0"/>
  </r>
  <r>
    <s v="Tarik Muharemovic"/>
    <s v="DF"/>
    <x v="21"/>
    <s v="BA"/>
    <n v="23.33"/>
    <s v="23-27"/>
    <n v="2"/>
    <n v="2"/>
    <n v="169"/>
    <n v="1.9"/>
    <n v="0"/>
    <n v="0"/>
    <n v="0"/>
    <n v="0"/>
    <n v="0"/>
    <n v="0"/>
    <n v="0"/>
    <n v="1"/>
    <n v="0"/>
    <s v="Always Started"/>
    <n v="0"/>
  </r>
  <r>
    <s v="Miro Muheim"/>
    <s v="DF,MF"/>
    <x v="13"/>
    <s v="CH"/>
    <n v="28.27"/>
    <s v="27-31"/>
    <n v="1"/>
    <n v="0"/>
    <n v="2"/>
    <n v="0"/>
    <n v="0"/>
    <n v="0"/>
    <n v="0"/>
    <n v="0"/>
    <n v="0"/>
    <n v="0"/>
    <n v="0"/>
    <n v="0"/>
    <n v="0"/>
    <s v="Pure Sub"/>
    <n v="1"/>
  </r>
  <r>
    <s v="Ngal'Ayel Mukau"/>
    <s v="MF"/>
    <x v="39"/>
    <s v="CD"/>
    <n v="21.65"/>
    <s v="U23"/>
    <n v="3"/>
    <n v="2"/>
    <n v="120"/>
    <n v="1.3"/>
    <n v="0"/>
    <n v="0"/>
    <n v="0"/>
    <n v="0"/>
    <n v="0"/>
    <n v="0"/>
    <n v="0"/>
    <n v="0"/>
    <n v="0"/>
    <s v="Mixed"/>
    <n v="1"/>
  </r>
  <r>
    <s v="Mert Muldur"/>
    <s v="DF"/>
    <x v="18"/>
    <s v="TR"/>
    <n v="27.24"/>
    <s v="27-31"/>
    <n v="3"/>
    <n v="1"/>
    <n v="101"/>
    <n v="1.1000000000000001"/>
    <n v="0"/>
    <n v="0"/>
    <n v="0"/>
    <n v="0"/>
    <n v="0"/>
    <n v="0"/>
    <n v="0"/>
    <n v="0"/>
    <n v="0"/>
    <s v="Mixed"/>
    <n v="2"/>
  </r>
  <r>
    <s v="Daniel Munoz"/>
    <s v="DF"/>
    <x v="37"/>
    <s v="CO"/>
    <n v="30.1"/>
    <s v="27-31"/>
    <n v="3"/>
    <n v="2"/>
    <n v="184"/>
    <n v="2"/>
    <n v="2"/>
    <n v="0"/>
    <n v="2"/>
    <n v="2"/>
    <n v="0"/>
    <n v="0"/>
    <n v="0"/>
    <n v="0"/>
    <n v="1"/>
    <s v="Mixed"/>
    <n v="1"/>
  </r>
  <r>
    <s v="Petar Musa"/>
    <s v="FW"/>
    <x v="40"/>
    <s v="HR"/>
    <n v="28.32"/>
    <s v="27-31"/>
    <n v="2"/>
    <n v="2"/>
    <n v="110"/>
    <n v="1.2"/>
    <n v="1"/>
    <n v="0"/>
    <n v="1"/>
    <n v="1"/>
    <n v="0"/>
    <n v="0"/>
    <n v="0"/>
    <n v="0"/>
    <n v="0.83299999999999996"/>
    <s v="Always Started"/>
    <n v="0"/>
  </r>
  <r>
    <s v="Jamal Musiala"/>
    <s v="MF"/>
    <x v="32"/>
    <s v="DE"/>
    <n v="23.34"/>
    <s v="23-27"/>
    <n v="4"/>
    <n v="3"/>
    <n v="270"/>
    <n v="3"/>
    <n v="1"/>
    <n v="0"/>
    <n v="1"/>
    <n v="1"/>
    <n v="0"/>
    <n v="0"/>
    <n v="1"/>
    <n v="0"/>
    <n v="0.33300000000000002"/>
    <s v="Mixed"/>
    <n v="1"/>
  </r>
  <r>
    <s v="Fernando Muslera"/>
    <s v="GK"/>
    <x v="14"/>
    <s v="UY"/>
    <n v="40.04"/>
    <s v="35+"/>
    <n v="3"/>
    <n v="3"/>
    <n v="225"/>
    <n v="2.5"/>
    <n v="0"/>
    <n v="0"/>
    <n v="0"/>
    <n v="0"/>
    <n v="0"/>
    <n v="0"/>
    <n v="0"/>
    <n v="0"/>
    <n v="0"/>
    <s v="Always Started"/>
    <n v="0"/>
  </r>
  <r>
    <s v="Phillipp Mwene"/>
    <s v="DF"/>
    <x v="20"/>
    <s v="AT"/>
    <n v="32.42"/>
    <s v="31-35"/>
    <n v="2"/>
    <n v="2"/>
    <n v="147"/>
    <n v="1.6"/>
    <n v="0"/>
    <n v="0"/>
    <n v="0"/>
    <n v="0"/>
    <n v="0"/>
    <n v="0"/>
    <n v="0"/>
    <n v="0"/>
    <n v="0"/>
    <s v="Always Started"/>
    <n v="0"/>
  </r>
  <r>
    <s v="David Moller Wolfe"/>
    <s v="DF"/>
    <x v="1"/>
    <s v="NO"/>
    <n v="24.19"/>
    <s v="23-27"/>
    <n v="2"/>
    <n v="2"/>
    <n v="162"/>
    <n v="1.8"/>
    <n v="0"/>
    <n v="1"/>
    <n v="1"/>
    <n v="0"/>
    <n v="0"/>
    <n v="0"/>
    <n v="0"/>
    <n v="0"/>
    <n v="0"/>
    <s v="Always Started"/>
    <n v="0"/>
  </r>
  <r>
    <s v="Y?to Nagatomo"/>
    <s v="DF,MF"/>
    <x v="47"/>
    <s v="JP"/>
    <n v="39.799999999999997"/>
    <s v="35+"/>
    <n v="1"/>
    <n v="0"/>
    <n v="16"/>
    <n v="0.2"/>
    <n v="0"/>
    <n v="0"/>
    <n v="0"/>
    <n v="0"/>
    <n v="0"/>
    <n v="0"/>
    <n v="0"/>
    <n v="0"/>
    <n v="0"/>
    <s v="Pure Sub"/>
    <n v="1"/>
  </r>
  <r>
    <s v="Keito Nakamura"/>
    <s v="MF"/>
    <x v="47"/>
    <s v="JP"/>
    <n v="25.92"/>
    <s v="23-27"/>
    <n v="4"/>
    <n v="4"/>
    <n v="307"/>
    <n v="3.4"/>
    <n v="1"/>
    <n v="1"/>
    <n v="2"/>
    <n v="1"/>
    <n v="0"/>
    <n v="0"/>
    <n v="0"/>
    <n v="0"/>
    <n v="0.29399999999999998"/>
    <s v="Always Started"/>
    <n v="0"/>
  </r>
  <r>
    <s v="Abdallah Nasib"/>
    <s v="DF"/>
    <x v="7"/>
    <s v="JO"/>
    <n v="32.340000000000003"/>
    <s v="31-35"/>
    <n v="3"/>
    <n v="3"/>
    <n v="260"/>
    <n v="2.9"/>
    <n v="0"/>
    <n v="0"/>
    <n v="0"/>
    <n v="0"/>
    <n v="0"/>
    <n v="0"/>
    <n v="0"/>
    <n v="0"/>
    <n v="0"/>
    <s v="Always Started"/>
    <n v="0"/>
  </r>
  <r>
    <s v="Sherzod Nasrullaev"/>
    <s v="DF,MF"/>
    <x v="5"/>
    <s v="UZ"/>
    <n v="27.94"/>
    <s v="27-31"/>
    <n v="3"/>
    <n v="3"/>
    <n v="180"/>
    <n v="2"/>
    <n v="0"/>
    <n v="0"/>
    <n v="0"/>
    <n v="0"/>
    <n v="0"/>
    <n v="0"/>
    <n v="1"/>
    <n v="0"/>
    <n v="0"/>
    <s v="Always Started"/>
    <n v="0"/>
  </r>
  <r>
    <s v="Duckens Nazon"/>
    <s v="FW,MF"/>
    <x v="10"/>
    <s v="HT"/>
    <n v="32.229999999999997"/>
    <s v="31-35"/>
    <n v="1"/>
    <n v="0"/>
    <n v="24"/>
    <n v="0.3"/>
    <n v="0"/>
    <n v="0"/>
    <n v="0"/>
    <n v="0"/>
    <n v="0"/>
    <n v="0"/>
    <n v="1"/>
    <n v="0"/>
    <n v="0"/>
    <s v="Pure Sub"/>
    <n v="1"/>
  </r>
  <r>
    <s v="Iliman Ndiaye"/>
    <s v="FW,MF"/>
    <x v="43"/>
    <s v="SN"/>
    <n v="26.32"/>
    <s v="23-27"/>
    <n v="2"/>
    <n v="0"/>
    <n v="42"/>
    <n v="0.5"/>
    <n v="1"/>
    <n v="2"/>
    <n v="3"/>
    <n v="1"/>
    <n v="0"/>
    <n v="0"/>
    <n v="0"/>
    <n v="0"/>
    <n v="2"/>
    <s v="Pure Sub"/>
    <n v="2"/>
  </r>
  <r>
    <s v="Dan Ndoye"/>
    <s v="MF,FW"/>
    <x v="13"/>
    <s v="CH"/>
    <n v="25.68"/>
    <s v="23-27"/>
    <n v="3"/>
    <n v="2"/>
    <n v="146"/>
    <n v="1.6"/>
    <n v="0"/>
    <n v="0"/>
    <n v="0"/>
    <n v="0"/>
    <n v="0"/>
    <n v="0"/>
    <n v="0"/>
    <n v="0"/>
    <n v="0"/>
    <s v="Mixed"/>
    <n v="1"/>
  </r>
  <r>
    <s v="Ali Nemati"/>
    <s v="DF"/>
    <x v="26"/>
    <s v="IR"/>
    <n v="30.39"/>
    <s v="27-31"/>
    <n v="3"/>
    <n v="3"/>
    <n v="270"/>
    <n v="3"/>
    <n v="0"/>
    <n v="0"/>
    <n v="0"/>
    <n v="0"/>
    <n v="0"/>
    <n v="0"/>
    <n v="1"/>
    <n v="0"/>
    <n v="0"/>
    <s v="Always Started"/>
    <n v="0"/>
  </r>
  <r>
    <s v="Abduvohid Nematov"/>
    <s v="GK"/>
    <x v="5"/>
    <s v="UZ"/>
    <n v="25.28"/>
    <s v="23-27"/>
    <n v="2"/>
    <n v="2"/>
    <n v="180"/>
    <n v="2"/>
    <n v="0"/>
    <n v="0"/>
    <n v="0"/>
    <n v="0"/>
    <n v="0"/>
    <n v="0"/>
    <n v="0"/>
    <n v="0"/>
    <n v="0"/>
    <s v="Always Started"/>
    <n v="0"/>
  </r>
  <r>
    <s v="Pedro Neto"/>
    <s v="MF"/>
    <x v="35"/>
    <s v="PT"/>
    <n v="26.31"/>
    <s v="23-27"/>
    <n v="3"/>
    <n v="3"/>
    <n v="206"/>
    <n v="2.2999999999999998"/>
    <n v="0"/>
    <n v="1"/>
    <n v="1"/>
    <n v="0"/>
    <n v="0"/>
    <n v="0"/>
    <n v="0"/>
    <n v="0"/>
    <n v="0"/>
    <s v="Always Started"/>
    <n v="0"/>
  </r>
  <r>
    <s v="Manuel Neuer"/>
    <s v="GK"/>
    <x v="32"/>
    <s v="DE"/>
    <n v="40.26"/>
    <s v="35+"/>
    <n v="4"/>
    <n v="4"/>
    <n v="390"/>
    <n v="4.3"/>
    <n v="0"/>
    <n v="0"/>
    <n v="0"/>
    <n v="0"/>
    <n v="0"/>
    <n v="0"/>
    <n v="0"/>
    <n v="0"/>
    <n v="0"/>
    <s v="Always Started"/>
    <n v="0"/>
  </r>
  <r>
    <s v="Joao Neves"/>
    <s v="MF"/>
    <x v="35"/>
    <s v="PT"/>
    <n v="21.76"/>
    <s v="U23"/>
    <n v="3"/>
    <n v="2"/>
    <n v="210"/>
    <n v="2.2999999999999998"/>
    <n v="1"/>
    <n v="0"/>
    <n v="1"/>
    <n v="1"/>
    <n v="0"/>
    <n v="0"/>
    <n v="0"/>
    <n v="0"/>
    <n v="0.435"/>
    <s v="Mixed"/>
    <n v="1"/>
  </r>
  <r>
    <s v="Ruben Neves"/>
    <s v="MF"/>
    <x v="35"/>
    <s v="PT"/>
    <n v="29.3"/>
    <s v="27-31"/>
    <n v="1"/>
    <n v="1"/>
    <n v="45"/>
    <n v="0.5"/>
    <n v="0"/>
    <n v="0"/>
    <n v="0"/>
    <n v="0"/>
    <n v="0"/>
    <n v="0"/>
    <n v="0"/>
    <n v="0"/>
    <n v="0"/>
    <s v="Always Started"/>
    <n v="0"/>
  </r>
  <r>
    <s v="Neymar"/>
    <s v="FW,MF"/>
    <x v="27"/>
    <s v="BR"/>
    <n v="34.4"/>
    <s v="31-35"/>
    <n v="1"/>
    <n v="0"/>
    <n v="15"/>
    <n v="0.2"/>
    <n v="0"/>
    <n v="0"/>
    <n v="0"/>
    <n v="0"/>
    <n v="0"/>
    <n v="0"/>
    <n v="0"/>
    <n v="0"/>
    <n v="0"/>
    <s v="Pure Sub"/>
    <n v="1"/>
  </r>
  <r>
    <s v="Nathan Ngoy"/>
    <s v="DF"/>
    <x v="44"/>
    <s v="BE"/>
    <n v="23.05"/>
    <s v="23-27"/>
    <n v="2"/>
    <n v="2"/>
    <n v="155"/>
    <n v="1.7"/>
    <n v="0"/>
    <n v="0"/>
    <n v="0"/>
    <n v="0"/>
    <n v="0"/>
    <n v="0"/>
    <n v="0"/>
    <n v="1"/>
    <n v="0"/>
    <s v="Always Started"/>
    <n v="0"/>
  </r>
  <r>
    <s v="Moussa Niakhate"/>
    <s v="DF"/>
    <x v="43"/>
    <s v="SN"/>
    <n v="30.31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Felix Nmecha"/>
    <s v="MF"/>
    <x v="32"/>
    <s v="DE"/>
    <n v="25.72"/>
    <s v="23-27"/>
    <n v="4"/>
    <n v="4"/>
    <n v="270"/>
    <n v="3"/>
    <n v="1"/>
    <n v="1"/>
    <n v="2"/>
    <n v="1"/>
    <n v="0"/>
    <n v="0"/>
    <n v="0"/>
    <n v="0"/>
    <n v="0.33300000000000002"/>
    <s v="Always Started"/>
    <n v="0"/>
  </r>
  <r>
    <s v="Kristoffer Nordfeldt"/>
    <s v="GK"/>
    <x v="25"/>
    <s v="SE"/>
    <n v="37.020000000000003"/>
    <s v="35+"/>
    <n v="2"/>
    <n v="2"/>
    <n v="180"/>
    <n v="2"/>
    <n v="0"/>
    <n v="0"/>
    <n v="0"/>
    <n v="0"/>
    <n v="0"/>
    <n v="0"/>
    <n v="0"/>
    <n v="0"/>
    <n v="0"/>
    <s v="Always Started"/>
    <n v="0"/>
  </r>
  <r>
    <s v="Tyrese Noslin"/>
    <s v="MF"/>
    <x v="34"/>
    <s v="CW"/>
    <n v="23.8"/>
    <s v="23-27"/>
    <n v="1"/>
    <n v="0"/>
    <n v="14"/>
    <n v="0.2"/>
    <n v="0"/>
    <n v="0"/>
    <n v="0"/>
    <n v="0"/>
    <n v="0"/>
    <n v="0"/>
    <n v="0"/>
    <n v="0"/>
    <n v="0"/>
    <s v="Pure Sub"/>
    <n v="1"/>
  </r>
  <r>
    <s v="Ernest Nuamah"/>
    <s v="MF"/>
    <x v="12"/>
    <s v="GH"/>
    <n v="22.66"/>
    <s v="U23"/>
    <n v="2"/>
    <n v="1"/>
    <n v="77"/>
    <n v="0.9"/>
    <n v="0"/>
    <n v="1"/>
    <n v="1"/>
    <n v="0"/>
    <n v="0"/>
    <n v="0"/>
    <n v="0"/>
    <n v="0"/>
    <n v="0"/>
    <s v="Mixed"/>
    <n v="1"/>
  </r>
  <r>
    <s v="Matheus Nunes"/>
    <s v="DF,MF"/>
    <x v="35"/>
    <s v="PT"/>
    <n v="27.84"/>
    <s v="27-31"/>
    <n v="1"/>
    <n v="0"/>
    <n v="1"/>
    <n v="0"/>
    <n v="0"/>
    <n v="0"/>
    <n v="0"/>
    <n v="0"/>
    <n v="0"/>
    <n v="0"/>
    <n v="0"/>
    <n v="0"/>
    <n v="0"/>
    <s v="Pure Sub"/>
    <n v="1"/>
  </r>
  <r>
    <s v="Darwin Nunez"/>
    <s v="FW"/>
    <x v="14"/>
    <s v="UY"/>
    <n v="27.02"/>
    <s v="27-31"/>
    <n v="3"/>
    <n v="2"/>
    <n v="156"/>
    <n v="1.7"/>
    <n v="0"/>
    <n v="0"/>
    <n v="0"/>
    <n v="0"/>
    <n v="0"/>
    <n v="0"/>
    <n v="0"/>
    <n v="0"/>
    <n v="0"/>
    <s v="Mixed"/>
    <n v="1"/>
  </r>
  <r>
    <s v="Antonio Nusa"/>
    <s v="FW"/>
    <x v="1"/>
    <s v="NO"/>
    <n v="21.2"/>
    <s v="U23"/>
    <n v="3"/>
    <n v="2"/>
    <n v="150"/>
    <n v="1.7"/>
    <n v="0"/>
    <n v="0"/>
    <n v="0"/>
    <n v="0"/>
    <n v="0"/>
    <n v="0"/>
    <n v="0"/>
    <n v="0"/>
    <n v="0"/>
    <s v="Mixed"/>
    <n v="1"/>
  </r>
  <r>
    <s v="Benjamin Nygren"/>
    <s v="MF"/>
    <x v="25"/>
    <s v="SE"/>
    <n v="24.98"/>
    <s v="23-27"/>
    <n v="3"/>
    <n v="2"/>
    <n v="121"/>
    <n v="1.3"/>
    <n v="0"/>
    <n v="0"/>
    <n v="0"/>
    <n v="0"/>
    <n v="0"/>
    <n v="0"/>
    <n v="0"/>
    <n v="0"/>
    <n v="0"/>
    <s v="Mixed"/>
    <n v="1"/>
  </r>
  <r>
    <s v="Orjan Nyland"/>
    <s v="GK"/>
    <x v="1"/>
    <s v="NO"/>
    <n v="35.799999999999997"/>
    <s v="35+"/>
    <n v="2"/>
    <n v="2"/>
    <n v="180"/>
    <n v="2"/>
    <n v="0"/>
    <n v="0"/>
    <n v="0"/>
    <n v="0"/>
    <n v="0"/>
    <n v="0"/>
    <n v="0"/>
    <n v="0"/>
    <n v="0"/>
    <s v="Always Started"/>
    <n v="0"/>
  </r>
  <r>
    <s v="Aiden O'Neill"/>
    <s v="MF"/>
    <x v="41"/>
    <s v="AU"/>
    <n v="27.99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Nico O'Reilly"/>
    <s v="DF"/>
    <x v="33"/>
    <s v="EN"/>
    <n v="21.28"/>
    <s v="U23"/>
    <n v="3"/>
    <n v="2"/>
    <n v="205"/>
    <n v="2.2999999999999998"/>
    <n v="0"/>
    <n v="0"/>
    <n v="0"/>
    <n v="0"/>
    <n v="0"/>
    <n v="0"/>
    <n v="0"/>
    <n v="0"/>
    <n v="0"/>
    <s v="Mixed"/>
    <n v="1"/>
  </r>
  <r>
    <s v="Salim Obaid"/>
    <s v="DF"/>
    <x v="7"/>
    <s v="JO"/>
    <n v="34.450000000000003"/>
    <s v="31-35"/>
    <n v="3"/>
    <n v="0"/>
    <n v="21"/>
    <n v="0.2"/>
    <n v="0"/>
    <n v="0"/>
    <n v="0"/>
    <n v="0"/>
    <n v="0"/>
    <n v="0"/>
    <n v="0"/>
    <n v="0"/>
    <n v="0"/>
    <s v="Pure Sub"/>
    <n v="3"/>
  </r>
  <r>
    <s v="Armando Obispo"/>
    <s v="DF"/>
    <x v="34"/>
    <s v="CW"/>
    <n v="27.32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Guillermo Ochoa"/>
    <s v="GK"/>
    <x v="29"/>
    <s v="MX"/>
    <n v="40.96"/>
    <s v="35+"/>
    <n v="1"/>
    <n v="0"/>
    <n v="13"/>
    <n v="0.1"/>
    <n v="0"/>
    <n v="0"/>
    <n v="0"/>
    <n v="0"/>
    <n v="0"/>
    <n v="0"/>
    <n v="0"/>
    <n v="0"/>
    <n v="0"/>
    <s v="Pure Sub"/>
    <n v="1"/>
  </r>
  <r>
    <s v="K?ki Ogawa"/>
    <s v="FW"/>
    <x v="47"/>
    <s v="JP"/>
    <n v="28.89"/>
    <s v="27-31"/>
    <n v="3"/>
    <n v="0"/>
    <n v="42"/>
    <n v="0.5"/>
    <n v="0"/>
    <n v="1"/>
    <n v="1"/>
    <n v="0"/>
    <n v="0"/>
    <n v="0"/>
    <n v="0"/>
    <n v="0"/>
    <n v="0"/>
    <s v="Pure Sub"/>
    <n v="3"/>
  </r>
  <r>
    <s v="Braian Ojeda"/>
    <s v="MF"/>
    <x v="23"/>
    <s v="PY"/>
    <n v="26.01"/>
    <s v="23-27"/>
    <n v="1"/>
    <n v="0"/>
    <n v="22"/>
    <n v="0.2"/>
    <n v="0"/>
    <n v="0"/>
    <n v="0"/>
    <n v="0"/>
    <n v="0"/>
    <n v="0"/>
    <n v="0"/>
    <n v="0"/>
    <n v="0"/>
    <s v="Pure Sub"/>
    <n v="1"/>
  </r>
  <r>
    <s v="Ime Okon"/>
    <s v="DF"/>
    <x v="9"/>
    <s v="ZA"/>
    <n v="22.36"/>
    <s v="U23"/>
    <n v="4"/>
    <n v="4"/>
    <n v="360"/>
    <n v="4"/>
    <n v="0"/>
    <n v="0"/>
    <n v="0"/>
    <n v="0"/>
    <n v="0"/>
    <n v="0"/>
    <n v="0"/>
    <n v="0"/>
    <n v="0"/>
    <s v="Always Started"/>
    <n v="0"/>
  </r>
  <r>
    <s v="Paul Okon-Engstler"/>
    <s v="MF"/>
    <x v="41"/>
    <s v="AU"/>
    <n v="21.43"/>
    <s v="U23"/>
    <n v="3"/>
    <n v="2"/>
    <n v="167"/>
    <n v="1.9"/>
    <n v="0"/>
    <n v="1"/>
    <n v="1"/>
    <n v="0"/>
    <n v="0"/>
    <n v="0"/>
    <n v="0"/>
    <n v="0"/>
    <n v="0"/>
    <s v="Mixed"/>
    <n v="1"/>
  </r>
  <r>
    <s v="Ben Old"/>
    <s v="MF"/>
    <x v="42"/>
    <s v="NZ"/>
    <n v="23.88"/>
    <s v="23-27"/>
    <n v="3"/>
    <n v="0"/>
    <n v="93"/>
    <n v="1"/>
    <n v="0"/>
    <n v="0"/>
    <n v="0"/>
    <n v="0"/>
    <n v="0"/>
    <n v="0"/>
    <n v="0"/>
    <n v="0"/>
    <n v="0"/>
    <s v="Pure Sub"/>
    <n v="3"/>
  </r>
  <r>
    <s v="Michael Olise"/>
    <s v="MF"/>
    <x v="19"/>
    <s v="FR"/>
    <n v="24.55"/>
    <s v="23-27"/>
    <n v="3"/>
    <n v="3"/>
    <n v="221"/>
    <n v="2.5"/>
    <n v="0"/>
    <n v="3"/>
    <n v="3"/>
    <n v="0"/>
    <n v="0"/>
    <n v="0"/>
    <n v="0"/>
    <n v="0"/>
    <n v="0"/>
    <s v="Always Started"/>
    <n v="0"/>
  </r>
  <r>
    <s v="Mathias Olivera"/>
    <s v="DF"/>
    <x v="14"/>
    <s v="UY"/>
    <n v="28.66"/>
    <s v="27-31"/>
    <n v="3"/>
    <n v="3"/>
    <n v="270"/>
    <n v="3"/>
    <n v="0"/>
    <n v="0"/>
    <n v="0"/>
    <n v="0"/>
    <n v="0"/>
    <n v="0"/>
    <n v="1"/>
    <n v="0"/>
    <n v="0"/>
    <s v="Always Started"/>
    <n v="0"/>
  </r>
  <r>
    <s v="Dani Olmo"/>
    <s v="MF"/>
    <x v="38"/>
    <s v="ES"/>
    <n v="28.15"/>
    <s v="27-31"/>
    <n v="3"/>
    <n v="1"/>
    <n v="101"/>
    <n v="1.1000000000000001"/>
    <n v="0"/>
    <n v="1"/>
    <n v="1"/>
    <n v="0"/>
    <n v="0"/>
    <n v="0"/>
    <n v="0"/>
    <n v="0"/>
    <n v="0"/>
    <s v="Mixed"/>
    <n v="2"/>
  </r>
  <r>
    <s v="Tani Oluwaseyi"/>
    <s v="FW"/>
    <x v="15"/>
    <s v="CA"/>
    <n v="26.13"/>
    <s v="23-27"/>
    <n v="4"/>
    <n v="2"/>
    <n v="197"/>
    <n v="2.2000000000000002"/>
    <n v="0"/>
    <n v="0"/>
    <n v="0"/>
    <n v="0"/>
    <n v="0"/>
    <n v="0"/>
    <n v="0"/>
    <n v="0"/>
    <n v="0"/>
    <s v="Mixed"/>
    <n v="2"/>
  </r>
  <r>
    <s v="Ali Olwan"/>
    <s v="MF"/>
    <x v="7"/>
    <s v="JO"/>
    <n v="26.26"/>
    <s v="23-27"/>
    <n v="3"/>
    <n v="3"/>
    <n v="268"/>
    <n v="3"/>
    <n v="1"/>
    <n v="0"/>
    <n v="1"/>
    <n v="1"/>
    <n v="0"/>
    <n v="0"/>
    <n v="0"/>
    <n v="0"/>
    <n v="0.33300000000000002"/>
    <s v="Always Started"/>
    <n v="0"/>
  </r>
  <r>
    <s v="Amadou Onana"/>
    <s v="MF"/>
    <x v="44"/>
    <s v="BE"/>
    <n v="24.87"/>
    <s v="23-27"/>
    <n v="2"/>
    <n v="1"/>
    <n v="74"/>
    <n v="0.8"/>
    <n v="0"/>
    <n v="0"/>
    <n v="0"/>
    <n v="0"/>
    <n v="0"/>
    <n v="0"/>
    <n v="0"/>
    <n v="0"/>
    <n v="0"/>
    <s v="Mixed"/>
    <n v="1"/>
  </r>
  <r>
    <s v="Christopher Operi"/>
    <s v="DF"/>
    <x v="11"/>
    <s v="CI"/>
    <n v="29.17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Jerome Opoku"/>
    <s v="DF"/>
    <x v="12"/>
    <s v="GH"/>
    <n v="27.71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Joel Ordonez"/>
    <s v="DF"/>
    <x v="22"/>
    <s v="EC"/>
    <n v="22.19"/>
    <s v="U23"/>
    <n v="2"/>
    <n v="2"/>
    <n v="180"/>
    <n v="2"/>
    <n v="0"/>
    <n v="0"/>
    <n v="0"/>
    <n v="0"/>
    <n v="0"/>
    <n v="0"/>
    <n v="0"/>
    <n v="0"/>
    <n v="0"/>
    <s v="Always Started"/>
    <n v="0"/>
  </r>
  <r>
    <s v="Jonathan Osorio"/>
    <s v="MF"/>
    <x v="15"/>
    <s v="CA"/>
    <n v="34.049999999999997"/>
    <s v="31-35"/>
    <n v="1"/>
    <n v="0"/>
    <n v="1"/>
    <n v="0"/>
    <n v="0"/>
    <n v="0"/>
    <n v="0"/>
    <n v="0"/>
    <n v="0"/>
    <n v="0"/>
    <n v="0"/>
    <n v="0"/>
    <n v="0"/>
    <s v="Pure Sub"/>
    <n v="1"/>
  </r>
  <r>
    <s v="Nicolas Otamendi"/>
    <s v="DF"/>
    <x v="28"/>
    <s v="AR"/>
    <n v="38.380000000000003"/>
    <s v="35+"/>
    <n v="3"/>
    <n v="1"/>
    <n v="135"/>
    <n v="1.5"/>
    <n v="0"/>
    <n v="0"/>
    <n v="0"/>
    <n v="0"/>
    <n v="0"/>
    <n v="0"/>
    <n v="0"/>
    <n v="0"/>
    <n v="0"/>
    <s v="Mixed"/>
    <n v="2"/>
  </r>
  <r>
    <s v="Ayoub Al-Oui"/>
    <s v="DF"/>
    <x v="6"/>
    <s v="QA"/>
    <n v="21.3"/>
    <s v="U23"/>
    <n v="2"/>
    <n v="2"/>
    <n v="149"/>
    <n v="1.7"/>
    <n v="0"/>
    <n v="0"/>
    <n v="0"/>
    <n v="0"/>
    <n v="0"/>
    <n v="0"/>
    <n v="0"/>
    <n v="0"/>
    <n v="0"/>
    <s v="Always Started"/>
    <n v="0"/>
  </r>
  <r>
    <s v="Azzedine Ounahi"/>
    <s v="MF"/>
    <x v="30"/>
    <s v="MA"/>
    <n v="26.2"/>
    <s v="23-27"/>
    <n v="4"/>
    <n v="3"/>
    <n v="259"/>
    <n v="2.9"/>
    <n v="0"/>
    <n v="0"/>
    <n v="0"/>
    <n v="0"/>
    <n v="0"/>
    <n v="0"/>
    <n v="0"/>
    <n v="0"/>
    <n v="0"/>
    <s v="Mixed"/>
    <n v="1"/>
  </r>
  <r>
    <s v="Mohammed Al-Owais"/>
    <s v="GK"/>
    <x v="4"/>
    <s v="SA"/>
    <n v="34.72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Elisha Owusu"/>
    <s v="MF"/>
    <x v="12"/>
    <s v="GH"/>
    <n v="28.64"/>
    <s v="27-31"/>
    <n v="2"/>
    <n v="2"/>
    <n v="122"/>
    <n v="1.4"/>
    <n v="0"/>
    <n v="0"/>
    <n v="0"/>
    <n v="0"/>
    <n v="0"/>
    <n v="0"/>
    <n v="0"/>
    <n v="0"/>
    <n v="0"/>
    <s v="Always Started"/>
    <n v="0"/>
  </r>
  <r>
    <s v="Mikel Oyarzabal"/>
    <s v="FW"/>
    <x v="38"/>
    <s v="ES"/>
    <n v="29.19"/>
    <s v="27-31"/>
    <n v="3"/>
    <n v="3"/>
    <n v="210"/>
    <n v="2.2999999999999998"/>
    <n v="2"/>
    <n v="1"/>
    <n v="3"/>
    <n v="2"/>
    <n v="0"/>
    <n v="0"/>
    <n v="0"/>
    <n v="0"/>
    <n v="0.87"/>
    <s v="Always Started"/>
    <n v="0"/>
  </r>
  <r>
    <s v="Salih Ozcan"/>
    <s v="MF"/>
    <x v="18"/>
    <s v="TR"/>
    <n v="28.47"/>
    <s v="27-31"/>
    <n v="2"/>
    <n v="1"/>
    <n v="100"/>
    <n v="1.1000000000000001"/>
    <n v="0"/>
    <n v="0"/>
    <n v="0"/>
    <n v="0"/>
    <n v="0"/>
    <n v="0"/>
    <n v="0"/>
    <n v="0"/>
    <n v="0"/>
    <s v="Mixed"/>
    <n v="1"/>
  </r>
  <r>
    <s v="Willian Pacho"/>
    <s v="DF"/>
    <x v="22"/>
    <s v="EC"/>
    <n v="24.7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Exequiel Palacios"/>
    <s v="DF"/>
    <x v="28"/>
    <s v="AR"/>
    <n v="27.73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Lucas Paqueta"/>
    <s v="MF"/>
    <x v="27"/>
    <s v="BR"/>
    <n v="28.84"/>
    <s v="27-31"/>
    <n v="4"/>
    <n v="4"/>
    <n v="233"/>
    <n v="2.6"/>
    <n v="0"/>
    <n v="1"/>
    <n v="1"/>
    <n v="0"/>
    <n v="0"/>
    <n v="0"/>
    <n v="0"/>
    <n v="0"/>
    <n v="0"/>
    <s v="Always Started"/>
    <n v="0"/>
  </r>
  <r>
    <s v="Leandro Paredes"/>
    <s v="MF"/>
    <x v="28"/>
    <s v="AR"/>
    <n v="32"/>
    <s v="31-35"/>
    <n v="2"/>
    <n v="1"/>
    <n v="99"/>
    <n v="1.1000000000000001"/>
    <n v="0"/>
    <n v="0"/>
    <n v="0"/>
    <n v="0"/>
    <n v="0"/>
    <n v="0"/>
    <n v="1"/>
    <n v="0"/>
    <n v="0"/>
    <s v="Mixed"/>
    <n v="1"/>
  </r>
  <r>
    <s v="Thomas Partey"/>
    <s v="MF"/>
    <x v="12"/>
    <s v="GH"/>
    <n v="33.049999999999997"/>
    <s v="31-35"/>
    <n v="2"/>
    <n v="2"/>
    <n v="180"/>
    <n v="2"/>
    <n v="0"/>
    <n v="0"/>
    <n v="0"/>
    <n v="0"/>
    <n v="0"/>
    <n v="0"/>
    <n v="0"/>
    <n v="0"/>
    <n v="0"/>
    <s v="Always Started"/>
    <n v="0"/>
  </r>
  <r>
    <s v="Marco Paali?"/>
    <s v="MF"/>
    <x v="40"/>
    <s v="HR"/>
    <n v="25.79"/>
    <s v="23-27"/>
    <n v="3"/>
    <n v="1"/>
    <n v="99"/>
    <n v="1.1000000000000001"/>
    <n v="0"/>
    <n v="0"/>
    <n v="0"/>
    <n v="0"/>
    <n v="0"/>
    <n v="0"/>
    <n v="0"/>
    <n v="0"/>
    <n v="0"/>
    <s v="Mixed"/>
    <n v="2"/>
  </r>
  <r>
    <s v="Mario Paali?"/>
    <s v="MF"/>
    <x v="40"/>
    <s v="HR"/>
    <n v="31.39"/>
    <s v="31-35"/>
    <n v="3"/>
    <n v="1"/>
    <n v="100"/>
    <n v="1.1000000000000001"/>
    <n v="0"/>
    <n v="0"/>
    <n v="0"/>
    <n v="0"/>
    <n v="0"/>
    <n v="0"/>
    <n v="0"/>
    <n v="0"/>
    <n v="0"/>
    <s v="Mixed"/>
    <n v="2"/>
  </r>
  <r>
    <s v="Nathan Patterson"/>
    <s v="DF"/>
    <x v="8"/>
    <s v="ST"/>
    <n v="24.7"/>
    <s v="23-27"/>
    <n v="3"/>
    <n v="2"/>
    <n v="185"/>
    <n v="2.1"/>
    <n v="0"/>
    <n v="0"/>
    <n v="0"/>
    <n v="0"/>
    <n v="0"/>
    <n v="0"/>
    <n v="0"/>
    <n v="0"/>
    <n v="0"/>
    <s v="Mixed"/>
    <n v="1"/>
  </r>
  <r>
    <s v="Joao Paulo Fernandes"/>
    <s v="DF"/>
    <x v="36"/>
    <s v="CV"/>
    <n v="28.1"/>
    <s v="27-31"/>
    <n v="2"/>
    <n v="1"/>
    <n v="105"/>
    <n v="1.2"/>
    <n v="0"/>
    <n v="0"/>
    <n v="0"/>
    <n v="0"/>
    <n v="0"/>
    <n v="0"/>
    <n v="0"/>
    <n v="0"/>
    <n v="0"/>
    <s v="Mixed"/>
    <n v="1"/>
  </r>
  <r>
    <s v="Aleksandar Pavlovic"/>
    <s v="MF"/>
    <x v="32"/>
    <s v="DE"/>
    <n v="22.16"/>
    <s v="U23"/>
    <n v="4"/>
    <n v="4"/>
    <n v="272"/>
    <n v="3"/>
    <n v="0"/>
    <n v="0"/>
    <n v="0"/>
    <n v="0"/>
    <n v="0"/>
    <n v="0"/>
    <n v="1"/>
    <n v="0"/>
    <n v="0"/>
    <s v="Always Started"/>
    <n v="0"/>
  </r>
  <r>
    <s v="Tim Payne"/>
    <s v="DF"/>
    <x v="42"/>
    <s v="NZ"/>
    <n v="32.47"/>
    <s v="31-35"/>
    <n v="3"/>
    <n v="3"/>
    <n v="224"/>
    <n v="2.5"/>
    <n v="0"/>
    <n v="1"/>
    <n v="1"/>
    <n v="0"/>
    <n v="0"/>
    <n v="0"/>
    <n v="0"/>
    <n v="0"/>
    <n v="0"/>
    <s v="Always Started"/>
    <n v="0"/>
  </r>
  <r>
    <s v="Nicolas Paz"/>
    <s v="MF"/>
    <x v="28"/>
    <s v="AR"/>
    <n v="21.81"/>
    <s v="U23"/>
    <n v="2"/>
    <n v="1"/>
    <n v="71"/>
    <n v="0.8"/>
    <n v="0"/>
    <n v="0"/>
    <n v="0"/>
    <n v="0"/>
    <n v="0"/>
    <n v="0"/>
    <n v="0"/>
    <n v="0"/>
    <n v="0"/>
    <s v="Mixed"/>
    <n v="1"/>
  </r>
  <r>
    <s v="Marcus Pedersen"/>
    <s v="DF,MF"/>
    <x v="1"/>
    <s v="NO"/>
    <n v="25.96"/>
    <s v="23-27"/>
    <n v="2"/>
    <n v="0"/>
    <n v="123"/>
    <n v="1.4"/>
    <n v="1"/>
    <n v="0"/>
    <n v="1"/>
    <n v="1"/>
    <n v="0"/>
    <n v="0"/>
    <n v="0"/>
    <n v="0"/>
    <n v="0.71399999999999997"/>
    <s v="Pure Sub"/>
    <n v="2"/>
  </r>
  <r>
    <s v="Pedri"/>
    <s v="MF"/>
    <x v="38"/>
    <s v="ES"/>
    <n v="23.59"/>
    <s v="23-27"/>
    <n v="3"/>
    <n v="3"/>
    <n v="218"/>
    <n v="2.4"/>
    <n v="0"/>
    <n v="0"/>
    <n v="0"/>
    <n v="0"/>
    <n v="0"/>
    <n v="0"/>
    <n v="1"/>
    <n v="0"/>
    <n v="0"/>
    <s v="Always Started"/>
    <n v="0"/>
  </r>
  <r>
    <s v="Nicolas Pepe"/>
    <s v="FW"/>
    <x v="11"/>
    <s v="CI"/>
    <n v="31.09"/>
    <s v="31-35"/>
    <n v="3"/>
    <n v="2"/>
    <n v="148"/>
    <n v="1.6"/>
    <n v="2"/>
    <n v="0"/>
    <n v="2"/>
    <n v="2"/>
    <n v="0"/>
    <n v="0"/>
    <n v="1"/>
    <n v="0"/>
    <n v="1.25"/>
    <s v="Mixed"/>
    <n v="1"/>
  </r>
  <r>
    <s v="Ricardo Pepi"/>
    <s v="FW"/>
    <x v="0"/>
    <s v="US"/>
    <n v="23.47"/>
    <s v="23-27"/>
    <n v="3"/>
    <n v="2"/>
    <n v="182"/>
    <n v="2"/>
    <n v="0"/>
    <n v="0"/>
    <n v="0"/>
    <n v="0"/>
    <n v="0"/>
    <n v="0"/>
    <n v="0"/>
    <n v="0"/>
    <n v="0"/>
    <s v="Mixed"/>
    <n v="1"/>
  </r>
  <r>
    <s v="Kojo Peprah Oppong"/>
    <s v="DF"/>
    <x v="12"/>
    <s v="GH"/>
    <n v="22.07"/>
    <s v="U23"/>
    <n v="2"/>
    <n v="0"/>
    <n v="49"/>
    <n v="0.5"/>
    <n v="0"/>
    <n v="0"/>
    <n v="0"/>
    <n v="0"/>
    <n v="0"/>
    <n v="0"/>
    <n v="1"/>
    <n v="0"/>
    <n v="0"/>
    <s v="Pure Sub"/>
    <n v="2"/>
  </r>
  <r>
    <s v="Ivan Perii?"/>
    <s v="MF,DF"/>
    <x v="40"/>
    <s v="HR"/>
    <n v="37.409999999999997"/>
    <s v="35+"/>
    <n v="3"/>
    <n v="3"/>
    <n v="270"/>
    <n v="3"/>
    <n v="0"/>
    <n v="1"/>
    <n v="1"/>
    <n v="0"/>
    <n v="0"/>
    <n v="0"/>
    <n v="1"/>
    <n v="0"/>
    <n v="0"/>
    <s v="Always Started"/>
    <n v="0"/>
  </r>
  <r>
    <s v="Jens Petter Hauge"/>
    <s v="DF,FW"/>
    <x v="1"/>
    <s v="NO"/>
    <n v="26.71"/>
    <s v="23-27"/>
    <n v="1"/>
    <n v="0"/>
    <n v="8"/>
    <n v="0.1"/>
    <n v="0"/>
    <n v="0"/>
    <n v="0"/>
    <n v="0"/>
    <n v="0"/>
    <n v="0"/>
    <n v="0"/>
    <n v="0"/>
    <n v="0"/>
    <s v="Pure Sub"/>
    <n v="1"/>
  </r>
  <r>
    <s v="Charles Pickel"/>
    <s v="DF,MF"/>
    <x v="39"/>
    <s v="CD"/>
    <n v="29.13"/>
    <s v="27-31"/>
    <n v="2"/>
    <n v="0"/>
    <n v="35"/>
    <n v="0.4"/>
    <n v="0"/>
    <n v="0"/>
    <n v="0"/>
    <n v="0"/>
    <n v="0"/>
    <n v="0"/>
    <n v="1"/>
    <n v="0"/>
    <n v="0"/>
    <s v="Pure Sub"/>
    <n v="2"/>
  </r>
  <r>
    <s v="Jordan Pickford"/>
    <s v="GK"/>
    <x v="33"/>
    <s v="EN"/>
    <n v="32.31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Pico"/>
    <s v="DF"/>
    <x v="36"/>
    <s v="CV"/>
    <n v="34.04"/>
    <s v="31-35"/>
    <n v="3"/>
    <n v="3"/>
    <n v="270"/>
    <n v="3"/>
    <n v="0"/>
    <n v="0"/>
    <n v="0"/>
    <n v="0"/>
    <n v="0"/>
    <n v="0"/>
    <n v="0"/>
    <n v="0"/>
    <n v="0"/>
    <s v="Always Started"/>
    <n v="0"/>
  </r>
  <r>
    <s v="Frantzdy Pierrot"/>
    <s v="FW"/>
    <x v="10"/>
    <s v="HT"/>
    <n v="31.25"/>
    <s v="31-35"/>
    <n v="3"/>
    <n v="2"/>
    <n v="143"/>
    <n v="1.6"/>
    <n v="0"/>
    <n v="0"/>
    <n v="0"/>
    <n v="0"/>
    <n v="0"/>
    <n v="0"/>
    <n v="1"/>
    <n v="0"/>
    <n v="0"/>
    <s v="Mixed"/>
    <n v="1"/>
  </r>
  <r>
    <s v="Kevin Pina"/>
    <s v="MF"/>
    <x v="36"/>
    <s v="CV"/>
    <n v="29.42"/>
    <s v="27-31"/>
    <n v="3"/>
    <n v="3"/>
    <n v="250"/>
    <n v="2.8"/>
    <n v="1"/>
    <n v="0"/>
    <n v="1"/>
    <n v="1"/>
    <n v="0"/>
    <n v="0"/>
    <n v="0"/>
    <n v="0"/>
    <n v="0.35699999999999998"/>
    <s v="Always Started"/>
    <n v="0"/>
  </r>
  <r>
    <s v="Wagner Pina"/>
    <s v="DF"/>
    <x v="36"/>
    <s v="CV"/>
    <n v="23.65"/>
    <s v="23-27"/>
    <n v="1"/>
    <n v="1"/>
    <n v="89"/>
    <n v="1"/>
    <n v="0"/>
    <n v="0"/>
    <n v="0"/>
    <n v="0"/>
    <n v="0"/>
    <n v="0"/>
    <n v="1"/>
    <n v="0"/>
    <n v="0"/>
    <s v="Always Started"/>
    <n v="0"/>
  </r>
  <r>
    <s v="Orbelin Pineda"/>
    <s v="FW,MF"/>
    <x v="29"/>
    <s v="MX"/>
    <n v="30.27"/>
    <s v="27-31"/>
    <n v="1"/>
    <n v="0"/>
    <n v="20"/>
    <n v="0.2"/>
    <n v="0"/>
    <n v="0"/>
    <n v="0"/>
    <n v="0"/>
    <n v="0"/>
    <n v="0"/>
    <n v="0"/>
    <n v="0"/>
    <n v="0"/>
    <s v="Pure Sub"/>
    <n v="1"/>
  </r>
  <r>
    <s v="Yeremy Pino"/>
    <s v="FW,MF"/>
    <x v="38"/>
    <s v="ES"/>
    <n v="23.69"/>
    <s v="23-27"/>
    <n v="2"/>
    <n v="0"/>
    <n v="70"/>
    <n v="0.8"/>
    <n v="0"/>
    <n v="0"/>
    <n v="0"/>
    <n v="0"/>
    <n v="0"/>
    <n v="0"/>
    <n v="0"/>
    <n v="0"/>
    <n v="0"/>
    <s v="Pure Sub"/>
    <n v="2"/>
  </r>
  <r>
    <s v="Isidro Pitta"/>
    <s v="FW"/>
    <x v="23"/>
    <s v="PY"/>
    <n v="26.88"/>
    <s v="23-27"/>
    <n v="1"/>
    <n v="1"/>
    <n v="45"/>
    <n v="0.5"/>
    <n v="0"/>
    <n v="0"/>
    <n v="0"/>
    <n v="0"/>
    <n v="0"/>
    <n v="0"/>
    <n v="0"/>
    <n v="0"/>
    <n v="0"/>
    <s v="Always Started"/>
    <n v="0"/>
  </r>
  <r>
    <s v="Johny Placide"/>
    <s v="GK"/>
    <x v="10"/>
    <s v="HT"/>
    <n v="38.42"/>
    <s v="35+"/>
    <n v="3"/>
    <n v="3"/>
    <n v="270"/>
    <n v="3"/>
    <n v="0"/>
    <n v="0"/>
    <n v="0"/>
    <n v="0"/>
    <n v="0"/>
    <n v="0"/>
    <n v="1"/>
    <n v="0"/>
    <n v="0"/>
    <s v="Always Started"/>
    <n v="0"/>
  </r>
  <r>
    <s v="Gonzalo Plata"/>
    <s v="FW"/>
    <x v="22"/>
    <s v="EC"/>
    <n v="25.66"/>
    <s v="23-27"/>
    <n v="3"/>
    <n v="3"/>
    <n v="270"/>
    <n v="3"/>
    <n v="1"/>
    <n v="0"/>
    <n v="1"/>
    <n v="1"/>
    <n v="0"/>
    <n v="0"/>
    <n v="1"/>
    <n v="0"/>
    <n v="0.33300000000000002"/>
    <s v="Always Started"/>
    <n v="0"/>
  </r>
  <r>
    <s v="Marin Pongra?i?"/>
    <s v="DF"/>
    <x v="40"/>
    <s v="HR"/>
    <n v="28.8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Jackson Porozo"/>
    <s v="DF"/>
    <x v="22"/>
    <s v="EC"/>
    <n v="25.9"/>
    <s v="23-27"/>
    <n v="1"/>
    <n v="0"/>
    <n v="29"/>
    <n v="0.3"/>
    <n v="0"/>
    <n v="0"/>
    <n v="0"/>
    <n v="0"/>
    <n v="0"/>
    <n v="0"/>
    <n v="1"/>
    <n v="0"/>
    <n v="0"/>
    <s v="Pure Sub"/>
    <n v="1"/>
  </r>
  <r>
    <s v="Pedro Porro"/>
    <s v="DF"/>
    <x v="38"/>
    <s v="ES"/>
    <n v="26.79"/>
    <s v="23-27"/>
    <n v="1"/>
    <n v="1"/>
    <n v="90"/>
    <n v="1"/>
    <n v="0"/>
    <n v="0"/>
    <n v="0"/>
    <n v="0"/>
    <n v="0"/>
    <n v="0"/>
    <n v="0"/>
    <n v="0"/>
    <n v="0"/>
    <s v="Always Started"/>
    <n v="0"/>
  </r>
  <r>
    <s v="Stefan Posch"/>
    <s v="DF"/>
    <x v="20"/>
    <s v="AT"/>
    <n v="29.13"/>
    <s v="27-31"/>
    <n v="3"/>
    <n v="3"/>
    <n v="247"/>
    <n v="2.7"/>
    <n v="0"/>
    <n v="0"/>
    <n v="0"/>
    <n v="0"/>
    <n v="0"/>
    <n v="0"/>
    <n v="1"/>
    <n v="0"/>
    <n v="0"/>
    <s v="Always Started"/>
    <n v="0"/>
  </r>
  <r>
    <s v="Alexander Prass"/>
    <s v="DF,MF"/>
    <x v="20"/>
    <s v="AT"/>
    <n v="25.1"/>
    <s v="23-27"/>
    <n v="1"/>
    <n v="0"/>
    <n v="23"/>
    <n v="0.3"/>
    <n v="0"/>
    <n v="0"/>
    <n v="0"/>
    <n v="0"/>
    <n v="0"/>
    <n v="0"/>
    <n v="0"/>
    <n v="0"/>
    <n v="0"/>
    <s v="Pure Sub"/>
    <n v="1"/>
  </r>
  <r>
    <s v="Angelo Preciado"/>
    <s v="DF,MF"/>
    <x v="22"/>
    <s v="EC"/>
    <n v="28.36"/>
    <s v="27-31"/>
    <n v="3"/>
    <n v="0"/>
    <n v="64"/>
    <n v="0.7"/>
    <n v="0"/>
    <n v="0"/>
    <n v="0"/>
    <n v="0"/>
    <n v="0"/>
    <n v="0"/>
    <n v="0"/>
    <n v="0"/>
    <n v="0"/>
    <s v="Pure Sub"/>
    <n v="3"/>
  </r>
  <r>
    <s v="Ruben Providence"/>
    <s v="MF"/>
    <x v="10"/>
    <s v="HT"/>
    <n v="24.98"/>
    <s v="23-27"/>
    <n v="3"/>
    <n v="3"/>
    <n v="220"/>
    <n v="2.4"/>
    <n v="0"/>
    <n v="0"/>
    <n v="0"/>
    <n v="0"/>
    <n v="0"/>
    <n v="0"/>
    <n v="0"/>
    <n v="0"/>
    <n v="0"/>
    <s v="Always Started"/>
    <n v="0"/>
  </r>
  <r>
    <s v="Luka Provod"/>
    <s v="FW"/>
    <x v="46"/>
    <s v="CZ"/>
    <n v="29.68"/>
    <s v="27-31"/>
    <n v="3"/>
    <n v="1"/>
    <n v="122"/>
    <n v="1.4"/>
    <n v="0"/>
    <n v="0"/>
    <n v="0"/>
    <n v="0"/>
    <n v="0"/>
    <n v="0"/>
    <n v="0"/>
    <n v="0"/>
    <n v="0"/>
    <s v="Mixed"/>
    <n v="2"/>
  </r>
  <r>
    <s v="Gustavo Puerta"/>
    <s v="MF"/>
    <x v="37"/>
    <s v="CO"/>
    <n v="22.94"/>
    <s v="U23"/>
    <n v="3"/>
    <n v="3"/>
    <n v="259"/>
    <n v="2.9"/>
    <n v="0"/>
    <n v="1"/>
    <n v="1"/>
    <n v="0"/>
    <n v="0"/>
    <n v="0"/>
    <n v="1"/>
    <n v="0"/>
    <n v="0"/>
    <s v="Always Started"/>
    <n v="0"/>
  </r>
  <r>
    <s v="Christian Pulisic"/>
    <s v="MF"/>
    <x v="0"/>
    <s v="US"/>
    <n v="27.78"/>
    <s v="27-31"/>
    <n v="2"/>
    <n v="1"/>
    <n v="78"/>
    <n v="0.9"/>
    <n v="0"/>
    <n v="1"/>
    <n v="1"/>
    <n v="0"/>
    <n v="0"/>
    <n v="0"/>
    <n v="0"/>
    <n v="0"/>
    <n v="0"/>
    <s v="Mixed"/>
    <n v="1"/>
  </r>
  <r>
    <s v="Ahmed Qasem"/>
    <s v="MF,FW"/>
    <x v="24"/>
    <s v="IQ"/>
    <n v="22.97"/>
    <s v="U23"/>
    <n v="3"/>
    <n v="2"/>
    <n v="123"/>
    <n v="1.4"/>
    <n v="0"/>
    <n v="0"/>
    <n v="0"/>
    <n v="0"/>
    <n v="0"/>
    <n v="0"/>
    <n v="0"/>
    <n v="0"/>
    <n v="0"/>
    <s v="Mixed"/>
    <n v="1"/>
  </r>
  <r>
    <s v="Jarell Quansah"/>
    <s v="DF"/>
    <x v="33"/>
    <s v="EN"/>
    <n v="23.42"/>
    <s v="23-27"/>
    <n v="1"/>
    <n v="1"/>
    <n v="62"/>
    <n v="0.7"/>
    <n v="0"/>
    <n v="0"/>
    <n v="0"/>
    <n v="0"/>
    <n v="0"/>
    <n v="0"/>
    <n v="1"/>
    <n v="0"/>
    <n v="0"/>
    <s v="Always Started"/>
    <n v="0"/>
  </r>
  <r>
    <s v="Julian Quinones"/>
    <s v="FW,MF"/>
    <x v="29"/>
    <s v="MX"/>
    <n v="29.27"/>
    <s v="27-31"/>
    <n v="3"/>
    <n v="3"/>
    <n v="251"/>
    <n v="2.8"/>
    <n v="2"/>
    <n v="0"/>
    <n v="2"/>
    <n v="2"/>
    <n v="0"/>
    <n v="0"/>
    <n v="0"/>
    <n v="0"/>
    <n v="0.71399999999999997"/>
    <s v="Always Started"/>
    <n v="0"/>
  </r>
  <r>
    <s v="Alberto Quintero"/>
    <s v="FW,MF"/>
    <x v="31"/>
    <s v="PA"/>
    <n v="38.53"/>
    <s v="35+"/>
    <n v="1"/>
    <n v="0"/>
    <n v="3"/>
    <n v="0"/>
    <n v="0"/>
    <n v="0"/>
    <n v="0"/>
    <n v="0"/>
    <n v="0"/>
    <n v="0"/>
    <n v="0"/>
    <n v="0"/>
    <n v="0"/>
    <s v="Pure Sub"/>
    <n v="1"/>
  </r>
  <r>
    <s v="Juan Quintero"/>
    <s v="FW,MF"/>
    <x v="37"/>
    <s v="CO"/>
    <n v="33.450000000000003"/>
    <s v="31-35"/>
    <n v="2"/>
    <n v="0"/>
    <n v="48"/>
    <n v="0.5"/>
    <n v="0"/>
    <n v="1"/>
    <n v="1"/>
    <n v="0"/>
    <n v="0"/>
    <n v="0"/>
    <n v="0"/>
    <n v="0"/>
    <n v="0"/>
    <s v="Pure Sub"/>
    <n v="2"/>
  </r>
  <r>
    <s v="Ramy Rabia"/>
    <s v="DF"/>
    <x v="2"/>
    <s v="EG"/>
    <n v="33.11"/>
    <s v="31-35"/>
    <n v="3"/>
    <n v="1"/>
    <n v="162"/>
    <n v="1.8"/>
    <n v="0"/>
    <n v="0"/>
    <n v="0"/>
    <n v="0"/>
    <n v="0"/>
    <n v="0"/>
    <n v="0"/>
    <n v="0"/>
    <n v="0"/>
    <s v="Mixed"/>
    <n v="2"/>
  </r>
  <r>
    <s v="Adrien Rabiot"/>
    <s v="MF"/>
    <x v="19"/>
    <s v="FR"/>
    <n v="31.24"/>
    <s v="31-35"/>
    <n v="2"/>
    <n v="2"/>
    <n v="180"/>
    <n v="2"/>
    <n v="0"/>
    <n v="1"/>
    <n v="1"/>
    <n v="0"/>
    <n v="0"/>
    <n v="0"/>
    <n v="0"/>
    <n v="0"/>
    <n v="0"/>
    <s v="Always Started"/>
    <n v="0"/>
  </r>
  <r>
    <s v="Stjepan Radelji?"/>
    <s v="DF"/>
    <x v="21"/>
    <s v="BA"/>
    <n v="28.82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Soufiane Rahimi"/>
    <s v="FW"/>
    <x v="30"/>
    <s v="MA"/>
    <n v="30.08"/>
    <s v="27-31"/>
    <n v="4"/>
    <n v="0"/>
    <n v="65"/>
    <n v="0.7"/>
    <n v="1"/>
    <n v="1"/>
    <n v="2"/>
    <n v="1"/>
    <n v="0"/>
    <n v="0"/>
    <n v="0"/>
    <n v="0"/>
    <n v="1.429"/>
    <s v="Pure Sub"/>
    <n v="4"/>
  </r>
  <r>
    <s v="Abdul Rahman Baba"/>
    <s v="DF,MF"/>
    <x v="12"/>
    <s v="GH"/>
    <n v="31.99"/>
    <s v="31-35"/>
    <n v="1"/>
    <n v="0"/>
    <n v="1"/>
    <n v="0"/>
    <n v="0"/>
    <n v="0"/>
    <n v="0"/>
    <n v="0"/>
    <n v="0"/>
    <n v="0"/>
    <n v="0"/>
    <n v="0"/>
    <n v="0"/>
    <s v="Pure Sub"/>
    <n v="1"/>
  </r>
  <r>
    <s v="Anthony Ralston"/>
    <s v="DF"/>
    <x v="8"/>
    <s v="ST"/>
    <n v="27.62"/>
    <s v="27-31"/>
    <n v="2"/>
    <n v="0"/>
    <n v="11"/>
    <n v="0.1"/>
    <n v="0"/>
    <n v="0"/>
    <n v="0"/>
    <n v="0"/>
    <n v="0"/>
    <n v="0"/>
    <n v="0"/>
    <n v="0"/>
    <n v="0"/>
    <s v="Pure Sub"/>
    <n v="2"/>
  </r>
  <r>
    <s v="Goncalo Ramos"/>
    <s v="FW"/>
    <x v="35"/>
    <s v="PT"/>
    <n v="25.03"/>
    <s v="23-27"/>
    <n v="1"/>
    <n v="0"/>
    <n v="8"/>
    <n v="0.1"/>
    <n v="0"/>
    <n v="0"/>
    <n v="0"/>
    <n v="0"/>
    <n v="0"/>
    <n v="0"/>
    <n v="0"/>
    <n v="0"/>
    <n v="0"/>
    <s v="Pure Sub"/>
    <n v="1"/>
  </r>
  <r>
    <s v="Jiovany Ramos"/>
    <s v="DF"/>
    <x v="31"/>
    <s v="PA"/>
    <n v="29.42"/>
    <s v="27-31"/>
    <n v="2"/>
    <n v="2"/>
    <n v="166"/>
    <n v="1.8"/>
    <n v="0"/>
    <n v="0"/>
    <n v="0"/>
    <n v="0"/>
    <n v="0"/>
    <n v="0"/>
    <n v="0"/>
    <n v="0"/>
    <n v="0"/>
    <s v="Always Started"/>
    <n v="0"/>
  </r>
  <r>
    <s v="Jesse Randall"/>
    <s v="MF"/>
    <x v="42"/>
    <s v="NZ"/>
    <n v="23.86"/>
    <s v="23-27"/>
    <n v="3"/>
    <n v="0"/>
    <n v="61"/>
    <n v="0.7"/>
    <n v="0"/>
    <n v="0"/>
    <n v="0"/>
    <n v="0"/>
    <n v="0"/>
    <n v="0"/>
    <n v="0"/>
    <n v="0"/>
    <n v="0"/>
    <s v="Pure Sub"/>
    <n v="3"/>
  </r>
  <r>
    <s v="Raul Rangel"/>
    <s v="GK"/>
    <x v="29"/>
    <s v="MX"/>
    <n v="26.34"/>
    <s v="23-27"/>
    <n v="3"/>
    <n v="3"/>
    <n v="257"/>
    <n v="2.9"/>
    <n v="0"/>
    <n v="0"/>
    <n v="0"/>
    <n v="0"/>
    <n v="0"/>
    <n v="0"/>
    <n v="0"/>
    <n v="0"/>
    <n v="0"/>
    <s v="Always Started"/>
    <n v="0"/>
  </r>
  <r>
    <s v="Raphinha"/>
    <s v="MF,FW"/>
    <x v="27"/>
    <s v="BR"/>
    <n v="29.54"/>
    <s v="27-31"/>
    <n v="2"/>
    <n v="2"/>
    <n v="129"/>
    <n v="1.4"/>
    <n v="0"/>
    <n v="0"/>
    <n v="0"/>
    <n v="0"/>
    <n v="0"/>
    <n v="0"/>
    <n v="0"/>
    <n v="0"/>
    <n v="0"/>
    <s v="Always Started"/>
    <n v="0"/>
  </r>
  <r>
    <s v="Nizar Al Rashdan"/>
    <s v="MF"/>
    <x v="7"/>
    <s v="JO"/>
    <n v="27.27"/>
    <s v="27-31"/>
    <n v="3"/>
    <n v="3"/>
    <n v="255"/>
    <n v="2.8"/>
    <n v="1"/>
    <n v="0"/>
    <n v="1"/>
    <n v="1"/>
    <n v="0"/>
    <n v="0"/>
    <n v="0"/>
    <n v="0"/>
    <n v="0.35699999999999998"/>
    <s v="Always Started"/>
    <n v="0"/>
  </r>
  <r>
    <s v="Marcus Rashford"/>
    <s v="MF"/>
    <x v="33"/>
    <s v="EN"/>
    <n v="28.66"/>
    <s v="27-31"/>
    <n v="3"/>
    <n v="1"/>
    <n v="117"/>
    <n v="1.3"/>
    <n v="1"/>
    <n v="0"/>
    <n v="1"/>
    <n v="1"/>
    <n v="0"/>
    <n v="0"/>
    <n v="0"/>
    <n v="0"/>
    <n v="0.76900000000000002"/>
    <s v="Mixed"/>
    <n v="2"/>
  </r>
  <r>
    <s v="Nicolas Raskin"/>
    <s v="MF"/>
    <x v="44"/>
    <s v="BE"/>
    <n v="25.35"/>
    <s v="23-27"/>
    <n v="3"/>
    <n v="1"/>
    <n v="98"/>
    <n v="1.1000000000000001"/>
    <n v="0"/>
    <n v="1"/>
    <n v="1"/>
    <n v="0"/>
    <n v="0"/>
    <n v="0"/>
    <n v="0"/>
    <n v="0"/>
    <n v="0"/>
    <s v="Mixed"/>
    <n v="2"/>
  </r>
  <r>
    <s v="David Raum"/>
    <s v="DF"/>
    <x v="32"/>
    <s v="DE"/>
    <n v="28.19"/>
    <s v="27-31"/>
    <n v="2"/>
    <n v="1"/>
    <n v="108"/>
    <n v="1.2"/>
    <n v="0"/>
    <n v="0"/>
    <n v="0"/>
    <n v="0"/>
    <n v="0"/>
    <n v="0"/>
    <n v="0"/>
    <n v="0"/>
    <n v="0"/>
    <s v="Mixed"/>
    <n v="1"/>
  </r>
  <r>
    <s v="Noor Al Rawabdeh"/>
    <s v="MF"/>
    <x v="7"/>
    <s v="JO"/>
    <n v="29.34"/>
    <s v="27-31"/>
    <n v="3"/>
    <n v="3"/>
    <n v="270"/>
    <n v="3"/>
    <n v="0"/>
    <n v="1"/>
    <n v="1"/>
    <n v="0"/>
    <n v="0"/>
    <n v="0"/>
    <n v="0"/>
    <n v="0"/>
    <n v="0"/>
    <s v="Always Started"/>
    <n v="0"/>
  </r>
  <r>
    <s v="Rayan"/>
    <s v="FW"/>
    <x v="27"/>
    <s v="BR"/>
    <n v="19.91"/>
    <s v="U23"/>
    <n v="3"/>
    <n v="2"/>
    <n v="222"/>
    <n v="2.5"/>
    <n v="0"/>
    <n v="1"/>
    <n v="1"/>
    <n v="0"/>
    <n v="0"/>
    <n v="0"/>
    <n v="0"/>
    <n v="0"/>
    <n v="0"/>
    <s v="Mixed"/>
    <n v="1"/>
  </r>
  <r>
    <s v="Iqraam Rayners"/>
    <s v="FW"/>
    <x v="9"/>
    <s v="ZA"/>
    <n v="30.53"/>
    <s v="27-31"/>
    <n v="4"/>
    <n v="2"/>
    <n v="161"/>
    <n v="1.8"/>
    <n v="0"/>
    <n v="0"/>
    <n v="0"/>
    <n v="0"/>
    <n v="0"/>
    <n v="0"/>
    <n v="0"/>
    <n v="0"/>
    <n v="0"/>
    <s v="Mixed"/>
    <n v="2"/>
  </r>
  <r>
    <s v="Tim Ream"/>
    <s v="DF"/>
    <x v="0"/>
    <s v="US"/>
    <n v="38.729999999999997"/>
    <s v="35+"/>
    <n v="2"/>
    <n v="2"/>
    <n v="180"/>
    <n v="2"/>
    <n v="0"/>
    <n v="0"/>
    <n v="0"/>
    <n v="0"/>
    <n v="0"/>
    <n v="0"/>
    <n v="0"/>
    <n v="0"/>
    <n v="0"/>
    <s v="Always Started"/>
    <n v="0"/>
  </r>
  <r>
    <s v="Tijjani Reijnders"/>
    <s v="MF"/>
    <x v="17"/>
    <s v="NL"/>
    <n v="27.92"/>
    <s v="27-31"/>
    <n v="3"/>
    <n v="3"/>
    <n v="199"/>
    <n v="2.2000000000000002"/>
    <n v="0"/>
    <n v="1"/>
    <n v="1"/>
    <n v="0"/>
    <n v="0"/>
    <n v="0"/>
    <n v="0"/>
    <n v="0"/>
    <n v="0"/>
    <s v="Always Started"/>
    <n v="0"/>
  </r>
  <r>
    <s v="Omar Rekik"/>
    <s v="DF"/>
    <x v="3"/>
    <s v="TN"/>
    <n v="24.53"/>
    <s v="23-27"/>
    <n v="2"/>
    <n v="2"/>
    <n v="180"/>
    <n v="2"/>
    <n v="1"/>
    <n v="0"/>
    <n v="1"/>
    <n v="1"/>
    <n v="0"/>
    <n v="0"/>
    <n v="0"/>
    <n v="0"/>
    <n v="0.5"/>
    <s v="Always Started"/>
    <n v="0"/>
  </r>
  <r>
    <s v="Israel Reyes"/>
    <s v="DF"/>
    <x v="29"/>
    <s v="MX"/>
    <n v="26.1"/>
    <s v="23-27"/>
    <n v="3"/>
    <n v="2"/>
    <n v="191"/>
    <n v="2.1"/>
    <n v="0"/>
    <n v="0"/>
    <n v="0"/>
    <n v="0"/>
    <n v="0"/>
    <n v="0"/>
    <n v="0"/>
    <n v="0"/>
    <n v="0"/>
    <s v="Mixed"/>
    <n v="1"/>
  </r>
  <r>
    <s v="Gio Reyna"/>
    <s v="MF"/>
    <x v="0"/>
    <s v="US"/>
    <n v="23.63"/>
    <s v="23-27"/>
    <n v="3"/>
    <n v="1"/>
    <n v="85"/>
    <n v="0.9"/>
    <n v="1"/>
    <n v="0"/>
    <n v="1"/>
    <n v="1"/>
    <n v="0"/>
    <n v="0"/>
    <n v="0"/>
    <n v="0"/>
    <n v="1.111"/>
    <s v="Mixed"/>
    <n v="2"/>
  </r>
  <r>
    <s v="Ramin Rezaeian"/>
    <s v="DF,MF"/>
    <x v="26"/>
    <s v="IR"/>
    <n v="36.28"/>
    <s v="35+"/>
    <n v="3"/>
    <n v="3"/>
    <n v="270"/>
    <n v="3"/>
    <n v="2"/>
    <n v="1"/>
    <n v="3"/>
    <n v="2"/>
    <n v="0"/>
    <n v="0"/>
    <n v="0"/>
    <n v="0"/>
    <n v="0.66700000000000004"/>
    <s v="Always Started"/>
    <n v="0"/>
  </r>
  <r>
    <s v="Chadi Riad"/>
    <s v="DF"/>
    <x v="30"/>
    <s v="MA"/>
    <n v="23.04"/>
    <s v="23-27"/>
    <n v="4"/>
    <n v="4"/>
    <n v="344"/>
    <n v="3.8"/>
    <n v="0"/>
    <n v="1"/>
    <n v="1"/>
    <n v="0"/>
    <n v="0"/>
    <n v="0"/>
    <n v="0"/>
    <n v="0"/>
    <n v="0"/>
    <s v="Always Started"/>
    <n v="0"/>
  </r>
  <r>
    <s v="Declan Rice"/>
    <s v="MF"/>
    <x v="33"/>
    <s v="EN"/>
    <n v="27.46"/>
    <s v="27-31"/>
    <n v="2"/>
    <n v="2"/>
    <n v="161"/>
    <n v="1.8"/>
    <n v="0"/>
    <n v="1"/>
    <n v="1"/>
    <n v="0"/>
    <n v="0"/>
    <n v="0"/>
    <n v="1"/>
    <n v="0"/>
    <n v="0"/>
    <s v="Always Started"/>
    <n v="0"/>
  </r>
  <r>
    <s v="Chris Richards"/>
    <s v="DF"/>
    <x v="0"/>
    <s v="US"/>
    <n v="26.26"/>
    <s v="23-27"/>
    <n v="2"/>
    <n v="2"/>
    <n v="180"/>
    <n v="2"/>
    <n v="0"/>
    <n v="0"/>
    <n v="0"/>
    <n v="0"/>
    <n v="0"/>
    <n v="0"/>
    <n v="1"/>
    <n v="0"/>
    <n v="0"/>
    <s v="Always Started"/>
    <n v="0"/>
  </r>
  <r>
    <s v="Fabian Rieder"/>
    <s v="MF"/>
    <x v="13"/>
    <s v="CH"/>
    <n v="24.37"/>
    <s v="23-27"/>
    <n v="2"/>
    <n v="1"/>
    <n v="95"/>
    <n v="1.1000000000000001"/>
    <n v="0"/>
    <n v="0"/>
    <n v="0"/>
    <n v="0"/>
    <n v="0"/>
    <n v="0"/>
    <n v="0"/>
    <n v="0"/>
    <n v="0"/>
    <s v="Mixed"/>
    <n v="1"/>
  </r>
  <r>
    <s v="Richard Rios"/>
    <s v="MF"/>
    <x v="37"/>
    <s v="CO"/>
    <n v="26.08"/>
    <s v="23-27"/>
    <n v="3"/>
    <n v="0"/>
    <n v="56"/>
    <n v="0.6"/>
    <n v="0"/>
    <n v="0"/>
    <n v="0"/>
    <n v="0"/>
    <n v="0"/>
    <n v="0"/>
    <n v="0"/>
    <n v="0"/>
    <n v="0"/>
    <s v="Pure Sub"/>
    <n v="3"/>
  </r>
  <r>
    <s v="Ro-Ro"/>
    <s v="DF"/>
    <x v="6"/>
    <s v="QA"/>
    <n v="35.9"/>
    <s v="35+"/>
    <n v="3"/>
    <n v="3"/>
    <n v="270"/>
    <n v="3"/>
    <n v="0"/>
    <n v="0"/>
    <n v="0"/>
    <n v="0"/>
    <n v="0"/>
    <n v="0"/>
    <n v="0"/>
    <n v="0"/>
    <n v="0"/>
    <s v="Always Started"/>
    <n v="0"/>
  </r>
  <r>
    <s v="Andy Robertson"/>
    <s v="DF"/>
    <x v="8"/>
    <s v="ST"/>
    <n v="32.299999999999997"/>
    <s v="31-35"/>
    <n v="3"/>
    <n v="3"/>
    <n v="225"/>
    <n v="2.5"/>
    <n v="0"/>
    <n v="0"/>
    <n v="0"/>
    <n v="0"/>
    <n v="0"/>
    <n v="0"/>
    <n v="1"/>
    <n v="0"/>
    <n v="0"/>
    <s v="Always Started"/>
    <n v="0"/>
  </r>
  <r>
    <s v="Antonee Robinson"/>
    <s v="MF,DF"/>
    <x v="0"/>
    <s v="US"/>
    <n v="28.89"/>
    <s v="27-31"/>
    <n v="2"/>
    <n v="2"/>
    <n v="169"/>
    <n v="1.9"/>
    <n v="0"/>
    <n v="0"/>
    <n v="0"/>
    <n v="0"/>
    <n v="0"/>
    <n v="0"/>
    <n v="1"/>
    <n v="0"/>
    <n v="0"/>
    <s v="Always Started"/>
    <n v="0"/>
  </r>
  <r>
    <s v="Miles Robinson"/>
    <s v="DF"/>
    <x v="0"/>
    <s v="US"/>
    <n v="29.3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Sergio Rochet"/>
    <s v="GK"/>
    <x v="14"/>
    <s v="UY"/>
    <n v="33.270000000000003"/>
    <s v="31-35"/>
    <n v="1"/>
    <n v="0"/>
    <n v="45"/>
    <n v="0.5"/>
    <n v="0"/>
    <n v="0"/>
    <n v="0"/>
    <n v="0"/>
    <n v="0"/>
    <n v="0"/>
    <n v="0"/>
    <n v="0"/>
    <n v="0"/>
    <s v="Pure Sub"/>
    <n v="1"/>
  </r>
  <r>
    <s v="Rodri"/>
    <s v="MF"/>
    <x v="38"/>
    <s v="ES"/>
    <n v="30.02"/>
    <s v="27-31"/>
    <n v="3"/>
    <n v="3"/>
    <n v="266"/>
    <n v="3"/>
    <n v="0"/>
    <n v="0"/>
    <n v="0"/>
    <n v="0"/>
    <n v="0"/>
    <n v="0"/>
    <n v="0"/>
    <n v="0"/>
    <n v="0"/>
    <s v="Always Started"/>
    <n v="0"/>
  </r>
  <r>
    <s v="Garry Rodrigues"/>
    <s v="MF"/>
    <x v="36"/>
    <s v="CV"/>
    <n v="35.590000000000003"/>
    <s v="35+"/>
    <n v="2"/>
    <n v="1"/>
    <n v="76"/>
    <n v="0.8"/>
    <n v="0"/>
    <n v="0"/>
    <n v="0"/>
    <n v="0"/>
    <n v="0"/>
    <n v="0"/>
    <n v="0"/>
    <n v="0"/>
    <n v="0"/>
    <s v="Mixed"/>
    <n v="1"/>
  </r>
  <r>
    <s v="Brian Rodriguez"/>
    <s v="FW,MF"/>
    <x v="14"/>
    <s v="UY"/>
    <n v="26.11"/>
    <s v="23-27"/>
    <n v="3"/>
    <n v="0"/>
    <n v="41"/>
    <n v="0.5"/>
    <n v="0"/>
    <n v="0"/>
    <n v="0"/>
    <n v="0"/>
    <n v="0"/>
    <n v="0"/>
    <n v="0"/>
    <n v="0"/>
    <n v="0"/>
    <s v="Pure Sub"/>
    <n v="3"/>
  </r>
  <r>
    <s v="James Rodriguez"/>
    <s v="FW"/>
    <x v="37"/>
    <s v="CO"/>
    <n v="34.97"/>
    <s v="31-35"/>
    <n v="3"/>
    <n v="3"/>
    <n v="203"/>
    <n v="2.2999999999999998"/>
    <n v="0"/>
    <n v="0"/>
    <n v="0"/>
    <n v="0"/>
    <n v="0"/>
    <n v="0"/>
    <n v="0"/>
    <n v="0"/>
    <n v="0"/>
    <s v="Always Started"/>
    <n v="0"/>
  </r>
  <r>
    <s v="Kevin Rodriguez"/>
    <s v="FW"/>
    <x v="22"/>
    <s v="EC"/>
    <n v="26.32"/>
    <s v="23-27"/>
    <n v="3"/>
    <n v="0"/>
    <n v="86"/>
    <n v="1"/>
    <n v="0"/>
    <n v="1"/>
    <n v="1"/>
    <n v="0"/>
    <n v="0"/>
    <n v="0"/>
    <n v="0"/>
    <n v="0"/>
    <n v="0"/>
    <s v="Pure Sub"/>
    <n v="3"/>
  </r>
  <r>
    <s v="Ricardo Rodriguez"/>
    <s v="DF"/>
    <x v="13"/>
    <s v="CH"/>
    <n v="33.85"/>
    <s v="31-35"/>
    <n v="3"/>
    <n v="3"/>
    <n v="268"/>
    <n v="3"/>
    <n v="0"/>
    <n v="0"/>
    <n v="0"/>
    <n v="0"/>
    <n v="0"/>
    <n v="0"/>
    <n v="0"/>
    <n v="0"/>
    <n v="0"/>
    <s v="Always Started"/>
    <n v="0"/>
  </r>
  <r>
    <s v="Tomas Rodriguez"/>
    <s v="FW"/>
    <x v="31"/>
    <s v="PA"/>
    <n v="27.31"/>
    <s v="27-31"/>
    <n v="2"/>
    <n v="1"/>
    <n v="46"/>
    <n v="0.5"/>
    <n v="0"/>
    <n v="0"/>
    <n v="0"/>
    <n v="0"/>
    <n v="0"/>
    <n v="0"/>
    <n v="0"/>
    <n v="0"/>
    <n v="0"/>
    <s v="Mixed"/>
    <n v="1"/>
  </r>
  <r>
    <s v="Godfried Roemeratoe"/>
    <s v="MF"/>
    <x v="34"/>
    <s v="CW"/>
    <n v="26.86"/>
    <s v="23-27"/>
    <n v="1"/>
    <n v="0"/>
    <n v="7"/>
    <n v="0.1"/>
    <n v="0"/>
    <n v="0"/>
    <n v="0"/>
    <n v="0"/>
    <n v="0"/>
    <n v="0"/>
    <n v="0"/>
    <n v="0"/>
    <n v="0"/>
    <s v="Pure Sub"/>
    <n v="1"/>
  </r>
  <r>
    <s v="Morgan Rogers"/>
    <s v="MF"/>
    <x v="33"/>
    <s v="EN"/>
    <n v="23.93"/>
    <s v="23-27"/>
    <n v="3"/>
    <n v="1"/>
    <n v="126"/>
    <n v="1.4"/>
    <n v="0"/>
    <n v="0"/>
    <n v="0"/>
    <n v="0"/>
    <n v="0"/>
    <n v="0"/>
    <n v="0"/>
    <n v="0"/>
    <n v="0"/>
    <s v="Mixed"/>
    <n v="2"/>
  </r>
  <r>
    <s v="Cristian Romero"/>
    <s v="DF"/>
    <x v="28"/>
    <s v="AR"/>
    <n v="28.18"/>
    <s v="27-31"/>
    <n v="2"/>
    <n v="2"/>
    <n v="135"/>
    <n v="1.5"/>
    <n v="0"/>
    <n v="0"/>
    <n v="0"/>
    <n v="0"/>
    <n v="0"/>
    <n v="0"/>
    <n v="0"/>
    <n v="0"/>
    <n v="0"/>
    <s v="Always Started"/>
    <n v="0"/>
  </r>
  <r>
    <s v="Luis Romo"/>
    <s v="MF"/>
    <x v="29"/>
    <s v="MX"/>
    <n v="31.07"/>
    <s v="31-35"/>
    <n v="2"/>
    <n v="2"/>
    <n v="132"/>
    <n v="1.5"/>
    <n v="1"/>
    <n v="1"/>
    <n v="2"/>
    <n v="1"/>
    <n v="0"/>
    <n v="0"/>
    <n v="0"/>
    <n v="0"/>
    <n v="0.66700000000000004"/>
    <s v="Always Started"/>
    <n v="0"/>
  </r>
  <r>
    <s v="Cristiano Ronaldo"/>
    <s v="FW"/>
    <x v="35"/>
    <s v="PT"/>
    <n v="41.4"/>
    <s v="35+"/>
    <n v="3"/>
    <n v="3"/>
    <n v="270"/>
    <n v="3"/>
    <n v="2"/>
    <n v="0"/>
    <n v="2"/>
    <n v="2"/>
    <n v="0"/>
    <n v="0"/>
    <n v="0"/>
    <n v="0"/>
    <n v="0.66700000000000004"/>
    <s v="Always Started"/>
    <n v="0"/>
  </r>
  <r>
    <s v="Eloy Room"/>
    <s v="GK"/>
    <x v="34"/>
    <s v="CW"/>
    <n v="37.39"/>
    <s v="35+"/>
    <n v="3"/>
    <n v="3"/>
    <n v="270"/>
    <n v="3"/>
    <n v="0"/>
    <n v="0"/>
    <n v="0"/>
    <n v="0"/>
    <n v="0"/>
    <n v="0"/>
    <n v="0"/>
    <n v="0"/>
    <n v="0"/>
    <s v="Always Started"/>
    <n v="0"/>
  </r>
  <r>
    <s v="Marten de Roon"/>
    <s v="DF,MF"/>
    <x v="17"/>
    <s v="NL"/>
    <n v="35.25"/>
    <s v="35+"/>
    <n v="1"/>
    <n v="0"/>
    <n v="11"/>
    <n v="0.1"/>
    <n v="0"/>
    <n v="0"/>
    <n v="0"/>
    <n v="0"/>
    <n v="0"/>
    <n v="0"/>
    <n v="0"/>
    <n v="0"/>
    <n v="0"/>
    <s v="Pure Sub"/>
    <n v="1"/>
  </r>
  <r>
    <s v="Saed Al-Rosan"/>
    <s v="DF"/>
    <x v="7"/>
    <s v="JO"/>
    <n v="29.41"/>
    <s v="27-31"/>
    <n v="1"/>
    <n v="0"/>
    <n v="10"/>
    <n v="0.1"/>
    <n v="0"/>
    <n v="0"/>
    <n v="0"/>
    <n v="0"/>
    <n v="0"/>
    <n v="0"/>
    <n v="0"/>
    <n v="0"/>
    <n v="0"/>
    <s v="Pure Sub"/>
    <n v="1"/>
  </r>
  <r>
    <s v="Antonio Rudiger"/>
    <s v="DF"/>
    <x v="32"/>
    <s v="DE"/>
    <n v="33.33"/>
    <s v="31-35"/>
    <n v="4"/>
    <n v="2"/>
    <n v="262"/>
    <n v="2.9"/>
    <n v="0"/>
    <n v="0"/>
    <n v="0"/>
    <n v="0"/>
    <n v="0"/>
    <n v="0"/>
    <n v="0"/>
    <n v="0"/>
    <n v="0"/>
    <s v="Mixed"/>
    <n v="2"/>
  </r>
  <r>
    <s v="Fabian Ruiz Pena"/>
    <s v="MF"/>
    <x v="38"/>
    <s v="ES"/>
    <n v="30.24"/>
    <s v="27-31"/>
    <n v="3"/>
    <n v="1"/>
    <n v="122"/>
    <n v="1.4"/>
    <n v="0"/>
    <n v="0"/>
    <n v="0"/>
    <n v="0"/>
    <n v="0"/>
    <n v="0"/>
    <n v="0"/>
    <n v="0"/>
    <n v="0"/>
    <s v="Mixed"/>
    <n v="2"/>
  </r>
  <r>
    <s v="Julian Ryerson"/>
    <s v="DF"/>
    <x v="1"/>
    <s v="NO"/>
    <n v="28.62"/>
    <s v="27-31"/>
    <n v="2"/>
    <n v="2"/>
    <n v="102"/>
    <n v="1.1000000000000001"/>
    <n v="0"/>
    <n v="0"/>
    <n v="0"/>
    <n v="0"/>
    <n v="0"/>
    <n v="0"/>
    <n v="0"/>
    <n v="0"/>
    <n v="0"/>
    <s v="Always Started"/>
    <n v="0"/>
  </r>
  <r>
    <s v="Elias Saad"/>
    <s v="MF,FW"/>
    <x v="3"/>
    <s v="TN"/>
    <n v="26.51"/>
    <s v="23-27"/>
    <n v="2"/>
    <n v="2"/>
    <n v="116"/>
    <n v="1.3"/>
    <n v="0"/>
    <n v="0"/>
    <n v="0"/>
    <n v="0"/>
    <n v="0"/>
    <n v="0"/>
    <n v="0"/>
    <n v="0"/>
    <n v="0"/>
    <s v="Always Started"/>
    <n v="0"/>
  </r>
  <r>
    <s v="Mustafa Saadoon"/>
    <s v="DF"/>
    <x v="24"/>
    <s v="IQ"/>
    <n v="25.1"/>
    <s v="23-27"/>
    <n v="1"/>
    <n v="0"/>
    <n v="18"/>
    <n v="0.2"/>
    <n v="0"/>
    <n v="0"/>
    <n v="0"/>
    <n v="0"/>
    <n v="0"/>
    <n v="0"/>
    <n v="0"/>
    <n v="0"/>
    <n v="0"/>
    <s v="Pure Sub"/>
    <n v="1"/>
  </r>
  <r>
    <s v="Mahmoud Saber"/>
    <s v="MF"/>
    <x v="2"/>
    <s v="EG"/>
    <n v="24.92"/>
    <s v="23-27"/>
    <n v="1"/>
    <n v="1"/>
    <n v="45"/>
    <n v="0.5"/>
    <n v="1"/>
    <n v="0"/>
    <n v="1"/>
    <n v="1"/>
    <n v="0"/>
    <n v="0"/>
    <n v="1"/>
    <n v="0"/>
    <n v="2"/>
    <s v="Always Started"/>
    <n v="0"/>
  </r>
  <r>
    <s v="Marcel Sabitzer"/>
    <s v="MF"/>
    <x v="20"/>
    <s v="AT"/>
    <n v="32.29"/>
    <s v="31-35"/>
    <n v="3"/>
    <n v="3"/>
    <n v="270"/>
    <n v="3"/>
    <n v="1"/>
    <n v="0"/>
    <n v="1"/>
    <n v="1"/>
    <n v="0"/>
    <n v="0"/>
    <n v="1"/>
    <n v="0"/>
    <n v="0.33300000000000002"/>
    <s v="Always Started"/>
    <n v="0"/>
  </r>
  <r>
    <s v="Noah Sadiki"/>
    <s v="MF"/>
    <x v="39"/>
    <s v="CD"/>
    <n v="21.53"/>
    <s v="U23"/>
    <n v="3"/>
    <n v="1"/>
    <n v="169"/>
    <n v="1.9"/>
    <n v="0"/>
    <n v="0"/>
    <n v="0"/>
    <n v="0"/>
    <n v="0"/>
    <n v="0"/>
    <n v="1"/>
    <n v="0"/>
    <n v="0"/>
    <s v="Mixed"/>
    <n v="2"/>
  </r>
  <r>
    <s v="Michal Sadilek"/>
    <s v="MF"/>
    <x v="46"/>
    <s v="CZ"/>
    <n v="27.08"/>
    <s v="27-31"/>
    <n v="3"/>
    <n v="2"/>
    <n v="183"/>
    <n v="2"/>
    <n v="1"/>
    <n v="0"/>
    <n v="1"/>
    <n v="1"/>
    <n v="0"/>
    <n v="0"/>
    <n v="0"/>
    <n v="0"/>
    <n v="0.5"/>
    <s v="Mixed"/>
    <n v="1"/>
  </r>
  <r>
    <s v="Alexis Saelemaekers"/>
    <s v="MF"/>
    <x v="44"/>
    <s v="BE"/>
    <n v="27.01"/>
    <s v="27-31"/>
    <n v="2"/>
    <n v="1"/>
    <n v="76"/>
    <n v="0.8"/>
    <n v="1"/>
    <n v="0"/>
    <n v="1"/>
    <n v="1"/>
    <n v="0"/>
    <n v="0"/>
    <n v="0"/>
    <n v="0"/>
    <n v="1.25"/>
    <s v="Mixed"/>
    <n v="1"/>
  </r>
  <r>
    <s v="Ismael Saibari"/>
    <s v="FW"/>
    <x v="30"/>
    <s v="MA"/>
    <n v="25.42"/>
    <s v="23-27"/>
    <n v="4"/>
    <n v="4"/>
    <n v="360"/>
    <n v="4"/>
    <n v="3"/>
    <n v="0"/>
    <n v="3"/>
    <n v="3"/>
    <n v="0"/>
    <n v="0"/>
    <n v="0"/>
    <n v="0"/>
    <n v="0.75"/>
    <s v="Always Started"/>
    <n v="0"/>
  </r>
  <r>
    <s v="Bukayo Saka"/>
    <s v="MF"/>
    <x v="33"/>
    <s v="EN"/>
    <n v="24.82"/>
    <s v="23-27"/>
    <n v="3"/>
    <n v="1"/>
    <n v="107"/>
    <n v="1.2"/>
    <n v="0"/>
    <n v="2"/>
    <n v="2"/>
    <n v="0"/>
    <n v="0"/>
    <n v="0"/>
    <n v="0"/>
    <n v="0"/>
    <n v="0"/>
    <s v="Mixed"/>
    <n v="2"/>
  </r>
  <r>
    <s v="Mohamed Salah"/>
    <s v="FW,MF"/>
    <x v="2"/>
    <s v="EG"/>
    <n v="34.04"/>
    <s v="31-35"/>
    <n v="3"/>
    <n v="3"/>
    <n v="215"/>
    <n v="2.4"/>
    <n v="1"/>
    <n v="2"/>
    <n v="3"/>
    <n v="1"/>
    <n v="0"/>
    <n v="0"/>
    <n v="0"/>
    <n v="0"/>
    <n v="0.41699999999999998"/>
    <s v="Always Started"/>
    <n v="0"/>
  </r>
  <r>
    <s v="Anass Salah-Eddine"/>
    <s v="DF"/>
    <x v="30"/>
    <s v="MA"/>
    <n v="24.45"/>
    <s v="23-27"/>
    <n v="3"/>
    <n v="1"/>
    <n v="139"/>
    <n v="1.5"/>
    <n v="0"/>
    <n v="0"/>
    <n v="0"/>
    <n v="0"/>
    <n v="0"/>
    <n v="0"/>
    <n v="0"/>
    <n v="0"/>
    <n v="0"/>
    <s v="Mixed"/>
    <n v="2"/>
  </r>
  <r>
    <s v="Nathan Saliba"/>
    <s v="MF"/>
    <x v="15"/>
    <s v="CA"/>
    <n v="22.39"/>
    <s v="U23"/>
    <n v="3"/>
    <n v="2"/>
    <n v="182"/>
    <n v="2"/>
    <n v="1"/>
    <n v="2"/>
    <n v="3"/>
    <n v="1"/>
    <n v="0"/>
    <n v="0"/>
    <n v="1"/>
    <n v="0"/>
    <n v="0.5"/>
    <s v="Mixed"/>
    <n v="1"/>
  </r>
  <r>
    <s v="William Saliba"/>
    <s v="DF"/>
    <x v="19"/>
    <s v="FR"/>
    <n v="25.27"/>
    <s v="23-27"/>
    <n v="2"/>
    <n v="2"/>
    <n v="180"/>
    <n v="2"/>
    <n v="0"/>
    <n v="0"/>
    <n v="0"/>
    <n v="0"/>
    <n v="0"/>
    <n v="0"/>
    <n v="0"/>
    <n v="0"/>
    <n v="0"/>
    <s v="Always Started"/>
    <n v="0"/>
  </r>
  <r>
    <s v="Shurandy Sambo"/>
    <s v="DF"/>
    <x v="34"/>
    <s v="CW"/>
    <n v="24.86"/>
    <s v="23-27"/>
    <n v="1"/>
    <n v="0"/>
    <n v="1"/>
    <n v="0"/>
    <n v="0"/>
    <n v="0"/>
    <n v="0"/>
    <n v="0"/>
    <n v="0"/>
    <n v="0"/>
    <n v="0"/>
    <n v="0"/>
    <n v="0"/>
    <s v="Pure Sub"/>
    <n v="1"/>
  </r>
  <r>
    <s v="Antonio Sanabria"/>
    <s v="FW"/>
    <x v="23"/>
    <s v="PY"/>
    <n v="30.32"/>
    <s v="27-31"/>
    <n v="2"/>
    <n v="1"/>
    <n v="83"/>
    <n v="0.9"/>
    <n v="0"/>
    <n v="0"/>
    <n v="0"/>
    <n v="0"/>
    <n v="0"/>
    <n v="0"/>
    <n v="0"/>
    <n v="0"/>
    <n v="0"/>
    <s v="Mixed"/>
    <n v="1"/>
  </r>
  <r>
    <s v="Davinson Sanchez"/>
    <s v="DF"/>
    <x v="37"/>
    <s v="CO"/>
    <n v="30.05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Jorge Sanchez"/>
    <s v="DF"/>
    <x v="29"/>
    <s v="MX"/>
    <n v="28.55"/>
    <s v="27-31"/>
    <n v="2"/>
    <n v="2"/>
    <n v="180"/>
    <n v="2"/>
    <n v="0"/>
    <n v="1"/>
    <n v="1"/>
    <n v="0"/>
    <n v="0"/>
    <n v="0"/>
    <n v="0"/>
    <n v="0"/>
    <n v="0"/>
    <s v="Always Started"/>
    <n v="0"/>
  </r>
  <r>
    <s v="Alex Sandro"/>
    <s v="DF,MF"/>
    <x v="27"/>
    <s v="BR"/>
    <n v="35.42"/>
    <s v="35+"/>
    <n v="1"/>
    <n v="0"/>
    <n v="9"/>
    <n v="0.1"/>
    <n v="0"/>
    <n v="0"/>
    <n v="0"/>
    <n v="0"/>
    <n v="0"/>
    <n v="0"/>
    <n v="0"/>
    <n v="0"/>
    <n v="0"/>
    <s v="Pure Sub"/>
    <n v="1"/>
  </r>
  <r>
    <s v="Leroy Sane"/>
    <s v="MF"/>
    <x v="32"/>
    <s v="DE"/>
    <n v="30.47"/>
    <s v="27-31"/>
    <n v="4"/>
    <n v="4"/>
    <n v="326"/>
    <n v="3.6"/>
    <n v="1"/>
    <n v="0"/>
    <n v="1"/>
    <n v="1"/>
    <n v="0"/>
    <n v="0"/>
    <n v="0"/>
    <n v="0"/>
    <n v="0.27800000000000002"/>
    <s v="Always Started"/>
    <n v="0"/>
  </r>
  <r>
    <s v="Ibrahim Sangare"/>
    <s v="MF"/>
    <x v="11"/>
    <s v="CI"/>
    <n v="28.57"/>
    <s v="27-31"/>
    <n v="3"/>
    <n v="2"/>
    <n v="178"/>
    <n v="2"/>
    <n v="0"/>
    <n v="1"/>
    <n v="1"/>
    <n v="0"/>
    <n v="0"/>
    <n v="0"/>
    <n v="0"/>
    <n v="0"/>
    <n v="0"/>
    <s v="Mixed"/>
    <n v="1"/>
  </r>
  <r>
    <s v="Kaish? Sano"/>
    <s v="MF"/>
    <x v="47"/>
    <s v="JP"/>
    <n v="25.5"/>
    <s v="23-27"/>
    <n v="3"/>
    <n v="3"/>
    <n v="270"/>
    <n v="3"/>
    <n v="1"/>
    <n v="1"/>
    <n v="2"/>
    <n v="1"/>
    <n v="0"/>
    <n v="0"/>
    <n v="1"/>
    <n v="0"/>
    <n v="0.33300000000000002"/>
    <s v="Always Started"/>
    <n v="0"/>
  </r>
  <r>
    <s v="Danilo Santos"/>
    <s v="MF"/>
    <x v="27"/>
    <s v="BR"/>
    <n v="25.17"/>
    <s v="23-27"/>
    <n v="3"/>
    <n v="0"/>
    <n v="22"/>
    <n v="0.2"/>
    <n v="0"/>
    <n v="0"/>
    <n v="0"/>
    <n v="0"/>
    <n v="0"/>
    <n v="0"/>
    <n v="0"/>
    <n v="0"/>
    <n v="0"/>
    <s v="Pure Sub"/>
    <n v="3"/>
  </r>
  <r>
    <s v="Douglas Santos"/>
    <s v="DF"/>
    <x v="27"/>
    <s v="BR"/>
    <n v="32.270000000000003"/>
    <s v="31-35"/>
    <n v="4"/>
    <n v="4"/>
    <n v="351"/>
    <n v="3.9"/>
    <n v="0"/>
    <n v="0"/>
    <n v="0"/>
    <n v="0"/>
    <n v="0"/>
    <n v="0"/>
    <n v="1"/>
    <n v="0"/>
    <n v="0"/>
    <s v="Always Started"/>
    <n v="0"/>
  </r>
  <r>
    <s v="Ismaila Sarr"/>
    <s v="MF,FW"/>
    <x v="43"/>
    <s v="SN"/>
    <n v="28.34"/>
    <s v="27-31"/>
    <n v="3"/>
    <n v="3"/>
    <n v="244"/>
    <n v="2.7"/>
    <n v="3"/>
    <n v="1"/>
    <n v="4"/>
    <n v="3"/>
    <n v="0"/>
    <n v="0"/>
    <n v="0"/>
    <n v="0"/>
    <n v="1.111"/>
    <s v="Always Started"/>
    <n v="0"/>
  </r>
  <r>
    <s v="Farrukh Sayfiev"/>
    <s v="DF,MF"/>
    <x v="5"/>
    <s v="UZ"/>
    <n v="35.450000000000003"/>
    <s v="35+"/>
    <n v="1"/>
    <n v="0"/>
    <n v="45"/>
    <n v="0.5"/>
    <n v="0"/>
    <n v="0"/>
    <n v="0"/>
    <n v="0"/>
    <n v="0"/>
    <n v="0"/>
    <n v="0"/>
    <n v="0"/>
    <n v="0"/>
    <s v="Pure Sub"/>
    <n v="1"/>
  </r>
  <r>
    <s v="Joe Scally"/>
    <s v="DF"/>
    <x v="0"/>
    <s v="US"/>
    <n v="23.5"/>
    <s v="23-27"/>
    <n v="2"/>
    <n v="1"/>
    <n v="87"/>
    <n v="1"/>
    <n v="0"/>
    <n v="0"/>
    <n v="0"/>
    <n v="0"/>
    <n v="0"/>
    <n v="0"/>
    <n v="0"/>
    <n v="0"/>
    <n v="0"/>
    <s v="Mixed"/>
    <n v="1"/>
  </r>
  <r>
    <s v="Patrik Schick"/>
    <s v="FW"/>
    <x v="46"/>
    <s v="CZ"/>
    <n v="30.43"/>
    <s v="27-31"/>
    <n v="3"/>
    <n v="2"/>
    <n v="180"/>
    <n v="2"/>
    <n v="0"/>
    <n v="0"/>
    <n v="0"/>
    <n v="0"/>
    <n v="0"/>
    <n v="0"/>
    <n v="0"/>
    <n v="0"/>
    <n v="0"/>
    <s v="Mixed"/>
    <n v="1"/>
  </r>
  <r>
    <s v="Andreas Schjelderup"/>
    <s v="FW"/>
    <x v="1"/>
    <s v="NO"/>
    <n v="22.08"/>
    <s v="U23"/>
    <n v="3"/>
    <n v="1"/>
    <n v="120"/>
    <n v="1.3"/>
    <n v="0"/>
    <n v="1"/>
    <n v="1"/>
    <n v="0"/>
    <n v="0"/>
    <n v="0"/>
    <n v="0"/>
    <n v="0"/>
    <n v="0"/>
    <s v="Mixed"/>
    <n v="2"/>
  </r>
  <r>
    <s v="Alexander Schlager"/>
    <s v="GK"/>
    <x v="20"/>
    <s v="AT"/>
    <n v="30.41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Xaver Schlager"/>
    <s v="MF"/>
    <x v="20"/>
    <s v="AT"/>
    <n v="28.75"/>
    <s v="27-31"/>
    <n v="3"/>
    <n v="3"/>
    <n v="193"/>
    <n v="2.1"/>
    <n v="0"/>
    <n v="1"/>
    <n v="1"/>
    <n v="0"/>
    <n v="0"/>
    <n v="0"/>
    <n v="0"/>
    <n v="0"/>
    <n v="0"/>
    <s v="Always Started"/>
    <n v="0"/>
  </r>
  <r>
    <s v="Nico Schlotterbeck"/>
    <s v="DF"/>
    <x v="32"/>
    <s v="DE"/>
    <n v="26.58"/>
    <s v="23-27"/>
    <n v="2"/>
    <n v="2"/>
    <n v="135"/>
    <n v="1.5"/>
    <n v="1"/>
    <n v="0"/>
    <n v="1"/>
    <n v="1"/>
    <n v="0"/>
    <n v="0"/>
    <n v="0"/>
    <n v="0"/>
    <n v="0.66700000000000004"/>
    <s v="Always Started"/>
    <n v="0"/>
  </r>
  <r>
    <s v="Romano Schmid"/>
    <s v="MF,FW"/>
    <x v="20"/>
    <s v="AT"/>
    <n v="26.42"/>
    <s v="23-27"/>
    <n v="3"/>
    <n v="3"/>
    <n v="204"/>
    <n v="2.2999999999999998"/>
    <n v="1"/>
    <n v="0"/>
    <n v="1"/>
    <n v="1"/>
    <n v="0"/>
    <n v="0"/>
    <n v="0"/>
    <n v="0"/>
    <n v="0.435"/>
    <s v="Always Started"/>
    <n v="0"/>
  </r>
  <r>
    <s v="Kamogelo Sebelebele"/>
    <s v="DF,MF"/>
    <x v="9"/>
    <s v="ZA"/>
    <n v="23.94"/>
    <s v="23-27"/>
    <n v="1"/>
    <n v="0"/>
    <n v="7"/>
    <n v="0.1"/>
    <n v="0"/>
    <n v="0"/>
    <n v="0"/>
    <n v="0"/>
    <n v="0"/>
    <n v="0"/>
    <n v="0"/>
    <n v="0"/>
    <n v="0"/>
    <s v="Pure Sub"/>
    <n v="1"/>
  </r>
  <r>
    <s v="Abdoulaye Seck"/>
    <s v="DF"/>
    <x v="43"/>
    <s v="SN"/>
    <n v="34.07"/>
    <s v="31-35"/>
    <n v="1"/>
    <n v="1"/>
    <n v="57"/>
    <n v="0.6"/>
    <n v="0"/>
    <n v="1"/>
    <n v="1"/>
    <n v="0"/>
    <n v="0"/>
    <n v="0"/>
    <n v="1"/>
    <n v="0"/>
    <n v="0"/>
    <s v="Always Started"/>
    <n v="0"/>
  </r>
  <r>
    <s v="Nicolas Seiwald"/>
    <s v="MF"/>
    <x v="20"/>
    <s v="AT"/>
    <n v="25.16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Ayumu Seko"/>
    <s v="DF"/>
    <x v="47"/>
    <s v="JP"/>
    <n v="26.06"/>
    <s v="23-27"/>
    <n v="2"/>
    <n v="1"/>
    <n v="86"/>
    <n v="1"/>
    <n v="0"/>
    <n v="0"/>
    <n v="0"/>
    <n v="0"/>
    <n v="0"/>
    <n v="0"/>
    <n v="0"/>
    <n v="0"/>
    <n v="0"/>
    <s v="Mixed"/>
    <n v="1"/>
  </r>
  <r>
    <s v="Egil Selvik"/>
    <s v="GK"/>
    <x v="1"/>
    <s v="NO"/>
    <n v="28.92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Ken Sema"/>
    <s v="FW,MF"/>
    <x v="25"/>
    <s v="SE"/>
    <n v="32.75"/>
    <s v="31-35"/>
    <n v="1"/>
    <n v="0"/>
    <n v="16"/>
    <n v="0.2"/>
    <n v="0"/>
    <n v="0"/>
    <n v="0"/>
    <n v="0"/>
    <n v="0"/>
    <n v="0"/>
    <n v="0"/>
    <n v="0"/>
    <n v="0"/>
    <s v="Pure Sub"/>
    <n v="1"/>
  </r>
  <r>
    <s v="Nelson Semedo"/>
    <s v="DF,MF"/>
    <x v="35"/>
    <s v="PT"/>
    <n v="32.619999999999997"/>
    <s v="31-35"/>
    <n v="2"/>
    <n v="0"/>
    <n v="64"/>
    <n v="0.7"/>
    <n v="0"/>
    <n v="0"/>
    <n v="0"/>
    <n v="0"/>
    <n v="0"/>
    <n v="0"/>
    <n v="1"/>
    <n v="0"/>
    <n v="0"/>
    <s v="Pure Sub"/>
    <n v="2"/>
  </r>
  <r>
    <s v="Willy Semedo"/>
    <s v="FW"/>
    <x v="36"/>
    <s v="CV"/>
    <n v="32.18"/>
    <s v="31-35"/>
    <n v="2"/>
    <n v="1"/>
    <n v="90"/>
    <n v="1"/>
    <n v="0"/>
    <n v="0"/>
    <n v="0"/>
    <n v="0"/>
    <n v="0"/>
    <n v="0"/>
    <n v="0"/>
    <n v="0"/>
    <n v="0"/>
    <s v="Mixed"/>
    <n v="1"/>
  </r>
  <r>
    <s v="Antoine Semenyo"/>
    <s v="MF,FW"/>
    <x v="12"/>
    <s v="GH"/>
    <n v="26.48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Marvin Senaya"/>
    <s v="DF"/>
    <x v="12"/>
    <s v="GH"/>
    <n v="25.42"/>
    <s v="23-27"/>
    <n v="3"/>
    <n v="3"/>
    <n v="266"/>
    <n v="3"/>
    <n v="0"/>
    <n v="0"/>
    <n v="0"/>
    <n v="0"/>
    <n v="0"/>
    <n v="0"/>
    <n v="0"/>
    <n v="0"/>
    <n v="0"/>
    <s v="Always Started"/>
    <n v="0"/>
  </r>
  <r>
    <s v="Marcos Senesi"/>
    <s v="DF"/>
    <x v="28"/>
    <s v="AR"/>
    <n v="29.14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Igor Sergeev"/>
    <s v="FW"/>
    <x v="5"/>
    <s v="UZ"/>
    <n v="33.17"/>
    <s v="31-35"/>
    <n v="3"/>
    <n v="0"/>
    <n v="28"/>
    <n v="0.3"/>
    <n v="0"/>
    <n v="0"/>
    <n v="0"/>
    <n v="0"/>
    <n v="0"/>
    <n v="0"/>
    <n v="0"/>
    <n v="0"/>
    <n v="0"/>
    <s v="Pure Sub"/>
    <n v="3"/>
  </r>
  <r>
    <s v="Jean Seri"/>
    <s v="MF"/>
    <x v="11"/>
    <s v="CI"/>
    <n v="34.950000000000003"/>
    <s v="31-35"/>
    <n v="1"/>
    <n v="0"/>
    <n v="14"/>
    <n v="0.2"/>
    <n v="0"/>
    <n v="0"/>
    <n v="0"/>
    <n v="0"/>
    <n v="0"/>
    <n v="0"/>
    <n v="0"/>
    <n v="0"/>
    <n v="0"/>
    <s v="Pure Sub"/>
    <n v="1"/>
  </r>
  <r>
    <s v="Kim Seung-gyu"/>
    <s v="GK"/>
    <x v="45"/>
    <s v="KR"/>
    <n v="35.75"/>
    <s v="35+"/>
    <n v="3"/>
    <n v="3"/>
    <n v="270"/>
    <n v="3"/>
    <n v="0"/>
    <n v="0"/>
    <n v="0"/>
    <n v="0"/>
    <n v="0"/>
    <n v="0"/>
    <n v="0"/>
    <n v="0"/>
    <n v="0"/>
    <s v="Always Started"/>
    <n v="0"/>
  </r>
  <r>
    <s v="Paik Seung-ho"/>
    <s v="MF"/>
    <x v="45"/>
    <s v="KR"/>
    <n v="29.29"/>
    <s v="27-31"/>
    <n v="3"/>
    <n v="3"/>
    <n v="204"/>
    <n v="2.2999999999999998"/>
    <n v="0"/>
    <n v="0"/>
    <n v="0"/>
    <n v="0"/>
    <n v="0"/>
    <n v="0"/>
    <n v="1"/>
    <n v="0"/>
    <n v="0"/>
    <s v="Always Started"/>
    <n v="0"/>
  </r>
  <r>
    <s v="Jacob Shaffelburg"/>
    <s v="MF"/>
    <x v="15"/>
    <s v="CA"/>
    <n v="26.59"/>
    <s v="23-27"/>
    <n v="4"/>
    <n v="0"/>
    <n v="79"/>
    <n v="0.9"/>
    <n v="0"/>
    <n v="0"/>
    <n v="0"/>
    <n v="0"/>
    <n v="0"/>
    <n v="0"/>
    <n v="0"/>
    <n v="0"/>
    <n v="0"/>
    <s v="Pure Sub"/>
    <n v="4"/>
  </r>
  <r>
    <s v="Mohammed Abu Al-Shamat"/>
    <s v="MF"/>
    <x v="4"/>
    <s v="SA"/>
    <n v="23.88"/>
    <s v="23-27"/>
    <n v="3"/>
    <n v="1"/>
    <n v="136"/>
    <n v="1.5"/>
    <n v="0"/>
    <n v="0"/>
    <n v="0"/>
    <n v="0"/>
    <n v="0"/>
    <n v="0"/>
    <n v="0"/>
    <n v="0"/>
    <n v="0"/>
    <s v="Mixed"/>
    <n v="2"/>
  </r>
  <r>
    <s v="Lawrence Shankland"/>
    <s v="FW"/>
    <x v="8"/>
    <s v="ST"/>
    <n v="30.89"/>
    <s v="27-31"/>
    <n v="2"/>
    <n v="2"/>
    <n v="171"/>
    <n v="1.9"/>
    <n v="0"/>
    <n v="0"/>
    <n v="0"/>
    <n v="0"/>
    <n v="0"/>
    <n v="0"/>
    <n v="0"/>
    <n v="0"/>
    <n v="0"/>
    <s v="Always Started"/>
    <n v="0"/>
  </r>
  <r>
    <s v="Sharara"/>
    <s v="FW"/>
    <x v="7"/>
    <s v="JO"/>
    <n v="28.5"/>
    <s v="27-31"/>
    <n v="2"/>
    <n v="0"/>
    <n v="2"/>
    <n v="0"/>
    <n v="0"/>
    <n v="0"/>
    <n v="0"/>
    <n v="0"/>
    <n v="0"/>
    <n v="0"/>
    <n v="1"/>
    <n v="0"/>
    <n v="0"/>
    <s v="Pure Sub"/>
    <n v="2"/>
  </r>
  <r>
    <s v="Aimar Sher"/>
    <s v="MF"/>
    <x v="24"/>
    <s v="IQ"/>
    <n v="23.53"/>
    <s v="23-27"/>
    <n v="1"/>
    <n v="0"/>
    <n v="23"/>
    <n v="0.3"/>
    <n v="0"/>
    <n v="0"/>
    <n v="0"/>
    <n v="0"/>
    <n v="0"/>
    <n v="0"/>
    <n v="0"/>
    <n v="0"/>
    <n v="0"/>
    <s v="Pure Sub"/>
    <n v="1"/>
  </r>
  <r>
    <s v="Kento Shiogai"/>
    <s v="FW"/>
    <x v="47"/>
    <s v="JP"/>
    <n v="21.26"/>
    <s v="U23"/>
    <n v="1"/>
    <n v="0"/>
    <n v="7"/>
    <n v="0.1"/>
    <n v="0"/>
    <n v="0"/>
    <n v="0"/>
    <n v="0"/>
    <n v="0"/>
    <n v="0"/>
    <n v="0"/>
    <n v="0"/>
    <n v="0"/>
    <s v="Pure Sub"/>
    <n v="1"/>
  </r>
  <r>
    <s v="Mostafa Shobeir"/>
    <s v="GK"/>
    <x v="2"/>
    <s v="EG"/>
    <n v="26.13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Eldor Shomurodov"/>
    <s v="FW"/>
    <x v="5"/>
    <s v="UZ"/>
    <n v="31"/>
    <s v="27-31"/>
    <n v="3"/>
    <n v="3"/>
    <n v="269"/>
    <n v="3"/>
    <n v="1"/>
    <n v="0"/>
    <n v="1"/>
    <n v="1"/>
    <n v="0"/>
    <n v="0"/>
    <n v="0"/>
    <n v="0"/>
    <n v="0.33300000000000002"/>
    <s v="Always Started"/>
    <n v="0"/>
  </r>
  <r>
    <s v="Otabek Shukurov"/>
    <s v="MF"/>
    <x v="5"/>
    <s v="UZ"/>
    <n v="30.02"/>
    <s v="27-31"/>
    <n v="3"/>
    <n v="3"/>
    <n v="237"/>
    <n v="2.6"/>
    <n v="0"/>
    <n v="0"/>
    <n v="0"/>
    <n v="0"/>
    <n v="0"/>
    <n v="0"/>
    <n v="0"/>
    <n v="0"/>
    <n v="0"/>
    <s v="Always Started"/>
    <n v="0"/>
  </r>
  <r>
    <s v="Nkosinathi Sibisi"/>
    <s v="DF"/>
    <x v="9"/>
    <s v="ZA"/>
    <n v="30.77"/>
    <s v="27-31"/>
    <n v="1"/>
    <n v="1"/>
    <n v="90"/>
    <n v="1"/>
    <n v="0"/>
    <n v="0"/>
    <n v="0"/>
    <n v="0"/>
    <n v="0"/>
    <n v="0"/>
    <n v="1"/>
    <n v="0"/>
    <n v="0"/>
    <s v="Always Started"/>
    <n v="0"/>
  </r>
  <r>
    <s v="Kwasi Sibo"/>
    <s v="MF"/>
    <x v="12"/>
    <s v="GH"/>
    <n v="28.02"/>
    <s v="27-31"/>
    <n v="3"/>
    <n v="2"/>
    <n v="187"/>
    <n v="2.1"/>
    <n v="0"/>
    <n v="0"/>
    <n v="0"/>
    <n v="0"/>
    <n v="0"/>
    <n v="0"/>
    <n v="0"/>
    <n v="0"/>
    <n v="0"/>
    <s v="Mixed"/>
    <n v="1"/>
  </r>
  <r>
    <s v="Niko Sigur"/>
    <s v="DF,MF"/>
    <x v="15"/>
    <s v="CA"/>
    <n v="22.8"/>
    <s v="U23"/>
    <n v="2"/>
    <n v="0"/>
    <n v="40"/>
    <n v="0.4"/>
    <n v="0"/>
    <n v="0"/>
    <n v="0"/>
    <n v="0"/>
    <n v="0"/>
    <n v="0"/>
    <n v="1"/>
    <n v="0"/>
    <n v="0"/>
    <s v="Pure Sub"/>
    <n v="2"/>
  </r>
  <r>
    <s v="Bernardo Silva"/>
    <s v="MF"/>
    <x v="35"/>
    <s v="PT"/>
    <n v="31.89"/>
    <s v="31-35"/>
    <n v="2"/>
    <n v="1"/>
    <n v="60"/>
    <n v="0.7"/>
    <n v="0"/>
    <n v="0"/>
    <n v="0"/>
    <n v="0"/>
    <n v="0"/>
    <n v="0"/>
    <n v="1"/>
    <n v="0"/>
    <n v="0"/>
    <s v="Mixed"/>
    <n v="1"/>
  </r>
  <r>
    <s v="Ederson Silva"/>
    <s v="MF"/>
    <x v="27"/>
    <s v="BR"/>
    <n v="26.98"/>
    <s v="23-27"/>
    <n v="1"/>
    <n v="0"/>
    <n v="10"/>
    <n v="0.1"/>
    <n v="0"/>
    <n v="0"/>
    <n v="0"/>
    <n v="0"/>
    <n v="0"/>
    <n v="0"/>
    <n v="0"/>
    <n v="0"/>
    <n v="0"/>
    <s v="Pure Sub"/>
    <n v="1"/>
  </r>
  <r>
    <s v="Giuliano Simeone"/>
    <s v="FW"/>
    <x v="28"/>
    <s v="AR"/>
    <n v="23.53"/>
    <s v="23-27"/>
    <n v="1"/>
    <n v="1"/>
    <n v="70"/>
    <n v="0.8"/>
    <n v="0"/>
    <n v="0"/>
    <n v="0"/>
    <n v="0"/>
    <n v="0"/>
    <n v="0"/>
    <n v="0"/>
    <n v="0"/>
    <n v="0"/>
    <s v="Always Started"/>
    <n v="0"/>
  </r>
  <r>
    <s v="Dominique Simon"/>
    <s v="MF"/>
    <x v="10"/>
    <s v="HT"/>
    <n v="25.92"/>
    <s v="23-27"/>
    <n v="2"/>
    <n v="0"/>
    <n v="56"/>
    <n v="0.6"/>
    <n v="0"/>
    <n v="0"/>
    <n v="0"/>
    <n v="0"/>
    <n v="0"/>
    <n v="0"/>
    <n v="0"/>
    <n v="0"/>
    <n v="0"/>
    <s v="Pure Sub"/>
    <n v="2"/>
  </r>
  <r>
    <s v="Unai Simon"/>
    <s v="GK"/>
    <x v="38"/>
    <s v="ES"/>
    <n v="29.05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Sarpreet Singh"/>
    <s v="MF"/>
    <x v="42"/>
    <s v="NZ"/>
    <n v="27.36"/>
    <s v="27-31"/>
    <n v="3"/>
    <n v="3"/>
    <n v="209"/>
    <n v="2.2999999999999998"/>
    <n v="0"/>
    <n v="0"/>
    <n v="0"/>
    <n v="0"/>
    <n v="0"/>
    <n v="0"/>
    <n v="1"/>
    <n v="0"/>
    <n v="0"/>
    <s v="Always Started"/>
    <n v="0"/>
  </r>
  <r>
    <s v="Wilfried Singo"/>
    <s v="DF"/>
    <x v="11"/>
    <s v="CI"/>
    <n v="25.51"/>
    <s v="23-27"/>
    <n v="2"/>
    <n v="2"/>
    <n v="171"/>
    <n v="1.9"/>
    <n v="0"/>
    <n v="1"/>
    <n v="1"/>
    <n v="0"/>
    <n v="0"/>
    <n v="0"/>
    <n v="0"/>
    <n v="0"/>
    <n v="0"/>
    <s v="Always Started"/>
    <n v="0"/>
  </r>
  <r>
    <s v="Sphephelo Sithole"/>
    <s v="MF"/>
    <x v="9"/>
    <s v="ZA"/>
    <n v="27.33"/>
    <s v="27-31"/>
    <n v="3"/>
    <n v="3"/>
    <n v="229"/>
    <n v="2.5"/>
    <n v="0"/>
    <n v="0"/>
    <n v="0"/>
    <n v="0"/>
    <n v="0"/>
    <n v="0"/>
    <n v="0"/>
    <n v="1"/>
    <n v="0"/>
    <s v="Always Started"/>
    <n v="0"/>
  </r>
  <r>
    <s v="Ellyes Skhiri"/>
    <s v="MF,DF"/>
    <x v="3"/>
    <s v="TN"/>
    <n v="31.14"/>
    <s v="31-35"/>
    <n v="3"/>
    <n v="3"/>
    <n v="250"/>
    <n v="2.8"/>
    <n v="0"/>
    <n v="0"/>
    <n v="0"/>
    <n v="0"/>
    <n v="0"/>
    <n v="0"/>
    <n v="0"/>
    <n v="0"/>
    <n v="0"/>
    <s v="Always Started"/>
    <n v="0"/>
  </r>
  <r>
    <s v="Alexandr Sojka"/>
    <s v="MF,DF"/>
    <x v="46"/>
    <s v="CZ"/>
    <n v="23.24"/>
    <s v="23-27"/>
    <n v="3"/>
    <n v="2"/>
    <n v="141"/>
    <n v="1.6"/>
    <n v="0"/>
    <n v="1"/>
    <n v="1"/>
    <n v="0"/>
    <n v="0"/>
    <n v="0"/>
    <n v="0"/>
    <n v="0"/>
    <n v="0"/>
    <s v="Mixed"/>
    <n v="1"/>
  </r>
  <r>
    <s v="Ramon Sosa"/>
    <s v="FW,MF"/>
    <x v="23"/>
    <s v="PY"/>
    <n v="26.83"/>
    <s v="23-27"/>
    <n v="1"/>
    <n v="0"/>
    <n v="12"/>
    <n v="0.1"/>
    <n v="0"/>
    <n v="0"/>
    <n v="0"/>
    <n v="0"/>
    <n v="0"/>
    <n v="0"/>
    <n v="0"/>
    <n v="0"/>
    <n v="0"/>
    <s v="Pure Sub"/>
    <n v="1"/>
  </r>
  <r>
    <s v="Toma Sou?ek"/>
    <s v="MF"/>
    <x v="46"/>
    <s v="CZ"/>
    <n v="31.34"/>
    <s v="31-35"/>
    <n v="3"/>
    <n v="1"/>
    <n v="137"/>
    <n v="1.5"/>
    <n v="0"/>
    <n v="0"/>
    <n v="0"/>
    <n v="0"/>
    <n v="0"/>
    <n v="0"/>
    <n v="0"/>
    <n v="0"/>
    <n v="0"/>
    <s v="Mixed"/>
    <n v="2"/>
  </r>
  <r>
    <s v="Harry Souttar"/>
    <s v="DF"/>
    <x v="41"/>
    <s v="AU"/>
    <n v="27.69"/>
    <s v="27-31"/>
    <n v="3"/>
    <n v="3"/>
    <n v="270"/>
    <n v="3"/>
    <n v="0"/>
    <n v="0"/>
    <n v="0"/>
    <n v="0"/>
    <n v="0"/>
    <n v="0"/>
    <n v="1"/>
    <n v="0"/>
    <n v="0"/>
    <s v="Always Started"/>
    <n v="0"/>
  </r>
  <r>
    <s v="Djibril Sow"/>
    <s v="MF"/>
    <x v="13"/>
    <s v="CH"/>
    <n v="29.39"/>
    <s v="27-31"/>
    <n v="2"/>
    <n v="1"/>
    <n v="93"/>
    <n v="1"/>
    <n v="0"/>
    <n v="0"/>
    <n v="0"/>
    <n v="0"/>
    <n v="0"/>
    <n v="0"/>
    <n v="0"/>
    <n v="0"/>
    <n v="0"/>
    <s v="Mixed"/>
    <n v="1"/>
  </r>
  <r>
    <s v="Ca?lar Soyuncu"/>
    <s v="DF"/>
    <x v="18"/>
    <s v="TR"/>
    <n v="30.1"/>
    <s v="27-31"/>
    <n v="1"/>
    <n v="0"/>
    <n v="7"/>
    <n v="0.1"/>
    <n v="0"/>
    <n v="0"/>
    <n v="0"/>
    <n v="0"/>
    <n v="0"/>
    <n v="0"/>
    <n v="0"/>
    <n v="0"/>
    <n v="0"/>
    <s v="Pure Sub"/>
    <n v="1"/>
  </r>
  <r>
    <s v="Djed Spence"/>
    <s v="DF"/>
    <x v="33"/>
    <s v="EN"/>
    <n v="25.89"/>
    <s v="23-27"/>
    <n v="3"/>
    <n v="1"/>
    <n v="104"/>
    <n v="1.2"/>
    <n v="0"/>
    <n v="0"/>
    <n v="0"/>
    <n v="0"/>
    <n v="0"/>
    <n v="0"/>
    <n v="0"/>
    <n v="0"/>
    <n v="0"/>
    <s v="Mixed"/>
    <n v="2"/>
  </r>
  <r>
    <s v="Marko Stamenic"/>
    <s v="MF"/>
    <x v="42"/>
    <s v="NZ"/>
    <n v="24.36"/>
    <s v="23-27"/>
    <n v="3"/>
    <n v="3"/>
    <n v="269"/>
    <n v="3"/>
    <n v="0"/>
    <n v="0"/>
    <n v="0"/>
    <n v="0"/>
    <n v="0"/>
    <n v="0"/>
    <n v="1"/>
    <n v="0"/>
    <n v="0"/>
    <s v="Always Started"/>
    <n v="0"/>
  </r>
  <r>
    <s v="Josip Stanii?"/>
    <s v="DF,MF"/>
    <x v="40"/>
    <s v="HR"/>
    <n v="26.24"/>
    <s v="23-27"/>
    <n v="3"/>
    <n v="3"/>
    <n v="270"/>
    <n v="3"/>
    <n v="0"/>
    <n v="1"/>
    <n v="1"/>
    <n v="0"/>
    <n v="0"/>
    <n v="0"/>
    <n v="0"/>
    <n v="0"/>
    <n v="0"/>
    <s v="Always Started"/>
    <n v="0"/>
  </r>
  <r>
    <s v="Carl Starfelt"/>
    <s v="DF"/>
    <x v="25"/>
    <s v="SE"/>
    <n v="31.08"/>
    <s v="31-35"/>
    <n v="1"/>
    <n v="0"/>
    <n v="4"/>
    <n v="0"/>
    <n v="0"/>
    <n v="0"/>
    <n v="0"/>
    <n v="0"/>
    <n v="0"/>
    <n v="0"/>
    <n v="0"/>
    <n v="0"/>
    <n v="0"/>
    <s v="Pure Sub"/>
    <n v="1"/>
  </r>
  <r>
    <s v="Ross Stewart"/>
    <s v="FW"/>
    <x v="8"/>
    <s v="ST"/>
    <n v="29.97"/>
    <s v="27-31"/>
    <n v="1"/>
    <n v="0"/>
    <n v="2"/>
    <n v="0"/>
    <n v="0"/>
    <n v="0"/>
    <n v="0"/>
    <n v="0"/>
    <n v="0"/>
    <n v="0"/>
    <n v="0"/>
    <n v="0"/>
    <n v="0"/>
    <s v="Pure Sub"/>
    <n v="1"/>
  </r>
  <r>
    <s v="Angelo Stiller"/>
    <s v="MF"/>
    <x v="32"/>
    <s v="DE"/>
    <n v="25.24"/>
    <s v="23-27"/>
    <n v="1"/>
    <n v="0"/>
    <n v="45"/>
    <n v="0.5"/>
    <n v="0"/>
    <n v="0"/>
    <n v="0"/>
    <n v="0"/>
    <n v="0"/>
    <n v="0"/>
    <n v="0"/>
    <n v="0"/>
    <n v="0"/>
    <s v="Pure Sub"/>
    <n v="1"/>
  </r>
  <r>
    <s v="John Stones"/>
    <s v="DF"/>
    <x v="33"/>
    <s v="EN"/>
    <n v="32.090000000000003"/>
    <s v="31-35"/>
    <n v="1"/>
    <n v="1"/>
    <n v="86"/>
    <n v="1"/>
    <n v="0"/>
    <n v="0"/>
    <n v="0"/>
    <n v="0"/>
    <n v="0"/>
    <n v="0"/>
    <n v="0"/>
    <n v="0"/>
    <n v="0"/>
    <s v="Always Started"/>
    <n v="0"/>
  </r>
  <r>
    <s v="Jorgen Strand Larsen"/>
    <s v="FW"/>
    <x v="1"/>
    <s v="NO"/>
    <n v="26.39"/>
    <s v="23-27"/>
    <n v="1"/>
    <n v="1"/>
    <n v="90"/>
    <n v="1"/>
    <n v="0"/>
    <n v="0"/>
    <n v="0"/>
    <n v="0"/>
    <n v="0"/>
    <n v="1"/>
    <n v="0"/>
    <n v="0"/>
    <n v="0"/>
    <s v="Always Started"/>
    <n v="0"/>
  </r>
  <r>
    <s v="Elliot Stroud"/>
    <s v="MF"/>
    <x v="25"/>
    <s v="SE"/>
    <n v="24.02"/>
    <s v="23-27"/>
    <n v="3"/>
    <n v="1"/>
    <n v="101"/>
    <n v="1.1000000000000001"/>
    <n v="0"/>
    <n v="0"/>
    <n v="0"/>
    <n v="0"/>
    <n v="0"/>
    <n v="0"/>
    <n v="0"/>
    <n v="0"/>
    <n v="0"/>
    <s v="Mixed"/>
    <n v="2"/>
  </r>
  <r>
    <s v="Luis Suarez"/>
    <s v="FW"/>
    <x v="37"/>
    <s v="CO"/>
    <n v="28.57"/>
    <s v="27-31"/>
    <n v="3"/>
    <n v="2"/>
    <n v="167"/>
    <n v="1.9"/>
    <n v="0"/>
    <n v="0"/>
    <n v="0"/>
    <n v="0"/>
    <n v="0"/>
    <n v="0"/>
    <n v="0"/>
    <n v="0"/>
    <n v="0"/>
    <s v="Mixed"/>
    <n v="1"/>
  </r>
  <r>
    <s v="Luka Su?i?"/>
    <s v="FW,MF"/>
    <x v="40"/>
    <s v="HR"/>
    <n v="23.81"/>
    <s v="23-27"/>
    <n v="1"/>
    <n v="0"/>
    <n v="19"/>
    <n v="0.2"/>
    <n v="0"/>
    <n v="0"/>
    <n v="0"/>
    <n v="0"/>
    <n v="0"/>
    <n v="0"/>
    <n v="0"/>
    <n v="0"/>
    <n v="0"/>
    <s v="Pure Sub"/>
    <n v="1"/>
  </r>
  <r>
    <s v="Petar Su?i?"/>
    <s v="MF,FW"/>
    <x v="40"/>
    <s v="HR"/>
    <n v="22.68"/>
    <s v="U23"/>
    <n v="3"/>
    <n v="2"/>
    <n v="199"/>
    <n v="2.2000000000000002"/>
    <n v="1"/>
    <n v="1"/>
    <n v="2"/>
    <n v="1"/>
    <n v="0"/>
    <n v="0"/>
    <n v="1"/>
    <n v="0"/>
    <n v="0.45500000000000002"/>
    <s v="Mixed"/>
    <n v="1"/>
  </r>
  <r>
    <s v="Yukinari Sugawara"/>
    <s v="MF"/>
    <x v="47"/>
    <s v="JP"/>
    <n v="26.01"/>
    <s v="23-27"/>
    <n v="4"/>
    <n v="1"/>
    <n v="148"/>
    <n v="1.6"/>
    <n v="0"/>
    <n v="0"/>
    <n v="0"/>
    <n v="0"/>
    <n v="0"/>
    <n v="0"/>
    <n v="0"/>
    <n v="0"/>
    <n v="0"/>
    <s v="Mixed"/>
    <n v="3"/>
  </r>
  <r>
    <s v="Rebin Sulaka"/>
    <s v="DF"/>
    <x v="24"/>
    <s v="IQ"/>
    <n v="34.22"/>
    <s v="31-35"/>
    <n v="2"/>
    <n v="1"/>
    <n v="43"/>
    <n v="0.5"/>
    <n v="0"/>
    <n v="0"/>
    <n v="0"/>
    <n v="0"/>
    <n v="0"/>
    <n v="0"/>
    <n v="0"/>
    <n v="1"/>
    <n v="0"/>
    <s v="Mixed"/>
    <n v="1"/>
  </r>
  <r>
    <s v="Pavel ulc"/>
    <s v="FW"/>
    <x v="46"/>
    <s v="CZ"/>
    <n v="25.5"/>
    <s v="23-27"/>
    <n v="3"/>
    <n v="2"/>
    <n v="189"/>
    <n v="2.1"/>
    <n v="0"/>
    <n v="0"/>
    <n v="0"/>
    <n v="0"/>
    <n v="0"/>
    <n v="0"/>
    <n v="0"/>
    <n v="0"/>
    <n v="0"/>
    <s v="Mixed"/>
    <n v="1"/>
  </r>
  <r>
    <s v="Kamaldeen Sulemana"/>
    <s v="MF,FW"/>
    <x v="12"/>
    <s v="GH"/>
    <n v="24.37"/>
    <s v="23-27"/>
    <n v="2"/>
    <n v="2"/>
    <n v="127"/>
    <n v="1.4"/>
    <n v="0"/>
    <n v="0"/>
    <n v="0"/>
    <n v="0"/>
    <n v="0"/>
    <n v="0"/>
    <n v="0"/>
    <n v="0"/>
    <n v="0"/>
    <s v="Always Started"/>
    <n v="0"/>
  </r>
  <r>
    <s v="Crysencio Summerville"/>
    <s v="FW"/>
    <x v="17"/>
    <s v="NL"/>
    <n v="24.67"/>
    <s v="23-27"/>
    <n v="4"/>
    <n v="2"/>
    <n v="253"/>
    <n v="2.8"/>
    <n v="2"/>
    <n v="2"/>
    <n v="4"/>
    <n v="2"/>
    <n v="0"/>
    <n v="0"/>
    <n v="1"/>
    <n v="0"/>
    <n v="0.71399999999999997"/>
    <s v="Mixed"/>
    <n v="2"/>
  </r>
  <r>
    <s v="Ivan unji?"/>
    <s v="MF"/>
    <x v="21"/>
    <s v="BA"/>
    <n v="29.72"/>
    <s v="27-31"/>
    <n v="3"/>
    <n v="2"/>
    <n v="146"/>
    <n v="1.6"/>
    <n v="0"/>
    <n v="0"/>
    <n v="0"/>
    <n v="0"/>
    <n v="0"/>
    <n v="0"/>
    <n v="0"/>
    <n v="0"/>
    <n v="0"/>
    <s v="Mixed"/>
    <n v="1"/>
  </r>
  <r>
    <s v="Finn Surman"/>
    <s v="DF"/>
    <x v="42"/>
    <s v="NZ"/>
    <n v="22.77"/>
    <s v="U23"/>
    <n v="3"/>
    <n v="3"/>
    <n v="270"/>
    <n v="3"/>
    <n v="1"/>
    <n v="0"/>
    <n v="1"/>
    <n v="1"/>
    <n v="0"/>
    <n v="0"/>
    <n v="0"/>
    <n v="0"/>
    <n v="0.33300000000000002"/>
    <s v="Always Started"/>
    <n v="0"/>
  </r>
  <r>
    <s v="Josip utalo"/>
    <s v="DF"/>
    <x v="40"/>
    <s v="HR"/>
    <n v="26.33"/>
    <s v="23-27"/>
    <n v="3"/>
    <n v="3"/>
    <n v="270"/>
    <n v="3"/>
    <n v="0"/>
    <n v="0"/>
    <n v="0"/>
    <n v="0"/>
    <n v="0"/>
    <n v="0"/>
    <n v="0"/>
    <n v="0"/>
    <n v="0"/>
    <s v="Always Started"/>
    <n v="0"/>
  </r>
  <r>
    <s v="Junnosuke Suzuki"/>
    <s v="DF"/>
    <x v="47"/>
    <s v="JP"/>
    <n v="22.97"/>
    <s v="U23"/>
    <n v="2"/>
    <n v="0"/>
    <n v="43"/>
    <n v="0.5"/>
    <n v="0"/>
    <n v="0"/>
    <n v="0"/>
    <n v="0"/>
    <n v="0"/>
    <n v="0"/>
    <n v="1"/>
    <n v="0"/>
    <n v="0"/>
    <s v="Pure Sub"/>
    <n v="2"/>
  </r>
  <r>
    <s v="Yuito Suzuki"/>
    <s v="FW,MF"/>
    <x v="47"/>
    <s v="JP"/>
    <n v="24.68"/>
    <s v="23-27"/>
    <n v="1"/>
    <n v="0"/>
    <n v="12"/>
    <n v="0.1"/>
    <n v="0"/>
    <n v="0"/>
    <n v="0"/>
    <n v="0"/>
    <n v="0"/>
    <n v="0"/>
    <n v="0"/>
    <n v="0"/>
    <n v="0"/>
    <s v="Pure Sub"/>
    <n v="1"/>
  </r>
  <r>
    <s v="Zion Suzuki"/>
    <s v="GK"/>
    <x v="47"/>
    <s v="JP"/>
    <n v="23.86"/>
    <s v="23-27"/>
    <n v="4"/>
    <n v="4"/>
    <n v="360"/>
    <n v="4"/>
    <n v="0"/>
    <n v="0"/>
    <n v="0"/>
    <n v="0"/>
    <n v="0"/>
    <n v="0"/>
    <n v="0"/>
    <n v="0"/>
    <n v="0"/>
    <s v="Always Started"/>
    <n v="0"/>
  </r>
  <r>
    <s v="Mattias Svanberg"/>
    <s v="MF"/>
    <x v="25"/>
    <s v="SE"/>
    <n v="27.48"/>
    <s v="27-31"/>
    <n v="1"/>
    <n v="0"/>
    <n v="7"/>
    <n v="0.1"/>
    <n v="1"/>
    <n v="0"/>
    <n v="1"/>
    <n v="1"/>
    <n v="0"/>
    <n v="0"/>
    <n v="0"/>
    <n v="0"/>
    <n v="10"/>
    <s v="Pure Sub"/>
    <n v="1"/>
  </r>
  <r>
    <s v="Daniel Svensson"/>
    <s v="DF,MF"/>
    <x v="25"/>
    <s v="SE"/>
    <n v="24.38"/>
    <s v="23-27"/>
    <n v="2"/>
    <n v="0"/>
    <n v="17"/>
    <n v="0.2"/>
    <n v="0"/>
    <n v="0"/>
    <n v="0"/>
    <n v="0"/>
    <n v="0"/>
    <n v="0"/>
    <n v="0"/>
    <n v="0"/>
    <n v="0"/>
    <s v="Pure Sub"/>
    <n v="2"/>
  </r>
  <r>
    <s v="Alexander Sorloth"/>
    <s v="FW"/>
    <x v="1"/>
    <s v="NO"/>
    <n v="30.57"/>
    <s v="27-31"/>
    <n v="2"/>
    <n v="2"/>
    <n v="155"/>
    <n v="1.7"/>
    <n v="0"/>
    <n v="0"/>
    <n v="0"/>
    <n v="0"/>
    <n v="0"/>
    <n v="0"/>
    <n v="0"/>
    <n v="0"/>
    <n v="0"/>
    <s v="Always Started"/>
    <n v="0"/>
  </r>
  <r>
    <s v="Musa Al-Taamari"/>
    <s v="FW"/>
    <x v="7"/>
    <s v="JO"/>
    <n v="29.05"/>
    <s v="27-31"/>
    <n v="3"/>
    <n v="2"/>
    <n v="215"/>
    <n v="2.4"/>
    <n v="1"/>
    <n v="1"/>
    <n v="2"/>
    <n v="1"/>
    <n v="0"/>
    <n v="0"/>
    <n v="0"/>
    <n v="0"/>
    <n v="0.41699999999999998"/>
    <s v="Mixed"/>
    <n v="1"/>
  </r>
  <r>
    <s v="Lee Tae-seok"/>
    <s v="MF"/>
    <x v="45"/>
    <s v="KR"/>
    <n v="23.92"/>
    <s v="23-27"/>
    <n v="2"/>
    <n v="2"/>
    <n v="113"/>
    <n v="1.3"/>
    <n v="0"/>
    <n v="0"/>
    <n v="0"/>
    <n v="0"/>
    <n v="0"/>
    <n v="0"/>
    <n v="0"/>
    <n v="0"/>
    <n v="0"/>
    <s v="Always Started"/>
    <n v="0"/>
  </r>
  <r>
    <s v="Nicolas Tagliafico"/>
    <s v="DF"/>
    <x v="28"/>
    <s v="AR"/>
    <n v="33.83"/>
    <s v="31-35"/>
    <n v="2"/>
    <n v="1"/>
    <n v="99"/>
    <n v="1.1000000000000001"/>
    <n v="0"/>
    <n v="0"/>
    <n v="0"/>
    <n v="0"/>
    <n v="0"/>
    <n v="0"/>
    <n v="0"/>
    <n v="0"/>
    <n v="0"/>
    <s v="Mixed"/>
    <n v="1"/>
  </r>
  <r>
    <s v="Jonathan Tah"/>
    <s v="DF"/>
    <x v="32"/>
    <s v="DE"/>
    <n v="30.38"/>
    <s v="27-31"/>
    <n v="4"/>
    <n v="4"/>
    <n v="372"/>
    <n v="4.0999999999999996"/>
    <n v="0"/>
    <n v="0"/>
    <n v="0"/>
    <n v="0"/>
    <n v="0"/>
    <n v="0"/>
    <n v="0"/>
    <n v="0"/>
    <n v="0"/>
    <s v="Always Started"/>
    <n v="0"/>
  </r>
  <r>
    <s v="Benjamin Tahirovic"/>
    <s v="MF"/>
    <x v="21"/>
    <s v="BA"/>
    <n v="23.33"/>
    <s v="23-27"/>
    <n v="3"/>
    <n v="2"/>
    <n v="197"/>
    <n v="2.2000000000000002"/>
    <n v="0"/>
    <n v="0"/>
    <n v="0"/>
    <n v="0"/>
    <n v="0"/>
    <n v="0"/>
    <n v="0"/>
    <n v="0"/>
    <n v="0"/>
    <s v="Mixed"/>
    <n v="1"/>
  </r>
  <r>
    <s v="Zaid Tahseen"/>
    <s v="DF"/>
    <x v="24"/>
    <s v="IQ"/>
    <n v="25.42"/>
    <s v="23-27"/>
    <n v="2"/>
    <n v="2"/>
    <n v="149"/>
    <n v="1.7"/>
    <n v="0"/>
    <n v="0"/>
    <n v="0"/>
    <n v="0"/>
    <n v="0"/>
    <n v="0"/>
    <n v="1"/>
    <n v="0"/>
    <n v="0"/>
    <s v="Always Started"/>
    <n v="0"/>
  </r>
  <r>
    <s v="Chemsdine Talbi"/>
    <s v="MF"/>
    <x v="30"/>
    <s v="MA"/>
    <n v="21.14"/>
    <s v="U23"/>
    <n v="3"/>
    <n v="0"/>
    <n v="67"/>
    <n v="0.7"/>
    <n v="0"/>
    <n v="1"/>
    <n v="1"/>
    <n v="0"/>
    <n v="0"/>
    <n v="0"/>
    <n v="0"/>
    <n v="0"/>
    <n v="0"/>
    <s v="Pure Sub"/>
    <n v="3"/>
  </r>
  <r>
    <s v="Montassar Talbi"/>
    <s v="DF"/>
    <x v="3"/>
    <s v="TN"/>
    <n v="28.1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Hassan Al Tambakti"/>
    <s v="DF"/>
    <x v="4"/>
    <s v="SA"/>
    <n v="27.39"/>
    <s v="27-31"/>
    <n v="3"/>
    <n v="3"/>
    <n v="212"/>
    <n v="2.4"/>
    <n v="0"/>
    <n v="0"/>
    <n v="0"/>
    <n v="0"/>
    <n v="0"/>
    <n v="0"/>
    <n v="0"/>
    <n v="0"/>
    <n v="0"/>
    <s v="Always Started"/>
    <n v="0"/>
  </r>
  <r>
    <s v="Ao Tanaka"/>
    <s v="MF"/>
    <x v="47"/>
    <s v="JP"/>
    <n v="27.8"/>
    <s v="27-31"/>
    <n v="3"/>
    <n v="2"/>
    <n v="193"/>
    <n v="2.1"/>
    <n v="0"/>
    <n v="0"/>
    <n v="0"/>
    <n v="0"/>
    <n v="0"/>
    <n v="0"/>
    <n v="0"/>
    <n v="0"/>
    <n v="0"/>
    <s v="Mixed"/>
    <n v="1"/>
  </r>
  <r>
    <s v="Shogo Taniguchi"/>
    <s v="DF"/>
    <x v="47"/>
    <s v="JP"/>
    <n v="34.96"/>
    <s v="31-35"/>
    <n v="3"/>
    <n v="2"/>
    <n v="232"/>
    <n v="2.6"/>
    <n v="0"/>
    <n v="0"/>
    <n v="0"/>
    <n v="0"/>
    <n v="0"/>
    <n v="0"/>
    <n v="1"/>
    <n v="0"/>
    <n v="0"/>
    <s v="Mixed"/>
    <n v="1"/>
  </r>
  <r>
    <s v="Mehdi Taremi"/>
    <s v="FW"/>
    <x v="26"/>
    <s v="IR"/>
    <n v="33.950000000000003"/>
    <s v="31-35"/>
    <n v="3"/>
    <n v="3"/>
    <n v="259"/>
    <n v="2.9"/>
    <n v="0"/>
    <n v="0"/>
    <n v="0"/>
    <n v="0"/>
    <n v="0"/>
    <n v="1"/>
    <n v="0"/>
    <n v="0"/>
    <n v="0"/>
    <s v="Always Started"/>
    <n v="0"/>
  </r>
  <r>
    <s v="Aurelien Tchouameni"/>
    <s v="MF"/>
    <x v="19"/>
    <s v="FR"/>
    <n v="26.42"/>
    <s v="23-27"/>
    <n v="2"/>
    <n v="2"/>
    <n v="180"/>
    <n v="2"/>
    <n v="0"/>
    <n v="1"/>
    <n v="1"/>
    <n v="0"/>
    <n v="0"/>
    <n v="0"/>
    <n v="1"/>
    <n v="0"/>
    <n v="0"/>
    <s v="Always Started"/>
    <n v="0"/>
  </r>
  <r>
    <s v="Arthur Theate"/>
    <s v="DF"/>
    <x v="44"/>
    <s v="BE"/>
    <n v="26.1"/>
    <s v="23-27"/>
    <n v="2"/>
    <n v="1"/>
    <n v="108"/>
    <n v="1.2"/>
    <n v="0"/>
    <n v="0"/>
    <n v="0"/>
    <n v="0"/>
    <n v="0"/>
    <n v="0"/>
    <n v="0"/>
    <n v="0"/>
    <n v="0"/>
    <s v="Mixed"/>
    <n v="1"/>
  </r>
  <r>
    <s v="Igor Thiago"/>
    <s v="FW"/>
    <x v="27"/>
    <s v="BR"/>
    <n v="25.01"/>
    <s v="23-27"/>
    <n v="1"/>
    <n v="1"/>
    <n v="61"/>
    <n v="0.7"/>
    <n v="0"/>
    <n v="0"/>
    <n v="0"/>
    <n v="0"/>
    <n v="0"/>
    <n v="0"/>
    <n v="0"/>
    <n v="0"/>
    <n v="0"/>
    <s v="Always Started"/>
    <n v="0"/>
  </r>
  <r>
    <s v="Malick Thiaw"/>
    <s v="DF,MF"/>
    <x v="32"/>
    <s v="DE"/>
    <n v="24.89"/>
    <s v="23-27"/>
    <n v="2"/>
    <n v="0"/>
    <n v="42"/>
    <n v="0.5"/>
    <n v="0"/>
    <n v="0"/>
    <n v="0"/>
    <n v="0"/>
    <n v="0"/>
    <n v="0"/>
    <n v="0"/>
    <n v="0"/>
    <n v="0"/>
    <s v="Pure Sub"/>
    <n v="2"/>
  </r>
  <r>
    <s v="Ryan Thomas"/>
    <s v="MF"/>
    <x v="42"/>
    <s v="NZ"/>
    <n v="31.53"/>
    <s v="31-35"/>
    <n v="3"/>
    <n v="1"/>
    <n v="83"/>
    <n v="0.9"/>
    <n v="0"/>
    <n v="0"/>
    <n v="0"/>
    <n v="0"/>
    <n v="0"/>
    <n v="0"/>
    <n v="0"/>
    <n v="0"/>
    <n v="0"/>
    <s v="Mixed"/>
    <n v="2"/>
  </r>
  <r>
    <s v="Brandon Thomas-Asante"/>
    <s v="FW,MF"/>
    <x v="12"/>
    <s v="GH"/>
    <n v="27.5"/>
    <s v="27-31"/>
    <n v="2"/>
    <n v="0"/>
    <n v="53"/>
    <n v="0.6"/>
    <n v="0"/>
    <n v="0"/>
    <n v="0"/>
    <n v="0"/>
    <n v="0"/>
    <n v="0"/>
    <n v="0"/>
    <n v="0"/>
    <n v="0"/>
    <s v="Pure Sub"/>
    <n v="2"/>
  </r>
  <r>
    <s v="Morten Thorsby"/>
    <s v="MF"/>
    <x v="1"/>
    <s v="NO"/>
    <n v="30.15"/>
    <s v="27-31"/>
    <n v="1"/>
    <n v="0"/>
    <n v="45"/>
    <n v="0.5"/>
    <n v="0"/>
    <n v="0"/>
    <n v="0"/>
    <n v="0"/>
    <n v="0"/>
    <n v="0"/>
    <n v="0"/>
    <n v="0"/>
    <n v="0"/>
    <s v="Pure Sub"/>
    <n v="1"/>
  </r>
  <r>
    <s v="Kristian Thorstvedt"/>
    <s v="MF"/>
    <x v="1"/>
    <s v="NO"/>
    <n v="27.3"/>
    <s v="27-31"/>
    <n v="2"/>
    <n v="1"/>
    <n v="63"/>
    <n v="0.7"/>
    <n v="0"/>
    <n v="0"/>
    <n v="0"/>
    <n v="0"/>
    <n v="0"/>
    <n v="0"/>
    <n v="0"/>
    <n v="0"/>
    <n v="0"/>
    <s v="Mixed"/>
    <n v="1"/>
  </r>
  <r>
    <s v="Marcus Thuram"/>
    <s v="FW,MF"/>
    <x v="19"/>
    <s v="FR"/>
    <n v="28.9"/>
    <s v="27-31"/>
    <n v="1"/>
    <n v="0"/>
    <n v="1"/>
    <n v="0"/>
    <n v="0"/>
    <n v="0"/>
    <n v="0"/>
    <n v="0"/>
    <n v="0"/>
    <n v="0"/>
    <n v="0"/>
    <n v="0"/>
    <n v="0"/>
    <s v="Pure Sub"/>
    <n v="1"/>
  </r>
  <r>
    <s v="Youri Tielemans"/>
    <s v="MF"/>
    <x v="44"/>
    <s v="BE"/>
    <n v="29.15"/>
    <s v="27-31"/>
    <n v="3"/>
    <n v="3"/>
    <n v="264"/>
    <n v="2.9"/>
    <n v="0"/>
    <n v="0"/>
    <n v="0"/>
    <n v="0"/>
    <n v="0"/>
    <n v="0"/>
    <n v="0"/>
    <n v="0"/>
    <n v="0"/>
    <s v="Always Started"/>
    <n v="0"/>
  </r>
  <r>
    <s v="Kieran Tierney"/>
    <s v="MF"/>
    <x v="8"/>
    <s v="ST"/>
    <n v="29.07"/>
    <s v="27-31"/>
    <n v="2"/>
    <n v="1"/>
    <n v="104"/>
    <n v="1.2"/>
    <n v="0"/>
    <n v="0"/>
    <n v="0"/>
    <n v="0"/>
    <n v="0"/>
    <n v="0"/>
    <n v="0"/>
    <n v="0"/>
    <n v="0"/>
    <s v="Mixed"/>
    <n v="1"/>
  </r>
  <r>
    <s v="Guus Til"/>
    <s v="FW,MF"/>
    <x v="17"/>
    <s v="NL"/>
    <n v="28.52"/>
    <s v="27-31"/>
    <n v="1"/>
    <n v="0"/>
    <n v="32"/>
    <n v="0.4"/>
    <n v="0"/>
    <n v="0"/>
    <n v="0"/>
    <n v="0"/>
    <n v="0"/>
    <n v="0"/>
    <n v="0"/>
    <n v="0"/>
    <n v="0"/>
    <s v="Pure Sub"/>
    <n v="1"/>
  </r>
  <r>
    <s v="Malik Tillman"/>
    <s v="MF"/>
    <x v="0"/>
    <s v="US"/>
    <n v="24.09"/>
    <s v="23-27"/>
    <n v="3"/>
    <n v="2"/>
    <n v="176"/>
    <n v="2"/>
    <n v="0"/>
    <n v="1"/>
    <n v="1"/>
    <n v="0"/>
    <n v="0"/>
    <n v="0"/>
    <n v="0"/>
    <n v="0"/>
    <n v="0"/>
    <s v="Mixed"/>
    <n v="1"/>
  </r>
  <r>
    <s v="Quinten Timber"/>
    <s v="MF"/>
    <x v="17"/>
    <s v="NL"/>
    <n v="25.04"/>
    <s v="23-27"/>
    <n v="2"/>
    <n v="0"/>
    <n v="55"/>
    <n v="0.6"/>
    <n v="0"/>
    <n v="0"/>
    <n v="0"/>
    <n v="0"/>
    <n v="0"/>
    <n v="0"/>
    <n v="0"/>
    <n v="0"/>
    <n v="0"/>
    <s v="Pure Sub"/>
    <n v="2"/>
  </r>
  <r>
    <s v="Takehiro Tomiyasu"/>
    <s v="DF"/>
    <x v="47"/>
    <s v="JP"/>
    <n v="27.65"/>
    <s v="27-31"/>
    <n v="3"/>
    <n v="2"/>
    <n v="184"/>
    <n v="2"/>
    <n v="0"/>
    <n v="0"/>
    <n v="0"/>
    <n v="0"/>
    <n v="0"/>
    <n v="0"/>
    <n v="0"/>
    <n v="0"/>
    <n v="0"/>
    <s v="Mixed"/>
    <n v="1"/>
  </r>
  <r>
    <s v="Mehdi Torabi"/>
    <s v="MF"/>
    <x v="26"/>
    <s v="IR"/>
    <n v="31.8"/>
    <s v="31-35"/>
    <n v="1"/>
    <n v="0"/>
    <n v="25"/>
    <n v="0.3"/>
    <n v="0"/>
    <n v="0"/>
    <n v="0"/>
    <n v="0"/>
    <n v="0"/>
    <n v="0"/>
    <n v="0"/>
    <n v="0"/>
    <n v="0"/>
    <s v="Pure Sub"/>
    <n v="1"/>
  </r>
  <r>
    <s v="Felix Torres Caicedo"/>
    <s v="DF"/>
    <x v="22"/>
    <s v="EC"/>
    <n v="29.47"/>
    <s v="27-31"/>
    <n v="1"/>
    <n v="0"/>
    <n v="6"/>
    <n v="0.1"/>
    <n v="0"/>
    <n v="0"/>
    <n v="0"/>
    <n v="0"/>
    <n v="0"/>
    <n v="0"/>
    <n v="0"/>
    <n v="0"/>
    <n v="0"/>
    <s v="Pure Sub"/>
    <n v="1"/>
  </r>
  <r>
    <s v="Ferran Torres"/>
    <s v="FW"/>
    <x v="38"/>
    <s v="ES"/>
    <n v="26.33"/>
    <s v="23-27"/>
    <n v="3"/>
    <n v="1"/>
    <n v="140"/>
    <n v="1.6"/>
    <n v="0"/>
    <n v="0"/>
    <n v="0"/>
    <n v="0"/>
    <n v="0"/>
    <n v="0"/>
    <n v="0"/>
    <n v="0"/>
    <n v="0"/>
    <s v="Mixed"/>
    <n v="2"/>
  </r>
  <r>
    <s v="Sebastian Tounekti"/>
    <s v="FW"/>
    <x v="3"/>
    <s v="TN"/>
    <n v="23.96"/>
    <s v="23-27"/>
    <n v="3"/>
    <n v="1"/>
    <n v="84"/>
    <n v="0.9"/>
    <n v="0"/>
    <n v="0"/>
    <n v="0"/>
    <n v="0"/>
    <n v="0"/>
    <n v="0"/>
    <n v="0"/>
    <n v="0"/>
    <n v="0"/>
    <s v="Mixed"/>
    <n v="2"/>
  </r>
  <r>
    <s v="Bazoumana Toure"/>
    <s v="MF"/>
    <x v="11"/>
    <s v="CI"/>
    <n v="20.329999999999998"/>
    <s v="U23"/>
    <n v="2"/>
    <n v="1"/>
    <n v="79"/>
    <n v="0.9"/>
    <n v="0"/>
    <n v="0"/>
    <n v="0"/>
    <n v="0"/>
    <n v="0"/>
    <n v="0"/>
    <n v="0"/>
    <n v="0"/>
    <n v="0"/>
    <s v="Mixed"/>
    <n v="1"/>
  </r>
  <r>
    <s v="Mo Toure"/>
    <s v="FW"/>
    <x v="41"/>
    <s v="AU"/>
    <n v="22.26"/>
    <s v="U23"/>
    <n v="2"/>
    <n v="2"/>
    <n v="118"/>
    <n v="1.3"/>
    <n v="0"/>
    <n v="0"/>
    <n v="0"/>
    <n v="0"/>
    <n v="0"/>
    <n v="0"/>
    <n v="0"/>
    <n v="0"/>
    <n v="0"/>
    <s v="Always Started"/>
    <n v="0"/>
  </r>
  <r>
    <s v="Trezeguet"/>
    <s v="MF"/>
    <x v="2"/>
    <s v="EG"/>
    <n v="31.74"/>
    <s v="31-35"/>
    <n v="2"/>
    <n v="1"/>
    <n v="105"/>
    <n v="1.2"/>
    <n v="1"/>
    <n v="1"/>
    <n v="2"/>
    <n v="1"/>
    <n v="0"/>
    <n v="0"/>
    <n v="0"/>
    <n v="0"/>
    <n v="0.83299999999999996"/>
    <s v="Mixed"/>
    <n v="1"/>
  </r>
  <r>
    <s v="Francisco Trincao"/>
    <s v="FW,MF"/>
    <x v="35"/>
    <s v="PT"/>
    <n v="26.5"/>
    <s v="23-27"/>
    <n v="1"/>
    <n v="0"/>
    <n v="28"/>
    <n v="0.3"/>
    <n v="0"/>
    <n v="0"/>
    <n v="0"/>
    <n v="0"/>
    <n v="0"/>
    <n v="0"/>
    <n v="0"/>
    <n v="0"/>
    <n v="0"/>
    <s v="Pure Sub"/>
    <n v="1"/>
  </r>
  <r>
    <s v="Leandro Trossard"/>
    <s v="MF"/>
    <x v="44"/>
    <s v="BE"/>
    <n v="31.57"/>
    <s v="31-35"/>
    <n v="3"/>
    <n v="3"/>
    <n v="251"/>
    <n v="2.8"/>
    <n v="2"/>
    <n v="0"/>
    <n v="2"/>
    <n v="2"/>
    <n v="0"/>
    <n v="0"/>
    <n v="0"/>
    <n v="0"/>
    <n v="0.71399999999999997"/>
    <s v="Always Started"/>
    <n v="0"/>
  </r>
  <r>
    <s v="Auston Trusty"/>
    <s v="DF"/>
    <x v="0"/>
    <s v="US"/>
    <n v="27.88"/>
    <s v="27-31"/>
    <n v="2"/>
    <n v="1"/>
    <n v="101"/>
    <n v="1.1000000000000001"/>
    <n v="1"/>
    <n v="0"/>
    <n v="1"/>
    <n v="1"/>
    <n v="0"/>
    <n v="0"/>
    <n v="0"/>
    <n v="0"/>
    <n v="0.90900000000000003"/>
    <s v="Mixed"/>
    <n v="1"/>
  </r>
  <r>
    <s v="Axel Tuanzebe"/>
    <s v="DF"/>
    <x v="39"/>
    <s v="CD"/>
    <n v="28.62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Matt Turner"/>
    <s v="GK"/>
    <x v="0"/>
    <s v="US"/>
    <n v="32.020000000000003"/>
    <s v="31-35"/>
    <n v="1"/>
    <n v="1"/>
    <n v="90"/>
    <n v="1"/>
    <n v="0"/>
    <n v="0"/>
    <n v="0"/>
    <n v="0"/>
    <n v="0"/>
    <n v="0"/>
    <n v="0"/>
    <n v="0"/>
    <n v="0"/>
    <s v="Always Started"/>
    <n v="0"/>
  </r>
  <r>
    <s v="Ayase Ueda"/>
    <s v="FW"/>
    <x v="47"/>
    <s v="JP"/>
    <n v="27.8"/>
    <s v="27-31"/>
    <n v="4"/>
    <n v="4"/>
    <n v="321"/>
    <n v="3.6"/>
    <n v="2"/>
    <n v="1"/>
    <n v="3"/>
    <n v="2"/>
    <n v="0"/>
    <n v="0"/>
    <n v="0"/>
    <n v="0"/>
    <n v="0.55600000000000005"/>
    <s v="Always Started"/>
    <n v="0"/>
  </r>
  <r>
    <s v="Manuel Ugarte"/>
    <s v="MF"/>
    <x v="14"/>
    <s v="UY"/>
    <n v="25.22"/>
    <s v="23-27"/>
    <n v="3"/>
    <n v="3"/>
    <n v="184"/>
    <n v="2"/>
    <n v="0"/>
    <n v="0"/>
    <n v="0"/>
    <n v="0"/>
    <n v="0"/>
    <n v="0"/>
    <n v="0"/>
    <n v="0"/>
    <n v="0"/>
    <s v="Always Started"/>
    <n v="0"/>
  </r>
  <r>
    <s v="Deniz Undav"/>
    <s v="FW"/>
    <x v="32"/>
    <s v="DE"/>
    <n v="29.95"/>
    <s v="27-31"/>
    <n v="4"/>
    <n v="1"/>
    <n v="151"/>
    <n v="1.7"/>
    <n v="3"/>
    <n v="2"/>
    <n v="5"/>
    <n v="3"/>
    <n v="0"/>
    <n v="0"/>
    <n v="0"/>
    <n v="0"/>
    <n v="1.7649999999999999"/>
    <s v="Mixed"/>
    <n v="3"/>
  </r>
  <r>
    <s v="Dayot Upamecano"/>
    <s v="DF"/>
    <x v="19"/>
    <s v="FR"/>
    <n v="27.67"/>
    <s v="27-31"/>
    <n v="3"/>
    <n v="3"/>
    <n v="255"/>
    <n v="2.8"/>
    <n v="0"/>
    <n v="0"/>
    <n v="0"/>
    <n v="0"/>
    <n v="0"/>
    <n v="0"/>
    <n v="0"/>
    <n v="0"/>
    <n v="0"/>
    <s v="Always Started"/>
    <n v="0"/>
  </r>
  <r>
    <s v="Jakhongir Urozov"/>
    <s v="DF"/>
    <x v="5"/>
    <s v="UZ"/>
    <n v="22.45"/>
    <s v="U23"/>
    <n v="2"/>
    <n v="1"/>
    <n v="95"/>
    <n v="1.1000000000000001"/>
    <n v="0"/>
    <n v="0"/>
    <n v="0"/>
    <n v="0"/>
    <n v="0"/>
    <n v="0"/>
    <n v="0"/>
    <n v="0"/>
    <n v="0"/>
    <s v="Mixed"/>
    <n v="1"/>
  </r>
  <r>
    <s v="Oston Urunov"/>
    <s v="MF"/>
    <x v="5"/>
    <s v="UZ"/>
    <n v="25.53"/>
    <s v="23-27"/>
    <n v="2"/>
    <n v="1"/>
    <n v="63"/>
    <n v="0.7"/>
    <n v="0"/>
    <n v="0"/>
    <n v="0"/>
    <n v="0"/>
    <n v="0"/>
    <n v="0"/>
    <n v="0"/>
    <n v="0"/>
    <n v="0"/>
    <s v="Mixed"/>
    <n v="1"/>
  </r>
  <r>
    <s v="Can Uzun"/>
    <s v="MF"/>
    <x v="18"/>
    <s v="TR"/>
    <n v="20.63"/>
    <s v="U23"/>
    <n v="2"/>
    <n v="0"/>
    <n v="38"/>
    <n v="0.4"/>
    <n v="0"/>
    <n v="1"/>
    <n v="1"/>
    <n v="0"/>
    <n v="0"/>
    <n v="0"/>
    <n v="0"/>
    <n v="0"/>
    <n v="0"/>
    <s v="Pure Sub"/>
    <n v="2"/>
  </r>
  <r>
    <s v="Enner Valencia"/>
    <s v="FW"/>
    <x v="22"/>
    <s v="EC"/>
    <n v="36.65"/>
    <s v="35+"/>
    <n v="3"/>
    <n v="3"/>
    <n v="229"/>
    <n v="2.5"/>
    <n v="0"/>
    <n v="0"/>
    <n v="0"/>
    <n v="0"/>
    <n v="0"/>
    <n v="0"/>
    <n v="0"/>
    <n v="0"/>
    <n v="0"/>
    <s v="Always Started"/>
    <n v="0"/>
  </r>
  <r>
    <s v="Yan Valery"/>
    <s v="DF"/>
    <x v="3"/>
    <s v="TN"/>
    <n v="27.35"/>
    <s v="27-31"/>
    <n v="3"/>
    <n v="3"/>
    <n v="251"/>
    <n v="2.8"/>
    <n v="0"/>
    <n v="0"/>
    <n v="0"/>
    <n v="0"/>
    <n v="0"/>
    <n v="0"/>
    <n v="0"/>
    <n v="0"/>
    <n v="0"/>
    <s v="Always Started"/>
    <n v="0"/>
  </r>
  <r>
    <s v="Federico Valverde"/>
    <s v="MF"/>
    <x v="14"/>
    <s v="UY"/>
    <n v="27.94"/>
    <s v="27-31"/>
    <n v="3"/>
    <n v="3"/>
    <n v="236"/>
    <n v="2.6"/>
    <n v="0"/>
    <n v="0"/>
    <n v="0"/>
    <n v="0"/>
    <n v="0"/>
    <n v="0"/>
    <n v="0"/>
    <n v="0"/>
    <n v="0"/>
    <s v="Always Started"/>
    <n v="0"/>
  </r>
  <r>
    <s v="Virgil van Dijk"/>
    <s v="DF"/>
    <x v="17"/>
    <s v="NL"/>
    <n v="34.979999999999997"/>
    <s v="31-35"/>
    <n v="4"/>
    <n v="4"/>
    <n v="390"/>
    <n v="4.3"/>
    <n v="1"/>
    <n v="1"/>
    <n v="2"/>
    <n v="1"/>
    <n v="0"/>
    <n v="0"/>
    <n v="0"/>
    <n v="0"/>
    <n v="0.23300000000000001"/>
    <s v="Always Started"/>
    <n v="0"/>
  </r>
  <r>
    <s v="Hans Vanaken"/>
    <s v="MF"/>
    <x v="44"/>
    <s v="BE"/>
    <n v="33.85"/>
    <s v="31-35"/>
    <n v="3"/>
    <n v="1"/>
    <n v="128"/>
    <n v="1.4"/>
    <n v="0"/>
    <n v="1"/>
    <n v="1"/>
    <n v="0"/>
    <n v="0"/>
    <n v="0"/>
    <n v="0"/>
    <n v="0"/>
    <n v="0"/>
    <s v="Mixed"/>
    <n v="2"/>
  </r>
  <r>
    <s v="Guillermo Varela"/>
    <s v="DF"/>
    <x v="14"/>
    <s v="UY"/>
    <n v="33.270000000000003"/>
    <s v="31-35"/>
    <n v="3"/>
    <n v="3"/>
    <n v="270"/>
    <n v="3"/>
    <n v="0"/>
    <n v="0"/>
    <n v="0"/>
    <n v="0"/>
    <n v="0"/>
    <n v="0"/>
    <n v="1"/>
    <n v="0"/>
    <n v="0"/>
    <s v="Always Started"/>
    <n v="0"/>
  </r>
  <r>
    <s v="Helio Varela"/>
    <s v="FW"/>
    <x v="36"/>
    <s v="CV"/>
    <n v="24.16"/>
    <s v="23-27"/>
    <n v="2"/>
    <n v="0"/>
    <n v="63"/>
    <n v="0.7"/>
    <n v="1"/>
    <n v="0"/>
    <n v="1"/>
    <n v="1"/>
    <n v="0"/>
    <n v="0"/>
    <n v="0"/>
    <n v="0"/>
    <n v="1.429"/>
    <s v="Pure Sub"/>
    <n v="2"/>
  </r>
  <r>
    <s v="Camilo Vargas"/>
    <s v="GK"/>
    <x v="37"/>
    <s v="CO"/>
    <n v="37.31"/>
    <s v="35+"/>
    <n v="3"/>
    <n v="3"/>
    <n v="270"/>
    <n v="3"/>
    <n v="0"/>
    <n v="0"/>
    <n v="0"/>
    <n v="0"/>
    <n v="0"/>
    <n v="0"/>
    <n v="0"/>
    <n v="0"/>
    <n v="0"/>
    <s v="Always Started"/>
    <n v="0"/>
  </r>
  <r>
    <s v="Obed Vargas"/>
    <s v="MF"/>
    <x v="29"/>
    <s v="MX"/>
    <n v="20.9"/>
    <s v="U23"/>
    <n v="2"/>
    <n v="0"/>
    <n v="48"/>
    <n v="0.5"/>
    <n v="0"/>
    <n v="0"/>
    <n v="0"/>
    <n v="0"/>
    <n v="0"/>
    <n v="0"/>
    <n v="0"/>
    <n v="0"/>
    <n v="0"/>
    <s v="Pure Sub"/>
    <n v="2"/>
  </r>
  <r>
    <s v="Ruben Vargas"/>
    <s v="MF"/>
    <x v="13"/>
    <s v="CH"/>
    <n v="27.9"/>
    <s v="27-31"/>
    <n v="3"/>
    <n v="2"/>
    <n v="177"/>
    <n v="2"/>
    <n v="2"/>
    <n v="1"/>
    <n v="3"/>
    <n v="2"/>
    <n v="0"/>
    <n v="0"/>
    <n v="0"/>
    <n v="0"/>
    <n v="1"/>
    <s v="Mixed"/>
    <n v="1"/>
  </r>
  <r>
    <s v="Nikola Vasilj"/>
    <s v="GK"/>
    <x v="21"/>
    <s v="BA"/>
    <n v="30.57"/>
    <s v="27-31"/>
    <n v="3"/>
    <n v="3"/>
    <n v="270"/>
    <n v="3"/>
    <n v="0"/>
    <n v="0"/>
    <n v="0"/>
    <n v="0"/>
    <n v="0"/>
    <n v="0"/>
    <n v="0"/>
    <n v="0"/>
    <n v="0"/>
    <s v="Always Started"/>
    <n v="0"/>
  </r>
  <r>
    <s v="Johan Vasquez"/>
    <s v="DF"/>
    <x v="29"/>
    <s v="MX"/>
    <n v="27.69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Alexis Vega"/>
    <s v="FW,MF"/>
    <x v="29"/>
    <s v="MX"/>
    <n v="28.59"/>
    <s v="27-31"/>
    <n v="1"/>
    <n v="0"/>
    <n v="12"/>
    <n v="0.1"/>
    <n v="0"/>
    <n v="0"/>
    <n v="0"/>
    <n v="0"/>
    <n v="0"/>
    <n v="0"/>
    <n v="0"/>
    <n v="0"/>
    <n v="0"/>
    <s v="Pure Sub"/>
    <n v="1"/>
  </r>
  <r>
    <s v="Renato Veiga"/>
    <s v="DF"/>
    <x v="35"/>
    <s v="PT"/>
    <n v="22.92"/>
    <s v="U23"/>
    <n v="3"/>
    <n v="3"/>
    <n v="270"/>
    <n v="3"/>
    <n v="0"/>
    <n v="0"/>
    <n v="0"/>
    <n v="0"/>
    <n v="0"/>
    <n v="0"/>
    <n v="1"/>
    <n v="0"/>
    <n v="0"/>
    <s v="Always Started"/>
    <n v="0"/>
  </r>
  <r>
    <s v="Gustavo Velasquez"/>
    <s v="DF"/>
    <x v="23"/>
    <s v="PY"/>
    <n v="35.200000000000003"/>
    <s v="35+"/>
    <n v="4"/>
    <n v="1"/>
    <n v="156"/>
    <n v="1.7"/>
    <n v="0"/>
    <n v="0"/>
    <n v="0"/>
    <n v="0"/>
    <n v="0"/>
    <n v="0"/>
    <n v="0"/>
    <n v="0"/>
    <n v="0"/>
    <s v="Mixed"/>
    <n v="3"/>
  </r>
  <r>
    <s v="Nishan Velupillay"/>
    <s v="MF"/>
    <x v="41"/>
    <s v="AU"/>
    <n v="25.15"/>
    <s v="23-27"/>
    <n v="2"/>
    <n v="1"/>
    <n v="75"/>
    <n v="0.8"/>
    <n v="0"/>
    <n v="0"/>
    <n v="0"/>
    <n v="0"/>
    <n v="0"/>
    <n v="0"/>
    <n v="0"/>
    <n v="0"/>
    <n v="0"/>
    <s v="Mixed"/>
    <n v="1"/>
  </r>
  <r>
    <s v="Micky van de Ven"/>
    <s v="DF,MF"/>
    <x v="17"/>
    <s v="NL"/>
    <n v="25.2"/>
    <s v="23-27"/>
    <n v="3"/>
    <n v="3"/>
    <n v="265"/>
    <n v="2.9"/>
    <n v="0"/>
    <n v="0"/>
    <n v="0"/>
    <n v="0"/>
    <n v="0"/>
    <n v="0"/>
    <n v="1"/>
    <n v="0"/>
    <n v="0"/>
    <s v="Always Started"/>
    <n v="0"/>
  </r>
  <r>
    <s v="Bart Verbruggen"/>
    <s v="GK"/>
    <x v="17"/>
    <s v="NL"/>
    <n v="23.87"/>
    <s v="23-27"/>
    <n v="4"/>
    <n v="4"/>
    <n v="390"/>
    <n v="4.3"/>
    <n v="0"/>
    <n v="0"/>
    <n v="0"/>
    <n v="0"/>
    <n v="0"/>
    <n v="0"/>
    <n v="0"/>
    <n v="0"/>
    <n v="0"/>
    <s v="Always Started"/>
    <n v="0"/>
  </r>
  <r>
    <s v="Matias Vina"/>
    <s v="DF"/>
    <x v="14"/>
    <s v="UY"/>
    <n v="28.64"/>
    <s v="27-31"/>
    <n v="1"/>
    <n v="1"/>
    <n v="45"/>
    <n v="0.5"/>
    <n v="0"/>
    <n v="0"/>
    <n v="0"/>
    <n v="0"/>
    <n v="0"/>
    <n v="0"/>
    <n v="0"/>
    <n v="0"/>
    <n v="0"/>
    <s v="Always Started"/>
    <n v="0"/>
  </r>
  <r>
    <s v="Federico Vinas"/>
    <s v="FW"/>
    <x v="14"/>
    <s v="UY"/>
    <n v="28"/>
    <s v="27-31"/>
    <n v="3"/>
    <n v="2"/>
    <n v="192"/>
    <n v="2.1"/>
    <n v="0"/>
    <n v="0"/>
    <n v="0"/>
    <n v="0"/>
    <n v="0"/>
    <n v="0"/>
    <n v="0"/>
    <n v="0"/>
    <n v="0"/>
    <s v="Mixed"/>
    <n v="1"/>
  </r>
  <r>
    <s v="Denis Viinsky"/>
    <s v="FW"/>
    <x v="46"/>
    <s v="CZ"/>
    <n v="23.28"/>
    <s v="23-27"/>
    <n v="1"/>
    <n v="1"/>
    <n v="55"/>
    <n v="0.6"/>
    <n v="0"/>
    <n v="0"/>
    <n v="0"/>
    <n v="0"/>
    <n v="0"/>
    <n v="0"/>
    <n v="0"/>
    <n v="0"/>
    <n v="0"/>
    <s v="Always Started"/>
    <n v="0"/>
  </r>
  <r>
    <s v="Pedro Vite"/>
    <s v="MF"/>
    <x v="22"/>
    <s v="EC"/>
    <n v="24.31"/>
    <s v="23-27"/>
    <n v="3"/>
    <n v="3"/>
    <n v="270"/>
    <n v="3"/>
    <n v="0"/>
    <n v="1"/>
    <n v="1"/>
    <n v="0"/>
    <n v="0"/>
    <n v="0"/>
    <n v="0"/>
    <n v="0"/>
    <n v="0"/>
    <s v="Always Started"/>
    <n v="0"/>
  </r>
  <r>
    <s v="Vitinha"/>
    <s v="MF"/>
    <x v="35"/>
    <s v="PT"/>
    <n v="26.38"/>
    <s v="23-27"/>
    <n v="3"/>
    <n v="3"/>
    <n v="233"/>
    <n v="2.6"/>
    <n v="0"/>
    <n v="0"/>
    <n v="0"/>
    <n v="0"/>
    <n v="0"/>
    <n v="0"/>
    <n v="0"/>
    <n v="0"/>
    <n v="0"/>
    <s v="Always Started"/>
    <n v="0"/>
  </r>
  <r>
    <s v="Nikola Vlai?"/>
    <s v="MF"/>
    <x v="40"/>
    <s v="HR"/>
    <n v="28.74"/>
    <s v="27-31"/>
    <n v="2"/>
    <n v="1"/>
    <n v="100"/>
    <n v="1.1000000000000001"/>
    <n v="1"/>
    <n v="0"/>
    <n v="1"/>
    <n v="1"/>
    <n v="0"/>
    <n v="0"/>
    <n v="0"/>
    <n v="0"/>
    <n v="0.90900000000000003"/>
    <s v="Mixed"/>
    <n v="1"/>
  </r>
  <r>
    <s v="Cristian Volpato"/>
    <s v="MF"/>
    <x v="41"/>
    <s v="AU"/>
    <n v="22.62"/>
    <s v="U23"/>
    <n v="2"/>
    <n v="1"/>
    <n v="87"/>
    <n v="1"/>
    <n v="0"/>
    <n v="0"/>
    <n v="0"/>
    <n v="0"/>
    <n v="0"/>
    <n v="0"/>
    <n v="0"/>
    <n v="0"/>
    <n v="0"/>
    <s v="Mixed"/>
    <n v="1"/>
  </r>
  <r>
    <s v="Vozinha"/>
    <s v="GK"/>
    <x v="36"/>
    <s v="CV"/>
    <n v="40.07"/>
    <s v="35+"/>
    <n v="3"/>
    <n v="3"/>
    <n v="270"/>
    <n v="3"/>
    <n v="0"/>
    <n v="0"/>
    <n v="0"/>
    <n v="0"/>
    <n v="0"/>
    <n v="0"/>
    <n v="0"/>
    <n v="0"/>
    <n v="0"/>
    <s v="Always Started"/>
    <n v="0"/>
  </r>
  <r>
    <s v="Francis de Vries"/>
    <s v="DF"/>
    <x v="42"/>
    <s v="NZ"/>
    <n v="31.59"/>
    <s v="31-35"/>
    <n v="2"/>
    <n v="0"/>
    <n v="18"/>
    <n v="0.2"/>
    <n v="0"/>
    <n v="0"/>
    <n v="0"/>
    <n v="0"/>
    <n v="0"/>
    <n v="0"/>
    <n v="0"/>
    <n v="0"/>
    <n v="0"/>
    <s v="Pure Sub"/>
    <n v="2"/>
  </r>
  <r>
    <s v="Luka Vukovi?"/>
    <s v="DF"/>
    <x v="40"/>
    <s v="HR"/>
    <n v="19.34"/>
    <s v="U23"/>
    <n v="1"/>
    <n v="1"/>
    <n v="65"/>
    <n v="0.7"/>
    <n v="0"/>
    <n v="0"/>
    <n v="0"/>
    <n v="0"/>
    <n v="0"/>
    <n v="0"/>
    <n v="0"/>
    <n v="0"/>
    <n v="0"/>
    <s v="Always Started"/>
    <n v="0"/>
  </r>
  <r>
    <s v="Elye Wahi"/>
    <s v="FW"/>
    <x v="11"/>
    <s v="CI"/>
    <n v="23.49"/>
    <s v="23-27"/>
    <n v="2"/>
    <n v="1"/>
    <n v="79"/>
    <n v="0.9"/>
    <n v="0"/>
    <n v="0"/>
    <n v="0"/>
    <n v="0"/>
    <n v="0"/>
    <n v="0"/>
    <n v="0"/>
    <n v="0"/>
    <n v="0"/>
    <s v="Mixed"/>
    <n v="1"/>
  </r>
  <r>
    <s v="Aaron Wan-Bissaka"/>
    <s v="DF"/>
    <x v="39"/>
    <s v="CD"/>
    <n v="28.59"/>
    <s v="27-31"/>
    <n v="3"/>
    <n v="3"/>
    <n v="264"/>
    <n v="2.9"/>
    <n v="0"/>
    <n v="0"/>
    <n v="0"/>
    <n v="0"/>
    <n v="0"/>
    <n v="0"/>
    <n v="0"/>
    <n v="0"/>
    <n v="0"/>
    <s v="Always Started"/>
    <n v="0"/>
  </r>
  <r>
    <s v="Paul Wanner"/>
    <s v="MF"/>
    <x v="20"/>
    <s v="AT"/>
    <n v="20.52"/>
    <s v="U23"/>
    <n v="3"/>
    <n v="1"/>
    <n v="144"/>
    <n v="1.6"/>
    <n v="0"/>
    <n v="0"/>
    <n v="0"/>
    <n v="0"/>
    <n v="0"/>
    <n v="0"/>
    <n v="0"/>
    <n v="0"/>
    <n v="0"/>
    <s v="Mixed"/>
    <n v="2"/>
  </r>
  <r>
    <s v="Tsuyoshi Watanabe"/>
    <s v="DF"/>
    <x v="47"/>
    <s v="JP"/>
    <n v="29.4"/>
    <s v="27-31"/>
    <n v="2"/>
    <n v="1"/>
    <n v="90"/>
    <n v="1"/>
    <n v="0"/>
    <n v="0"/>
    <n v="0"/>
    <n v="0"/>
    <n v="0"/>
    <n v="0"/>
    <n v="0"/>
    <n v="0"/>
    <n v="0"/>
    <s v="Mixed"/>
    <n v="1"/>
  </r>
  <r>
    <s v="Cecilio Waterman"/>
    <s v="FW"/>
    <x v="31"/>
    <s v="PA"/>
    <n v="35.21"/>
    <s v="35+"/>
    <n v="2"/>
    <n v="1"/>
    <n v="76"/>
    <n v="0.8"/>
    <n v="0"/>
    <n v="0"/>
    <n v="0"/>
    <n v="0"/>
    <n v="0"/>
    <n v="0"/>
    <n v="0"/>
    <n v="0"/>
    <n v="0"/>
    <s v="Mixed"/>
    <n v="1"/>
  </r>
  <r>
    <s v="Ollie Watkins"/>
    <s v="FW,MF"/>
    <x v="33"/>
    <s v="EN"/>
    <n v="30.5"/>
    <s v="27-31"/>
    <n v="1"/>
    <n v="0"/>
    <n v="7"/>
    <n v="0.1"/>
    <n v="0"/>
    <n v="0"/>
    <n v="0"/>
    <n v="0"/>
    <n v="0"/>
    <n v="0"/>
    <n v="0"/>
    <n v="0"/>
    <n v="0"/>
    <s v="Pure Sub"/>
    <n v="1"/>
  </r>
  <r>
    <s v="Timothy Weah"/>
    <s v="MF"/>
    <x v="0"/>
    <s v="US"/>
    <n v="26.35"/>
    <s v="23-27"/>
    <n v="2"/>
    <n v="1"/>
    <n v="76"/>
    <n v="0.8"/>
    <n v="0"/>
    <n v="0"/>
    <n v="0"/>
    <n v="0"/>
    <n v="0"/>
    <n v="0"/>
    <n v="0"/>
    <n v="0"/>
    <n v="0"/>
    <s v="Mixed"/>
    <n v="1"/>
  </r>
  <r>
    <s v="Wout Weghorst"/>
    <s v="FW"/>
    <x v="17"/>
    <s v="NL"/>
    <n v="33.9"/>
    <s v="31-35"/>
    <n v="1"/>
    <n v="0"/>
    <n v="50"/>
    <n v="0.6"/>
    <n v="0"/>
    <n v="0"/>
    <n v="0"/>
    <n v="0"/>
    <n v="0"/>
    <n v="0"/>
    <n v="0"/>
    <n v="0"/>
    <n v="0"/>
    <s v="Pure Sub"/>
    <n v="1"/>
  </r>
  <r>
    <s v="Jacob Widell Zetterstrom"/>
    <s v="GK"/>
    <x v="25"/>
    <s v="SE"/>
    <n v="27.97"/>
    <s v="27-31"/>
    <n v="1"/>
    <n v="1"/>
    <n v="90"/>
    <n v="1"/>
    <n v="0"/>
    <n v="0"/>
    <n v="0"/>
    <n v="0"/>
    <n v="0"/>
    <n v="0"/>
    <n v="0"/>
    <n v="0"/>
    <n v="0"/>
    <s v="Always Started"/>
    <n v="0"/>
  </r>
  <r>
    <s v="Silvan Widmer"/>
    <s v="DF"/>
    <x v="13"/>
    <s v="CH"/>
    <n v="33.32"/>
    <s v="31-35"/>
    <n v="2"/>
    <n v="1"/>
    <n v="102"/>
    <n v="1.1000000000000001"/>
    <n v="0"/>
    <n v="0"/>
    <n v="0"/>
    <n v="0"/>
    <n v="0"/>
    <n v="0"/>
    <n v="0"/>
    <n v="0"/>
    <n v="0"/>
    <s v="Mixed"/>
    <n v="1"/>
  </r>
  <r>
    <s v="Inaki Williams"/>
    <s v="MF"/>
    <x v="12"/>
    <s v="GH"/>
    <n v="32.04"/>
    <s v="31-35"/>
    <n v="1"/>
    <n v="1"/>
    <n v="65"/>
    <n v="0.7"/>
    <n v="0"/>
    <n v="0"/>
    <n v="0"/>
    <n v="0"/>
    <n v="0"/>
    <n v="0"/>
    <n v="1"/>
    <n v="0"/>
    <n v="0"/>
    <s v="Always Started"/>
    <n v="0"/>
  </r>
  <r>
    <s v="Nico Williams"/>
    <s v="MF"/>
    <x v="38"/>
    <s v="ES"/>
    <n v="23.97"/>
    <s v="23-27"/>
    <n v="3"/>
    <n v="0"/>
    <n v="48"/>
    <n v="0.5"/>
    <n v="0"/>
    <n v="0"/>
    <n v="0"/>
    <n v="0"/>
    <n v="0"/>
    <n v="0"/>
    <n v="0"/>
    <n v="0"/>
    <n v="0"/>
    <s v="Pure Sub"/>
    <n v="3"/>
  </r>
  <r>
    <s v="Ronwen Williams"/>
    <s v="GK"/>
    <x v="9"/>
    <s v="ZA"/>
    <n v="34.44"/>
    <s v="31-35"/>
    <n v="4"/>
    <n v="4"/>
    <n v="360"/>
    <n v="4"/>
    <n v="0"/>
    <n v="0"/>
    <n v="0"/>
    <n v="0"/>
    <n v="0"/>
    <n v="0"/>
    <n v="0"/>
    <n v="0"/>
    <n v="0"/>
    <s v="Always Started"/>
    <n v="0"/>
  </r>
  <r>
    <s v="Patrick Wimmer"/>
    <s v="FW,MF"/>
    <x v="20"/>
    <s v="AT"/>
    <n v="25.08"/>
    <s v="23-27"/>
    <n v="2"/>
    <n v="0"/>
    <n v="21"/>
    <n v="0.2"/>
    <n v="0"/>
    <n v="0"/>
    <n v="0"/>
    <n v="0"/>
    <n v="0"/>
    <n v="0"/>
    <n v="0"/>
    <n v="0"/>
    <n v="0"/>
    <s v="Pure Sub"/>
    <n v="2"/>
  </r>
  <r>
    <s v="Florian Wirtz"/>
    <s v="MF"/>
    <x v="32"/>
    <s v="DE"/>
    <n v="23.16"/>
    <s v="23-27"/>
    <n v="4"/>
    <n v="4"/>
    <n v="361"/>
    <n v="4"/>
    <n v="0"/>
    <n v="3"/>
    <n v="3"/>
    <n v="0"/>
    <n v="0"/>
    <n v="0"/>
    <n v="0"/>
    <n v="0"/>
    <n v="0"/>
    <s v="Always Started"/>
    <n v="0"/>
  </r>
  <r>
    <s v="Yoane Wissa"/>
    <s v="FW"/>
    <x v="39"/>
    <s v="CD"/>
    <n v="29.82"/>
    <s v="27-31"/>
    <n v="3"/>
    <n v="3"/>
    <n v="270"/>
    <n v="3"/>
    <n v="3"/>
    <n v="0"/>
    <n v="3"/>
    <n v="2"/>
    <n v="1"/>
    <n v="1"/>
    <n v="0"/>
    <n v="0"/>
    <n v="1"/>
    <s v="Always Started"/>
    <n v="0"/>
  </r>
  <r>
    <s v="Nick Woltemade"/>
    <s v="FW,MF"/>
    <x v="32"/>
    <s v="DE"/>
    <n v="24.37"/>
    <s v="23-27"/>
    <n v="1"/>
    <n v="0"/>
    <n v="33"/>
    <n v="0.4"/>
    <n v="0"/>
    <n v="0"/>
    <n v="0"/>
    <n v="0"/>
    <n v="0"/>
    <n v="0"/>
    <n v="0"/>
    <n v="0"/>
    <n v="0"/>
    <s v="Pure Sub"/>
    <n v="1"/>
  </r>
  <r>
    <s v="Chris Wood"/>
    <s v="FW"/>
    <x v="42"/>
    <s v="NZ"/>
    <n v="34.56"/>
    <s v="31-35"/>
    <n v="3"/>
    <n v="3"/>
    <n v="270"/>
    <n v="3"/>
    <n v="0"/>
    <n v="2"/>
    <n v="2"/>
    <n v="0"/>
    <n v="0"/>
    <n v="0"/>
    <n v="0"/>
    <n v="0"/>
    <n v="0"/>
    <s v="Always Started"/>
    <n v="0"/>
  </r>
  <r>
    <s v="Haji Wright"/>
    <s v="FW,MF"/>
    <x v="0"/>
    <s v="US"/>
    <n v="28.26"/>
    <s v="27-31"/>
    <n v="1"/>
    <n v="0"/>
    <n v="1"/>
    <n v="0"/>
    <n v="0"/>
    <n v="0"/>
    <n v="0"/>
    <n v="0"/>
    <n v="0"/>
    <n v="0"/>
    <n v="0"/>
    <n v="0"/>
    <n v="0"/>
    <s v="Pure Sub"/>
    <n v="1"/>
  </r>
  <r>
    <s v="Granit Xhaka"/>
    <s v="MF"/>
    <x v="13"/>
    <s v="CH"/>
    <n v="33.76"/>
    <s v="31-35"/>
    <n v="3"/>
    <n v="3"/>
    <n v="270"/>
    <n v="3"/>
    <n v="1"/>
    <n v="0"/>
    <n v="1"/>
    <n v="0"/>
    <n v="1"/>
    <n v="1"/>
    <n v="1"/>
    <n v="0"/>
    <n v="0.33300000000000002"/>
    <s v="Always Started"/>
    <n v="0"/>
  </r>
  <r>
    <s v="Kevin Yakob"/>
    <s v="MF"/>
    <x v="24"/>
    <s v="IQ"/>
    <n v="25.72"/>
    <s v="23-27"/>
    <n v="1"/>
    <n v="0"/>
    <n v="24"/>
    <n v="0.3"/>
    <n v="0"/>
    <n v="0"/>
    <n v="0"/>
    <n v="0"/>
    <n v="0"/>
    <n v="0"/>
    <n v="0"/>
    <n v="0"/>
    <n v="0"/>
    <s v="Pure Sub"/>
    <n v="1"/>
  </r>
  <r>
    <s v="Lamine Yamal"/>
    <s v="FW"/>
    <x v="38"/>
    <s v="ES"/>
    <n v="18.96"/>
    <s v="U23"/>
    <n v="3"/>
    <n v="2"/>
    <n v="140"/>
    <n v="1.6"/>
    <n v="1"/>
    <n v="0"/>
    <n v="1"/>
    <n v="1"/>
    <n v="0"/>
    <n v="0"/>
    <n v="0"/>
    <n v="0"/>
    <n v="0.625"/>
    <s v="Mixed"/>
    <n v="1"/>
  </r>
  <r>
    <s v="Yannick"/>
    <s v="MF"/>
    <x v="36"/>
    <s v="CV"/>
    <n v="30.5"/>
    <s v="27-31"/>
    <n v="1"/>
    <n v="0"/>
    <n v="11"/>
    <n v="0.1"/>
    <n v="0"/>
    <n v="0"/>
    <n v="0"/>
    <n v="0"/>
    <n v="0"/>
    <n v="0"/>
    <n v="0"/>
    <n v="0"/>
    <n v="0"/>
    <s v="Pure Sub"/>
    <n v="1"/>
  </r>
  <r>
    <s v="Gessime Yassine"/>
    <s v="MF"/>
    <x v="30"/>
    <s v="MA"/>
    <n v="20.6"/>
    <s v="U23"/>
    <n v="2"/>
    <n v="0"/>
    <n v="63"/>
    <n v="0.7"/>
    <n v="1"/>
    <n v="0"/>
    <n v="1"/>
    <n v="1"/>
    <n v="0"/>
    <n v="0"/>
    <n v="0"/>
    <n v="0"/>
    <n v="1.429"/>
    <s v="Pure Sub"/>
    <n v="2"/>
  </r>
  <r>
    <s v="John Yeboah"/>
    <s v="MF"/>
    <x v="22"/>
    <s v="EC"/>
    <n v="26.02"/>
    <s v="23-27"/>
    <n v="3"/>
    <n v="3"/>
    <n v="233"/>
    <n v="2.6"/>
    <n v="0"/>
    <n v="0"/>
    <n v="0"/>
    <n v="0"/>
    <n v="0"/>
    <n v="0"/>
    <n v="0"/>
    <n v="0"/>
    <n v="0"/>
    <s v="Always Started"/>
    <n v="0"/>
  </r>
  <r>
    <s v="Tete Yengi"/>
    <s v="FW"/>
    <x v="41"/>
    <s v="AU"/>
    <n v="25.59"/>
    <s v="23-27"/>
    <n v="2"/>
    <n v="0"/>
    <n v="24"/>
    <n v="0.3"/>
    <n v="0"/>
    <n v="0"/>
    <n v="0"/>
    <n v="0"/>
    <n v="0"/>
    <n v="0"/>
    <n v="0"/>
    <n v="0"/>
    <n v="0"/>
    <s v="Pure Sub"/>
    <n v="2"/>
  </r>
  <r>
    <s v="Kenan Y?ld?z"/>
    <s v="MF"/>
    <x v="18"/>
    <s v="TR"/>
    <n v="21.16"/>
    <s v="U23"/>
    <n v="3"/>
    <n v="2"/>
    <n v="218"/>
    <n v="2.4"/>
    <n v="0"/>
    <n v="0"/>
    <n v="0"/>
    <n v="0"/>
    <n v="0"/>
    <n v="0"/>
    <n v="0"/>
    <n v="0"/>
    <n v="0"/>
    <s v="Mixed"/>
    <n v="1"/>
  </r>
  <r>
    <s v="Caleb Yirenkyi"/>
    <s v="MF"/>
    <x v="12"/>
    <s v="GH"/>
    <n v="20.45"/>
    <s v="U23"/>
    <n v="3"/>
    <n v="2"/>
    <n v="186"/>
    <n v="2.1"/>
    <n v="1"/>
    <n v="0"/>
    <n v="1"/>
    <n v="1"/>
    <n v="0"/>
    <n v="0"/>
    <n v="1"/>
    <n v="0"/>
    <n v="0.47599999999999998"/>
    <s v="Mixed"/>
    <n v="1"/>
  </r>
  <r>
    <s v="Seol Young-woo"/>
    <s v="MF"/>
    <x v="45"/>
    <s v="KR"/>
    <n v="27.57"/>
    <s v="27-31"/>
    <n v="3"/>
    <n v="3"/>
    <n v="250"/>
    <n v="2.8"/>
    <n v="0"/>
    <n v="0"/>
    <n v="0"/>
    <n v="0"/>
    <n v="0"/>
    <n v="0"/>
    <n v="0"/>
    <n v="0"/>
    <n v="0"/>
    <s v="Always Started"/>
    <n v="0"/>
  </r>
  <r>
    <s v="Manaf Younis"/>
    <s v="DF"/>
    <x v="24"/>
    <s v="IQ"/>
    <n v="29.62"/>
    <s v="27-31"/>
    <n v="1"/>
    <n v="0"/>
    <n v="75"/>
    <n v="0.8"/>
    <n v="0"/>
    <n v="0"/>
    <n v="0"/>
    <n v="0"/>
    <n v="0"/>
    <n v="0"/>
    <n v="0"/>
    <n v="0"/>
    <n v="0"/>
    <s v="Pure Sub"/>
    <n v="1"/>
  </r>
  <r>
    <s v="Aria Yousefi"/>
    <s v="MF"/>
    <x v="26"/>
    <s v="IR"/>
    <n v="24.19"/>
    <s v="23-27"/>
    <n v="1"/>
    <n v="1"/>
    <n v="45"/>
    <n v="0.5"/>
    <n v="0"/>
    <n v="0"/>
    <n v="0"/>
    <n v="0"/>
    <n v="0"/>
    <n v="0"/>
    <n v="0"/>
    <n v="0"/>
    <n v="0"/>
    <s v="Always Started"/>
    <n v="0"/>
  </r>
  <r>
    <s v="Ali Yousif"/>
    <s v="FW"/>
    <x v="24"/>
    <s v="IQ"/>
    <n v="30.44"/>
    <s v="27-31"/>
    <n v="1"/>
    <n v="0"/>
    <n v="33"/>
    <n v="0.4"/>
    <n v="0"/>
    <n v="0"/>
    <n v="0"/>
    <n v="0"/>
    <n v="0"/>
    <n v="0"/>
    <n v="0"/>
    <n v="0"/>
    <n v="0"/>
    <s v="Pure Sub"/>
    <n v="1"/>
  </r>
  <r>
    <s v="?smail Yuksek"/>
    <s v="MF"/>
    <x v="18"/>
    <s v="TR"/>
    <n v="27.42"/>
    <s v="27-31"/>
    <n v="2"/>
    <n v="2"/>
    <n v="139"/>
    <n v="1.5"/>
    <n v="0"/>
    <n v="0"/>
    <n v="0"/>
    <n v="0"/>
    <n v="0"/>
    <n v="0"/>
    <n v="0"/>
    <n v="0"/>
    <n v="0"/>
    <s v="Always Started"/>
    <n v="0"/>
  </r>
  <r>
    <s v="Utkir Yusupov"/>
    <s v="GK"/>
    <x v="5"/>
    <s v="UZ"/>
    <n v="35.479999999999997"/>
    <s v="35+"/>
    <n v="1"/>
    <n v="1"/>
    <n v="90"/>
    <n v="1"/>
    <n v="0"/>
    <n v="0"/>
    <n v="0"/>
    <n v="0"/>
    <n v="0"/>
    <n v="0"/>
    <n v="0"/>
    <n v="0"/>
    <n v="0"/>
    <s v="Always Started"/>
    <n v="0"/>
  </r>
  <r>
    <s v="Denis Zakaria"/>
    <s v="DF"/>
    <x v="13"/>
    <s v="CH"/>
    <n v="29.61"/>
    <s v="27-31"/>
    <n v="1"/>
    <n v="1"/>
    <n v="90"/>
    <n v="1"/>
    <n v="0"/>
    <n v="0"/>
    <n v="0"/>
    <n v="0"/>
    <n v="0"/>
    <n v="0"/>
    <n v="1"/>
    <n v="0"/>
    <n v="0"/>
    <s v="Always Started"/>
    <n v="0"/>
  </r>
  <r>
    <s v="Jaroslav Zeleny"/>
    <s v="MF"/>
    <x v="46"/>
    <s v="CZ"/>
    <n v="33.86"/>
    <s v="31-35"/>
    <n v="2"/>
    <n v="1"/>
    <n v="126"/>
    <n v="1.4"/>
    <n v="0"/>
    <n v="0"/>
    <n v="0"/>
    <n v="0"/>
    <n v="0"/>
    <n v="0"/>
    <n v="0"/>
    <n v="0"/>
    <n v="0"/>
    <s v="Mixed"/>
    <n v="1"/>
  </r>
  <r>
    <s v="Alejandro Zendejas"/>
    <s v="FW,MF"/>
    <x v="0"/>
    <s v="US"/>
    <n v="28.39"/>
    <s v="27-31"/>
    <n v="1"/>
    <n v="0"/>
    <n v="14"/>
    <n v="0.2"/>
    <n v="0"/>
    <n v="0"/>
    <n v="0"/>
    <n v="0"/>
    <n v="0"/>
    <n v="0"/>
    <n v="0"/>
    <n v="0"/>
    <n v="0"/>
    <s v="Pure Sub"/>
    <n v="1"/>
  </r>
  <r>
    <s v="Besfort Zeneli"/>
    <s v="MF"/>
    <x v="25"/>
    <s v="SE"/>
    <n v="23.61"/>
    <s v="23-27"/>
    <n v="1"/>
    <n v="0"/>
    <n v="35"/>
    <n v="0.4"/>
    <n v="0"/>
    <n v="0"/>
    <n v="0"/>
    <n v="0"/>
    <n v="0"/>
    <n v="0"/>
    <n v="0"/>
    <n v="0"/>
    <n v="0"/>
    <s v="Pure Sub"/>
    <n v="1"/>
  </r>
  <r>
    <s v="Ramiz Zerrouki"/>
    <s v="MF"/>
    <x v="16"/>
    <s v="DZ"/>
    <n v="28.1"/>
    <s v="27-31"/>
    <n v="2"/>
    <n v="1"/>
    <n v="54"/>
    <n v="0.6"/>
    <n v="0"/>
    <n v="0"/>
    <n v="0"/>
    <n v="0"/>
    <n v="0"/>
    <n v="0"/>
    <n v="1"/>
    <n v="0"/>
    <n v="0"/>
    <s v="Mixed"/>
    <n v="1"/>
  </r>
  <r>
    <s v="Luca Zidane"/>
    <s v="GK"/>
    <x v="16"/>
    <s v="DZ"/>
    <n v="28.13"/>
    <s v="27-31"/>
    <n v="2"/>
    <n v="2"/>
    <n v="180"/>
    <n v="2"/>
    <n v="0"/>
    <n v="0"/>
    <n v="0"/>
    <n v="0"/>
    <n v="0"/>
    <n v="0"/>
    <n v="0"/>
    <n v="0"/>
    <n v="0"/>
    <s v="Always Started"/>
    <n v="0"/>
  </r>
  <r>
    <s v="Mostafa Ziko"/>
    <s v="MF,FW"/>
    <x v="2"/>
    <s v="EG"/>
    <n v="29.18"/>
    <s v="27-31"/>
    <n v="3"/>
    <n v="3"/>
    <n v="225"/>
    <n v="2.5"/>
    <n v="1"/>
    <n v="1"/>
    <n v="2"/>
    <n v="1"/>
    <n v="0"/>
    <n v="0"/>
    <n v="0"/>
    <n v="0"/>
    <n v="0.4"/>
    <s v="Always Started"/>
    <n v="0"/>
  </r>
  <r>
    <s v="David Zima"/>
    <s v="DF"/>
    <x v="46"/>
    <s v="CZ"/>
    <n v="25.64"/>
    <s v="23-27"/>
    <n v="1"/>
    <n v="0"/>
    <n v="13"/>
    <n v="0.1"/>
    <n v="0"/>
    <n v="0"/>
    <n v="0"/>
    <n v="0"/>
    <n v="0"/>
    <n v="0"/>
    <n v="0"/>
    <n v="0"/>
    <n v="0"/>
    <s v="Pure Sub"/>
    <n v="1"/>
  </r>
  <r>
    <s v="Zizo"/>
    <s v="MF"/>
    <x v="2"/>
    <s v="EG"/>
    <n v="30.47"/>
    <s v="27-31"/>
    <n v="3"/>
    <n v="0"/>
    <n v="55"/>
    <n v="0.6"/>
    <n v="0"/>
    <n v="0"/>
    <n v="0"/>
    <n v="0"/>
    <n v="0"/>
    <n v="0"/>
    <n v="0"/>
    <n v="0"/>
    <n v="0"/>
    <s v="Pure Sub"/>
    <n v="3"/>
  </r>
  <r>
    <s v="Themba Zwane"/>
    <s v="FW,MF"/>
    <x v="9"/>
    <s v="ZA"/>
    <n v="36.909999999999997"/>
    <s v="35+"/>
    <n v="1"/>
    <n v="0"/>
    <n v="23"/>
    <n v="0.3"/>
    <n v="0"/>
    <n v="0"/>
    <n v="0"/>
    <n v="0"/>
    <n v="0"/>
    <n v="0"/>
    <n v="0"/>
    <n v="1"/>
    <n v="0"/>
    <s v="Pure Sub"/>
    <n v="1"/>
  </r>
  <r>
    <s v="Martin Odegaard"/>
    <s v="MF"/>
    <x v="1"/>
    <s v="NO"/>
    <n v="27.53"/>
    <s v="27-31"/>
    <n v="2"/>
    <n v="2"/>
    <n v="170"/>
    <n v="1.9"/>
    <n v="0"/>
    <n v="2"/>
    <n v="2"/>
    <n v="0"/>
    <n v="0"/>
    <n v="0"/>
    <n v="0"/>
    <n v="0"/>
    <n v="0"/>
    <s v="Always Started"/>
    <n v="0"/>
  </r>
  <r>
    <s v="Leo Ostigard"/>
    <s v="DF"/>
    <x v="1"/>
    <s v="NO"/>
    <n v="26.59"/>
    <s v="23-27"/>
    <n v="3"/>
    <n v="1"/>
    <n v="115"/>
    <n v="1.3"/>
    <n v="1"/>
    <n v="0"/>
    <n v="1"/>
    <n v="1"/>
    <n v="0"/>
    <n v="0"/>
    <n v="0"/>
    <n v="0"/>
    <n v="0.76900000000000002"/>
    <s v="Mixed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5CECA-492C-4999-8DC5-E4AEE133C407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2" firstHeaderRow="1" firstDataRow="1" firstDataCol="1"/>
  <pivotFields count="21">
    <pivotField showAll="0"/>
    <pivotField showAll="0"/>
    <pivotField axis="axisRow" showAll="0">
      <items count="51">
        <item x="16"/>
        <item x="28"/>
        <item x="41"/>
        <item x="20"/>
        <item x="44"/>
        <item x="21"/>
        <item x="27"/>
        <item x="36"/>
        <item x="15"/>
        <item x="37"/>
        <item x="39"/>
        <item x="11"/>
        <item x="40"/>
        <item x="34"/>
        <item x="46"/>
        <item x="22"/>
        <item x="2"/>
        <item m="1" x="49"/>
        <item x="19"/>
        <item x="32"/>
        <item x="12"/>
        <item x="10"/>
        <item x="26"/>
        <item x="24"/>
        <item x="47"/>
        <item x="7"/>
        <item x="45"/>
        <item x="29"/>
        <item x="30"/>
        <item x="17"/>
        <item x="42"/>
        <item x="1"/>
        <item x="31"/>
        <item x="23"/>
        <item x="35"/>
        <item x="6"/>
        <item x="4"/>
        <item m="1" x="48"/>
        <item x="43"/>
        <item x="9"/>
        <item x="38"/>
        <item x="25"/>
        <item x="13"/>
        <item x="3"/>
        <item x="18"/>
        <item x="0"/>
        <item x="14"/>
        <item x="5"/>
        <item x="8"/>
        <item x="3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AGE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BD425-40DF-4C8A-8AB4-A82E3439F4B3}" name="Table1" displayName="Table1" ref="A1:U1009" totalsRowShown="0">
  <autoFilter ref="A1:U1009" xr:uid="{1F0BD425-40DF-4C8A-8AB4-A82E3439F4B3}"/>
  <tableColumns count="21">
    <tableColumn id="1" xr3:uid="{8373F742-1B22-4949-AFFD-9793935CDA4C}" name="PLAYER_NAME"/>
    <tableColumn id="2" xr3:uid="{D5B9D8C6-9619-4BA5-8C36-2B5DAB2DD057}" name="POS"/>
    <tableColumn id="3" xr3:uid="{2695AF14-AC1E-454F-A5FB-EE08B53BE7EE}" name="TEAM"/>
    <tableColumn id="4" xr3:uid="{CB1E2BD0-391D-4326-9D26-97A2CDE122D5}" name="NATION"/>
    <tableColumn id="5" xr3:uid="{021FBDD5-C07F-439F-8F5C-DB21FC72FF49}" name="AGE" dataDxfId="25"/>
    <tableColumn id="6" xr3:uid="{5788D784-73A3-4324-87BB-0312CAE10960}" name="AGE_GROUP" dataDxfId="24"/>
    <tableColumn id="7" xr3:uid="{A8DE659B-9CC2-4652-8092-350FE22BA051}" name="MP" dataDxfId="23"/>
    <tableColumn id="8" xr3:uid="{471AEE1C-6FAB-49A0-B685-F71D79FEDB7A}" name="STARTS" dataDxfId="22"/>
    <tableColumn id="9" xr3:uid="{72228801-1BA9-42A0-8EBA-1700DA97FFB7}" name="MIN" dataDxfId="21"/>
    <tableColumn id="10" xr3:uid="{4912E1A7-F806-4425-885A-B91154682A98}" name="90S" dataDxfId="20"/>
    <tableColumn id="11" xr3:uid="{82D6893F-383A-45D1-B285-951FE859AABA}" name="GOALS" dataDxfId="19"/>
    <tableColumn id="12" xr3:uid="{E25586CA-7EA2-4DBC-8F44-4E8056AFA7B2}" name="ASSISTS" dataDxfId="18"/>
    <tableColumn id="13" xr3:uid="{9F422967-5860-4DFF-B5DB-DAD2F08A6632}" name="POINTS" dataDxfId="17"/>
    <tableColumn id="14" xr3:uid="{52387B98-0D3C-40C7-B7F6-9075DD08DBD5}" name="GOALS_PK" dataDxfId="16"/>
    <tableColumn id="15" xr3:uid="{2C02FD63-DD5A-4FA8-9002-B77943C0C241}" name="PK" dataDxfId="15"/>
    <tableColumn id="16" xr3:uid="{B790EE34-1AD1-4A86-A9A6-EA49E17AFA1F}" name="PK_ATT" dataDxfId="14"/>
    <tableColumn id="17" xr3:uid="{DDE9775F-554D-4D0F-ABF7-7E88465BA078}" name="YEL_CRD" dataDxfId="13"/>
    <tableColumn id="18" xr3:uid="{9706D924-5DE4-44AA-9630-3502D6343C7E}" name="RED_CRD" dataDxfId="12"/>
    <tableColumn id="19" xr3:uid="{C482A4FF-A071-4074-B179-EB9217EB9045}" name="G_PER90" dataDxfId="11"/>
    <tableColumn id="20" xr3:uid="{876EE5C0-721A-451E-A796-2D2FEB949A4E}" name="ROLE" dataDxfId="10"/>
    <tableColumn id="21" xr3:uid="{FFF81A20-4C23-41A0-9D09-9E81CB8891D7}" name="SUB_GAMES" data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FD5A3B-AE2C-42A3-B4C1-6D077FEA7B2F}" name="Table8" displayName="Table8" ref="A1:D49" totalsRowShown="0">
  <autoFilter ref="A1:D49" xr:uid="{5FFD5A3B-AE2C-42A3-B4C1-6D077FEA7B2F}"/>
  <sortState xmlns:xlrd2="http://schemas.microsoft.com/office/spreadsheetml/2017/richdata2" ref="A2:D49">
    <sortCondition descending="1" ref="D1:D49"/>
  </sortState>
  <tableColumns count="4">
    <tableColumn id="1" xr3:uid="{12FCA5B3-BD86-4BCF-A7B2-5031B327AE86}" name="NATION"/>
    <tableColumn id="2" xr3:uid="{A7F77C61-FE50-4EA8-8941-978A6EBDA4A5}" name="AGE" dataDxfId="2"/>
    <tableColumn id="3" xr3:uid="{B1A35AC1-EEDE-4654-86B2-AC3F7BC4B282}" name="AVG_AGE" dataDxfId="1"/>
    <tableColumn id="4" xr3:uid="{4784B27A-C459-413D-B3FB-B705EACE341B}" name="AVG_DIFF" dataDxfId="0">
      <calculatedColumnFormula>Table8[[#This Row],[AGE]]-Table8[[#This Row],[AVG_AGE]]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F3EF3A-1704-4440-9D83-E53D5D76B8A5}" name="Table2" displayName="Table2" ref="A1:D47" totalsRowShown="0">
  <autoFilter ref="A1:D47" xr:uid="{49F3EF3A-1704-4440-9D83-E53D5D76B8A5}"/>
  <sortState xmlns:xlrd2="http://schemas.microsoft.com/office/spreadsheetml/2017/richdata2" ref="A2:D47">
    <sortCondition ref="D1:D47"/>
  </sortState>
  <tableColumns count="4">
    <tableColumn id="1" xr3:uid="{F820ECE8-0669-4C6F-9832-14E2E72F9B62}" name="NATION"/>
    <tableColumn id="2" xr3:uid="{BE9BA13B-B3B8-4585-8B03-A7C2280E0885}" name="RED"/>
    <tableColumn id="3" xr3:uid="{79289598-EF8A-4CF9-A01E-F8A782FF87BF}" name="YELLOW"/>
    <tableColumn id="4" xr3:uid="{0C47D0B0-EE9D-4B86-805F-E7D5F8D22E58}" name="TOTAL" dataDxfId="8">
      <calculatedColumnFormula>SUM(Table2[[#This Row],[RED]:[YELLOW]])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2F7696-A54D-4367-B42C-7ADBC939EA09}" name="Table57" displayName="Table57" ref="A1:B49" totalsRowShown="0">
  <autoFilter ref="A1:B49" xr:uid="{6DE5168E-8C85-4549-9937-DC3C5705D0EE}"/>
  <sortState xmlns:xlrd2="http://schemas.microsoft.com/office/spreadsheetml/2017/richdata2" ref="A2:B49">
    <sortCondition descending="1" ref="B1:B49"/>
  </sortState>
  <tableColumns count="2">
    <tableColumn id="1" xr3:uid="{E6DF4190-8F9B-4259-A518-F2C80795B915}" name="NATION"/>
    <tableColumn id="3" xr3:uid="{DB4B4E1B-2B86-4ED0-808A-47792EDF5283}" name="GOALS" dataDxfId="5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3915CC-4F4A-43BB-8D03-8C7DC6348CDF}" name="Table3" displayName="Table3" ref="A1:E49" totalsRowShown="0">
  <autoFilter ref="A1:E49" xr:uid="{AA3915CC-4F4A-43BB-8D03-8C7DC6348CDF}"/>
  <sortState xmlns:xlrd2="http://schemas.microsoft.com/office/spreadsheetml/2017/richdata2" ref="A2:E49">
    <sortCondition descending="1" ref="D1:D49"/>
  </sortState>
  <tableColumns count="5">
    <tableColumn id="1" xr3:uid="{C7977EB4-38FB-4E35-87CD-0C1A7C2EE123}" name="NATION"/>
    <tableColumn id="2" xr3:uid="{A1CD0A55-677B-4579-8126-D6D74DCA8790}" name="RED"/>
    <tableColumn id="3" xr3:uid="{3C6101F9-800F-4689-AF55-AA5EECD5DB9F}" name="YELLOW"/>
    <tableColumn id="5" xr3:uid="{0F55C287-B2EC-45CF-91A5-92ABA186396F}" name="TOTAL_CARDS" dataDxfId="7">
      <calculatedColumnFormula>SUM(Table3[[#This Row],[RED]:[YELLOW]])</calculatedColumnFormula>
    </tableColumn>
    <tableColumn id="4" xr3:uid="{CAA5D10D-C392-44CA-8842-A2F8956E81F0}" name="GOALS" dataDxfId="6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4D82D0-DD0B-441F-8474-AAC4A1E48E5F}" name="Table4" displayName="Table4" ref="A1:C49" totalsRowShown="0">
  <autoFilter ref="A1:C49" xr:uid="{B54D82D0-DD0B-441F-8474-AAC4A1E48E5F}"/>
  <tableColumns count="3">
    <tableColumn id="1" xr3:uid="{A5260DC7-B5FA-4FE1-B9E9-F69621F7E48E}" name="NATION"/>
    <tableColumn id="2" xr3:uid="{243B800F-8D27-4ACF-A2FE-06E56BA5585D}" name="AGE" dataDxfId="3"/>
    <tableColumn id="3" xr3:uid="{C97CC367-7683-4A18-A623-024833B41153}" name="GOALS" dataDxfId="4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10C426-DC97-4486-A27E-1C494A23AAB1}" name="Table7" displayName="Table7" ref="A1:C1009" totalsRowShown="0">
  <autoFilter ref="A1:C1009" xr:uid="{2D10C426-DC97-4486-A27E-1C494A23AAB1}"/>
  <sortState xmlns:xlrd2="http://schemas.microsoft.com/office/spreadsheetml/2017/richdata2" ref="A2:C1009">
    <sortCondition descending="1" ref="C1:C1009"/>
  </sortState>
  <tableColumns count="3">
    <tableColumn id="1" xr3:uid="{11617483-5AA4-4C7F-9BDF-11509FC393CE}" name="PLAYER_NAME"/>
    <tableColumn id="2" xr3:uid="{51329A36-4A75-4065-BA77-FF66B0C1AC66}" name="AGE"/>
    <tableColumn id="3" xr3:uid="{FD71A978-797C-4D9A-991E-BD6BFDC8FE7C}" name="GOAL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2938-D4E1-4694-AF62-D1EF70943C80}">
  <dimension ref="A1:U1009"/>
  <sheetViews>
    <sheetView tabSelected="1" workbookViewId="0">
      <selection activeCell="D10" sqref="D10"/>
    </sheetView>
  </sheetViews>
  <sheetFormatPr defaultRowHeight="14.4" x14ac:dyDescent="0.3"/>
  <cols>
    <col min="1" max="1" width="26.5546875" customWidth="1"/>
    <col min="2" max="2" width="10.33203125" customWidth="1"/>
    <col min="3" max="3" width="17.109375" customWidth="1"/>
    <col min="4" max="4" width="9.77734375" bestFit="1" customWidth="1"/>
    <col min="5" max="5" width="8.88671875" style="1"/>
    <col min="6" max="6" width="15.77734375" style="1" bestFit="1" customWidth="1"/>
    <col min="7" max="7" width="8" style="1" bestFit="1" customWidth="1"/>
    <col min="8" max="8" width="11.6640625" style="1" bestFit="1" customWidth="1"/>
    <col min="9" max="9" width="8.77734375" style="1" bestFit="1" customWidth="1"/>
    <col min="10" max="10" width="8.5546875" style="1" bestFit="1" customWidth="1"/>
    <col min="11" max="11" width="11.21875" style="1" bestFit="1" customWidth="1"/>
    <col min="12" max="12" width="12.44140625" style="1" bestFit="1" customWidth="1"/>
    <col min="13" max="13" width="11.77734375" style="1" bestFit="1" customWidth="1"/>
    <col min="14" max="14" width="14.21875" style="1" bestFit="1" customWidth="1"/>
    <col min="15" max="15" width="7.6640625" style="1" bestFit="1" customWidth="1"/>
    <col min="16" max="16" width="11.33203125" style="1" bestFit="1" customWidth="1"/>
    <col min="17" max="17" width="12.6640625" style="1" bestFit="1" customWidth="1"/>
    <col min="18" max="18" width="13.109375" style="1" bestFit="1" customWidth="1"/>
    <col min="19" max="19" width="12.77734375" style="1" bestFit="1" customWidth="1"/>
    <col min="20" max="20" width="12.6640625" style="1" bestFit="1" customWidth="1"/>
    <col min="21" max="21" width="15.6640625" style="1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s="1">
        <v>25.69</v>
      </c>
      <c r="F2" s="1" t="s">
        <v>25</v>
      </c>
      <c r="G2" s="1">
        <v>1</v>
      </c>
      <c r="H2" s="1">
        <v>1</v>
      </c>
      <c r="I2" s="1">
        <v>76</v>
      </c>
      <c r="J2" s="1">
        <v>0.8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 t="s">
        <v>26</v>
      </c>
      <c r="U2" s="1">
        <v>0</v>
      </c>
    </row>
    <row r="3" spans="1:21" x14ac:dyDescent="0.3">
      <c r="A3" t="s">
        <v>27</v>
      </c>
      <c r="B3" t="s">
        <v>22</v>
      </c>
      <c r="C3" t="s">
        <v>28</v>
      </c>
      <c r="D3" t="s">
        <v>29</v>
      </c>
      <c r="E3" s="1">
        <v>24.16</v>
      </c>
      <c r="F3" s="1" t="s">
        <v>25</v>
      </c>
      <c r="G3" s="1">
        <v>1</v>
      </c>
      <c r="H3" s="1">
        <v>1</v>
      </c>
      <c r="I3" s="1">
        <v>90</v>
      </c>
      <c r="J3" s="1">
        <v>1</v>
      </c>
      <c r="K3" s="1">
        <v>1</v>
      </c>
      <c r="L3" s="1">
        <v>0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 t="s">
        <v>26</v>
      </c>
      <c r="U3" s="1">
        <v>0</v>
      </c>
    </row>
    <row r="4" spans="1:21" x14ac:dyDescent="0.3">
      <c r="A4" t="s">
        <v>30</v>
      </c>
      <c r="B4" t="s">
        <v>31</v>
      </c>
      <c r="C4" t="s">
        <v>32</v>
      </c>
      <c r="D4" t="s">
        <v>33</v>
      </c>
      <c r="E4" s="1">
        <v>18.489999999999998</v>
      </c>
      <c r="F4" s="1" t="s">
        <v>34</v>
      </c>
      <c r="G4" s="1">
        <v>3</v>
      </c>
      <c r="H4" s="1">
        <v>0</v>
      </c>
      <c r="I4" s="1">
        <v>45</v>
      </c>
      <c r="J4" s="1">
        <v>0.5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35</v>
      </c>
      <c r="U4" s="1">
        <v>3</v>
      </c>
    </row>
    <row r="5" spans="1:21" x14ac:dyDescent="0.3">
      <c r="A5" t="s">
        <v>36</v>
      </c>
      <c r="B5" t="s">
        <v>37</v>
      </c>
      <c r="C5" t="s">
        <v>32</v>
      </c>
      <c r="D5" t="s">
        <v>33</v>
      </c>
      <c r="E5" s="1">
        <v>25.17</v>
      </c>
      <c r="F5" s="1" t="s">
        <v>25</v>
      </c>
      <c r="G5" s="1">
        <v>1</v>
      </c>
      <c r="H5" s="1">
        <v>0</v>
      </c>
      <c r="I5" s="1">
        <v>5</v>
      </c>
      <c r="J5" s="1">
        <v>0.1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35</v>
      </c>
      <c r="U5" s="1">
        <v>1</v>
      </c>
    </row>
    <row r="6" spans="1:21" x14ac:dyDescent="0.3">
      <c r="A6" t="s">
        <v>38</v>
      </c>
      <c r="B6" t="s">
        <v>37</v>
      </c>
      <c r="C6" t="s">
        <v>32</v>
      </c>
      <c r="D6" t="s">
        <v>33</v>
      </c>
      <c r="E6" s="1">
        <v>27.41</v>
      </c>
      <c r="F6" s="1" t="s">
        <v>39</v>
      </c>
      <c r="G6" s="1">
        <v>2</v>
      </c>
      <c r="H6" s="1">
        <v>1</v>
      </c>
      <c r="I6" s="1">
        <v>14</v>
      </c>
      <c r="J6" s="1">
        <v>0.2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40</v>
      </c>
      <c r="U6" s="1">
        <v>1</v>
      </c>
    </row>
    <row r="7" spans="1:21" x14ac:dyDescent="0.3">
      <c r="A7" t="s">
        <v>41</v>
      </c>
      <c r="B7" t="s">
        <v>37</v>
      </c>
      <c r="C7" t="s">
        <v>42</v>
      </c>
      <c r="D7" t="s">
        <v>43</v>
      </c>
      <c r="E7" s="1">
        <v>32.53</v>
      </c>
      <c r="F7" s="1" t="s">
        <v>44</v>
      </c>
      <c r="G7" s="1">
        <v>3</v>
      </c>
      <c r="H7" s="1">
        <v>3</v>
      </c>
      <c r="I7" s="1">
        <v>269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 t="s">
        <v>26</v>
      </c>
      <c r="U7" s="1">
        <v>0</v>
      </c>
    </row>
    <row r="8" spans="1:21" x14ac:dyDescent="0.3">
      <c r="A8" t="s">
        <v>45</v>
      </c>
      <c r="B8" t="s">
        <v>37</v>
      </c>
      <c r="C8" t="s">
        <v>46</v>
      </c>
      <c r="D8" t="s">
        <v>47</v>
      </c>
      <c r="E8" s="1">
        <v>26.95</v>
      </c>
      <c r="F8" s="1" t="s">
        <v>25</v>
      </c>
      <c r="G8" s="1">
        <v>3</v>
      </c>
      <c r="H8" s="1">
        <v>3</v>
      </c>
      <c r="I8" s="1">
        <v>269</v>
      </c>
      <c r="J8" s="1">
        <v>3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 t="s">
        <v>26</v>
      </c>
      <c r="U8" s="1">
        <v>0</v>
      </c>
    </row>
    <row r="9" spans="1:21" x14ac:dyDescent="0.3">
      <c r="A9" t="s">
        <v>48</v>
      </c>
      <c r="B9" t="s">
        <v>37</v>
      </c>
      <c r="C9" t="s">
        <v>49</v>
      </c>
      <c r="D9" t="s">
        <v>50</v>
      </c>
      <c r="E9" s="1">
        <v>28.83</v>
      </c>
      <c r="F9" s="1" t="s">
        <v>39</v>
      </c>
      <c r="G9" s="1">
        <v>2</v>
      </c>
      <c r="H9" s="1">
        <v>2</v>
      </c>
      <c r="I9" s="1">
        <v>180</v>
      </c>
      <c r="J9" s="1">
        <v>2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26</v>
      </c>
      <c r="U9" s="1">
        <v>0</v>
      </c>
    </row>
    <row r="10" spans="1:21" x14ac:dyDescent="0.3">
      <c r="A10" t="s">
        <v>51</v>
      </c>
      <c r="B10" t="s">
        <v>31</v>
      </c>
      <c r="C10" t="s">
        <v>52</v>
      </c>
      <c r="D10" t="s">
        <v>53</v>
      </c>
      <c r="E10" s="1">
        <v>26.9</v>
      </c>
      <c r="F10" s="1" t="s">
        <v>25</v>
      </c>
      <c r="G10" s="1">
        <v>2</v>
      </c>
      <c r="H10" s="1">
        <v>2</v>
      </c>
      <c r="I10" s="1">
        <v>98</v>
      </c>
      <c r="J10" s="1">
        <v>1.1000000000000001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26</v>
      </c>
      <c r="U10" s="1">
        <v>0</v>
      </c>
    </row>
    <row r="11" spans="1:21" x14ac:dyDescent="0.3">
      <c r="A11" t="s">
        <v>54</v>
      </c>
      <c r="B11" t="s">
        <v>37</v>
      </c>
      <c r="C11" t="s">
        <v>55</v>
      </c>
      <c r="D11" t="s">
        <v>56</v>
      </c>
      <c r="E11" s="1">
        <v>26.13</v>
      </c>
      <c r="F11" s="1" t="s">
        <v>25</v>
      </c>
      <c r="G11" s="1">
        <v>2</v>
      </c>
      <c r="H11" s="1">
        <v>2</v>
      </c>
      <c r="I11" s="1">
        <v>178</v>
      </c>
      <c r="J11" s="1">
        <v>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 t="s">
        <v>26</v>
      </c>
      <c r="U11" s="1">
        <v>0</v>
      </c>
    </row>
    <row r="12" spans="1:21" x14ac:dyDescent="0.3">
      <c r="A12" t="s">
        <v>57</v>
      </c>
      <c r="B12" t="s">
        <v>37</v>
      </c>
      <c r="C12" t="s">
        <v>55</v>
      </c>
      <c r="D12" t="s">
        <v>56</v>
      </c>
      <c r="E12" s="1">
        <v>31.14</v>
      </c>
      <c r="F12" s="1" t="s">
        <v>44</v>
      </c>
      <c r="G12" s="1">
        <v>1</v>
      </c>
      <c r="H12" s="1">
        <v>0</v>
      </c>
      <c r="I12" s="1">
        <v>6</v>
      </c>
      <c r="J12" s="1">
        <v>0.1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35</v>
      </c>
      <c r="U12" s="1">
        <v>1</v>
      </c>
    </row>
    <row r="13" spans="1:21" x14ac:dyDescent="0.3">
      <c r="A13" t="s">
        <v>58</v>
      </c>
      <c r="B13" t="s">
        <v>37</v>
      </c>
      <c r="C13" t="s">
        <v>55</v>
      </c>
      <c r="D13" t="s">
        <v>56</v>
      </c>
      <c r="E13" s="1">
        <v>23.41</v>
      </c>
      <c r="F13" s="1" t="s">
        <v>25</v>
      </c>
      <c r="G13" s="1">
        <v>3</v>
      </c>
      <c r="H13" s="1">
        <v>3</v>
      </c>
      <c r="I13" s="1">
        <v>264</v>
      </c>
      <c r="J13" s="1">
        <v>2.9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 t="s">
        <v>26</v>
      </c>
      <c r="U13" s="1">
        <v>0</v>
      </c>
    </row>
    <row r="14" spans="1:21" x14ac:dyDescent="0.3">
      <c r="A14" t="s">
        <v>59</v>
      </c>
      <c r="B14" t="s">
        <v>37</v>
      </c>
      <c r="C14" t="s">
        <v>55</v>
      </c>
      <c r="D14" t="s">
        <v>56</v>
      </c>
      <c r="E14" s="1">
        <v>25.39</v>
      </c>
      <c r="F14" s="1" t="s">
        <v>25</v>
      </c>
      <c r="G14" s="1">
        <v>1</v>
      </c>
      <c r="H14" s="1">
        <v>1</v>
      </c>
      <c r="I14" s="1">
        <v>71</v>
      </c>
      <c r="J14" s="1">
        <v>0.8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26</v>
      </c>
      <c r="U14" s="1">
        <v>0</v>
      </c>
    </row>
    <row r="15" spans="1:21" x14ac:dyDescent="0.3">
      <c r="A15" t="s">
        <v>60</v>
      </c>
      <c r="B15" t="s">
        <v>61</v>
      </c>
      <c r="C15" t="s">
        <v>55</v>
      </c>
      <c r="D15" t="s">
        <v>56</v>
      </c>
      <c r="E15" s="1">
        <v>33.47</v>
      </c>
      <c r="F15" s="1" t="s">
        <v>44</v>
      </c>
      <c r="G15" s="1">
        <v>3</v>
      </c>
      <c r="H15" s="1">
        <v>3</v>
      </c>
      <c r="I15" s="1">
        <v>270</v>
      </c>
      <c r="J15" s="1">
        <v>3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26</v>
      </c>
      <c r="U15" s="1">
        <v>0</v>
      </c>
    </row>
    <row r="16" spans="1:21" x14ac:dyDescent="0.3">
      <c r="A16" t="s">
        <v>62</v>
      </c>
      <c r="B16" t="s">
        <v>61</v>
      </c>
      <c r="C16" t="s">
        <v>52</v>
      </c>
      <c r="D16" t="s">
        <v>53</v>
      </c>
      <c r="E16" s="1">
        <v>26.4</v>
      </c>
      <c r="F16" s="1" t="s">
        <v>25</v>
      </c>
      <c r="G16" s="1">
        <v>3</v>
      </c>
      <c r="H16" s="1">
        <v>3</v>
      </c>
      <c r="I16" s="1">
        <v>270</v>
      </c>
      <c r="J16" s="1">
        <v>3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 t="s">
        <v>26</v>
      </c>
      <c r="U16" s="1">
        <v>0</v>
      </c>
    </row>
    <row r="17" spans="1:21" x14ac:dyDescent="0.3">
      <c r="A17" t="s">
        <v>63</v>
      </c>
      <c r="B17" t="s">
        <v>64</v>
      </c>
      <c r="C17" t="s">
        <v>42</v>
      </c>
      <c r="D17" t="s">
        <v>43</v>
      </c>
      <c r="E17" s="1">
        <v>27.38</v>
      </c>
      <c r="F17" s="1" t="s">
        <v>39</v>
      </c>
      <c r="G17" s="1">
        <v>3</v>
      </c>
      <c r="H17" s="1">
        <v>0</v>
      </c>
      <c r="I17" s="1">
        <v>43</v>
      </c>
      <c r="J17" s="1">
        <v>0.5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35</v>
      </c>
      <c r="U17" s="1">
        <v>3</v>
      </c>
    </row>
    <row r="18" spans="1:21" x14ac:dyDescent="0.3">
      <c r="A18" t="s">
        <v>65</v>
      </c>
      <c r="B18" t="s">
        <v>31</v>
      </c>
      <c r="C18" t="s">
        <v>1146</v>
      </c>
      <c r="D18" t="s">
        <v>1148</v>
      </c>
      <c r="E18" s="1">
        <v>29.96</v>
      </c>
      <c r="F18" s="1" t="s">
        <v>39</v>
      </c>
      <c r="G18" s="1">
        <v>3</v>
      </c>
      <c r="H18" s="1">
        <v>2</v>
      </c>
      <c r="I18" s="1">
        <v>145</v>
      </c>
      <c r="J18" s="1">
        <v>1.6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40</v>
      </c>
      <c r="U18" s="1">
        <v>1</v>
      </c>
    </row>
    <row r="19" spans="1:21" x14ac:dyDescent="0.3">
      <c r="A19" t="s">
        <v>67</v>
      </c>
      <c r="B19" t="s">
        <v>22</v>
      </c>
      <c r="C19" t="s">
        <v>68</v>
      </c>
      <c r="D19" t="s">
        <v>69</v>
      </c>
      <c r="E19" s="1">
        <v>25.15</v>
      </c>
      <c r="F19" s="1" t="s">
        <v>25</v>
      </c>
      <c r="G19" s="1">
        <v>3</v>
      </c>
      <c r="H19" s="1">
        <v>2</v>
      </c>
      <c r="I19" s="1">
        <v>116</v>
      </c>
      <c r="J19" s="1">
        <v>1.3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40</v>
      </c>
      <c r="U19" s="1">
        <v>1</v>
      </c>
    </row>
    <row r="20" spans="1:21" x14ac:dyDescent="0.3">
      <c r="A20" t="s">
        <v>70</v>
      </c>
      <c r="B20" t="s">
        <v>22</v>
      </c>
      <c r="C20" t="s">
        <v>23</v>
      </c>
      <c r="D20" t="s">
        <v>24</v>
      </c>
      <c r="E20" s="1">
        <v>27.37</v>
      </c>
      <c r="F20" s="1" t="s">
        <v>39</v>
      </c>
      <c r="G20" s="1">
        <v>2</v>
      </c>
      <c r="H20" s="1">
        <v>2</v>
      </c>
      <c r="I20" s="1">
        <v>180</v>
      </c>
      <c r="J20" s="1">
        <v>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 t="s">
        <v>26</v>
      </c>
      <c r="U20" s="1">
        <v>0</v>
      </c>
    </row>
    <row r="21" spans="1:21" x14ac:dyDescent="0.3">
      <c r="A21" t="s">
        <v>71</v>
      </c>
      <c r="B21" t="s">
        <v>37</v>
      </c>
      <c r="C21" t="s">
        <v>72</v>
      </c>
      <c r="D21" t="s">
        <v>73</v>
      </c>
      <c r="E21" s="1">
        <v>36.11</v>
      </c>
      <c r="F21" s="1" t="s">
        <v>74</v>
      </c>
      <c r="G21" s="1">
        <v>3</v>
      </c>
      <c r="H21" s="1">
        <v>3</v>
      </c>
      <c r="I21" s="1">
        <v>270</v>
      </c>
      <c r="J21" s="1">
        <v>3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26</v>
      </c>
      <c r="U21" s="1">
        <v>0</v>
      </c>
    </row>
    <row r="22" spans="1:21" x14ac:dyDescent="0.3">
      <c r="A22" t="s">
        <v>75</v>
      </c>
      <c r="B22" t="s">
        <v>22</v>
      </c>
      <c r="C22" t="s">
        <v>32</v>
      </c>
      <c r="D22" t="s">
        <v>33</v>
      </c>
      <c r="E22" s="1">
        <v>25.19</v>
      </c>
      <c r="F22" s="1" t="s">
        <v>25</v>
      </c>
      <c r="G22" s="1">
        <v>1</v>
      </c>
      <c r="H22" s="1">
        <v>0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35</v>
      </c>
      <c r="U22" s="1">
        <v>1</v>
      </c>
    </row>
    <row r="23" spans="1:21" x14ac:dyDescent="0.3">
      <c r="A23" t="s">
        <v>76</v>
      </c>
      <c r="B23" t="s">
        <v>64</v>
      </c>
      <c r="C23" t="s">
        <v>77</v>
      </c>
      <c r="D23" t="s">
        <v>78</v>
      </c>
      <c r="E23" s="1">
        <v>24.49</v>
      </c>
      <c r="F23" s="1" t="s">
        <v>25</v>
      </c>
      <c r="G23" s="1">
        <v>1</v>
      </c>
      <c r="H23" s="1">
        <v>0</v>
      </c>
      <c r="I23" s="1">
        <v>16</v>
      </c>
      <c r="J23" s="1">
        <v>0.2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35</v>
      </c>
      <c r="U23" s="1">
        <v>1</v>
      </c>
    </row>
    <row r="24" spans="1:21" x14ac:dyDescent="0.3">
      <c r="A24" t="s">
        <v>79</v>
      </c>
      <c r="B24" t="s">
        <v>37</v>
      </c>
      <c r="C24" t="s">
        <v>80</v>
      </c>
      <c r="D24" t="s">
        <v>81</v>
      </c>
      <c r="E24" s="1">
        <v>22.54</v>
      </c>
      <c r="F24" s="1" t="s">
        <v>34</v>
      </c>
      <c r="G24" s="1">
        <v>3</v>
      </c>
      <c r="H24" s="1">
        <v>3</v>
      </c>
      <c r="I24" s="1">
        <v>225</v>
      </c>
      <c r="J24" s="1">
        <v>2.5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26</v>
      </c>
      <c r="U24" s="1">
        <v>0</v>
      </c>
    </row>
    <row r="25" spans="1:21" x14ac:dyDescent="0.3">
      <c r="A25" t="s">
        <v>82</v>
      </c>
      <c r="B25" t="s">
        <v>83</v>
      </c>
      <c r="C25" t="s">
        <v>84</v>
      </c>
      <c r="D25" t="s">
        <v>85</v>
      </c>
      <c r="E25" s="1">
        <v>29.48</v>
      </c>
      <c r="F25" s="1" t="s">
        <v>39</v>
      </c>
      <c r="G25" s="1">
        <v>3</v>
      </c>
      <c r="H25" s="1">
        <v>2</v>
      </c>
      <c r="I25" s="1">
        <v>152</v>
      </c>
      <c r="J25" s="1">
        <v>1.7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40</v>
      </c>
      <c r="U25" s="1">
        <v>1</v>
      </c>
    </row>
    <row r="26" spans="1:21" x14ac:dyDescent="0.3">
      <c r="A26" t="s">
        <v>86</v>
      </c>
      <c r="B26" t="s">
        <v>64</v>
      </c>
      <c r="C26" t="s">
        <v>52</v>
      </c>
      <c r="D26" t="s">
        <v>53</v>
      </c>
      <c r="E26" s="1">
        <v>29.61</v>
      </c>
      <c r="F26" s="1" t="s">
        <v>39</v>
      </c>
      <c r="G26" s="1">
        <v>3</v>
      </c>
      <c r="H26" s="1">
        <v>3</v>
      </c>
      <c r="I26" s="1">
        <v>238</v>
      </c>
      <c r="J26" s="1">
        <v>2.6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26</v>
      </c>
      <c r="U26" s="1">
        <v>0</v>
      </c>
    </row>
    <row r="27" spans="1:21" x14ac:dyDescent="0.3">
      <c r="A27" t="s">
        <v>87</v>
      </c>
      <c r="B27" t="s">
        <v>37</v>
      </c>
      <c r="C27" t="s">
        <v>77</v>
      </c>
      <c r="D27" t="s">
        <v>78</v>
      </c>
      <c r="E27" s="1">
        <v>29.04</v>
      </c>
      <c r="F27" s="1" t="s">
        <v>39</v>
      </c>
      <c r="G27" s="1">
        <v>2</v>
      </c>
      <c r="H27" s="1">
        <v>2</v>
      </c>
      <c r="I27" s="1">
        <v>180</v>
      </c>
      <c r="J27" s="1">
        <v>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26</v>
      </c>
      <c r="U27" s="1">
        <v>0</v>
      </c>
    </row>
    <row r="28" spans="1:21" x14ac:dyDescent="0.3">
      <c r="A28" t="s">
        <v>88</v>
      </c>
      <c r="B28" t="s">
        <v>31</v>
      </c>
      <c r="C28" t="s">
        <v>89</v>
      </c>
      <c r="D28" t="s">
        <v>90</v>
      </c>
      <c r="E28" s="1">
        <v>31.74</v>
      </c>
      <c r="F28" s="1" t="s">
        <v>44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 t="s">
        <v>35</v>
      </c>
      <c r="U28" s="1">
        <v>1</v>
      </c>
    </row>
    <row r="29" spans="1:21" x14ac:dyDescent="0.3">
      <c r="A29" t="s">
        <v>91</v>
      </c>
      <c r="B29" t="s">
        <v>22</v>
      </c>
      <c r="C29" t="s">
        <v>92</v>
      </c>
      <c r="D29" t="s">
        <v>93</v>
      </c>
      <c r="E29" s="1">
        <v>25.72</v>
      </c>
      <c r="F29" s="1" t="s">
        <v>25</v>
      </c>
      <c r="G29" s="1">
        <v>3</v>
      </c>
      <c r="H29" s="1">
        <v>2</v>
      </c>
      <c r="I29" s="1">
        <v>157</v>
      </c>
      <c r="J29" s="1">
        <v>1.7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40</v>
      </c>
      <c r="U29" s="1">
        <v>1</v>
      </c>
    </row>
    <row r="30" spans="1:21" x14ac:dyDescent="0.3">
      <c r="A30" t="s">
        <v>94</v>
      </c>
      <c r="B30" t="s">
        <v>37</v>
      </c>
      <c r="C30" t="s">
        <v>52</v>
      </c>
      <c r="D30" t="s">
        <v>53</v>
      </c>
      <c r="E30" s="1">
        <v>26.85</v>
      </c>
      <c r="F30" s="1" t="s">
        <v>25</v>
      </c>
      <c r="G30" s="1">
        <v>2</v>
      </c>
      <c r="H30" s="1">
        <v>2</v>
      </c>
      <c r="I30" s="1">
        <v>122</v>
      </c>
      <c r="J30" s="1">
        <v>1.4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0</v>
      </c>
      <c r="T30" s="1" t="s">
        <v>26</v>
      </c>
      <c r="U30" s="1">
        <v>0</v>
      </c>
    </row>
    <row r="31" spans="1:21" x14ac:dyDescent="0.3">
      <c r="A31" t="s">
        <v>95</v>
      </c>
      <c r="B31" t="s">
        <v>37</v>
      </c>
      <c r="C31" t="s">
        <v>96</v>
      </c>
      <c r="D31" t="s">
        <v>97</v>
      </c>
      <c r="E31" s="1">
        <v>25.07</v>
      </c>
      <c r="F31" s="1" t="s">
        <v>25</v>
      </c>
      <c r="G31" s="1">
        <v>3</v>
      </c>
      <c r="H31" s="1">
        <v>2</v>
      </c>
      <c r="I31" s="1">
        <v>194</v>
      </c>
      <c r="J31" s="1">
        <v>2.2000000000000002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40</v>
      </c>
      <c r="U31" s="1">
        <v>1</v>
      </c>
    </row>
    <row r="32" spans="1:21" x14ac:dyDescent="0.3">
      <c r="A32" t="s">
        <v>98</v>
      </c>
      <c r="B32" t="s">
        <v>37</v>
      </c>
      <c r="C32" t="s">
        <v>28</v>
      </c>
      <c r="D32" t="s">
        <v>29</v>
      </c>
      <c r="E32" s="1">
        <v>28.2</v>
      </c>
      <c r="F32" s="1" t="s">
        <v>39</v>
      </c>
      <c r="G32" s="1">
        <v>2</v>
      </c>
      <c r="H32" s="1">
        <v>2</v>
      </c>
      <c r="I32" s="1">
        <v>180</v>
      </c>
      <c r="J32" s="1">
        <v>2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26</v>
      </c>
      <c r="U32" s="1">
        <v>0</v>
      </c>
    </row>
    <row r="33" spans="1:21" x14ac:dyDescent="0.3">
      <c r="A33" t="s">
        <v>99</v>
      </c>
      <c r="B33" t="s">
        <v>37</v>
      </c>
      <c r="C33" t="s">
        <v>84</v>
      </c>
      <c r="D33" t="s">
        <v>85</v>
      </c>
      <c r="E33" s="1">
        <v>30.95</v>
      </c>
      <c r="F33" s="1" t="s">
        <v>39</v>
      </c>
      <c r="G33" s="1">
        <v>3</v>
      </c>
      <c r="H33" s="1">
        <v>3</v>
      </c>
      <c r="I33" s="1">
        <v>270</v>
      </c>
      <c r="J33" s="1">
        <v>3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 t="s">
        <v>26</v>
      </c>
      <c r="U33" s="1">
        <v>0</v>
      </c>
    </row>
    <row r="34" spans="1:21" x14ac:dyDescent="0.3">
      <c r="A34" t="s">
        <v>100</v>
      </c>
      <c r="B34" t="s">
        <v>37</v>
      </c>
      <c r="C34" t="s">
        <v>101</v>
      </c>
      <c r="D34" t="s">
        <v>102</v>
      </c>
      <c r="E34" s="1">
        <v>31.36</v>
      </c>
      <c r="F34" s="1" t="s">
        <v>44</v>
      </c>
      <c r="G34" s="1">
        <v>3</v>
      </c>
      <c r="H34" s="1">
        <v>2</v>
      </c>
      <c r="I34" s="1">
        <v>170</v>
      </c>
      <c r="J34" s="1">
        <v>1.9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 t="s">
        <v>40</v>
      </c>
      <c r="U34" s="1">
        <v>1</v>
      </c>
    </row>
    <row r="35" spans="1:21" x14ac:dyDescent="0.3">
      <c r="A35" t="s">
        <v>103</v>
      </c>
      <c r="B35" t="s">
        <v>22</v>
      </c>
      <c r="C35" t="s">
        <v>104</v>
      </c>
      <c r="D35" t="s">
        <v>105</v>
      </c>
      <c r="E35" s="1">
        <v>25.98</v>
      </c>
      <c r="F35" s="1" t="s">
        <v>25</v>
      </c>
      <c r="G35" s="1">
        <v>2</v>
      </c>
      <c r="H35" s="1">
        <v>1</v>
      </c>
      <c r="I35" s="1">
        <v>88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 t="s">
        <v>40</v>
      </c>
      <c r="U35" s="1">
        <v>1</v>
      </c>
    </row>
    <row r="36" spans="1:21" x14ac:dyDescent="0.3">
      <c r="A36" t="s">
        <v>106</v>
      </c>
      <c r="B36" t="s">
        <v>22</v>
      </c>
      <c r="C36" t="s">
        <v>107</v>
      </c>
      <c r="D36" t="s">
        <v>108</v>
      </c>
      <c r="E36" s="1">
        <v>24.34</v>
      </c>
      <c r="F36" s="1" t="s">
        <v>25</v>
      </c>
      <c r="G36" s="1">
        <v>1</v>
      </c>
      <c r="H36" s="1">
        <v>0</v>
      </c>
      <c r="I36" s="1">
        <v>8</v>
      </c>
      <c r="J36" s="1">
        <v>0.1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 t="s">
        <v>35</v>
      </c>
      <c r="U36" s="1">
        <v>1</v>
      </c>
    </row>
    <row r="37" spans="1:21" x14ac:dyDescent="0.3">
      <c r="A37" t="s">
        <v>109</v>
      </c>
      <c r="B37" t="s">
        <v>31</v>
      </c>
      <c r="C37" t="s">
        <v>104</v>
      </c>
      <c r="D37" t="s">
        <v>105</v>
      </c>
      <c r="E37" s="1">
        <v>27.69</v>
      </c>
      <c r="F37" s="1" t="s">
        <v>39</v>
      </c>
      <c r="G37" s="1">
        <v>2</v>
      </c>
      <c r="H37" s="1">
        <v>2</v>
      </c>
      <c r="I37" s="1">
        <v>129</v>
      </c>
      <c r="J37" s="1">
        <v>1.4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 t="s">
        <v>26</v>
      </c>
      <c r="U37" s="1">
        <v>0</v>
      </c>
    </row>
    <row r="38" spans="1:21" x14ac:dyDescent="0.3">
      <c r="A38" t="s">
        <v>110</v>
      </c>
      <c r="B38" t="s">
        <v>31</v>
      </c>
      <c r="C38" t="s">
        <v>52</v>
      </c>
      <c r="D38" t="s">
        <v>53</v>
      </c>
      <c r="E38" s="1">
        <v>33.409999999999997</v>
      </c>
      <c r="F38" s="1" t="s">
        <v>44</v>
      </c>
      <c r="G38" s="1">
        <v>2</v>
      </c>
      <c r="H38" s="1">
        <v>0</v>
      </c>
      <c r="I38" s="1">
        <v>43</v>
      </c>
      <c r="J38" s="1">
        <v>0.5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 t="s">
        <v>35</v>
      </c>
      <c r="U38" s="1">
        <v>2</v>
      </c>
    </row>
    <row r="39" spans="1:21" x14ac:dyDescent="0.3">
      <c r="A39" t="s">
        <v>111</v>
      </c>
      <c r="B39" t="s">
        <v>37</v>
      </c>
      <c r="C39" t="s">
        <v>112</v>
      </c>
      <c r="D39" t="s">
        <v>113</v>
      </c>
      <c r="E39" s="1">
        <v>34.020000000000003</v>
      </c>
      <c r="F39" s="1" t="s">
        <v>44</v>
      </c>
      <c r="G39" s="1">
        <v>3</v>
      </c>
      <c r="H39" s="1">
        <v>3</v>
      </c>
      <c r="I39" s="1">
        <v>185</v>
      </c>
      <c r="J39" s="1">
        <v>2.1</v>
      </c>
      <c r="K39" s="1">
        <v>0</v>
      </c>
      <c r="L39" s="1">
        <v>1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 t="s">
        <v>26</v>
      </c>
      <c r="U39" s="1">
        <v>0</v>
      </c>
    </row>
    <row r="40" spans="1:21" x14ac:dyDescent="0.3">
      <c r="A40" t="s">
        <v>114</v>
      </c>
      <c r="B40" t="s">
        <v>22</v>
      </c>
      <c r="C40" t="s">
        <v>115</v>
      </c>
      <c r="D40" t="s">
        <v>116</v>
      </c>
      <c r="E40" s="1">
        <v>18.77</v>
      </c>
      <c r="F40" s="1" t="s">
        <v>34</v>
      </c>
      <c r="G40" s="1">
        <v>3</v>
      </c>
      <c r="H40" s="1">
        <v>2</v>
      </c>
      <c r="I40" s="1">
        <v>187</v>
      </c>
      <c r="J40" s="1">
        <v>2.1</v>
      </c>
      <c r="K40" s="1">
        <v>1</v>
      </c>
      <c r="L40" s="1">
        <v>0</v>
      </c>
      <c r="M40" s="1">
        <v>1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0.47599999999999998</v>
      </c>
      <c r="T40" s="1" t="s">
        <v>40</v>
      </c>
      <c r="U40" s="1">
        <v>1</v>
      </c>
    </row>
    <row r="41" spans="1:21" x14ac:dyDescent="0.3">
      <c r="A41" t="s">
        <v>117</v>
      </c>
      <c r="B41" t="s">
        <v>22</v>
      </c>
      <c r="C41" t="s">
        <v>118</v>
      </c>
      <c r="D41" t="s">
        <v>119</v>
      </c>
      <c r="E41" s="1">
        <v>26.9</v>
      </c>
      <c r="F41" s="1" t="s">
        <v>25</v>
      </c>
      <c r="G41" s="1">
        <v>1</v>
      </c>
      <c r="H41" s="1">
        <v>1</v>
      </c>
      <c r="I41" s="1">
        <v>45</v>
      </c>
      <c r="J41" s="1">
        <v>0.5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 t="s">
        <v>26</v>
      </c>
      <c r="U41" s="1">
        <v>0</v>
      </c>
    </row>
    <row r="42" spans="1:21" x14ac:dyDescent="0.3">
      <c r="A42" t="s">
        <v>120</v>
      </c>
      <c r="B42" t="s">
        <v>37</v>
      </c>
      <c r="C42" t="s">
        <v>121</v>
      </c>
      <c r="D42" t="s">
        <v>122</v>
      </c>
      <c r="E42" s="1">
        <v>29.51</v>
      </c>
      <c r="F42" s="1" t="s">
        <v>39</v>
      </c>
      <c r="G42" s="1">
        <v>3</v>
      </c>
      <c r="H42" s="1">
        <v>3</v>
      </c>
      <c r="I42" s="1">
        <v>263</v>
      </c>
      <c r="J42" s="1">
        <v>2.9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 t="s">
        <v>26</v>
      </c>
      <c r="U42" s="1">
        <v>0</v>
      </c>
    </row>
    <row r="43" spans="1:21" x14ac:dyDescent="0.3">
      <c r="A43" t="s">
        <v>123</v>
      </c>
      <c r="B43" t="s">
        <v>31</v>
      </c>
      <c r="C43" t="s">
        <v>52</v>
      </c>
      <c r="D43" t="s">
        <v>53</v>
      </c>
      <c r="E43" s="1">
        <v>29.86</v>
      </c>
      <c r="F43" s="1" t="s">
        <v>39</v>
      </c>
      <c r="G43" s="1">
        <v>1</v>
      </c>
      <c r="H43" s="1">
        <v>0</v>
      </c>
      <c r="I43" s="1">
        <v>19</v>
      </c>
      <c r="J43" s="1">
        <v>0.2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 t="s">
        <v>35</v>
      </c>
      <c r="U43" s="1">
        <v>1</v>
      </c>
    </row>
    <row r="44" spans="1:21" x14ac:dyDescent="0.3">
      <c r="A44" t="s">
        <v>124</v>
      </c>
      <c r="B44" t="s">
        <v>37</v>
      </c>
      <c r="C44" t="s">
        <v>125</v>
      </c>
      <c r="D44" t="s">
        <v>126</v>
      </c>
      <c r="E44" s="1">
        <v>24.33</v>
      </c>
      <c r="F44" s="1" t="s">
        <v>25</v>
      </c>
      <c r="G44" s="1">
        <v>2</v>
      </c>
      <c r="H44" s="1">
        <v>2</v>
      </c>
      <c r="I44" s="1">
        <v>162</v>
      </c>
      <c r="J44" s="1">
        <v>1.8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 t="s">
        <v>26</v>
      </c>
      <c r="U44" s="1">
        <v>0</v>
      </c>
    </row>
    <row r="45" spans="1:21" x14ac:dyDescent="0.3">
      <c r="A45" t="s">
        <v>127</v>
      </c>
      <c r="B45" t="s">
        <v>31</v>
      </c>
      <c r="C45" t="s">
        <v>125</v>
      </c>
      <c r="D45" t="s">
        <v>126</v>
      </c>
      <c r="E45" s="1">
        <v>26.03</v>
      </c>
      <c r="F45" s="1" t="s">
        <v>25</v>
      </c>
      <c r="G45" s="1">
        <v>1</v>
      </c>
      <c r="H45" s="1">
        <v>0</v>
      </c>
      <c r="I45" s="1">
        <v>13</v>
      </c>
      <c r="J45" s="1">
        <v>0.1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 t="s">
        <v>35</v>
      </c>
      <c r="U45" s="1">
        <v>1</v>
      </c>
    </row>
    <row r="46" spans="1:21" x14ac:dyDescent="0.3">
      <c r="A46" t="s">
        <v>128</v>
      </c>
      <c r="B46" t="s">
        <v>64</v>
      </c>
      <c r="C46" t="s">
        <v>129</v>
      </c>
      <c r="D46" t="s">
        <v>130</v>
      </c>
      <c r="E46" s="1">
        <v>28</v>
      </c>
      <c r="F46" s="1" t="s">
        <v>39</v>
      </c>
      <c r="G46" s="1">
        <v>1</v>
      </c>
      <c r="H46" s="1">
        <v>0</v>
      </c>
      <c r="I46" s="1">
        <v>12</v>
      </c>
      <c r="J46" s="1">
        <v>0.1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 t="s">
        <v>35</v>
      </c>
      <c r="U46" s="1">
        <v>1</v>
      </c>
    </row>
    <row r="47" spans="1:21" x14ac:dyDescent="0.3">
      <c r="A47" t="s">
        <v>131</v>
      </c>
      <c r="B47" t="s">
        <v>22</v>
      </c>
      <c r="C47" t="s">
        <v>49</v>
      </c>
      <c r="D47" t="s">
        <v>50</v>
      </c>
      <c r="E47" s="1">
        <v>29.2</v>
      </c>
      <c r="F47" s="1" t="s">
        <v>39</v>
      </c>
      <c r="G47" s="1">
        <v>2</v>
      </c>
      <c r="H47" s="1">
        <v>1</v>
      </c>
      <c r="I47" s="1">
        <v>135</v>
      </c>
      <c r="J47" s="1">
        <v>1.5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 t="s">
        <v>40</v>
      </c>
      <c r="U47" s="1">
        <v>1</v>
      </c>
    </row>
    <row r="48" spans="1:21" x14ac:dyDescent="0.3">
      <c r="A48" t="s">
        <v>132</v>
      </c>
      <c r="B48" t="s">
        <v>31</v>
      </c>
      <c r="C48" t="s">
        <v>133</v>
      </c>
      <c r="D48" t="s">
        <v>134</v>
      </c>
      <c r="E48" s="1">
        <v>30.63</v>
      </c>
      <c r="F48" s="1" t="s">
        <v>39</v>
      </c>
      <c r="G48" s="1">
        <v>1</v>
      </c>
      <c r="H48" s="1">
        <v>0</v>
      </c>
      <c r="I48" s="1">
        <v>38</v>
      </c>
      <c r="J48" s="1">
        <v>0.4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 t="s">
        <v>35</v>
      </c>
      <c r="U48" s="1">
        <v>1</v>
      </c>
    </row>
    <row r="49" spans="1:21" x14ac:dyDescent="0.3">
      <c r="A49" t="s">
        <v>135</v>
      </c>
      <c r="B49" t="s">
        <v>61</v>
      </c>
      <c r="C49" t="s">
        <v>136</v>
      </c>
      <c r="D49" t="s">
        <v>137</v>
      </c>
      <c r="E49" s="1">
        <v>33.74</v>
      </c>
      <c r="F49" s="1" t="s">
        <v>44</v>
      </c>
      <c r="G49" s="1">
        <v>4</v>
      </c>
      <c r="H49" s="1">
        <v>4</v>
      </c>
      <c r="I49" s="1">
        <v>360</v>
      </c>
      <c r="J49" s="1">
        <v>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 t="s">
        <v>26</v>
      </c>
      <c r="U49" s="1">
        <v>0</v>
      </c>
    </row>
    <row r="50" spans="1:21" x14ac:dyDescent="0.3">
      <c r="A50" t="s">
        <v>138</v>
      </c>
      <c r="B50" t="s">
        <v>22</v>
      </c>
      <c r="C50" t="s">
        <v>139</v>
      </c>
      <c r="D50" t="s">
        <v>140</v>
      </c>
      <c r="E50" s="1">
        <v>25.18</v>
      </c>
      <c r="F50" s="1" t="s">
        <v>25</v>
      </c>
      <c r="G50" s="1">
        <v>3</v>
      </c>
      <c r="H50" s="1">
        <v>2</v>
      </c>
      <c r="I50" s="1">
        <v>148</v>
      </c>
      <c r="J50" s="1">
        <v>1.6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 t="s">
        <v>40</v>
      </c>
      <c r="U50" s="1">
        <v>1</v>
      </c>
    </row>
    <row r="51" spans="1:21" x14ac:dyDescent="0.3">
      <c r="A51" t="s">
        <v>141</v>
      </c>
      <c r="B51" t="s">
        <v>83</v>
      </c>
      <c r="C51" t="s">
        <v>121</v>
      </c>
      <c r="D51" t="s">
        <v>122</v>
      </c>
      <c r="E51" s="1">
        <v>32.380000000000003</v>
      </c>
      <c r="F51" s="1" t="s">
        <v>44</v>
      </c>
      <c r="G51" s="1">
        <v>3</v>
      </c>
      <c r="H51" s="1">
        <v>3</v>
      </c>
      <c r="I51" s="1">
        <v>212</v>
      </c>
      <c r="J51" s="1">
        <v>2.4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1</v>
      </c>
      <c r="S51" s="1">
        <v>0</v>
      </c>
      <c r="T51" s="1" t="s">
        <v>26</v>
      </c>
      <c r="U51" s="1">
        <v>0</v>
      </c>
    </row>
    <row r="52" spans="1:21" x14ac:dyDescent="0.3">
      <c r="A52" t="s">
        <v>142</v>
      </c>
      <c r="B52" t="s">
        <v>37</v>
      </c>
      <c r="C52" t="s">
        <v>121</v>
      </c>
      <c r="D52" t="s">
        <v>122</v>
      </c>
      <c r="E52" s="1">
        <v>33.39</v>
      </c>
      <c r="F52" s="1" t="s">
        <v>44</v>
      </c>
      <c r="G52" s="1">
        <v>4</v>
      </c>
      <c r="H52" s="1">
        <v>3</v>
      </c>
      <c r="I52" s="1">
        <v>300</v>
      </c>
      <c r="J52" s="1">
        <v>3.3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 t="s">
        <v>40</v>
      </c>
      <c r="U52" s="1">
        <v>1</v>
      </c>
    </row>
    <row r="53" spans="1:21" x14ac:dyDescent="0.3">
      <c r="A53" t="s">
        <v>143</v>
      </c>
      <c r="B53" t="s">
        <v>83</v>
      </c>
      <c r="C53" t="s">
        <v>104</v>
      </c>
      <c r="D53" t="s">
        <v>105</v>
      </c>
      <c r="E53" s="1">
        <v>26.1</v>
      </c>
      <c r="F53" s="1" t="s">
        <v>25</v>
      </c>
      <c r="G53" s="1">
        <v>3</v>
      </c>
      <c r="H53" s="1">
        <v>2</v>
      </c>
      <c r="I53" s="1">
        <v>179</v>
      </c>
      <c r="J53" s="1">
        <v>2</v>
      </c>
      <c r="K53" s="1">
        <v>1</v>
      </c>
      <c r="L53" s="1">
        <v>1</v>
      </c>
      <c r="M53" s="1">
        <v>2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0.5</v>
      </c>
      <c r="T53" s="1" t="s">
        <v>40</v>
      </c>
      <c r="U53" s="1">
        <v>1</v>
      </c>
    </row>
    <row r="54" spans="1:21" x14ac:dyDescent="0.3">
      <c r="A54" t="s">
        <v>144</v>
      </c>
      <c r="B54" t="s">
        <v>64</v>
      </c>
      <c r="C54" t="s">
        <v>145</v>
      </c>
      <c r="D54" t="s">
        <v>146</v>
      </c>
      <c r="E54" s="1">
        <v>27.81</v>
      </c>
      <c r="F54" s="1" t="s">
        <v>39</v>
      </c>
      <c r="G54" s="1">
        <v>3</v>
      </c>
      <c r="H54" s="1">
        <v>3</v>
      </c>
      <c r="I54" s="1">
        <v>259</v>
      </c>
      <c r="J54" s="1">
        <v>2.9</v>
      </c>
      <c r="K54" s="1">
        <v>0</v>
      </c>
      <c r="L54" s="1">
        <v>2</v>
      </c>
      <c r="M54" s="1">
        <v>2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 t="s">
        <v>26</v>
      </c>
      <c r="U54" s="1">
        <v>0</v>
      </c>
    </row>
    <row r="55" spans="1:21" x14ac:dyDescent="0.3">
      <c r="A55" t="s">
        <v>147</v>
      </c>
      <c r="B55" t="s">
        <v>148</v>
      </c>
      <c r="C55" t="s">
        <v>145</v>
      </c>
      <c r="D55" t="s">
        <v>146</v>
      </c>
      <c r="E55" s="1">
        <v>28.68</v>
      </c>
      <c r="F55" s="1" t="s">
        <v>39</v>
      </c>
      <c r="G55" s="1">
        <v>3</v>
      </c>
      <c r="H55" s="1">
        <v>2</v>
      </c>
      <c r="I55" s="1">
        <v>195</v>
      </c>
      <c r="J55" s="1">
        <v>2.2000000000000002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 t="s">
        <v>40</v>
      </c>
      <c r="U55" s="1">
        <v>1</v>
      </c>
    </row>
    <row r="56" spans="1:21" x14ac:dyDescent="0.3">
      <c r="A56" t="s">
        <v>149</v>
      </c>
      <c r="B56" t="s">
        <v>31</v>
      </c>
      <c r="C56" t="s">
        <v>139</v>
      </c>
      <c r="D56" t="s">
        <v>140</v>
      </c>
      <c r="E56" s="1">
        <v>26.41</v>
      </c>
      <c r="F56" s="1" t="s">
        <v>25</v>
      </c>
      <c r="G56" s="1">
        <v>3</v>
      </c>
      <c r="H56" s="1">
        <v>1</v>
      </c>
      <c r="I56" s="1">
        <v>144</v>
      </c>
      <c r="J56" s="1">
        <v>1.6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 t="s">
        <v>40</v>
      </c>
      <c r="U56" s="1">
        <v>2</v>
      </c>
    </row>
    <row r="57" spans="1:21" x14ac:dyDescent="0.3">
      <c r="A57" t="s">
        <v>150</v>
      </c>
      <c r="B57" t="s">
        <v>22</v>
      </c>
      <c r="C57" t="s">
        <v>151</v>
      </c>
      <c r="D57" t="s">
        <v>152</v>
      </c>
      <c r="E57" s="1">
        <v>21.58</v>
      </c>
      <c r="F57" s="1" t="s">
        <v>34</v>
      </c>
      <c r="G57" s="1">
        <v>2</v>
      </c>
      <c r="H57" s="1">
        <v>0</v>
      </c>
      <c r="I57" s="1">
        <v>18</v>
      </c>
      <c r="J57" s="1">
        <v>0.2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 t="s">
        <v>35</v>
      </c>
      <c r="U57" s="1">
        <v>2</v>
      </c>
    </row>
    <row r="58" spans="1:21" x14ac:dyDescent="0.3">
      <c r="A58" t="s">
        <v>153</v>
      </c>
      <c r="B58" t="s">
        <v>64</v>
      </c>
      <c r="C58" t="s">
        <v>84</v>
      </c>
      <c r="D58" t="s">
        <v>85</v>
      </c>
      <c r="E58" s="1">
        <v>25.57</v>
      </c>
      <c r="F58" s="1" t="s">
        <v>25</v>
      </c>
      <c r="G58" s="1">
        <v>1</v>
      </c>
      <c r="H58" s="1">
        <v>0</v>
      </c>
      <c r="I58" s="1">
        <v>12</v>
      </c>
      <c r="J58" s="1">
        <v>0.1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 t="s">
        <v>35</v>
      </c>
      <c r="U58" s="1">
        <v>1</v>
      </c>
    </row>
    <row r="59" spans="1:21" x14ac:dyDescent="0.3">
      <c r="A59" t="s">
        <v>154</v>
      </c>
      <c r="B59" t="s">
        <v>155</v>
      </c>
      <c r="C59" t="s">
        <v>156</v>
      </c>
      <c r="D59" t="s">
        <v>157</v>
      </c>
      <c r="E59" s="1">
        <v>30.38</v>
      </c>
      <c r="F59" s="1" t="s">
        <v>39</v>
      </c>
      <c r="G59" s="1">
        <v>3</v>
      </c>
      <c r="H59" s="1">
        <v>3</v>
      </c>
      <c r="I59" s="1">
        <v>270</v>
      </c>
      <c r="J59" s="1">
        <v>3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 t="s">
        <v>26</v>
      </c>
      <c r="U59" s="1">
        <v>0</v>
      </c>
    </row>
    <row r="60" spans="1:21" x14ac:dyDescent="0.3">
      <c r="A60" t="s">
        <v>158</v>
      </c>
      <c r="B60" t="s">
        <v>22</v>
      </c>
      <c r="C60" t="s">
        <v>159</v>
      </c>
      <c r="D60" t="s">
        <v>160</v>
      </c>
      <c r="E60" s="1">
        <v>29.67</v>
      </c>
      <c r="F60" s="1" t="s">
        <v>39</v>
      </c>
      <c r="G60" s="1">
        <v>2</v>
      </c>
      <c r="H60" s="1">
        <v>0</v>
      </c>
      <c r="I60" s="1">
        <v>42</v>
      </c>
      <c r="J60" s="1">
        <v>0.5</v>
      </c>
      <c r="K60" s="1">
        <v>0</v>
      </c>
      <c r="L60" s="1">
        <v>1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 t="s">
        <v>35</v>
      </c>
      <c r="U60" s="1">
        <v>2</v>
      </c>
    </row>
    <row r="61" spans="1:21" x14ac:dyDescent="0.3">
      <c r="A61" t="s">
        <v>161</v>
      </c>
      <c r="B61" t="s">
        <v>22</v>
      </c>
      <c r="C61" t="s">
        <v>125</v>
      </c>
      <c r="D61" t="s">
        <v>126</v>
      </c>
      <c r="E61" s="1">
        <v>28.93</v>
      </c>
      <c r="F61" s="1" t="s">
        <v>39</v>
      </c>
      <c r="G61" s="1">
        <v>3</v>
      </c>
      <c r="H61" s="1">
        <v>3</v>
      </c>
      <c r="I61" s="1">
        <v>247</v>
      </c>
      <c r="J61" s="1">
        <v>2.7</v>
      </c>
      <c r="K61" s="1">
        <v>0</v>
      </c>
      <c r="L61" s="1">
        <v>1</v>
      </c>
      <c r="M61" s="1">
        <v>1</v>
      </c>
      <c r="N61" s="1">
        <v>0</v>
      </c>
      <c r="O61" s="1">
        <v>0</v>
      </c>
      <c r="P61" s="1">
        <v>0</v>
      </c>
      <c r="Q61" s="1">
        <v>2</v>
      </c>
      <c r="R61" s="1">
        <v>0</v>
      </c>
      <c r="S61" s="1">
        <v>0</v>
      </c>
      <c r="T61" s="1" t="s">
        <v>26</v>
      </c>
      <c r="U61" s="1">
        <v>0</v>
      </c>
    </row>
    <row r="62" spans="1:21" x14ac:dyDescent="0.3">
      <c r="A62" t="s">
        <v>162</v>
      </c>
      <c r="B62" t="s">
        <v>31</v>
      </c>
      <c r="C62" t="s">
        <v>49</v>
      </c>
      <c r="D62" t="s">
        <v>50</v>
      </c>
      <c r="E62" s="1">
        <v>28.67</v>
      </c>
      <c r="F62" s="1" t="s">
        <v>39</v>
      </c>
      <c r="G62" s="1">
        <v>1</v>
      </c>
      <c r="H62" s="1">
        <v>0</v>
      </c>
      <c r="I62" s="1">
        <v>14</v>
      </c>
      <c r="J62" s="1">
        <v>0.2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 t="s">
        <v>35</v>
      </c>
      <c r="U62" s="1">
        <v>1</v>
      </c>
    </row>
    <row r="63" spans="1:21" x14ac:dyDescent="0.3">
      <c r="A63" t="s">
        <v>163</v>
      </c>
      <c r="B63" t="s">
        <v>64</v>
      </c>
      <c r="C63" t="s">
        <v>96</v>
      </c>
      <c r="D63" t="s">
        <v>97</v>
      </c>
      <c r="E63" s="1">
        <v>26.14</v>
      </c>
      <c r="F63" s="1" t="s">
        <v>25</v>
      </c>
      <c r="G63" s="1">
        <v>1</v>
      </c>
      <c r="H63" s="1">
        <v>0</v>
      </c>
      <c r="I63" s="1">
        <v>27</v>
      </c>
      <c r="J63" s="1">
        <v>0.3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 t="s">
        <v>35</v>
      </c>
      <c r="U63" s="1">
        <v>1</v>
      </c>
    </row>
    <row r="64" spans="1:21" x14ac:dyDescent="0.3">
      <c r="A64" t="s">
        <v>164</v>
      </c>
      <c r="B64" t="s">
        <v>22</v>
      </c>
      <c r="C64" t="s">
        <v>151</v>
      </c>
      <c r="D64" t="s">
        <v>152</v>
      </c>
      <c r="E64" s="1">
        <v>29.86</v>
      </c>
      <c r="F64" s="1" t="s">
        <v>39</v>
      </c>
      <c r="G64" s="1">
        <v>1</v>
      </c>
      <c r="H64" s="1">
        <v>1</v>
      </c>
      <c r="I64" s="1">
        <v>90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 t="s">
        <v>26</v>
      </c>
      <c r="U64" s="1">
        <v>0</v>
      </c>
    </row>
    <row r="65" spans="1:21" x14ac:dyDescent="0.3">
      <c r="A65" t="s">
        <v>165</v>
      </c>
      <c r="B65" t="s">
        <v>37</v>
      </c>
      <c r="C65" t="s">
        <v>46</v>
      </c>
      <c r="D65" t="s">
        <v>47</v>
      </c>
      <c r="E65" s="1">
        <v>29.45</v>
      </c>
      <c r="F65" s="1" t="s">
        <v>39</v>
      </c>
      <c r="G65" s="1">
        <v>3</v>
      </c>
      <c r="H65" s="1">
        <v>3</v>
      </c>
      <c r="I65" s="1">
        <v>239</v>
      </c>
      <c r="J65" s="1">
        <v>2.7</v>
      </c>
      <c r="K65" s="1">
        <v>1</v>
      </c>
      <c r="L65" s="1">
        <v>0</v>
      </c>
      <c r="M65" s="1">
        <v>1</v>
      </c>
      <c r="N65" s="1">
        <v>1</v>
      </c>
      <c r="O65" s="1">
        <v>0</v>
      </c>
      <c r="P65" s="1">
        <v>0</v>
      </c>
      <c r="Q65" s="1">
        <v>1</v>
      </c>
      <c r="R65" s="1">
        <v>0</v>
      </c>
      <c r="S65" s="1">
        <v>0.37</v>
      </c>
      <c r="T65" s="1" t="s">
        <v>26</v>
      </c>
      <c r="U65" s="1">
        <v>0</v>
      </c>
    </row>
    <row r="66" spans="1:21" x14ac:dyDescent="0.3">
      <c r="A66" t="s">
        <v>166</v>
      </c>
      <c r="B66" t="s">
        <v>22</v>
      </c>
      <c r="C66" t="s">
        <v>125</v>
      </c>
      <c r="D66" t="s">
        <v>126</v>
      </c>
      <c r="E66" s="1">
        <v>22.86</v>
      </c>
      <c r="F66" s="1" t="s">
        <v>34</v>
      </c>
      <c r="G66" s="1">
        <v>1</v>
      </c>
      <c r="H66" s="1">
        <v>0</v>
      </c>
      <c r="I66" s="1">
        <v>31</v>
      </c>
      <c r="J66" s="1">
        <v>0.3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 t="s">
        <v>35</v>
      </c>
      <c r="U66" s="1">
        <v>1</v>
      </c>
    </row>
    <row r="67" spans="1:21" x14ac:dyDescent="0.3">
      <c r="A67" t="s">
        <v>167</v>
      </c>
      <c r="B67" t="s">
        <v>22</v>
      </c>
      <c r="C67" t="s">
        <v>1147</v>
      </c>
      <c r="D67" t="s">
        <v>1149</v>
      </c>
      <c r="E67" s="1">
        <v>23.65</v>
      </c>
      <c r="F67" s="1" t="s">
        <v>25</v>
      </c>
      <c r="G67" s="1">
        <v>3</v>
      </c>
      <c r="H67" s="1">
        <v>3</v>
      </c>
      <c r="I67" s="1">
        <v>246</v>
      </c>
      <c r="J67" s="1">
        <v>2.7</v>
      </c>
      <c r="K67" s="1">
        <v>0</v>
      </c>
      <c r="L67" s="1">
        <v>1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 t="s">
        <v>26</v>
      </c>
      <c r="U67" s="1">
        <v>0</v>
      </c>
    </row>
    <row r="68" spans="1:21" x14ac:dyDescent="0.3">
      <c r="A68" t="s">
        <v>169</v>
      </c>
      <c r="B68" t="s">
        <v>37</v>
      </c>
      <c r="C68" t="s">
        <v>156</v>
      </c>
      <c r="D68" t="s">
        <v>157</v>
      </c>
      <c r="E68" s="1">
        <v>27.7</v>
      </c>
      <c r="F68" s="1" t="s">
        <v>39</v>
      </c>
      <c r="G68" s="1">
        <v>3</v>
      </c>
      <c r="H68" s="1">
        <v>3</v>
      </c>
      <c r="I68" s="1">
        <v>270</v>
      </c>
      <c r="J68" s="1">
        <v>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 t="s">
        <v>26</v>
      </c>
      <c r="U68" s="1">
        <v>0</v>
      </c>
    </row>
    <row r="69" spans="1:21" x14ac:dyDescent="0.3">
      <c r="A69" t="s">
        <v>170</v>
      </c>
      <c r="B69" t="s">
        <v>37</v>
      </c>
      <c r="C69" t="s">
        <v>28</v>
      </c>
      <c r="D69" t="s">
        <v>29</v>
      </c>
      <c r="E69" s="1">
        <v>27.86</v>
      </c>
      <c r="F69" s="1" t="s">
        <v>39</v>
      </c>
      <c r="G69" s="1">
        <v>1</v>
      </c>
      <c r="H69" s="1">
        <v>1</v>
      </c>
      <c r="I69" s="1">
        <v>45</v>
      </c>
      <c r="J69" s="1">
        <v>0.5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 t="s">
        <v>26</v>
      </c>
      <c r="U69" s="1">
        <v>0</v>
      </c>
    </row>
    <row r="70" spans="1:21" x14ac:dyDescent="0.3">
      <c r="A70" t="s">
        <v>171</v>
      </c>
      <c r="B70" t="s">
        <v>22</v>
      </c>
      <c r="C70" t="s">
        <v>118</v>
      </c>
      <c r="D70" t="s">
        <v>119</v>
      </c>
      <c r="E70" s="1">
        <v>23.03</v>
      </c>
      <c r="F70" s="1" t="s">
        <v>25</v>
      </c>
      <c r="G70" s="1">
        <v>3</v>
      </c>
      <c r="H70" s="1">
        <v>1</v>
      </c>
      <c r="I70" s="1">
        <v>140</v>
      </c>
      <c r="J70" s="1">
        <v>1.6</v>
      </c>
      <c r="K70" s="1">
        <v>1</v>
      </c>
      <c r="L70" s="1">
        <v>0</v>
      </c>
      <c r="M70" s="1">
        <v>1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0.625</v>
      </c>
      <c r="T70" s="1" t="s">
        <v>40</v>
      </c>
      <c r="U70" s="1">
        <v>2</v>
      </c>
    </row>
    <row r="71" spans="1:21" x14ac:dyDescent="0.3">
      <c r="A71" t="s">
        <v>172</v>
      </c>
      <c r="B71" t="s">
        <v>155</v>
      </c>
      <c r="C71" t="s">
        <v>159</v>
      </c>
      <c r="D71" t="s">
        <v>160</v>
      </c>
      <c r="E71" s="1">
        <v>29.94</v>
      </c>
      <c r="F71" s="1" t="s">
        <v>39</v>
      </c>
      <c r="G71" s="1">
        <v>2</v>
      </c>
      <c r="H71" s="1">
        <v>0</v>
      </c>
      <c r="I71" s="1">
        <v>50</v>
      </c>
      <c r="J71" s="1">
        <v>0.6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 t="s">
        <v>35</v>
      </c>
      <c r="U71" s="1">
        <v>2</v>
      </c>
    </row>
    <row r="72" spans="1:21" x14ac:dyDescent="0.3">
      <c r="A72" t="s">
        <v>173</v>
      </c>
      <c r="B72" t="s">
        <v>64</v>
      </c>
      <c r="C72" t="s">
        <v>174</v>
      </c>
      <c r="D72" t="s">
        <v>175</v>
      </c>
      <c r="E72" s="1">
        <v>24.25</v>
      </c>
      <c r="F72" s="1" t="s">
        <v>25</v>
      </c>
      <c r="G72" s="1">
        <v>2</v>
      </c>
      <c r="H72" s="1">
        <v>0</v>
      </c>
      <c r="I72" s="1">
        <v>75</v>
      </c>
      <c r="J72" s="1">
        <v>0.8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 t="s">
        <v>35</v>
      </c>
      <c r="U72" s="1">
        <v>2</v>
      </c>
    </row>
    <row r="73" spans="1:21" x14ac:dyDescent="0.3">
      <c r="A73" t="s">
        <v>176</v>
      </c>
      <c r="B73" t="s">
        <v>22</v>
      </c>
      <c r="C73" t="s">
        <v>96</v>
      </c>
      <c r="D73" t="s">
        <v>97</v>
      </c>
      <c r="E73" s="1">
        <v>28</v>
      </c>
      <c r="F73" s="1" t="s">
        <v>39</v>
      </c>
      <c r="G73" s="1">
        <v>2</v>
      </c>
      <c r="H73" s="1">
        <v>1</v>
      </c>
      <c r="I73" s="1">
        <v>116</v>
      </c>
      <c r="J73" s="1">
        <v>1.3</v>
      </c>
      <c r="K73" s="1">
        <v>0</v>
      </c>
      <c r="L73" s="1">
        <v>2</v>
      </c>
      <c r="M73" s="1">
        <v>2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 t="s">
        <v>40</v>
      </c>
      <c r="U73" s="1">
        <v>1</v>
      </c>
    </row>
    <row r="74" spans="1:21" x14ac:dyDescent="0.3">
      <c r="A74" t="s">
        <v>177</v>
      </c>
      <c r="B74" t="s">
        <v>83</v>
      </c>
      <c r="C74" t="s">
        <v>68</v>
      </c>
      <c r="D74" t="s">
        <v>69</v>
      </c>
      <c r="E74" s="1">
        <v>24.85</v>
      </c>
      <c r="F74" s="1" t="s">
        <v>25</v>
      </c>
      <c r="G74" s="1">
        <v>4</v>
      </c>
      <c r="H74" s="1">
        <v>3</v>
      </c>
      <c r="I74" s="1">
        <v>255</v>
      </c>
      <c r="J74" s="1">
        <v>2.8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 t="s">
        <v>40</v>
      </c>
      <c r="U74" s="1">
        <v>1</v>
      </c>
    </row>
    <row r="75" spans="1:21" x14ac:dyDescent="0.3">
      <c r="A75" t="s">
        <v>178</v>
      </c>
      <c r="B75" t="s">
        <v>37</v>
      </c>
      <c r="C75" t="s">
        <v>55</v>
      </c>
      <c r="D75" t="s">
        <v>56</v>
      </c>
      <c r="E75" s="1">
        <v>30.41</v>
      </c>
      <c r="F75" s="1" t="s">
        <v>39</v>
      </c>
      <c r="G75" s="1">
        <v>3</v>
      </c>
      <c r="H75" s="1">
        <v>3</v>
      </c>
      <c r="I75" s="1">
        <v>270</v>
      </c>
      <c r="J75" s="1">
        <v>3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 t="s">
        <v>26</v>
      </c>
      <c r="U75" s="1">
        <v>0</v>
      </c>
    </row>
    <row r="76" spans="1:21" x14ac:dyDescent="0.3">
      <c r="A76" t="s">
        <v>179</v>
      </c>
      <c r="B76" t="s">
        <v>64</v>
      </c>
      <c r="C76" t="s">
        <v>89</v>
      </c>
      <c r="D76" t="s">
        <v>90</v>
      </c>
      <c r="E76" s="1">
        <v>26.37</v>
      </c>
      <c r="F76" s="1" t="s">
        <v>25</v>
      </c>
      <c r="G76" s="1">
        <v>3</v>
      </c>
      <c r="H76" s="1">
        <v>3</v>
      </c>
      <c r="I76" s="1">
        <v>250</v>
      </c>
      <c r="J76" s="1">
        <v>2.8</v>
      </c>
      <c r="K76" s="1">
        <v>2</v>
      </c>
      <c r="L76" s="1">
        <v>1</v>
      </c>
      <c r="M76" s="1">
        <v>3</v>
      </c>
      <c r="N76" s="1">
        <v>2</v>
      </c>
      <c r="O76" s="1">
        <v>0</v>
      </c>
      <c r="P76" s="1">
        <v>0</v>
      </c>
      <c r="Q76" s="1">
        <v>0</v>
      </c>
      <c r="R76" s="1">
        <v>0</v>
      </c>
      <c r="S76" s="1">
        <v>0.71399999999999997</v>
      </c>
      <c r="T76" s="1" t="s">
        <v>26</v>
      </c>
      <c r="U76" s="1">
        <v>0</v>
      </c>
    </row>
    <row r="77" spans="1:21" x14ac:dyDescent="0.3">
      <c r="A77" t="s">
        <v>180</v>
      </c>
      <c r="B77" t="s">
        <v>37</v>
      </c>
      <c r="C77" t="s">
        <v>181</v>
      </c>
      <c r="D77" t="s">
        <v>182</v>
      </c>
      <c r="E77" s="1">
        <v>24.12</v>
      </c>
      <c r="F77" s="1" t="s">
        <v>25</v>
      </c>
      <c r="G77" s="1">
        <v>1</v>
      </c>
      <c r="H77" s="1">
        <v>1</v>
      </c>
      <c r="I77" s="1">
        <v>90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  <c r="R77" s="1">
        <v>0</v>
      </c>
      <c r="S77" s="1">
        <v>0</v>
      </c>
      <c r="T77" s="1" t="s">
        <v>26</v>
      </c>
      <c r="U77" s="1">
        <v>0</v>
      </c>
    </row>
    <row r="78" spans="1:21" x14ac:dyDescent="0.3">
      <c r="A78" t="s">
        <v>183</v>
      </c>
      <c r="B78" t="s">
        <v>22</v>
      </c>
      <c r="C78" t="s">
        <v>184</v>
      </c>
      <c r="D78" t="s">
        <v>185</v>
      </c>
      <c r="E78" s="1">
        <v>25.02</v>
      </c>
      <c r="F78" s="1" t="s">
        <v>25</v>
      </c>
      <c r="G78" s="1">
        <v>2</v>
      </c>
      <c r="H78" s="1">
        <v>1</v>
      </c>
      <c r="I78" s="1">
        <v>57</v>
      </c>
      <c r="J78" s="1">
        <v>0.6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 t="s">
        <v>40</v>
      </c>
      <c r="U78" s="1">
        <v>1</v>
      </c>
    </row>
    <row r="79" spans="1:21" x14ac:dyDescent="0.3">
      <c r="A79" t="s">
        <v>186</v>
      </c>
      <c r="B79" t="s">
        <v>31</v>
      </c>
      <c r="C79" t="s">
        <v>121</v>
      </c>
      <c r="D79" t="s">
        <v>122</v>
      </c>
      <c r="E79" s="1">
        <v>31.04</v>
      </c>
      <c r="F79" s="1" t="s">
        <v>44</v>
      </c>
      <c r="G79" s="1">
        <v>2</v>
      </c>
      <c r="H79" s="1">
        <v>0</v>
      </c>
      <c r="I79" s="1">
        <v>53</v>
      </c>
      <c r="J79" s="1">
        <v>0.6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0</v>
      </c>
      <c r="S79" s="1">
        <v>0</v>
      </c>
      <c r="T79" s="1" t="s">
        <v>35</v>
      </c>
      <c r="U79" s="1">
        <v>2</v>
      </c>
    </row>
    <row r="80" spans="1:21" x14ac:dyDescent="0.3">
      <c r="A80" t="s">
        <v>187</v>
      </c>
      <c r="B80" t="s">
        <v>148</v>
      </c>
      <c r="C80" t="s">
        <v>72</v>
      </c>
      <c r="D80" t="s">
        <v>73</v>
      </c>
      <c r="E80" s="1">
        <v>30.01</v>
      </c>
      <c r="F80" s="1" t="s">
        <v>39</v>
      </c>
      <c r="G80" s="1">
        <v>3</v>
      </c>
      <c r="H80" s="1">
        <v>2</v>
      </c>
      <c r="I80" s="1">
        <v>146</v>
      </c>
      <c r="J80" s="1">
        <v>1.6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 t="s">
        <v>40</v>
      </c>
      <c r="U80" s="1">
        <v>1</v>
      </c>
    </row>
    <row r="81" spans="1:21" x14ac:dyDescent="0.3">
      <c r="A81" t="s">
        <v>188</v>
      </c>
      <c r="B81" t="s">
        <v>22</v>
      </c>
      <c r="C81" t="s">
        <v>189</v>
      </c>
      <c r="D81" t="s">
        <v>190</v>
      </c>
      <c r="E81" s="1">
        <v>28.77</v>
      </c>
      <c r="F81" s="1" t="s">
        <v>39</v>
      </c>
      <c r="G81" s="1">
        <v>3</v>
      </c>
      <c r="H81" s="1">
        <v>3</v>
      </c>
      <c r="I81" s="1">
        <v>240</v>
      </c>
      <c r="J81" s="1">
        <v>2.7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 t="s">
        <v>26</v>
      </c>
      <c r="U81" s="1">
        <v>0</v>
      </c>
    </row>
    <row r="82" spans="1:21" x14ac:dyDescent="0.3">
      <c r="A82" t="s">
        <v>191</v>
      </c>
      <c r="B82" t="s">
        <v>37</v>
      </c>
      <c r="C82" t="s">
        <v>189</v>
      </c>
      <c r="D82" t="s">
        <v>190</v>
      </c>
      <c r="E82" s="1">
        <v>34.46</v>
      </c>
      <c r="F82" s="1" t="s">
        <v>44</v>
      </c>
      <c r="G82" s="1">
        <v>1</v>
      </c>
      <c r="H82" s="1">
        <v>1</v>
      </c>
      <c r="I82" s="1">
        <v>86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 t="s">
        <v>26</v>
      </c>
      <c r="U82" s="1">
        <v>0</v>
      </c>
    </row>
    <row r="83" spans="1:21" x14ac:dyDescent="0.3">
      <c r="A83" t="s">
        <v>192</v>
      </c>
      <c r="B83" t="s">
        <v>31</v>
      </c>
      <c r="C83" t="s">
        <v>112</v>
      </c>
      <c r="D83" t="s">
        <v>113</v>
      </c>
      <c r="E83" s="1">
        <v>37.200000000000003</v>
      </c>
      <c r="F83" s="1" t="s">
        <v>74</v>
      </c>
      <c r="G83" s="1">
        <v>3</v>
      </c>
      <c r="H83" s="1">
        <v>1</v>
      </c>
      <c r="I83" s="1">
        <v>113</v>
      </c>
      <c r="J83" s="1">
        <v>1.3</v>
      </c>
      <c r="K83" s="1">
        <v>2</v>
      </c>
      <c r="L83" s="1">
        <v>0</v>
      </c>
      <c r="M83" s="1">
        <v>2</v>
      </c>
      <c r="N83" s="1">
        <v>1</v>
      </c>
      <c r="O83" s="1">
        <v>1</v>
      </c>
      <c r="P83" s="1">
        <v>1</v>
      </c>
      <c r="Q83" s="1">
        <v>1</v>
      </c>
      <c r="R83" s="1">
        <v>0</v>
      </c>
      <c r="S83" s="1">
        <v>1.538</v>
      </c>
      <c r="T83" s="1" t="s">
        <v>40</v>
      </c>
      <c r="U83" s="1">
        <v>2</v>
      </c>
    </row>
    <row r="84" spans="1:21" x14ac:dyDescent="0.3">
      <c r="A84" t="s">
        <v>193</v>
      </c>
      <c r="B84" t="s">
        <v>61</v>
      </c>
      <c r="C84" t="s">
        <v>80</v>
      </c>
      <c r="D84" t="s">
        <v>81</v>
      </c>
      <c r="E84" s="1">
        <v>33.96</v>
      </c>
      <c r="F84" s="1" t="s">
        <v>44</v>
      </c>
      <c r="G84" s="1">
        <v>3</v>
      </c>
      <c r="H84" s="1">
        <v>2</v>
      </c>
      <c r="I84" s="1">
        <v>225</v>
      </c>
      <c r="J84" s="1">
        <v>2.5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 t="s">
        <v>40</v>
      </c>
      <c r="U84" s="1">
        <v>1</v>
      </c>
    </row>
    <row r="85" spans="1:21" x14ac:dyDescent="0.3">
      <c r="A85" t="s">
        <v>194</v>
      </c>
      <c r="B85" t="s">
        <v>22</v>
      </c>
      <c r="C85" t="s">
        <v>32</v>
      </c>
      <c r="D85" t="s">
        <v>33</v>
      </c>
      <c r="E85" s="1">
        <v>28.36</v>
      </c>
      <c r="F85" s="1" t="s">
        <v>39</v>
      </c>
      <c r="G85" s="1">
        <v>3</v>
      </c>
      <c r="H85" s="1">
        <v>3</v>
      </c>
      <c r="I85" s="1">
        <v>197</v>
      </c>
      <c r="J85" s="1">
        <v>2.2000000000000002</v>
      </c>
      <c r="K85" s="1">
        <v>1</v>
      </c>
      <c r="L85" s="1">
        <v>0</v>
      </c>
      <c r="M85" s="1">
        <v>1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0.45500000000000002</v>
      </c>
      <c r="T85" s="1" t="s">
        <v>26</v>
      </c>
      <c r="U85" s="1">
        <v>0</v>
      </c>
    </row>
    <row r="86" spans="1:21" x14ac:dyDescent="0.3">
      <c r="A86" t="s">
        <v>195</v>
      </c>
      <c r="B86" t="s">
        <v>37</v>
      </c>
      <c r="C86" t="s">
        <v>49</v>
      </c>
      <c r="D86" t="s">
        <v>50</v>
      </c>
      <c r="E86" s="1">
        <v>29.98</v>
      </c>
      <c r="F86" s="1" t="s">
        <v>39</v>
      </c>
      <c r="G86" s="1">
        <v>3</v>
      </c>
      <c r="H86" s="1">
        <v>3</v>
      </c>
      <c r="I86" s="1">
        <v>256</v>
      </c>
      <c r="J86" s="1">
        <v>2.8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 t="s">
        <v>26</v>
      </c>
      <c r="U86" s="1">
        <v>0</v>
      </c>
    </row>
    <row r="87" spans="1:21" x14ac:dyDescent="0.3">
      <c r="A87" t="s">
        <v>196</v>
      </c>
      <c r="B87" t="s">
        <v>61</v>
      </c>
      <c r="C87" t="s">
        <v>80</v>
      </c>
      <c r="D87" t="s">
        <v>81</v>
      </c>
      <c r="E87" s="1">
        <v>29.58</v>
      </c>
      <c r="F87" s="1" t="s">
        <v>39</v>
      </c>
      <c r="G87" s="1">
        <v>1</v>
      </c>
      <c r="H87" s="1">
        <v>1</v>
      </c>
      <c r="I87" s="1">
        <v>45</v>
      </c>
      <c r="J87" s="1">
        <v>0.5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 t="s">
        <v>26</v>
      </c>
      <c r="U87" s="1">
        <v>0</v>
      </c>
    </row>
    <row r="88" spans="1:21" x14ac:dyDescent="0.3">
      <c r="A88" t="s">
        <v>197</v>
      </c>
      <c r="B88" t="s">
        <v>22</v>
      </c>
      <c r="C88" t="s">
        <v>32</v>
      </c>
      <c r="D88" t="s">
        <v>33</v>
      </c>
      <c r="E88" s="1">
        <v>27.88</v>
      </c>
      <c r="F88" s="1" t="s">
        <v>39</v>
      </c>
      <c r="G88" s="1">
        <v>3</v>
      </c>
      <c r="H88" s="1">
        <v>2</v>
      </c>
      <c r="I88" s="1">
        <v>225</v>
      </c>
      <c r="J88" s="1">
        <v>2.5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 t="s">
        <v>40</v>
      </c>
      <c r="U88" s="1">
        <v>1</v>
      </c>
    </row>
    <row r="89" spans="1:21" x14ac:dyDescent="0.3">
      <c r="A89" t="s">
        <v>198</v>
      </c>
      <c r="B89" t="s">
        <v>148</v>
      </c>
      <c r="C89" t="s">
        <v>28</v>
      </c>
      <c r="D89" t="s">
        <v>29</v>
      </c>
      <c r="E89" s="1">
        <v>30.55</v>
      </c>
      <c r="F89" s="1" t="s">
        <v>39</v>
      </c>
      <c r="G89" s="1">
        <v>3</v>
      </c>
      <c r="H89" s="1">
        <v>3</v>
      </c>
      <c r="I89" s="1">
        <v>207</v>
      </c>
      <c r="J89" s="1">
        <v>2.2999999999999998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 t="s">
        <v>26</v>
      </c>
      <c r="U89" s="1">
        <v>0</v>
      </c>
    </row>
    <row r="90" spans="1:21" x14ac:dyDescent="0.3">
      <c r="A90" t="s">
        <v>199</v>
      </c>
      <c r="B90" t="s">
        <v>31</v>
      </c>
      <c r="C90" t="s">
        <v>121</v>
      </c>
      <c r="D90" t="s">
        <v>122</v>
      </c>
      <c r="E90" s="1">
        <v>35.71</v>
      </c>
      <c r="F90" s="1" t="s">
        <v>74</v>
      </c>
      <c r="G90" s="1">
        <v>3</v>
      </c>
      <c r="H90" s="1">
        <v>2</v>
      </c>
      <c r="I90" s="1">
        <v>121</v>
      </c>
      <c r="J90" s="1">
        <v>1.3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 t="s">
        <v>40</v>
      </c>
      <c r="U90" s="1">
        <v>1</v>
      </c>
    </row>
    <row r="91" spans="1:21" x14ac:dyDescent="0.3">
      <c r="A91" t="s">
        <v>200</v>
      </c>
      <c r="B91" t="s">
        <v>22</v>
      </c>
      <c r="C91" t="s">
        <v>129</v>
      </c>
      <c r="D91" t="s">
        <v>130</v>
      </c>
      <c r="E91" s="1">
        <v>22.73</v>
      </c>
      <c r="F91" s="1" t="s">
        <v>34</v>
      </c>
      <c r="G91" s="1">
        <v>3</v>
      </c>
      <c r="H91" s="1">
        <v>3</v>
      </c>
      <c r="I91" s="1">
        <v>258</v>
      </c>
      <c r="J91" s="1">
        <v>2.9</v>
      </c>
      <c r="K91" s="1">
        <v>2</v>
      </c>
      <c r="L91" s="1">
        <v>0</v>
      </c>
      <c r="M91" s="1">
        <v>2</v>
      </c>
      <c r="N91" s="1">
        <v>2</v>
      </c>
      <c r="O91" s="1">
        <v>0</v>
      </c>
      <c r="P91" s="1">
        <v>0</v>
      </c>
      <c r="Q91" s="1">
        <v>1</v>
      </c>
      <c r="R91" s="1">
        <v>0</v>
      </c>
      <c r="S91" s="1">
        <v>0.69</v>
      </c>
      <c r="T91" s="1" t="s">
        <v>26</v>
      </c>
      <c r="U91" s="1">
        <v>0</v>
      </c>
    </row>
    <row r="92" spans="1:21" x14ac:dyDescent="0.3">
      <c r="A92" t="s">
        <v>201</v>
      </c>
      <c r="B92" t="s">
        <v>37</v>
      </c>
      <c r="C92" t="s">
        <v>104</v>
      </c>
      <c r="D92" t="s">
        <v>105</v>
      </c>
      <c r="E92" s="1">
        <v>25.67</v>
      </c>
      <c r="F92" s="1" t="s">
        <v>25</v>
      </c>
      <c r="G92" s="1">
        <v>1</v>
      </c>
      <c r="H92" s="1">
        <v>1</v>
      </c>
      <c r="I92" s="1">
        <v>89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 t="s">
        <v>26</v>
      </c>
      <c r="U92" s="1">
        <v>0</v>
      </c>
    </row>
    <row r="93" spans="1:21" x14ac:dyDescent="0.3">
      <c r="A93" t="s">
        <v>202</v>
      </c>
      <c r="B93" t="s">
        <v>31</v>
      </c>
      <c r="C93" t="s">
        <v>80</v>
      </c>
      <c r="D93" t="s">
        <v>81</v>
      </c>
      <c r="E93" s="1">
        <v>34.799999999999997</v>
      </c>
      <c r="F93" s="1" t="s">
        <v>44</v>
      </c>
      <c r="G93" s="1">
        <v>3</v>
      </c>
      <c r="H93" s="1">
        <v>3</v>
      </c>
      <c r="I93" s="1">
        <v>222</v>
      </c>
      <c r="J93" s="1">
        <v>2.5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 t="s">
        <v>26</v>
      </c>
      <c r="U93" s="1">
        <v>0</v>
      </c>
    </row>
    <row r="94" spans="1:21" x14ac:dyDescent="0.3">
      <c r="A94" t="s">
        <v>203</v>
      </c>
      <c r="B94" t="s">
        <v>155</v>
      </c>
      <c r="C94" t="s">
        <v>104</v>
      </c>
      <c r="D94" t="s">
        <v>105</v>
      </c>
      <c r="E94" s="1">
        <v>31.64</v>
      </c>
      <c r="F94" s="1" t="s">
        <v>44</v>
      </c>
      <c r="G94" s="1">
        <v>1</v>
      </c>
      <c r="H94" s="1">
        <v>0</v>
      </c>
      <c r="I94" s="1">
        <v>3</v>
      </c>
      <c r="J94" s="1">
        <v>0</v>
      </c>
      <c r="K94" s="1">
        <v>1</v>
      </c>
      <c r="L94" s="1">
        <v>0</v>
      </c>
      <c r="M94" s="1">
        <v>1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 t="s">
        <v>35</v>
      </c>
      <c r="U94" s="1">
        <v>1</v>
      </c>
    </row>
    <row r="95" spans="1:21" x14ac:dyDescent="0.3">
      <c r="A95" t="s">
        <v>204</v>
      </c>
      <c r="B95" t="s">
        <v>22</v>
      </c>
      <c r="C95" t="s">
        <v>151</v>
      </c>
      <c r="D95" t="s">
        <v>152</v>
      </c>
      <c r="E95" s="1">
        <v>24.99</v>
      </c>
      <c r="F95" s="1" t="s">
        <v>25</v>
      </c>
      <c r="G95" s="1">
        <v>4</v>
      </c>
      <c r="H95" s="1">
        <v>4</v>
      </c>
      <c r="I95" s="1">
        <v>382</v>
      </c>
      <c r="J95" s="1">
        <v>4.2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 t="s">
        <v>26</v>
      </c>
      <c r="U95" s="1">
        <v>0</v>
      </c>
    </row>
    <row r="96" spans="1:21" x14ac:dyDescent="0.3">
      <c r="A96" t="s">
        <v>205</v>
      </c>
      <c r="B96" t="s">
        <v>22</v>
      </c>
      <c r="C96" t="s">
        <v>55</v>
      </c>
      <c r="D96" t="s">
        <v>56</v>
      </c>
      <c r="E96" s="1">
        <v>22.21</v>
      </c>
      <c r="F96" s="1" t="s">
        <v>34</v>
      </c>
      <c r="G96" s="1">
        <v>3</v>
      </c>
      <c r="H96" s="1">
        <v>1</v>
      </c>
      <c r="I96" s="1">
        <v>54</v>
      </c>
      <c r="J96" s="1">
        <v>0.6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 t="s">
        <v>40</v>
      </c>
      <c r="U96" s="1">
        <v>2</v>
      </c>
    </row>
    <row r="97" spans="1:21" x14ac:dyDescent="0.3">
      <c r="A97" t="s">
        <v>206</v>
      </c>
      <c r="B97" t="s">
        <v>22</v>
      </c>
      <c r="C97" t="s">
        <v>174</v>
      </c>
      <c r="D97" t="s">
        <v>175</v>
      </c>
      <c r="E97" s="1">
        <v>28.9</v>
      </c>
      <c r="F97" s="1" t="s">
        <v>39</v>
      </c>
      <c r="G97" s="1">
        <v>3</v>
      </c>
      <c r="H97" s="1">
        <v>3</v>
      </c>
      <c r="I97" s="1">
        <v>254</v>
      </c>
      <c r="J97" s="1">
        <v>2.8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2</v>
      </c>
      <c r="R97" s="1">
        <v>0</v>
      </c>
      <c r="S97" s="1">
        <v>0</v>
      </c>
      <c r="T97" s="1" t="s">
        <v>26</v>
      </c>
      <c r="U97" s="1">
        <v>0</v>
      </c>
    </row>
    <row r="98" spans="1:21" x14ac:dyDescent="0.3">
      <c r="A98" t="s">
        <v>207</v>
      </c>
      <c r="B98" t="s">
        <v>22</v>
      </c>
      <c r="C98" t="s">
        <v>174</v>
      </c>
      <c r="D98" t="s">
        <v>175</v>
      </c>
      <c r="E98" s="1">
        <v>34.86</v>
      </c>
      <c r="F98" s="1" t="s">
        <v>44</v>
      </c>
      <c r="G98" s="1">
        <v>3</v>
      </c>
      <c r="H98" s="1">
        <v>3</v>
      </c>
      <c r="I98" s="1">
        <v>270</v>
      </c>
      <c r="J98" s="1">
        <v>3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  <c r="T98" s="1" t="s">
        <v>26</v>
      </c>
      <c r="U98" s="1">
        <v>0</v>
      </c>
    </row>
    <row r="99" spans="1:21" x14ac:dyDescent="0.3">
      <c r="A99" t="s">
        <v>208</v>
      </c>
      <c r="B99" t="s">
        <v>31</v>
      </c>
      <c r="C99" t="s">
        <v>209</v>
      </c>
      <c r="D99" t="s">
        <v>210</v>
      </c>
      <c r="E99" s="1">
        <v>24.94</v>
      </c>
      <c r="F99" s="1" t="s">
        <v>25</v>
      </c>
      <c r="G99" s="1">
        <v>2</v>
      </c>
      <c r="H99" s="1">
        <v>2</v>
      </c>
      <c r="I99" s="1">
        <v>126</v>
      </c>
      <c r="J99" s="1">
        <v>1.4</v>
      </c>
      <c r="K99" s="1">
        <v>1</v>
      </c>
      <c r="L99" s="1">
        <v>0</v>
      </c>
      <c r="M99" s="1">
        <v>1</v>
      </c>
      <c r="N99" s="1">
        <v>1</v>
      </c>
      <c r="O99" s="1">
        <v>0</v>
      </c>
      <c r="P99" s="1">
        <v>0</v>
      </c>
      <c r="Q99" s="1">
        <v>1</v>
      </c>
      <c r="R99" s="1">
        <v>0</v>
      </c>
      <c r="S99" s="1">
        <v>0.71399999999999997</v>
      </c>
      <c r="T99" s="1" t="s">
        <v>26</v>
      </c>
      <c r="U99" s="1">
        <v>0</v>
      </c>
    </row>
    <row r="100" spans="1:21" x14ac:dyDescent="0.3">
      <c r="A100" t="s">
        <v>211</v>
      </c>
      <c r="B100" t="s">
        <v>22</v>
      </c>
      <c r="C100" t="s">
        <v>115</v>
      </c>
      <c r="D100" t="s">
        <v>116</v>
      </c>
      <c r="E100" s="1">
        <v>21.31</v>
      </c>
      <c r="F100" s="1" t="s">
        <v>34</v>
      </c>
      <c r="G100" s="1">
        <v>3</v>
      </c>
      <c r="H100" s="1">
        <v>2</v>
      </c>
      <c r="I100" s="1">
        <v>190</v>
      </c>
      <c r="J100" s="1">
        <v>2.1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 t="s">
        <v>40</v>
      </c>
      <c r="U100" s="1">
        <v>1</v>
      </c>
    </row>
    <row r="101" spans="1:21" x14ac:dyDescent="0.3">
      <c r="A101" t="s">
        <v>212</v>
      </c>
      <c r="B101" t="s">
        <v>31</v>
      </c>
      <c r="C101" t="s">
        <v>213</v>
      </c>
      <c r="D101" t="s">
        <v>214</v>
      </c>
      <c r="E101" s="1">
        <v>35.22</v>
      </c>
      <c r="F101" s="1" t="s">
        <v>74</v>
      </c>
      <c r="G101" s="1">
        <v>3</v>
      </c>
      <c r="H101" s="1">
        <v>3</v>
      </c>
      <c r="I101" s="1">
        <v>190</v>
      </c>
      <c r="J101" s="1">
        <v>2.1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 t="s">
        <v>26</v>
      </c>
      <c r="U101" s="1">
        <v>0</v>
      </c>
    </row>
    <row r="102" spans="1:21" x14ac:dyDescent="0.3">
      <c r="A102" t="s">
        <v>215</v>
      </c>
      <c r="B102" t="s">
        <v>37</v>
      </c>
      <c r="C102" t="s">
        <v>121</v>
      </c>
      <c r="D102" t="s">
        <v>122</v>
      </c>
      <c r="E102" s="1">
        <v>34.85</v>
      </c>
      <c r="F102" s="1" t="s">
        <v>44</v>
      </c>
      <c r="G102" s="1">
        <v>1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 t="s">
        <v>35</v>
      </c>
      <c r="U102" s="1">
        <v>1</v>
      </c>
    </row>
    <row r="103" spans="1:21" x14ac:dyDescent="0.3">
      <c r="A103" t="s">
        <v>216</v>
      </c>
      <c r="B103" t="s">
        <v>31</v>
      </c>
      <c r="C103" t="s">
        <v>23</v>
      </c>
      <c r="D103" t="s">
        <v>24</v>
      </c>
      <c r="E103" s="1">
        <v>24.99</v>
      </c>
      <c r="F103" s="1" t="s">
        <v>25</v>
      </c>
      <c r="G103" s="1">
        <v>2</v>
      </c>
      <c r="H103" s="1">
        <v>2</v>
      </c>
      <c r="I103" s="1">
        <v>160</v>
      </c>
      <c r="J103" s="1">
        <v>1.8</v>
      </c>
      <c r="K103" s="1">
        <v>2</v>
      </c>
      <c r="L103" s="1">
        <v>0</v>
      </c>
      <c r="M103" s="1">
        <v>2</v>
      </c>
      <c r="N103" s="1">
        <v>2</v>
      </c>
      <c r="O103" s="1">
        <v>0</v>
      </c>
      <c r="P103" s="1">
        <v>0</v>
      </c>
      <c r="Q103" s="1">
        <v>1</v>
      </c>
      <c r="R103" s="1">
        <v>0</v>
      </c>
      <c r="S103" s="1">
        <v>1.111</v>
      </c>
      <c r="T103" s="1" t="s">
        <v>26</v>
      </c>
      <c r="U103" s="1">
        <v>0</v>
      </c>
    </row>
    <row r="104" spans="1:21" x14ac:dyDescent="0.3">
      <c r="A104" t="s">
        <v>217</v>
      </c>
      <c r="B104" t="s">
        <v>64</v>
      </c>
      <c r="C104" t="s">
        <v>213</v>
      </c>
      <c r="D104" t="s">
        <v>214</v>
      </c>
      <c r="E104" s="1">
        <v>29.88</v>
      </c>
      <c r="F104" s="1" t="s">
        <v>39</v>
      </c>
      <c r="G104" s="1">
        <v>2</v>
      </c>
      <c r="H104" s="1">
        <v>0</v>
      </c>
      <c r="I104" s="1">
        <v>40</v>
      </c>
      <c r="J104" s="1">
        <v>0.4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 t="s">
        <v>35</v>
      </c>
      <c r="U104" s="1">
        <v>2</v>
      </c>
    </row>
    <row r="105" spans="1:21" x14ac:dyDescent="0.3">
      <c r="A105" t="s">
        <v>218</v>
      </c>
      <c r="B105" t="s">
        <v>22</v>
      </c>
      <c r="C105" t="s">
        <v>156</v>
      </c>
      <c r="D105" t="s">
        <v>157</v>
      </c>
      <c r="E105" s="1">
        <v>32.68</v>
      </c>
      <c r="F105" s="1" t="s">
        <v>44</v>
      </c>
      <c r="G105" s="1">
        <v>3</v>
      </c>
      <c r="H105" s="1">
        <v>3</v>
      </c>
      <c r="I105" s="1">
        <v>249</v>
      </c>
      <c r="J105" s="1">
        <v>2.8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</v>
      </c>
      <c r="R105" s="1">
        <v>0</v>
      </c>
      <c r="S105" s="1">
        <v>0</v>
      </c>
      <c r="T105" s="1" t="s">
        <v>26</v>
      </c>
      <c r="U105" s="1">
        <v>0</v>
      </c>
    </row>
    <row r="106" spans="1:21" x14ac:dyDescent="0.3">
      <c r="A106" t="s">
        <v>219</v>
      </c>
      <c r="B106" t="s">
        <v>155</v>
      </c>
      <c r="C106" t="s">
        <v>139</v>
      </c>
      <c r="D106" t="s">
        <v>140</v>
      </c>
      <c r="E106" s="1">
        <v>21.94</v>
      </c>
      <c r="F106" s="1" t="s">
        <v>34</v>
      </c>
      <c r="G106" s="1">
        <v>1</v>
      </c>
      <c r="H106" s="1">
        <v>0</v>
      </c>
      <c r="I106" s="1">
        <v>20</v>
      </c>
      <c r="J106" s="1">
        <v>0.2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 t="s">
        <v>35</v>
      </c>
      <c r="U106" s="1">
        <v>1</v>
      </c>
    </row>
    <row r="107" spans="1:21" x14ac:dyDescent="0.3">
      <c r="A107" t="s">
        <v>220</v>
      </c>
      <c r="B107" t="s">
        <v>22</v>
      </c>
      <c r="C107" t="s">
        <v>107</v>
      </c>
      <c r="D107" t="s">
        <v>108</v>
      </c>
      <c r="E107" s="1">
        <v>23.82</v>
      </c>
      <c r="F107" s="1" t="s">
        <v>25</v>
      </c>
      <c r="G107" s="1">
        <v>3</v>
      </c>
      <c r="H107" s="1">
        <v>1</v>
      </c>
      <c r="I107" s="1">
        <v>119</v>
      </c>
      <c r="J107" s="1">
        <v>1.3</v>
      </c>
      <c r="K107" s="1">
        <v>1</v>
      </c>
      <c r="L107" s="1">
        <v>1</v>
      </c>
      <c r="M107" s="1">
        <v>2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0.76900000000000002</v>
      </c>
      <c r="T107" s="1" t="s">
        <v>40</v>
      </c>
      <c r="U107" s="1">
        <v>2</v>
      </c>
    </row>
    <row r="108" spans="1:21" x14ac:dyDescent="0.3">
      <c r="A108" t="s">
        <v>221</v>
      </c>
      <c r="B108" t="s">
        <v>37</v>
      </c>
      <c r="C108" t="s">
        <v>104</v>
      </c>
      <c r="D108" t="s">
        <v>105</v>
      </c>
      <c r="E108" s="1">
        <v>31.81</v>
      </c>
      <c r="F108" s="1" t="s">
        <v>44</v>
      </c>
      <c r="G108" s="1">
        <v>3</v>
      </c>
      <c r="H108" s="1">
        <v>3</v>
      </c>
      <c r="I108" s="1">
        <v>265</v>
      </c>
      <c r="J108" s="1">
        <v>2.9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 t="s">
        <v>26</v>
      </c>
      <c r="U108" s="1">
        <v>0</v>
      </c>
    </row>
    <row r="109" spans="1:21" x14ac:dyDescent="0.3">
      <c r="A109" t="s">
        <v>222</v>
      </c>
      <c r="B109" t="s">
        <v>22</v>
      </c>
      <c r="C109" t="s">
        <v>115</v>
      </c>
      <c r="D109" t="s">
        <v>116</v>
      </c>
      <c r="E109" s="1">
        <v>24.17</v>
      </c>
      <c r="F109" s="1" t="s">
        <v>25</v>
      </c>
      <c r="G109" s="1">
        <v>3</v>
      </c>
      <c r="H109" s="1">
        <v>2</v>
      </c>
      <c r="I109" s="1">
        <v>179</v>
      </c>
      <c r="J109" s="1">
        <v>2</v>
      </c>
      <c r="K109" s="1">
        <v>0</v>
      </c>
      <c r="L109" s="1">
        <v>1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 t="s">
        <v>40</v>
      </c>
      <c r="U109" s="1">
        <v>1</v>
      </c>
    </row>
    <row r="110" spans="1:21" x14ac:dyDescent="0.3">
      <c r="A110" t="s">
        <v>223</v>
      </c>
      <c r="B110" t="s">
        <v>61</v>
      </c>
      <c r="C110" t="s">
        <v>125</v>
      </c>
      <c r="D110" t="s">
        <v>126</v>
      </c>
      <c r="E110" s="1">
        <v>29.86</v>
      </c>
      <c r="F110" s="1" t="s">
        <v>39</v>
      </c>
      <c r="G110" s="1">
        <v>2</v>
      </c>
      <c r="H110" s="1">
        <v>2</v>
      </c>
      <c r="I110" s="1">
        <v>135</v>
      </c>
      <c r="J110" s="1">
        <v>1.5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 t="s">
        <v>26</v>
      </c>
      <c r="U110" s="1">
        <v>0</v>
      </c>
    </row>
    <row r="111" spans="1:21" x14ac:dyDescent="0.3">
      <c r="A111" t="s">
        <v>224</v>
      </c>
      <c r="B111" t="s">
        <v>83</v>
      </c>
      <c r="C111" t="s">
        <v>225</v>
      </c>
      <c r="D111" t="s">
        <v>226</v>
      </c>
      <c r="E111" s="1">
        <v>23.37</v>
      </c>
      <c r="F111" s="1" t="s">
        <v>25</v>
      </c>
      <c r="G111" s="1">
        <v>3</v>
      </c>
      <c r="H111" s="1">
        <v>3</v>
      </c>
      <c r="I111" s="1">
        <v>254</v>
      </c>
      <c r="J111" s="1">
        <v>2.8</v>
      </c>
      <c r="K111" s="1">
        <v>1</v>
      </c>
      <c r="L111" s="1">
        <v>0</v>
      </c>
      <c r="M111" s="1">
        <v>1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0.35699999999999998</v>
      </c>
      <c r="T111" s="1" t="s">
        <v>26</v>
      </c>
      <c r="U111" s="1">
        <v>0</v>
      </c>
    </row>
    <row r="112" spans="1:21" x14ac:dyDescent="0.3">
      <c r="A112" t="s">
        <v>227</v>
      </c>
      <c r="B112" t="s">
        <v>83</v>
      </c>
      <c r="C112" t="s">
        <v>125</v>
      </c>
      <c r="D112" t="s">
        <v>126</v>
      </c>
      <c r="E112" s="1">
        <v>26.16</v>
      </c>
      <c r="F112" s="1" t="s">
        <v>25</v>
      </c>
      <c r="G112" s="1">
        <v>3</v>
      </c>
      <c r="H112" s="1">
        <v>3</v>
      </c>
      <c r="I112" s="1">
        <v>235</v>
      </c>
      <c r="J112" s="1">
        <v>2.6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 t="s">
        <v>26</v>
      </c>
      <c r="U112" s="1">
        <v>0</v>
      </c>
    </row>
    <row r="113" spans="1:21" x14ac:dyDescent="0.3">
      <c r="A113" t="s">
        <v>228</v>
      </c>
      <c r="B113" t="s">
        <v>31</v>
      </c>
      <c r="C113" t="s">
        <v>115</v>
      </c>
      <c r="D113" t="s">
        <v>116</v>
      </c>
      <c r="E113" s="1">
        <v>22.41</v>
      </c>
      <c r="F113" s="1" t="s">
        <v>34</v>
      </c>
      <c r="G113" s="1">
        <v>1</v>
      </c>
      <c r="H113" s="1">
        <v>0</v>
      </c>
      <c r="I113" s="1">
        <v>29</v>
      </c>
      <c r="J113" s="1">
        <v>0.3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 t="s">
        <v>35</v>
      </c>
      <c r="U113" s="1">
        <v>1</v>
      </c>
    </row>
    <row r="114" spans="1:21" x14ac:dyDescent="0.3">
      <c r="A114" t="s">
        <v>229</v>
      </c>
      <c r="B114" t="s">
        <v>37</v>
      </c>
      <c r="C114" t="s">
        <v>174</v>
      </c>
      <c r="D114" t="s">
        <v>175</v>
      </c>
      <c r="E114" s="1">
        <v>29.71</v>
      </c>
      <c r="F114" s="1" t="s">
        <v>39</v>
      </c>
      <c r="G114" s="1">
        <v>1</v>
      </c>
      <c r="H114" s="1">
        <v>1</v>
      </c>
      <c r="I114" s="1">
        <v>90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 t="s">
        <v>26</v>
      </c>
      <c r="U114" s="1">
        <v>0</v>
      </c>
    </row>
    <row r="115" spans="1:21" x14ac:dyDescent="0.3">
      <c r="A115" t="s">
        <v>230</v>
      </c>
      <c r="B115" t="s">
        <v>61</v>
      </c>
      <c r="C115" t="s">
        <v>231</v>
      </c>
      <c r="D115" t="s">
        <v>232</v>
      </c>
      <c r="E115" s="1">
        <v>22.9</v>
      </c>
      <c r="F115" s="1" t="s">
        <v>34</v>
      </c>
      <c r="G115" s="1">
        <v>3</v>
      </c>
      <c r="H115" s="1">
        <v>3</v>
      </c>
      <c r="I115" s="1">
        <v>270</v>
      </c>
      <c r="J115" s="1">
        <v>3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 t="s">
        <v>26</v>
      </c>
      <c r="U115" s="1">
        <v>0</v>
      </c>
    </row>
    <row r="116" spans="1:21" x14ac:dyDescent="0.3">
      <c r="A116" t="s">
        <v>233</v>
      </c>
      <c r="B116" t="s">
        <v>22</v>
      </c>
      <c r="C116" t="s">
        <v>231</v>
      </c>
      <c r="D116" t="s">
        <v>232</v>
      </c>
      <c r="E116" s="1">
        <v>35.54</v>
      </c>
      <c r="F116" s="1" t="s">
        <v>74</v>
      </c>
      <c r="G116" s="1">
        <v>2</v>
      </c>
      <c r="H116" s="1">
        <v>1</v>
      </c>
      <c r="I116" s="1">
        <v>97</v>
      </c>
      <c r="J116" s="1">
        <v>1.1000000000000001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 t="s">
        <v>40</v>
      </c>
      <c r="U116" s="1">
        <v>1</v>
      </c>
    </row>
    <row r="117" spans="1:21" x14ac:dyDescent="0.3">
      <c r="A117" t="s">
        <v>234</v>
      </c>
      <c r="B117" t="s">
        <v>64</v>
      </c>
      <c r="C117" t="s">
        <v>159</v>
      </c>
      <c r="D117" t="s">
        <v>160</v>
      </c>
      <c r="E117" s="1">
        <v>23.7</v>
      </c>
      <c r="F117" s="1" t="s">
        <v>25</v>
      </c>
      <c r="G117" s="1">
        <v>1</v>
      </c>
      <c r="H117" s="1">
        <v>0</v>
      </c>
      <c r="I117" s="1">
        <v>27</v>
      </c>
      <c r="J117" s="1">
        <v>0.3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 t="s">
        <v>35</v>
      </c>
      <c r="U117" s="1">
        <v>1</v>
      </c>
    </row>
    <row r="118" spans="1:21" x14ac:dyDescent="0.3">
      <c r="A118" t="s">
        <v>235</v>
      </c>
      <c r="B118" t="s">
        <v>61</v>
      </c>
      <c r="C118" t="s">
        <v>133</v>
      </c>
      <c r="D118" t="s">
        <v>134</v>
      </c>
      <c r="E118" s="1">
        <v>33.770000000000003</v>
      </c>
      <c r="F118" s="1" t="s">
        <v>44</v>
      </c>
      <c r="G118" s="1">
        <v>3</v>
      </c>
      <c r="H118" s="1">
        <v>3</v>
      </c>
      <c r="I118" s="1">
        <v>270</v>
      </c>
      <c r="J118" s="1">
        <v>3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 t="s">
        <v>26</v>
      </c>
      <c r="U118" s="1">
        <v>0</v>
      </c>
    </row>
    <row r="119" spans="1:21" x14ac:dyDescent="0.3">
      <c r="A119" t="s">
        <v>236</v>
      </c>
      <c r="B119" t="s">
        <v>37</v>
      </c>
      <c r="C119" t="s">
        <v>96</v>
      </c>
      <c r="D119" t="s">
        <v>97</v>
      </c>
      <c r="E119" s="1">
        <v>27.28</v>
      </c>
      <c r="F119" s="1" t="s">
        <v>39</v>
      </c>
      <c r="G119" s="1">
        <v>2</v>
      </c>
      <c r="H119" s="1">
        <v>0</v>
      </c>
      <c r="I119" s="1">
        <v>25</v>
      </c>
      <c r="J119" s="1">
        <v>0.3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 t="s">
        <v>35</v>
      </c>
      <c r="U119" s="1">
        <v>2</v>
      </c>
    </row>
    <row r="120" spans="1:21" x14ac:dyDescent="0.3">
      <c r="A120" t="s">
        <v>237</v>
      </c>
      <c r="B120" t="s">
        <v>37</v>
      </c>
      <c r="C120" t="s">
        <v>96</v>
      </c>
      <c r="D120" t="s">
        <v>97</v>
      </c>
      <c r="E120" s="1">
        <v>24.06</v>
      </c>
      <c r="F120" s="1" t="s">
        <v>25</v>
      </c>
      <c r="G120" s="1">
        <v>3</v>
      </c>
      <c r="H120" s="1">
        <v>3</v>
      </c>
      <c r="I120" s="1">
        <v>250</v>
      </c>
      <c r="J120" s="1">
        <v>2.8</v>
      </c>
      <c r="K120" s="1">
        <v>1</v>
      </c>
      <c r="L120" s="1">
        <v>0</v>
      </c>
      <c r="M120" s="1">
        <v>1</v>
      </c>
      <c r="N120" s="1">
        <v>1</v>
      </c>
      <c r="O120" s="1">
        <v>0</v>
      </c>
      <c r="P120" s="1">
        <v>0</v>
      </c>
      <c r="Q120" s="1">
        <v>0</v>
      </c>
      <c r="R120" s="1">
        <v>0</v>
      </c>
      <c r="S120" s="1">
        <v>0.35699999999999998</v>
      </c>
      <c r="T120" s="1" t="s">
        <v>26</v>
      </c>
      <c r="U120" s="1">
        <v>0</v>
      </c>
    </row>
    <row r="121" spans="1:21" x14ac:dyDescent="0.3">
      <c r="A121" t="s">
        <v>238</v>
      </c>
      <c r="B121" t="s">
        <v>22</v>
      </c>
      <c r="C121" t="s">
        <v>239</v>
      </c>
      <c r="D121" t="s">
        <v>240</v>
      </c>
      <c r="E121" s="1">
        <v>27.18</v>
      </c>
      <c r="F121" s="1" t="s">
        <v>39</v>
      </c>
      <c r="G121" s="1">
        <v>3</v>
      </c>
      <c r="H121" s="1">
        <v>3</v>
      </c>
      <c r="I121" s="1">
        <v>243</v>
      </c>
      <c r="J121" s="1">
        <v>2.7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 t="s">
        <v>26</v>
      </c>
      <c r="U121" s="1">
        <v>0</v>
      </c>
    </row>
    <row r="122" spans="1:21" x14ac:dyDescent="0.3">
      <c r="A122" t="s">
        <v>241</v>
      </c>
      <c r="B122" t="s">
        <v>22</v>
      </c>
      <c r="C122" t="s">
        <v>72</v>
      </c>
      <c r="D122" t="s">
        <v>73</v>
      </c>
      <c r="E122" s="1">
        <v>28.01</v>
      </c>
      <c r="F122" s="1" t="s">
        <v>39</v>
      </c>
      <c r="G122" s="1">
        <v>3</v>
      </c>
      <c r="H122" s="1">
        <v>3</v>
      </c>
      <c r="I122" s="1">
        <v>260</v>
      </c>
      <c r="J122" s="1">
        <v>2.9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0</v>
      </c>
      <c r="T122" s="1" t="s">
        <v>26</v>
      </c>
      <c r="U122" s="1">
        <v>0</v>
      </c>
    </row>
    <row r="123" spans="1:21" x14ac:dyDescent="0.3">
      <c r="A123" t="s">
        <v>242</v>
      </c>
      <c r="B123" t="s">
        <v>22</v>
      </c>
      <c r="C123" t="s">
        <v>1147</v>
      </c>
      <c r="D123" t="s">
        <v>1149</v>
      </c>
      <c r="E123" s="1">
        <v>23</v>
      </c>
      <c r="F123" s="1" t="s">
        <v>34</v>
      </c>
      <c r="G123" s="1">
        <v>3</v>
      </c>
      <c r="H123" s="1">
        <v>3</v>
      </c>
      <c r="I123" s="1">
        <v>222</v>
      </c>
      <c r="J123" s="1">
        <v>2.5</v>
      </c>
      <c r="K123" s="1">
        <v>2</v>
      </c>
      <c r="L123" s="1">
        <v>1</v>
      </c>
      <c r="M123" s="1">
        <v>3</v>
      </c>
      <c r="N123" s="1">
        <v>2</v>
      </c>
      <c r="O123" s="1">
        <v>0</v>
      </c>
      <c r="P123" s="1">
        <v>0</v>
      </c>
      <c r="Q123" s="1">
        <v>0</v>
      </c>
      <c r="R123" s="1">
        <v>0</v>
      </c>
      <c r="S123" s="1">
        <v>0.8</v>
      </c>
      <c r="T123" s="1" t="s">
        <v>26</v>
      </c>
      <c r="U123" s="1">
        <v>0</v>
      </c>
    </row>
    <row r="124" spans="1:21" x14ac:dyDescent="0.3">
      <c r="A124" t="s">
        <v>243</v>
      </c>
      <c r="B124" t="s">
        <v>155</v>
      </c>
      <c r="C124" t="s">
        <v>42</v>
      </c>
      <c r="D124" t="s">
        <v>43</v>
      </c>
      <c r="E124" s="1">
        <v>31.99</v>
      </c>
      <c r="F124" s="1" t="s">
        <v>44</v>
      </c>
      <c r="G124" s="1">
        <v>1</v>
      </c>
      <c r="H124" s="1">
        <v>0</v>
      </c>
      <c r="I124" s="1">
        <v>23</v>
      </c>
      <c r="J124" s="1">
        <v>0.3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 t="s">
        <v>35</v>
      </c>
      <c r="U124" s="1">
        <v>1</v>
      </c>
    </row>
    <row r="125" spans="1:21" x14ac:dyDescent="0.3">
      <c r="A125" t="s">
        <v>244</v>
      </c>
      <c r="B125" t="s">
        <v>83</v>
      </c>
      <c r="C125" t="s">
        <v>42</v>
      </c>
      <c r="D125" t="s">
        <v>43</v>
      </c>
      <c r="E125" s="1">
        <v>25.29</v>
      </c>
      <c r="F125" s="1" t="s">
        <v>25</v>
      </c>
      <c r="G125" s="1">
        <v>3</v>
      </c>
      <c r="H125" s="1">
        <v>3</v>
      </c>
      <c r="I125" s="1">
        <v>240</v>
      </c>
      <c r="J125" s="1">
        <v>2.7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 t="s">
        <v>26</v>
      </c>
      <c r="U125" s="1">
        <v>0</v>
      </c>
    </row>
    <row r="126" spans="1:21" x14ac:dyDescent="0.3">
      <c r="A126" t="s">
        <v>245</v>
      </c>
      <c r="B126" t="s">
        <v>61</v>
      </c>
      <c r="C126" t="s">
        <v>96</v>
      </c>
      <c r="D126" t="s">
        <v>97</v>
      </c>
      <c r="E126" s="1">
        <v>31.72</v>
      </c>
      <c r="F126" s="1" t="s">
        <v>44</v>
      </c>
      <c r="G126" s="1">
        <v>1</v>
      </c>
      <c r="H126" s="1">
        <v>1</v>
      </c>
      <c r="I126" s="1">
        <v>90</v>
      </c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 t="s">
        <v>26</v>
      </c>
      <c r="U126" s="1">
        <v>0</v>
      </c>
    </row>
    <row r="127" spans="1:21" x14ac:dyDescent="0.3">
      <c r="A127" t="s">
        <v>246</v>
      </c>
      <c r="B127" t="s">
        <v>31</v>
      </c>
      <c r="C127" t="s">
        <v>96</v>
      </c>
      <c r="D127" t="s">
        <v>97</v>
      </c>
      <c r="E127" s="1">
        <v>26.2</v>
      </c>
      <c r="F127" s="1" t="s">
        <v>25</v>
      </c>
      <c r="G127" s="1">
        <v>1</v>
      </c>
      <c r="H127" s="1">
        <v>0</v>
      </c>
      <c r="I127" s="1">
        <v>45</v>
      </c>
      <c r="J127" s="1">
        <v>0.5</v>
      </c>
      <c r="K127" s="1">
        <v>1</v>
      </c>
      <c r="L127" s="1">
        <v>0</v>
      </c>
      <c r="M127" s="1">
        <v>1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2</v>
      </c>
      <c r="T127" s="1" t="s">
        <v>35</v>
      </c>
      <c r="U127" s="1">
        <v>1</v>
      </c>
    </row>
    <row r="128" spans="1:21" x14ac:dyDescent="0.3">
      <c r="A128" t="s">
        <v>247</v>
      </c>
      <c r="B128" t="s">
        <v>31</v>
      </c>
      <c r="C128" t="s">
        <v>184</v>
      </c>
      <c r="D128" t="s">
        <v>185</v>
      </c>
      <c r="E128" s="1">
        <v>24.5</v>
      </c>
      <c r="F128" s="1" t="s">
        <v>25</v>
      </c>
      <c r="G128" s="1">
        <v>1</v>
      </c>
      <c r="H128" s="1">
        <v>1</v>
      </c>
      <c r="I128" s="1">
        <v>57</v>
      </c>
      <c r="J128" s="1">
        <v>0.6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 t="s">
        <v>26</v>
      </c>
      <c r="U128" s="1">
        <v>0</v>
      </c>
    </row>
    <row r="129" spans="1:21" x14ac:dyDescent="0.3">
      <c r="A129" t="s">
        <v>248</v>
      </c>
      <c r="B129" t="s">
        <v>37</v>
      </c>
      <c r="C129" t="s">
        <v>96</v>
      </c>
      <c r="D129" t="s">
        <v>97</v>
      </c>
      <c r="E129" s="1">
        <v>31.21</v>
      </c>
      <c r="F129" s="1" t="s">
        <v>44</v>
      </c>
      <c r="G129" s="1">
        <v>3</v>
      </c>
      <c r="H129" s="1">
        <v>3</v>
      </c>
      <c r="I129" s="1">
        <v>270</v>
      </c>
      <c r="J129" s="1">
        <v>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 t="s">
        <v>26</v>
      </c>
      <c r="U129" s="1">
        <v>0</v>
      </c>
    </row>
    <row r="130" spans="1:21" x14ac:dyDescent="0.3">
      <c r="A130" t="s">
        <v>249</v>
      </c>
      <c r="B130" t="s">
        <v>22</v>
      </c>
      <c r="C130" t="s">
        <v>96</v>
      </c>
      <c r="D130" t="s">
        <v>97</v>
      </c>
      <c r="E130" s="1">
        <v>31.6</v>
      </c>
      <c r="F130" s="1" t="s">
        <v>44</v>
      </c>
      <c r="G130" s="1">
        <v>3</v>
      </c>
      <c r="H130" s="1">
        <v>2</v>
      </c>
      <c r="I130" s="1">
        <v>215</v>
      </c>
      <c r="J130" s="1">
        <v>2.4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 t="s">
        <v>40</v>
      </c>
      <c r="U130" s="1">
        <v>1</v>
      </c>
    </row>
    <row r="131" spans="1:21" x14ac:dyDescent="0.3">
      <c r="A131" t="s">
        <v>250</v>
      </c>
      <c r="B131" t="s">
        <v>22</v>
      </c>
      <c r="C131" t="s">
        <v>89</v>
      </c>
      <c r="D131" t="s">
        <v>90</v>
      </c>
      <c r="E131" s="1">
        <v>29.01</v>
      </c>
      <c r="F131" s="1" t="s">
        <v>39</v>
      </c>
      <c r="G131" s="1">
        <v>3</v>
      </c>
      <c r="H131" s="1">
        <v>3</v>
      </c>
      <c r="I131" s="1">
        <v>270</v>
      </c>
      <c r="J131" s="1">
        <v>3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R131" s="1">
        <v>0</v>
      </c>
      <c r="S131" s="1">
        <v>0</v>
      </c>
      <c r="T131" s="1" t="s">
        <v>26</v>
      </c>
      <c r="U131" s="1">
        <v>0</v>
      </c>
    </row>
    <row r="132" spans="1:21" x14ac:dyDescent="0.3">
      <c r="A132" t="s">
        <v>251</v>
      </c>
      <c r="B132" t="s">
        <v>22</v>
      </c>
      <c r="C132" t="s">
        <v>28</v>
      </c>
      <c r="D132" t="s">
        <v>29</v>
      </c>
      <c r="E132" s="1">
        <v>28.6</v>
      </c>
      <c r="F132" s="1" t="s">
        <v>39</v>
      </c>
      <c r="G132" s="1">
        <v>3</v>
      </c>
      <c r="H132" s="1">
        <v>1</v>
      </c>
      <c r="I132" s="1">
        <v>145</v>
      </c>
      <c r="J132" s="1">
        <v>1.6</v>
      </c>
      <c r="K132" s="1">
        <v>0</v>
      </c>
      <c r="L132" s="1">
        <v>1</v>
      </c>
      <c r="M132" s="1">
        <v>1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 t="s">
        <v>40</v>
      </c>
      <c r="U132" s="1">
        <v>2</v>
      </c>
    </row>
    <row r="133" spans="1:21" x14ac:dyDescent="0.3">
      <c r="A133" t="s">
        <v>252</v>
      </c>
      <c r="B133" t="s">
        <v>22</v>
      </c>
      <c r="C133" t="s">
        <v>28</v>
      </c>
      <c r="D133" t="s">
        <v>29</v>
      </c>
      <c r="E133" s="1">
        <v>28.37</v>
      </c>
      <c r="F133" s="1" t="s">
        <v>39</v>
      </c>
      <c r="G133" s="1">
        <v>2</v>
      </c>
      <c r="H133" s="1">
        <v>2</v>
      </c>
      <c r="I133" s="1">
        <v>180</v>
      </c>
      <c r="J133" s="1">
        <v>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 t="s">
        <v>26</v>
      </c>
      <c r="U133" s="1">
        <v>0</v>
      </c>
    </row>
    <row r="134" spans="1:21" x14ac:dyDescent="0.3">
      <c r="A134" t="s">
        <v>253</v>
      </c>
      <c r="B134" t="s">
        <v>22</v>
      </c>
      <c r="C134" t="s">
        <v>129</v>
      </c>
      <c r="D134" t="s">
        <v>130</v>
      </c>
      <c r="E134" s="1">
        <v>20.41</v>
      </c>
      <c r="F134" s="1" t="s">
        <v>34</v>
      </c>
      <c r="G134" s="1">
        <v>3</v>
      </c>
      <c r="H134" s="1">
        <v>0</v>
      </c>
      <c r="I134" s="1">
        <v>116</v>
      </c>
      <c r="J134" s="1">
        <v>1.3</v>
      </c>
      <c r="K134" s="1">
        <v>0</v>
      </c>
      <c r="L134" s="1">
        <v>1</v>
      </c>
      <c r="M134" s="1">
        <v>1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 t="s">
        <v>35</v>
      </c>
      <c r="U134" s="1">
        <v>3</v>
      </c>
    </row>
    <row r="135" spans="1:21" x14ac:dyDescent="0.3">
      <c r="A135" t="s">
        <v>254</v>
      </c>
      <c r="B135" t="s">
        <v>22</v>
      </c>
      <c r="C135" t="s">
        <v>23</v>
      </c>
      <c r="D135" t="s">
        <v>24</v>
      </c>
      <c r="E135" s="1">
        <v>25.14</v>
      </c>
      <c r="F135" s="1" t="s">
        <v>25</v>
      </c>
      <c r="G135" s="1">
        <v>3</v>
      </c>
      <c r="H135" s="1">
        <v>1</v>
      </c>
      <c r="I135" s="1">
        <v>152</v>
      </c>
      <c r="J135" s="1">
        <v>1.7</v>
      </c>
      <c r="K135" s="1">
        <v>1</v>
      </c>
      <c r="L135" s="1">
        <v>1</v>
      </c>
      <c r="M135" s="1">
        <v>2</v>
      </c>
      <c r="N135" s="1">
        <v>1</v>
      </c>
      <c r="O135" s="1">
        <v>0</v>
      </c>
      <c r="P135" s="1">
        <v>0</v>
      </c>
      <c r="Q135" s="1">
        <v>1</v>
      </c>
      <c r="R135" s="1">
        <v>0</v>
      </c>
      <c r="S135" s="1">
        <v>0.58799999999999997</v>
      </c>
      <c r="T135" s="1" t="s">
        <v>40</v>
      </c>
      <c r="U135" s="1">
        <v>2</v>
      </c>
    </row>
    <row r="136" spans="1:21" x14ac:dyDescent="0.3">
      <c r="A136" t="s">
        <v>255</v>
      </c>
      <c r="B136" t="s">
        <v>22</v>
      </c>
      <c r="C136" t="s">
        <v>129</v>
      </c>
      <c r="D136" t="s">
        <v>130</v>
      </c>
      <c r="E136" s="1">
        <v>27.81</v>
      </c>
      <c r="F136" s="1" t="s">
        <v>39</v>
      </c>
      <c r="G136" s="1">
        <v>3</v>
      </c>
      <c r="H136" s="1">
        <v>3</v>
      </c>
      <c r="I136" s="1">
        <v>217</v>
      </c>
      <c r="J136" s="1">
        <v>2.4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 t="s">
        <v>26</v>
      </c>
      <c r="U136" s="1">
        <v>0</v>
      </c>
    </row>
    <row r="137" spans="1:21" x14ac:dyDescent="0.3">
      <c r="A137" t="s">
        <v>256</v>
      </c>
      <c r="B137" t="s">
        <v>37</v>
      </c>
      <c r="C137" t="s">
        <v>239</v>
      </c>
      <c r="D137" t="s">
        <v>240</v>
      </c>
      <c r="E137" s="1">
        <v>21.42</v>
      </c>
      <c r="F137" s="1" t="s">
        <v>34</v>
      </c>
      <c r="G137" s="1">
        <v>3</v>
      </c>
      <c r="H137" s="1">
        <v>1</v>
      </c>
      <c r="I137" s="1">
        <v>97</v>
      </c>
      <c r="J137" s="1">
        <v>1.1000000000000001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 t="s">
        <v>40</v>
      </c>
      <c r="U137" s="1">
        <v>2</v>
      </c>
    </row>
    <row r="138" spans="1:21" x14ac:dyDescent="0.3">
      <c r="A138" t="s">
        <v>257</v>
      </c>
      <c r="B138" t="s">
        <v>148</v>
      </c>
      <c r="C138" t="s">
        <v>156</v>
      </c>
      <c r="D138" t="s">
        <v>157</v>
      </c>
      <c r="E138" s="1">
        <v>28.24</v>
      </c>
      <c r="F138" s="1" t="s">
        <v>39</v>
      </c>
      <c r="G138" s="1">
        <v>2</v>
      </c>
      <c r="H138" s="1">
        <v>2</v>
      </c>
      <c r="I138" s="1">
        <v>178</v>
      </c>
      <c r="J138" s="1">
        <v>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 t="s">
        <v>26</v>
      </c>
      <c r="U138" s="1">
        <v>0</v>
      </c>
    </row>
    <row r="139" spans="1:21" x14ac:dyDescent="0.3">
      <c r="A139" t="s">
        <v>258</v>
      </c>
      <c r="B139" t="s">
        <v>22</v>
      </c>
      <c r="C139" t="s">
        <v>121</v>
      </c>
      <c r="D139" t="s">
        <v>122</v>
      </c>
      <c r="E139" s="1">
        <v>24.97</v>
      </c>
      <c r="F139" s="1" t="s">
        <v>25</v>
      </c>
      <c r="G139" s="1">
        <v>4</v>
      </c>
      <c r="H139" s="1">
        <v>2</v>
      </c>
      <c r="I139" s="1">
        <v>189</v>
      </c>
      <c r="J139" s="1">
        <v>2.1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 t="s">
        <v>40</v>
      </c>
      <c r="U139" s="1">
        <v>2</v>
      </c>
    </row>
    <row r="140" spans="1:21" x14ac:dyDescent="0.3">
      <c r="A140" t="s">
        <v>259</v>
      </c>
      <c r="B140" t="s">
        <v>31</v>
      </c>
      <c r="C140" t="s">
        <v>28</v>
      </c>
      <c r="D140" t="s">
        <v>29</v>
      </c>
      <c r="E140" s="1">
        <v>22.97</v>
      </c>
      <c r="F140" s="1" t="s">
        <v>34</v>
      </c>
      <c r="G140" s="1">
        <v>3</v>
      </c>
      <c r="H140" s="1">
        <v>1</v>
      </c>
      <c r="I140" s="1">
        <v>107</v>
      </c>
      <c r="J140" s="1">
        <v>1.2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 t="s">
        <v>40</v>
      </c>
      <c r="U140" s="1">
        <v>2</v>
      </c>
    </row>
    <row r="141" spans="1:21" x14ac:dyDescent="0.3">
      <c r="A141" t="s">
        <v>260</v>
      </c>
      <c r="B141" t="s">
        <v>37</v>
      </c>
      <c r="C141" t="s">
        <v>92</v>
      </c>
      <c r="D141" t="s">
        <v>93</v>
      </c>
      <c r="E141" s="1">
        <v>26.25</v>
      </c>
      <c r="F141" s="1" t="s">
        <v>25</v>
      </c>
      <c r="G141" s="1">
        <v>2</v>
      </c>
      <c r="H141" s="1">
        <v>1</v>
      </c>
      <c r="I141" s="1">
        <v>103</v>
      </c>
      <c r="J141" s="1">
        <v>1.1000000000000001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 t="s">
        <v>40</v>
      </c>
      <c r="U141" s="1">
        <v>1</v>
      </c>
    </row>
    <row r="142" spans="1:21" x14ac:dyDescent="0.3">
      <c r="A142" t="s">
        <v>261</v>
      </c>
      <c r="B142" t="s">
        <v>64</v>
      </c>
      <c r="C142" t="s">
        <v>213</v>
      </c>
      <c r="D142" t="s">
        <v>214</v>
      </c>
      <c r="E142" s="1">
        <v>30.61</v>
      </c>
      <c r="F142" s="1" t="s">
        <v>39</v>
      </c>
      <c r="G142" s="1">
        <v>1</v>
      </c>
      <c r="H142" s="1">
        <v>0</v>
      </c>
      <c r="I142" s="1">
        <v>19</v>
      </c>
      <c r="J142" s="1">
        <v>0.2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 t="s">
        <v>35</v>
      </c>
      <c r="U142" s="1">
        <v>1</v>
      </c>
    </row>
    <row r="143" spans="1:21" x14ac:dyDescent="0.3">
      <c r="A143" t="s">
        <v>262</v>
      </c>
      <c r="B143" t="s">
        <v>31</v>
      </c>
      <c r="C143" t="s">
        <v>77</v>
      </c>
      <c r="D143" t="s">
        <v>78</v>
      </c>
      <c r="E143" s="1">
        <v>22.68</v>
      </c>
      <c r="F143" s="1" t="s">
        <v>34</v>
      </c>
      <c r="G143" s="1">
        <v>3</v>
      </c>
      <c r="H143" s="1">
        <v>2</v>
      </c>
      <c r="I143" s="1">
        <v>175</v>
      </c>
      <c r="J143" s="1">
        <v>1.9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 t="s">
        <v>40</v>
      </c>
      <c r="U143" s="1">
        <v>1</v>
      </c>
    </row>
    <row r="144" spans="1:21" x14ac:dyDescent="0.3">
      <c r="A144" t="s">
        <v>263</v>
      </c>
      <c r="B144" t="s">
        <v>155</v>
      </c>
      <c r="C144" t="s">
        <v>231</v>
      </c>
      <c r="D144" t="s">
        <v>232</v>
      </c>
      <c r="E144" s="1">
        <v>23.67</v>
      </c>
      <c r="F144" s="1" t="s">
        <v>25</v>
      </c>
      <c r="G144" s="1">
        <v>3</v>
      </c>
      <c r="H144" s="1">
        <v>3</v>
      </c>
      <c r="I144" s="1">
        <v>263</v>
      </c>
      <c r="J144" s="1">
        <v>2.9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 t="s">
        <v>26</v>
      </c>
      <c r="U144" s="1">
        <v>0</v>
      </c>
    </row>
    <row r="145" spans="1:21" x14ac:dyDescent="0.3">
      <c r="A145" t="s">
        <v>264</v>
      </c>
      <c r="B145" t="s">
        <v>22</v>
      </c>
      <c r="C145" t="s">
        <v>151</v>
      </c>
      <c r="D145" t="s">
        <v>152</v>
      </c>
      <c r="E145" s="1">
        <v>18.739999999999998</v>
      </c>
      <c r="F145" s="1" t="s">
        <v>34</v>
      </c>
      <c r="G145" s="1">
        <v>3</v>
      </c>
      <c r="H145" s="1">
        <v>3</v>
      </c>
      <c r="I145" s="1">
        <v>258</v>
      </c>
      <c r="J145" s="1">
        <v>2.9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 t="s">
        <v>26</v>
      </c>
      <c r="U145" s="1">
        <v>0</v>
      </c>
    </row>
    <row r="146" spans="1:21" x14ac:dyDescent="0.3">
      <c r="A146" t="s">
        <v>265</v>
      </c>
      <c r="B146" t="s">
        <v>22</v>
      </c>
      <c r="C146" t="s">
        <v>96</v>
      </c>
      <c r="D146" t="s">
        <v>97</v>
      </c>
      <c r="E146" s="1">
        <v>26.77</v>
      </c>
      <c r="F146" s="1" t="s">
        <v>25</v>
      </c>
      <c r="G146" s="1">
        <v>2</v>
      </c>
      <c r="H146" s="1">
        <v>2</v>
      </c>
      <c r="I146" s="1">
        <v>108</v>
      </c>
      <c r="J146" s="1">
        <v>1.2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 t="s">
        <v>26</v>
      </c>
      <c r="U146" s="1">
        <v>0</v>
      </c>
    </row>
    <row r="147" spans="1:21" x14ac:dyDescent="0.3">
      <c r="A147" t="s">
        <v>266</v>
      </c>
      <c r="B147" t="s">
        <v>22</v>
      </c>
      <c r="C147" t="s">
        <v>52</v>
      </c>
      <c r="D147" t="s">
        <v>53</v>
      </c>
      <c r="E147" s="1">
        <v>35.79</v>
      </c>
      <c r="F147" s="1" t="s">
        <v>74</v>
      </c>
      <c r="G147" s="1">
        <v>2</v>
      </c>
      <c r="H147" s="1">
        <v>1</v>
      </c>
      <c r="I147" s="1">
        <v>102</v>
      </c>
      <c r="J147" s="1">
        <v>1.1000000000000001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 t="s">
        <v>40</v>
      </c>
      <c r="U147" s="1">
        <v>1</v>
      </c>
    </row>
    <row r="148" spans="1:21" x14ac:dyDescent="0.3">
      <c r="A148" t="s">
        <v>267</v>
      </c>
      <c r="B148" t="s">
        <v>31</v>
      </c>
      <c r="C148" t="s">
        <v>96</v>
      </c>
      <c r="D148" t="s">
        <v>97</v>
      </c>
      <c r="E148" s="1">
        <v>23.16</v>
      </c>
      <c r="F148" s="1" t="s">
        <v>25</v>
      </c>
      <c r="G148" s="1">
        <v>1</v>
      </c>
      <c r="H148" s="1">
        <v>0</v>
      </c>
      <c r="I148" s="1">
        <v>10</v>
      </c>
      <c r="J148" s="1">
        <v>0.1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 t="s">
        <v>35</v>
      </c>
      <c r="U148" s="1">
        <v>1</v>
      </c>
    </row>
    <row r="149" spans="1:21" x14ac:dyDescent="0.3">
      <c r="A149" t="s">
        <v>268</v>
      </c>
      <c r="B149" t="s">
        <v>61</v>
      </c>
      <c r="C149" t="s">
        <v>151</v>
      </c>
      <c r="D149" t="s">
        <v>152</v>
      </c>
      <c r="E149" s="1">
        <v>35.24</v>
      </c>
      <c r="F149" s="1" t="s">
        <v>74</v>
      </c>
      <c r="G149" s="1">
        <v>4</v>
      </c>
      <c r="H149" s="1">
        <v>4</v>
      </c>
      <c r="I149" s="1">
        <v>390</v>
      </c>
      <c r="J149" s="1">
        <v>4.3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 t="s">
        <v>26</v>
      </c>
      <c r="U149" s="1">
        <v>0</v>
      </c>
    </row>
    <row r="150" spans="1:21" x14ac:dyDescent="0.3">
      <c r="A150" t="s">
        <v>269</v>
      </c>
      <c r="B150" t="s">
        <v>37</v>
      </c>
      <c r="C150" t="s">
        <v>46</v>
      </c>
      <c r="D150" t="s">
        <v>47</v>
      </c>
      <c r="E150" s="1">
        <v>26.79</v>
      </c>
      <c r="F150" s="1" t="s">
        <v>25</v>
      </c>
      <c r="G150" s="1">
        <v>2</v>
      </c>
      <c r="H150" s="1">
        <v>1</v>
      </c>
      <c r="I150" s="1">
        <v>91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 t="s">
        <v>40</v>
      </c>
      <c r="U150" s="1">
        <v>1</v>
      </c>
    </row>
    <row r="151" spans="1:21" x14ac:dyDescent="0.3">
      <c r="A151" t="s">
        <v>270</v>
      </c>
      <c r="B151" t="s">
        <v>37</v>
      </c>
      <c r="C151" t="s">
        <v>239</v>
      </c>
      <c r="D151" t="s">
        <v>240</v>
      </c>
      <c r="E151" s="1">
        <v>37.869999999999997</v>
      </c>
      <c r="F151" s="1" t="s">
        <v>74</v>
      </c>
      <c r="G151" s="1">
        <v>3</v>
      </c>
      <c r="H151" s="1">
        <v>2</v>
      </c>
      <c r="I151" s="1">
        <v>207</v>
      </c>
      <c r="J151" s="1">
        <v>2.2999999999999998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 t="s">
        <v>40</v>
      </c>
      <c r="U151" s="1">
        <v>1</v>
      </c>
    </row>
    <row r="152" spans="1:21" x14ac:dyDescent="0.3">
      <c r="A152" t="s">
        <v>271</v>
      </c>
      <c r="B152" t="s">
        <v>37</v>
      </c>
      <c r="C152" t="s">
        <v>52</v>
      </c>
      <c r="D152" t="s">
        <v>53</v>
      </c>
      <c r="E152" s="1">
        <v>30.23</v>
      </c>
      <c r="F152" s="1" t="s">
        <v>39</v>
      </c>
      <c r="G152" s="1">
        <v>2</v>
      </c>
      <c r="H152" s="1">
        <v>1</v>
      </c>
      <c r="I152" s="1">
        <v>141</v>
      </c>
      <c r="J152" s="1">
        <v>1.6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 t="s">
        <v>40</v>
      </c>
      <c r="U152" s="1">
        <v>1</v>
      </c>
    </row>
    <row r="153" spans="1:21" x14ac:dyDescent="0.3">
      <c r="A153" t="s">
        <v>272</v>
      </c>
      <c r="B153" t="s">
        <v>37</v>
      </c>
      <c r="C153" t="s">
        <v>174</v>
      </c>
      <c r="D153" t="s">
        <v>175</v>
      </c>
      <c r="E153" s="1">
        <v>32.28</v>
      </c>
      <c r="F153" s="1" t="s">
        <v>44</v>
      </c>
      <c r="G153" s="1">
        <v>2</v>
      </c>
      <c r="H153" s="1">
        <v>2</v>
      </c>
      <c r="I153" s="1">
        <v>179</v>
      </c>
      <c r="J153" s="1">
        <v>2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 t="s">
        <v>26</v>
      </c>
      <c r="U153" s="1">
        <v>0</v>
      </c>
    </row>
    <row r="154" spans="1:21" x14ac:dyDescent="0.3">
      <c r="A154" t="s">
        <v>273</v>
      </c>
      <c r="B154" t="s">
        <v>31</v>
      </c>
      <c r="C154" t="s">
        <v>101</v>
      </c>
      <c r="D154" t="s">
        <v>102</v>
      </c>
      <c r="E154" s="1">
        <v>24.41</v>
      </c>
      <c r="F154" s="1" t="s">
        <v>25</v>
      </c>
      <c r="G154" s="1">
        <v>4</v>
      </c>
      <c r="H154" s="1">
        <v>3</v>
      </c>
      <c r="I154" s="1">
        <v>223</v>
      </c>
      <c r="J154" s="1">
        <v>2.5</v>
      </c>
      <c r="K154" s="1">
        <v>3</v>
      </c>
      <c r="L154" s="1">
        <v>0</v>
      </c>
      <c r="M154" s="1">
        <v>3</v>
      </c>
      <c r="N154" s="1">
        <v>3</v>
      </c>
      <c r="O154" s="1">
        <v>0</v>
      </c>
      <c r="P154" s="1">
        <v>0</v>
      </c>
      <c r="Q154" s="1">
        <v>0</v>
      </c>
      <c r="R154" s="1">
        <v>0</v>
      </c>
      <c r="S154" s="1">
        <v>1.2</v>
      </c>
      <c r="T154" s="1" t="s">
        <v>40</v>
      </c>
      <c r="U154" s="1">
        <v>1</v>
      </c>
    </row>
    <row r="155" spans="1:21" x14ac:dyDescent="0.3">
      <c r="A155" t="s">
        <v>274</v>
      </c>
      <c r="B155" t="s">
        <v>37</v>
      </c>
      <c r="C155" t="s">
        <v>42</v>
      </c>
      <c r="D155" t="s">
        <v>43</v>
      </c>
      <c r="E155" s="1">
        <v>31.03</v>
      </c>
      <c r="F155" s="1" t="s">
        <v>44</v>
      </c>
      <c r="G155" s="1">
        <v>1</v>
      </c>
      <c r="H155" s="1">
        <v>1</v>
      </c>
      <c r="I155" s="1">
        <v>45</v>
      </c>
      <c r="J155" s="1">
        <v>0.5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 t="s">
        <v>26</v>
      </c>
      <c r="U155" s="1">
        <v>0</v>
      </c>
    </row>
    <row r="156" spans="1:21" x14ac:dyDescent="0.3">
      <c r="A156" t="s">
        <v>275</v>
      </c>
      <c r="B156" t="s">
        <v>37</v>
      </c>
      <c r="C156" t="s">
        <v>159</v>
      </c>
      <c r="D156" t="s">
        <v>160</v>
      </c>
      <c r="E156" s="1">
        <v>23.04</v>
      </c>
      <c r="F156" s="1" t="s">
        <v>25</v>
      </c>
      <c r="G156" s="1">
        <v>3</v>
      </c>
      <c r="H156" s="1">
        <v>3</v>
      </c>
      <c r="I156" s="1">
        <v>282</v>
      </c>
      <c r="J156" s="1">
        <v>3.1</v>
      </c>
      <c r="K156" s="1">
        <v>1</v>
      </c>
      <c r="L156" s="1">
        <v>1</v>
      </c>
      <c r="M156" s="1">
        <v>2</v>
      </c>
      <c r="N156" s="1">
        <v>1</v>
      </c>
      <c r="O156" s="1">
        <v>0</v>
      </c>
      <c r="P156" s="1">
        <v>0</v>
      </c>
      <c r="Q156" s="1">
        <v>0</v>
      </c>
      <c r="R156" s="1">
        <v>0</v>
      </c>
      <c r="S156" s="1">
        <v>0.32300000000000001</v>
      </c>
      <c r="T156" s="1" t="s">
        <v>26</v>
      </c>
      <c r="U156" s="1">
        <v>0</v>
      </c>
    </row>
    <row r="157" spans="1:21" x14ac:dyDescent="0.3">
      <c r="A157" t="s">
        <v>276</v>
      </c>
      <c r="B157" t="s">
        <v>22</v>
      </c>
      <c r="C157" t="s">
        <v>92</v>
      </c>
      <c r="D157" t="s">
        <v>93</v>
      </c>
      <c r="E157" s="1">
        <v>27.39</v>
      </c>
      <c r="F157" s="1" t="s">
        <v>39</v>
      </c>
      <c r="G157" s="1">
        <v>4</v>
      </c>
      <c r="H157" s="1">
        <v>4</v>
      </c>
      <c r="I157" s="1">
        <v>290</v>
      </c>
      <c r="J157" s="1">
        <v>3.2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 t="s">
        <v>26</v>
      </c>
      <c r="U157" s="1">
        <v>0</v>
      </c>
    </row>
    <row r="158" spans="1:21" x14ac:dyDescent="0.3">
      <c r="A158" t="s">
        <v>277</v>
      </c>
      <c r="B158" t="s">
        <v>31</v>
      </c>
      <c r="C158" t="s">
        <v>225</v>
      </c>
      <c r="D158" t="s">
        <v>226</v>
      </c>
      <c r="E158" s="1">
        <v>34.94</v>
      </c>
      <c r="F158" s="1" t="s">
        <v>44</v>
      </c>
      <c r="G158" s="1">
        <v>2</v>
      </c>
      <c r="H158" s="1">
        <v>1</v>
      </c>
      <c r="I158" s="1">
        <v>110</v>
      </c>
      <c r="J158" s="1">
        <v>1.2</v>
      </c>
      <c r="K158" s="1">
        <v>1</v>
      </c>
      <c r="L158" s="1">
        <v>0</v>
      </c>
      <c r="M158" s="1">
        <v>1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0.83299999999999996</v>
      </c>
      <c r="T158" s="1" t="s">
        <v>40</v>
      </c>
      <c r="U158" s="1">
        <v>1</v>
      </c>
    </row>
    <row r="159" spans="1:21" x14ac:dyDescent="0.3">
      <c r="A159" t="s">
        <v>278</v>
      </c>
      <c r="B159" t="s">
        <v>31</v>
      </c>
      <c r="C159" t="s">
        <v>46</v>
      </c>
      <c r="D159" t="s">
        <v>47</v>
      </c>
      <c r="E159" s="1">
        <v>26.13</v>
      </c>
      <c r="F159" s="1" t="s">
        <v>25</v>
      </c>
      <c r="G159" s="1">
        <v>3</v>
      </c>
      <c r="H159" s="1">
        <v>3</v>
      </c>
      <c r="I159" s="1">
        <v>238</v>
      </c>
      <c r="J159" s="1">
        <v>2.6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1</v>
      </c>
      <c r="R159" s="1">
        <v>0</v>
      </c>
      <c r="S159" s="1">
        <v>0</v>
      </c>
      <c r="T159" s="1" t="s">
        <v>26</v>
      </c>
      <c r="U159" s="1">
        <v>0</v>
      </c>
    </row>
    <row r="160" spans="1:21" x14ac:dyDescent="0.3">
      <c r="A160" t="s">
        <v>279</v>
      </c>
      <c r="B160" t="s">
        <v>37</v>
      </c>
      <c r="C160" t="s">
        <v>231</v>
      </c>
      <c r="D160" t="s">
        <v>232</v>
      </c>
      <c r="E160" s="1">
        <v>30.69</v>
      </c>
      <c r="F160" s="1" t="s">
        <v>39</v>
      </c>
      <c r="G160" s="1">
        <v>2</v>
      </c>
      <c r="H160" s="1">
        <v>2</v>
      </c>
      <c r="I160" s="1">
        <v>135</v>
      </c>
      <c r="J160" s="1">
        <v>1.5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26</v>
      </c>
      <c r="U160" s="1">
        <v>0</v>
      </c>
    </row>
    <row r="161" spans="1:21" x14ac:dyDescent="0.3">
      <c r="A161" t="s">
        <v>280</v>
      </c>
      <c r="B161" t="s">
        <v>22</v>
      </c>
      <c r="C161" t="s">
        <v>115</v>
      </c>
      <c r="D161" t="s">
        <v>116</v>
      </c>
      <c r="E161" s="1">
        <v>28.11</v>
      </c>
      <c r="F161" s="1" t="s">
        <v>39</v>
      </c>
      <c r="G161" s="1">
        <v>2</v>
      </c>
      <c r="H161" s="1">
        <v>0</v>
      </c>
      <c r="I161" s="1">
        <v>16</v>
      </c>
      <c r="J161" s="1">
        <v>0.2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35</v>
      </c>
      <c r="U161" s="1">
        <v>2</v>
      </c>
    </row>
    <row r="162" spans="1:21" x14ac:dyDescent="0.3">
      <c r="A162" t="s">
        <v>281</v>
      </c>
      <c r="B162" t="s">
        <v>64</v>
      </c>
      <c r="C162" t="s">
        <v>121</v>
      </c>
      <c r="D162" t="s">
        <v>122</v>
      </c>
      <c r="E162" s="1">
        <v>24.77</v>
      </c>
      <c r="F162" s="1" t="s">
        <v>25</v>
      </c>
      <c r="G162" s="1">
        <v>1</v>
      </c>
      <c r="H162" s="1">
        <v>0</v>
      </c>
      <c r="I162" s="1">
        <v>66</v>
      </c>
      <c r="J162" s="1">
        <v>0.7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35</v>
      </c>
      <c r="U162" s="1">
        <v>1</v>
      </c>
    </row>
    <row r="163" spans="1:21" x14ac:dyDescent="0.3">
      <c r="A163" t="s">
        <v>282</v>
      </c>
      <c r="B163" t="s">
        <v>31</v>
      </c>
      <c r="C163" t="s">
        <v>184</v>
      </c>
      <c r="D163" t="s">
        <v>185</v>
      </c>
      <c r="E163" s="1">
        <v>28.04</v>
      </c>
      <c r="F163" s="1" t="s">
        <v>39</v>
      </c>
      <c r="G163" s="1">
        <v>1</v>
      </c>
      <c r="H163" s="1">
        <v>1</v>
      </c>
      <c r="I163" s="1">
        <v>60</v>
      </c>
      <c r="J163" s="1">
        <v>0.7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26</v>
      </c>
      <c r="U163" s="1">
        <v>0</v>
      </c>
    </row>
    <row r="164" spans="1:21" x14ac:dyDescent="0.3">
      <c r="A164" t="s">
        <v>283</v>
      </c>
      <c r="B164" t="s">
        <v>37</v>
      </c>
      <c r="C164" t="s">
        <v>239</v>
      </c>
      <c r="D164" t="s">
        <v>240</v>
      </c>
      <c r="E164" s="1">
        <v>25.76</v>
      </c>
      <c r="F164" s="1" t="s">
        <v>25</v>
      </c>
      <c r="G164" s="1">
        <v>3</v>
      </c>
      <c r="H164" s="1">
        <v>3</v>
      </c>
      <c r="I164" s="1">
        <v>220</v>
      </c>
      <c r="J164" s="1">
        <v>2.4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 t="s">
        <v>26</v>
      </c>
      <c r="U164" s="1">
        <v>0</v>
      </c>
    </row>
    <row r="165" spans="1:21" x14ac:dyDescent="0.3">
      <c r="A165" t="s">
        <v>284</v>
      </c>
      <c r="B165" t="s">
        <v>37</v>
      </c>
      <c r="C165" t="s">
        <v>121</v>
      </c>
      <c r="D165" t="s">
        <v>122</v>
      </c>
      <c r="E165" s="1">
        <v>26.08</v>
      </c>
      <c r="F165" s="1" t="s">
        <v>25</v>
      </c>
      <c r="G165" s="1">
        <v>4</v>
      </c>
      <c r="H165" s="1">
        <v>4</v>
      </c>
      <c r="I165" s="1">
        <v>346</v>
      </c>
      <c r="J165" s="1">
        <v>3.8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0</v>
      </c>
      <c r="S165" s="1">
        <v>0</v>
      </c>
      <c r="T165" s="1" t="s">
        <v>26</v>
      </c>
      <c r="U165" s="1">
        <v>0</v>
      </c>
    </row>
    <row r="166" spans="1:21" x14ac:dyDescent="0.3">
      <c r="A166" t="s">
        <v>285</v>
      </c>
      <c r="B166" t="s">
        <v>37</v>
      </c>
      <c r="C166" t="s">
        <v>89</v>
      </c>
      <c r="D166" t="s">
        <v>90</v>
      </c>
      <c r="E166" s="1">
        <v>26.87</v>
      </c>
      <c r="F166" s="1" t="s">
        <v>25</v>
      </c>
      <c r="G166" s="1">
        <v>3</v>
      </c>
      <c r="H166" s="1">
        <v>3</v>
      </c>
      <c r="I166" s="1">
        <v>270</v>
      </c>
      <c r="J166" s="1">
        <v>3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26</v>
      </c>
      <c r="U166" s="1">
        <v>0</v>
      </c>
    </row>
    <row r="167" spans="1:21" x14ac:dyDescent="0.3">
      <c r="A167" t="s">
        <v>286</v>
      </c>
      <c r="B167" t="s">
        <v>31</v>
      </c>
      <c r="C167" t="s">
        <v>118</v>
      </c>
      <c r="D167" t="s">
        <v>119</v>
      </c>
      <c r="E167" s="1">
        <v>28.61</v>
      </c>
      <c r="F167" s="1" t="s">
        <v>39</v>
      </c>
      <c r="G167" s="1">
        <v>2</v>
      </c>
      <c r="H167" s="1">
        <v>0</v>
      </c>
      <c r="I167" s="1">
        <v>8</v>
      </c>
      <c r="J167" s="1">
        <v>0.1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35</v>
      </c>
      <c r="U167" s="1">
        <v>2</v>
      </c>
    </row>
    <row r="168" spans="1:21" x14ac:dyDescent="0.3">
      <c r="A168" t="s">
        <v>287</v>
      </c>
      <c r="B168" t="s">
        <v>22</v>
      </c>
      <c r="C168" t="s">
        <v>118</v>
      </c>
      <c r="D168" t="s">
        <v>119</v>
      </c>
      <c r="E168" s="1">
        <v>24.66</v>
      </c>
      <c r="F168" s="1" t="s">
        <v>25</v>
      </c>
      <c r="G168" s="1">
        <v>3</v>
      </c>
      <c r="H168" s="1">
        <v>3</v>
      </c>
      <c r="I168" s="1">
        <v>270</v>
      </c>
      <c r="J168" s="1">
        <v>3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26</v>
      </c>
      <c r="U168" s="1">
        <v>0</v>
      </c>
    </row>
    <row r="169" spans="1:21" x14ac:dyDescent="0.3">
      <c r="A169" t="s">
        <v>288</v>
      </c>
      <c r="B169" t="s">
        <v>61</v>
      </c>
      <c r="C169" t="s">
        <v>104</v>
      </c>
      <c r="D169" t="s">
        <v>105</v>
      </c>
      <c r="E169" s="1">
        <v>30.24</v>
      </c>
      <c r="F169" s="1" t="s">
        <v>39</v>
      </c>
      <c r="G169" s="1">
        <v>3</v>
      </c>
      <c r="H169" s="1">
        <v>3</v>
      </c>
      <c r="I169" s="1">
        <v>270</v>
      </c>
      <c r="J169" s="1">
        <v>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 t="s">
        <v>26</v>
      </c>
      <c r="U169" s="1">
        <v>0</v>
      </c>
    </row>
    <row r="170" spans="1:21" x14ac:dyDescent="0.3">
      <c r="A170" t="s">
        <v>289</v>
      </c>
      <c r="B170" t="s">
        <v>22</v>
      </c>
      <c r="C170" t="s">
        <v>104</v>
      </c>
      <c r="D170" t="s">
        <v>105</v>
      </c>
      <c r="E170" s="1">
        <v>32.39</v>
      </c>
      <c r="F170" s="1" t="s">
        <v>44</v>
      </c>
      <c r="G170" s="1">
        <v>2</v>
      </c>
      <c r="H170" s="1">
        <v>2</v>
      </c>
      <c r="I170" s="1">
        <v>180</v>
      </c>
      <c r="J170" s="1">
        <v>2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26</v>
      </c>
      <c r="U170" s="1">
        <v>0</v>
      </c>
    </row>
    <row r="171" spans="1:21" x14ac:dyDescent="0.3">
      <c r="A171" t="s">
        <v>290</v>
      </c>
      <c r="B171" t="s">
        <v>22</v>
      </c>
      <c r="C171" t="s">
        <v>291</v>
      </c>
      <c r="D171" t="s">
        <v>292</v>
      </c>
      <c r="E171" s="1">
        <v>22.49</v>
      </c>
      <c r="F171" s="1" t="s">
        <v>34</v>
      </c>
      <c r="G171" s="1">
        <v>3</v>
      </c>
      <c r="H171" s="1">
        <v>3</v>
      </c>
      <c r="I171" s="1">
        <v>193</v>
      </c>
      <c r="J171" s="1">
        <v>2.1</v>
      </c>
      <c r="K171" s="1">
        <v>0</v>
      </c>
      <c r="L171" s="1">
        <v>1</v>
      </c>
      <c r="M171" s="1">
        <v>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26</v>
      </c>
      <c r="U171" s="1">
        <v>0</v>
      </c>
    </row>
    <row r="172" spans="1:21" x14ac:dyDescent="0.3">
      <c r="A172" t="s">
        <v>293</v>
      </c>
      <c r="B172" t="s">
        <v>64</v>
      </c>
      <c r="C172" t="s">
        <v>189</v>
      </c>
      <c r="D172" t="s">
        <v>190</v>
      </c>
      <c r="E172" s="1">
        <v>26.1</v>
      </c>
      <c r="F172" s="1" t="s">
        <v>25</v>
      </c>
      <c r="G172" s="1">
        <v>1</v>
      </c>
      <c r="H172" s="1">
        <v>0</v>
      </c>
      <c r="I172" s="1">
        <v>19</v>
      </c>
      <c r="J172" s="1">
        <v>0.2</v>
      </c>
      <c r="K172" s="1">
        <v>1</v>
      </c>
      <c r="L172" s="1">
        <v>0</v>
      </c>
      <c r="M172" s="1">
        <v>1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>
        <v>5</v>
      </c>
      <c r="T172" s="1" t="s">
        <v>35</v>
      </c>
      <c r="U172" s="1">
        <v>1</v>
      </c>
    </row>
    <row r="173" spans="1:21" x14ac:dyDescent="0.3">
      <c r="A173" t="s">
        <v>294</v>
      </c>
      <c r="B173" t="s">
        <v>22</v>
      </c>
      <c r="C173" t="s">
        <v>104</v>
      </c>
      <c r="D173" t="s">
        <v>105</v>
      </c>
      <c r="E173" s="1">
        <v>30.96</v>
      </c>
      <c r="F173" s="1" t="s">
        <v>39</v>
      </c>
      <c r="G173" s="1">
        <v>1</v>
      </c>
      <c r="H173" s="1">
        <v>0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35</v>
      </c>
      <c r="U173" s="1">
        <v>1</v>
      </c>
    </row>
    <row r="174" spans="1:21" x14ac:dyDescent="0.3">
      <c r="A174" t="s">
        <v>295</v>
      </c>
      <c r="B174" t="s">
        <v>37</v>
      </c>
      <c r="C174" t="s">
        <v>121</v>
      </c>
      <c r="D174" t="s">
        <v>122</v>
      </c>
      <c r="E174" s="1">
        <v>29.94</v>
      </c>
      <c r="F174" s="1" t="s">
        <v>39</v>
      </c>
      <c r="G174" s="1">
        <v>3</v>
      </c>
      <c r="H174" s="1">
        <v>1</v>
      </c>
      <c r="I174" s="1">
        <v>128</v>
      </c>
      <c r="J174" s="1">
        <v>1.4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40</v>
      </c>
      <c r="U174" s="1">
        <v>2</v>
      </c>
    </row>
    <row r="175" spans="1:21" x14ac:dyDescent="0.3">
      <c r="A175" t="s">
        <v>296</v>
      </c>
      <c r="B175" t="s">
        <v>37</v>
      </c>
      <c r="C175" t="s">
        <v>181</v>
      </c>
      <c r="D175" t="s">
        <v>182</v>
      </c>
      <c r="E175" s="1">
        <v>32.090000000000003</v>
      </c>
      <c r="F175" s="1" t="s">
        <v>44</v>
      </c>
      <c r="G175" s="1">
        <v>3</v>
      </c>
      <c r="H175" s="1">
        <v>3</v>
      </c>
      <c r="I175" s="1">
        <v>180</v>
      </c>
      <c r="J175" s="1">
        <v>2</v>
      </c>
      <c r="K175" s="1">
        <v>0</v>
      </c>
      <c r="L175" s="1">
        <v>1</v>
      </c>
      <c r="M175" s="1">
        <v>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26</v>
      </c>
      <c r="U175" s="1">
        <v>0</v>
      </c>
    </row>
    <row r="176" spans="1:21" x14ac:dyDescent="0.3">
      <c r="A176" t="s">
        <v>297</v>
      </c>
      <c r="B176" t="s">
        <v>31</v>
      </c>
      <c r="C176" t="s">
        <v>89</v>
      </c>
      <c r="D176" t="s">
        <v>90</v>
      </c>
      <c r="E176" s="1">
        <v>27.74</v>
      </c>
      <c r="F176" s="1" t="s">
        <v>39</v>
      </c>
      <c r="G176" s="1">
        <v>3</v>
      </c>
      <c r="H176" s="1">
        <v>2</v>
      </c>
      <c r="I176" s="1">
        <v>224</v>
      </c>
      <c r="J176" s="1">
        <v>2.5</v>
      </c>
      <c r="K176" s="1">
        <v>1</v>
      </c>
      <c r="L176" s="1">
        <v>0</v>
      </c>
      <c r="M176" s="1">
        <v>1</v>
      </c>
      <c r="N176" s="1">
        <v>1</v>
      </c>
      <c r="O176" s="1">
        <v>0</v>
      </c>
      <c r="P176" s="1">
        <v>0</v>
      </c>
      <c r="Q176" s="1">
        <v>0</v>
      </c>
      <c r="R176" s="1">
        <v>1</v>
      </c>
      <c r="S176" s="1">
        <v>0.4</v>
      </c>
      <c r="T176" s="1" t="s">
        <v>40</v>
      </c>
      <c r="U176" s="1">
        <v>1</v>
      </c>
    </row>
    <row r="177" spans="1:21" x14ac:dyDescent="0.3">
      <c r="A177" t="s">
        <v>298</v>
      </c>
      <c r="B177" t="s">
        <v>22</v>
      </c>
      <c r="C177" t="s">
        <v>136</v>
      </c>
      <c r="D177" t="s">
        <v>137</v>
      </c>
      <c r="E177" s="1">
        <v>34.35</v>
      </c>
      <c r="F177" s="1" t="s">
        <v>44</v>
      </c>
      <c r="G177" s="1">
        <v>4</v>
      </c>
      <c r="H177" s="1">
        <v>4</v>
      </c>
      <c r="I177" s="1">
        <v>289</v>
      </c>
      <c r="J177" s="1">
        <v>3.2</v>
      </c>
      <c r="K177" s="1">
        <v>1</v>
      </c>
      <c r="L177" s="1">
        <v>0</v>
      </c>
      <c r="M177" s="1">
        <v>1</v>
      </c>
      <c r="N177" s="1">
        <v>1</v>
      </c>
      <c r="O177" s="1">
        <v>0</v>
      </c>
      <c r="P177" s="1">
        <v>0</v>
      </c>
      <c r="Q177" s="1">
        <v>2</v>
      </c>
      <c r="R177" s="1">
        <v>0</v>
      </c>
      <c r="S177" s="1">
        <v>0.312</v>
      </c>
      <c r="T177" s="1" t="s">
        <v>26</v>
      </c>
      <c r="U177" s="1">
        <v>0</v>
      </c>
    </row>
    <row r="178" spans="1:21" x14ac:dyDescent="0.3">
      <c r="A178" t="s">
        <v>299</v>
      </c>
      <c r="B178" t="s">
        <v>22</v>
      </c>
      <c r="C178" t="s">
        <v>72</v>
      </c>
      <c r="D178" t="s">
        <v>73</v>
      </c>
      <c r="E178" s="1">
        <v>24.76</v>
      </c>
      <c r="F178" s="1" t="s">
        <v>25</v>
      </c>
      <c r="G178" s="1">
        <v>3</v>
      </c>
      <c r="H178" s="1">
        <v>2</v>
      </c>
      <c r="I178" s="1">
        <v>182</v>
      </c>
      <c r="J178" s="1">
        <v>2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1</v>
      </c>
      <c r="R178" s="1">
        <v>0</v>
      </c>
      <c r="S178" s="1">
        <v>0</v>
      </c>
      <c r="T178" s="1" t="s">
        <v>40</v>
      </c>
      <c r="U178" s="1">
        <v>1</v>
      </c>
    </row>
    <row r="179" spans="1:21" x14ac:dyDescent="0.3">
      <c r="A179" t="s">
        <v>300</v>
      </c>
      <c r="B179" t="s">
        <v>37</v>
      </c>
      <c r="C179" t="s">
        <v>301</v>
      </c>
      <c r="D179" t="s">
        <v>302</v>
      </c>
      <c r="E179" s="1">
        <v>30.57</v>
      </c>
      <c r="F179" s="1" t="s">
        <v>39</v>
      </c>
      <c r="G179" s="1">
        <v>3</v>
      </c>
      <c r="H179" s="1">
        <v>2</v>
      </c>
      <c r="I179" s="1">
        <v>178</v>
      </c>
      <c r="J179" s="1">
        <v>2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R179" s="1">
        <v>0</v>
      </c>
      <c r="S179" s="1">
        <v>0</v>
      </c>
      <c r="T179" s="1" t="s">
        <v>40</v>
      </c>
      <c r="U179" s="1">
        <v>1</v>
      </c>
    </row>
    <row r="180" spans="1:21" x14ac:dyDescent="0.3">
      <c r="A180" t="s">
        <v>303</v>
      </c>
      <c r="B180" t="s">
        <v>22</v>
      </c>
      <c r="C180" t="s">
        <v>189</v>
      </c>
      <c r="D180" t="s">
        <v>190</v>
      </c>
      <c r="E180" s="1">
        <v>25.75</v>
      </c>
      <c r="F180" s="1" t="s">
        <v>25</v>
      </c>
      <c r="G180" s="1">
        <v>2</v>
      </c>
      <c r="H180" s="1">
        <v>0</v>
      </c>
      <c r="I180" s="1">
        <v>16</v>
      </c>
      <c r="J180" s="1">
        <v>0.2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35</v>
      </c>
      <c r="U180" s="1">
        <v>2</v>
      </c>
    </row>
    <row r="181" spans="1:21" x14ac:dyDescent="0.3">
      <c r="A181" t="s">
        <v>304</v>
      </c>
      <c r="B181" t="s">
        <v>22</v>
      </c>
      <c r="C181" t="s">
        <v>305</v>
      </c>
      <c r="D181" t="s">
        <v>306</v>
      </c>
      <c r="E181" s="1">
        <v>22.92</v>
      </c>
      <c r="F181" s="1" t="s">
        <v>34</v>
      </c>
      <c r="G181" s="1">
        <v>1</v>
      </c>
      <c r="H181" s="1">
        <v>0</v>
      </c>
      <c r="I181" s="1">
        <v>45</v>
      </c>
      <c r="J181" s="1">
        <v>0.5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 t="s">
        <v>35</v>
      </c>
      <c r="U181" s="1">
        <v>1</v>
      </c>
    </row>
    <row r="182" spans="1:21" x14ac:dyDescent="0.3">
      <c r="A182" t="s">
        <v>307</v>
      </c>
      <c r="B182" t="s">
        <v>37</v>
      </c>
      <c r="C182" t="s">
        <v>104</v>
      </c>
      <c r="D182" t="s">
        <v>105</v>
      </c>
      <c r="E182" s="1">
        <v>29.36</v>
      </c>
      <c r="F182" s="1" t="s">
        <v>39</v>
      </c>
      <c r="G182" s="1">
        <v>2</v>
      </c>
      <c r="H182" s="1">
        <v>2</v>
      </c>
      <c r="I182" s="1">
        <v>163</v>
      </c>
      <c r="J182" s="1">
        <v>1.8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 t="s">
        <v>26</v>
      </c>
      <c r="U182" s="1">
        <v>0</v>
      </c>
    </row>
    <row r="183" spans="1:21" x14ac:dyDescent="0.3">
      <c r="A183" t="s">
        <v>308</v>
      </c>
      <c r="B183" t="s">
        <v>22</v>
      </c>
      <c r="C183" t="s">
        <v>309</v>
      </c>
      <c r="D183" t="s">
        <v>310</v>
      </c>
      <c r="E183" s="1">
        <v>25.22</v>
      </c>
      <c r="F183" s="1" t="s">
        <v>25</v>
      </c>
      <c r="G183" s="1">
        <v>2</v>
      </c>
      <c r="H183" s="1">
        <v>2</v>
      </c>
      <c r="I183" s="1">
        <v>163</v>
      </c>
      <c r="J183" s="1">
        <v>1.8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 t="s">
        <v>26</v>
      </c>
      <c r="U183" s="1">
        <v>0</v>
      </c>
    </row>
    <row r="184" spans="1:21" x14ac:dyDescent="0.3">
      <c r="A184" t="s">
        <v>311</v>
      </c>
      <c r="B184" t="s">
        <v>22</v>
      </c>
      <c r="C184" t="s">
        <v>96</v>
      </c>
      <c r="D184" t="s">
        <v>97</v>
      </c>
      <c r="E184" s="1">
        <v>23.59</v>
      </c>
      <c r="F184" s="1" t="s">
        <v>25</v>
      </c>
      <c r="G184" s="1">
        <v>3</v>
      </c>
      <c r="H184" s="1">
        <v>3</v>
      </c>
      <c r="I184" s="1">
        <v>270</v>
      </c>
      <c r="J184" s="1">
        <v>3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 t="s">
        <v>26</v>
      </c>
      <c r="U184" s="1">
        <v>0</v>
      </c>
    </row>
    <row r="185" spans="1:21" x14ac:dyDescent="0.3">
      <c r="A185" t="s">
        <v>312</v>
      </c>
      <c r="B185" t="s">
        <v>37</v>
      </c>
      <c r="C185" t="s">
        <v>309</v>
      </c>
      <c r="D185" t="s">
        <v>310</v>
      </c>
      <c r="E185" s="1">
        <v>23.31</v>
      </c>
      <c r="F185" s="1" t="s">
        <v>25</v>
      </c>
      <c r="G185" s="1">
        <v>1</v>
      </c>
      <c r="H185" s="1">
        <v>1</v>
      </c>
      <c r="I185" s="1">
        <v>90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 t="s">
        <v>26</v>
      </c>
      <c r="U185" s="1">
        <v>0</v>
      </c>
    </row>
    <row r="186" spans="1:21" x14ac:dyDescent="0.3">
      <c r="A186" t="s">
        <v>313</v>
      </c>
      <c r="B186" t="s">
        <v>61</v>
      </c>
      <c r="C186" t="s">
        <v>42</v>
      </c>
      <c r="D186" t="s">
        <v>43</v>
      </c>
      <c r="E186" s="1">
        <v>24.85</v>
      </c>
      <c r="F186" s="1" t="s">
        <v>25</v>
      </c>
      <c r="G186" s="1">
        <v>1</v>
      </c>
      <c r="H186" s="1">
        <v>1</v>
      </c>
      <c r="I186" s="1">
        <v>90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26</v>
      </c>
      <c r="U186" s="1">
        <v>0</v>
      </c>
    </row>
    <row r="187" spans="1:21" x14ac:dyDescent="0.3">
      <c r="A187" t="s">
        <v>314</v>
      </c>
      <c r="B187" t="s">
        <v>31</v>
      </c>
      <c r="C187" t="s">
        <v>42</v>
      </c>
      <c r="D187" t="s">
        <v>43</v>
      </c>
      <c r="E187" s="1">
        <v>30.15</v>
      </c>
      <c r="F187" s="1" t="s">
        <v>39</v>
      </c>
      <c r="G187" s="1">
        <v>3</v>
      </c>
      <c r="H187" s="1">
        <v>0</v>
      </c>
      <c r="I187" s="1">
        <v>49</v>
      </c>
      <c r="J187" s="1">
        <v>0.5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35</v>
      </c>
      <c r="U187" s="1">
        <v>3</v>
      </c>
    </row>
    <row r="188" spans="1:21" x14ac:dyDescent="0.3">
      <c r="A188" t="s">
        <v>315</v>
      </c>
      <c r="B188" t="s">
        <v>22</v>
      </c>
      <c r="C188" t="s">
        <v>145</v>
      </c>
      <c r="D188" t="s">
        <v>146</v>
      </c>
      <c r="E188" s="1">
        <v>30.45</v>
      </c>
      <c r="F188" s="1" t="s">
        <v>39</v>
      </c>
      <c r="G188" s="1">
        <v>1</v>
      </c>
      <c r="H188" s="1">
        <v>0</v>
      </c>
      <c r="I188" s="1">
        <v>25</v>
      </c>
      <c r="J188" s="1">
        <v>0.3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35</v>
      </c>
      <c r="U188" s="1">
        <v>1</v>
      </c>
    </row>
    <row r="189" spans="1:21" x14ac:dyDescent="0.3">
      <c r="A189" t="s">
        <v>316</v>
      </c>
      <c r="B189" t="s">
        <v>37</v>
      </c>
      <c r="C189" t="s">
        <v>145</v>
      </c>
      <c r="D189" t="s">
        <v>146</v>
      </c>
      <c r="E189" s="1">
        <v>22.13</v>
      </c>
      <c r="F189" s="1" t="s">
        <v>34</v>
      </c>
      <c r="G189" s="1">
        <v>1</v>
      </c>
      <c r="H189" s="1">
        <v>1</v>
      </c>
      <c r="I189" s="1">
        <v>77</v>
      </c>
      <c r="J189" s="1">
        <v>0.9</v>
      </c>
      <c r="K189" s="1">
        <v>1</v>
      </c>
      <c r="L189" s="1">
        <v>0</v>
      </c>
      <c r="M189" s="1">
        <v>1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1.111</v>
      </c>
      <c r="T189" s="1" t="s">
        <v>26</v>
      </c>
      <c r="U189" s="1">
        <v>0</v>
      </c>
    </row>
    <row r="190" spans="1:21" x14ac:dyDescent="0.3">
      <c r="A190" t="s">
        <v>317</v>
      </c>
      <c r="B190" t="s">
        <v>37</v>
      </c>
      <c r="C190" t="s">
        <v>96</v>
      </c>
      <c r="D190" t="s">
        <v>97</v>
      </c>
      <c r="E190" s="1">
        <v>27.39</v>
      </c>
      <c r="F190" s="1" t="s">
        <v>39</v>
      </c>
      <c r="G190" s="1">
        <v>1</v>
      </c>
      <c r="H190" s="1">
        <v>0</v>
      </c>
      <c r="I190" s="1">
        <v>20</v>
      </c>
      <c r="J190" s="1">
        <v>0.2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35</v>
      </c>
      <c r="U190" s="1">
        <v>1</v>
      </c>
    </row>
    <row r="191" spans="1:21" x14ac:dyDescent="0.3">
      <c r="A191" t="s">
        <v>318</v>
      </c>
      <c r="B191" t="s">
        <v>64</v>
      </c>
      <c r="C191" t="s">
        <v>107</v>
      </c>
      <c r="D191" t="s">
        <v>108</v>
      </c>
      <c r="E191" s="1">
        <v>22.87</v>
      </c>
      <c r="F191" s="1" t="s">
        <v>34</v>
      </c>
      <c r="G191" s="1">
        <v>3</v>
      </c>
      <c r="H191" s="1">
        <v>0</v>
      </c>
      <c r="I191" s="1">
        <v>53</v>
      </c>
      <c r="J191" s="1">
        <v>0.6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35</v>
      </c>
      <c r="U191" s="1">
        <v>3</v>
      </c>
    </row>
    <row r="192" spans="1:21" x14ac:dyDescent="0.3">
      <c r="A192" t="s">
        <v>319</v>
      </c>
      <c r="B192" t="s">
        <v>22</v>
      </c>
      <c r="C192" t="s">
        <v>92</v>
      </c>
      <c r="D192" t="s">
        <v>93</v>
      </c>
      <c r="E192" s="1">
        <v>27.39</v>
      </c>
      <c r="F192" s="1" t="s">
        <v>39</v>
      </c>
      <c r="G192" s="1">
        <v>1</v>
      </c>
      <c r="H192" s="1">
        <v>1</v>
      </c>
      <c r="I192" s="1">
        <v>57</v>
      </c>
      <c r="J192" s="1">
        <v>0.6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26</v>
      </c>
      <c r="U192" s="1">
        <v>0</v>
      </c>
    </row>
    <row r="193" spans="1:21" x14ac:dyDescent="0.3">
      <c r="A193" t="s">
        <v>320</v>
      </c>
      <c r="B193" t="s">
        <v>22</v>
      </c>
      <c r="C193" t="s">
        <v>174</v>
      </c>
      <c r="D193" t="s">
        <v>175</v>
      </c>
      <c r="E193" s="1">
        <v>26.57</v>
      </c>
      <c r="F193" s="1" t="s">
        <v>25</v>
      </c>
      <c r="G193" s="1">
        <v>3</v>
      </c>
      <c r="H193" s="1">
        <v>3</v>
      </c>
      <c r="I193" s="1">
        <v>247</v>
      </c>
      <c r="J193" s="1">
        <v>2.7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26</v>
      </c>
      <c r="U193" s="1">
        <v>0</v>
      </c>
    </row>
    <row r="194" spans="1:21" x14ac:dyDescent="0.3">
      <c r="A194" t="s">
        <v>321</v>
      </c>
      <c r="B194" t="s">
        <v>31</v>
      </c>
      <c r="C194" t="s">
        <v>309</v>
      </c>
      <c r="D194" t="s">
        <v>310</v>
      </c>
      <c r="E194" s="1">
        <v>31.42</v>
      </c>
      <c r="F194" s="1" t="s">
        <v>44</v>
      </c>
      <c r="G194" s="1">
        <v>2</v>
      </c>
      <c r="H194" s="1">
        <v>0</v>
      </c>
      <c r="I194" s="1">
        <v>31</v>
      </c>
      <c r="J194" s="1">
        <v>0.3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 t="s">
        <v>35</v>
      </c>
      <c r="U194" s="1">
        <v>2</v>
      </c>
    </row>
    <row r="195" spans="1:21" x14ac:dyDescent="0.3">
      <c r="A195" t="s">
        <v>322</v>
      </c>
      <c r="B195" t="s">
        <v>22</v>
      </c>
      <c r="C195" t="s">
        <v>1146</v>
      </c>
      <c r="D195" t="s">
        <v>1148</v>
      </c>
      <c r="E195" s="1">
        <v>31.35</v>
      </c>
      <c r="F195" s="1" t="s">
        <v>44</v>
      </c>
      <c r="G195" s="1">
        <v>3</v>
      </c>
      <c r="H195" s="1">
        <v>1</v>
      </c>
      <c r="I195" s="1">
        <v>95</v>
      </c>
      <c r="J195" s="1">
        <v>1.1000000000000001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</v>
      </c>
      <c r="R195" s="1">
        <v>0</v>
      </c>
      <c r="S195" s="1">
        <v>0</v>
      </c>
      <c r="T195" s="1" t="s">
        <v>40</v>
      </c>
      <c r="U195" s="1">
        <v>2</v>
      </c>
    </row>
    <row r="196" spans="1:21" x14ac:dyDescent="0.3">
      <c r="A196" t="s">
        <v>323</v>
      </c>
      <c r="B196" t="s">
        <v>22</v>
      </c>
      <c r="C196" t="s">
        <v>112</v>
      </c>
      <c r="D196" t="s">
        <v>113</v>
      </c>
      <c r="E196" s="1">
        <v>22.69</v>
      </c>
      <c r="F196" s="1" t="s">
        <v>34</v>
      </c>
      <c r="G196" s="1">
        <v>2</v>
      </c>
      <c r="H196" s="1">
        <v>0</v>
      </c>
      <c r="I196" s="1">
        <v>38</v>
      </c>
      <c r="J196" s="1">
        <v>0.4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35</v>
      </c>
      <c r="U196" s="1">
        <v>2</v>
      </c>
    </row>
    <row r="197" spans="1:21" x14ac:dyDescent="0.3">
      <c r="A197" t="s">
        <v>324</v>
      </c>
      <c r="B197" t="s">
        <v>31</v>
      </c>
      <c r="C197" t="s">
        <v>309</v>
      </c>
      <c r="D197" t="s">
        <v>310</v>
      </c>
      <c r="E197" s="1">
        <v>27.17</v>
      </c>
      <c r="F197" s="1" t="s">
        <v>39</v>
      </c>
      <c r="G197" s="1">
        <v>1</v>
      </c>
      <c r="H197" s="1">
        <v>0</v>
      </c>
      <c r="I197" s="1">
        <v>7</v>
      </c>
      <c r="J197" s="1">
        <v>0.1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 t="s">
        <v>35</v>
      </c>
      <c r="U197" s="1">
        <v>1</v>
      </c>
    </row>
    <row r="198" spans="1:21" x14ac:dyDescent="0.3">
      <c r="A198" t="s">
        <v>325</v>
      </c>
      <c r="B198" t="s">
        <v>22</v>
      </c>
      <c r="C198" t="s">
        <v>213</v>
      </c>
      <c r="D198" t="s">
        <v>214</v>
      </c>
      <c r="E198" s="1">
        <v>28.3</v>
      </c>
      <c r="F198" s="1" t="s">
        <v>39</v>
      </c>
      <c r="G198" s="1">
        <v>1</v>
      </c>
      <c r="H198" s="1">
        <v>1</v>
      </c>
      <c r="I198" s="1">
        <v>71</v>
      </c>
      <c r="J198" s="1">
        <v>0.8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26</v>
      </c>
      <c r="U198" s="1">
        <v>0</v>
      </c>
    </row>
    <row r="199" spans="1:21" x14ac:dyDescent="0.3">
      <c r="A199" t="s">
        <v>326</v>
      </c>
      <c r="B199" t="s">
        <v>37</v>
      </c>
      <c r="C199" t="s">
        <v>231</v>
      </c>
      <c r="D199" t="s">
        <v>232</v>
      </c>
      <c r="E199" s="1">
        <v>22.72</v>
      </c>
      <c r="F199" s="1" t="s">
        <v>34</v>
      </c>
      <c r="G199" s="1">
        <v>3</v>
      </c>
      <c r="H199" s="1">
        <v>3</v>
      </c>
      <c r="I199" s="1">
        <v>270</v>
      </c>
      <c r="J199" s="1">
        <v>3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</v>
      </c>
      <c r="R199" s="1">
        <v>0</v>
      </c>
      <c r="S199" s="1">
        <v>0</v>
      </c>
      <c r="T199" s="1" t="s">
        <v>26</v>
      </c>
      <c r="U199" s="1">
        <v>0</v>
      </c>
    </row>
    <row r="200" spans="1:21" x14ac:dyDescent="0.3">
      <c r="A200" t="s">
        <v>327</v>
      </c>
      <c r="B200" t="s">
        <v>155</v>
      </c>
      <c r="C200" t="s">
        <v>291</v>
      </c>
      <c r="D200" t="s">
        <v>292</v>
      </c>
      <c r="E200" s="1">
        <v>32.29</v>
      </c>
      <c r="F200" s="1" t="s">
        <v>44</v>
      </c>
      <c r="G200" s="1">
        <v>3</v>
      </c>
      <c r="H200" s="1">
        <v>0</v>
      </c>
      <c r="I200" s="1">
        <v>64</v>
      </c>
      <c r="J200" s="1">
        <v>0.7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35</v>
      </c>
      <c r="U200" s="1">
        <v>3</v>
      </c>
    </row>
    <row r="201" spans="1:21" x14ac:dyDescent="0.3">
      <c r="A201" t="s">
        <v>328</v>
      </c>
      <c r="B201" t="s">
        <v>22</v>
      </c>
      <c r="C201" t="s">
        <v>174</v>
      </c>
      <c r="D201" t="s">
        <v>175</v>
      </c>
      <c r="E201" s="1">
        <v>22.4</v>
      </c>
      <c r="F201" s="1" t="s">
        <v>34</v>
      </c>
      <c r="G201" s="1">
        <v>3</v>
      </c>
      <c r="H201" s="1">
        <v>3</v>
      </c>
      <c r="I201" s="1">
        <v>233</v>
      </c>
      <c r="J201" s="1">
        <v>2.6</v>
      </c>
      <c r="K201" s="1">
        <v>1</v>
      </c>
      <c r="L201" s="1">
        <v>0</v>
      </c>
      <c r="M201" s="1">
        <v>1</v>
      </c>
      <c r="N201" s="1">
        <v>1</v>
      </c>
      <c r="O201" s="1">
        <v>0</v>
      </c>
      <c r="P201" s="1">
        <v>0</v>
      </c>
      <c r="Q201" s="1">
        <v>1</v>
      </c>
      <c r="R201" s="1">
        <v>0</v>
      </c>
      <c r="S201" s="1">
        <v>0.38500000000000001</v>
      </c>
      <c r="T201" s="1" t="s">
        <v>26</v>
      </c>
      <c r="U201" s="1">
        <v>0</v>
      </c>
    </row>
    <row r="202" spans="1:21" x14ac:dyDescent="0.3">
      <c r="A202" t="s">
        <v>329</v>
      </c>
      <c r="B202" t="s">
        <v>22</v>
      </c>
      <c r="C202" t="s">
        <v>181</v>
      </c>
      <c r="D202" t="s">
        <v>182</v>
      </c>
      <c r="E202" s="1">
        <v>23.54</v>
      </c>
      <c r="F202" s="1" t="s">
        <v>25</v>
      </c>
      <c r="G202" s="1">
        <v>2</v>
      </c>
      <c r="H202" s="1">
        <v>0</v>
      </c>
      <c r="I202" s="1">
        <v>90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35</v>
      </c>
      <c r="U202" s="1">
        <v>2</v>
      </c>
    </row>
    <row r="203" spans="1:21" x14ac:dyDescent="0.3">
      <c r="A203" t="s">
        <v>330</v>
      </c>
      <c r="B203" t="s">
        <v>31</v>
      </c>
      <c r="C203" t="s">
        <v>189</v>
      </c>
      <c r="D203" t="s">
        <v>190</v>
      </c>
      <c r="E203" s="1">
        <v>33.14</v>
      </c>
      <c r="F203" s="1" t="s">
        <v>44</v>
      </c>
      <c r="G203" s="1">
        <v>2</v>
      </c>
      <c r="H203" s="1">
        <v>1</v>
      </c>
      <c r="I203" s="1">
        <v>92</v>
      </c>
      <c r="J203" s="1">
        <v>1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40</v>
      </c>
      <c r="U203" s="1">
        <v>1</v>
      </c>
    </row>
    <row r="204" spans="1:21" x14ac:dyDescent="0.3">
      <c r="A204" t="s">
        <v>331</v>
      </c>
      <c r="B204" t="s">
        <v>37</v>
      </c>
      <c r="C204" t="s">
        <v>156</v>
      </c>
      <c r="D204" t="s">
        <v>157</v>
      </c>
      <c r="E204" s="1">
        <v>25.32</v>
      </c>
      <c r="F204" s="1" t="s">
        <v>25</v>
      </c>
      <c r="G204" s="1">
        <v>3</v>
      </c>
      <c r="H204" s="1">
        <v>3</v>
      </c>
      <c r="I204" s="1">
        <v>270</v>
      </c>
      <c r="J204" s="1">
        <v>3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26</v>
      </c>
      <c r="U204" s="1">
        <v>0</v>
      </c>
    </row>
    <row r="205" spans="1:21" x14ac:dyDescent="0.3">
      <c r="A205" t="s">
        <v>332</v>
      </c>
      <c r="B205" t="s">
        <v>37</v>
      </c>
      <c r="C205" t="s">
        <v>92</v>
      </c>
      <c r="D205" t="s">
        <v>93</v>
      </c>
      <c r="E205" s="1">
        <v>28.59</v>
      </c>
      <c r="F205" s="1" t="s">
        <v>39</v>
      </c>
      <c r="G205" s="1">
        <v>4</v>
      </c>
      <c r="H205" s="1">
        <v>4</v>
      </c>
      <c r="I205" s="1">
        <v>315</v>
      </c>
      <c r="J205" s="1">
        <v>3.5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R205" s="1">
        <v>0</v>
      </c>
      <c r="S205" s="1">
        <v>0</v>
      </c>
      <c r="T205" s="1" t="s">
        <v>26</v>
      </c>
      <c r="U205" s="1">
        <v>0</v>
      </c>
    </row>
    <row r="206" spans="1:21" x14ac:dyDescent="0.3">
      <c r="A206" t="s">
        <v>333</v>
      </c>
      <c r="B206" t="s">
        <v>61</v>
      </c>
      <c r="C206" t="s">
        <v>181</v>
      </c>
      <c r="D206" t="s">
        <v>182</v>
      </c>
      <c r="E206" s="1">
        <v>26.78</v>
      </c>
      <c r="F206" s="1" t="s">
        <v>25</v>
      </c>
      <c r="G206" s="1">
        <v>3</v>
      </c>
      <c r="H206" s="1">
        <v>3</v>
      </c>
      <c r="I206" s="1">
        <v>270</v>
      </c>
      <c r="J206" s="1">
        <v>3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26</v>
      </c>
      <c r="U206" s="1">
        <v>0</v>
      </c>
    </row>
    <row r="207" spans="1:21" x14ac:dyDescent="0.3">
      <c r="A207" t="s">
        <v>334</v>
      </c>
      <c r="B207" t="s">
        <v>64</v>
      </c>
      <c r="C207" t="s">
        <v>184</v>
      </c>
      <c r="D207" t="s">
        <v>185</v>
      </c>
      <c r="E207" s="1">
        <v>35.380000000000003</v>
      </c>
      <c r="F207" s="1" t="s">
        <v>74</v>
      </c>
      <c r="G207" s="1">
        <v>3</v>
      </c>
      <c r="H207" s="1">
        <v>0</v>
      </c>
      <c r="I207" s="1">
        <v>93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35</v>
      </c>
      <c r="U207" s="1">
        <v>3</v>
      </c>
    </row>
    <row r="208" spans="1:21" x14ac:dyDescent="0.3">
      <c r="A208" t="s">
        <v>335</v>
      </c>
      <c r="B208" t="s">
        <v>22</v>
      </c>
      <c r="C208" t="s">
        <v>181</v>
      </c>
      <c r="D208" t="s">
        <v>182</v>
      </c>
      <c r="E208" s="1">
        <v>25.59</v>
      </c>
      <c r="F208" s="1" t="s">
        <v>25</v>
      </c>
      <c r="G208" s="1">
        <v>1</v>
      </c>
      <c r="H208" s="1">
        <v>0</v>
      </c>
      <c r="I208" s="1">
        <v>21</v>
      </c>
      <c r="J208" s="1">
        <v>0.2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35</v>
      </c>
      <c r="U208" s="1">
        <v>1</v>
      </c>
    </row>
    <row r="209" spans="1:21" x14ac:dyDescent="0.3">
      <c r="A209" t="s">
        <v>336</v>
      </c>
      <c r="B209" t="s">
        <v>148</v>
      </c>
      <c r="C209" t="s">
        <v>309</v>
      </c>
      <c r="D209" t="s">
        <v>310</v>
      </c>
      <c r="E209" s="1">
        <v>33.85</v>
      </c>
      <c r="F209" s="1" t="s">
        <v>44</v>
      </c>
      <c r="G209" s="1">
        <v>3</v>
      </c>
      <c r="H209" s="1">
        <v>3</v>
      </c>
      <c r="I209" s="1">
        <v>270</v>
      </c>
      <c r="J209" s="1">
        <v>3</v>
      </c>
      <c r="K209" s="1">
        <v>0</v>
      </c>
      <c r="L209" s="1">
        <v>1</v>
      </c>
      <c r="M209" s="1">
        <v>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26</v>
      </c>
      <c r="U209" s="1">
        <v>0</v>
      </c>
    </row>
    <row r="210" spans="1:21" x14ac:dyDescent="0.3">
      <c r="A210" t="s">
        <v>337</v>
      </c>
      <c r="B210" t="s">
        <v>61</v>
      </c>
      <c r="C210" t="s">
        <v>301</v>
      </c>
      <c r="D210" t="s">
        <v>302</v>
      </c>
      <c r="E210" s="1">
        <v>34.14</v>
      </c>
      <c r="F210" s="1" t="s">
        <v>44</v>
      </c>
      <c r="G210" s="1">
        <v>3</v>
      </c>
      <c r="H210" s="1">
        <v>3</v>
      </c>
      <c r="I210" s="1">
        <v>270</v>
      </c>
      <c r="J210" s="1">
        <v>3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26</v>
      </c>
      <c r="U210" s="1">
        <v>0</v>
      </c>
    </row>
    <row r="211" spans="1:21" x14ac:dyDescent="0.3">
      <c r="A211" t="s">
        <v>338</v>
      </c>
      <c r="B211" t="s">
        <v>61</v>
      </c>
      <c r="C211" t="s">
        <v>92</v>
      </c>
      <c r="D211" t="s">
        <v>93</v>
      </c>
      <c r="E211" s="1">
        <v>32.14</v>
      </c>
      <c r="F211" s="1" t="s">
        <v>44</v>
      </c>
      <c r="G211" s="1">
        <v>4</v>
      </c>
      <c r="H211" s="1">
        <v>4</v>
      </c>
      <c r="I211" s="1">
        <v>360</v>
      </c>
      <c r="J211" s="1">
        <v>4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26</v>
      </c>
      <c r="U211" s="1">
        <v>0</v>
      </c>
    </row>
    <row r="212" spans="1:21" x14ac:dyDescent="0.3">
      <c r="A212" t="s">
        <v>339</v>
      </c>
      <c r="B212" t="s">
        <v>61</v>
      </c>
      <c r="C212" t="s">
        <v>239</v>
      </c>
      <c r="D212" t="s">
        <v>240</v>
      </c>
      <c r="E212" s="1">
        <v>32.880000000000003</v>
      </c>
      <c r="F212" s="1" t="s">
        <v>44</v>
      </c>
      <c r="G212" s="1">
        <v>3</v>
      </c>
      <c r="H212" s="1">
        <v>3</v>
      </c>
      <c r="I212" s="1">
        <v>270</v>
      </c>
      <c r="J212" s="1">
        <v>3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26</v>
      </c>
      <c r="U212" s="1">
        <v>0</v>
      </c>
    </row>
    <row r="213" spans="1:21" x14ac:dyDescent="0.3">
      <c r="A213" t="s">
        <v>340</v>
      </c>
      <c r="B213" t="s">
        <v>37</v>
      </c>
      <c r="C213" t="s">
        <v>209</v>
      </c>
      <c r="D213" t="s">
        <v>210</v>
      </c>
      <c r="E213" s="1">
        <v>19.440000000000001</v>
      </c>
      <c r="F213" s="1" t="s">
        <v>34</v>
      </c>
      <c r="G213" s="1">
        <v>3</v>
      </c>
      <c r="H213" s="1">
        <v>3</v>
      </c>
      <c r="I213" s="1">
        <v>270</v>
      </c>
      <c r="J213" s="1">
        <v>3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26</v>
      </c>
      <c r="U213" s="1">
        <v>0</v>
      </c>
    </row>
    <row r="214" spans="1:21" x14ac:dyDescent="0.3">
      <c r="A214" t="s">
        <v>341</v>
      </c>
      <c r="B214" t="s">
        <v>22</v>
      </c>
      <c r="C214" t="s">
        <v>121</v>
      </c>
      <c r="D214" t="s">
        <v>122</v>
      </c>
      <c r="E214" s="1">
        <v>30.11</v>
      </c>
      <c r="F214" s="1" t="s">
        <v>39</v>
      </c>
      <c r="G214" s="1">
        <v>4</v>
      </c>
      <c r="H214" s="1">
        <v>4</v>
      </c>
      <c r="I214" s="1">
        <v>390</v>
      </c>
      <c r="J214" s="1">
        <v>4.3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1</v>
      </c>
      <c r="R214" s="1">
        <v>0</v>
      </c>
      <c r="S214" s="1">
        <v>0</v>
      </c>
      <c r="T214" s="1" t="s">
        <v>26</v>
      </c>
      <c r="U214" s="1">
        <v>0</v>
      </c>
    </row>
    <row r="215" spans="1:21" x14ac:dyDescent="0.3">
      <c r="A215" t="s">
        <v>342</v>
      </c>
      <c r="B215" t="s">
        <v>64</v>
      </c>
      <c r="C215" t="s">
        <v>189</v>
      </c>
      <c r="D215" t="s">
        <v>190</v>
      </c>
      <c r="E215" s="1">
        <v>27.19</v>
      </c>
      <c r="F215" s="1" t="s">
        <v>39</v>
      </c>
      <c r="G215" s="1">
        <v>1</v>
      </c>
      <c r="H215" s="1">
        <v>0</v>
      </c>
      <c r="I215" s="1">
        <v>11</v>
      </c>
      <c r="J215" s="1">
        <v>0.1</v>
      </c>
      <c r="K215" s="1">
        <v>0</v>
      </c>
      <c r="L215" s="1">
        <v>1</v>
      </c>
      <c r="M215" s="1">
        <v>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35</v>
      </c>
      <c r="U215" s="1">
        <v>1</v>
      </c>
    </row>
    <row r="216" spans="1:21" x14ac:dyDescent="0.3">
      <c r="A216" t="s">
        <v>343</v>
      </c>
      <c r="B216" t="s">
        <v>37</v>
      </c>
      <c r="C216" t="s">
        <v>209</v>
      </c>
      <c r="D216" t="s">
        <v>210</v>
      </c>
      <c r="E216" s="1">
        <v>27.94</v>
      </c>
      <c r="F216" s="1" t="s">
        <v>39</v>
      </c>
      <c r="G216" s="1">
        <v>3</v>
      </c>
      <c r="H216" s="1">
        <v>3</v>
      </c>
      <c r="I216" s="1">
        <v>270</v>
      </c>
      <c r="J216" s="1">
        <v>3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26</v>
      </c>
      <c r="U216" s="1">
        <v>0</v>
      </c>
    </row>
    <row r="217" spans="1:21" x14ac:dyDescent="0.3">
      <c r="A217" t="s">
        <v>344</v>
      </c>
      <c r="B217" t="s">
        <v>31</v>
      </c>
      <c r="C217" t="s">
        <v>136</v>
      </c>
      <c r="D217" t="s">
        <v>137</v>
      </c>
      <c r="E217" s="1">
        <v>27.09</v>
      </c>
      <c r="F217" s="1" t="s">
        <v>39</v>
      </c>
      <c r="G217" s="1">
        <v>4</v>
      </c>
      <c r="H217" s="1">
        <v>3</v>
      </c>
      <c r="I217" s="1">
        <v>233</v>
      </c>
      <c r="J217" s="1">
        <v>2.6</v>
      </c>
      <c r="K217" s="1">
        <v>3</v>
      </c>
      <c r="L217" s="1">
        <v>0</v>
      </c>
      <c r="M217" s="1">
        <v>3</v>
      </c>
      <c r="N217" s="1">
        <v>3</v>
      </c>
      <c r="O217" s="1">
        <v>0</v>
      </c>
      <c r="P217" s="1">
        <v>0</v>
      </c>
      <c r="Q217" s="1">
        <v>0</v>
      </c>
      <c r="R217" s="1">
        <v>0</v>
      </c>
      <c r="S217" s="1">
        <v>1.1539999999999999</v>
      </c>
      <c r="T217" s="1" t="s">
        <v>40</v>
      </c>
      <c r="U217" s="1">
        <v>1</v>
      </c>
    </row>
    <row r="218" spans="1:21" x14ac:dyDescent="0.3">
      <c r="A218" t="s">
        <v>345</v>
      </c>
      <c r="B218" t="s">
        <v>22</v>
      </c>
      <c r="C218" t="s">
        <v>1146</v>
      </c>
      <c r="D218" t="s">
        <v>1148</v>
      </c>
      <c r="E218" s="1">
        <v>19.739999999999998</v>
      </c>
      <c r="F218" s="1" t="s">
        <v>34</v>
      </c>
      <c r="G218" s="1">
        <v>2</v>
      </c>
      <c r="H218" s="1">
        <v>0</v>
      </c>
      <c r="I218" s="1">
        <v>9</v>
      </c>
      <c r="J218" s="1">
        <v>0.1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</v>
      </c>
      <c r="R218" s="1">
        <v>0</v>
      </c>
      <c r="S218" s="1">
        <v>0</v>
      </c>
      <c r="T218" s="1" t="s">
        <v>35</v>
      </c>
      <c r="U218" s="1">
        <v>2</v>
      </c>
    </row>
    <row r="219" spans="1:21" x14ac:dyDescent="0.3">
      <c r="A219" t="s">
        <v>346</v>
      </c>
      <c r="B219" t="s">
        <v>61</v>
      </c>
      <c r="C219" t="s">
        <v>42</v>
      </c>
      <c r="D219" t="s">
        <v>43</v>
      </c>
      <c r="E219" s="1">
        <v>29.42</v>
      </c>
      <c r="F219" s="1" t="s">
        <v>39</v>
      </c>
      <c r="G219" s="1">
        <v>2</v>
      </c>
      <c r="H219" s="1">
        <v>2</v>
      </c>
      <c r="I219" s="1">
        <v>180</v>
      </c>
      <c r="J219" s="1">
        <v>2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26</v>
      </c>
      <c r="U219" s="1">
        <v>0</v>
      </c>
    </row>
    <row r="220" spans="1:21" x14ac:dyDescent="0.3">
      <c r="A220" t="s">
        <v>347</v>
      </c>
      <c r="B220" t="s">
        <v>155</v>
      </c>
      <c r="C220" t="s">
        <v>181</v>
      </c>
      <c r="D220" t="s">
        <v>182</v>
      </c>
      <c r="E220" s="1">
        <v>27.28</v>
      </c>
      <c r="F220" s="1" t="s">
        <v>39</v>
      </c>
      <c r="G220" s="1">
        <v>1</v>
      </c>
      <c r="H220" s="1">
        <v>0</v>
      </c>
      <c r="I220" s="1">
        <v>45</v>
      </c>
      <c r="J220" s="1">
        <v>0.5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35</v>
      </c>
      <c r="U220" s="1">
        <v>1</v>
      </c>
    </row>
    <row r="221" spans="1:21" x14ac:dyDescent="0.3">
      <c r="A221" t="s">
        <v>348</v>
      </c>
      <c r="B221" t="s">
        <v>37</v>
      </c>
      <c r="C221" t="s">
        <v>136</v>
      </c>
      <c r="D221" t="s">
        <v>137</v>
      </c>
      <c r="E221" s="1">
        <v>34.96</v>
      </c>
      <c r="F221" s="1" t="s">
        <v>44</v>
      </c>
      <c r="G221" s="1">
        <v>4</v>
      </c>
      <c r="H221" s="1">
        <v>3</v>
      </c>
      <c r="I221" s="1">
        <v>315</v>
      </c>
      <c r="J221" s="1">
        <v>3.5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2</v>
      </c>
      <c r="R221" s="1">
        <v>0</v>
      </c>
      <c r="S221" s="1">
        <v>0</v>
      </c>
      <c r="T221" s="1" t="s">
        <v>40</v>
      </c>
      <c r="U221" s="1">
        <v>1</v>
      </c>
    </row>
    <row r="222" spans="1:21" x14ac:dyDescent="0.3">
      <c r="A222" t="s">
        <v>349</v>
      </c>
      <c r="B222" t="s">
        <v>37</v>
      </c>
      <c r="C222" t="s">
        <v>112</v>
      </c>
      <c r="D222" t="s">
        <v>113</v>
      </c>
      <c r="E222" s="1">
        <v>27.78</v>
      </c>
      <c r="F222" s="1" t="s">
        <v>39</v>
      </c>
      <c r="G222" s="1">
        <v>3</v>
      </c>
      <c r="H222" s="1">
        <v>1</v>
      </c>
      <c r="I222" s="1">
        <v>151</v>
      </c>
      <c r="J222" s="1">
        <v>1.7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40</v>
      </c>
      <c r="U222" s="1">
        <v>2</v>
      </c>
    </row>
    <row r="223" spans="1:21" x14ac:dyDescent="0.3">
      <c r="A223" t="s">
        <v>350</v>
      </c>
      <c r="B223" t="s">
        <v>22</v>
      </c>
      <c r="C223" t="s">
        <v>309</v>
      </c>
      <c r="D223" t="s">
        <v>310</v>
      </c>
      <c r="E223" s="1">
        <v>35.89</v>
      </c>
      <c r="F223" s="1" t="s">
        <v>74</v>
      </c>
      <c r="G223" s="1">
        <v>1</v>
      </c>
      <c r="H223" s="1">
        <v>1</v>
      </c>
      <c r="I223" s="1">
        <v>54</v>
      </c>
      <c r="J223" s="1">
        <v>0.6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26</v>
      </c>
      <c r="U223" s="1">
        <v>0</v>
      </c>
    </row>
    <row r="224" spans="1:21" x14ac:dyDescent="0.3">
      <c r="A224" t="s">
        <v>351</v>
      </c>
      <c r="B224" t="s">
        <v>31</v>
      </c>
      <c r="C224" t="s">
        <v>92</v>
      </c>
      <c r="D224" t="s">
        <v>93</v>
      </c>
      <c r="E224" s="1">
        <v>26.46</v>
      </c>
      <c r="F224" s="1" t="s">
        <v>25</v>
      </c>
      <c r="G224" s="1">
        <v>4</v>
      </c>
      <c r="H224" s="1">
        <v>4</v>
      </c>
      <c r="I224" s="1">
        <v>330</v>
      </c>
      <c r="J224" s="1">
        <v>3.7</v>
      </c>
      <c r="K224" s="1">
        <v>3</v>
      </c>
      <c r="L224" s="1">
        <v>0</v>
      </c>
      <c r="M224" s="1">
        <v>3</v>
      </c>
      <c r="N224" s="1">
        <v>3</v>
      </c>
      <c r="O224" s="1">
        <v>0</v>
      </c>
      <c r="P224" s="1">
        <v>0</v>
      </c>
      <c r="Q224" s="1">
        <v>0</v>
      </c>
      <c r="R224" s="1">
        <v>0</v>
      </c>
      <c r="S224" s="1">
        <v>0.81100000000000005</v>
      </c>
      <c r="T224" s="1" t="s">
        <v>26</v>
      </c>
      <c r="U224" s="1">
        <v>0</v>
      </c>
    </row>
    <row r="225" spans="1:21" x14ac:dyDescent="0.3">
      <c r="A225" t="s">
        <v>352</v>
      </c>
      <c r="B225" t="s">
        <v>31</v>
      </c>
      <c r="C225" t="s">
        <v>92</v>
      </c>
      <c r="D225" t="s">
        <v>93</v>
      </c>
      <c r="E225" s="1">
        <v>24.99</v>
      </c>
      <c r="F225" s="1" t="s">
        <v>25</v>
      </c>
      <c r="G225" s="1">
        <v>3</v>
      </c>
      <c r="H225" s="1">
        <v>0</v>
      </c>
      <c r="I225" s="1">
        <v>67</v>
      </c>
      <c r="J225" s="1">
        <v>0.7</v>
      </c>
      <c r="K225" s="1">
        <v>1</v>
      </c>
      <c r="L225" s="1">
        <v>1</v>
      </c>
      <c r="M225" s="1">
        <v>2</v>
      </c>
      <c r="N225" s="1">
        <v>1</v>
      </c>
      <c r="O225" s="1">
        <v>0</v>
      </c>
      <c r="P225" s="1">
        <v>0</v>
      </c>
      <c r="Q225" s="1">
        <v>0</v>
      </c>
      <c r="R225" s="1">
        <v>0</v>
      </c>
      <c r="S225" s="1">
        <v>1.429</v>
      </c>
      <c r="T225" s="1" t="s">
        <v>35</v>
      </c>
      <c r="U225" s="1">
        <v>3</v>
      </c>
    </row>
    <row r="226" spans="1:21" x14ac:dyDescent="0.3">
      <c r="A226" t="s">
        <v>353</v>
      </c>
      <c r="B226" t="s">
        <v>354</v>
      </c>
      <c r="C226" t="s">
        <v>92</v>
      </c>
      <c r="D226" t="s">
        <v>93</v>
      </c>
      <c r="E226" s="1">
        <v>25.66</v>
      </c>
      <c r="F226" s="1" t="s">
        <v>25</v>
      </c>
      <c r="G226" s="1">
        <v>1</v>
      </c>
      <c r="H226" s="1">
        <v>0</v>
      </c>
      <c r="I226" s="1">
        <v>16</v>
      </c>
      <c r="J226" s="1">
        <v>0.2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35</v>
      </c>
      <c r="U226" s="1">
        <v>1</v>
      </c>
    </row>
    <row r="227" spans="1:21" x14ac:dyDescent="0.3">
      <c r="A227" t="s">
        <v>355</v>
      </c>
      <c r="B227" t="s">
        <v>37</v>
      </c>
      <c r="C227" t="s">
        <v>156</v>
      </c>
      <c r="D227" t="s">
        <v>157</v>
      </c>
      <c r="E227" s="1">
        <v>35.25</v>
      </c>
      <c r="F227" s="1" t="s">
        <v>74</v>
      </c>
      <c r="G227" s="1">
        <v>2</v>
      </c>
      <c r="H227" s="1">
        <v>0</v>
      </c>
      <c r="I227" s="1">
        <v>4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35</v>
      </c>
      <c r="U227" s="1">
        <v>2</v>
      </c>
    </row>
    <row r="228" spans="1:21" x14ac:dyDescent="0.3">
      <c r="A228" t="s">
        <v>356</v>
      </c>
      <c r="B228" t="s">
        <v>22</v>
      </c>
      <c r="C228" t="s">
        <v>46</v>
      </c>
      <c r="D228" t="s">
        <v>47</v>
      </c>
      <c r="E228" s="1">
        <v>27.53</v>
      </c>
      <c r="F228" s="1" t="s">
        <v>39</v>
      </c>
      <c r="G228" s="1">
        <v>3</v>
      </c>
      <c r="H228" s="1">
        <v>2</v>
      </c>
      <c r="I228" s="1">
        <v>207</v>
      </c>
      <c r="J228" s="1">
        <v>2.2999999999999998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</v>
      </c>
      <c r="R228" s="1">
        <v>0</v>
      </c>
      <c r="S228" s="1">
        <v>0</v>
      </c>
      <c r="T228" s="1" t="s">
        <v>40</v>
      </c>
      <c r="U228" s="1">
        <v>1</v>
      </c>
    </row>
    <row r="229" spans="1:21" x14ac:dyDescent="0.3">
      <c r="A229" t="s">
        <v>357</v>
      </c>
      <c r="B229" t="s">
        <v>22</v>
      </c>
      <c r="C229" t="s">
        <v>46</v>
      </c>
      <c r="D229" t="s">
        <v>47</v>
      </c>
      <c r="E229" s="1">
        <v>34.86</v>
      </c>
      <c r="F229" s="1" t="s">
        <v>44</v>
      </c>
      <c r="G229" s="1">
        <v>3</v>
      </c>
      <c r="H229" s="1">
        <v>3</v>
      </c>
      <c r="I229" s="1">
        <v>245</v>
      </c>
      <c r="J229" s="1">
        <v>2.7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</v>
      </c>
      <c r="R229" s="1">
        <v>0</v>
      </c>
      <c r="S229" s="1">
        <v>0</v>
      </c>
      <c r="T229" s="1" t="s">
        <v>26</v>
      </c>
      <c r="U229" s="1">
        <v>0</v>
      </c>
    </row>
    <row r="230" spans="1:21" x14ac:dyDescent="0.3">
      <c r="A230" t="s">
        <v>358</v>
      </c>
      <c r="B230" t="s">
        <v>64</v>
      </c>
      <c r="C230" t="s">
        <v>55</v>
      </c>
      <c r="D230" t="s">
        <v>56</v>
      </c>
      <c r="E230" s="1">
        <v>34.22</v>
      </c>
      <c r="F230" s="1" t="s">
        <v>44</v>
      </c>
      <c r="G230" s="1">
        <v>1</v>
      </c>
      <c r="H230" s="1">
        <v>0</v>
      </c>
      <c r="I230" s="1">
        <v>3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 t="s">
        <v>35</v>
      </c>
      <c r="U230" s="1">
        <v>1</v>
      </c>
    </row>
    <row r="231" spans="1:21" x14ac:dyDescent="0.3">
      <c r="A231" t="s">
        <v>359</v>
      </c>
      <c r="B231" t="s">
        <v>22</v>
      </c>
      <c r="C231" t="s">
        <v>301</v>
      </c>
      <c r="D231" t="s">
        <v>302</v>
      </c>
      <c r="E231" s="1">
        <v>35.01</v>
      </c>
      <c r="F231" s="1" t="s">
        <v>74</v>
      </c>
      <c r="G231" s="1">
        <v>3</v>
      </c>
      <c r="H231" s="1">
        <v>3</v>
      </c>
      <c r="I231" s="1">
        <v>242</v>
      </c>
      <c r="J231" s="1">
        <v>2.7</v>
      </c>
      <c r="K231" s="1">
        <v>1</v>
      </c>
      <c r="L231" s="1">
        <v>0</v>
      </c>
      <c r="M231" s="1">
        <v>1</v>
      </c>
      <c r="N231" s="1">
        <v>1</v>
      </c>
      <c r="O231" s="1">
        <v>0</v>
      </c>
      <c r="P231" s="1">
        <v>0</v>
      </c>
      <c r="Q231" s="1">
        <v>0</v>
      </c>
      <c r="R231" s="1">
        <v>0</v>
      </c>
      <c r="S231" s="1">
        <v>0.37</v>
      </c>
      <c r="T231" s="1" t="s">
        <v>26</v>
      </c>
      <c r="U231" s="1">
        <v>0</v>
      </c>
    </row>
    <row r="232" spans="1:21" x14ac:dyDescent="0.3">
      <c r="A232" t="s">
        <v>360</v>
      </c>
      <c r="B232" t="s">
        <v>37</v>
      </c>
      <c r="C232" t="s">
        <v>301</v>
      </c>
      <c r="D232" t="s">
        <v>302</v>
      </c>
      <c r="E232" s="1">
        <v>25.52</v>
      </c>
      <c r="F232" s="1" t="s">
        <v>25</v>
      </c>
      <c r="G232" s="1">
        <v>3</v>
      </c>
      <c r="H232" s="1">
        <v>2</v>
      </c>
      <c r="I232" s="1">
        <v>215</v>
      </c>
      <c r="J232" s="1">
        <v>2.4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 t="s">
        <v>40</v>
      </c>
      <c r="U232" s="1">
        <v>1</v>
      </c>
    </row>
    <row r="233" spans="1:21" x14ac:dyDescent="0.3">
      <c r="A233" t="s">
        <v>361</v>
      </c>
      <c r="B233" t="s">
        <v>37</v>
      </c>
      <c r="C233" t="s">
        <v>92</v>
      </c>
      <c r="D233" t="s">
        <v>93</v>
      </c>
      <c r="E233" s="1">
        <v>20.71</v>
      </c>
      <c r="F233" s="1" t="s">
        <v>34</v>
      </c>
      <c r="G233" s="1">
        <v>4</v>
      </c>
      <c r="H233" s="1">
        <v>3</v>
      </c>
      <c r="I233" s="1">
        <v>282</v>
      </c>
      <c r="J233" s="1">
        <v>3.1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1</v>
      </c>
      <c r="R233" s="1">
        <v>0</v>
      </c>
      <c r="S233" s="1">
        <v>0</v>
      </c>
      <c r="T233" s="1" t="s">
        <v>40</v>
      </c>
      <c r="U233" s="1">
        <v>1</v>
      </c>
    </row>
    <row r="234" spans="1:21" x14ac:dyDescent="0.3">
      <c r="A234" t="s">
        <v>362</v>
      </c>
      <c r="B234" t="s">
        <v>31</v>
      </c>
      <c r="C234" t="s">
        <v>301</v>
      </c>
      <c r="D234" t="s">
        <v>302</v>
      </c>
      <c r="E234" s="1">
        <v>25.31</v>
      </c>
      <c r="F234" s="1" t="s">
        <v>25</v>
      </c>
      <c r="G234" s="1">
        <v>2</v>
      </c>
      <c r="H234" s="1">
        <v>2</v>
      </c>
      <c r="I234" s="1">
        <v>149</v>
      </c>
      <c r="J234" s="1">
        <v>1.7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 t="s">
        <v>26</v>
      </c>
      <c r="U234" s="1">
        <v>0</v>
      </c>
    </row>
    <row r="235" spans="1:21" x14ac:dyDescent="0.3">
      <c r="A235" t="s">
        <v>363</v>
      </c>
      <c r="B235" t="s">
        <v>22</v>
      </c>
      <c r="C235" t="s">
        <v>89</v>
      </c>
      <c r="D235" t="s">
        <v>90</v>
      </c>
      <c r="E235" s="1">
        <v>29.08</v>
      </c>
      <c r="F235" s="1" t="s">
        <v>39</v>
      </c>
      <c r="G235" s="1">
        <v>3</v>
      </c>
      <c r="H235" s="1">
        <v>0</v>
      </c>
      <c r="I235" s="1">
        <v>86</v>
      </c>
      <c r="J235" s="1">
        <v>1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>
        <v>0</v>
      </c>
      <c r="S235" s="1">
        <v>0</v>
      </c>
      <c r="T235" s="1" t="s">
        <v>35</v>
      </c>
      <c r="U235" s="1">
        <v>3</v>
      </c>
    </row>
    <row r="236" spans="1:21" x14ac:dyDescent="0.3">
      <c r="A236" t="s">
        <v>364</v>
      </c>
      <c r="B236" t="s">
        <v>22</v>
      </c>
      <c r="C236" t="s">
        <v>139</v>
      </c>
      <c r="D236" t="s">
        <v>140</v>
      </c>
      <c r="E236" s="1">
        <v>32.1</v>
      </c>
      <c r="F236" s="1" t="s">
        <v>44</v>
      </c>
      <c r="G236" s="1">
        <v>2</v>
      </c>
      <c r="H236" s="1">
        <v>2</v>
      </c>
      <c r="I236" s="1">
        <v>171</v>
      </c>
      <c r="J236" s="1">
        <v>1.9</v>
      </c>
      <c r="K236" s="1">
        <v>0</v>
      </c>
      <c r="L236" s="1">
        <v>1</v>
      </c>
      <c r="M236" s="1">
        <v>1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 t="s">
        <v>26</v>
      </c>
      <c r="U236" s="1">
        <v>0</v>
      </c>
    </row>
    <row r="237" spans="1:21" x14ac:dyDescent="0.3">
      <c r="A237" t="s">
        <v>365</v>
      </c>
      <c r="B237" t="s">
        <v>37</v>
      </c>
      <c r="C237" t="s">
        <v>115</v>
      </c>
      <c r="D237" t="s">
        <v>116</v>
      </c>
      <c r="E237" s="1">
        <v>23.87</v>
      </c>
      <c r="F237" s="1" t="s">
        <v>25</v>
      </c>
      <c r="G237" s="1">
        <v>2</v>
      </c>
      <c r="H237" s="1">
        <v>2</v>
      </c>
      <c r="I237" s="1">
        <v>180</v>
      </c>
      <c r="J237" s="1">
        <v>2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R237" s="1">
        <v>0</v>
      </c>
      <c r="S237" s="1">
        <v>0</v>
      </c>
      <c r="T237" s="1" t="s">
        <v>26</v>
      </c>
      <c r="U237" s="1">
        <v>0</v>
      </c>
    </row>
    <row r="238" spans="1:21" x14ac:dyDescent="0.3">
      <c r="A238" t="s">
        <v>366</v>
      </c>
      <c r="B238" t="s">
        <v>22</v>
      </c>
      <c r="C238" t="s">
        <v>72</v>
      </c>
      <c r="D238" t="s">
        <v>73</v>
      </c>
      <c r="E238" s="1">
        <v>25.38</v>
      </c>
      <c r="F238" s="1" t="s">
        <v>25</v>
      </c>
      <c r="G238" s="1">
        <v>3</v>
      </c>
      <c r="H238" s="1">
        <v>1</v>
      </c>
      <c r="I238" s="1">
        <v>112</v>
      </c>
      <c r="J238" s="1">
        <v>1.2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 t="s">
        <v>40</v>
      </c>
      <c r="U238" s="1">
        <v>2</v>
      </c>
    </row>
    <row r="239" spans="1:21" x14ac:dyDescent="0.3">
      <c r="A239" t="s">
        <v>367</v>
      </c>
      <c r="B239" t="s">
        <v>37</v>
      </c>
      <c r="C239" t="s">
        <v>72</v>
      </c>
      <c r="D239" t="s">
        <v>73</v>
      </c>
      <c r="E239" s="1">
        <v>27.33</v>
      </c>
      <c r="F239" s="1" t="s">
        <v>39</v>
      </c>
      <c r="G239" s="1">
        <v>3</v>
      </c>
      <c r="H239" s="1">
        <v>3</v>
      </c>
      <c r="I239" s="1">
        <v>270</v>
      </c>
      <c r="J239" s="1">
        <v>3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 t="s">
        <v>26</v>
      </c>
      <c r="U239" s="1">
        <v>0</v>
      </c>
    </row>
    <row r="240" spans="1:21" x14ac:dyDescent="0.3">
      <c r="A240" t="s">
        <v>368</v>
      </c>
      <c r="B240" t="s">
        <v>22</v>
      </c>
      <c r="C240" t="s">
        <v>107</v>
      </c>
      <c r="D240" t="s">
        <v>108</v>
      </c>
      <c r="E240" s="1">
        <v>29.13</v>
      </c>
      <c r="F240" s="1" t="s">
        <v>39</v>
      </c>
      <c r="G240" s="1">
        <v>3</v>
      </c>
      <c r="H240" s="1">
        <v>3</v>
      </c>
      <c r="I240" s="1">
        <v>210</v>
      </c>
      <c r="J240" s="1">
        <v>2.2999999999999998</v>
      </c>
      <c r="K240" s="1">
        <v>4</v>
      </c>
      <c r="L240" s="1">
        <v>1</v>
      </c>
      <c r="M240" s="1">
        <v>5</v>
      </c>
      <c r="N240" s="1">
        <v>4</v>
      </c>
      <c r="O240" s="1">
        <v>0</v>
      </c>
      <c r="P240" s="1">
        <v>0</v>
      </c>
      <c r="Q240" s="1">
        <v>0</v>
      </c>
      <c r="R240" s="1">
        <v>0</v>
      </c>
      <c r="S240" s="1">
        <v>1.7390000000000001</v>
      </c>
      <c r="T240" s="1" t="s">
        <v>26</v>
      </c>
      <c r="U240" s="1">
        <v>0</v>
      </c>
    </row>
    <row r="241" spans="1:21" x14ac:dyDescent="0.3">
      <c r="A241" t="s">
        <v>369</v>
      </c>
      <c r="B241" t="s">
        <v>37</v>
      </c>
      <c r="C241" t="s">
        <v>104</v>
      </c>
      <c r="D241" t="s">
        <v>105</v>
      </c>
      <c r="E241" s="1">
        <v>28.32</v>
      </c>
      <c r="F241" s="1" t="s">
        <v>39</v>
      </c>
      <c r="G241" s="1">
        <v>2</v>
      </c>
      <c r="H241" s="1">
        <v>2</v>
      </c>
      <c r="I241" s="1">
        <v>180</v>
      </c>
      <c r="J241" s="1">
        <v>2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 t="s">
        <v>26</v>
      </c>
      <c r="U241" s="1">
        <v>0</v>
      </c>
    </row>
    <row r="242" spans="1:21" x14ac:dyDescent="0.3">
      <c r="A242" t="s">
        <v>370</v>
      </c>
      <c r="B242" t="s">
        <v>31</v>
      </c>
      <c r="C242" t="s">
        <v>115</v>
      </c>
      <c r="D242" t="s">
        <v>116</v>
      </c>
      <c r="E242" s="1">
        <v>28.27</v>
      </c>
      <c r="F242" s="1" t="s">
        <v>39</v>
      </c>
      <c r="G242" s="1">
        <v>3</v>
      </c>
      <c r="H242" s="1">
        <v>3</v>
      </c>
      <c r="I242" s="1">
        <v>264</v>
      </c>
      <c r="J242" s="1">
        <v>2.9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 t="s">
        <v>26</v>
      </c>
      <c r="U242" s="1">
        <v>0</v>
      </c>
    </row>
    <row r="243" spans="1:21" x14ac:dyDescent="0.3">
      <c r="A243" t="s">
        <v>371</v>
      </c>
      <c r="B243" t="s">
        <v>22</v>
      </c>
      <c r="C243" t="s">
        <v>23</v>
      </c>
      <c r="D243" t="s">
        <v>24</v>
      </c>
      <c r="E243" s="1">
        <v>25.65</v>
      </c>
      <c r="F243" s="1" t="s">
        <v>25</v>
      </c>
      <c r="G243" s="1">
        <v>3</v>
      </c>
      <c r="H243" s="1">
        <v>2</v>
      </c>
      <c r="I243" s="1">
        <v>165</v>
      </c>
      <c r="J243" s="1">
        <v>1.8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 t="s">
        <v>40</v>
      </c>
      <c r="U243" s="1">
        <v>1</v>
      </c>
    </row>
    <row r="244" spans="1:21" x14ac:dyDescent="0.3">
      <c r="A244" t="s">
        <v>372</v>
      </c>
      <c r="B244" t="s">
        <v>37</v>
      </c>
      <c r="C244" t="s">
        <v>125</v>
      </c>
      <c r="D244" t="s">
        <v>126</v>
      </c>
      <c r="E244" s="1">
        <v>32.96</v>
      </c>
      <c r="F244" s="1" t="s">
        <v>44</v>
      </c>
      <c r="G244" s="1">
        <v>1</v>
      </c>
      <c r="H244" s="1">
        <v>1</v>
      </c>
      <c r="I244" s="1">
        <v>90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 t="s">
        <v>26</v>
      </c>
      <c r="U244" s="1">
        <v>0</v>
      </c>
    </row>
    <row r="245" spans="1:21" x14ac:dyDescent="0.3">
      <c r="A245" t="s">
        <v>373</v>
      </c>
      <c r="B245" t="s">
        <v>31</v>
      </c>
      <c r="C245" t="s">
        <v>77</v>
      </c>
      <c r="D245" t="s">
        <v>78</v>
      </c>
      <c r="E245" s="1">
        <v>22.53</v>
      </c>
      <c r="F245" s="1" t="s">
        <v>34</v>
      </c>
      <c r="G245" s="1">
        <v>1</v>
      </c>
      <c r="H245" s="1">
        <v>0</v>
      </c>
      <c r="I245" s="1">
        <v>24</v>
      </c>
      <c r="J245" s="1">
        <v>0.3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 t="s">
        <v>35</v>
      </c>
      <c r="U245" s="1">
        <v>1</v>
      </c>
    </row>
    <row r="246" spans="1:21" x14ac:dyDescent="0.3">
      <c r="A246" t="s">
        <v>374</v>
      </c>
      <c r="B246" t="s">
        <v>83</v>
      </c>
      <c r="C246" t="s">
        <v>77</v>
      </c>
      <c r="D246" t="s">
        <v>78</v>
      </c>
      <c r="E246" s="1">
        <v>23.97</v>
      </c>
      <c r="F246" s="1" t="s">
        <v>25</v>
      </c>
      <c r="G246" s="1">
        <v>3</v>
      </c>
      <c r="H246" s="1">
        <v>2</v>
      </c>
      <c r="I246" s="1">
        <v>154</v>
      </c>
      <c r="J246" s="1">
        <v>1.7</v>
      </c>
      <c r="K246" s="1">
        <v>1</v>
      </c>
      <c r="L246" s="1">
        <v>0</v>
      </c>
      <c r="M246" s="1">
        <v>1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0.58799999999999997</v>
      </c>
      <c r="T246" s="1" t="s">
        <v>40</v>
      </c>
      <c r="U246" s="1">
        <v>1</v>
      </c>
    </row>
    <row r="247" spans="1:21" x14ac:dyDescent="0.3">
      <c r="A247" t="s">
        <v>375</v>
      </c>
      <c r="B247" t="s">
        <v>22</v>
      </c>
      <c r="C247" t="s">
        <v>291</v>
      </c>
      <c r="D247" t="s">
        <v>292</v>
      </c>
      <c r="E247" s="1">
        <v>20.81</v>
      </c>
      <c r="F247" s="1" t="s">
        <v>34</v>
      </c>
      <c r="G247" s="1">
        <v>1</v>
      </c>
      <c r="H247" s="1">
        <v>0</v>
      </c>
      <c r="I247" s="1">
        <v>10</v>
      </c>
      <c r="J247" s="1">
        <v>0.1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 t="s">
        <v>35</v>
      </c>
      <c r="U247" s="1">
        <v>1</v>
      </c>
    </row>
    <row r="248" spans="1:21" x14ac:dyDescent="0.3">
      <c r="A248" t="s">
        <v>376</v>
      </c>
      <c r="B248" t="s">
        <v>22</v>
      </c>
      <c r="C248" t="s">
        <v>291</v>
      </c>
      <c r="D248" t="s">
        <v>292</v>
      </c>
      <c r="E248" s="1">
        <v>22.49</v>
      </c>
      <c r="F248" s="1" t="s">
        <v>34</v>
      </c>
      <c r="G248" s="1">
        <v>2</v>
      </c>
      <c r="H248" s="1">
        <v>1</v>
      </c>
      <c r="I248" s="1">
        <v>71</v>
      </c>
      <c r="J248" s="1">
        <v>0.8</v>
      </c>
      <c r="K248" s="1">
        <v>1</v>
      </c>
      <c r="L248" s="1">
        <v>0</v>
      </c>
      <c r="M248" s="1">
        <v>1</v>
      </c>
      <c r="N248" s="1">
        <v>1</v>
      </c>
      <c r="O248" s="1">
        <v>0</v>
      </c>
      <c r="P248" s="1">
        <v>0</v>
      </c>
      <c r="Q248" s="1">
        <v>0</v>
      </c>
      <c r="R248" s="1">
        <v>0</v>
      </c>
      <c r="S248" s="1">
        <v>1.25</v>
      </c>
      <c r="T248" s="1" t="s">
        <v>40</v>
      </c>
      <c r="U248" s="1">
        <v>1</v>
      </c>
    </row>
    <row r="249" spans="1:21" x14ac:dyDescent="0.3">
      <c r="A249" t="s">
        <v>377</v>
      </c>
      <c r="B249" t="s">
        <v>37</v>
      </c>
      <c r="C249" t="s">
        <v>181</v>
      </c>
      <c r="D249" t="s">
        <v>182</v>
      </c>
      <c r="E249" s="1">
        <v>29.13</v>
      </c>
      <c r="F249" s="1" t="s">
        <v>39</v>
      </c>
      <c r="G249" s="1">
        <v>2</v>
      </c>
      <c r="H249" s="1">
        <v>2</v>
      </c>
      <c r="I249" s="1">
        <v>180</v>
      </c>
      <c r="J249" s="1">
        <v>2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 t="s">
        <v>26</v>
      </c>
      <c r="U249" s="1">
        <v>0</v>
      </c>
    </row>
    <row r="250" spans="1:21" x14ac:dyDescent="0.3">
      <c r="A250" t="s">
        <v>378</v>
      </c>
      <c r="B250" t="s">
        <v>37</v>
      </c>
      <c r="C250" t="s">
        <v>291</v>
      </c>
      <c r="D250" t="s">
        <v>292</v>
      </c>
      <c r="E250" s="1">
        <v>27.34</v>
      </c>
      <c r="F250" s="1" t="s">
        <v>39</v>
      </c>
      <c r="G250" s="1">
        <v>3</v>
      </c>
      <c r="H250" s="1">
        <v>3</v>
      </c>
      <c r="I250" s="1">
        <v>270</v>
      </c>
      <c r="J250" s="1">
        <v>3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 t="s">
        <v>26</v>
      </c>
      <c r="U250" s="1">
        <v>0</v>
      </c>
    </row>
    <row r="251" spans="1:21" x14ac:dyDescent="0.3">
      <c r="A251" t="s">
        <v>379</v>
      </c>
      <c r="B251" t="s">
        <v>61</v>
      </c>
      <c r="C251" t="s">
        <v>291</v>
      </c>
      <c r="D251" t="s">
        <v>292</v>
      </c>
      <c r="E251" s="1">
        <v>33.020000000000003</v>
      </c>
      <c r="F251" s="1" t="s">
        <v>44</v>
      </c>
      <c r="G251" s="1">
        <v>2</v>
      </c>
      <c r="H251" s="1">
        <v>1</v>
      </c>
      <c r="I251" s="1">
        <v>118</v>
      </c>
      <c r="J251" s="1">
        <v>1.3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 t="s">
        <v>40</v>
      </c>
      <c r="U251" s="1">
        <v>1</v>
      </c>
    </row>
    <row r="252" spans="1:21" x14ac:dyDescent="0.3">
      <c r="A252" t="s">
        <v>380</v>
      </c>
      <c r="B252" t="s">
        <v>22</v>
      </c>
      <c r="C252" t="s">
        <v>151</v>
      </c>
      <c r="D252" t="s">
        <v>152</v>
      </c>
      <c r="E252" s="1">
        <v>26.91</v>
      </c>
      <c r="F252" s="1" t="s">
        <v>25</v>
      </c>
      <c r="G252" s="1">
        <v>4</v>
      </c>
      <c r="H252" s="1">
        <v>4</v>
      </c>
      <c r="I252" s="1">
        <v>294</v>
      </c>
      <c r="J252" s="1">
        <v>3.3</v>
      </c>
      <c r="K252" s="1">
        <v>0</v>
      </c>
      <c r="L252" s="1">
        <v>2</v>
      </c>
      <c r="M252" s="1">
        <v>2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 t="s">
        <v>26</v>
      </c>
      <c r="U252" s="1">
        <v>0</v>
      </c>
    </row>
    <row r="253" spans="1:21" x14ac:dyDescent="0.3">
      <c r="A253" t="s">
        <v>381</v>
      </c>
      <c r="B253" t="s">
        <v>64</v>
      </c>
      <c r="C253" t="s">
        <v>156</v>
      </c>
      <c r="D253" t="s">
        <v>157</v>
      </c>
      <c r="E253" s="1">
        <v>29.13</v>
      </c>
      <c r="F253" s="1" t="s">
        <v>39</v>
      </c>
      <c r="G253" s="1">
        <v>2</v>
      </c>
      <c r="H253" s="1">
        <v>0</v>
      </c>
      <c r="I253" s="1">
        <v>37</v>
      </c>
      <c r="J253" s="1">
        <v>0.4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 t="s">
        <v>35</v>
      </c>
      <c r="U253" s="1">
        <v>2</v>
      </c>
    </row>
    <row r="254" spans="1:21" x14ac:dyDescent="0.3">
      <c r="A254" t="s">
        <v>382</v>
      </c>
      <c r="B254" t="s">
        <v>31</v>
      </c>
      <c r="C254" t="s">
        <v>189</v>
      </c>
      <c r="D254" t="s">
        <v>190</v>
      </c>
      <c r="E254" s="1">
        <v>29.46</v>
      </c>
      <c r="F254" s="1" t="s">
        <v>39</v>
      </c>
      <c r="G254" s="1">
        <v>3</v>
      </c>
      <c r="H254" s="1">
        <v>3</v>
      </c>
      <c r="I254" s="1">
        <v>269</v>
      </c>
      <c r="J254" s="1">
        <v>3</v>
      </c>
      <c r="K254" s="1">
        <v>1</v>
      </c>
      <c r="L254" s="1">
        <v>1</v>
      </c>
      <c r="M254" s="1">
        <v>2</v>
      </c>
      <c r="N254" s="1">
        <v>1</v>
      </c>
      <c r="O254" s="1">
        <v>0</v>
      </c>
      <c r="P254" s="1">
        <v>0</v>
      </c>
      <c r="Q254" s="1">
        <v>0</v>
      </c>
      <c r="R254" s="1">
        <v>0</v>
      </c>
      <c r="S254" s="1">
        <v>0.33300000000000002</v>
      </c>
      <c r="T254" s="1" t="s">
        <v>26</v>
      </c>
      <c r="U254" s="1">
        <v>0</v>
      </c>
    </row>
    <row r="255" spans="1:21" x14ac:dyDescent="0.3">
      <c r="A255" t="s">
        <v>383</v>
      </c>
      <c r="B255" t="s">
        <v>31</v>
      </c>
      <c r="C255" t="s">
        <v>291</v>
      </c>
      <c r="D255" t="s">
        <v>292</v>
      </c>
      <c r="E255" s="1">
        <v>26.27</v>
      </c>
      <c r="F255" s="1" t="s">
        <v>25</v>
      </c>
      <c r="G255" s="1">
        <v>1</v>
      </c>
      <c r="H255" s="1">
        <v>0</v>
      </c>
      <c r="I255" s="1">
        <v>8</v>
      </c>
      <c r="J255" s="1">
        <v>0.1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 t="s">
        <v>35</v>
      </c>
      <c r="U255" s="1">
        <v>1</v>
      </c>
    </row>
    <row r="256" spans="1:21" x14ac:dyDescent="0.3">
      <c r="A256" t="s">
        <v>384</v>
      </c>
      <c r="B256" t="s">
        <v>37</v>
      </c>
      <c r="C256" t="s">
        <v>107</v>
      </c>
      <c r="D256" t="s">
        <v>108</v>
      </c>
      <c r="E256" s="1">
        <v>32.94</v>
      </c>
      <c r="F256" s="1" t="s">
        <v>44</v>
      </c>
      <c r="G256" s="1">
        <v>1</v>
      </c>
      <c r="H256" s="1">
        <v>1</v>
      </c>
      <c r="I256" s="1">
        <v>90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 t="s">
        <v>26</v>
      </c>
      <c r="U256" s="1">
        <v>0</v>
      </c>
    </row>
    <row r="257" spans="1:21" x14ac:dyDescent="0.3">
      <c r="A257" t="s">
        <v>385</v>
      </c>
      <c r="B257" t="s">
        <v>37</v>
      </c>
      <c r="C257" t="s">
        <v>184</v>
      </c>
      <c r="D257" t="s">
        <v>185</v>
      </c>
      <c r="E257" s="1">
        <v>31.45</v>
      </c>
      <c r="F257" s="1" t="s">
        <v>44</v>
      </c>
      <c r="G257" s="1">
        <v>3</v>
      </c>
      <c r="H257" s="1">
        <v>3</v>
      </c>
      <c r="I257" s="1">
        <v>270</v>
      </c>
      <c r="J257" s="1">
        <v>3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R257" s="1">
        <v>0</v>
      </c>
      <c r="S257" s="1">
        <v>0</v>
      </c>
      <c r="T257" s="1" t="s">
        <v>26</v>
      </c>
      <c r="U257" s="1">
        <v>0</v>
      </c>
    </row>
    <row r="258" spans="1:21" x14ac:dyDescent="0.3">
      <c r="A258" t="s">
        <v>386</v>
      </c>
      <c r="B258" t="s">
        <v>37</v>
      </c>
      <c r="C258" t="s">
        <v>77</v>
      </c>
      <c r="D258" t="s">
        <v>78</v>
      </c>
      <c r="E258" s="1">
        <v>22.57</v>
      </c>
      <c r="F258" s="1" t="s">
        <v>34</v>
      </c>
      <c r="G258" s="1">
        <v>1</v>
      </c>
      <c r="H258" s="1">
        <v>1</v>
      </c>
      <c r="I258" s="1">
        <v>90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 t="s">
        <v>26</v>
      </c>
      <c r="U258" s="1">
        <v>0</v>
      </c>
    </row>
    <row r="259" spans="1:21" x14ac:dyDescent="0.3">
      <c r="A259" t="s">
        <v>387</v>
      </c>
      <c r="B259" t="s">
        <v>83</v>
      </c>
      <c r="C259" t="s">
        <v>77</v>
      </c>
      <c r="D259" t="s">
        <v>78</v>
      </c>
      <c r="E259" s="1">
        <v>19.62</v>
      </c>
      <c r="F259" s="1" t="s">
        <v>34</v>
      </c>
      <c r="G259" s="1">
        <v>3</v>
      </c>
      <c r="H259" s="1">
        <v>3</v>
      </c>
      <c r="I259" s="1">
        <v>240</v>
      </c>
      <c r="J259" s="1">
        <v>2.7</v>
      </c>
      <c r="K259" s="1">
        <v>0</v>
      </c>
      <c r="L259" s="1">
        <v>1</v>
      </c>
      <c r="M259" s="1">
        <v>1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 t="s">
        <v>26</v>
      </c>
      <c r="U259" s="1">
        <v>0</v>
      </c>
    </row>
    <row r="260" spans="1:21" x14ac:dyDescent="0.3">
      <c r="A260" t="s">
        <v>388</v>
      </c>
      <c r="B260" t="s">
        <v>37</v>
      </c>
      <c r="C260" t="s">
        <v>151</v>
      </c>
      <c r="D260" t="s">
        <v>152</v>
      </c>
      <c r="E260" s="1">
        <v>29.47</v>
      </c>
      <c r="F260" s="1" t="s">
        <v>39</v>
      </c>
      <c r="G260" s="1">
        <v>3</v>
      </c>
      <c r="H260" s="1">
        <v>3</v>
      </c>
      <c r="I260" s="1">
        <v>300</v>
      </c>
      <c r="J260" s="1">
        <v>3.3</v>
      </c>
      <c r="K260" s="1">
        <v>1</v>
      </c>
      <c r="L260" s="1">
        <v>0</v>
      </c>
      <c r="M260" s="1">
        <v>1</v>
      </c>
      <c r="N260" s="1">
        <v>1</v>
      </c>
      <c r="O260" s="1">
        <v>0</v>
      </c>
      <c r="P260" s="1">
        <v>0</v>
      </c>
      <c r="Q260" s="1">
        <v>2</v>
      </c>
      <c r="R260" s="1">
        <v>0</v>
      </c>
      <c r="S260" s="1">
        <v>0.30299999999999999</v>
      </c>
      <c r="T260" s="1" t="s">
        <v>26</v>
      </c>
      <c r="U260" s="1">
        <v>0</v>
      </c>
    </row>
    <row r="261" spans="1:21" x14ac:dyDescent="0.3">
      <c r="A261" t="s">
        <v>389</v>
      </c>
      <c r="B261" t="s">
        <v>37</v>
      </c>
      <c r="C261" t="s">
        <v>291</v>
      </c>
      <c r="D261" t="s">
        <v>292</v>
      </c>
      <c r="E261" s="1">
        <v>21.5</v>
      </c>
      <c r="F261" s="1" t="s">
        <v>34</v>
      </c>
      <c r="G261" s="1">
        <v>2</v>
      </c>
      <c r="H261" s="1">
        <v>2</v>
      </c>
      <c r="I261" s="1">
        <v>143</v>
      </c>
      <c r="J261" s="1">
        <v>1.6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 t="s">
        <v>26</v>
      </c>
      <c r="U261" s="1">
        <v>0</v>
      </c>
    </row>
    <row r="262" spans="1:21" x14ac:dyDescent="0.3">
      <c r="A262" t="s">
        <v>390</v>
      </c>
      <c r="B262" t="s">
        <v>22</v>
      </c>
      <c r="C262" t="s">
        <v>391</v>
      </c>
      <c r="D262" t="s">
        <v>392</v>
      </c>
      <c r="E262" s="1">
        <v>28.04</v>
      </c>
      <c r="F262" s="1" t="s">
        <v>39</v>
      </c>
      <c r="G262" s="1">
        <v>4</v>
      </c>
      <c r="H262" s="1">
        <v>4</v>
      </c>
      <c r="I262" s="1">
        <v>278</v>
      </c>
      <c r="J262" s="1">
        <v>3.1</v>
      </c>
      <c r="K262" s="1">
        <v>0</v>
      </c>
      <c r="L262" s="1">
        <v>1</v>
      </c>
      <c r="M262" s="1">
        <v>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 t="s">
        <v>26</v>
      </c>
      <c r="U262" s="1">
        <v>0</v>
      </c>
    </row>
    <row r="263" spans="1:21" x14ac:dyDescent="0.3">
      <c r="A263" t="s">
        <v>393</v>
      </c>
      <c r="B263" t="s">
        <v>22</v>
      </c>
      <c r="C263" t="s">
        <v>301</v>
      </c>
      <c r="D263" t="s">
        <v>302</v>
      </c>
      <c r="E263" s="1">
        <v>24.09</v>
      </c>
      <c r="F263" s="1" t="s">
        <v>25</v>
      </c>
      <c r="G263" s="1">
        <v>2</v>
      </c>
      <c r="H263" s="1">
        <v>2</v>
      </c>
      <c r="I263" s="1">
        <v>140</v>
      </c>
      <c r="J263" s="1">
        <v>1.6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 t="s">
        <v>26</v>
      </c>
      <c r="U263" s="1">
        <v>0</v>
      </c>
    </row>
    <row r="264" spans="1:21" x14ac:dyDescent="0.3">
      <c r="A264" t="s">
        <v>394</v>
      </c>
      <c r="B264" t="s">
        <v>37</v>
      </c>
      <c r="C264" t="s">
        <v>125</v>
      </c>
      <c r="D264" t="s">
        <v>126</v>
      </c>
      <c r="E264" s="1">
        <v>26.56</v>
      </c>
      <c r="F264" s="1" t="s">
        <v>25</v>
      </c>
      <c r="G264" s="1">
        <v>3</v>
      </c>
      <c r="H264" s="1">
        <v>3</v>
      </c>
      <c r="I264" s="1">
        <v>270</v>
      </c>
      <c r="J264" s="1">
        <v>3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1</v>
      </c>
      <c r="R264" s="1">
        <v>0</v>
      </c>
      <c r="S264" s="1">
        <v>0</v>
      </c>
      <c r="T264" s="1" t="s">
        <v>26</v>
      </c>
      <c r="U264" s="1">
        <v>0</v>
      </c>
    </row>
    <row r="265" spans="1:21" x14ac:dyDescent="0.3">
      <c r="A265" t="s">
        <v>395</v>
      </c>
      <c r="B265" t="s">
        <v>22</v>
      </c>
      <c r="C265" t="s">
        <v>309</v>
      </c>
      <c r="D265" t="s">
        <v>310</v>
      </c>
      <c r="E265" s="1">
        <v>28.08</v>
      </c>
      <c r="F265" s="1" t="s">
        <v>39</v>
      </c>
      <c r="G265" s="1">
        <v>1</v>
      </c>
      <c r="H265" s="1">
        <v>1</v>
      </c>
      <c r="I265" s="1">
        <v>90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 t="s">
        <v>26</v>
      </c>
      <c r="U265" s="1">
        <v>0</v>
      </c>
    </row>
    <row r="266" spans="1:21" x14ac:dyDescent="0.3">
      <c r="A266" t="s">
        <v>396</v>
      </c>
      <c r="B266" t="s">
        <v>22</v>
      </c>
      <c r="C266" t="s">
        <v>107</v>
      </c>
      <c r="D266" t="s">
        <v>108</v>
      </c>
      <c r="E266" s="1">
        <v>21.07</v>
      </c>
      <c r="F266" s="1" t="s">
        <v>34</v>
      </c>
      <c r="G266" s="1">
        <v>3</v>
      </c>
      <c r="H266" s="1">
        <v>2</v>
      </c>
      <c r="I266" s="1">
        <v>199</v>
      </c>
      <c r="J266" s="1">
        <v>2.2000000000000002</v>
      </c>
      <c r="K266" s="1">
        <v>1</v>
      </c>
      <c r="L266" s="1">
        <v>0</v>
      </c>
      <c r="M266" s="1">
        <v>1</v>
      </c>
      <c r="N266" s="1">
        <v>1</v>
      </c>
      <c r="O266" s="1">
        <v>0</v>
      </c>
      <c r="P266" s="1">
        <v>0</v>
      </c>
      <c r="Q266" s="1">
        <v>0</v>
      </c>
      <c r="R266" s="1">
        <v>0</v>
      </c>
      <c r="S266" s="1">
        <v>0.45500000000000002</v>
      </c>
      <c r="T266" s="1" t="s">
        <v>40</v>
      </c>
      <c r="U266" s="1">
        <v>1</v>
      </c>
    </row>
    <row r="267" spans="1:21" x14ac:dyDescent="0.3">
      <c r="A267" t="s">
        <v>397</v>
      </c>
      <c r="B267" t="s">
        <v>37</v>
      </c>
      <c r="C267" t="s">
        <v>77</v>
      </c>
      <c r="D267" t="s">
        <v>78</v>
      </c>
      <c r="E267" s="1">
        <v>23.7</v>
      </c>
      <c r="F267" s="1" t="s">
        <v>25</v>
      </c>
      <c r="G267" s="1">
        <v>3</v>
      </c>
      <c r="H267" s="1">
        <v>2</v>
      </c>
      <c r="I267" s="1">
        <v>187</v>
      </c>
      <c r="J267" s="1">
        <v>2.1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1</v>
      </c>
      <c r="R267" s="1">
        <v>0</v>
      </c>
      <c r="S267" s="1">
        <v>0</v>
      </c>
      <c r="T267" s="1" t="s">
        <v>40</v>
      </c>
      <c r="U267" s="1">
        <v>1</v>
      </c>
    </row>
    <row r="268" spans="1:21" x14ac:dyDescent="0.3">
      <c r="A268" t="s">
        <v>398</v>
      </c>
      <c r="B268" t="s">
        <v>22</v>
      </c>
      <c r="C268" t="s">
        <v>184</v>
      </c>
      <c r="D268" t="s">
        <v>185</v>
      </c>
      <c r="E268" s="1">
        <v>26.99</v>
      </c>
      <c r="F268" s="1" t="s">
        <v>25</v>
      </c>
      <c r="G268" s="1">
        <v>3</v>
      </c>
      <c r="H268" s="1">
        <v>1</v>
      </c>
      <c r="I268" s="1">
        <v>165</v>
      </c>
      <c r="J268" s="1">
        <v>1.8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 t="s">
        <v>40</v>
      </c>
      <c r="U268" s="1">
        <v>2</v>
      </c>
    </row>
    <row r="269" spans="1:21" x14ac:dyDescent="0.3">
      <c r="A269" t="s">
        <v>399</v>
      </c>
      <c r="B269" t="s">
        <v>22</v>
      </c>
      <c r="C269" t="s">
        <v>184</v>
      </c>
      <c r="D269" t="s">
        <v>185</v>
      </c>
      <c r="E269" s="1">
        <v>29.33</v>
      </c>
      <c r="F269" s="1" t="s">
        <v>39</v>
      </c>
      <c r="G269" s="1">
        <v>3</v>
      </c>
      <c r="H269" s="1">
        <v>1</v>
      </c>
      <c r="I269" s="1">
        <v>100</v>
      </c>
      <c r="J269" s="1">
        <v>1.1000000000000001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 t="s">
        <v>40</v>
      </c>
      <c r="U269" s="1">
        <v>2</v>
      </c>
    </row>
    <row r="270" spans="1:21" x14ac:dyDescent="0.3">
      <c r="A270" t="s">
        <v>400</v>
      </c>
      <c r="B270" t="s">
        <v>155</v>
      </c>
      <c r="C270" t="s">
        <v>101</v>
      </c>
      <c r="D270" t="s">
        <v>102</v>
      </c>
      <c r="E270" s="1">
        <v>30.2</v>
      </c>
      <c r="F270" s="1" t="s">
        <v>39</v>
      </c>
      <c r="G270" s="1">
        <v>4</v>
      </c>
      <c r="H270" s="1">
        <v>4</v>
      </c>
      <c r="I270" s="1">
        <v>390</v>
      </c>
      <c r="J270" s="1">
        <v>4.3</v>
      </c>
      <c r="K270" s="1">
        <v>0</v>
      </c>
      <c r="L270" s="1">
        <v>2</v>
      </c>
      <c r="M270" s="1">
        <v>2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 t="s">
        <v>26</v>
      </c>
      <c r="U270" s="1">
        <v>0</v>
      </c>
    </row>
    <row r="271" spans="1:21" x14ac:dyDescent="0.3">
      <c r="A271" t="s">
        <v>401</v>
      </c>
      <c r="B271" t="s">
        <v>37</v>
      </c>
      <c r="C271" t="s">
        <v>72</v>
      </c>
      <c r="D271" t="s">
        <v>73</v>
      </c>
      <c r="E271" s="1">
        <v>28.97</v>
      </c>
      <c r="F271" s="1" t="s">
        <v>39</v>
      </c>
      <c r="G271" s="1">
        <v>2</v>
      </c>
      <c r="H271" s="1">
        <v>2</v>
      </c>
      <c r="I271" s="1">
        <v>169</v>
      </c>
      <c r="J271" s="1">
        <v>1.9</v>
      </c>
      <c r="K271" s="1">
        <v>0</v>
      </c>
      <c r="L271" s="1">
        <v>1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 t="s">
        <v>26</v>
      </c>
      <c r="U271" s="1">
        <v>0</v>
      </c>
    </row>
    <row r="272" spans="1:21" x14ac:dyDescent="0.3">
      <c r="A272" t="s">
        <v>402</v>
      </c>
      <c r="B272" t="s">
        <v>64</v>
      </c>
      <c r="C272" t="s">
        <v>1146</v>
      </c>
      <c r="D272" t="s">
        <v>1148</v>
      </c>
      <c r="E272" s="1">
        <v>30.73</v>
      </c>
      <c r="F272" s="1" t="s">
        <v>39</v>
      </c>
      <c r="G272" s="1">
        <v>2</v>
      </c>
      <c r="H272" s="1">
        <v>0</v>
      </c>
      <c r="I272" s="1">
        <v>36</v>
      </c>
      <c r="J272" s="1">
        <v>0.4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 t="s">
        <v>35</v>
      </c>
      <c r="U272" s="1">
        <v>2</v>
      </c>
    </row>
    <row r="273" spans="1:21" x14ac:dyDescent="0.3">
      <c r="A273" t="s">
        <v>403</v>
      </c>
      <c r="B273" t="s">
        <v>31</v>
      </c>
      <c r="C273" t="s">
        <v>115</v>
      </c>
      <c r="D273" t="s">
        <v>116</v>
      </c>
      <c r="E273" s="1">
        <v>40.29</v>
      </c>
      <c r="F273" s="1" t="s">
        <v>74</v>
      </c>
      <c r="G273" s="1">
        <v>2</v>
      </c>
      <c r="H273" s="1">
        <v>2</v>
      </c>
      <c r="I273" s="1">
        <v>126</v>
      </c>
      <c r="J273" s="1">
        <v>1.4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R273" s="1">
        <v>0</v>
      </c>
      <c r="S273" s="1">
        <v>0</v>
      </c>
      <c r="T273" s="1" t="s">
        <v>26</v>
      </c>
      <c r="U273" s="1">
        <v>0</v>
      </c>
    </row>
    <row r="274" spans="1:21" x14ac:dyDescent="0.3">
      <c r="A274" t="s">
        <v>404</v>
      </c>
      <c r="B274" t="s">
        <v>37</v>
      </c>
      <c r="C274" t="s">
        <v>174</v>
      </c>
      <c r="D274" t="s">
        <v>175</v>
      </c>
      <c r="E274" s="1">
        <v>28.06</v>
      </c>
      <c r="F274" s="1" t="s">
        <v>39</v>
      </c>
      <c r="G274" s="1">
        <v>1</v>
      </c>
      <c r="H274" s="1">
        <v>0</v>
      </c>
      <c r="I274" s="1">
        <v>15</v>
      </c>
      <c r="J274" s="1">
        <v>0.2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 t="s">
        <v>35</v>
      </c>
      <c r="U274" s="1">
        <v>1</v>
      </c>
    </row>
    <row r="275" spans="1:21" x14ac:dyDescent="0.3">
      <c r="A275" t="s">
        <v>405</v>
      </c>
      <c r="B275" t="s">
        <v>31</v>
      </c>
      <c r="C275" t="s">
        <v>129</v>
      </c>
      <c r="D275" t="s">
        <v>130</v>
      </c>
      <c r="E275" s="1">
        <v>24.18</v>
      </c>
      <c r="F275" s="1" t="s">
        <v>25</v>
      </c>
      <c r="G275" s="1">
        <v>3</v>
      </c>
      <c r="H275" s="1">
        <v>1</v>
      </c>
      <c r="I275" s="1">
        <v>127</v>
      </c>
      <c r="J275" s="1">
        <v>1.4</v>
      </c>
      <c r="K275" s="1">
        <v>2</v>
      </c>
      <c r="L275" s="1">
        <v>0</v>
      </c>
      <c r="M275" s="1">
        <v>2</v>
      </c>
      <c r="N275" s="1">
        <v>2</v>
      </c>
      <c r="O275" s="1">
        <v>0</v>
      </c>
      <c r="P275" s="1">
        <v>0</v>
      </c>
      <c r="Q275" s="1">
        <v>0</v>
      </c>
      <c r="R275" s="1">
        <v>0</v>
      </c>
      <c r="S275" s="1">
        <v>1.429</v>
      </c>
      <c r="T275" s="1" t="s">
        <v>40</v>
      </c>
      <c r="U275" s="1">
        <v>2</v>
      </c>
    </row>
    <row r="276" spans="1:21" x14ac:dyDescent="0.3">
      <c r="A276" t="s">
        <v>406</v>
      </c>
      <c r="B276" t="s">
        <v>64</v>
      </c>
      <c r="C276" t="s">
        <v>213</v>
      </c>
      <c r="D276" t="s">
        <v>214</v>
      </c>
      <c r="E276" s="1">
        <v>28.9</v>
      </c>
      <c r="F276" s="1" t="s">
        <v>39</v>
      </c>
      <c r="G276" s="1">
        <v>1</v>
      </c>
      <c r="H276" s="1">
        <v>0</v>
      </c>
      <c r="I276" s="1">
        <v>19</v>
      </c>
      <c r="J276" s="1">
        <v>0.2</v>
      </c>
      <c r="K276" s="1">
        <v>0</v>
      </c>
      <c r="L276" s="1">
        <v>1</v>
      </c>
      <c r="M276" s="1">
        <v>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 t="s">
        <v>35</v>
      </c>
      <c r="U276" s="1">
        <v>1</v>
      </c>
    </row>
    <row r="277" spans="1:21" x14ac:dyDescent="0.3">
      <c r="A277" t="s">
        <v>407</v>
      </c>
      <c r="B277" t="s">
        <v>37</v>
      </c>
      <c r="C277" t="s">
        <v>239</v>
      </c>
      <c r="D277" t="s">
        <v>240</v>
      </c>
      <c r="E277" s="1">
        <v>26.98</v>
      </c>
      <c r="F277" s="1" t="s">
        <v>25</v>
      </c>
      <c r="G277" s="1">
        <v>1</v>
      </c>
      <c r="H277" s="1">
        <v>0</v>
      </c>
      <c r="I277" s="1">
        <v>13</v>
      </c>
      <c r="J277" s="1">
        <v>0.1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 t="s">
        <v>35</v>
      </c>
      <c r="U277" s="1">
        <v>1</v>
      </c>
    </row>
    <row r="278" spans="1:21" x14ac:dyDescent="0.3">
      <c r="A278" t="s">
        <v>408</v>
      </c>
      <c r="B278" t="s">
        <v>37</v>
      </c>
      <c r="C278" t="s">
        <v>104</v>
      </c>
      <c r="D278" t="s">
        <v>105</v>
      </c>
      <c r="E278" s="1">
        <v>25.98</v>
      </c>
      <c r="F278" s="1" t="s">
        <v>25</v>
      </c>
      <c r="G278" s="1">
        <v>2</v>
      </c>
      <c r="H278" s="1">
        <v>1</v>
      </c>
      <c r="I278" s="1">
        <v>111</v>
      </c>
      <c r="J278" s="1">
        <v>1.2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R278" s="1">
        <v>0</v>
      </c>
      <c r="S278" s="1">
        <v>0</v>
      </c>
      <c r="T278" s="1" t="s">
        <v>40</v>
      </c>
      <c r="U278" s="1">
        <v>1</v>
      </c>
    </row>
    <row r="279" spans="1:21" x14ac:dyDescent="0.3">
      <c r="A279" t="s">
        <v>409</v>
      </c>
      <c r="B279" t="s">
        <v>37</v>
      </c>
      <c r="C279" t="s">
        <v>84</v>
      </c>
      <c r="D279" t="s">
        <v>85</v>
      </c>
      <c r="E279" s="1">
        <v>29.75</v>
      </c>
      <c r="F279" s="1" t="s">
        <v>39</v>
      </c>
      <c r="G279" s="1">
        <v>3</v>
      </c>
      <c r="H279" s="1">
        <v>3</v>
      </c>
      <c r="I279" s="1">
        <v>270</v>
      </c>
      <c r="J279" s="1">
        <v>3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1</v>
      </c>
      <c r="R279" s="1">
        <v>0</v>
      </c>
      <c r="S279" s="1">
        <v>0</v>
      </c>
      <c r="T279" s="1" t="s">
        <v>26</v>
      </c>
      <c r="U279" s="1">
        <v>0</v>
      </c>
    </row>
    <row r="280" spans="1:21" x14ac:dyDescent="0.3">
      <c r="A280" t="s">
        <v>410</v>
      </c>
      <c r="B280" t="s">
        <v>31</v>
      </c>
      <c r="C280" t="s">
        <v>84</v>
      </c>
      <c r="D280" t="s">
        <v>85</v>
      </c>
      <c r="E280" s="1">
        <v>29.37</v>
      </c>
      <c r="F280" s="1" t="s">
        <v>39</v>
      </c>
      <c r="G280" s="1">
        <v>3</v>
      </c>
      <c r="H280" s="1">
        <v>3</v>
      </c>
      <c r="I280" s="1">
        <v>262</v>
      </c>
      <c r="J280" s="1">
        <v>2.9</v>
      </c>
      <c r="K280" s="1">
        <v>1</v>
      </c>
      <c r="L280" s="1">
        <v>2</v>
      </c>
      <c r="M280" s="1">
        <v>3</v>
      </c>
      <c r="N280" s="1">
        <v>0</v>
      </c>
      <c r="O280" s="1">
        <v>1</v>
      </c>
      <c r="P280" s="1">
        <v>1</v>
      </c>
      <c r="Q280" s="1">
        <v>0</v>
      </c>
      <c r="R280" s="1">
        <v>0</v>
      </c>
      <c r="S280" s="1">
        <v>0.34499999999999997</v>
      </c>
      <c r="T280" s="1" t="s">
        <v>26</v>
      </c>
      <c r="U280" s="1">
        <v>0</v>
      </c>
    </row>
    <row r="281" spans="1:21" x14ac:dyDescent="0.3">
      <c r="A281" t="s">
        <v>411</v>
      </c>
      <c r="B281" t="s">
        <v>31</v>
      </c>
      <c r="C281" t="s">
        <v>121</v>
      </c>
      <c r="D281" t="s">
        <v>122</v>
      </c>
      <c r="E281" s="1">
        <v>22.43</v>
      </c>
      <c r="F281" s="1" t="s">
        <v>34</v>
      </c>
      <c r="G281" s="1">
        <v>4</v>
      </c>
      <c r="H281" s="1">
        <v>4</v>
      </c>
      <c r="I281" s="1">
        <v>326</v>
      </c>
      <c r="J281" s="1">
        <v>3.6</v>
      </c>
      <c r="K281" s="1">
        <v>1</v>
      </c>
      <c r="L281" s="1">
        <v>2</v>
      </c>
      <c r="M281" s="1">
        <v>3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0.27800000000000002</v>
      </c>
      <c r="T281" s="1" t="s">
        <v>26</v>
      </c>
      <c r="U281" s="1">
        <v>0</v>
      </c>
    </row>
    <row r="282" spans="1:21" x14ac:dyDescent="0.3">
      <c r="A282" t="s">
        <v>412</v>
      </c>
      <c r="B282" t="s">
        <v>31</v>
      </c>
      <c r="C282" t="s">
        <v>136</v>
      </c>
      <c r="D282" t="s">
        <v>137</v>
      </c>
      <c r="E282" s="1">
        <v>19.940000000000001</v>
      </c>
      <c r="F282" s="1" t="s">
        <v>34</v>
      </c>
      <c r="G282" s="1">
        <v>3</v>
      </c>
      <c r="H282" s="1">
        <v>0</v>
      </c>
      <c r="I282" s="1">
        <v>81</v>
      </c>
      <c r="J282" s="1">
        <v>0.9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 t="s">
        <v>35</v>
      </c>
      <c r="U282" s="1">
        <v>3</v>
      </c>
    </row>
    <row r="283" spans="1:21" x14ac:dyDescent="0.3">
      <c r="A283" t="s">
        <v>413</v>
      </c>
      <c r="B283" t="s">
        <v>22</v>
      </c>
      <c r="C283" t="s">
        <v>49</v>
      </c>
      <c r="D283" t="s">
        <v>50</v>
      </c>
      <c r="E283" s="1">
        <v>23.41</v>
      </c>
      <c r="F283" s="1" t="s">
        <v>25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 t="s">
        <v>35</v>
      </c>
      <c r="U283" s="1">
        <v>1</v>
      </c>
    </row>
    <row r="284" spans="1:21" x14ac:dyDescent="0.3">
      <c r="A284" t="s">
        <v>414</v>
      </c>
      <c r="B284" t="s">
        <v>37</v>
      </c>
      <c r="C284" t="s">
        <v>156</v>
      </c>
      <c r="D284" t="s">
        <v>157</v>
      </c>
      <c r="E284" s="1">
        <v>31.47</v>
      </c>
      <c r="F284" s="1" t="s">
        <v>44</v>
      </c>
      <c r="G284" s="1">
        <v>1</v>
      </c>
      <c r="H284" s="1">
        <v>1</v>
      </c>
      <c r="I284" s="1">
        <v>90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 t="s">
        <v>26</v>
      </c>
      <c r="U284" s="1">
        <v>0</v>
      </c>
    </row>
    <row r="285" spans="1:21" x14ac:dyDescent="0.3">
      <c r="A285" t="s">
        <v>415</v>
      </c>
      <c r="B285" t="s">
        <v>22</v>
      </c>
      <c r="C285" t="s">
        <v>118</v>
      </c>
      <c r="D285" t="s">
        <v>119</v>
      </c>
      <c r="E285" s="1">
        <v>28.44</v>
      </c>
      <c r="F285" s="1" t="s">
        <v>39</v>
      </c>
      <c r="G285" s="1">
        <v>2</v>
      </c>
      <c r="H285" s="1">
        <v>1</v>
      </c>
      <c r="I285" s="1">
        <v>89</v>
      </c>
      <c r="J285" s="1">
        <v>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 t="s">
        <v>40</v>
      </c>
      <c r="U285" s="1">
        <v>1</v>
      </c>
    </row>
    <row r="286" spans="1:21" x14ac:dyDescent="0.3">
      <c r="A286" t="s">
        <v>416</v>
      </c>
      <c r="B286" t="s">
        <v>64</v>
      </c>
      <c r="C286" t="s">
        <v>72</v>
      </c>
      <c r="D286" t="s">
        <v>73</v>
      </c>
      <c r="E286" s="1">
        <v>29.59</v>
      </c>
      <c r="F286" s="1" t="s">
        <v>39</v>
      </c>
      <c r="G286" s="1">
        <v>1</v>
      </c>
      <c r="H286" s="1">
        <v>0</v>
      </c>
      <c r="I286" s="1">
        <v>10</v>
      </c>
      <c r="J286" s="1">
        <v>0.1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 t="s">
        <v>35</v>
      </c>
      <c r="U286" s="1">
        <v>1</v>
      </c>
    </row>
    <row r="287" spans="1:21" x14ac:dyDescent="0.3">
      <c r="A287" t="s">
        <v>417</v>
      </c>
      <c r="B287" t="s">
        <v>22</v>
      </c>
      <c r="C287" t="s">
        <v>92</v>
      </c>
      <c r="D287" t="s">
        <v>93</v>
      </c>
      <c r="E287" s="1">
        <v>29.52</v>
      </c>
      <c r="F287" s="1" t="s">
        <v>39</v>
      </c>
      <c r="G287" s="1">
        <v>4</v>
      </c>
      <c r="H287" s="1">
        <v>3</v>
      </c>
      <c r="I287" s="1">
        <v>302</v>
      </c>
      <c r="J287" s="1">
        <v>3.4</v>
      </c>
      <c r="K287" s="1">
        <v>1</v>
      </c>
      <c r="L287" s="1">
        <v>0</v>
      </c>
      <c r="M287" s="1">
        <v>1</v>
      </c>
      <c r="N287" s="1">
        <v>1</v>
      </c>
      <c r="O287" s="1">
        <v>0</v>
      </c>
      <c r="P287" s="1">
        <v>0</v>
      </c>
      <c r="Q287" s="1">
        <v>0</v>
      </c>
      <c r="R287" s="1">
        <v>0</v>
      </c>
      <c r="S287" s="1">
        <v>0.29399999999999998</v>
      </c>
      <c r="T287" s="1" t="s">
        <v>40</v>
      </c>
      <c r="U287" s="1">
        <v>1</v>
      </c>
    </row>
    <row r="288" spans="1:21" x14ac:dyDescent="0.3">
      <c r="A288" t="s">
        <v>418</v>
      </c>
      <c r="B288" t="s">
        <v>155</v>
      </c>
      <c r="C288" t="s">
        <v>72</v>
      </c>
      <c r="D288" t="s">
        <v>73</v>
      </c>
      <c r="E288" s="1">
        <v>27.31</v>
      </c>
      <c r="F288" s="1" t="s">
        <v>39</v>
      </c>
      <c r="G288" s="1">
        <v>3</v>
      </c>
      <c r="H288" s="1">
        <v>3</v>
      </c>
      <c r="I288" s="1">
        <v>270</v>
      </c>
      <c r="J288" s="1">
        <v>3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 t="s">
        <v>26</v>
      </c>
      <c r="U288" s="1">
        <v>0</v>
      </c>
    </row>
    <row r="289" spans="1:21" x14ac:dyDescent="0.3">
      <c r="A289" t="s">
        <v>419</v>
      </c>
      <c r="B289" t="s">
        <v>22</v>
      </c>
      <c r="C289" t="s">
        <v>133</v>
      </c>
      <c r="D289" t="s">
        <v>134</v>
      </c>
      <c r="E289" s="1">
        <v>29.74</v>
      </c>
      <c r="F289" s="1" t="s">
        <v>39</v>
      </c>
      <c r="G289" s="1">
        <v>3</v>
      </c>
      <c r="H289" s="1">
        <v>3</v>
      </c>
      <c r="I289" s="1">
        <v>264</v>
      </c>
      <c r="J289" s="1">
        <v>2.9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2</v>
      </c>
      <c r="R289" s="1">
        <v>0</v>
      </c>
      <c r="S289" s="1">
        <v>0</v>
      </c>
      <c r="T289" s="1" t="s">
        <v>26</v>
      </c>
      <c r="U289" s="1">
        <v>0</v>
      </c>
    </row>
    <row r="290" spans="1:21" x14ac:dyDescent="0.3">
      <c r="A290" t="s">
        <v>420</v>
      </c>
      <c r="B290" t="s">
        <v>64</v>
      </c>
      <c r="C290" t="s">
        <v>1147</v>
      </c>
      <c r="D290" t="s">
        <v>1149</v>
      </c>
      <c r="E290" s="1">
        <v>28</v>
      </c>
      <c r="F290" s="1" t="s">
        <v>39</v>
      </c>
      <c r="G290" s="1">
        <v>2</v>
      </c>
      <c r="H290" s="1">
        <v>0</v>
      </c>
      <c r="I290" s="1">
        <v>37</v>
      </c>
      <c r="J290" s="1">
        <v>0.4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 t="s">
        <v>35</v>
      </c>
      <c r="U290" s="1">
        <v>2</v>
      </c>
    </row>
    <row r="291" spans="1:21" x14ac:dyDescent="0.3">
      <c r="A291" t="s">
        <v>421</v>
      </c>
      <c r="B291" t="s">
        <v>155</v>
      </c>
      <c r="C291" t="s">
        <v>136</v>
      </c>
      <c r="D291" t="s">
        <v>137</v>
      </c>
      <c r="E291" s="1">
        <v>32.68</v>
      </c>
      <c r="F291" s="1" t="s">
        <v>44</v>
      </c>
      <c r="G291" s="1">
        <v>3</v>
      </c>
      <c r="H291" s="1">
        <v>0</v>
      </c>
      <c r="I291" s="1">
        <v>71</v>
      </c>
      <c r="J291" s="1">
        <v>0.8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1</v>
      </c>
      <c r="R291" s="1">
        <v>0</v>
      </c>
      <c r="S291" s="1">
        <v>0</v>
      </c>
      <c r="T291" s="1" t="s">
        <v>35</v>
      </c>
      <c r="U291" s="1">
        <v>3</v>
      </c>
    </row>
    <row r="292" spans="1:21" x14ac:dyDescent="0.3">
      <c r="A292" t="s">
        <v>422</v>
      </c>
      <c r="B292" t="s">
        <v>31</v>
      </c>
      <c r="C292" t="s">
        <v>156</v>
      </c>
      <c r="D292" t="s">
        <v>157</v>
      </c>
      <c r="E292" s="1">
        <v>32.869999999999997</v>
      </c>
      <c r="F292" s="1" t="s">
        <v>44</v>
      </c>
      <c r="G292" s="1">
        <v>3</v>
      </c>
      <c r="H292" s="1">
        <v>1</v>
      </c>
      <c r="I292" s="1">
        <v>155</v>
      </c>
      <c r="J292" s="1">
        <v>1.7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1</v>
      </c>
      <c r="R292" s="1">
        <v>0</v>
      </c>
      <c r="S292" s="1">
        <v>0</v>
      </c>
      <c r="T292" s="1" t="s">
        <v>40</v>
      </c>
      <c r="U292" s="1">
        <v>2</v>
      </c>
    </row>
    <row r="293" spans="1:21" x14ac:dyDescent="0.3">
      <c r="A293" t="s">
        <v>423</v>
      </c>
      <c r="B293" t="s">
        <v>83</v>
      </c>
      <c r="C293" t="s">
        <v>55</v>
      </c>
      <c r="D293" t="s">
        <v>56</v>
      </c>
      <c r="E293" s="1">
        <v>20.6</v>
      </c>
      <c r="F293" s="1" t="s">
        <v>34</v>
      </c>
      <c r="G293" s="1">
        <v>3</v>
      </c>
      <c r="H293" s="1">
        <v>2</v>
      </c>
      <c r="I293" s="1">
        <v>148</v>
      </c>
      <c r="J293" s="1">
        <v>1.6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 t="s">
        <v>40</v>
      </c>
      <c r="U293" s="1">
        <v>1</v>
      </c>
    </row>
    <row r="294" spans="1:21" x14ac:dyDescent="0.3">
      <c r="A294" t="s">
        <v>424</v>
      </c>
      <c r="B294" t="s">
        <v>37</v>
      </c>
      <c r="C294" t="s">
        <v>28</v>
      </c>
      <c r="D294" t="s">
        <v>29</v>
      </c>
      <c r="E294" s="1">
        <v>23.15</v>
      </c>
      <c r="F294" s="1" t="s">
        <v>25</v>
      </c>
      <c r="G294" s="1">
        <v>1</v>
      </c>
      <c r="H294" s="1">
        <v>1</v>
      </c>
      <c r="I294" s="1">
        <v>65</v>
      </c>
      <c r="J294" s="1">
        <v>0.7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 t="s">
        <v>26</v>
      </c>
      <c r="U294" s="1">
        <v>0</v>
      </c>
    </row>
    <row r="295" spans="1:21" x14ac:dyDescent="0.3">
      <c r="A295" t="s">
        <v>425</v>
      </c>
      <c r="B295" t="s">
        <v>22</v>
      </c>
      <c r="C295" t="s">
        <v>125</v>
      </c>
      <c r="D295" t="s">
        <v>126</v>
      </c>
      <c r="E295" s="1">
        <v>22.29</v>
      </c>
      <c r="F295" s="1" t="s">
        <v>34</v>
      </c>
      <c r="G295" s="1">
        <v>2</v>
      </c>
      <c r="H295" s="1">
        <v>0</v>
      </c>
      <c r="I295" s="1">
        <v>54</v>
      </c>
      <c r="J295" s="1">
        <v>0.6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 t="s">
        <v>35</v>
      </c>
      <c r="U295" s="1">
        <v>2</v>
      </c>
    </row>
    <row r="296" spans="1:21" x14ac:dyDescent="0.3">
      <c r="A296" t="s">
        <v>426</v>
      </c>
      <c r="B296" t="s">
        <v>64</v>
      </c>
      <c r="C296" t="s">
        <v>84</v>
      </c>
      <c r="D296" t="s">
        <v>85</v>
      </c>
      <c r="E296" s="1">
        <v>32.630000000000003</v>
      </c>
      <c r="F296" s="1" t="s">
        <v>44</v>
      </c>
      <c r="G296" s="1">
        <v>1</v>
      </c>
      <c r="H296" s="1">
        <v>0</v>
      </c>
      <c r="I296" s="1">
        <v>6</v>
      </c>
      <c r="J296" s="1">
        <v>0.1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 t="s">
        <v>35</v>
      </c>
      <c r="U296" s="1">
        <v>1</v>
      </c>
    </row>
    <row r="297" spans="1:21" x14ac:dyDescent="0.3">
      <c r="A297" t="s">
        <v>427</v>
      </c>
      <c r="B297" t="s">
        <v>64</v>
      </c>
      <c r="C297" t="s">
        <v>80</v>
      </c>
      <c r="D297" t="s">
        <v>81</v>
      </c>
      <c r="E297" s="1">
        <v>22.31</v>
      </c>
      <c r="F297" s="1" t="s">
        <v>34</v>
      </c>
      <c r="G297" s="1">
        <v>3</v>
      </c>
      <c r="H297" s="1">
        <v>0</v>
      </c>
      <c r="I297" s="1">
        <v>103</v>
      </c>
      <c r="J297" s="1">
        <v>1.1000000000000001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 t="s">
        <v>35</v>
      </c>
      <c r="U297" s="1">
        <v>3</v>
      </c>
    </row>
    <row r="298" spans="1:21" x14ac:dyDescent="0.3">
      <c r="A298" t="s">
        <v>428</v>
      </c>
      <c r="B298" t="s">
        <v>22</v>
      </c>
      <c r="C298" t="s">
        <v>52</v>
      </c>
      <c r="D298" t="s">
        <v>53</v>
      </c>
      <c r="E298" s="1">
        <v>33.43</v>
      </c>
      <c r="F298" s="1" t="s">
        <v>44</v>
      </c>
      <c r="G298" s="1">
        <v>3</v>
      </c>
      <c r="H298" s="1">
        <v>1</v>
      </c>
      <c r="I298" s="1">
        <v>150</v>
      </c>
      <c r="J298" s="1">
        <v>1.7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2</v>
      </c>
      <c r="R298" s="1">
        <v>0</v>
      </c>
      <c r="S298" s="1">
        <v>0</v>
      </c>
      <c r="T298" s="1" t="s">
        <v>40</v>
      </c>
      <c r="U298" s="1">
        <v>2</v>
      </c>
    </row>
    <row r="299" spans="1:21" x14ac:dyDescent="0.3">
      <c r="A299" t="s">
        <v>429</v>
      </c>
      <c r="B299" t="s">
        <v>37</v>
      </c>
      <c r="C299" t="s">
        <v>32</v>
      </c>
      <c r="D299" t="s">
        <v>33</v>
      </c>
      <c r="E299" s="1">
        <v>31.75</v>
      </c>
      <c r="F299" s="1" t="s">
        <v>44</v>
      </c>
      <c r="G299" s="1">
        <v>2</v>
      </c>
      <c r="H299" s="1">
        <v>2</v>
      </c>
      <c r="I299" s="1">
        <v>127</v>
      </c>
      <c r="J299" s="1">
        <v>1.4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 t="s">
        <v>26</v>
      </c>
      <c r="U299" s="1">
        <v>0</v>
      </c>
    </row>
    <row r="300" spans="1:21" x14ac:dyDescent="0.3">
      <c r="A300" t="s">
        <v>430</v>
      </c>
      <c r="B300" t="s">
        <v>37</v>
      </c>
      <c r="C300" t="s">
        <v>32</v>
      </c>
      <c r="D300" t="s">
        <v>33</v>
      </c>
      <c r="E300" s="1">
        <v>28.27</v>
      </c>
      <c r="F300" s="1" t="s">
        <v>39</v>
      </c>
      <c r="G300" s="1">
        <v>3</v>
      </c>
      <c r="H300" s="1">
        <v>3</v>
      </c>
      <c r="I300" s="1">
        <v>267</v>
      </c>
      <c r="J300" s="1">
        <v>3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1</v>
      </c>
      <c r="R300" s="1">
        <v>0</v>
      </c>
      <c r="S300" s="1">
        <v>0</v>
      </c>
      <c r="T300" s="1" t="s">
        <v>26</v>
      </c>
      <c r="U300" s="1">
        <v>0</v>
      </c>
    </row>
    <row r="301" spans="1:21" x14ac:dyDescent="0.3">
      <c r="A301" t="s">
        <v>431</v>
      </c>
      <c r="B301" t="s">
        <v>22</v>
      </c>
      <c r="C301" t="s">
        <v>49</v>
      </c>
      <c r="D301" t="s">
        <v>50</v>
      </c>
      <c r="E301" s="1">
        <v>22.74</v>
      </c>
      <c r="F301" s="1" t="s">
        <v>34</v>
      </c>
      <c r="G301" s="1">
        <v>3</v>
      </c>
      <c r="H301" s="1">
        <v>3</v>
      </c>
      <c r="I301" s="1">
        <v>220</v>
      </c>
      <c r="J301" s="1">
        <v>2.4</v>
      </c>
      <c r="K301" s="1">
        <v>1</v>
      </c>
      <c r="L301" s="1">
        <v>0</v>
      </c>
      <c r="M301" s="1">
        <v>1</v>
      </c>
      <c r="N301" s="1">
        <v>1</v>
      </c>
      <c r="O301" s="1">
        <v>0</v>
      </c>
      <c r="P301" s="1">
        <v>0</v>
      </c>
      <c r="Q301" s="1">
        <v>0</v>
      </c>
      <c r="R301" s="1">
        <v>0</v>
      </c>
      <c r="S301" s="1">
        <v>0.41699999999999998</v>
      </c>
      <c r="T301" s="1" t="s">
        <v>26</v>
      </c>
      <c r="U301" s="1">
        <v>0</v>
      </c>
    </row>
    <row r="302" spans="1:21" x14ac:dyDescent="0.3">
      <c r="A302" t="s">
        <v>432</v>
      </c>
      <c r="B302" t="s">
        <v>22</v>
      </c>
      <c r="C302" t="s">
        <v>181</v>
      </c>
      <c r="D302" t="s">
        <v>182</v>
      </c>
      <c r="E302" s="1">
        <v>26.64</v>
      </c>
      <c r="F302" s="1" t="s">
        <v>25</v>
      </c>
      <c r="G302" s="1">
        <v>2</v>
      </c>
      <c r="H302" s="1">
        <v>2</v>
      </c>
      <c r="I302" s="1">
        <v>131</v>
      </c>
      <c r="J302" s="1">
        <v>1.5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 t="s">
        <v>26</v>
      </c>
      <c r="U302" s="1">
        <v>0</v>
      </c>
    </row>
    <row r="303" spans="1:21" x14ac:dyDescent="0.3">
      <c r="A303" t="s">
        <v>433</v>
      </c>
      <c r="B303" t="s">
        <v>22</v>
      </c>
      <c r="C303" t="s">
        <v>1146</v>
      </c>
      <c r="D303" t="s">
        <v>1148</v>
      </c>
      <c r="E303" s="1">
        <v>26.85</v>
      </c>
      <c r="F303" s="1" t="s">
        <v>25</v>
      </c>
      <c r="G303" s="1">
        <v>3</v>
      </c>
      <c r="H303" s="1">
        <v>3</v>
      </c>
      <c r="I303" s="1">
        <v>270</v>
      </c>
      <c r="J303" s="1">
        <v>3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 t="s">
        <v>26</v>
      </c>
      <c r="U303" s="1">
        <v>0</v>
      </c>
    </row>
    <row r="304" spans="1:21" x14ac:dyDescent="0.3">
      <c r="A304" t="s">
        <v>434</v>
      </c>
      <c r="B304" t="s">
        <v>22</v>
      </c>
      <c r="C304" t="s">
        <v>181</v>
      </c>
      <c r="D304" t="s">
        <v>182</v>
      </c>
      <c r="E304" s="1">
        <v>31.81</v>
      </c>
      <c r="F304" s="1" t="s">
        <v>44</v>
      </c>
      <c r="G304" s="1">
        <v>3</v>
      </c>
      <c r="H304" s="1">
        <v>3</v>
      </c>
      <c r="I304" s="1">
        <v>270</v>
      </c>
      <c r="J304" s="1">
        <v>3</v>
      </c>
      <c r="K304" s="1">
        <v>0</v>
      </c>
      <c r="L304" s="1">
        <v>1</v>
      </c>
      <c r="M304" s="1">
        <v>1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 t="s">
        <v>26</v>
      </c>
      <c r="U304" s="1">
        <v>0</v>
      </c>
    </row>
    <row r="305" spans="1:21" x14ac:dyDescent="0.3">
      <c r="A305" t="s">
        <v>435</v>
      </c>
      <c r="B305" t="s">
        <v>22</v>
      </c>
      <c r="C305" t="s">
        <v>139</v>
      </c>
      <c r="D305" t="s">
        <v>140</v>
      </c>
      <c r="E305" s="1">
        <v>25.45</v>
      </c>
      <c r="F305" s="1" t="s">
        <v>25</v>
      </c>
      <c r="G305" s="1">
        <v>2</v>
      </c>
      <c r="H305" s="1">
        <v>2</v>
      </c>
      <c r="I305" s="1">
        <v>180</v>
      </c>
      <c r="J305" s="1">
        <v>2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 t="s">
        <v>26</v>
      </c>
      <c r="U305" s="1">
        <v>0</v>
      </c>
    </row>
    <row r="306" spans="1:21" x14ac:dyDescent="0.3">
      <c r="A306" t="s">
        <v>436</v>
      </c>
      <c r="B306" t="s">
        <v>64</v>
      </c>
      <c r="C306" t="s">
        <v>301</v>
      </c>
      <c r="D306" t="s">
        <v>302</v>
      </c>
      <c r="E306" s="1">
        <v>21.4</v>
      </c>
      <c r="F306" s="1" t="s">
        <v>34</v>
      </c>
      <c r="G306" s="1">
        <v>3</v>
      </c>
      <c r="H306" s="1">
        <v>0</v>
      </c>
      <c r="I306" s="1">
        <v>44</v>
      </c>
      <c r="J306" s="1">
        <v>0.5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 t="s">
        <v>35</v>
      </c>
      <c r="U306" s="1">
        <v>3</v>
      </c>
    </row>
    <row r="307" spans="1:21" x14ac:dyDescent="0.3">
      <c r="A307" t="s">
        <v>437</v>
      </c>
      <c r="B307" t="s">
        <v>22</v>
      </c>
      <c r="C307" t="s">
        <v>145</v>
      </c>
      <c r="D307" t="s">
        <v>146</v>
      </c>
      <c r="E307" s="1">
        <v>29.22</v>
      </c>
      <c r="F307" s="1" t="s">
        <v>39</v>
      </c>
      <c r="G307" s="1">
        <v>2</v>
      </c>
      <c r="H307" s="1">
        <v>1</v>
      </c>
      <c r="I307" s="1">
        <v>84</v>
      </c>
      <c r="J307" s="1">
        <v>0.9</v>
      </c>
      <c r="K307" s="1">
        <v>1</v>
      </c>
      <c r="L307" s="1">
        <v>0</v>
      </c>
      <c r="M307" s="1">
        <v>1</v>
      </c>
      <c r="N307" s="1">
        <v>1</v>
      </c>
      <c r="O307" s="1">
        <v>0</v>
      </c>
      <c r="P307" s="1">
        <v>0</v>
      </c>
      <c r="Q307" s="1">
        <v>0</v>
      </c>
      <c r="R307" s="1">
        <v>0</v>
      </c>
      <c r="S307" s="1">
        <v>1.111</v>
      </c>
      <c r="T307" s="1" t="s">
        <v>40</v>
      </c>
      <c r="U307" s="1">
        <v>1</v>
      </c>
    </row>
    <row r="308" spans="1:21" x14ac:dyDescent="0.3">
      <c r="A308" t="s">
        <v>438</v>
      </c>
      <c r="B308" t="s">
        <v>37</v>
      </c>
      <c r="C308" t="s">
        <v>174</v>
      </c>
      <c r="D308" t="s">
        <v>175</v>
      </c>
      <c r="E308" s="1">
        <v>27.85</v>
      </c>
      <c r="F308" s="1" t="s">
        <v>39</v>
      </c>
      <c r="G308" s="1">
        <v>3</v>
      </c>
      <c r="H308" s="1">
        <v>3</v>
      </c>
      <c r="I308" s="1">
        <v>270</v>
      </c>
      <c r="J308" s="1">
        <v>3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 t="s">
        <v>26</v>
      </c>
      <c r="U308" s="1">
        <v>0</v>
      </c>
    </row>
    <row r="309" spans="1:21" x14ac:dyDescent="0.3">
      <c r="A309" t="s">
        <v>439</v>
      </c>
      <c r="B309" t="s">
        <v>22</v>
      </c>
      <c r="C309" t="s">
        <v>77</v>
      </c>
      <c r="D309" t="s">
        <v>78</v>
      </c>
      <c r="E309" s="1">
        <v>31.15</v>
      </c>
      <c r="F309" s="1" t="s">
        <v>44</v>
      </c>
      <c r="G309" s="1">
        <v>2</v>
      </c>
      <c r="H309" s="1">
        <v>1</v>
      </c>
      <c r="I309" s="1">
        <v>92</v>
      </c>
      <c r="J309" s="1">
        <v>1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1</v>
      </c>
      <c r="R309" s="1">
        <v>0</v>
      </c>
      <c r="S309" s="1">
        <v>0</v>
      </c>
      <c r="T309" s="1" t="s">
        <v>40</v>
      </c>
      <c r="U309" s="1">
        <v>1</v>
      </c>
    </row>
    <row r="310" spans="1:21" x14ac:dyDescent="0.3">
      <c r="A310" t="s">
        <v>440</v>
      </c>
      <c r="B310" t="s">
        <v>61</v>
      </c>
      <c r="C310" t="s">
        <v>77</v>
      </c>
      <c r="D310" t="s">
        <v>78</v>
      </c>
      <c r="E310" s="1">
        <v>25.86</v>
      </c>
      <c r="F310" s="1" t="s">
        <v>25</v>
      </c>
      <c r="G310" s="1">
        <v>3</v>
      </c>
      <c r="H310" s="1">
        <v>3</v>
      </c>
      <c r="I310" s="1">
        <v>270</v>
      </c>
      <c r="J310" s="1">
        <v>3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 t="s">
        <v>26</v>
      </c>
      <c r="U310" s="1">
        <v>0</v>
      </c>
    </row>
    <row r="311" spans="1:21" x14ac:dyDescent="0.3">
      <c r="A311" t="s">
        <v>441</v>
      </c>
      <c r="B311" t="s">
        <v>37</v>
      </c>
      <c r="C311" t="s">
        <v>174</v>
      </c>
      <c r="D311" t="s">
        <v>175</v>
      </c>
      <c r="E311" s="1">
        <v>23.12</v>
      </c>
      <c r="F311" s="1" t="s">
        <v>25</v>
      </c>
      <c r="G311" s="1">
        <v>3</v>
      </c>
      <c r="H311" s="1">
        <v>3</v>
      </c>
      <c r="I311" s="1">
        <v>241</v>
      </c>
      <c r="J311" s="1">
        <v>2.7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 t="s">
        <v>26</v>
      </c>
      <c r="U311" s="1">
        <v>0</v>
      </c>
    </row>
    <row r="312" spans="1:21" x14ac:dyDescent="0.3">
      <c r="A312" t="s">
        <v>442</v>
      </c>
      <c r="B312" t="s">
        <v>64</v>
      </c>
      <c r="C312" t="s">
        <v>72</v>
      </c>
      <c r="D312" t="s">
        <v>73</v>
      </c>
      <c r="E312" s="1">
        <v>27.41</v>
      </c>
      <c r="F312" s="1" t="s">
        <v>39</v>
      </c>
      <c r="G312" s="1">
        <v>1</v>
      </c>
      <c r="H312" s="1">
        <v>0</v>
      </c>
      <c r="I312" s="1">
        <v>6</v>
      </c>
      <c r="J312" s="1">
        <v>0.1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 t="s">
        <v>35</v>
      </c>
      <c r="U312" s="1">
        <v>1</v>
      </c>
    </row>
    <row r="313" spans="1:21" x14ac:dyDescent="0.3">
      <c r="A313" t="s">
        <v>443</v>
      </c>
      <c r="B313" t="s">
        <v>31</v>
      </c>
      <c r="C313" t="s">
        <v>68</v>
      </c>
      <c r="D313" t="s">
        <v>69</v>
      </c>
      <c r="E313" s="1">
        <v>25.82</v>
      </c>
      <c r="F313" s="1" t="s">
        <v>25</v>
      </c>
      <c r="G313" s="1">
        <v>1</v>
      </c>
      <c r="H313" s="1">
        <v>1</v>
      </c>
      <c r="I313" s="1">
        <v>55</v>
      </c>
      <c r="J313" s="1">
        <v>0.6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 t="s">
        <v>26</v>
      </c>
      <c r="U313" s="1">
        <v>0</v>
      </c>
    </row>
    <row r="314" spans="1:21" x14ac:dyDescent="0.3">
      <c r="A314" t="s">
        <v>444</v>
      </c>
      <c r="B314" t="s">
        <v>37</v>
      </c>
      <c r="C314" t="s">
        <v>118</v>
      </c>
      <c r="D314" t="s">
        <v>119</v>
      </c>
      <c r="E314" s="1">
        <v>27.86</v>
      </c>
      <c r="F314" s="1" t="s">
        <v>39</v>
      </c>
      <c r="G314" s="1">
        <v>3</v>
      </c>
      <c r="H314" s="1">
        <v>3</v>
      </c>
      <c r="I314" s="1">
        <v>206</v>
      </c>
      <c r="J314" s="1">
        <v>2.2999999999999998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1</v>
      </c>
      <c r="R314" s="1">
        <v>0</v>
      </c>
      <c r="S314" s="1">
        <v>0</v>
      </c>
      <c r="T314" s="1" t="s">
        <v>26</v>
      </c>
      <c r="U314" s="1">
        <v>0</v>
      </c>
    </row>
    <row r="315" spans="1:21" x14ac:dyDescent="0.3">
      <c r="A315" t="s">
        <v>445</v>
      </c>
      <c r="B315" t="s">
        <v>37</v>
      </c>
      <c r="C315" t="s">
        <v>23</v>
      </c>
      <c r="D315" t="s">
        <v>24</v>
      </c>
      <c r="E315" s="1">
        <v>21.89</v>
      </c>
      <c r="F315" s="1" t="s">
        <v>34</v>
      </c>
      <c r="G315" s="1">
        <v>3</v>
      </c>
      <c r="H315" s="1">
        <v>2</v>
      </c>
      <c r="I315" s="1">
        <v>194</v>
      </c>
      <c r="J315" s="1">
        <v>2.2000000000000002</v>
      </c>
      <c r="K315" s="1">
        <v>1</v>
      </c>
      <c r="L315" s="1">
        <v>1</v>
      </c>
      <c r="M315" s="1">
        <v>2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0.45500000000000002</v>
      </c>
      <c r="T315" s="1" t="s">
        <v>40</v>
      </c>
      <c r="U315" s="1">
        <v>1</v>
      </c>
    </row>
    <row r="316" spans="1:21" x14ac:dyDescent="0.3">
      <c r="A316" t="s">
        <v>446</v>
      </c>
      <c r="B316" t="s">
        <v>61</v>
      </c>
      <c r="C316" t="s">
        <v>23</v>
      </c>
      <c r="D316" t="s">
        <v>24</v>
      </c>
      <c r="E316" s="1">
        <v>27.82</v>
      </c>
      <c r="F316" s="1" t="s">
        <v>39</v>
      </c>
      <c r="G316" s="1">
        <v>2</v>
      </c>
      <c r="H316" s="1">
        <v>2</v>
      </c>
      <c r="I316" s="1">
        <v>180</v>
      </c>
      <c r="J316" s="1">
        <v>2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 t="s">
        <v>26</v>
      </c>
      <c r="U316" s="1">
        <v>0</v>
      </c>
    </row>
    <row r="317" spans="1:21" x14ac:dyDescent="0.3">
      <c r="A317" t="s">
        <v>447</v>
      </c>
      <c r="B317" t="s">
        <v>22</v>
      </c>
      <c r="C317" t="s">
        <v>84</v>
      </c>
      <c r="D317" t="s">
        <v>85</v>
      </c>
      <c r="E317" s="1">
        <v>34.21</v>
      </c>
      <c r="F317" s="1" t="s">
        <v>44</v>
      </c>
      <c r="G317" s="1">
        <v>3</v>
      </c>
      <c r="H317" s="1">
        <v>3</v>
      </c>
      <c r="I317" s="1">
        <v>268</v>
      </c>
      <c r="J317" s="1">
        <v>3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 t="s">
        <v>26</v>
      </c>
      <c r="U317" s="1">
        <v>0</v>
      </c>
    </row>
    <row r="318" spans="1:21" x14ac:dyDescent="0.3">
      <c r="A318" t="s">
        <v>448</v>
      </c>
      <c r="B318" t="s">
        <v>37</v>
      </c>
      <c r="C318" t="s">
        <v>112</v>
      </c>
      <c r="D318" t="s">
        <v>113</v>
      </c>
      <c r="E318" s="1">
        <v>28.29</v>
      </c>
      <c r="F318" s="1" t="s">
        <v>39</v>
      </c>
      <c r="G318" s="1">
        <v>1</v>
      </c>
      <c r="H318" s="1">
        <v>0</v>
      </c>
      <c r="I318" s="1">
        <v>24</v>
      </c>
      <c r="J318" s="1">
        <v>0.3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 t="s">
        <v>35</v>
      </c>
      <c r="U318" s="1">
        <v>1</v>
      </c>
    </row>
    <row r="319" spans="1:21" x14ac:dyDescent="0.3">
      <c r="A319" t="s">
        <v>449</v>
      </c>
      <c r="B319" t="s">
        <v>37</v>
      </c>
      <c r="C319" t="s">
        <v>174</v>
      </c>
      <c r="D319" t="s">
        <v>175</v>
      </c>
      <c r="E319" s="1">
        <v>32.520000000000003</v>
      </c>
      <c r="F319" s="1" t="s">
        <v>44</v>
      </c>
      <c r="G319" s="1">
        <v>2</v>
      </c>
      <c r="H319" s="1">
        <v>2</v>
      </c>
      <c r="I319" s="1">
        <v>166</v>
      </c>
      <c r="J319" s="1">
        <v>1.8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R319" s="1">
        <v>0</v>
      </c>
      <c r="S319" s="1">
        <v>0</v>
      </c>
      <c r="T319" s="1" t="s">
        <v>26</v>
      </c>
      <c r="U319" s="1">
        <v>0</v>
      </c>
    </row>
    <row r="320" spans="1:21" x14ac:dyDescent="0.3">
      <c r="A320" t="s">
        <v>450</v>
      </c>
      <c r="B320" t="s">
        <v>22</v>
      </c>
      <c r="C320" t="s">
        <v>52</v>
      </c>
      <c r="D320" t="s">
        <v>53</v>
      </c>
      <c r="E320" s="1">
        <v>24.36</v>
      </c>
      <c r="F320" s="1" t="s">
        <v>25</v>
      </c>
      <c r="G320" s="1">
        <v>3</v>
      </c>
      <c r="H320" s="1">
        <v>3</v>
      </c>
      <c r="I320" s="1">
        <v>149</v>
      </c>
      <c r="J320" s="1">
        <v>1.7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1</v>
      </c>
      <c r="R320" s="1">
        <v>0</v>
      </c>
      <c r="S320" s="1">
        <v>0</v>
      </c>
      <c r="T320" s="1" t="s">
        <v>26</v>
      </c>
      <c r="U320" s="1">
        <v>0</v>
      </c>
    </row>
    <row r="321" spans="1:21" x14ac:dyDescent="0.3">
      <c r="A321" t="s">
        <v>451</v>
      </c>
      <c r="B321" t="s">
        <v>31</v>
      </c>
      <c r="C321" t="s">
        <v>101</v>
      </c>
      <c r="D321" t="s">
        <v>102</v>
      </c>
      <c r="E321" s="1">
        <v>27.15</v>
      </c>
      <c r="F321" s="1" t="s">
        <v>39</v>
      </c>
      <c r="G321" s="1">
        <v>4</v>
      </c>
      <c r="H321" s="1">
        <v>4</v>
      </c>
      <c r="I321" s="1">
        <v>368</v>
      </c>
      <c r="J321" s="1">
        <v>4.0999999999999996</v>
      </c>
      <c r="K321" s="1">
        <v>3</v>
      </c>
      <c r="L321" s="1">
        <v>1</v>
      </c>
      <c r="M321" s="1">
        <v>4</v>
      </c>
      <c r="N321" s="1">
        <v>3</v>
      </c>
      <c r="O321" s="1">
        <v>0</v>
      </c>
      <c r="P321" s="1">
        <v>0</v>
      </c>
      <c r="Q321" s="1">
        <v>0</v>
      </c>
      <c r="R321" s="1">
        <v>0</v>
      </c>
      <c r="S321" s="1">
        <v>0.73199999999999998</v>
      </c>
      <c r="T321" s="1" t="s">
        <v>26</v>
      </c>
      <c r="U321" s="1">
        <v>0</v>
      </c>
    </row>
    <row r="322" spans="1:21" x14ac:dyDescent="0.3">
      <c r="A322" t="s">
        <v>452</v>
      </c>
      <c r="B322" t="s">
        <v>22</v>
      </c>
      <c r="C322" t="s">
        <v>121</v>
      </c>
      <c r="D322" t="s">
        <v>122</v>
      </c>
      <c r="E322" s="1">
        <v>24.38</v>
      </c>
      <c r="F322" s="1" t="s">
        <v>25</v>
      </c>
      <c r="G322" s="1">
        <v>3</v>
      </c>
      <c r="H322" s="1">
        <v>3</v>
      </c>
      <c r="I322" s="1">
        <v>298</v>
      </c>
      <c r="J322" s="1">
        <v>3.3</v>
      </c>
      <c r="K322" s="1">
        <v>1</v>
      </c>
      <c r="L322" s="1">
        <v>1</v>
      </c>
      <c r="M322" s="1">
        <v>2</v>
      </c>
      <c r="N322" s="1">
        <v>1</v>
      </c>
      <c r="O322" s="1">
        <v>0</v>
      </c>
      <c r="P322" s="1">
        <v>0</v>
      </c>
      <c r="Q322" s="1">
        <v>2</v>
      </c>
      <c r="R322" s="1">
        <v>0</v>
      </c>
      <c r="S322" s="1">
        <v>0.30299999999999999</v>
      </c>
      <c r="T322" s="1" t="s">
        <v>26</v>
      </c>
      <c r="U322" s="1">
        <v>0</v>
      </c>
    </row>
    <row r="323" spans="1:21" x14ac:dyDescent="0.3">
      <c r="A323" t="s">
        <v>453</v>
      </c>
      <c r="B323" t="s">
        <v>61</v>
      </c>
      <c r="C323" t="s">
        <v>118</v>
      </c>
      <c r="D323" t="s">
        <v>119</v>
      </c>
      <c r="E323" s="1">
        <v>39.25</v>
      </c>
      <c r="F323" s="1" t="s">
        <v>74</v>
      </c>
      <c r="G323" s="1">
        <v>3</v>
      </c>
      <c r="H323" s="1">
        <v>3</v>
      </c>
      <c r="I323" s="1">
        <v>270</v>
      </c>
      <c r="J323" s="1">
        <v>3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 t="s">
        <v>26</v>
      </c>
      <c r="U323" s="1">
        <v>0</v>
      </c>
    </row>
    <row r="324" spans="1:21" x14ac:dyDescent="0.3">
      <c r="A324" t="s">
        <v>454</v>
      </c>
      <c r="B324" t="s">
        <v>37</v>
      </c>
      <c r="C324" t="s">
        <v>145</v>
      </c>
      <c r="D324" t="s">
        <v>146</v>
      </c>
      <c r="E324" s="1">
        <v>31.87</v>
      </c>
      <c r="F324" s="1" t="s">
        <v>44</v>
      </c>
      <c r="G324" s="1">
        <v>3</v>
      </c>
      <c r="H324" s="1">
        <v>2</v>
      </c>
      <c r="I324" s="1">
        <v>193</v>
      </c>
      <c r="J324" s="1">
        <v>2.1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 t="s">
        <v>40</v>
      </c>
      <c r="U324" s="1">
        <v>1</v>
      </c>
    </row>
    <row r="325" spans="1:21" x14ac:dyDescent="0.3">
      <c r="A325" t="s">
        <v>455</v>
      </c>
      <c r="B325" t="s">
        <v>31</v>
      </c>
      <c r="C325" t="s">
        <v>52</v>
      </c>
      <c r="D325" t="s">
        <v>53</v>
      </c>
      <c r="E325" s="1">
        <v>25.77</v>
      </c>
      <c r="F325" s="1" t="s">
        <v>25</v>
      </c>
      <c r="G325" s="1">
        <v>1</v>
      </c>
      <c r="H325" s="1">
        <v>0</v>
      </c>
      <c r="I325" s="1">
        <v>36</v>
      </c>
      <c r="J325" s="1">
        <v>0.4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 t="s">
        <v>35</v>
      </c>
      <c r="U325" s="1">
        <v>1</v>
      </c>
    </row>
    <row r="326" spans="1:21" x14ac:dyDescent="0.3">
      <c r="A326" t="s">
        <v>456</v>
      </c>
      <c r="B326" t="s">
        <v>22</v>
      </c>
      <c r="C326" t="s">
        <v>1146</v>
      </c>
      <c r="D326" t="s">
        <v>1148</v>
      </c>
      <c r="E326" s="1">
        <v>20.63</v>
      </c>
      <c r="F326" s="1" t="s">
        <v>34</v>
      </c>
      <c r="G326" s="1">
        <v>3</v>
      </c>
      <c r="H326" s="1">
        <v>2</v>
      </c>
      <c r="I326" s="1">
        <v>186</v>
      </c>
      <c r="J326" s="1">
        <v>2.1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 t="s">
        <v>40</v>
      </c>
      <c r="U326" s="1">
        <v>1</v>
      </c>
    </row>
    <row r="327" spans="1:21" x14ac:dyDescent="0.3">
      <c r="A327" t="s">
        <v>457</v>
      </c>
      <c r="B327" t="s">
        <v>31</v>
      </c>
      <c r="C327" t="s">
        <v>209</v>
      </c>
      <c r="D327" t="s">
        <v>210</v>
      </c>
      <c r="E327" s="1">
        <v>21.9</v>
      </c>
      <c r="F327" s="1" t="s">
        <v>34</v>
      </c>
      <c r="G327" s="1">
        <v>1</v>
      </c>
      <c r="H327" s="1">
        <v>1</v>
      </c>
      <c r="I327" s="1">
        <v>70</v>
      </c>
      <c r="J327" s="1">
        <v>0.8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 t="s">
        <v>26</v>
      </c>
      <c r="U327" s="1">
        <v>0</v>
      </c>
    </row>
    <row r="328" spans="1:21" x14ac:dyDescent="0.3">
      <c r="A328" t="s">
        <v>458</v>
      </c>
      <c r="B328" t="s">
        <v>37</v>
      </c>
      <c r="C328" t="s">
        <v>231</v>
      </c>
      <c r="D328" t="s">
        <v>232</v>
      </c>
      <c r="E328" s="1">
        <v>33.14</v>
      </c>
      <c r="F328" s="1" t="s">
        <v>44</v>
      </c>
      <c r="G328" s="1">
        <v>2</v>
      </c>
      <c r="H328" s="1">
        <v>0</v>
      </c>
      <c r="I328" s="1">
        <v>62</v>
      </c>
      <c r="J328" s="1">
        <v>0.7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 t="s">
        <v>35</v>
      </c>
      <c r="U328" s="1">
        <v>2</v>
      </c>
    </row>
    <row r="329" spans="1:21" x14ac:dyDescent="0.3">
      <c r="A329" t="s">
        <v>459</v>
      </c>
      <c r="B329" t="s">
        <v>22</v>
      </c>
      <c r="C329" t="s">
        <v>46</v>
      </c>
      <c r="D329" t="s">
        <v>47</v>
      </c>
      <c r="E329" s="1">
        <v>25.64</v>
      </c>
      <c r="F329" s="1" t="s">
        <v>25</v>
      </c>
      <c r="G329" s="1">
        <v>1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 t="s">
        <v>35</v>
      </c>
      <c r="U329" s="1">
        <v>1</v>
      </c>
    </row>
    <row r="330" spans="1:21" x14ac:dyDescent="0.3">
      <c r="A330" t="s">
        <v>460</v>
      </c>
      <c r="B330" t="s">
        <v>22</v>
      </c>
      <c r="C330" t="s">
        <v>42</v>
      </c>
      <c r="D330" t="s">
        <v>43</v>
      </c>
      <c r="E330" s="1">
        <v>22.22</v>
      </c>
      <c r="F330" s="1" t="s">
        <v>34</v>
      </c>
      <c r="G330" s="1">
        <v>3</v>
      </c>
      <c r="H330" s="1">
        <v>1</v>
      </c>
      <c r="I330" s="1">
        <v>127</v>
      </c>
      <c r="J330" s="1">
        <v>1.4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 t="s">
        <v>40</v>
      </c>
      <c r="U330" s="1">
        <v>2</v>
      </c>
    </row>
    <row r="331" spans="1:21" x14ac:dyDescent="0.3">
      <c r="A331" t="s">
        <v>461</v>
      </c>
      <c r="B331" t="s">
        <v>31</v>
      </c>
      <c r="C331" t="s">
        <v>133</v>
      </c>
      <c r="D331" t="s">
        <v>134</v>
      </c>
      <c r="E331" s="1">
        <v>27.57</v>
      </c>
      <c r="F331" s="1" t="s">
        <v>39</v>
      </c>
      <c r="G331" s="1">
        <v>1</v>
      </c>
      <c r="H331" s="1">
        <v>0</v>
      </c>
      <c r="I331" s="1">
        <v>45</v>
      </c>
      <c r="J331" s="1">
        <v>0.5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 t="s">
        <v>35</v>
      </c>
      <c r="U331" s="1">
        <v>1</v>
      </c>
    </row>
    <row r="332" spans="1:21" x14ac:dyDescent="0.3">
      <c r="A332" t="s">
        <v>462</v>
      </c>
      <c r="B332" t="s">
        <v>64</v>
      </c>
      <c r="C332" t="s">
        <v>96</v>
      </c>
      <c r="D332" t="s">
        <v>97</v>
      </c>
      <c r="E332" s="1">
        <v>23.81</v>
      </c>
      <c r="F332" s="1" t="s">
        <v>25</v>
      </c>
      <c r="G332" s="1">
        <v>1</v>
      </c>
      <c r="H332" s="1">
        <v>0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 t="s">
        <v>35</v>
      </c>
      <c r="U332" s="1">
        <v>1</v>
      </c>
    </row>
    <row r="333" spans="1:21" x14ac:dyDescent="0.3">
      <c r="A333" t="s">
        <v>463</v>
      </c>
      <c r="B333" t="s">
        <v>22</v>
      </c>
      <c r="C333" t="s">
        <v>133</v>
      </c>
      <c r="D333" t="s">
        <v>134</v>
      </c>
      <c r="E333" s="1">
        <v>32.81</v>
      </c>
      <c r="F333" s="1" t="s">
        <v>44</v>
      </c>
      <c r="G333" s="1">
        <v>3</v>
      </c>
      <c r="H333" s="1">
        <v>3</v>
      </c>
      <c r="I333" s="1">
        <v>208</v>
      </c>
      <c r="J333" s="1">
        <v>2.2999999999999998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 t="s">
        <v>26</v>
      </c>
      <c r="U333" s="1">
        <v>0</v>
      </c>
    </row>
    <row r="334" spans="1:21" x14ac:dyDescent="0.3">
      <c r="A334" t="s">
        <v>464</v>
      </c>
      <c r="B334" t="s">
        <v>22</v>
      </c>
      <c r="C334" t="s">
        <v>133</v>
      </c>
      <c r="D334" t="s">
        <v>134</v>
      </c>
      <c r="E334" s="1">
        <v>25.11</v>
      </c>
      <c r="F334" s="1" t="s">
        <v>25</v>
      </c>
      <c r="G334" s="1">
        <v>1</v>
      </c>
      <c r="H334" s="1">
        <v>1</v>
      </c>
      <c r="I334" s="1">
        <v>90</v>
      </c>
      <c r="J334" s="1">
        <v>1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 t="s">
        <v>26</v>
      </c>
      <c r="U334" s="1">
        <v>0</v>
      </c>
    </row>
    <row r="335" spans="1:21" x14ac:dyDescent="0.3">
      <c r="A335" t="s">
        <v>465</v>
      </c>
      <c r="B335" t="s">
        <v>37</v>
      </c>
      <c r="C335" t="s">
        <v>305</v>
      </c>
      <c r="D335" t="s">
        <v>306</v>
      </c>
      <c r="E335" s="1">
        <v>25.98</v>
      </c>
      <c r="F335" s="1" t="s">
        <v>25</v>
      </c>
      <c r="G335" s="1">
        <v>3</v>
      </c>
      <c r="H335" s="1">
        <v>3</v>
      </c>
      <c r="I335" s="1">
        <v>270</v>
      </c>
      <c r="J335" s="1">
        <v>3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</v>
      </c>
      <c r="R335" s="1">
        <v>0</v>
      </c>
      <c r="S335" s="1">
        <v>0</v>
      </c>
      <c r="T335" s="1" t="s">
        <v>26</v>
      </c>
      <c r="U335" s="1">
        <v>0</v>
      </c>
    </row>
    <row r="336" spans="1:21" x14ac:dyDescent="0.3">
      <c r="A336" t="s">
        <v>466</v>
      </c>
      <c r="B336" t="s">
        <v>22</v>
      </c>
      <c r="C336" t="s">
        <v>115</v>
      </c>
      <c r="D336" t="s">
        <v>116</v>
      </c>
      <c r="E336" s="1">
        <v>24.23</v>
      </c>
      <c r="F336" s="1" t="s">
        <v>25</v>
      </c>
      <c r="G336" s="1">
        <v>1</v>
      </c>
      <c r="H336" s="1">
        <v>0</v>
      </c>
      <c r="I336" s="1">
        <v>29</v>
      </c>
      <c r="J336" s="1">
        <v>0.3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 t="s">
        <v>35</v>
      </c>
      <c r="U336" s="1">
        <v>1</v>
      </c>
    </row>
    <row r="337" spans="1:21" x14ac:dyDescent="0.3">
      <c r="A337" t="s">
        <v>467</v>
      </c>
      <c r="B337" t="s">
        <v>61</v>
      </c>
      <c r="C337" t="s">
        <v>121</v>
      </c>
      <c r="D337" t="s">
        <v>122</v>
      </c>
      <c r="E337" s="1">
        <v>26.05</v>
      </c>
      <c r="F337" s="1" t="s">
        <v>25</v>
      </c>
      <c r="G337" s="1">
        <v>4</v>
      </c>
      <c r="H337" s="1">
        <v>4</v>
      </c>
      <c r="I337" s="1">
        <v>390</v>
      </c>
      <c r="J337" s="1">
        <v>4.3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 t="s">
        <v>26</v>
      </c>
      <c r="U337" s="1">
        <v>0</v>
      </c>
    </row>
    <row r="338" spans="1:21" x14ac:dyDescent="0.3">
      <c r="A338" t="s">
        <v>468</v>
      </c>
      <c r="B338" t="s">
        <v>31</v>
      </c>
      <c r="C338" t="s">
        <v>145</v>
      </c>
      <c r="D338" t="s">
        <v>146</v>
      </c>
      <c r="E338" s="1">
        <v>25.2</v>
      </c>
      <c r="F338" s="1" t="s">
        <v>25</v>
      </c>
      <c r="G338" s="1">
        <v>2</v>
      </c>
      <c r="H338" s="1">
        <v>0</v>
      </c>
      <c r="I338" s="1">
        <v>39</v>
      </c>
      <c r="J338" s="1">
        <v>0.4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 t="s">
        <v>35</v>
      </c>
      <c r="U338" s="1">
        <v>2</v>
      </c>
    </row>
    <row r="339" spans="1:21" x14ac:dyDescent="0.3">
      <c r="A339" t="s">
        <v>469</v>
      </c>
      <c r="B339" t="s">
        <v>22</v>
      </c>
      <c r="C339" t="s">
        <v>156</v>
      </c>
      <c r="D339" t="s">
        <v>157</v>
      </c>
      <c r="E339" s="1">
        <v>36.380000000000003</v>
      </c>
      <c r="F339" s="1" t="s">
        <v>74</v>
      </c>
      <c r="G339" s="1">
        <v>1</v>
      </c>
      <c r="H339" s="1">
        <v>0</v>
      </c>
      <c r="I339" s="1">
        <v>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 t="s">
        <v>35</v>
      </c>
      <c r="U339" s="1">
        <v>1</v>
      </c>
    </row>
    <row r="340" spans="1:21" x14ac:dyDescent="0.3">
      <c r="A340" t="s">
        <v>470</v>
      </c>
      <c r="B340" t="s">
        <v>22</v>
      </c>
      <c r="C340" t="s">
        <v>189</v>
      </c>
      <c r="D340" t="s">
        <v>190</v>
      </c>
      <c r="E340" s="1">
        <v>23.8</v>
      </c>
      <c r="F340" s="1" t="s">
        <v>25</v>
      </c>
      <c r="G340" s="1">
        <v>1</v>
      </c>
      <c r="H340" s="1">
        <v>0</v>
      </c>
      <c r="I340" s="1">
        <v>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 t="s">
        <v>35</v>
      </c>
      <c r="U340" s="1">
        <v>1</v>
      </c>
    </row>
    <row r="341" spans="1:21" x14ac:dyDescent="0.3">
      <c r="A341" t="s">
        <v>471</v>
      </c>
      <c r="B341" t="s">
        <v>22</v>
      </c>
      <c r="C341" t="s">
        <v>121</v>
      </c>
      <c r="D341" t="s">
        <v>122</v>
      </c>
      <c r="E341" s="1">
        <v>23.26</v>
      </c>
      <c r="F341" s="1" t="s">
        <v>25</v>
      </c>
      <c r="G341" s="1">
        <v>3</v>
      </c>
      <c r="H341" s="1">
        <v>3</v>
      </c>
      <c r="I341" s="1">
        <v>234</v>
      </c>
      <c r="J341" s="1">
        <v>2.6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2</v>
      </c>
      <c r="R341" s="1">
        <v>0</v>
      </c>
      <c r="S341" s="1">
        <v>0</v>
      </c>
      <c r="T341" s="1" t="s">
        <v>26</v>
      </c>
      <c r="U341" s="1">
        <v>0</v>
      </c>
    </row>
    <row r="342" spans="1:21" x14ac:dyDescent="0.3">
      <c r="A342" t="s">
        <v>472</v>
      </c>
      <c r="B342" t="s">
        <v>37</v>
      </c>
      <c r="C342" t="s">
        <v>121</v>
      </c>
      <c r="D342" t="s">
        <v>122</v>
      </c>
      <c r="E342" s="1">
        <v>33.15</v>
      </c>
      <c r="F342" s="1" t="s">
        <v>44</v>
      </c>
      <c r="G342" s="1">
        <v>4</v>
      </c>
      <c r="H342" s="1">
        <v>4</v>
      </c>
      <c r="I342" s="1">
        <v>390</v>
      </c>
      <c r="J342" s="1">
        <v>4.3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 t="s">
        <v>26</v>
      </c>
      <c r="U342" s="1">
        <v>0</v>
      </c>
    </row>
    <row r="343" spans="1:21" x14ac:dyDescent="0.3">
      <c r="A343" t="s">
        <v>473</v>
      </c>
      <c r="B343" t="s">
        <v>31</v>
      </c>
      <c r="C343" t="s">
        <v>145</v>
      </c>
      <c r="D343" t="s">
        <v>146</v>
      </c>
      <c r="E343" s="1">
        <v>23.19</v>
      </c>
      <c r="F343" s="1" t="s">
        <v>25</v>
      </c>
      <c r="G343" s="1">
        <v>1</v>
      </c>
      <c r="H343" s="1">
        <v>0</v>
      </c>
      <c r="I343" s="1">
        <v>15</v>
      </c>
      <c r="J343" s="1">
        <v>0.2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 t="s">
        <v>35</v>
      </c>
      <c r="U343" s="1">
        <v>1</v>
      </c>
    </row>
    <row r="344" spans="1:21" x14ac:dyDescent="0.3">
      <c r="A344" t="s">
        <v>474</v>
      </c>
      <c r="B344" t="s">
        <v>64</v>
      </c>
      <c r="C344" t="s">
        <v>139</v>
      </c>
      <c r="D344" t="s">
        <v>140</v>
      </c>
      <c r="E344" s="1">
        <v>28.23</v>
      </c>
      <c r="F344" s="1" t="s">
        <v>39</v>
      </c>
      <c r="G344" s="1">
        <v>2</v>
      </c>
      <c r="H344" s="1">
        <v>0</v>
      </c>
      <c r="I344" s="1">
        <v>62</v>
      </c>
      <c r="J344" s="1">
        <v>0.7</v>
      </c>
      <c r="K344" s="1">
        <v>0</v>
      </c>
      <c r="L344" s="1">
        <v>1</v>
      </c>
      <c r="M344" s="1">
        <v>1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 t="s">
        <v>35</v>
      </c>
      <c r="U344" s="1">
        <v>2</v>
      </c>
    </row>
    <row r="345" spans="1:21" x14ac:dyDescent="0.3">
      <c r="A345" t="s">
        <v>475</v>
      </c>
      <c r="B345" t="s">
        <v>22</v>
      </c>
      <c r="C345" t="s">
        <v>1147</v>
      </c>
      <c r="D345" t="s">
        <v>1149</v>
      </c>
      <c r="E345" s="1">
        <v>25.34</v>
      </c>
      <c r="F345" s="1" t="s">
        <v>25</v>
      </c>
      <c r="G345" s="1">
        <v>2</v>
      </c>
      <c r="H345" s="1">
        <v>2</v>
      </c>
      <c r="I345" s="1">
        <v>135</v>
      </c>
      <c r="J345" s="1">
        <v>1.5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 t="s">
        <v>26</v>
      </c>
      <c r="U345" s="1">
        <v>0</v>
      </c>
    </row>
    <row r="346" spans="1:21" x14ac:dyDescent="0.3">
      <c r="A346" t="s">
        <v>476</v>
      </c>
      <c r="B346" t="s">
        <v>22</v>
      </c>
      <c r="C346" t="s">
        <v>159</v>
      </c>
      <c r="D346" t="s">
        <v>160</v>
      </c>
      <c r="E346" s="1">
        <v>31.39</v>
      </c>
      <c r="F346" s="1" t="s">
        <v>44</v>
      </c>
      <c r="G346" s="1">
        <v>3</v>
      </c>
      <c r="H346" s="1">
        <v>0</v>
      </c>
      <c r="I346" s="1">
        <v>99</v>
      </c>
      <c r="J346" s="1">
        <v>1.1000000000000001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 t="s">
        <v>35</v>
      </c>
      <c r="U346" s="1">
        <v>3</v>
      </c>
    </row>
    <row r="347" spans="1:21" x14ac:dyDescent="0.3">
      <c r="A347" t="s">
        <v>477</v>
      </c>
      <c r="B347" t="s">
        <v>64</v>
      </c>
      <c r="C347" t="s">
        <v>174</v>
      </c>
      <c r="D347" t="s">
        <v>175</v>
      </c>
      <c r="E347" s="1">
        <v>31.75</v>
      </c>
      <c r="F347" s="1" t="s">
        <v>44</v>
      </c>
      <c r="G347" s="1">
        <v>1</v>
      </c>
      <c r="H347" s="1">
        <v>0</v>
      </c>
      <c r="I347" s="1">
        <v>16</v>
      </c>
      <c r="J347" s="1">
        <v>0.2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 t="s">
        <v>35</v>
      </c>
      <c r="U347" s="1">
        <v>1</v>
      </c>
    </row>
    <row r="348" spans="1:21" x14ac:dyDescent="0.3">
      <c r="A348" t="s">
        <v>478</v>
      </c>
      <c r="B348" t="s">
        <v>31</v>
      </c>
      <c r="C348" t="s">
        <v>391</v>
      </c>
      <c r="D348" t="s">
        <v>392</v>
      </c>
      <c r="E348" s="1">
        <v>21.07</v>
      </c>
      <c r="F348" s="1" t="s">
        <v>34</v>
      </c>
      <c r="G348" s="1">
        <v>1</v>
      </c>
      <c r="H348" s="1">
        <v>0</v>
      </c>
      <c r="I348" s="1">
        <v>7</v>
      </c>
      <c r="J348" s="1">
        <v>0.1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 t="s">
        <v>35</v>
      </c>
      <c r="U348" s="1">
        <v>1</v>
      </c>
    </row>
    <row r="349" spans="1:21" x14ac:dyDescent="0.3">
      <c r="A349" t="s">
        <v>479</v>
      </c>
      <c r="B349" t="s">
        <v>31</v>
      </c>
      <c r="C349" t="s">
        <v>96</v>
      </c>
      <c r="D349" t="s">
        <v>97</v>
      </c>
      <c r="E349" s="1">
        <v>26.37</v>
      </c>
      <c r="F349" s="1" t="s">
        <v>25</v>
      </c>
      <c r="G349" s="1">
        <v>3</v>
      </c>
      <c r="H349" s="1">
        <v>3</v>
      </c>
      <c r="I349" s="1">
        <v>218</v>
      </c>
      <c r="J349" s="1">
        <v>2.4</v>
      </c>
      <c r="K349" s="1">
        <v>1</v>
      </c>
      <c r="L349" s="1">
        <v>0</v>
      </c>
      <c r="M349" s="1">
        <v>1</v>
      </c>
      <c r="N349" s="1">
        <v>1</v>
      </c>
      <c r="O349" s="1">
        <v>0</v>
      </c>
      <c r="P349" s="1">
        <v>0</v>
      </c>
      <c r="Q349" s="1">
        <v>0</v>
      </c>
      <c r="R349" s="1">
        <v>0</v>
      </c>
      <c r="S349" s="1">
        <v>0.41699999999999998</v>
      </c>
      <c r="T349" s="1" t="s">
        <v>26</v>
      </c>
      <c r="U349" s="1">
        <v>0</v>
      </c>
    </row>
    <row r="350" spans="1:21" x14ac:dyDescent="0.3">
      <c r="A350" t="s">
        <v>480</v>
      </c>
      <c r="B350" t="s">
        <v>22</v>
      </c>
      <c r="C350" t="s">
        <v>101</v>
      </c>
      <c r="D350" t="s">
        <v>102</v>
      </c>
      <c r="E350" s="1">
        <v>24.12</v>
      </c>
      <c r="F350" s="1" t="s">
        <v>25</v>
      </c>
      <c r="G350" s="1">
        <v>4</v>
      </c>
      <c r="H350" s="1">
        <v>4</v>
      </c>
      <c r="I350" s="1">
        <v>345</v>
      </c>
      <c r="J350" s="1">
        <v>3.8</v>
      </c>
      <c r="K350" s="1">
        <v>0</v>
      </c>
      <c r="L350" s="1">
        <v>2</v>
      </c>
      <c r="M350" s="1">
        <v>2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 t="s">
        <v>26</v>
      </c>
      <c r="U350" s="1">
        <v>0</v>
      </c>
    </row>
    <row r="351" spans="1:21" x14ac:dyDescent="0.3">
      <c r="A351" t="s">
        <v>481</v>
      </c>
      <c r="B351" t="s">
        <v>31</v>
      </c>
      <c r="C351" t="s">
        <v>112</v>
      </c>
      <c r="D351" t="s">
        <v>113</v>
      </c>
      <c r="E351" s="1">
        <v>32.200000000000003</v>
      </c>
      <c r="F351" s="1" t="s">
        <v>44</v>
      </c>
      <c r="G351" s="1">
        <v>2</v>
      </c>
      <c r="H351" s="1">
        <v>1</v>
      </c>
      <c r="I351" s="1">
        <v>129</v>
      </c>
      <c r="J351" s="1">
        <v>1.4</v>
      </c>
      <c r="K351" s="1">
        <v>0</v>
      </c>
      <c r="L351" s="1">
        <v>1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 t="s">
        <v>40</v>
      </c>
      <c r="U351" s="1">
        <v>1</v>
      </c>
    </row>
    <row r="352" spans="1:21" x14ac:dyDescent="0.3">
      <c r="A352" t="s">
        <v>482</v>
      </c>
      <c r="B352" t="s">
        <v>155</v>
      </c>
      <c r="C352" t="s">
        <v>112</v>
      </c>
      <c r="D352" t="s">
        <v>113</v>
      </c>
      <c r="E352" s="1">
        <v>30.9</v>
      </c>
      <c r="F352" s="1" t="s">
        <v>39</v>
      </c>
      <c r="G352" s="1">
        <v>1</v>
      </c>
      <c r="H352" s="1">
        <v>0</v>
      </c>
      <c r="I352" s="1">
        <v>45</v>
      </c>
      <c r="J352" s="1">
        <v>0.5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 t="s">
        <v>35</v>
      </c>
      <c r="U352" s="1">
        <v>1</v>
      </c>
    </row>
    <row r="353" spans="1:21" x14ac:dyDescent="0.3">
      <c r="A353" t="s">
        <v>483</v>
      </c>
      <c r="B353" t="s">
        <v>155</v>
      </c>
      <c r="C353" t="s">
        <v>159</v>
      </c>
      <c r="D353" t="s">
        <v>160</v>
      </c>
      <c r="E353" s="1">
        <v>35.04</v>
      </c>
      <c r="F353" s="1" t="s">
        <v>74</v>
      </c>
      <c r="G353" s="1">
        <v>1</v>
      </c>
      <c r="H353" s="1">
        <v>0</v>
      </c>
      <c r="I353" s="1">
        <v>18</v>
      </c>
      <c r="J353" s="1">
        <v>0.2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 t="s">
        <v>35</v>
      </c>
      <c r="U353" s="1">
        <v>1</v>
      </c>
    </row>
    <row r="354" spans="1:21" x14ac:dyDescent="0.3">
      <c r="A354" t="s">
        <v>484</v>
      </c>
      <c r="B354" t="s">
        <v>148</v>
      </c>
      <c r="C354" t="s">
        <v>129</v>
      </c>
      <c r="D354" t="s">
        <v>130</v>
      </c>
      <c r="E354" s="1">
        <v>27.17</v>
      </c>
      <c r="F354" s="1" t="s">
        <v>39</v>
      </c>
      <c r="G354" s="1">
        <v>3</v>
      </c>
      <c r="H354" s="1">
        <v>3</v>
      </c>
      <c r="I354" s="1">
        <v>240</v>
      </c>
      <c r="J354" s="1">
        <v>2.7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1</v>
      </c>
      <c r="R354" s="1">
        <v>0</v>
      </c>
      <c r="S354" s="1">
        <v>0</v>
      </c>
      <c r="T354" s="1" t="s">
        <v>26</v>
      </c>
      <c r="U354" s="1">
        <v>0</v>
      </c>
    </row>
    <row r="355" spans="1:21" x14ac:dyDescent="0.3">
      <c r="A355" t="s">
        <v>485</v>
      </c>
      <c r="B355" t="s">
        <v>31</v>
      </c>
      <c r="C355" t="s">
        <v>305</v>
      </c>
      <c r="D355" t="s">
        <v>306</v>
      </c>
      <c r="E355" s="1">
        <v>28.43</v>
      </c>
      <c r="F355" s="1" t="s">
        <v>39</v>
      </c>
      <c r="G355" s="1">
        <v>2</v>
      </c>
      <c r="H355" s="1">
        <v>0</v>
      </c>
      <c r="I355" s="1">
        <v>31</v>
      </c>
      <c r="J355" s="1">
        <v>0.3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</v>
      </c>
      <c r="R355" s="1">
        <v>0</v>
      </c>
      <c r="S355" s="1">
        <v>0</v>
      </c>
      <c r="T355" s="1" t="s">
        <v>35</v>
      </c>
      <c r="U355" s="1">
        <v>2</v>
      </c>
    </row>
    <row r="356" spans="1:21" x14ac:dyDescent="0.3">
      <c r="A356" t="s">
        <v>486</v>
      </c>
      <c r="B356" t="s">
        <v>37</v>
      </c>
      <c r="C356" t="s">
        <v>1147</v>
      </c>
      <c r="D356" t="s">
        <v>1149</v>
      </c>
      <c r="E356" s="1">
        <v>25.96</v>
      </c>
      <c r="F356" s="1" t="s">
        <v>25</v>
      </c>
      <c r="G356" s="1">
        <v>3</v>
      </c>
      <c r="H356" s="1">
        <v>2</v>
      </c>
      <c r="I356" s="1">
        <v>184</v>
      </c>
      <c r="J356" s="1">
        <v>2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 t="s">
        <v>40</v>
      </c>
      <c r="U356" s="1">
        <v>1</v>
      </c>
    </row>
    <row r="357" spans="1:21" x14ac:dyDescent="0.3">
      <c r="A357" t="s">
        <v>487</v>
      </c>
      <c r="B357" t="s">
        <v>64</v>
      </c>
      <c r="C357" t="s">
        <v>77</v>
      </c>
      <c r="D357" t="s">
        <v>78</v>
      </c>
      <c r="E357" s="1">
        <v>25</v>
      </c>
      <c r="F357" s="1" t="s">
        <v>25</v>
      </c>
      <c r="G357" s="1">
        <v>1</v>
      </c>
      <c r="H357" s="1">
        <v>0</v>
      </c>
      <c r="I357" s="1">
        <v>16</v>
      </c>
      <c r="J357" s="1">
        <v>0.2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 t="s">
        <v>35</v>
      </c>
      <c r="U357" s="1">
        <v>1</v>
      </c>
    </row>
    <row r="358" spans="1:21" x14ac:dyDescent="0.3">
      <c r="A358" t="s">
        <v>488</v>
      </c>
      <c r="B358" t="s">
        <v>22</v>
      </c>
      <c r="C358" t="s">
        <v>291</v>
      </c>
      <c r="D358" t="s">
        <v>292</v>
      </c>
      <c r="E358" s="1">
        <v>36.76</v>
      </c>
      <c r="F358" s="1" t="s">
        <v>74</v>
      </c>
      <c r="G358" s="1">
        <v>3</v>
      </c>
      <c r="H358" s="1">
        <v>3</v>
      </c>
      <c r="I358" s="1">
        <v>267</v>
      </c>
      <c r="J358" s="1">
        <v>3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 t="s">
        <v>26</v>
      </c>
      <c r="U358" s="1">
        <v>0</v>
      </c>
    </row>
    <row r="359" spans="1:21" x14ac:dyDescent="0.3">
      <c r="A359" t="s">
        <v>489</v>
      </c>
      <c r="B359" t="s">
        <v>22</v>
      </c>
      <c r="C359" t="s">
        <v>291</v>
      </c>
      <c r="D359" t="s">
        <v>292</v>
      </c>
      <c r="E359" s="1">
        <v>27.43</v>
      </c>
      <c r="F359" s="1" t="s">
        <v>39</v>
      </c>
      <c r="G359" s="1">
        <v>3</v>
      </c>
      <c r="H359" s="1">
        <v>2</v>
      </c>
      <c r="I359" s="1">
        <v>169</v>
      </c>
      <c r="J359" s="1">
        <v>1.9</v>
      </c>
      <c r="K359" s="1">
        <v>2</v>
      </c>
      <c r="L359" s="1">
        <v>1</v>
      </c>
      <c r="M359" s="1">
        <v>3</v>
      </c>
      <c r="N359" s="1">
        <v>2</v>
      </c>
      <c r="O359" s="1">
        <v>0</v>
      </c>
      <c r="P359" s="1">
        <v>0</v>
      </c>
      <c r="Q359" s="1">
        <v>1</v>
      </c>
      <c r="R359" s="1">
        <v>0</v>
      </c>
      <c r="S359" s="1">
        <v>1.0529999999999999</v>
      </c>
      <c r="T359" s="1" t="s">
        <v>40</v>
      </c>
      <c r="U359" s="1">
        <v>1</v>
      </c>
    </row>
    <row r="360" spans="1:21" x14ac:dyDescent="0.3">
      <c r="A360" t="s">
        <v>490</v>
      </c>
      <c r="B360" t="s">
        <v>22</v>
      </c>
      <c r="C360" t="s">
        <v>136</v>
      </c>
      <c r="D360" t="s">
        <v>137</v>
      </c>
      <c r="E360" s="1">
        <v>28.62</v>
      </c>
      <c r="F360" s="1" t="s">
        <v>39</v>
      </c>
      <c r="G360" s="1">
        <v>4</v>
      </c>
      <c r="H360" s="1">
        <v>4</v>
      </c>
      <c r="I360" s="1">
        <v>338</v>
      </c>
      <c r="J360" s="1">
        <v>3.8</v>
      </c>
      <c r="K360" s="1">
        <v>0</v>
      </c>
      <c r="L360" s="1">
        <v>4</v>
      </c>
      <c r="M360" s="1">
        <v>4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 t="s">
        <v>26</v>
      </c>
      <c r="U360" s="1">
        <v>0</v>
      </c>
    </row>
    <row r="361" spans="1:21" x14ac:dyDescent="0.3">
      <c r="A361" t="s">
        <v>491</v>
      </c>
      <c r="B361" t="s">
        <v>31</v>
      </c>
      <c r="C361" t="s">
        <v>104</v>
      </c>
      <c r="D361" t="s">
        <v>105</v>
      </c>
      <c r="E361" s="1">
        <v>21.99</v>
      </c>
      <c r="F361" s="1" t="s">
        <v>34</v>
      </c>
      <c r="G361" s="1">
        <v>2</v>
      </c>
      <c r="H361" s="1">
        <v>0</v>
      </c>
      <c r="I361" s="1">
        <v>37</v>
      </c>
      <c r="J361" s="1">
        <v>0.4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 t="s">
        <v>35</v>
      </c>
      <c r="U361" s="1">
        <v>2</v>
      </c>
    </row>
    <row r="362" spans="1:21" x14ac:dyDescent="0.3">
      <c r="A362" t="s">
        <v>492</v>
      </c>
      <c r="B362" t="s">
        <v>22</v>
      </c>
      <c r="C362" t="s">
        <v>104</v>
      </c>
      <c r="D362" t="s">
        <v>105</v>
      </c>
      <c r="E362" s="1">
        <v>21.34</v>
      </c>
      <c r="F362" s="1" t="s">
        <v>34</v>
      </c>
      <c r="G362" s="1">
        <v>3</v>
      </c>
      <c r="H362" s="1">
        <v>3</v>
      </c>
      <c r="I362" s="1">
        <v>270</v>
      </c>
      <c r="J362" s="1">
        <v>3</v>
      </c>
      <c r="K362" s="1">
        <v>1</v>
      </c>
      <c r="L362" s="1">
        <v>0</v>
      </c>
      <c r="M362" s="1">
        <v>1</v>
      </c>
      <c r="N362" s="1">
        <v>1</v>
      </c>
      <c r="O362" s="1">
        <v>0</v>
      </c>
      <c r="P362" s="1">
        <v>0</v>
      </c>
      <c r="Q362" s="1">
        <v>0</v>
      </c>
      <c r="R362" s="1">
        <v>0</v>
      </c>
      <c r="S362" s="1">
        <v>0.33300000000000002</v>
      </c>
      <c r="T362" s="1" t="s">
        <v>26</v>
      </c>
      <c r="U362" s="1">
        <v>0</v>
      </c>
    </row>
    <row r="363" spans="1:21" x14ac:dyDescent="0.3">
      <c r="A363" t="s">
        <v>493</v>
      </c>
      <c r="B363" t="s">
        <v>61</v>
      </c>
      <c r="C363" t="s">
        <v>1146</v>
      </c>
      <c r="D363" t="s">
        <v>1148</v>
      </c>
      <c r="E363" s="1">
        <v>30.44</v>
      </c>
      <c r="F363" s="1" t="s">
        <v>39</v>
      </c>
      <c r="G363" s="1">
        <v>3</v>
      </c>
      <c r="H363" s="1">
        <v>3</v>
      </c>
      <c r="I363" s="1">
        <v>270</v>
      </c>
      <c r="J363" s="1">
        <v>3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 t="s">
        <v>26</v>
      </c>
      <c r="U363" s="1">
        <v>0</v>
      </c>
    </row>
    <row r="364" spans="1:21" x14ac:dyDescent="0.3">
      <c r="A364" t="s">
        <v>494</v>
      </c>
      <c r="B364" t="s">
        <v>155</v>
      </c>
      <c r="C364" t="s">
        <v>107</v>
      </c>
      <c r="D364" t="s">
        <v>108</v>
      </c>
      <c r="E364" s="1">
        <v>23.11</v>
      </c>
      <c r="F364" s="1" t="s">
        <v>25</v>
      </c>
      <c r="G364" s="1">
        <v>2</v>
      </c>
      <c r="H364" s="1">
        <v>0</v>
      </c>
      <c r="I364" s="1">
        <v>12</v>
      </c>
      <c r="J364" s="1">
        <v>0.1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 t="s">
        <v>35</v>
      </c>
      <c r="U364" s="1">
        <v>2</v>
      </c>
    </row>
    <row r="365" spans="1:21" x14ac:dyDescent="0.3">
      <c r="A365" t="s">
        <v>495</v>
      </c>
      <c r="B365" t="s">
        <v>22</v>
      </c>
      <c r="C365" t="s">
        <v>145</v>
      </c>
      <c r="D365" t="s">
        <v>146</v>
      </c>
      <c r="E365" s="1">
        <v>23.04</v>
      </c>
      <c r="F365" s="1" t="s">
        <v>25</v>
      </c>
      <c r="G365" s="1">
        <v>2</v>
      </c>
      <c r="H365" s="1">
        <v>2</v>
      </c>
      <c r="I365" s="1">
        <v>135</v>
      </c>
      <c r="J365" s="1">
        <v>1.5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0</v>
      </c>
      <c r="S365" s="1">
        <v>0</v>
      </c>
      <c r="T365" s="1" t="s">
        <v>26</v>
      </c>
      <c r="U365" s="1">
        <v>0</v>
      </c>
    </row>
    <row r="366" spans="1:21" x14ac:dyDescent="0.3">
      <c r="A366" t="s">
        <v>496</v>
      </c>
      <c r="B366" t="s">
        <v>37</v>
      </c>
      <c r="C366" t="s">
        <v>156</v>
      </c>
      <c r="D366" t="s">
        <v>157</v>
      </c>
      <c r="E366" s="1">
        <v>27.83</v>
      </c>
      <c r="F366" s="1" t="s">
        <v>39</v>
      </c>
      <c r="G366" s="1">
        <v>1</v>
      </c>
      <c r="H366" s="1">
        <v>1</v>
      </c>
      <c r="I366" s="1">
        <v>87</v>
      </c>
      <c r="J366" s="1">
        <v>1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 t="s">
        <v>26</v>
      </c>
      <c r="U366" s="1">
        <v>0</v>
      </c>
    </row>
    <row r="367" spans="1:21" x14ac:dyDescent="0.3">
      <c r="A367" t="s">
        <v>497</v>
      </c>
      <c r="B367" t="s">
        <v>37</v>
      </c>
      <c r="C367" t="s">
        <v>225</v>
      </c>
      <c r="D367" t="s">
        <v>226</v>
      </c>
      <c r="E367" s="1">
        <v>24.43</v>
      </c>
      <c r="F367" s="1" t="s">
        <v>25</v>
      </c>
      <c r="G367" s="1">
        <v>3</v>
      </c>
      <c r="H367" s="1">
        <v>2</v>
      </c>
      <c r="I367" s="1">
        <v>138</v>
      </c>
      <c r="J367" s="1">
        <v>1.5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 t="s">
        <v>40</v>
      </c>
      <c r="U367" s="1">
        <v>1</v>
      </c>
    </row>
    <row r="368" spans="1:21" x14ac:dyDescent="0.3">
      <c r="A368" t="s">
        <v>498</v>
      </c>
      <c r="B368" t="s">
        <v>31</v>
      </c>
      <c r="C368" t="s">
        <v>129</v>
      </c>
      <c r="D368" t="s">
        <v>130</v>
      </c>
      <c r="E368" s="1">
        <v>28.07</v>
      </c>
      <c r="F368" s="1" t="s">
        <v>39</v>
      </c>
      <c r="G368" s="1">
        <v>3</v>
      </c>
      <c r="H368" s="1">
        <v>3</v>
      </c>
      <c r="I368" s="1">
        <v>270</v>
      </c>
      <c r="J368" s="1">
        <v>3</v>
      </c>
      <c r="K368" s="1">
        <v>1</v>
      </c>
      <c r="L368" s="1">
        <v>2</v>
      </c>
      <c r="M368" s="1">
        <v>3</v>
      </c>
      <c r="N368" s="1">
        <v>1</v>
      </c>
      <c r="O368" s="1">
        <v>0</v>
      </c>
      <c r="P368" s="1">
        <v>0</v>
      </c>
      <c r="Q368" s="1">
        <v>1</v>
      </c>
      <c r="R368" s="1">
        <v>0</v>
      </c>
      <c r="S368" s="1">
        <v>0.33300000000000002</v>
      </c>
      <c r="T368" s="1" t="s">
        <v>26</v>
      </c>
      <c r="U368" s="1">
        <v>0</v>
      </c>
    </row>
    <row r="369" spans="1:21" x14ac:dyDescent="0.3">
      <c r="A369" t="s">
        <v>499</v>
      </c>
      <c r="B369" t="s">
        <v>22</v>
      </c>
      <c r="C369" t="s">
        <v>49</v>
      </c>
      <c r="D369" t="s">
        <v>50</v>
      </c>
      <c r="E369" s="1">
        <v>28.35</v>
      </c>
      <c r="F369" s="1" t="s">
        <v>39</v>
      </c>
      <c r="G369" s="1">
        <v>2</v>
      </c>
      <c r="H369" s="1">
        <v>1</v>
      </c>
      <c r="I369" s="1">
        <v>122</v>
      </c>
      <c r="J369" s="1">
        <v>1.4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 t="s">
        <v>40</v>
      </c>
      <c r="U369" s="1">
        <v>1</v>
      </c>
    </row>
    <row r="370" spans="1:21" x14ac:dyDescent="0.3">
      <c r="A370" t="s">
        <v>500</v>
      </c>
      <c r="B370" t="s">
        <v>31</v>
      </c>
      <c r="C370" t="s">
        <v>28</v>
      </c>
      <c r="D370" t="s">
        <v>29</v>
      </c>
      <c r="E370" s="1">
        <v>25.94</v>
      </c>
      <c r="F370" s="1" t="s">
        <v>25</v>
      </c>
      <c r="G370" s="1">
        <v>2</v>
      </c>
      <c r="H370" s="1">
        <v>2</v>
      </c>
      <c r="I370" s="1">
        <v>180</v>
      </c>
      <c r="J370" s="1">
        <v>2</v>
      </c>
      <c r="K370" s="1">
        <v>4</v>
      </c>
      <c r="L370" s="1">
        <v>0</v>
      </c>
      <c r="M370" s="1">
        <v>4</v>
      </c>
      <c r="N370" s="1">
        <v>4</v>
      </c>
      <c r="O370" s="1">
        <v>0</v>
      </c>
      <c r="P370" s="1">
        <v>0</v>
      </c>
      <c r="Q370" s="1">
        <v>0</v>
      </c>
      <c r="R370" s="1">
        <v>0</v>
      </c>
      <c r="S370" s="1">
        <v>2</v>
      </c>
      <c r="T370" s="1" t="s">
        <v>26</v>
      </c>
      <c r="U370" s="1">
        <v>0</v>
      </c>
    </row>
    <row r="371" spans="1:21" x14ac:dyDescent="0.3">
      <c r="A371" t="s">
        <v>501</v>
      </c>
      <c r="B371" t="s">
        <v>37</v>
      </c>
      <c r="C371" t="s">
        <v>55</v>
      </c>
      <c r="D371" t="s">
        <v>56</v>
      </c>
      <c r="E371" s="1">
        <v>32.4</v>
      </c>
      <c r="F371" s="1" t="s">
        <v>44</v>
      </c>
      <c r="G371" s="1">
        <v>3</v>
      </c>
      <c r="H371" s="1">
        <v>3</v>
      </c>
      <c r="I371" s="1">
        <v>260</v>
      </c>
      <c r="J371" s="1">
        <v>2.9</v>
      </c>
      <c r="K371" s="1">
        <v>0</v>
      </c>
      <c r="L371" s="1">
        <v>1</v>
      </c>
      <c r="M371" s="1">
        <v>1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 t="s">
        <v>26</v>
      </c>
      <c r="U371" s="1">
        <v>0</v>
      </c>
    </row>
    <row r="372" spans="1:21" x14ac:dyDescent="0.3">
      <c r="A372" t="s">
        <v>502</v>
      </c>
      <c r="B372" t="s">
        <v>22</v>
      </c>
      <c r="C372" t="s">
        <v>96</v>
      </c>
      <c r="D372" t="s">
        <v>97</v>
      </c>
      <c r="E372" s="1">
        <v>24.38</v>
      </c>
      <c r="F372" s="1" t="s">
        <v>25</v>
      </c>
      <c r="G372" s="1">
        <v>2</v>
      </c>
      <c r="H372" s="1">
        <v>1</v>
      </c>
      <c r="I372" s="1">
        <v>78</v>
      </c>
      <c r="J372" s="1">
        <v>0.9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 t="s">
        <v>40</v>
      </c>
      <c r="U372" s="1">
        <v>1</v>
      </c>
    </row>
    <row r="373" spans="1:21" x14ac:dyDescent="0.3">
      <c r="A373" t="s">
        <v>503</v>
      </c>
      <c r="B373" t="s">
        <v>37</v>
      </c>
      <c r="C373" t="s">
        <v>96</v>
      </c>
      <c r="D373" t="s">
        <v>97</v>
      </c>
      <c r="E373" s="1">
        <v>23.26</v>
      </c>
      <c r="F373" s="1" t="s">
        <v>25</v>
      </c>
      <c r="G373" s="1">
        <v>2</v>
      </c>
      <c r="H373" s="1">
        <v>1</v>
      </c>
      <c r="I373" s="1">
        <v>76</v>
      </c>
      <c r="J373" s="1">
        <v>0.8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 t="s">
        <v>40</v>
      </c>
      <c r="U373" s="1">
        <v>1</v>
      </c>
    </row>
    <row r="374" spans="1:21" x14ac:dyDescent="0.3">
      <c r="A374" t="s">
        <v>504</v>
      </c>
      <c r="B374" t="s">
        <v>22</v>
      </c>
      <c r="C374" t="s">
        <v>115</v>
      </c>
      <c r="D374" t="s">
        <v>116</v>
      </c>
      <c r="E374" s="1">
        <v>29.31</v>
      </c>
      <c r="F374" s="1" t="s">
        <v>39</v>
      </c>
      <c r="G374" s="1">
        <v>1</v>
      </c>
      <c r="H374" s="1">
        <v>0</v>
      </c>
      <c r="I374" s="1">
        <v>6</v>
      </c>
      <c r="J374" s="1">
        <v>0.1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 t="s">
        <v>35</v>
      </c>
      <c r="U374" s="1">
        <v>1</v>
      </c>
    </row>
    <row r="375" spans="1:21" x14ac:dyDescent="0.3">
      <c r="A375" t="s">
        <v>505</v>
      </c>
      <c r="B375" t="s">
        <v>37</v>
      </c>
      <c r="C375" t="s">
        <v>115</v>
      </c>
      <c r="D375" t="s">
        <v>116</v>
      </c>
      <c r="E375" s="1">
        <v>27.97</v>
      </c>
      <c r="F375" s="1" t="s">
        <v>39</v>
      </c>
      <c r="G375" s="1">
        <v>1</v>
      </c>
      <c r="H375" s="1">
        <v>0</v>
      </c>
      <c r="I375" s="1">
        <v>27</v>
      </c>
      <c r="J375" s="1">
        <v>0.3</v>
      </c>
      <c r="K375" s="1">
        <v>0</v>
      </c>
      <c r="L375" s="1">
        <v>1</v>
      </c>
      <c r="M375" s="1">
        <v>1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 t="s">
        <v>35</v>
      </c>
      <c r="U375" s="1">
        <v>1</v>
      </c>
    </row>
    <row r="376" spans="1:21" x14ac:dyDescent="0.3">
      <c r="A376" t="s">
        <v>506</v>
      </c>
      <c r="B376" t="s">
        <v>37</v>
      </c>
      <c r="C376" t="s">
        <v>32</v>
      </c>
      <c r="D376" t="s">
        <v>33</v>
      </c>
      <c r="E376" s="1">
        <v>30.3</v>
      </c>
      <c r="F376" s="1" t="s">
        <v>39</v>
      </c>
      <c r="G376" s="1">
        <v>1</v>
      </c>
      <c r="H376" s="1">
        <v>0</v>
      </c>
      <c r="I376" s="1">
        <v>3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 t="s">
        <v>35</v>
      </c>
      <c r="U376" s="1">
        <v>1</v>
      </c>
    </row>
    <row r="377" spans="1:21" x14ac:dyDescent="0.3">
      <c r="A377" t="s">
        <v>507</v>
      </c>
      <c r="B377" t="s">
        <v>37</v>
      </c>
      <c r="C377" t="s">
        <v>133</v>
      </c>
      <c r="D377" t="s">
        <v>134</v>
      </c>
      <c r="E377" s="1">
        <v>36.340000000000003</v>
      </c>
      <c r="F377" s="1" t="s">
        <v>74</v>
      </c>
      <c r="G377" s="1">
        <v>2</v>
      </c>
      <c r="H377" s="1">
        <v>1</v>
      </c>
      <c r="I377" s="1">
        <v>91</v>
      </c>
      <c r="J377" s="1">
        <v>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1</v>
      </c>
      <c r="R377" s="1">
        <v>0</v>
      </c>
      <c r="S377" s="1">
        <v>0</v>
      </c>
      <c r="T377" s="1" t="s">
        <v>40</v>
      </c>
      <c r="U377" s="1">
        <v>1</v>
      </c>
    </row>
    <row r="378" spans="1:21" x14ac:dyDescent="0.3">
      <c r="A378" t="s">
        <v>508</v>
      </c>
      <c r="B378" t="s">
        <v>37</v>
      </c>
      <c r="C378" t="s">
        <v>151</v>
      </c>
      <c r="D378" t="s">
        <v>152</v>
      </c>
      <c r="E378" s="1">
        <v>27.65</v>
      </c>
      <c r="F378" s="1" t="s">
        <v>39</v>
      </c>
      <c r="G378" s="1">
        <v>4</v>
      </c>
      <c r="H378" s="1">
        <v>4</v>
      </c>
      <c r="I378" s="1">
        <v>390</v>
      </c>
      <c r="J378" s="1">
        <v>4.3</v>
      </c>
      <c r="K378" s="1">
        <v>1</v>
      </c>
      <c r="L378" s="1">
        <v>1</v>
      </c>
      <c r="M378" s="1">
        <v>2</v>
      </c>
      <c r="N378" s="1">
        <v>1</v>
      </c>
      <c r="O378" s="1">
        <v>0</v>
      </c>
      <c r="P378" s="1">
        <v>0</v>
      </c>
      <c r="Q378" s="1">
        <v>0</v>
      </c>
      <c r="R378" s="1">
        <v>0</v>
      </c>
      <c r="S378" s="1">
        <v>0.23300000000000001</v>
      </c>
      <c r="T378" s="1" t="s">
        <v>26</v>
      </c>
      <c r="U378" s="1">
        <v>0</v>
      </c>
    </row>
    <row r="379" spans="1:21" x14ac:dyDescent="0.3">
      <c r="A379" t="s">
        <v>509</v>
      </c>
      <c r="B379" t="s">
        <v>37</v>
      </c>
      <c r="C379" t="s">
        <v>151</v>
      </c>
      <c r="D379" t="s">
        <v>152</v>
      </c>
      <c r="E379" s="1">
        <v>23.32</v>
      </c>
      <c r="F379" s="1" t="s">
        <v>25</v>
      </c>
      <c r="G379" s="1">
        <v>1</v>
      </c>
      <c r="H379" s="1">
        <v>1</v>
      </c>
      <c r="I379" s="1">
        <v>90</v>
      </c>
      <c r="J379" s="1">
        <v>1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 t="s">
        <v>26</v>
      </c>
      <c r="U379" s="1">
        <v>0</v>
      </c>
    </row>
    <row r="380" spans="1:21" x14ac:dyDescent="0.3">
      <c r="A380" t="s">
        <v>510</v>
      </c>
      <c r="B380" t="s">
        <v>31</v>
      </c>
      <c r="C380" t="s">
        <v>125</v>
      </c>
      <c r="D380" t="s">
        <v>126</v>
      </c>
      <c r="E380" s="1">
        <v>24.33</v>
      </c>
      <c r="F380" s="1" t="s">
        <v>25</v>
      </c>
      <c r="G380" s="1">
        <v>3</v>
      </c>
      <c r="H380" s="1">
        <v>2</v>
      </c>
      <c r="I380" s="1">
        <v>180</v>
      </c>
      <c r="J380" s="1">
        <v>2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 t="s">
        <v>40</v>
      </c>
      <c r="U380" s="1">
        <v>1</v>
      </c>
    </row>
    <row r="381" spans="1:21" x14ac:dyDescent="0.3">
      <c r="A381" t="s">
        <v>511</v>
      </c>
      <c r="B381" t="s">
        <v>31</v>
      </c>
      <c r="C381" t="s">
        <v>46</v>
      </c>
      <c r="D381" t="s">
        <v>47</v>
      </c>
      <c r="E381" s="1">
        <v>26.79</v>
      </c>
      <c r="F381" s="1" t="s">
        <v>25</v>
      </c>
      <c r="G381" s="1">
        <v>3</v>
      </c>
      <c r="H381" s="1">
        <v>0</v>
      </c>
      <c r="I381" s="1">
        <v>71</v>
      </c>
      <c r="J381" s="1">
        <v>0.8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 t="s">
        <v>35</v>
      </c>
      <c r="U381" s="1">
        <v>3</v>
      </c>
    </row>
    <row r="382" spans="1:21" x14ac:dyDescent="0.3">
      <c r="A382" t="s">
        <v>512</v>
      </c>
      <c r="B382" t="s">
        <v>37</v>
      </c>
      <c r="C382" t="s">
        <v>42</v>
      </c>
      <c r="D382" t="s">
        <v>43</v>
      </c>
      <c r="E382" s="1">
        <v>30.54</v>
      </c>
      <c r="F382" s="1" t="s">
        <v>39</v>
      </c>
      <c r="G382" s="1">
        <v>3</v>
      </c>
      <c r="H382" s="1">
        <v>2</v>
      </c>
      <c r="I382" s="1">
        <v>202</v>
      </c>
      <c r="J382" s="1">
        <v>2.2000000000000002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 t="s">
        <v>40</v>
      </c>
      <c r="U382" s="1">
        <v>1</v>
      </c>
    </row>
    <row r="383" spans="1:21" x14ac:dyDescent="0.3">
      <c r="A383" t="s">
        <v>513</v>
      </c>
      <c r="B383" t="s">
        <v>22</v>
      </c>
      <c r="C383" t="s">
        <v>49</v>
      </c>
      <c r="D383" t="s">
        <v>50</v>
      </c>
      <c r="E383" s="1">
        <v>30.38</v>
      </c>
      <c r="F383" s="1" t="s">
        <v>39</v>
      </c>
      <c r="G383" s="1">
        <v>2</v>
      </c>
      <c r="H383" s="1">
        <v>1</v>
      </c>
      <c r="I383" s="1">
        <v>77</v>
      </c>
      <c r="J383" s="1">
        <v>0.9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1</v>
      </c>
      <c r="R383" s="1">
        <v>0</v>
      </c>
      <c r="S383" s="1">
        <v>0</v>
      </c>
      <c r="T383" s="1" t="s">
        <v>40</v>
      </c>
      <c r="U383" s="1">
        <v>1</v>
      </c>
    </row>
    <row r="384" spans="1:21" x14ac:dyDescent="0.3">
      <c r="A384" t="s">
        <v>514</v>
      </c>
      <c r="B384" t="s">
        <v>37</v>
      </c>
      <c r="C384" t="s">
        <v>305</v>
      </c>
      <c r="D384" t="s">
        <v>306</v>
      </c>
      <c r="E384" s="1">
        <v>24.04</v>
      </c>
      <c r="F384" s="1" t="s">
        <v>25</v>
      </c>
      <c r="G384" s="1">
        <v>3</v>
      </c>
      <c r="H384" s="1">
        <v>3</v>
      </c>
      <c r="I384" s="1">
        <v>270</v>
      </c>
      <c r="J384" s="1">
        <v>3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 t="s">
        <v>26</v>
      </c>
      <c r="U384" s="1">
        <v>0</v>
      </c>
    </row>
    <row r="385" spans="1:21" x14ac:dyDescent="0.3">
      <c r="A385" t="s">
        <v>515</v>
      </c>
      <c r="B385" t="s">
        <v>37</v>
      </c>
      <c r="C385" t="s">
        <v>1146</v>
      </c>
      <c r="D385" t="s">
        <v>1148</v>
      </c>
      <c r="E385" s="1">
        <v>34.61</v>
      </c>
      <c r="F385" s="1" t="s">
        <v>44</v>
      </c>
      <c r="G385" s="1">
        <v>2</v>
      </c>
      <c r="H385" s="1">
        <v>2</v>
      </c>
      <c r="I385" s="1">
        <v>180</v>
      </c>
      <c r="J385" s="1">
        <v>2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 t="s">
        <v>26</v>
      </c>
      <c r="U385" s="1">
        <v>0</v>
      </c>
    </row>
    <row r="386" spans="1:21" x14ac:dyDescent="0.3">
      <c r="A386" t="s">
        <v>516</v>
      </c>
      <c r="B386" t="s">
        <v>31</v>
      </c>
      <c r="C386" t="s">
        <v>174</v>
      </c>
      <c r="D386" t="s">
        <v>175</v>
      </c>
      <c r="E386" s="1">
        <v>24.12</v>
      </c>
      <c r="F386" s="1" t="s">
        <v>25</v>
      </c>
      <c r="G386" s="1">
        <v>1</v>
      </c>
      <c r="H386" s="1">
        <v>1</v>
      </c>
      <c r="I386" s="1">
        <v>45</v>
      </c>
      <c r="J386" s="1">
        <v>0.5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 t="s">
        <v>26</v>
      </c>
      <c r="U386" s="1">
        <v>0</v>
      </c>
    </row>
    <row r="387" spans="1:21" x14ac:dyDescent="0.3">
      <c r="A387" t="s">
        <v>517</v>
      </c>
      <c r="B387" t="s">
        <v>37</v>
      </c>
      <c r="C387" t="s">
        <v>32</v>
      </c>
      <c r="D387" t="s">
        <v>33</v>
      </c>
      <c r="E387" s="1">
        <v>30.43</v>
      </c>
      <c r="F387" s="1" t="s">
        <v>39</v>
      </c>
      <c r="G387" s="1">
        <v>3</v>
      </c>
      <c r="H387" s="1">
        <v>3</v>
      </c>
      <c r="I387" s="1">
        <v>270</v>
      </c>
      <c r="J387" s="1">
        <v>3</v>
      </c>
      <c r="K387" s="1">
        <v>0</v>
      </c>
      <c r="L387" s="1">
        <v>1</v>
      </c>
      <c r="M387" s="1">
        <v>1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 t="s">
        <v>26</v>
      </c>
      <c r="U387" s="1">
        <v>0</v>
      </c>
    </row>
    <row r="388" spans="1:21" x14ac:dyDescent="0.3">
      <c r="A388" t="s">
        <v>518</v>
      </c>
      <c r="B388" t="s">
        <v>37</v>
      </c>
      <c r="C388" t="s">
        <v>46</v>
      </c>
      <c r="D388" t="s">
        <v>47</v>
      </c>
      <c r="E388" s="1">
        <v>26.36</v>
      </c>
      <c r="F388" s="1" t="s">
        <v>25</v>
      </c>
      <c r="G388" s="1">
        <v>3</v>
      </c>
      <c r="H388" s="1">
        <v>2</v>
      </c>
      <c r="I388" s="1">
        <v>188</v>
      </c>
      <c r="J388" s="1">
        <v>2.1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 t="s">
        <v>40</v>
      </c>
      <c r="U388" s="1">
        <v>1</v>
      </c>
    </row>
    <row r="389" spans="1:21" x14ac:dyDescent="0.3">
      <c r="A389" t="s">
        <v>519</v>
      </c>
      <c r="B389" t="s">
        <v>37</v>
      </c>
      <c r="C389" t="s">
        <v>133</v>
      </c>
      <c r="D389" t="s">
        <v>134</v>
      </c>
      <c r="E389" s="1">
        <v>27.51</v>
      </c>
      <c r="F389" s="1" t="s">
        <v>39</v>
      </c>
      <c r="G389" s="1">
        <v>2</v>
      </c>
      <c r="H389" s="1">
        <v>1</v>
      </c>
      <c r="I389" s="1">
        <v>90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 t="s">
        <v>40</v>
      </c>
      <c r="U389" s="1">
        <v>1</v>
      </c>
    </row>
    <row r="390" spans="1:21" x14ac:dyDescent="0.3">
      <c r="A390" t="s">
        <v>520</v>
      </c>
      <c r="B390" t="s">
        <v>22</v>
      </c>
      <c r="C390" t="s">
        <v>156</v>
      </c>
      <c r="D390" t="s">
        <v>157</v>
      </c>
      <c r="E390" s="1">
        <v>26.4</v>
      </c>
      <c r="F390" s="1" t="s">
        <v>25</v>
      </c>
      <c r="G390" s="1">
        <v>3</v>
      </c>
      <c r="H390" s="1">
        <v>3</v>
      </c>
      <c r="I390" s="1">
        <v>267</v>
      </c>
      <c r="J390" s="1">
        <v>3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1</v>
      </c>
      <c r="R390" s="1">
        <v>0</v>
      </c>
      <c r="S390" s="1">
        <v>0</v>
      </c>
      <c r="T390" s="1" t="s">
        <v>26</v>
      </c>
      <c r="U390" s="1">
        <v>0</v>
      </c>
    </row>
    <row r="391" spans="1:21" x14ac:dyDescent="0.3">
      <c r="A391" t="s">
        <v>521</v>
      </c>
      <c r="B391" t="s">
        <v>37</v>
      </c>
      <c r="C391" t="s">
        <v>125</v>
      </c>
      <c r="D391" t="s">
        <v>126</v>
      </c>
      <c r="E391" s="1">
        <v>27.87</v>
      </c>
      <c r="F391" s="1" t="s">
        <v>39</v>
      </c>
      <c r="G391" s="1">
        <v>3</v>
      </c>
      <c r="H391" s="1">
        <v>3</v>
      </c>
      <c r="I391" s="1">
        <v>270</v>
      </c>
      <c r="J391" s="1">
        <v>3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 t="s">
        <v>26</v>
      </c>
      <c r="U391" s="1">
        <v>0</v>
      </c>
    </row>
    <row r="392" spans="1:21" x14ac:dyDescent="0.3">
      <c r="A392" t="s">
        <v>522</v>
      </c>
      <c r="B392" t="s">
        <v>61</v>
      </c>
      <c r="C392" t="s">
        <v>125</v>
      </c>
      <c r="D392" t="s">
        <v>126</v>
      </c>
      <c r="E392" s="1">
        <v>35.119999999999997</v>
      </c>
      <c r="F392" s="1" t="s">
        <v>74</v>
      </c>
      <c r="G392" s="1">
        <v>2</v>
      </c>
      <c r="H392" s="1">
        <v>1</v>
      </c>
      <c r="I392" s="1">
        <v>135</v>
      </c>
      <c r="J392" s="1">
        <v>1.5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 t="s">
        <v>40</v>
      </c>
      <c r="U392" s="1">
        <v>1</v>
      </c>
    </row>
    <row r="393" spans="1:21" x14ac:dyDescent="0.3">
      <c r="A393" t="s">
        <v>523</v>
      </c>
      <c r="B393" t="s">
        <v>22</v>
      </c>
      <c r="C393" t="s">
        <v>52</v>
      </c>
      <c r="D393" t="s">
        <v>53</v>
      </c>
      <c r="E393" s="1">
        <v>36.49</v>
      </c>
      <c r="F393" s="1" t="s">
        <v>74</v>
      </c>
      <c r="G393" s="1">
        <v>1</v>
      </c>
      <c r="H393" s="1">
        <v>0</v>
      </c>
      <c r="I393" s="1">
        <v>45</v>
      </c>
      <c r="J393" s="1">
        <v>0.5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 t="s">
        <v>35</v>
      </c>
      <c r="U393" s="1">
        <v>1</v>
      </c>
    </row>
    <row r="394" spans="1:21" x14ac:dyDescent="0.3">
      <c r="A394" t="s">
        <v>524</v>
      </c>
      <c r="B394" t="s">
        <v>37</v>
      </c>
      <c r="C394" t="s">
        <v>101</v>
      </c>
      <c r="D394" t="s">
        <v>102</v>
      </c>
      <c r="E394" s="1">
        <v>20.309999999999999</v>
      </c>
      <c r="F394" s="1" t="s">
        <v>34</v>
      </c>
      <c r="G394" s="1">
        <v>1</v>
      </c>
      <c r="H394" s="1">
        <v>0</v>
      </c>
      <c r="I394" s="1">
        <v>35</v>
      </c>
      <c r="J394" s="1">
        <v>0.4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 t="s">
        <v>35</v>
      </c>
      <c r="U394" s="1">
        <v>1</v>
      </c>
    </row>
    <row r="395" spans="1:21" x14ac:dyDescent="0.3">
      <c r="A395" t="s">
        <v>525</v>
      </c>
      <c r="B395" t="s">
        <v>31</v>
      </c>
      <c r="C395" t="s">
        <v>159</v>
      </c>
      <c r="D395" t="s">
        <v>160</v>
      </c>
      <c r="E395" s="1">
        <v>27.05</v>
      </c>
      <c r="F395" s="1" t="s">
        <v>39</v>
      </c>
      <c r="G395" s="1">
        <v>4</v>
      </c>
      <c r="H395" s="1">
        <v>4</v>
      </c>
      <c r="I395" s="1">
        <v>353</v>
      </c>
      <c r="J395" s="1">
        <v>3.9</v>
      </c>
      <c r="K395" s="1">
        <v>3</v>
      </c>
      <c r="L395" s="1">
        <v>0</v>
      </c>
      <c r="M395" s="1">
        <v>3</v>
      </c>
      <c r="N395" s="1">
        <v>2</v>
      </c>
      <c r="O395" s="1">
        <v>1</v>
      </c>
      <c r="P395" s="1">
        <v>1</v>
      </c>
      <c r="Q395" s="1">
        <v>1</v>
      </c>
      <c r="R395" s="1">
        <v>0</v>
      </c>
      <c r="S395" s="1">
        <v>0.76900000000000002</v>
      </c>
      <c r="T395" s="1" t="s">
        <v>26</v>
      </c>
      <c r="U395" s="1">
        <v>0</v>
      </c>
    </row>
    <row r="396" spans="1:21" x14ac:dyDescent="0.3">
      <c r="A396" t="s">
        <v>526</v>
      </c>
      <c r="B396" t="s">
        <v>22</v>
      </c>
      <c r="C396" t="s">
        <v>52</v>
      </c>
      <c r="D396" t="s">
        <v>53</v>
      </c>
      <c r="E396" s="1">
        <v>35.549999999999997</v>
      </c>
      <c r="F396" s="1" t="s">
        <v>74</v>
      </c>
      <c r="G396" s="1">
        <v>2</v>
      </c>
      <c r="H396" s="1">
        <v>1</v>
      </c>
      <c r="I396" s="1">
        <v>57</v>
      </c>
      <c r="J396" s="1">
        <v>0.6</v>
      </c>
      <c r="K396" s="1">
        <v>1</v>
      </c>
      <c r="L396" s="1">
        <v>0</v>
      </c>
      <c r="M396" s="1">
        <v>1</v>
      </c>
      <c r="N396" s="1">
        <v>1</v>
      </c>
      <c r="O396" s="1">
        <v>0</v>
      </c>
      <c r="P396" s="1">
        <v>0</v>
      </c>
      <c r="Q396" s="1">
        <v>0</v>
      </c>
      <c r="R396" s="1">
        <v>0</v>
      </c>
      <c r="S396" s="1">
        <v>1.667</v>
      </c>
      <c r="T396" s="1" t="s">
        <v>40</v>
      </c>
      <c r="U396" s="1">
        <v>1</v>
      </c>
    </row>
    <row r="397" spans="1:21" x14ac:dyDescent="0.3">
      <c r="A397" t="s">
        <v>527</v>
      </c>
      <c r="B397" t="s">
        <v>37</v>
      </c>
      <c r="C397" t="s">
        <v>101</v>
      </c>
      <c r="D397" t="s">
        <v>102</v>
      </c>
      <c r="E397" s="1">
        <v>26.06</v>
      </c>
      <c r="F397" s="1" t="s">
        <v>25</v>
      </c>
      <c r="G397" s="1">
        <v>4</v>
      </c>
      <c r="H397" s="1">
        <v>4</v>
      </c>
      <c r="I397" s="1">
        <v>390</v>
      </c>
      <c r="J397" s="1">
        <v>4.3</v>
      </c>
      <c r="K397" s="1">
        <v>1</v>
      </c>
      <c r="L397" s="1">
        <v>0</v>
      </c>
      <c r="M397" s="1">
        <v>1</v>
      </c>
      <c r="N397" s="1">
        <v>1</v>
      </c>
      <c r="O397" s="1">
        <v>0</v>
      </c>
      <c r="P397" s="1">
        <v>0</v>
      </c>
      <c r="Q397" s="1">
        <v>0</v>
      </c>
      <c r="R397" s="1">
        <v>0</v>
      </c>
      <c r="S397" s="1">
        <v>0.23300000000000001</v>
      </c>
      <c r="T397" s="1" t="s">
        <v>26</v>
      </c>
      <c r="U397" s="1">
        <v>0</v>
      </c>
    </row>
    <row r="398" spans="1:21" x14ac:dyDescent="0.3">
      <c r="A398" t="s">
        <v>528</v>
      </c>
      <c r="B398" t="s">
        <v>31</v>
      </c>
      <c r="C398" t="s">
        <v>305</v>
      </c>
      <c r="D398" t="s">
        <v>306</v>
      </c>
      <c r="E398" s="1">
        <v>30.42</v>
      </c>
      <c r="F398" s="1" t="s">
        <v>39</v>
      </c>
      <c r="G398" s="1">
        <v>3</v>
      </c>
      <c r="H398" s="1">
        <v>1</v>
      </c>
      <c r="I398" s="1">
        <v>108</v>
      </c>
      <c r="J398" s="1">
        <v>1.2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 t="s">
        <v>40</v>
      </c>
      <c r="U398" s="1">
        <v>2</v>
      </c>
    </row>
    <row r="399" spans="1:21" x14ac:dyDescent="0.3">
      <c r="A399" t="s">
        <v>529</v>
      </c>
      <c r="B399" t="s">
        <v>37</v>
      </c>
      <c r="C399" t="s">
        <v>28</v>
      </c>
      <c r="D399" t="s">
        <v>29</v>
      </c>
      <c r="E399" s="1">
        <v>27.46</v>
      </c>
      <c r="F399" s="1" t="s">
        <v>39</v>
      </c>
      <c r="G399" s="1">
        <v>2</v>
      </c>
      <c r="H399" s="1">
        <v>2</v>
      </c>
      <c r="I399" s="1">
        <v>173</v>
      </c>
      <c r="J399" s="1">
        <v>1.9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 t="s">
        <v>26</v>
      </c>
      <c r="U399" s="1">
        <v>0</v>
      </c>
    </row>
    <row r="400" spans="1:21" x14ac:dyDescent="0.3">
      <c r="A400" t="s">
        <v>530</v>
      </c>
      <c r="B400" t="s">
        <v>22</v>
      </c>
      <c r="C400" t="s">
        <v>46</v>
      </c>
      <c r="D400" t="s">
        <v>47</v>
      </c>
      <c r="E400" s="1">
        <v>30.57</v>
      </c>
      <c r="F400" s="1" t="s">
        <v>39</v>
      </c>
      <c r="G400" s="1">
        <v>2</v>
      </c>
      <c r="H400" s="1">
        <v>0</v>
      </c>
      <c r="I400" s="1">
        <v>32</v>
      </c>
      <c r="J400" s="1">
        <v>0.4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 t="s">
        <v>35</v>
      </c>
      <c r="U400" s="1">
        <v>2</v>
      </c>
    </row>
    <row r="401" spans="1:21" x14ac:dyDescent="0.3">
      <c r="A401" t="s">
        <v>531</v>
      </c>
      <c r="B401" t="s">
        <v>22</v>
      </c>
      <c r="C401" t="s">
        <v>1147</v>
      </c>
      <c r="D401" t="s">
        <v>1149</v>
      </c>
      <c r="E401" s="1">
        <v>36.04</v>
      </c>
      <c r="F401" s="1" t="s">
        <v>74</v>
      </c>
      <c r="G401" s="1">
        <v>1</v>
      </c>
      <c r="H401" s="1">
        <v>0</v>
      </c>
      <c r="I401" s="1">
        <v>7</v>
      </c>
      <c r="J401" s="1">
        <v>0.1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 t="s">
        <v>35</v>
      </c>
      <c r="U401" s="1">
        <v>1</v>
      </c>
    </row>
    <row r="402" spans="1:21" x14ac:dyDescent="0.3">
      <c r="A402" t="s">
        <v>532</v>
      </c>
      <c r="B402" t="s">
        <v>37</v>
      </c>
      <c r="C402" t="s">
        <v>1146</v>
      </c>
      <c r="D402" t="s">
        <v>1148</v>
      </c>
      <c r="E402" s="1">
        <v>31.15</v>
      </c>
      <c r="F402" s="1" t="s">
        <v>44</v>
      </c>
      <c r="G402" s="1">
        <v>3</v>
      </c>
      <c r="H402" s="1">
        <v>3</v>
      </c>
      <c r="I402" s="1">
        <v>270</v>
      </c>
      <c r="J402" s="1">
        <v>3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 t="s">
        <v>26</v>
      </c>
      <c r="U402" s="1">
        <v>0</v>
      </c>
    </row>
    <row r="403" spans="1:21" x14ac:dyDescent="0.3">
      <c r="A403" t="s">
        <v>533</v>
      </c>
      <c r="B403" t="s">
        <v>64</v>
      </c>
      <c r="C403" t="s">
        <v>136</v>
      </c>
      <c r="D403" t="s">
        <v>137</v>
      </c>
      <c r="E403" s="1">
        <v>25.49</v>
      </c>
      <c r="F403" s="1" t="s">
        <v>25</v>
      </c>
      <c r="G403" s="1">
        <v>1</v>
      </c>
      <c r="H403" s="1">
        <v>0</v>
      </c>
      <c r="I403" s="1">
        <v>29</v>
      </c>
      <c r="J403" s="1">
        <v>0.3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 t="s">
        <v>35</v>
      </c>
      <c r="U403" s="1">
        <v>1</v>
      </c>
    </row>
    <row r="404" spans="1:21" x14ac:dyDescent="0.3">
      <c r="A404" t="s">
        <v>534</v>
      </c>
      <c r="B404" t="s">
        <v>37</v>
      </c>
      <c r="C404" t="s">
        <v>107</v>
      </c>
      <c r="D404" t="s">
        <v>108</v>
      </c>
      <c r="E404" s="1">
        <v>28.73</v>
      </c>
      <c r="F404" s="1" t="s">
        <v>39</v>
      </c>
      <c r="G404" s="1">
        <v>2</v>
      </c>
      <c r="H404" s="1">
        <v>2</v>
      </c>
      <c r="I404" s="1">
        <v>180</v>
      </c>
      <c r="J404" s="1">
        <v>2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 t="s">
        <v>26</v>
      </c>
      <c r="U404" s="1">
        <v>0</v>
      </c>
    </row>
    <row r="405" spans="1:21" x14ac:dyDescent="0.3">
      <c r="A405" t="s">
        <v>535</v>
      </c>
      <c r="B405" t="s">
        <v>37</v>
      </c>
      <c r="C405" t="s">
        <v>231</v>
      </c>
      <c r="D405" t="s">
        <v>232</v>
      </c>
      <c r="E405" s="1">
        <v>18.82</v>
      </c>
      <c r="F405" s="1" t="s">
        <v>34</v>
      </c>
      <c r="G405" s="1">
        <v>1</v>
      </c>
      <c r="H405" s="1">
        <v>1</v>
      </c>
      <c r="I405" s="1">
        <v>90</v>
      </c>
      <c r="J405" s="1">
        <v>1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 t="s">
        <v>26</v>
      </c>
      <c r="U405" s="1">
        <v>0</v>
      </c>
    </row>
    <row r="406" spans="1:21" x14ac:dyDescent="0.3">
      <c r="A406" t="s">
        <v>536</v>
      </c>
      <c r="B406" t="s">
        <v>31</v>
      </c>
      <c r="C406" t="s">
        <v>305</v>
      </c>
      <c r="D406" t="s">
        <v>306</v>
      </c>
      <c r="E406" s="1">
        <v>33.979999999999997</v>
      </c>
      <c r="F406" s="1" t="s">
        <v>44</v>
      </c>
      <c r="G406" s="1">
        <v>3</v>
      </c>
      <c r="H406" s="1">
        <v>2</v>
      </c>
      <c r="I406" s="1">
        <v>169</v>
      </c>
      <c r="J406" s="1">
        <v>1.9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 t="s">
        <v>40</v>
      </c>
      <c r="U406" s="1">
        <v>1</v>
      </c>
    </row>
    <row r="407" spans="1:21" x14ac:dyDescent="0.3">
      <c r="A407" t="s">
        <v>537</v>
      </c>
      <c r="B407" t="s">
        <v>37</v>
      </c>
      <c r="C407" t="s">
        <v>1146</v>
      </c>
      <c r="D407" t="s">
        <v>1148</v>
      </c>
      <c r="E407" s="1">
        <v>24.05</v>
      </c>
      <c r="F407" s="1" t="s">
        <v>25</v>
      </c>
      <c r="G407" s="1">
        <v>1</v>
      </c>
      <c r="H407" s="1">
        <v>1</v>
      </c>
      <c r="I407" s="1">
        <v>74</v>
      </c>
      <c r="J407" s="1">
        <v>0.8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1</v>
      </c>
      <c r="R407" s="1">
        <v>0</v>
      </c>
      <c r="S407" s="1">
        <v>0</v>
      </c>
      <c r="T407" s="1" t="s">
        <v>26</v>
      </c>
      <c r="U407" s="1">
        <v>0</v>
      </c>
    </row>
    <row r="408" spans="1:21" x14ac:dyDescent="0.3">
      <c r="A408" t="s">
        <v>538</v>
      </c>
      <c r="B408" t="s">
        <v>37</v>
      </c>
      <c r="C408" t="s">
        <v>129</v>
      </c>
      <c r="D408" t="s">
        <v>130</v>
      </c>
      <c r="E408" s="1">
        <v>27.46</v>
      </c>
      <c r="F408" s="1" t="s">
        <v>39</v>
      </c>
      <c r="G408" s="1">
        <v>3</v>
      </c>
      <c r="H408" s="1">
        <v>3</v>
      </c>
      <c r="I408" s="1">
        <v>216</v>
      </c>
      <c r="J408" s="1">
        <v>2.4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0</v>
      </c>
      <c r="S408" s="1">
        <v>0</v>
      </c>
      <c r="T408" s="1" t="s">
        <v>26</v>
      </c>
      <c r="U408" s="1">
        <v>0</v>
      </c>
    </row>
    <row r="409" spans="1:21" x14ac:dyDescent="0.3">
      <c r="A409" t="s">
        <v>539</v>
      </c>
      <c r="B409" t="s">
        <v>37</v>
      </c>
      <c r="C409" t="s">
        <v>118</v>
      </c>
      <c r="D409" t="s">
        <v>119</v>
      </c>
      <c r="E409" s="1">
        <v>24.47</v>
      </c>
      <c r="F409" s="1" t="s">
        <v>25</v>
      </c>
      <c r="G409" s="1">
        <v>3</v>
      </c>
      <c r="H409" s="1">
        <v>3</v>
      </c>
      <c r="I409" s="1">
        <v>250</v>
      </c>
      <c r="J409" s="1">
        <v>2.8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R409" s="1">
        <v>0</v>
      </c>
      <c r="S409" s="1">
        <v>0</v>
      </c>
      <c r="T409" s="1" t="s">
        <v>26</v>
      </c>
      <c r="U409" s="1">
        <v>0</v>
      </c>
    </row>
    <row r="410" spans="1:21" x14ac:dyDescent="0.3">
      <c r="A410" t="s">
        <v>540</v>
      </c>
      <c r="B410" t="s">
        <v>31</v>
      </c>
      <c r="C410" t="s">
        <v>309</v>
      </c>
      <c r="D410" t="s">
        <v>310</v>
      </c>
      <c r="E410" s="1">
        <v>23.93</v>
      </c>
      <c r="F410" s="1" t="s">
        <v>25</v>
      </c>
      <c r="G410" s="1">
        <v>3</v>
      </c>
      <c r="H410" s="1">
        <v>2</v>
      </c>
      <c r="I410" s="1">
        <v>156</v>
      </c>
      <c r="J410" s="1">
        <v>1.7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 t="s">
        <v>40</v>
      </c>
      <c r="U410" s="1">
        <v>1</v>
      </c>
    </row>
    <row r="411" spans="1:21" x14ac:dyDescent="0.3">
      <c r="A411" t="s">
        <v>541</v>
      </c>
      <c r="B411" t="s">
        <v>37</v>
      </c>
      <c r="C411" t="s">
        <v>309</v>
      </c>
      <c r="D411" t="s">
        <v>310</v>
      </c>
      <c r="E411" s="1">
        <v>33.25</v>
      </c>
      <c r="F411" s="1" t="s">
        <v>44</v>
      </c>
      <c r="G411" s="1">
        <v>2</v>
      </c>
      <c r="H411" s="1">
        <v>2</v>
      </c>
      <c r="I411" s="1">
        <v>153</v>
      </c>
      <c r="J411" s="1">
        <v>1.7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 t="s">
        <v>26</v>
      </c>
      <c r="U411" s="1">
        <v>0</v>
      </c>
    </row>
    <row r="412" spans="1:21" x14ac:dyDescent="0.3">
      <c r="A412" t="s">
        <v>542</v>
      </c>
      <c r="B412" t="s">
        <v>31</v>
      </c>
      <c r="C412" t="s">
        <v>133</v>
      </c>
      <c r="D412" t="s">
        <v>134</v>
      </c>
      <c r="E412" s="1">
        <v>25.67</v>
      </c>
      <c r="F412" s="1" t="s">
        <v>25</v>
      </c>
      <c r="G412" s="1">
        <v>2</v>
      </c>
      <c r="H412" s="1">
        <v>0</v>
      </c>
      <c r="I412" s="1">
        <v>17</v>
      </c>
      <c r="J412" s="1">
        <v>0.2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 t="s">
        <v>35</v>
      </c>
      <c r="U412" s="1">
        <v>2</v>
      </c>
    </row>
    <row r="413" spans="1:21" x14ac:dyDescent="0.3">
      <c r="A413" t="s">
        <v>543</v>
      </c>
      <c r="B413" t="s">
        <v>37</v>
      </c>
      <c r="C413" t="s">
        <v>309</v>
      </c>
      <c r="D413" t="s">
        <v>310</v>
      </c>
      <c r="E413" s="1">
        <v>26.42</v>
      </c>
      <c r="F413" s="1" t="s">
        <v>25</v>
      </c>
      <c r="G413" s="1">
        <v>3</v>
      </c>
      <c r="H413" s="1">
        <v>3</v>
      </c>
      <c r="I413" s="1">
        <v>270</v>
      </c>
      <c r="J413" s="1">
        <v>3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 t="s">
        <v>26</v>
      </c>
      <c r="U413" s="1">
        <v>0</v>
      </c>
    </row>
    <row r="414" spans="1:21" x14ac:dyDescent="0.3">
      <c r="A414" t="s">
        <v>544</v>
      </c>
      <c r="B414" t="s">
        <v>22</v>
      </c>
      <c r="C414" t="s">
        <v>231</v>
      </c>
      <c r="D414" t="s">
        <v>232</v>
      </c>
      <c r="E414" s="1">
        <v>29.99</v>
      </c>
      <c r="F414" s="1" t="s">
        <v>39</v>
      </c>
      <c r="G414" s="1">
        <v>1</v>
      </c>
      <c r="H414" s="1">
        <v>0</v>
      </c>
      <c r="I414" s="1">
        <v>33</v>
      </c>
      <c r="J414" s="1">
        <v>0.4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 t="s">
        <v>35</v>
      </c>
      <c r="U414" s="1">
        <v>1</v>
      </c>
    </row>
    <row r="415" spans="1:21" x14ac:dyDescent="0.3">
      <c r="A415" t="s">
        <v>545</v>
      </c>
      <c r="B415" t="s">
        <v>64</v>
      </c>
      <c r="C415" t="s">
        <v>145</v>
      </c>
      <c r="D415" t="s">
        <v>146</v>
      </c>
      <c r="E415" s="1">
        <v>25.57</v>
      </c>
      <c r="F415" s="1" t="s">
        <v>25</v>
      </c>
      <c r="G415" s="1">
        <v>1</v>
      </c>
      <c r="H415" s="1">
        <v>0</v>
      </c>
      <c r="I415" s="1">
        <v>7</v>
      </c>
      <c r="J415" s="1">
        <v>0.1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 t="s">
        <v>35</v>
      </c>
      <c r="U415" s="1">
        <v>1</v>
      </c>
    </row>
    <row r="416" spans="1:21" x14ac:dyDescent="0.3">
      <c r="A416" t="s">
        <v>546</v>
      </c>
      <c r="B416" t="s">
        <v>22</v>
      </c>
      <c r="C416" t="s">
        <v>52</v>
      </c>
      <c r="D416" t="s">
        <v>53</v>
      </c>
      <c r="E416" s="1">
        <v>22.87</v>
      </c>
      <c r="F416" s="1" t="s">
        <v>34</v>
      </c>
      <c r="G416" s="1">
        <v>1</v>
      </c>
      <c r="H416" s="1">
        <v>0</v>
      </c>
      <c r="I416" s="1">
        <v>32</v>
      </c>
      <c r="J416" s="1">
        <v>0.4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 t="s">
        <v>35</v>
      </c>
      <c r="U416" s="1">
        <v>1</v>
      </c>
    </row>
    <row r="417" spans="1:21" x14ac:dyDescent="0.3">
      <c r="A417" t="s">
        <v>547</v>
      </c>
      <c r="B417" t="s">
        <v>31</v>
      </c>
      <c r="C417" t="s">
        <v>125</v>
      </c>
      <c r="D417" t="s">
        <v>126</v>
      </c>
      <c r="E417" s="1">
        <v>30.27</v>
      </c>
      <c r="F417" s="1" t="s">
        <v>39</v>
      </c>
      <c r="G417" s="1">
        <v>2</v>
      </c>
      <c r="H417" s="1">
        <v>2</v>
      </c>
      <c r="I417" s="1">
        <v>115</v>
      </c>
      <c r="J417" s="1">
        <v>1.3</v>
      </c>
      <c r="K417" s="1">
        <v>1</v>
      </c>
      <c r="L417" s="1">
        <v>0</v>
      </c>
      <c r="M417" s="1">
        <v>1</v>
      </c>
      <c r="N417" s="1">
        <v>1</v>
      </c>
      <c r="O417" s="1">
        <v>0</v>
      </c>
      <c r="P417" s="1">
        <v>0</v>
      </c>
      <c r="Q417" s="1">
        <v>0</v>
      </c>
      <c r="R417" s="1">
        <v>0</v>
      </c>
      <c r="S417" s="1">
        <v>0.76900000000000002</v>
      </c>
      <c r="T417" s="1" t="s">
        <v>26</v>
      </c>
      <c r="U417" s="1">
        <v>0</v>
      </c>
    </row>
    <row r="418" spans="1:21" x14ac:dyDescent="0.3">
      <c r="A418" t="s">
        <v>548</v>
      </c>
      <c r="B418" t="s">
        <v>31</v>
      </c>
      <c r="C418" t="s">
        <v>305</v>
      </c>
      <c r="D418" t="s">
        <v>306</v>
      </c>
      <c r="E418" s="1">
        <v>25.22</v>
      </c>
      <c r="F418" s="1" t="s">
        <v>25</v>
      </c>
      <c r="G418" s="1">
        <v>3</v>
      </c>
      <c r="H418" s="1">
        <v>1</v>
      </c>
      <c r="I418" s="1">
        <v>129</v>
      </c>
      <c r="J418" s="1">
        <v>1.4</v>
      </c>
      <c r="K418" s="1">
        <v>1</v>
      </c>
      <c r="L418" s="1">
        <v>0</v>
      </c>
      <c r="M418" s="1">
        <v>1</v>
      </c>
      <c r="N418" s="1">
        <v>1</v>
      </c>
      <c r="O418" s="1">
        <v>0</v>
      </c>
      <c r="P418" s="1">
        <v>0</v>
      </c>
      <c r="Q418" s="1">
        <v>0</v>
      </c>
      <c r="R418" s="1">
        <v>0</v>
      </c>
      <c r="S418" s="1">
        <v>0.71399999999999997</v>
      </c>
      <c r="T418" s="1" t="s">
        <v>40</v>
      </c>
      <c r="U418" s="1">
        <v>2</v>
      </c>
    </row>
    <row r="419" spans="1:21" x14ac:dyDescent="0.3">
      <c r="A419" t="s">
        <v>549</v>
      </c>
      <c r="B419" t="s">
        <v>64</v>
      </c>
      <c r="C419" t="s">
        <v>305</v>
      </c>
      <c r="D419" t="s">
        <v>306</v>
      </c>
      <c r="E419" s="1">
        <v>24.1</v>
      </c>
      <c r="F419" s="1" t="s">
        <v>25</v>
      </c>
      <c r="G419" s="1">
        <v>1</v>
      </c>
      <c r="H419" s="1">
        <v>0</v>
      </c>
      <c r="I419" s="1">
        <v>20</v>
      </c>
      <c r="J419" s="1">
        <v>0.2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 t="s">
        <v>35</v>
      </c>
      <c r="U419" s="1">
        <v>1</v>
      </c>
    </row>
    <row r="420" spans="1:21" x14ac:dyDescent="0.3">
      <c r="A420" t="s">
        <v>550</v>
      </c>
      <c r="B420" t="s">
        <v>37</v>
      </c>
      <c r="C420" t="s">
        <v>136</v>
      </c>
      <c r="D420" t="s">
        <v>137</v>
      </c>
      <c r="E420" s="1">
        <v>27.6</v>
      </c>
      <c r="F420" s="1" t="s">
        <v>39</v>
      </c>
      <c r="G420" s="1">
        <v>1</v>
      </c>
      <c r="H420" s="1">
        <v>1</v>
      </c>
      <c r="I420" s="1">
        <v>45</v>
      </c>
      <c r="J420" s="1">
        <v>0.5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1</v>
      </c>
      <c r="R420" s="1">
        <v>0</v>
      </c>
      <c r="S420" s="1">
        <v>0</v>
      </c>
      <c r="T420" s="1" t="s">
        <v>26</v>
      </c>
      <c r="U420" s="1">
        <v>0</v>
      </c>
    </row>
    <row r="421" spans="1:21" x14ac:dyDescent="0.3">
      <c r="A421" t="s">
        <v>551</v>
      </c>
      <c r="B421" t="s">
        <v>37</v>
      </c>
      <c r="C421" t="s">
        <v>32</v>
      </c>
      <c r="D421" t="s">
        <v>33</v>
      </c>
      <c r="E421" s="1">
        <v>33.380000000000003</v>
      </c>
      <c r="F421" s="1" t="s">
        <v>44</v>
      </c>
      <c r="G421" s="1">
        <v>3</v>
      </c>
      <c r="H421" s="1">
        <v>2</v>
      </c>
      <c r="I421" s="1">
        <v>257</v>
      </c>
      <c r="J421" s="1">
        <v>2.9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1</v>
      </c>
      <c r="R421" s="1">
        <v>0</v>
      </c>
      <c r="S421" s="1">
        <v>0</v>
      </c>
      <c r="T421" s="1" t="s">
        <v>40</v>
      </c>
      <c r="U421" s="1">
        <v>1</v>
      </c>
    </row>
    <row r="422" spans="1:21" x14ac:dyDescent="0.3">
      <c r="A422" t="s">
        <v>552</v>
      </c>
      <c r="B422" t="s">
        <v>22</v>
      </c>
      <c r="C422" t="s">
        <v>305</v>
      </c>
      <c r="D422" t="s">
        <v>306</v>
      </c>
      <c r="E422" s="1">
        <v>29.77</v>
      </c>
      <c r="F422" s="1" t="s">
        <v>39</v>
      </c>
      <c r="G422" s="1">
        <v>3</v>
      </c>
      <c r="H422" s="1">
        <v>3</v>
      </c>
      <c r="I422" s="1">
        <v>263</v>
      </c>
      <c r="J422" s="1">
        <v>2.9</v>
      </c>
      <c r="K422" s="1">
        <v>1</v>
      </c>
      <c r="L422" s="1">
        <v>1</v>
      </c>
      <c r="M422" s="1">
        <v>2</v>
      </c>
      <c r="N422" s="1">
        <v>1</v>
      </c>
      <c r="O422" s="1">
        <v>0</v>
      </c>
      <c r="P422" s="1">
        <v>0</v>
      </c>
      <c r="Q422" s="1">
        <v>0</v>
      </c>
      <c r="R422" s="1">
        <v>0</v>
      </c>
      <c r="S422" s="1">
        <v>0.34499999999999997</v>
      </c>
      <c r="T422" s="1" t="s">
        <v>26</v>
      </c>
      <c r="U422" s="1">
        <v>0</v>
      </c>
    </row>
    <row r="423" spans="1:21" x14ac:dyDescent="0.3">
      <c r="A423" t="s">
        <v>553</v>
      </c>
      <c r="B423" t="s">
        <v>22</v>
      </c>
      <c r="C423" t="s">
        <v>77</v>
      </c>
      <c r="D423" t="s">
        <v>78</v>
      </c>
      <c r="E423" s="1">
        <v>20.23</v>
      </c>
      <c r="F423" s="1" t="s">
        <v>34</v>
      </c>
      <c r="G423" s="1">
        <v>3</v>
      </c>
      <c r="H423" s="1">
        <v>1</v>
      </c>
      <c r="I423" s="1">
        <v>149</v>
      </c>
      <c r="J423" s="1">
        <v>1.7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 t="s">
        <v>40</v>
      </c>
      <c r="U423" s="1">
        <v>2</v>
      </c>
    </row>
    <row r="424" spans="1:21" x14ac:dyDescent="0.3">
      <c r="A424" t="s">
        <v>554</v>
      </c>
      <c r="B424" t="s">
        <v>22</v>
      </c>
      <c r="C424" t="s">
        <v>125</v>
      </c>
      <c r="D424" t="s">
        <v>126</v>
      </c>
      <c r="E424" s="1">
        <v>23.18</v>
      </c>
      <c r="F424" s="1" t="s">
        <v>25</v>
      </c>
      <c r="G424" s="1">
        <v>3</v>
      </c>
      <c r="H424" s="1">
        <v>2</v>
      </c>
      <c r="I424" s="1">
        <v>188</v>
      </c>
      <c r="J424" s="1">
        <v>2.1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 t="s">
        <v>40</v>
      </c>
      <c r="U424" s="1">
        <v>1</v>
      </c>
    </row>
    <row r="425" spans="1:21" x14ac:dyDescent="0.3">
      <c r="A425" t="s">
        <v>555</v>
      </c>
      <c r="B425" t="s">
        <v>83</v>
      </c>
      <c r="C425" t="s">
        <v>231</v>
      </c>
      <c r="D425" t="s">
        <v>232</v>
      </c>
      <c r="E425" s="1">
        <v>20.39</v>
      </c>
      <c r="F425" s="1" t="s">
        <v>34</v>
      </c>
      <c r="G425" s="1">
        <v>3</v>
      </c>
      <c r="H425" s="1">
        <v>2</v>
      </c>
      <c r="I425" s="1">
        <v>188</v>
      </c>
      <c r="J425" s="1">
        <v>2.1</v>
      </c>
      <c r="K425" s="1">
        <v>1</v>
      </c>
      <c r="L425" s="1">
        <v>0</v>
      </c>
      <c r="M425" s="1">
        <v>1</v>
      </c>
      <c r="N425" s="1">
        <v>1</v>
      </c>
      <c r="O425" s="1">
        <v>0</v>
      </c>
      <c r="P425" s="1">
        <v>0</v>
      </c>
      <c r="Q425" s="1">
        <v>0</v>
      </c>
      <c r="R425" s="1">
        <v>0</v>
      </c>
      <c r="S425" s="1">
        <v>0.47599999999999998</v>
      </c>
      <c r="T425" s="1" t="s">
        <v>40</v>
      </c>
      <c r="U425" s="1">
        <v>1</v>
      </c>
    </row>
    <row r="426" spans="1:21" x14ac:dyDescent="0.3">
      <c r="A426" t="s">
        <v>556</v>
      </c>
      <c r="B426" t="s">
        <v>22</v>
      </c>
      <c r="C426" t="s">
        <v>231</v>
      </c>
      <c r="D426" t="s">
        <v>232</v>
      </c>
      <c r="E426" s="1">
        <v>33.31</v>
      </c>
      <c r="F426" s="1" t="s">
        <v>44</v>
      </c>
      <c r="G426" s="1">
        <v>3</v>
      </c>
      <c r="H426" s="1">
        <v>1</v>
      </c>
      <c r="I426" s="1">
        <v>103</v>
      </c>
      <c r="J426" s="1">
        <v>1.1000000000000001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1</v>
      </c>
      <c r="R426" s="1">
        <v>0</v>
      </c>
      <c r="S426" s="1">
        <v>0</v>
      </c>
      <c r="T426" s="1" t="s">
        <v>40</v>
      </c>
      <c r="U426" s="1">
        <v>2</v>
      </c>
    </row>
    <row r="427" spans="1:21" x14ac:dyDescent="0.3">
      <c r="A427" t="s">
        <v>557</v>
      </c>
      <c r="B427" t="s">
        <v>31</v>
      </c>
      <c r="C427" t="s">
        <v>129</v>
      </c>
      <c r="D427" t="s">
        <v>130</v>
      </c>
      <c r="E427" s="1">
        <v>26.77</v>
      </c>
      <c r="F427" s="1" t="s">
        <v>25</v>
      </c>
      <c r="G427" s="1">
        <v>3</v>
      </c>
      <c r="H427" s="1">
        <v>3</v>
      </c>
      <c r="I427" s="1">
        <v>269</v>
      </c>
      <c r="J427" s="1">
        <v>3</v>
      </c>
      <c r="K427" s="1">
        <v>1</v>
      </c>
      <c r="L427" s="1">
        <v>3</v>
      </c>
      <c r="M427" s="1">
        <v>4</v>
      </c>
      <c r="N427" s="1">
        <v>1</v>
      </c>
      <c r="O427" s="1">
        <v>0</v>
      </c>
      <c r="P427" s="1">
        <v>0</v>
      </c>
      <c r="Q427" s="1">
        <v>0</v>
      </c>
      <c r="R427" s="1">
        <v>0</v>
      </c>
      <c r="S427" s="1">
        <v>0.33300000000000002</v>
      </c>
      <c r="T427" s="1" t="s">
        <v>26</v>
      </c>
      <c r="U427" s="1">
        <v>0</v>
      </c>
    </row>
    <row r="428" spans="1:21" x14ac:dyDescent="0.3">
      <c r="A428" t="s">
        <v>558</v>
      </c>
      <c r="B428" t="s">
        <v>31</v>
      </c>
      <c r="C428" t="s">
        <v>72</v>
      </c>
      <c r="D428" t="s">
        <v>73</v>
      </c>
      <c r="E428" s="1">
        <v>25.84</v>
      </c>
      <c r="F428" s="1" t="s">
        <v>25</v>
      </c>
      <c r="G428" s="1">
        <v>3</v>
      </c>
      <c r="H428" s="1">
        <v>2</v>
      </c>
      <c r="I428" s="1">
        <v>186</v>
      </c>
      <c r="J428" s="1">
        <v>2.1</v>
      </c>
      <c r="K428" s="1">
        <v>1</v>
      </c>
      <c r="L428" s="1">
        <v>0</v>
      </c>
      <c r="M428" s="1">
        <v>1</v>
      </c>
      <c r="N428" s="1">
        <v>1</v>
      </c>
      <c r="O428" s="1">
        <v>0</v>
      </c>
      <c r="P428" s="1">
        <v>0</v>
      </c>
      <c r="Q428" s="1">
        <v>0</v>
      </c>
      <c r="R428" s="1">
        <v>0</v>
      </c>
      <c r="S428" s="1">
        <v>0.47599999999999998</v>
      </c>
      <c r="T428" s="1" t="s">
        <v>40</v>
      </c>
      <c r="U428" s="1">
        <v>1</v>
      </c>
    </row>
    <row r="429" spans="1:21" x14ac:dyDescent="0.3">
      <c r="A429" t="s">
        <v>559</v>
      </c>
      <c r="B429" t="s">
        <v>64</v>
      </c>
      <c r="C429" t="s">
        <v>49</v>
      </c>
      <c r="D429" t="s">
        <v>50</v>
      </c>
      <c r="E429" s="1">
        <v>32.700000000000003</v>
      </c>
      <c r="F429" s="1" t="s">
        <v>44</v>
      </c>
      <c r="G429" s="1">
        <v>1</v>
      </c>
      <c r="H429" s="1">
        <v>0</v>
      </c>
      <c r="I429" s="1">
        <v>9</v>
      </c>
      <c r="J429" s="1">
        <v>0.1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 t="s">
        <v>35</v>
      </c>
      <c r="U429" s="1">
        <v>1</v>
      </c>
    </row>
    <row r="430" spans="1:21" x14ac:dyDescent="0.3">
      <c r="A430" t="s">
        <v>560</v>
      </c>
      <c r="B430" t="s">
        <v>22</v>
      </c>
      <c r="C430" t="s">
        <v>125</v>
      </c>
      <c r="D430" t="s">
        <v>126</v>
      </c>
      <c r="E430" s="1">
        <v>24.49</v>
      </c>
      <c r="F430" s="1" t="s">
        <v>25</v>
      </c>
      <c r="G430" s="1">
        <v>2</v>
      </c>
      <c r="H430" s="1">
        <v>2</v>
      </c>
      <c r="I430" s="1">
        <v>117</v>
      </c>
      <c r="J430" s="1">
        <v>1.3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 t="s">
        <v>26</v>
      </c>
      <c r="U430" s="1">
        <v>0</v>
      </c>
    </row>
    <row r="431" spans="1:21" x14ac:dyDescent="0.3">
      <c r="A431" t="s">
        <v>561</v>
      </c>
      <c r="B431" t="s">
        <v>37</v>
      </c>
      <c r="C431" t="s">
        <v>391</v>
      </c>
      <c r="D431" t="s">
        <v>392</v>
      </c>
      <c r="E431" s="1">
        <v>29.42</v>
      </c>
      <c r="F431" s="1" t="s">
        <v>39</v>
      </c>
      <c r="G431" s="1">
        <v>2</v>
      </c>
      <c r="H431" s="1">
        <v>2</v>
      </c>
      <c r="I431" s="1">
        <v>128</v>
      </c>
      <c r="J431" s="1">
        <v>1.4</v>
      </c>
      <c r="K431" s="1">
        <v>0</v>
      </c>
      <c r="L431" s="1">
        <v>1</v>
      </c>
      <c r="M431" s="1">
        <v>1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 t="s">
        <v>26</v>
      </c>
      <c r="U431" s="1">
        <v>0</v>
      </c>
    </row>
    <row r="432" spans="1:21" x14ac:dyDescent="0.3">
      <c r="A432" t="s">
        <v>562</v>
      </c>
      <c r="B432" t="s">
        <v>37</v>
      </c>
      <c r="C432" t="s">
        <v>231</v>
      </c>
      <c r="D432" t="s">
        <v>232</v>
      </c>
      <c r="E432" s="1">
        <v>24.92</v>
      </c>
      <c r="F432" s="1" t="s">
        <v>25</v>
      </c>
      <c r="G432" s="1">
        <v>2</v>
      </c>
      <c r="H432" s="1">
        <v>2</v>
      </c>
      <c r="I432" s="1">
        <v>163</v>
      </c>
      <c r="J432" s="1">
        <v>1.8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1</v>
      </c>
      <c r="R432" s="1">
        <v>0</v>
      </c>
      <c r="S432" s="1">
        <v>0</v>
      </c>
      <c r="T432" s="1" t="s">
        <v>26</v>
      </c>
      <c r="U432" s="1">
        <v>0</v>
      </c>
    </row>
    <row r="433" spans="1:21" x14ac:dyDescent="0.3">
      <c r="A433" t="s">
        <v>563</v>
      </c>
      <c r="B433" t="s">
        <v>37</v>
      </c>
      <c r="C433" t="s">
        <v>391</v>
      </c>
      <c r="D433" t="s">
        <v>392</v>
      </c>
      <c r="E433" s="1">
        <v>27.13</v>
      </c>
      <c r="F433" s="1" t="s">
        <v>39</v>
      </c>
      <c r="G433" s="1">
        <v>4</v>
      </c>
      <c r="H433" s="1">
        <v>4</v>
      </c>
      <c r="I433" s="1">
        <v>360</v>
      </c>
      <c r="J433" s="1">
        <v>4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 t="s">
        <v>26</v>
      </c>
      <c r="U433" s="1">
        <v>0</v>
      </c>
    </row>
    <row r="434" spans="1:21" x14ac:dyDescent="0.3">
      <c r="A434" t="s">
        <v>564</v>
      </c>
      <c r="B434" t="s">
        <v>22</v>
      </c>
      <c r="C434" t="s">
        <v>391</v>
      </c>
      <c r="D434" t="s">
        <v>392</v>
      </c>
      <c r="E434" s="1">
        <v>33.31</v>
      </c>
      <c r="F434" s="1" t="s">
        <v>44</v>
      </c>
      <c r="G434" s="1">
        <v>4</v>
      </c>
      <c r="H434" s="1">
        <v>2</v>
      </c>
      <c r="I434" s="1">
        <v>216</v>
      </c>
      <c r="J434" s="1">
        <v>2.4</v>
      </c>
      <c r="K434" s="1">
        <v>1</v>
      </c>
      <c r="L434" s="1">
        <v>0</v>
      </c>
      <c r="M434" s="1">
        <v>1</v>
      </c>
      <c r="N434" s="1">
        <v>1</v>
      </c>
      <c r="O434" s="1">
        <v>0</v>
      </c>
      <c r="P434" s="1">
        <v>0</v>
      </c>
      <c r="Q434" s="1">
        <v>0</v>
      </c>
      <c r="R434" s="1">
        <v>0</v>
      </c>
      <c r="S434" s="1">
        <v>0.41699999999999998</v>
      </c>
      <c r="T434" s="1" t="s">
        <v>40</v>
      </c>
      <c r="U434" s="1">
        <v>2</v>
      </c>
    </row>
    <row r="435" spans="1:21" x14ac:dyDescent="0.3">
      <c r="A435" t="s">
        <v>565</v>
      </c>
      <c r="B435" t="s">
        <v>64</v>
      </c>
      <c r="C435" t="s">
        <v>84</v>
      </c>
      <c r="D435" t="s">
        <v>85</v>
      </c>
      <c r="E435" s="1">
        <v>29.51</v>
      </c>
      <c r="F435" s="1" t="s">
        <v>39</v>
      </c>
      <c r="G435" s="1">
        <v>2</v>
      </c>
      <c r="H435" s="1">
        <v>0</v>
      </c>
      <c r="I435" s="1">
        <v>8</v>
      </c>
      <c r="J435" s="1">
        <v>0.1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 t="s">
        <v>35</v>
      </c>
      <c r="U435" s="1">
        <v>2</v>
      </c>
    </row>
    <row r="436" spans="1:21" x14ac:dyDescent="0.3">
      <c r="A436" t="s">
        <v>566</v>
      </c>
      <c r="B436" t="s">
        <v>31</v>
      </c>
      <c r="C436" t="s">
        <v>291</v>
      </c>
      <c r="D436" t="s">
        <v>292</v>
      </c>
      <c r="E436" s="1">
        <v>25.03</v>
      </c>
      <c r="F436" s="1" t="s">
        <v>25</v>
      </c>
      <c r="G436" s="1">
        <v>3</v>
      </c>
      <c r="H436" s="1">
        <v>2</v>
      </c>
      <c r="I436" s="1">
        <v>206</v>
      </c>
      <c r="J436" s="1">
        <v>2.2999999999999998</v>
      </c>
      <c r="K436" s="1">
        <v>0</v>
      </c>
      <c r="L436" s="1">
        <v>1</v>
      </c>
      <c r="M436" s="1">
        <v>1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 t="s">
        <v>40</v>
      </c>
      <c r="U436" s="1">
        <v>1</v>
      </c>
    </row>
    <row r="437" spans="1:21" x14ac:dyDescent="0.3">
      <c r="A437" t="s">
        <v>567</v>
      </c>
      <c r="B437" t="s">
        <v>31</v>
      </c>
      <c r="C437" t="s">
        <v>305</v>
      </c>
      <c r="D437" t="s">
        <v>306</v>
      </c>
      <c r="E437" s="1">
        <v>33.89</v>
      </c>
      <c r="F437" s="1" t="s">
        <v>44</v>
      </c>
      <c r="G437" s="1">
        <v>2</v>
      </c>
      <c r="H437" s="1">
        <v>2</v>
      </c>
      <c r="I437" s="1">
        <v>117</v>
      </c>
      <c r="J437" s="1">
        <v>1.3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 t="s">
        <v>26</v>
      </c>
      <c r="U437" s="1">
        <v>0</v>
      </c>
    </row>
    <row r="438" spans="1:21" x14ac:dyDescent="0.3">
      <c r="A438" t="s">
        <v>568</v>
      </c>
      <c r="B438" t="s">
        <v>64</v>
      </c>
      <c r="C438" t="s">
        <v>133</v>
      </c>
      <c r="D438" t="s">
        <v>134</v>
      </c>
      <c r="E438" s="1">
        <v>32.880000000000003</v>
      </c>
      <c r="F438" s="1" t="s">
        <v>44</v>
      </c>
      <c r="G438" s="1">
        <v>2</v>
      </c>
      <c r="H438" s="1">
        <v>0</v>
      </c>
      <c r="I438" s="1">
        <v>46</v>
      </c>
      <c r="J438" s="1">
        <v>0.5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 t="s">
        <v>35</v>
      </c>
      <c r="U438" s="1">
        <v>2</v>
      </c>
    </row>
    <row r="439" spans="1:21" x14ac:dyDescent="0.3">
      <c r="A439" t="s">
        <v>569</v>
      </c>
      <c r="B439" t="s">
        <v>37</v>
      </c>
      <c r="C439" t="s">
        <v>291</v>
      </c>
      <c r="D439" t="s">
        <v>292</v>
      </c>
      <c r="E439" s="1">
        <v>26.87</v>
      </c>
      <c r="F439" s="1" t="s">
        <v>25</v>
      </c>
      <c r="G439" s="1">
        <v>2</v>
      </c>
      <c r="H439" s="1">
        <v>1</v>
      </c>
      <c r="I439" s="1">
        <v>127</v>
      </c>
      <c r="J439" s="1">
        <v>1.4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 t="s">
        <v>40</v>
      </c>
      <c r="U439" s="1">
        <v>1</v>
      </c>
    </row>
    <row r="440" spans="1:21" x14ac:dyDescent="0.3">
      <c r="A440" t="s">
        <v>570</v>
      </c>
      <c r="B440" t="s">
        <v>37</v>
      </c>
      <c r="C440" t="s">
        <v>1147</v>
      </c>
      <c r="D440" t="s">
        <v>1149</v>
      </c>
      <c r="E440" s="1">
        <v>26.56</v>
      </c>
      <c r="F440" s="1" t="s">
        <v>25</v>
      </c>
      <c r="G440" s="1">
        <v>2</v>
      </c>
      <c r="H440" s="1">
        <v>2</v>
      </c>
      <c r="I440" s="1">
        <v>180</v>
      </c>
      <c r="J440" s="1">
        <v>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 t="s">
        <v>26</v>
      </c>
      <c r="U440" s="1">
        <v>0</v>
      </c>
    </row>
    <row r="441" spans="1:21" x14ac:dyDescent="0.3">
      <c r="A441" t="s">
        <v>571</v>
      </c>
      <c r="B441" t="s">
        <v>22</v>
      </c>
      <c r="C441" t="s">
        <v>55</v>
      </c>
      <c r="D441" t="s">
        <v>56</v>
      </c>
      <c r="E441" s="1">
        <v>23.99</v>
      </c>
      <c r="F441" s="1" t="s">
        <v>25</v>
      </c>
      <c r="G441" s="1">
        <v>1</v>
      </c>
      <c r="H441" s="1">
        <v>0</v>
      </c>
      <c r="I441" s="1">
        <v>15</v>
      </c>
      <c r="J441" s="1">
        <v>0.2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 t="s">
        <v>35</v>
      </c>
      <c r="U441" s="1">
        <v>1</v>
      </c>
    </row>
    <row r="442" spans="1:21" x14ac:dyDescent="0.3">
      <c r="A442" t="s">
        <v>572</v>
      </c>
      <c r="B442" t="s">
        <v>37</v>
      </c>
      <c r="C442" t="s">
        <v>84</v>
      </c>
      <c r="D442" t="s">
        <v>85</v>
      </c>
      <c r="E442" s="1">
        <v>23.08</v>
      </c>
      <c r="F442" s="1" t="s">
        <v>25</v>
      </c>
      <c r="G442" s="1">
        <v>2</v>
      </c>
      <c r="H442" s="1">
        <v>1</v>
      </c>
      <c r="I442" s="1">
        <v>78</v>
      </c>
      <c r="J442" s="1">
        <v>0.9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 t="s">
        <v>40</v>
      </c>
      <c r="U442" s="1">
        <v>1</v>
      </c>
    </row>
    <row r="443" spans="1:21" x14ac:dyDescent="0.3">
      <c r="A443" t="s">
        <v>573</v>
      </c>
      <c r="B443" t="s">
        <v>22</v>
      </c>
      <c r="C443" t="s">
        <v>84</v>
      </c>
      <c r="D443" t="s">
        <v>85</v>
      </c>
      <c r="E443" s="1">
        <v>23.92</v>
      </c>
      <c r="F443" s="1" t="s">
        <v>25</v>
      </c>
      <c r="G443" s="1">
        <v>1</v>
      </c>
      <c r="H443" s="1">
        <v>0</v>
      </c>
      <c r="I443" s="1">
        <v>2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 t="s">
        <v>35</v>
      </c>
      <c r="U443" s="1">
        <v>1</v>
      </c>
    </row>
    <row r="444" spans="1:21" x14ac:dyDescent="0.3">
      <c r="A444" t="s">
        <v>574</v>
      </c>
      <c r="B444" t="s">
        <v>22</v>
      </c>
      <c r="C444" t="s">
        <v>125</v>
      </c>
      <c r="D444" t="s">
        <v>126</v>
      </c>
      <c r="E444" s="1">
        <v>22.44</v>
      </c>
      <c r="F444" s="1" t="s">
        <v>34</v>
      </c>
      <c r="G444" s="1">
        <v>2</v>
      </c>
      <c r="H444" s="1">
        <v>2</v>
      </c>
      <c r="I444" s="1">
        <v>129</v>
      </c>
      <c r="J444" s="1">
        <v>1.4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 t="s">
        <v>26</v>
      </c>
      <c r="U444" s="1">
        <v>0</v>
      </c>
    </row>
    <row r="445" spans="1:21" x14ac:dyDescent="0.3">
      <c r="A445" t="s">
        <v>575</v>
      </c>
      <c r="B445" t="s">
        <v>22</v>
      </c>
      <c r="C445" t="s">
        <v>72</v>
      </c>
      <c r="D445" t="s">
        <v>73</v>
      </c>
      <c r="E445" s="1">
        <v>26.11</v>
      </c>
      <c r="F445" s="1" t="s">
        <v>25</v>
      </c>
      <c r="G445" s="1">
        <v>3</v>
      </c>
      <c r="H445" s="1">
        <v>3</v>
      </c>
      <c r="I445" s="1">
        <v>259</v>
      </c>
      <c r="J445" s="1">
        <v>2.9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0</v>
      </c>
      <c r="S445" s="1">
        <v>0</v>
      </c>
      <c r="T445" s="1" t="s">
        <v>26</v>
      </c>
      <c r="U445" s="1">
        <v>0</v>
      </c>
    </row>
    <row r="446" spans="1:21" x14ac:dyDescent="0.3">
      <c r="A446" t="s">
        <v>576</v>
      </c>
      <c r="B446" t="s">
        <v>22</v>
      </c>
      <c r="C446" t="s">
        <v>305</v>
      </c>
      <c r="D446" t="s">
        <v>306</v>
      </c>
      <c r="E446" s="1">
        <v>24.14</v>
      </c>
      <c r="F446" s="1" t="s">
        <v>25</v>
      </c>
      <c r="G446" s="1">
        <v>2</v>
      </c>
      <c r="H446" s="1">
        <v>0</v>
      </c>
      <c r="I446" s="1">
        <v>42</v>
      </c>
      <c r="J446" s="1">
        <v>0.5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 t="s">
        <v>35</v>
      </c>
      <c r="U446" s="1">
        <v>2</v>
      </c>
    </row>
    <row r="447" spans="1:21" x14ac:dyDescent="0.3">
      <c r="A447" t="s">
        <v>577</v>
      </c>
      <c r="B447" t="s">
        <v>31</v>
      </c>
      <c r="C447" t="s">
        <v>145</v>
      </c>
      <c r="D447" t="s">
        <v>146</v>
      </c>
      <c r="E447" s="1">
        <v>35.15</v>
      </c>
      <c r="F447" s="1" t="s">
        <v>74</v>
      </c>
      <c r="G447" s="1">
        <v>2</v>
      </c>
      <c r="H447" s="1">
        <v>2</v>
      </c>
      <c r="I447" s="1">
        <v>154</v>
      </c>
      <c r="J447" s="1">
        <v>1.7</v>
      </c>
      <c r="K447" s="1">
        <v>1</v>
      </c>
      <c r="L447" s="1">
        <v>0</v>
      </c>
      <c r="M447" s="1">
        <v>1</v>
      </c>
      <c r="N447" s="1">
        <v>1</v>
      </c>
      <c r="O447" s="1">
        <v>0</v>
      </c>
      <c r="P447" s="1">
        <v>0</v>
      </c>
      <c r="Q447" s="1">
        <v>0</v>
      </c>
      <c r="R447" s="1">
        <v>0</v>
      </c>
      <c r="S447" s="1">
        <v>0.58799999999999997</v>
      </c>
      <c r="T447" s="1" t="s">
        <v>26</v>
      </c>
      <c r="U447" s="1">
        <v>0</v>
      </c>
    </row>
    <row r="448" spans="1:21" x14ac:dyDescent="0.3">
      <c r="A448" t="s">
        <v>578</v>
      </c>
      <c r="B448" t="s">
        <v>22</v>
      </c>
      <c r="C448" t="s">
        <v>305</v>
      </c>
      <c r="D448" t="s">
        <v>306</v>
      </c>
      <c r="E448" s="1">
        <v>29.34</v>
      </c>
      <c r="F448" s="1" t="s">
        <v>39</v>
      </c>
      <c r="G448" s="1">
        <v>2</v>
      </c>
      <c r="H448" s="1">
        <v>0</v>
      </c>
      <c r="I448" s="1">
        <v>52</v>
      </c>
      <c r="J448" s="1">
        <v>0.6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 t="s">
        <v>35</v>
      </c>
      <c r="U448" s="1">
        <v>2</v>
      </c>
    </row>
    <row r="449" spans="1:21" x14ac:dyDescent="0.3">
      <c r="A449" t="s">
        <v>579</v>
      </c>
      <c r="B449" t="s">
        <v>155</v>
      </c>
      <c r="C449" t="s">
        <v>305</v>
      </c>
      <c r="D449" t="s">
        <v>306</v>
      </c>
      <c r="E449" s="1">
        <v>30.68</v>
      </c>
      <c r="F449" s="1" t="s">
        <v>39</v>
      </c>
      <c r="G449" s="1">
        <v>2</v>
      </c>
      <c r="H449" s="1">
        <v>0</v>
      </c>
      <c r="I449" s="1">
        <v>32</v>
      </c>
      <c r="J449" s="1">
        <v>0.4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 t="s">
        <v>35</v>
      </c>
      <c r="U449" s="1">
        <v>2</v>
      </c>
    </row>
    <row r="450" spans="1:21" x14ac:dyDescent="0.3">
      <c r="A450" t="s">
        <v>580</v>
      </c>
      <c r="B450" t="s">
        <v>31</v>
      </c>
      <c r="C450" t="s">
        <v>49</v>
      </c>
      <c r="D450" t="s">
        <v>50</v>
      </c>
      <c r="E450" s="1">
        <v>25.07</v>
      </c>
      <c r="F450" s="1" t="s">
        <v>25</v>
      </c>
      <c r="G450" s="1">
        <v>1</v>
      </c>
      <c r="H450" s="1">
        <v>0</v>
      </c>
      <c r="I450" s="1">
        <v>1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 t="s">
        <v>35</v>
      </c>
      <c r="U450" s="1">
        <v>1</v>
      </c>
    </row>
    <row r="451" spans="1:21" x14ac:dyDescent="0.3">
      <c r="A451" t="s">
        <v>581</v>
      </c>
      <c r="B451" t="s">
        <v>37</v>
      </c>
      <c r="C451" t="s">
        <v>92</v>
      </c>
      <c r="D451" t="s">
        <v>93</v>
      </c>
      <c r="E451" s="1">
        <v>27.73</v>
      </c>
      <c r="F451" s="1" t="s">
        <v>39</v>
      </c>
      <c r="G451" s="1">
        <v>4</v>
      </c>
      <c r="H451" s="1">
        <v>4</v>
      </c>
      <c r="I451" s="1">
        <v>360</v>
      </c>
      <c r="J451" s="1">
        <v>4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1</v>
      </c>
      <c r="R451" s="1">
        <v>0</v>
      </c>
      <c r="S451" s="1">
        <v>0</v>
      </c>
      <c r="T451" s="1" t="s">
        <v>26</v>
      </c>
      <c r="U451" s="1">
        <v>0</v>
      </c>
    </row>
    <row r="452" spans="1:21" x14ac:dyDescent="0.3">
      <c r="A452" t="s">
        <v>582</v>
      </c>
      <c r="B452" t="s">
        <v>22</v>
      </c>
      <c r="C452" t="s">
        <v>101</v>
      </c>
      <c r="D452" t="s">
        <v>102</v>
      </c>
      <c r="E452" s="1">
        <v>29.13</v>
      </c>
      <c r="F452" s="1" t="s">
        <v>39</v>
      </c>
      <c r="G452" s="1">
        <v>4</v>
      </c>
      <c r="H452" s="1">
        <v>4</v>
      </c>
      <c r="I452" s="1">
        <v>328</v>
      </c>
      <c r="J452" s="1">
        <v>3.6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 t="s">
        <v>26</v>
      </c>
      <c r="U452" s="1">
        <v>0</v>
      </c>
    </row>
    <row r="453" spans="1:21" x14ac:dyDescent="0.3">
      <c r="A453" t="s">
        <v>583</v>
      </c>
      <c r="B453" t="s">
        <v>31</v>
      </c>
      <c r="C453" t="s">
        <v>72</v>
      </c>
      <c r="D453" t="s">
        <v>73</v>
      </c>
      <c r="E453" s="1">
        <v>25.71</v>
      </c>
      <c r="F453" s="1" t="s">
        <v>25</v>
      </c>
      <c r="G453" s="1">
        <v>3</v>
      </c>
      <c r="H453" s="1">
        <v>1</v>
      </c>
      <c r="I453" s="1">
        <v>117</v>
      </c>
      <c r="J453" s="1">
        <v>1.3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 t="s">
        <v>40</v>
      </c>
      <c r="U453" s="1">
        <v>2</v>
      </c>
    </row>
    <row r="454" spans="1:21" x14ac:dyDescent="0.3">
      <c r="A454" t="s">
        <v>584</v>
      </c>
      <c r="B454" t="s">
        <v>83</v>
      </c>
      <c r="C454" t="s">
        <v>52</v>
      </c>
      <c r="D454" t="s">
        <v>53</v>
      </c>
      <c r="E454" s="1">
        <v>31.86</v>
      </c>
      <c r="F454" s="1" t="s">
        <v>44</v>
      </c>
      <c r="G454" s="1">
        <v>3</v>
      </c>
      <c r="H454" s="1">
        <v>3</v>
      </c>
      <c r="I454" s="1">
        <v>210</v>
      </c>
      <c r="J454" s="1">
        <v>2.2999999999999998</v>
      </c>
      <c r="K454" s="1">
        <v>0</v>
      </c>
      <c r="L454" s="1">
        <v>1</v>
      </c>
      <c r="M454" s="1">
        <v>1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 t="s">
        <v>26</v>
      </c>
      <c r="U454" s="1">
        <v>0</v>
      </c>
    </row>
    <row r="455" spans="1:21" x14ac:dyDescent="0.3">
      <c r="A455" t="s">
        <v>585</v>
      </c>
      <c r="B455" t="s">
        <v>31</v>
      </c>
      <c r="C455" t="s">
        <v>136</v>
      </c>
      <c r="D455" t="s">
        <v>137</v>
      </c>
      <c r="E455" s="1">
        <v>25.97</v>
      </c>
      <c r="F455" s="1" t="s">
        <v>25</v>
      </c>
      <c r="G455" s="1">
        <v>4</v>
      </c>
      <c r="H455" s="1">
        <v>4</v>
      </c>
      <c r="I455" s="1">
        <v>350</v>
      </c>
      <c r="J455" s="1">
        <v>3.9</v>
      </c>
      <c r="K455" s="1">
        <v>4</v>
      </c>
      <c r="L455" s="1">
        <v>1</v>
      </c>
      <c r="M455" s="1">
        <v>5</v>
      </c>
      <c r="N455" s="1">
        <v>4</v>
      </c>
      <c r="O455" s="1">
        <v>0</v>
      </c>
      <c r="P455" s="1">
        <v>0</v>
      </c>
      <c r="Q455" s="1">
        <v>0</v>
      </c>
      <c r="R455" s="1">
        <v>0</v>
      </c>
      <c r="S455" s="1">
        <v>1.026</v>
      </c>
      <c r="T455" s="1" t="s">
        <v>26</v>
      </c>
      <c r="U455" s="1">
        <v>0</v>
      </c>
    </row>
    <row r="456" spans="1:21" x14ac:dyDescent="0.3">
      <c r="A456" t="s">
        <v>586</v>
      </c>
      <c r="B456" t="s">
        <v>22</v>
      </c>
      <c r="C456" t="s">
        <v>239</v>
      </c>
      <c r="D456" t="s">
        <v>240</v>
      </c>
      <c r="E456" s="1">
        <v>26.16</v>
      </c>
      <c r="F456" s="1" t="s">
        <v>25</v>
      </c>
      <c r="G456" s="1">
        <v>3</v>
      </c>
      <c r="H456" s="1">
        <v>3</v>
      </c>
      <c r="I456" s="1">
        <v>264</v>
      </c>
      <c r="J456" s="1">
        <v>2.9</v>
      </c>
      <c r="K456" s="1">
        <v>3</v>
      </c>
      <c r="L456" s="1">
        <v>0</v>
      </c>
      <c r="M456" s="1">
        <v>3</v>
      </c>
      <c r="N456" s="1">
        <v>3</v>
      </c>
      <c r="O456" s="1">
        <v>0</v>
      </c>
      <c r="P456" s="1">
        <v>0</v>
      </c>
      <c r="Q456" s="1">
        <v>1</v>
      </c>
      <c r="R456" s="1">
        <v>0</v>
      </c>
      <c r="S456" s="1">
        <v>1.034</v>
      </c>
      <c r="T456" s="1" t="s">
        <v>26</v>
      </c>
      <c r="U456" s="1">
        <v>0</v>
      </c>
    </row>
    <row r="457" spans="1:21" x14ac:dyDescent="0.3">
      <c r="A457" t="s">
        <v>587</v>
      </c>
      <c r="B457" t="s">
        <v>83</v>
      </c>
      <c r="C457" t="s">
        <v>46</v>
      </c>
      <c r="D457" t="s">
        <v>47</v>
      </c>
      <c r="E457" s="1">
        <v>23.03</v>
      </c>
      <c r="F457" s="1" t="s">
        <v>25</v>
      </c>
      <c r="G457" s="1">
        <v>3</v>
      </c>
      <c r="H457" s="1">
        <v>2</v>
      </c>
      <c r="I457" s="1">
        <v>152</v>
      </c>
      <c r="J457" s="1">
        <v>1.7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 t="s">
        <v>40</v>
      </c>
      <c r="U457" s="1">
        <v>1</v>
      </c>
    </row>
    <row r="458" spans="1:21" x14ac:dyDescent="0.3">
      <c r="A458" t="s">
        <v>588</v>
      </c>
      <c r="B458" t="s">
        <v>31</v>
      </c>
      <c r="C458" t="s">
        <v>151</v>
      </c>
      <c r="D458" t="s">
        <v>152</v>
      </c>
      <c r="E458" s="1">
        <v>33.01</v>
      </c>
      <c r="F458" s="1" t="s">
        <v>44</v>
      </c>
      <c r="G458" s="1">
        <v>1</v>
      </c>
      <c r="H458" s="1">
        <v>1</v>
      </c>
      <c r="I458" s="1">
        <v>69</v>
      </c>
      <c r="J458" s="1">
        <v>0.8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 t="s">
        <v>26</v>
      </c>
      <c r="U458" s="1">
        <v>0</v>
      </c>
    </row>
    <row r="459" spans="1:21" x14ac:dyDescent="0.3">
      <c r="A459" t="s">
        <v>589</v>
      </c>
      <c r="B459" t="s">
        <v>37</v>
      </c>
      <c r="C459" t="s">
        <v>104</v>
      </c>
      <c r="D459" t="s">
        <v>105</v>
      </c>
      <c r="E459" s="1">
        <v>26.27</v>
      </c>
      <c r="F459" s="1" t="s">
        <v>25</v>
      </c>
      <c r="G459" s="1">
        <v>1</v>
      </c>
      <c r="H459" s="1">
        <v>1</v>
      </c>
      <c r="I459" s="1">
        <v>90</v>
      </c>
      <c r="J459" s="1">
        <v>1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 t="s">
        <v>26</v>
      </c>
      <c r="U459" s="1">
        <v>0</v>
      </c>
    </row>
    <row r="460" spans="1:21" x14ac:dyDescent="0.3">
      <c r="A460" t="s">
        <v>590</v>
      </c>
      <c r="B460" t="s">
        <v>37</v>
      </c>
      <c r="C460" t="s">
        <v>104</v>
      </c>
      <c r="D460" t="s">
        <v>105</v>
      </c>
      <c r="E460" s="1">
        <v>26.73</v>
      </c>
      <c r="F460" s="1" t="s">
        <v>25</v>
      </c>
      <c r="G460" s="1">
        <v>2</v>
      </c>
      <c r="H460" s="1">
        <v>2</v>
      </c>
      <c r="I460" s="1">
        <v>159</v>
      </c>
      <c r="J460" s="1">
        <v>1.8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 t="s">
        <v>26</v>
      </c>
      <c r="U460" s="1">
        <v>0</v>
      </c>
    </row>
    <row r="461" spans="1:21" x14ac:dyDescent="0.3">
      <c r="A461" t="s">
        <v>591</v>
      </c>
      <c r="B461" t="s">
        <v>22</v>
      </c>
      <c r="C461" t="s">
        <v>121</v>
      </c>
      <c r="D461" t="s">
        <v>122</v>
      </c>
      <c r="E461" s="1">
        <v>31.47</v>
      </c>
      <c r="F461" s="1" t="s">
        <v>44</v>
      </c>
      <c r="G461" s="1">
        <v>1</v>
      </c>
      <c r="H461" s="1">
        <v>0</v>
      </c>
      <c r="I461" s="1">
        <v>11</v>
      </c>
      <c r="J461" s="1">
        <v>0.1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 t="s">
        <v>35</v>
      </c>
      <c r="U461" s="1">
        <v>1</v>
      </c>
    </row>
    <row r="462" spans="1:21" x14ac:dyDescent="0.3">
      <c r="A462" t="s">
        <v>592</v>
      </c>
      <c r="B462" t="s">
        <v>31</v>
      </c>
      <c r="C462" t="s">
        <v>112</v>
      </c>
      <c r="D462" t="s">
        <v>113</v>
      </c>
      <c r="E462" s="1">
        <v>28.98</v>
      </c>
      <c r="F462" s="1" t="s">
        <v>39</v>
      </c>
      <c r="G462" s="1">
        <v>2</v>
      </c>
      <c r="H462" s="1">
        <v>1</v>
      </c>
      <c r="I462" s="1">
        <v>46</v>
      </c>
      <c r="J462" s="1">
        <v>0.5</v>
      </c>
      <c r="K462" s="1">
        <v>1</v>
      </c>
      <c r="L462" s="1">
        <v>0</v>
      </c>
      <c r="M462" s="1">
        <v>1</v>
      </c>
      <c r="N462" s="1">
        <v>1</v>
      </c>
      <c r="O462" s="1">
        <v>0</v>
      </c>
      <c r="P462" s="1">
        <v>0</v>
      </c>
      <c r="Q462" s="1">
        <v>0</v>
      </c>
      <c r="R462" s="1">
        <v>0</v>
      </c>
      <c r="S462" s="1">
        <v>2</v>
      </c>
      <c r="T462" s="1" t="s">
        <v>40</v>
      </c>
      <c r="U462" s="1">
        <v>1</v>
      </c>
    </row>
    <row r="463" spans="1:21" x14ac:dyDescent="0.3">
      <c r="A463" t="s">
        <v>593</v>
      </c>
      <c r="B463" t="s">
        <v>37</v>
      </c>
      <c r="C463" t="s">
        <v>213</v>
      </c>
      <c r="D463" t="s">
        <v>214</v>
      </c>
      <c r="E463" s="1">
        <v>28.84</v>
      </c>
      <c r="F463" s="1" t="s">
        <v>39</v>
      </c>
      <c r="G463" s="1">
        <v>1</v>
      </c>
      <c r="H463" s="1">
        <v>0</v>
      </c>
      <c r="I463" s="1">
        <v>6</v>
      </c>
      <c r="J463" s="1">
        <v>0.1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 t="s">
        <v>35</v>
      </c>
      <c r="U463" s="1">
        <v>1</v>
      </c>
    </row>
    <row r="464" spans="1:21" x14ac:dyDescent="0.3">
      <c r="A464" t="s">
        <v>594</v>
      </c>
      <c r="B464" t="s">
        <v>22</v>
      </c>
      <c r="C464" t="s">
        <v>391</v>
      </c>
      <c r="D464" t="s">
        <v>392</v>
      </c>
      <c r="E464" s="1">
        <v>29.9</v>
      </c>
      <c r="F464" s="1" t="s">
        <v>39</v>
      </c>
      <c r="G464" s="1">
        <v>4</v>
      </c>
      <c r="H464" s="1">
        <v>4</v>
      </c>
      <c r="I464" s="1">
        <v>329</v>
      </c>
      <c r="J464" s="1">
        <v>3.7</v>
      </c>
      <c r="K464" s="1">
        <v>2</v>
      </c>
      <c r="L464" s="1">
        <v>0</v>
      </c>
      <c r="M464" s="1">
        <v>2</v>
      </c>
      <c r="N464" s="1">
        <v>2</v>
      </c>
      <c r="O464" s="1">
        <v>0</v>
      </c>
      <c r="P464" s="1">
        <v>0</v>
      </c>
      <c r="Q464" s="1">
        <v>1</v>
      </c>
      <c r="R464" s="1">
        <v>0</v>
      </c>
      <c r="S464" s="1">
        <v>0.54100000000000004</v>
      </c>
      <c r="T464" s="1" t="s">
        <v>26</v>
      </c>
      <c r="U464" s="1">
        <v>0</v>
      </c>
    </row>
    <row r="465" spans="1:21" x14ac:dyDescent="0.3">
      <c r="A465" t="s">
        <v>595</v>
      </c>
      <c r="B465" t="s">
        <v>37</v>
      </c>
      <c r="C465" t="s">
        <v>133</v>
      </c>
      <c r="D465" t="s">
        <v>134</v>
      </c>
      <c r="E465" s="1">
        <v>32.270000000000003</v>
      </c>
      <c r="F465" s="1" t="s">
        <v>44</v>
      </c>
      <c r="G465" s="1">
        <v>2</v>
      </c>
      <c r="H465" s="1">
        <v>2</v>
      </c>
      <c r="I465" s="1">
        <v>135</v>
      </c>
      <c r="J465" s="1">
        <v>1.5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1</v>
      </c>
      <c r="R465" s="1">
        <v>0</v>
      </c>
      <c r="S465" s="1">
        <v>0</v>
      </c>
      <c r="T465" s="1" t="s">
        <v>26</v>
      </c>
      <c r="U465" s="1">
        <v>0</v>
      </c>
    </row>
    <row r="466" spans="1:21" x14ac:dyDescent="0.3">
      <c r="A466" t="s">
        <v>596</v>
      </c>
      <c r="B466" t="s">
        <v>31</v>
      </c>
      <c r="C466" t="s">
        <v>1147</v>
      </c>
      <c r="D466" t="s">
        <v>1149</v>
      </c>
      <c r="E466" s="1">
        <v>32.92</v>
      </c>
      <c r="F466" s="1" t="s">
        <v>44</v>
      </c>
      <c r="G466" s="1">
        <v>3</v>
      </c>
      <c r="H466" s="1">
        <v>3</v>
      </c>
      <c r="I466" s="1">
        <v>263</v>
      </c>
      <c r="J466" s="1">
        <v>2.9</v>
      </c>
      <c r="K466" s="1">
        <v>3</v>
      </c>
      <c r="L466" s="1">
        <v>0</v>
      </c>
      <c r="M466" s="1">
        <v>3</v>
      </c>
      <c r="N466" s="1">
        <v>2</v>
      </c>
      <c r="O466" s="1">
        <v>1</v>
      </c>
      <c r="P466" s="1">
        <v>1</v>
      </c>
      <c r="Q466" s="1">
        <v>0</v>
      </c>
      <c r="R466" s="1">
        <v>0</v>
      </c>
      <c r="S466" s="1">
        <v>1.034</v>
      </c>
      <c r="T466" s="1" t="s">
        <v>26</v>
      </c>
      <c r="U466" s="1">
        <v>0</v>
      </c>
    </row>
    <row r="467" spans="1:21" x14ac:dyDescent="0.3">
      <c r="A467" t="s">
        <v>597</v>
      </c>
      <c r="B467" t="s">
        <v>31</v>
      </c>
      <c r="C467" t="s">
        <v>305</v>
      </c>
      <c r="D467" t="s">
        <v>306</v>
      </c>
      <c r="E467" s="1">
        <v>25.36</v>
      </c>
      <c r="F467" s="1" t="s">
        <v>25</v>
      </c>
      <c r="G467" s="1">
        <v>3</v>
      </c>
      <c r="H467" s="1">
        <v>3</v>
      </c>
      <c r="I467" s="1">
        <v>270</v>
      </c>
      <c r="J467" s="1">
        <v>3</v>
      </c>
      <c r="K467" s="1">
        <v>0</v>
      </c>
      <c r="L467" s="1">
        <v>1</v>
      </c>
      <c r="M467" s="1">
        <v>1</v>
      </c>
      <c r="N467" s="1">
        <v>0</v>
      </c>
      <c r="O467" s="1">
        <v>0</v>
      </c>
      <c r="P467" s="1">
        <v>0</v>
      </c>
      <c r="Q467" s="1">
        <v>1</v>
      </c>
      <c r="R467" s="1">
        <v>0</v>
      </c>
      <c r="S467" s="1">
        <v>0</v>
      </c>
      <c r="T467" s="1" t="s">
        <v>26</v>
      </c>
      <c r="U467" s="1">
        <v>0</v>
      </c>
    </row>
    <row r="468" spans="1:21" x14ac:dyDescent="0.3">
      <c r="A468" t="s">
        <v>598</v>
      </c>
      <c r="B468" t="s">
        <v>22</v>
      </c>
      <c r="C468" t="s">
        <v>46</v>
      </c>
      <c r="D468" t="s">
        <v>47</v>
      </c>
      <c r="E468" s="1">
        <v>31.77</v>
      </c>
      <c r="F468" s="1" t="s">
        <v>44</v>
      </c>
      <c r="G468" s="1">
        <v>3</v>
      </c>
      <c r="H468" s="1">
        <v>2</v>
      </c>
      <c r="I468" s="1">
        <v>225</v>
      </c>
      <c r="J468" s="1">
        <v>2.5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</v>
      </c>
      <c r="R468" s="1">
        <v>0</v>
      </c>
      <c r="S468" s="1">
        <v>0</v>
      </c>
      <c r="T468" s="1" t="s">
        <v>40</v>
      </c>
      <c r="U468" s="1">
        <v>1</v>
      </c>
    </row>
    <row r="469" spans="1:21" x14ac:dyDescent="0.3">
      <c r="A469" t="s">
        <v>599</v>
      </c>
      <c r="B469" t="s">
        <v>37</v>
      </c>
      <c r="C469" t="s">
        <v>213</v>
      </c>
      <c r="D469" t="s">
        <v>214</v>
      </c>
      <c r="E469" s="1">
        <v>28.17</v>
      </c>
      <c r="F469" s="1" t="s">
        <v>39</v>
      </c>
      <c r="G469" s="1">
        <v>2</v>
      </c>
      <c r="H469" s="1">
        <v>2</v>
      </c>
      <c r="I469" s="1">
        <v>180</v>
      </c>
      <c r="J469" s="1">
        <v>2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 t="s">
        <v>26</v>
      </c>
      <c r="U469" s="1">
        <v>0</v>
      </c>
    </row>
    <row r="470" spans="1:21" x14ac:dyDescent="0.3">
      <c r="A470" t="s">
        <v>600</v>
      </c>
      <c r="B470" t="s">
        <v>37</v>
      </c>
      <c r="C470" t="s">
        <v>49</v>
      </c>
      <c r="D470" t="s">
        <v>50</v>
      </c>
      <c r="E470" s="1">
        <v>18.899999999999999</v>
      </c>
      <c r="F470" s="1" t="s">
        <v>34</v>
      </c>
      <c r="G470" s="1">
        <v>2</v>
      </c>
      <c r="H470" s="1">
        <v>2</v>
      </c>
      <c r="I470" s="1">
        <v>179</v>
      </c>
      <c r="J470" s="1">
        <v>2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 t="s">
        <v>26</v>
      </c>
      <c r="U470" s="1">
        <v>0</v>
      </c>
    </row>
    <row r="471" spans="1:21" x14ac:dyDescent="0.3">
      <c r="A471" t="s">
        <v>601</v>
      </c>
      <c r="B471" t="s">
        <v>22</v>
      </c>
      <c r="C471" t="s">
        <v>129</v>
      </c>
      <c r="D471" t="s">
        <v>130</v>
      </c>
      <c r="E471" s="1">
        <v>31.02</v>
      </c>
      <c r="F471" s="1" t="s">
        <v>44</v>
      </c>
      <c r="G471" s="1">
        <v>2</v>
      </c>
      <c r="H471" s="1">
        <v>2</v>
      </c>
      <c r="I471" s="1">
        <v>138</v>
      </c>
      <c r="J471" s="1">
        <v>1.5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 t="s">
        <v>26</v>
      </c>
      <c r="U471" s="1">
        <v>0</v>
      </c>
    </row>
    <row r="472" spans="1:21" x14ac:dyDescent="0.3">
      <c r="A472" t="s">
        <v>602</v>
      </c>
      <c r="B472" t="s">
        <v>64</v>
      </c>
      <c r="C472" t="s">
        <v>174</v>
      </c>
      <c r="D472" t="s">
        <v>175</v>
      </c>
      <c r="E472" s="1">
        <v>30.06</v>
      </c>
      <c r="F472" s="1" t="s">
        <v>39</v>
      </c>
      <c r="G472" s="1">
        <v>3</v>
      </c>
      <c r="H472" s="1">
        <v>0</v>
      </c>
      <c r="I472" s="1">
        <v>30</v>
      </c>
      <c r="J472" s="1">
        <v>0.3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2</v>
      </c>
      <c r="R472" s="1">
        <v>0</v>
      </c>
      <c r="S472" s="1">
        <v>0</v>
      </c>
      <c r="T472" s="1" t="s">
        <v>35</v>
      </c>
      <c r="U472" s="1">
        <v>3</v>
      </c>
    </row>
    <row r="473" spans="1:21" x14ac:dyDescent="0.3">
      <c r="A473" t="s">
        <v>603</v>
      </c>
      <c r="B473" t="s">
        <v>37</v>
      </c>
      <c r="C473" t="s">
        <v>115</v>
      </c>
      <c r="D473" t="s">
        <v>116</v>
      </c>
      <c r="E473" s="1">
        <v>29.72</v>
      </c>
      <c r="F473" s="1" t="s">
        <v>39</v>
      </c>
      <c r="G473" s="1">
        <v>3</v>
      </c>
      <c r="H473" s="1">
        <v>3</v>
      </c>
      <c r="I473" s="1">
        <v>243</v>
      </c>
      <c r="J473" s="1">
        <v>2.7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1</v>
      </c>
      <c r="R473" s="1">
        <v>0</v>
      </c>
      <c r="S473" s="1">
        <v>0</v>
      </c>
      <c r="T473" s="1" t="s">
        <v>26</v>
      </c>
      <c r="U473" s="1">
        <v>0</v>
      </c>
    </row>
    <row r="474" spans="1:21" x14ac:dyDescent="0.3">
      <c r="A474" t="s">
        <v>604</v>
      </c>
      <c r="B474" t="s">
        <v>22</v>
      </c>
      <c r="C474" t="s">
        <v>213</v>
      </c>
      <c r="D474" t="s">
        <v>214</v>
      </c>
      <c r="E474" s="1">
        <v>28.07</v>
      </c>
      <c r="F474" s="1" t="s">
        <v>39</v>
      </c>
      <c r="G474" s="1">
        <v>2</v>
      </c>
      <c r="H474" s="1">
        <v>2</v>
      </c>
      <c r="I474" s="1">
        <v>145</v>
      </c>
      <c r="J474" s="1">
        <v>1.6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 t="s">
        <v>26</v>
      </c>
      <c r="U474" s="1">
        <v>0</v>
      </c>
    </row>
    <row r="475" spans="1:21" x14ac:dyDescent="0.3">
      <c r="A475" t="s">
        <v>605</v>
      </c>
      <c r="B475" t="s">
        <v>354</v>
      </c>
      <c r="C475" t="s">
        <v>213</v>
      </c>
      <c r="D475" t="s">
        <v>214</v>
      </c>
      <c r="E475" s="1">
        <v>31.89</v>
      </c>
      <c r="F475" s="1" t="s">
        <v>44</v>
      </c>
      <c r="G475" s="1">
        <v>3</v>
      </c>
      <c r="H475" s="1">
        <v>0</v>
      </c>
      <c r="I475" s="1">
        <v>43</v>
      </c>
      <c r="J475" s="1">
        <v>0.5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 t="s">
        <v>35</v>
      </c>
      <c r="U475" s="1">
        <v>3</v>
      </c>
    </row>
    <row r="476" spans="1:21" x14ac:dyDescent="0.3">
      <c r="A476" t="s">
        <v>606</v>
      </c>
      <c r="B476" t="s">
        <v>22</v>
      </c>
      <c r="C476" t="s">
        <v>77</v>
      </c>
      <c r="D476" t="s">
        <v>78</v>
      </c>
      <c r="E476" s="1">
        <v>29.53</v>
      </c>
      <c r="F476" s="1" t="s">
        <v>39</v>
      </c>
      <c r="G476" s="1">
        <v>3</v>
      </c>
      <c r="H476" s="1">
        <v>3</v>
      </c>
      <c r="I476" s="1">
        <v>256</v>
      </c>
      <c r="J476" s="1">
        <v>2.8</v>
      </c>
      <c r="K476" s="1">
        <v>1</v>
      </c>
      <c r="L476" s="1">
        <v>0</v>
      </c>
      <c r="M476" s="1">
        <v>1</v>
      </c>
      <c r="N476" s="1">
        <v>1</v>
      </c>
      <c r="O476" s="1">
        <v>0</v>
      </c>
      <c r="P476" s="1">
        <v>0</v>
      </c>
      <c r="Q476" s="1">
        <v>1</v>
      </c>
      <c r="R476" s="1">
        <v>0</v>
      </c>
      <c r="S476" s="1">
        <v>0.35699999999999998</v>
      </c>
      <c r="T476" s="1" t="s">
        <v>26</v>
      </c>
      <c r="U476" s="1">
        <v>0</v>
      </c>
    </row>
    <row r="477" spans="1:21" x14ac:dyDescent="0.3">
      <c r="A477" t="s">
        <v>607</v>
      </c>
      <c r="B477" t="s">
        <v>22</v>
      </c>
      <c r="C477" t="s">
        <v>46</v>
      </c>
      <c r="D477" t="s">
        <v>47</v>
      </c>
      <c r="E477" s="1">
        <v>29.87</v>
      </c>
      <c r="F477" s="1" t="s">
        <v>39</v>
      </c>
      <c r="G477" s="1">
        <v>3</v>
      </c>
      <c r="H477" s="1">
        <v>3</v>
      </c>
      <c r="I477" s="1">
        <v>180</v>
      </c>
      <c r="J477" s="1">
        <v>2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 t="s">
        <v>26</v>
      </c>
      <c r="U477" s="1">
        <v>0</v>
      </c>
    </row>
    <row r="478" spans="1:21" x14ac:dyDescent="0.3">
      <c r="A478" t="s">
        <v>608</v>
      </c>
      <c r="B478" t="s">
        <v>37</v>
      </c>
      <c r="C478" t="s">
        <v>133</v>
      </c>
      <c r="D478" t="s">
        <v>134</v>
      </c>
      <c r="E478" s="1">
        <v>37.130000000000003</v>
      </c>
      <c r="F478" s="1" t="s">
        <v>74</v>
      </c>
      <c r="G478" s="1">
        <v>3</v>
      </c>
      <c r="H478" s="1">
        <v>3</v>
      </c>
      <c r="I478" s="1">
        <v>270</v>
      </c>
      <c r="J478" s="1">
        <v>3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1</v>
      </c>
      <c r="R478" s="1">
        <v>0</v>
      </c>
      <c r="S478" s="1">
        <v>0</v>
      </c>
      <c r="T478" s="1" t="s">
        <v>26</v>
      </c>
      <c r="U478" s="1">
        <v>0</v>
      </c>
    </row>
    <row r="479" spans="1:21" x14ac:dyDescent="0.3">
      <c r="A479" t="s">
        <v>609</v>
      </c>
      <c r="B479" t="s">
        <v>22</v>
      </c>
      <c r="C479" t="s">
        <v>49</v>
      </c>
      <c r="D479" t="s">
        <v>50</v>
      </c>
      <c r="E479" s="1">
        <v>29.93</v>
      </c>
      <c r="F479" s="1" t="s">
        <v>39</v>
      </c>
      <c r="G479" s="1">
        <v>2</v>
      </c>
      <c r="H479" s="1">
        <v>1</v>
      </c>
      <c r="I479" s="1">
        <v>103</v>
      </c>
      <c r="J479" s="1">
        <v>1.1000000000000001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 t="s">
        <v>40</v>
      </c>
      <c r="U479" s="1">
        <v>1</v>
      </c>
    </row>
    <row r="480" spans="1:21" x14ac:dyDescent="0.3">
      <c r="A480" t="s">
        <v>610</v>
      </c>
      <c r="B480" t="s">
        <v>22</v>
      </c>
      <c r="C480" t="s">
        <v>151</v>
      </c>
      <c r="D480" t="s">
        <v>152</v>
      </c>
      <c r="E480" s="1">
        <v>22.14</v>
      </c>
      <c r="F480" s="1" t="s">
        <v>34</v>
      </c>
      <c r="G480" s="1">
        <v>4</v>
      </c>
      <c r="H480" s="1">
        <v>4</v>
      </c>
      <c r="I480" s="1">
        <v>338</v>
      </c>
      <c r="J480" s="1">
        <v>3.8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 t="s">
        <v>26</v>
      </c>
      <c r="U480" s="1">
        <v>0</v>
      </c>
    </row>
    <row r="481" spans="1:21" x14ac:dyDescent="0.3">
      <c r="A481" t="s">
        <v>611</v>
      </c>
      <c r="B481" t="s">
        <v>22</v>
      </c>
      <c r="C481" t="s">
        <v>42</v>
      </c>
      <c r="D481" t="s">
        <v>43</v>
      </c>
      <c r="E481" s="1">
        <v>32.42</v>
      </c>
      <c r="F481" s="1" t="s">
        <v>44</v>
      </c>
      <c r="G481" s="1">
        <v>3</v>
      </c>
      <c r="H481" s="1">
        <v>2</v>
      </c>
      <c r="I481" s="1">
        <v>149</v>
      </c>
      <c r="J481" s="1">
        <v>1.7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1</v>
      </c>
      <c r="R481" s="1">
        <v>0</v>
      </c>
      <c r="S481" s="1">
        <v>0</v>
      </c>
      <c r="T481" s="1" t="s">
        <v>40</v>
      </c>
      <c r="U481" s="1">
        <v>1</v>
      </c>
    </row>
    <row r="482" spans="1:21" x14ac:dyDescent="0.3">
      <c r="A482" t="s">
        <v>612</v>
      </c>
      <c r="B482" t="s">
        <v>37</v>
      </c>
      <c r="C482" t="s">
        <v>52</v>
      </c>
      <c r="D482" t="s">
        <v>53</v>
      </c>
      <c r="E482" s="1">
        <v>35.97</v>
      </c>
      <c r="F482" s="1" t="s">
        <v>74</v>
      </c>
      <c r="G482" s="1">
        <v>3</v>
      </c>
      <c r="H482" s="1">
        <v>3</v>
      </c>
      <c r="I482" s="1">
        <v>270</v>
      </c>
      <c r="J482" s="1">
        <v>3</v>
      </c>
      <c r="K482" s="1">
        <v>1</v>
      </c>
      <c r="L482" s="1">
        <v>0</v>
      </c>
      <c r="M482" s="1">
        <v>1</v>
      </c>
      <c r="N482" s="1">
        <v>1</v>
      </c>
      <c r="O482" s="1">
        <v>0</v>
      </c>
      <c r="P482" s="1">
        <v>0</v>
      </c>
      <c r="Q482" s="1">
        <v>0</v>
      </c>
      <c r="R482" s="1">
        <v>0</v>
      </c>
      <c r="S482" s="1">
        <v>0.33300000000000002</v>
      </c>
      <c r="T482" s="1" t="s">
        <v>26</v>
      </c>
      <c r="U482" s="1">
        <v>0</v>
      </c>
    </row>
    <row r="483" spans="1:21" x14ac:dyDescent="0.3">
      <c r="A483" t="s">
        <v>613</v>
      </c>
      <c r="B483" t="s">
        <v>37</v>
      </c>
      <c r="C483" t="s">
        <v>49</v>
      </c>
      <c r="D483" t="s">
        <v>50</v>
      </c>
      <c r="E483" s="1">
        <v>22.33</v>
      </c>
      <c r="F483" s="1" t="s">
        <v>34</v>
      </c>
      <c r="G483" s="1">
        <v>3</v>
      </c>
      <c r="H483" s="1">
        <v>3</v>
      </c>
      <c r="I483" s="1">
        <v>270</v>
      </c>
      <c r="J483" s="1">
        <v>3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</v>
      </c>
      <c r="R483" s="1">
        <v>0</v>
      </c>
      <c r="S483" s="1">
        <v>0</v>
      </c>
      <c r="T483" s="1" t="s">
        <v>26</v>
      </c>
      <c r="U483" s="1">
        <v>0</v>
      </c>
    </row>
    <row r="484" spans="1:21" x14ac:dyDescent="0.3">
      <c r="A484" t="s">
        <v>614</v>
      </c>
      <c r="B484" t="s">
        <v>37</v>
      </c>
      <c r="C484" t="s">
        <v>159</v>
      </c>
      <c r="D484" t="s">
        <v>160</v>
      </c>
      <c r="E484" s="1">
        <v>31.39</v>
      </c>
      <c r="F484" s="1" t="s">
        <v>44</v>
      </c>
      <c r="G484" s="1">
        <v>4</v>
      </c>
      <c r="H484" s="1">
        <v>4</v>
      </c>
      <c r="I484" s="1">
        <v>351</v>
      </c>
      <c r="J484" s="1">
        <v>3.9</v>
      </c>
      <c r="K484" s="1">
        <v>0</v>
      </c>
      <c r="L484" s="1">
        <v>2</v>
      </c>
      <c r="M484" s="1">
        <v>2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 t="s">
        <v>26</v>
      </c>
      <c r="U484" s="1">
        <v>0</v>
      </c>
    </row>
    <row r="485" spans="1:21" x14ac:dyDescent="0.3">
      <c r="A485" t="s">
        <v>615</v>
      </c>
      <c r="B485" t="s">
        <v>64</v>
      </c>
      <c r="C485" t="s">
        <v>101</v>
      </c>
      <c r="D485" t="s">
        <v>102</v>
      </c>
      <c r="E485" s="1">
        <v>27.15</v>
      </c>
      <c r="F485" s="1" t="s">
        <v>39</v>
      </c>
      <c r="G485" s="1">
        <v>2</v>
      </c>
      <c r="H485" s="1">
        <v>0</v>
      </c>
      <c r="I485" s="1">
        <v>27</v>
      </c>
      <c r="J485" s="1">
        <v>0.3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 t="s">
        <v>35</v>
      </c>
      <c r="U485" s="1">
        <v>2</v>
      </c>
    </row>
    <row r="486" spans="1:21" x14ac:dyDescent="0.3">
      <c r="A486" t="s">
        <v>616</v>
      </c>
      <c r="B486" t="s">
        <v>61</v>
      </c>
      <c r="C486" t="s">
        <v>84</v>
      </c>
      <c r="D486" t="s">
        <v>85</v>
      </c>
      <c r="E486" s="1">
        <v>28.56</v>
      </c>
      <c r="F486" s="1" t="s">
        <v>39</v>
      </c>
      <c r="G486" s="1">
        <v>3</v>
      </c>
      <c r="H486" s="1">
        <v>3</v>
      </c>
      <c r="I486" s="1">
        <v>270</v>
      </c>
      <c r="J486" s="1">
        <v>3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 t="s">
        <v>26</v>
      </c>
      <c r="U486" s="1">
        <v>0</v>
      </c>
    </row>
    <row r="487" spans="1:21" x14ac:dyDescent="0.3">
      <c r="A487" t="s">
        <v>617</v>
      </c>
      <c r="B487" t="s">
        <v>22</v>
      </c>
      <c r="C487" t="s">
        <v>104</v>
      </c>
      <c r="D487" t="s">
        <v>105</v>
      </c>
      <c r="E487" s="1">
        <v>25.5</v>
      </c>
      <c r="F487" s="1" t="s">
        <v>25</v>
      </c>
      <c r="G487" s="1">
        <v>3</v>
      </c>
      <c r="H487" s="1">
        <v>2</v>
      </c>
      <c r="I487" s="1">
        <v>153</v>
      </c>
      <c r="J487" s="1">
        <v>1.7</v>
      </c>
      <c r="K487" s="1">
        <v>0</v>
      </c>
      <c r="L487" s="1">
        <v>1</v>
      </c>
      <c r="M487" s="1">
        <v>1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 t="s">
        <v>40</v>
      </c>
      <c r="U487" s="1">
        <v>1</v>
      </c>
    </row>
    <row r="488" spans="1:21" x14ac:dyDescent="0.3">
      <c r="A488" t="s">
        <v>618</v>
      </c>
      <c r="B488" t="s">
        <v>37</v>
      </c>
      <c r="C488" t="s">
        <v>115</v>
      </c>
      <c r="D488" t="s">
        <v>116</v>
      </c>
      <c r="E488" s="1">
        <v>33.03</v>
      </c>
      <c r="F488" s="1" t="s">
        <v>44</v>
      </c>
      <c r="G488" s="1">
        <v>3</v>
      </c>
      <c r="H488" s="1">
        <v>3</v>
      </c>
      <c r="I488" s="1">
        <v>263</v>
      </c>
      <c r="J488" s="1">
        <v>2.9</v>
      </c>
      <c r="K488" s="1">
        <v>0</v>
      </c>
      <c r="L488" s="1">
        <v>1</v>
      </c>
      <c r="M488" s="1">
        <v>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 t="s">
        <v>26</v>
      </c>
      <c r="U488" s="1">
        <v>0</v>
      </c>
    </row>
    <row r="489" spans="1:21" x14ac:dyDescent="0.3">
      <c r="A489" t="s">
        <v>619</v>
      </c>
      <c r="B489" t="s">
        <v>37</v>
      </c>
      <c r="C489" t="s">
        <v>77</v>
      </c>
      <c r="D489" t="s">
        <v>78</v>
      </c>
      <c r="E489" s="1">
        <v>30.51</v>
      </c>
      <c r="F489" s="1" t="s">
        <v>39</v>
      </c>
      <c r="G489" s="1">
        <v>2</v>
      </c>
      <c r="H489" s="1">
        <v>2</v>
      </c>
      <c r="I489" s="1">
        <v>180</v>
      </c>
      <c r="J489" s="1">
        <v>2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 t="s">
        <v>26</v>
      </c>
      <c r="U489" s="1">
        <v>0</v>
      </c>
    </row>
    <row r="490" spans="1:21" x14ac:dyDescent="0.3">
      <c r="A490" t="s">
        <v>620</v>
      </c>
      <c r="B490" t="s">
        <v>37</v>
      </c>
      <c r="C490" t="s">
        <v>107</v>
      </c>
      <c r="D490" t="s">
        <v>108</v>
      </c>
      <c r="E490" s="1">
        <v>27.1</v>
      </c>
      <c r="F490" s="1" t="s">
        <v>39</v>
      </c>
      <c r="G490" s="1">
        <v>1</v>
      </c>
      <c r="H490" s="1">
        <v>0</v>
      </c>
      <c r="I490" s="1">
        <v>15</v>
      </c>
      <c r="J490" s="1">
        <v>0.2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 t="s">
        <v>35</v>
      </c>
      <c r="U490" s="1">
        <v>1</v>
      </c>
    </row>
    <row r="491" spans="1:21" x14ac:dyDescent="0.3">
      <c r="A491" t="s">
        <v>621</v>
      </c>
      <c r="B491" t="s">
        <v>22</v>
      </c>
      <c r="C491" t="s">
        <v>92</v>
      </c>
      <c r="D491" t="s">
        <v>93</v>
      </c>
      <c r="E491" s="1">
        <v>24.04</v>
      </c>
      <c r="F491" s="1" t="s">
        <v>25</v>
      </c>
      <c r="G491" s="1">
        <v>2</v>
      </c>
      <c r="H491" s="1">
        <v>2</v>
      </c>
      <c r="I491" s="1">
        <v>146</v>
      </c>
      <c r="J491" s="1">
        <v>1.6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 t="s">
        <v>26</v>
      </c>
      <c r="U491" s="1">
        <v>0</v>
      </c>
    </row>
    <row r="492" spans="1:21" x14ac:dyDescent="0.3">
      <c r="A492" t="s">
        <v>622</v>
      </c>
      <c r="B492" t="s">
        <v>22</v>
      </c>
      <c r="C492" t="s">
        <v>107</v>
      </c>
      <c r="D492" t="s">
        <v>108</v>
      </c>
      <c r="E492" s="1">
        <v>25.12</v>
      </c>
      <c r="F492" s="1" t="s">
        <v>25</v>
      </c>
      <c r="G492" s="1">
        <v>2</v>
      </c>
      <c r="H492" s="1">
        <v>2</v>
      </c>
      <c r="I492" s="1">
        <v>180</v>
      </c>
      <c r="J492" s="1">
        <v>2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 t="s">
        <v>26</v>
      </c>
      <c r="U492" s="1">
        <v>0</v>
      </c>
    </row>
    <row r="493" spans="1:21" x14ac:dyDescent="0.3">
      <c r="A493" t="s">
        <v>623</v>
      </c>
      <c r="B493" t="s">
        <v>37</v>
      </c>
      <c r="C493" t="s">
        <v>1147</v>
      </c>
      <c r="D493" t="s">
        <v>1149</v>
      </c>
      <c r="E493" s="1">
        <v>28.68</v>
      </c>
      <c r="F493" s="1" t="s">
        <v>39</v>
      </c>
      <c r="G493" s="1">
        <v>3</v>
      </c>
      <c r="H493" s="1">
        <v>3</v>
      </c>
      <c r="I493" s="1">
        <v>270</v>
      </c>
      <c r="J493" s="1">
        <v>3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 t="s">
        <v>26</v>
      </c>
      <c r="U493" s="1">
        <v>0</v>
      </c>
    </row>
    <row r="494" spans="1:21" x14ac:dyDescent="0.3">
      <c r="A494" t="s">
        <v>624</v>
      </c>
      <c r="B494" t="s">
        <v>155</v>
      </c>
      <c r="C494" t="s">
        <v>101</v>
      </c>
      <c r="D494" t="s">
        <v>102</v>
      </c>
      <c r="E494" s="1">
        <v>28.33</v>
      </c>
      <c r="F494" s="1" t="s">
        <v>39</v>
      </c>
      <c r="G494" s="1">
        <v>4</v>
      </c>
      <c r="H494" s="1">
        <v>0</v>
      </c>
      <c r="I494" s="1">
        <v>122</v>
      </c>
      <c r="J494" s="1">
        <v>1.4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 t="s">
        <v>35</v>
      </c>
      <c r="U494" s="1">
        <v>4</v>
      </c>
    </row>
    <row r="495" spans="1:21" x14ac:dyDescent="0.3">
      <c r="A495" t="s">
        <v>625</v>
      </c>
      <c r="B495" t="s">
        <v>37</v>
      </c>
      <c r="C495" t="s">
        <v>77</v>
      </c>
      <c r="D495" t="s">
        <v>78</v>
      </c>
      <c r="E495" s="1">
        <v>25.48</v>
      </c>
      <c r="F495" s="1" t="s">
        <v>25</v>
      </c>
      <c r="G495" s="1">
        <v>3</v>
      </c>
      <c r="H495" s="1">
        <v>2</v>
      </c>
      <c r="I495" s="1">
        <v>182</v>
      </c>
      <c r="J495" s="1">
        <v>2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 t="s">
        <v>40</v>
      </c>
      <c r="U495" s="1">
        <v>1</v>
      </c>
    </row>
    <row r="496" spans="1:21" x14ac:dyDescent="0.3">
      <c r="A496" t="s">
        <v>626</v>
      </c>
      <c r="B496" t="s">
        <v>37</v>
      </c>
      <c r="C496" t="s">
        <v>291</v>
      </c>
      <c r="D496" t="s">
        <v>292</v>
      </c>
      <c r="E496" s="1">
        <v>35.03</v>
      </c>
      <c r="F496" s="1" t="s">
        <v>74</v>
      </c>
      <c r="G496" s="1">
        <v>2</v>
      </c>
      <c r="H496" s="1">
        <v>2</v>
      </c>
      <c r="I496" s="1">
        <v>161</v>
      </c>
      <c r="J496" s="1">
        <v>1.8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 t="s">
        <v>26</v>
      </c>
      <c r="U496" s="1">
        <v>0</v>
      </c>
    </row>
    <row r="497" spans="1:21" x14ac:dyDescent="0.3">
      <c r="A497" t="s">
        <v>627</v>
      </c>
      <c r="B497" t="s">
        <v>37</v>
      </c>
      <c r="C497" t="s">
        <v>107</v>
      </c>
      <c r="D497" t="s">
        <v>108</v>
      </c>
      <c r="E497" s="1">
        <v>27.63</v>
      </c>
      <c r="F497" s="1" t="s">
        <v>39</v>
      </c>
      <c r="G497" s="1">
        <v>3</v>
      </c>
      <c r="H497" s="1">
        <v>3</v>
      </c>
      <c r="I497" s="1">
        <v>258</v>
      </c>
      <c r="J497" s="1">
        <v>2.9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 t="s">
        <v>26</v>
      </c>
      <c r="U497" s="1">
        <v>0</v>
      </c>
    </row>
    <row r="498" spans="1:21" x14ac:dyDescent="0.3">
      <c r="A498" t="s">
        <v>628</v>
      </c>
      <c r="B498" t="s">
        <v>22</v>
      </c>
      <c r="C498" t="s">
        <v>225</v>
      </c>
      <c r="D498" t="s">
        <v>226</v>
      </c>
      <c r="E498" s="1">
        <v>32.15</v>
      </c>
      <c r="F498" s="1" t="s">
        <v>44</v>
      </c>
      <c r="G498" s="1">
        <v>3</v>
      </c>
      <c r="H498" s="1">
        <v>2</v>
      </c>
      <c r="I498" s="1">
        <v>181</v>
      </c>
      <c r="J498" s="1">
        <v>2</v>
      </c>
      <c r="K498" s="1">
        <v>0</v>
      </c>
      <c r="L498" s="1">
        <v>1</v>
      </c>
      <c r="M498" s="1">
        <v>1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 t="s">
        <v>40</v>
      </c>
      <c r="U498" s="1">
        <v>1</v>
      </c>
    </row>
    <row r="499" spans="1:21" x14ac:dyDescent="0.3">
      <c r="A499" t="s">
        <v>629</v>
      </c>
      <c r="B499" t="s">
        <v>61</v>
      </c>
      <c r="C499" t="s">
        <v>309</v>
      </c>
      <c r="D499" t="s">
        <v>310</v>
      </c>
      <c r="E499" s="1">
        <v>26.12</v>
      </c>
      <c r="F499" s="1" t="s">
        <v>25</v>
      </c>
      <c r="G499" s="1">
        <v>3</v>
      </c>
      <c r="H499" s="1">
        <v>3</v>
      </c>
      <c r="I499" s="1">
        <v>270</v>
      </c>
      <c r="J499" s="1">
        <v>3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 t="s">
        <v>26</v>
      </c>
      <c r="U499" s="1">
        <v>0</v>
      </c>
    </row>
    <row r="500" spans="1:21" x14ac:dyDescent="0.3">
      <c r="A500" t="s">
        <v>630</v>
      </c>
      <c r="B500" t="s">
        <v>64</v>
      </c>
      <c r="C500" t="s">
        <v>225</v>
      </c>
      <c r="D500" t="s">
        <v>226</v>
      </c>
      <c r="E500" s="1">
        <v>35.03</v>
      </c>
      <c r="F500" s="1" t="s">
        <v>74</v>
      </c>
      <c r="G500" s="1">
        <v>2</v>
      </c>
      <c r="H500" s="1">
        <v>0</v>
      </c>
      <c r="I500" s="1">
        <v>58</v>
      </c>
      <c r="J500" s="1">
        <v>0.6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 t="s">
        <v>35</v>
      </c>
      <c r="U500" s="1">
        <v>2</v>
      </c>
    </row>
    <row r="501" spans="1:21" x14ac:dyDescent="0.3">
      <c r="A501" t="s">
        <v>631</v>
      </c>
      <c r="B501" t="s">
        <v>37</v>
      </c>
      <c r="C501" t="s">
        <v>309</v>
      </c>
      <c r="D501" t="s">
        <v>310</v>
      </c>
      <c r="E501" s="1">
        <v>27.19</v>
      </c>
      <c r="F501" s="1" t="s">
        <v>39</v>
      </c>
      <c r="G501" s="1">
        <v>3</v>
      </c>
      <c r="H501" s="1">
        <v>3</v>
      </c>
      <c r="I501" s="1">
        <v>270</v>
      </c>
      <c r="J501" s="1">
        <v>3</v>
      </c>
      <c r="K501" s="1">
        <v>1</v>
      </c>
      <c r="L501" s="1">
        <v>0</v>
      </c>
      <c r="M501" s="1">
        <v>1</v>
      </c>
      <c r="N501" s="1">
        <v>1</v>
      </c>
      <c r="O501" s="1">
        <v>0</v>
      </c>
      <c r="P501" s="1">
        <v>0</v>
      </c>
      <c r="Q501" s="1">
        <v>1</v>
      </c>
      <c r="R501" s="1">
        <v>0</v>
      </c>
      <c r="S501" s="1">
        <v>0.33300000000000002</v>
      </c>
      <c r="T501" s="1" t="s">
        <v>26</v>
      </c>
      <c r="U501" s="1">
        <v>0</v>
      </c>
    </row>
    <row r="502" spans="1:21" x14ac:dyDescent="0.3">
      <c r="A502" t="s">
        <v>632</v>
      </c>
      <c r="B502" t="s">
        <v>22</v>
      </c>
      <c r="C502" t="s">
        <v>391</v>
      </c>
      <c r="D502" t="s">
        <v>392</v>
      </c>
      <c r="E502" s="1">
        <v>25.07</v>
      </c>
      <c r="F502" s="1" t="s">
        <v>25</v>
      </c>
      <c r="G502" s="1">
        <v>1</v>
      </c>
      <c r="H502" s="1">
        <v>1</v>
      </c>
      <c r="I502" s="1">
        <v>74</v>
      </c>
      <c r="J502" s="1">
        <v>0.8</v>
      </c>
      <c r="K502" s="1">
        <v>0</v>
      </c>
      <c r="L502" s="1">
        <v>1</v>
      </c>
      <c r="M502" s="1">
        <v>1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 t="s">
        <v>26</v>
      </c>
      <c r="U502" s="1">
        <v>0</v>
      </c>
    </row>
    <row r="503" spans="1:21" x14ac:dyDescent="0.3">
      <c r="A503" t="s">
        <v>633</v>
      </c>
      <c r="B503" t="s">
        <v>64</v>
      </c>
      <c r="C503" t="s">
        <v>174</v>
      </c>
      <c r="D503" t="s">
        <v>175</v>
      </c>
      <c r="E503" s="1">
        <v>33.78</v>
      </c>
      <c r="F503" s="1" t="s">
        <v>44</v>
      </c>
      <c r="G503" s="1">
        <v>1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 t="s">
        <v>35</v>
      </c>
      <c r="U503" s="1">
        <v>1</v>
      </c>
    </row>
    <row r="504" spans="1:21" x14ac:dyDescent="0.3">
      <c r="A504" t="s">
        <v>634</v>
      </c>
      <c r="B504" t="s">
        <v>31</v>
      </c>
      <c r="C504" t="s">
        <v>80</v>
      </c>
      <c r="D504" t="s">
        <v>81</v>
      </c>
      <c r="E504" s="1">
        <v>22.77</v>
      </c>
      <c r="F504" s="1" t="s">
        <v>34</v>
      </c>
      <c r="G504" s="1">
        <v>2</v>
      </c>
      <c r="H504" s="1">
        <v>0</v>
      </c>
      <c r="I504" s="1">
        <v>27</v>
      </c>
      <c r="J504" s="1">
        <v>0.3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 t="s">
        <v>35</v>
      </c>
      <c r="U504" s="1">
        <v>2</v>
      </c>
    </row>
    <row r="505" spans="1:21" x14ac:dyDescent="0.3">
      <c r="A505" t="s">
        <v>635</v>
      </c>
      <c r="B505" t="s">
        <v>37</v>
      </c>
      <c r="C505" t="s">
        <v>107</v>
      </c>
      <c r="D505" t="s">
        <v>108</v>
      </c>
      <c r="E505" s="1">
        <v>26.23</v>
      </c>
      <c r="F505" s="1" t="s">
        <v>25</v>
      </c>
      <c r="G505" s="1">
        <v>1</v>
      </c>
      <c r="H505" s="1">
        <v>1</v>
      </c>
      <c r="I505" s="1">
        <v>90</v>
      </c>
      <c r="J505" s="1">
        <v>1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 t="s">
        <v>26</v>
      </c>
      <c r="U505" s="1">
        <v>0</v>
      </c>
    </row>
    <row r="506" spans="1:21" x14ac:dyDescent="0.3">
      <c r="A506" t="s">
        <v>636</v>
      </c>
      <c r="B506" t="s">
        <v>37</v>
      </c>
      <c r="C506" t="s">
        <v>129</v>
      </c>
      <c r="D506" t="s">
        <v>130</v>
      </c>
      <c r="E506" s="1">
        <v>26.22</v>
      </c>
      <c r="F506" s="1" t="s">
        <v>25</v>
      </c>
      <c r="G506" s="1">
        <v>3</v>
      </c>
      <c r="H506" s="1">
        <v>3</v>
      </c>
      <c r="I506" s="1">
        <v>270</v>
      </c>
      <c r="J506" s="1">
        <v>3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 t="s">
        <v>26</v>
      </c>
      <c r="U506" s="1">
        <v>0</v>
      </c>
    </row>
    <row r="507" spans="1:21" x14ac:dyDescent="0.3">
      <c r="A507" t="s">
        <v>637</v>
      </c>
      <c r="B507" t="s">
        <v>148</v>
      </c>
      <c r="C507" t="s">
        <v>112</v>
      </c>
      <c r="D507" t="s">
        <v>113</v>
      </c>
      <c r="E507" s="1">
        <v>29.09</v>
      </c>
      <c r="F507" s="1" t="s">
        <v>39</v>
      </c>
      <c r="G507" s="1">
        <v>3</v>
      </c>
      <c r="H507" s="1">
        <v>3</v>
      </c>
      <c r="I507" s="1">
        <v>270</v>
      </c>
      <c r="J507" s="1">
        <v>3</v>
      </c>
      <c r="K507" s="1">
        <v>0</v>
      </c>
      <c r="L507" s="1">
        <v>1</v>
      </c>
      <c r="M507" s="1">
        <v>1</v>
      </c>
      <c r="N507" s="1">
        <v>0</v>
      </c>
      <c r="O507" s="1">
        <v>0</v>
      </c>
      <c r="P507" s="1">
        <v>0</v>
      </c>
      <c r="Q507" s="1">
        <v>1</v>
      </c>
      <c r="R507" s="1">
        <v>0</v>
      </c>
      <c r="S507" s="1">
        <v>0</v>
      </c>
      <c r="T507" s="1" t="s">
        <v>26</v>
      </c>
      <c r="U507" s="1">
        <v>0</v>
      </c>
    </row>
    <row r="508" spans="1:21" x14ac:dyDescent="0.3">
      <c r="A508" t="s">
        <v>638</v>
      </c>
      <c r="B508" t="s">
        <v>37</v>
      </c>
      <c r="C508" t="s">
        <v>46</v>
      </c>
      <c r="D508" t="s">
        <v>47</v>
      </c>
      <c r="E508" s="1">
        <v>30.18</v>
      </c>
      <c r="F508" s="1" t="s">
        <v>39</v>
      </c>
      <c r="G508" s="1">
        <v>3</v>
      </c>
      <c r="H508" s="1">
        <v>1</v>
      </c>
      <c r="I508" s="1">
        <v>149</v>
      </c>
      <c r="J508" s="1">
        <v>1.7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 t="s">
        <v>40</v>
      </c>
      <c r="U508" s="1">
        <v>2</v>
      </c>
    </row>
    <row r="509" spans="1:21" x14ac:dyDescent="0.3">
      <c r="A509" t="s">
        <v>639</v>
      </c>
      <c r="B509" t="s">
        <v>64</v>
      </c>
      <c r="C509" t="s">
        <v>101</v>
      </c>
      <c r="D509" t="s">
        <v>102</v>
      </c>
      <c r="E509" s="1">
        <v>27.04</v>
      </c>
      <c r="F509" s="1" t="s">
        <v>39</v>
      </c>
      <c r="G509" s="1">
        <v>2</v>
      </c>
      <c r="H509" s="1">
        <v>0</v>
      </c>
      <c r="I509" s="1">
        <v>8</v>
      </c>
      <c r="J509" s="1">
        <v>0.1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 t="s">
        <v>35</v>
      </c>
      <c r="U509" s="1">
        <v>2</v>
      </c>
    </row>
    <row r="510" spans="1:21" x14ac:dyDescent="0.3">
      <c r="A510" t="s">
        <v>640</v>
      </c>
      <c r="B510" t="s">
        <v>37</v>
      </c>
      <c r="C510" t="s">
        <v>28</v>
      </c>
      <c r="D510" t="s">
        <v>29</v>
      </c>
      <c r="E510" s="1">
        <v>25.41</v>
      </c>
      <c r="F510" s="1" t="s">
        <v>25</v>
      </c>
      <c r="G510" s="1">
        <v>1</v>
      </c>
      <c r="H510" s="1">
        <v>0</v>
      </c>
      <c r="I510" s="1">
        <v>25</v>
      </c>
      <c r="J510" s="1">
        <v>0.3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 t="s">
        <v>35</v>
      </c>
      <c r="U510" s="1">
        <v>1</v>
      </c>
    </row>
    <row r="511" spans="1:21" x14ac:dyDescent="0.3">
      <c r="A511" t="s">
        <v>641</v>
      </c>
      <c r="B511" t="s">
        <v>37</v>
      </c>
      <c r="C511" t="s">
        <v>209</v>
      </c>
      <c r="D511" t="s">
        <v>210</v>
      </c>
      <c r="E511" s="1">
        <v>32.090000000000003</v>
      </c>
      <c r="F511" s="1" t="s">
        <v>44</v>
      </c>
      <c r="G511" s="1">
        <v>3</v>
      </c>
      <c r="H511" s="1">
        <v>3</v>
      </c>
      <c r="I511" s="1">
        <v>270</v>
      </c>
      <c r="J511" s="1">
        <v>3</v>
      </c>
      <c r="K511" s="1">
        <v>0</v>
      </c>
      <c r="L511" s="1">
        <v>1</v>
      </c>
      <c r="M511" s="1">
        <v>1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 t="s">
        <v>26</v>
      </c>
      <c r="U511" s="1">
        <v>0</v>
      </c>
    </row>
    <row r="512" spans="1:21" x14ac:dyDescent="0.3">
      <c r="A512" t="s">
        <v>642</v>
      </c>
      <c r="B512" t="s">
        <v>31</v>
      </c>
      <c r="C512" t="s">
        <v>92</v>
      </c>
      <c r="D512" t="s">
        <v>93</v>
      </c>
      <c r="E512" s="1">
        <v>31.2</v>
      </c>
      <c r="F512" s="1" t="s">
        <v>44</v>
      </c>
      <c r="G512" s="1">
        <v>3</v>
      </c>
      <c r="H512" s="1">
        <v>2</v>
      </c>
      <c r="I512" s="1">
        <v>162</v>
      </c>
      <c r="J512" s="1">
        <v>1.8</v>
      </c>
      <c r="K512" s="1">
        <v>2</v>
      </c>
      <c r="L512" s="1">
        <v>0</v>
      </c>
      <c r="M512" s="1">
        <v>2</v>
      </c>
      <c r="N512" s="1">
        <v>2</v>
      </c>
      <c r="O512" s="1">
        <v>0</v>
      </c>
      <c r="P512" s="1">
        <v>0</v>
      </c>
      <c r="Q512" s="1">
        <v>1</v>
      </c>
      <c r="R512" s="1">
        <v>0</v>
      </c>
      <c r="S512" s="1">
        <v>1.111</v>
      </c>
      <c r="T512" s="1" t="s">
        <v>40</v>
      </c>
      <c r="U512" s="1">
        <v>1</v>
      </c>
    </row>
    <row r="513" spans="1:21" x14ac:dyDescent="0.3">
      <c r="A513" t="s">
        <v>643</v>
      </c>
      <c r="B513" t="s">
        <v>37</v>
      </c>
      <c r="C513" t="s">
        <v>92</v>
      </c>
      <c r="D513" t="s">
        <v>93</v>
      </c>
      <c r="E513" s="1">
        <v>31.48</v>
      </c>
      <c r="F513" s="1" t="s">
        <v>44</v>
      </c>
      <c r="G513" s="1">
        <v>4</v>
      </c>
      <c r="H513" s="1">
        <v>4</v>
      </c>
      <c r="I513" s="1">
        <v>352</v>
      </c>
      <c r="J513" s="1">
        <v>3.9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 t="s">
        <v>26</v>
      </c>
      <c r="U513" s="1">
        <v>0</v>
      </c>
    </row>
    <row r="514" spans="1:21" x14ac:dyDescent="0.3">
      <c r="A514" t="s">
        <v>644</v>
      </c>
      <c r="B514" t="s">
        <v>22</v>
      </c>
      <c r="C514" t="s">
        <v>32</v>
      </c>
      <c r="D514" t="s">
        <v>33</v>
      </c>
      <c r="E514" s="1">
        <v>30.09</v>
      </c>
      <c r="F514" s="1" t="s">
        <v>39</v>
      </c>
      <c r="G514" s="1">
        <v>3</v>
      </c>
      <c r="H514" s="1">
        <v>3</v>
      </c>
      <c r="I514" s="1">
        <v>270</v>
      </c>
      <c r="J514" s="1">
        <v>3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2</v>
      </c>
      <c r="R514" s="1">
        <v>0</v>
      </c>
      <c r="S514" s="1">
        <v>0</v>
      </c>
      <c r="T514" s="1" t="s">
        <v>26</v>
      </c>
      <c r="U514" s="1">
        <v>0</v>
      </c>
    </row>
    <row r="515" spans="1:21" x14ac:dyDescent="0.3">
      <c r="A515" t="s">
        <v>645</v>
      </c>
      <c r="B515" t="s">
        <v>148</v>
      </c>
      <c r="C515" t="s">
        <v>52</v>
      </c>
      <c r="D515" t="s">
        <v>53</v>
      </c>
      <c r="E515" s="1">
        <v>28.52</v>
      </c>
      <c r="F515" s="1" t="s">
        <v>39</v>
      </c>
      <c r="G515" s="1">
        <v>3</v>
      </c>
      <c r="H515" s="1">
        <v>3</v>
      </c>
      <c r="I515" s="1">
        <v>270</v>
      </c>
      <c r="J515" s="1">
        <v>3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 t="s">
        <v>26</v>
      </c>
      <c r="U515" s="1">
        <v>0</v>
      </c>
    </row>
    <row r="516" spans="1:21" x14ac:dyDescent="0.3">
      <c r="A516" t="s">
        <v>646</v>
      </c>
      <c r="B516" t="s">
        <v>64</v>
      </c>
      <c r="C516" t="s">
        <v>181</v>
      </c>
      <c r="D516" t="s">
        <v>182</v>
      </c>
      <c r="E516" s="1">
        <v>27.05</v>
      </c>
      <c r="F516" s="1" t="s">
        <v>39</v>
      </c>
      <c r="G516" s="1">
        <v>3</v>
      </c>
      <c r="H516" s="1">
        <v>0</v>
      </c>
      <c r="I516" s="1">
        <v>48</v>
      </c>
      <c r="J516" s="1">
        <v>0.5</v>
      </c>
      <c r="K516" s="1">
        <v>1</v>
      </c>
      <c r="L516" s="1">
        <v>0</v>
      </c>
      <c r="M516" s="1">
        <v>1</v>
      </c>
      <c r="N516" s="1">
        <v>1</v>
      </c>
      <c r="O516" s="1">
        <v>0</v>
      </c>
      <c r="P516" s="1">
        <v>0</v>
      </c>
      <c r="Q516" s="1">
        <v>0</v>
      </c>
      <c r="R516" s="1">
        <v>0</v>
      </c>
      <c r="S516" s="1">
        <v>2</v>
      </c>
      <c r="T516" s="1" t="s">
        <v>35</v>
      </c>
      <c r="U516" s="1">
        <v>3</v>
      </c>
    </row>
    <row r="517" spans="1:21" x14ac:dyDescent="0.3">
      <c r="A517" t="s">
        <v>647</v>
      </c>
      <c r="B517" t="s">
        <v>22</v>
      </c>
      <c r="C517" t="s">
        <v>231</v>
      </c>
      <c r="D517" t="s">
        <v>232</v>
      </c>
      <c r="E517" s="1">
        <v>35.4</v>
      </c>
      <c r="F517" s="1" t="s">
        <v>74</v>
      </c>
      <c r="G517" s="1">
        <v>1</v>
      </c>
      <c r="H517" s="1">
        <v>1</v>
      </c>
      <c r="I517" s="1">
        <v>60</v>
      </c>
      <c r="J517" s="1">
        <v>0.7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 t="s">
        <v>26</v>
      </c>
      <c r="U517" s="1">
        <v>0</v>
      </c>
    </row>
    <row r="518" spans="1:21" x14ac:dyDescent="0.3">
      <c r="A518" t="s">
        <v>648</v>
      </c>
      <c r="B518" t="s">
        <v>22</v>
      </c>
      <c r="C518" t="s">
        <v>189</v>
      </c>
      <c r="D518" t="s">
        <v>190</v>
      </c>
      <c r="E518" s="1">
        <v>31.68</v>
      </c>
      <c r="F518" s="1" t="s">
        <v>44</v>
      </c>
      <c r="G518" s="1">
        <v>3</v>
      </c>
      <c r="H518" s="1">
        <v>3</v>
      </c>
      <c r="I518" s="1">
        <v>239</v>
      </c>
      <c r="J518" s="1">
        <v>2.7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1</v>
      </c>
      <c r="R518" s="1">
        <v>0</v>
      </c>
      <c r="S518" s="1">
        <v>0</v>
      </c>
      <c r="T518" s="1" t="s">
        <v>26</v>
      </c>
      <c r="U518" s="1">
        <v>0</v>
      </c>
    </row>
    <row r="519" spans="1:21" x14ac:dyDescent="0.3">
      <c r="A519" t="s">
        <v>649</v>
      </c>
      <c r="B519" t="s">
        <v>64</v>
      </c>
      <c r="C519" t="s">
        <v>159</v>
      </c>
      <c r="D519" t="s">
        <v>160</v>
      </c>
      <c r="E519" s="1">
        <v>25.34</v>
      </c>
      <c r="F519" s="1" t="s">
        <v>25</v>
      </c>
      <c r="G519" s="1">
        <v>1</v>
      </c>
      <c r="H519" s="1">
        <v>0</v>
      </c>
      <c r="I519" s="1">
        <v>31</v>
      </c>
      <c r="J519" s="1">
        <v>0.3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 t="s">
        <v>35</v>
      </c>
      <c r="U519" s="1">
        <v>1</v>
      </c>
    </row>
    <row r="520" spans="1:21" x14ac:dyDescent="0.3">
      <c r="A520" t="s">
        <v>650</v>
      </c>
      <c r="B520" t="s">
        <v>37</v>
      </c>
      <c r="C520" t="s">
        <v>112</v>
      </c>
      <c r="D520" t="s">
        <v>113</v>
      </c>
      <c r="E520" s="1">
        <v>29.97</v>
      </c>
      <c r="F520" s="1" t="s">
        <v>39</v>
      </c>
      <c r="G520" s="1">
        <v>2</v>
      </c>
      <c r="H520" s="1">
        <v>2</v>
      </c>
      <c r="I520" s="1">
        <v>180</v>
      </c>
      <c r="J520" s="1">
        <v>2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 t="s">
        <v>26</v>
      </c>
      <c r="U520" s="1">
        <v>0</v>
      </c>
    </row>
    <row r="521" spans="1:21" x14ac:dyDescent="0.3">
      <c r="A521" t="s">
        <v>651</v>
      </c>
      <c r="B521" t="s">
        <v>155</v>
      </c>
      <c r="C521" t="s">
        <v>129</v>
      </c>
      <c r="D521" t="s">
        <v>130</v>
      </c>
      <c r="E521" s="1">
        <v>31.95</v>
      </c>
      <c r="F521" s="1" t="s">
        <v>44</v>
      </c>
      <c r="G521" s="1">
        <v>3</v>
      </c>
      <c r="H521" s="1">
        <v>3</v>
      </c>
      <c r="I521" s="1">
        <v>266</v>
      </c>
      <c r="J521" s="1">
        <v>3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 t="s">
        <v>26</v>
      </c>
      <c r="U521" s="1">
        <v>0</v>
      </c>
    </row>
    <row r="522" spans="1:21" x14ac:dyDescent="0.3">
      <c r="A522" t="s">
        <v>652</v>
      </c>
      <c r="B522" t="s">
        <v>22</v>
      </c>
      <c r="C522" t="s">
        <v>145</v>
      </c>
      <c r="D522" t="s">
        <v>146</v>
      </c>
      <c r="E522" s="1">
        <v>26.15</v>
      </c>
      <c r="F522" s="1" t="s">
        <v>25</v>
      </c>
      <c r="G522" s="1">
        <v>2</v>
      </c>
      <c r="H522" s="1">
        <v>2</v>
      </c>
      <c r="I522" s="1">
        <v>165</v>
      </c>
      <c r="J522" s="1">
        <v>1.8</v>
      </c>
      <c r="K522" s="1">
        <v>0</v>
      </c>
      <c r="L522" s="1">
        <v>1</v>
      </c>
      <c r="M522" s="1">
        <v>1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 t="s">
        <v>26</v>
      </c>
      <c r="U522" s="1">
        <v>0</v>
      </c>
    </row>
    <row r="523" spans="1:21" x14ac:dyDescent="0.3">
      <c r="A523" t="s">
        <v>653</v>
      </c>
      <c r="B523" t="s">
        <v>61</v>
      </c>
      <c r="C523" t="s">
        <v>225</v>
      </c>
      <c r="D523" t="s">
        <v>226</v>
      </c>
      <c r="E523" s="1">
        <v>31.47</v>
      </c>
      <c r="F523" s="1" t="s">
        <v>44</v>
      </c>
      <c r="G523" s="1">
        <v>3</v>
      </c>
      <c r="H523" s="1">
        <v>3</v>
      </c>
      <c r="I523" s="1">
        <v>270</v>
      </c>
      <c r="J523" s="1">
        <v>3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 t="s">
        <v>26</v>
      </c>
      <c r="U523" s="1">
        <v>0</v>
      </c>
    </row>
    <row r="524" spans="1:21" x14ac:dyDescent="0.3">
      <c r="A524" t="s">
        <v>654</v>
      </c>
      <c r="B524" t="s">
        <v>31</v>
      </c>
      <c r="C524" t="s">
        <v>184</v>
      </c>
      <c r="D524" t="s">
        <v>185</v>
      </c>
      <c r="E524" s="1">
        <v>25.16</v>
      </c>
      <c r="F524" s="1" t="s">
        <v>25</v>
      </c>
      <c r="G524" s="1">
        <v>2</v>
      </c>
      <c r="H524" s="1">
        <v>2</v>
      </c>
      <c r="I524" s="1">
        <v>120</v>
      </c>
      <c r="J524" s="1">
        <v>1.3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 t="s">
        <v>26</v>
      </c>
      <c r="U524" s="1">
        <v>0</v>
      </c>
    </row>
    <row r="525" spans="1:21" x14ac:dyDescent="0.3">
      <c r="A525" t="s">
        <v>655</v>
      </c>
      <c r="B525" t="s">
        <v>37</v>
      </c>
      <c r="C525" t="s">
        <v>209</v>
      </c>
      <c r="D525" t="s">
        <v>210</v>
      </c>
      <c r="E525" s="1">
        <v>31.41</v>
      </c>
      <c r="F525" s="1" t="s">
        <v>44</v>
      </c>
      <c r="G525" s="1">
        <v>2</v>
      </c>
      <c r="H525" s="1">
        <v>2</v>
      </c>
      <c r="I525" s="1">
        <v>180</v>
      </c>
      <c r="J525" s="1">
        <v>2</v>
      </c>
      <c r="K525" s="1">
        <v>0</v>
      </c>
      <c r="L525" s="1">
        <v>1</v>
      </c>
      <c r="M525" s="1">
        <v>1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 t="s">
        <v>26</v>
      </c>
      <c r="U525" s="1">
        <v>0</v>
      </c>
    </row>
    <row r="526" spans="1:21" x14ac:dyDescent="0.3">
      <c r="A526" t="s">
        <v>656</v>
      </c>
      <c r="B526" t="s">
        <v>22</v>
      </c>
      <c r="C526" t="s">
        <v>139</v>
      </c>
      <c r="D526" t="s">
        <v>140</v>
      </c>
      <c r="E526" s="1">
        <v>30.22</v>
      </c>
      <c r="F526" s="1" t="s">
        <v>39</v>
      </c>
      <c r="G526" s="1">
        <v>1</v>
      </c>
      <c r="H526" s="1">
        <v>1</v>
      </c>
      <c r="I526" s="1">
        <v>59</v>
      </c>
      <c r="J526" s="1">
        <v>0.7</v>
      </c>
      <c r="K526" s="1">
        <v>1</v>
      </c>
      <c r="L526" s="1">
        <v>0</v>
      </c>
      <c r="M526" s="1">
        <v>1</v>
      </c>
      <c r="N526" s="1">
        <v>1</v>
      </c>
      <c r="O526" s="1">
        <v>0</v>
      </c>
      <c r="P526" s="1">
        <v>0</v>
      </c>
      <c r="Q526" s="1">
        <v>0</v>
      </c>
      <c r="R526" s="1">
        <v>0</v>
      </c>
      <c r="S526" s="1">
        <v>1.429</v>
      </c>
      <c r="T526" s="1" t="s">
        <v>26</v>
      </c>
      <c r="U526" s="1">
        <v>0</v>
      </c>
    </row>
    <row r="527" spans="1:21" x14ac:dyDescent="0.3">
      <c r="A527" t="s">
        <v>657</v>
      </c>
      <c r="B527" t="s">
        <v>31</v>
      </c>
      <c r="C527" t="s">
        <v>174</v>
      </c>
      <c r="D527" t="s">
        <v>175</v>
      </c>
      <c r="E527" s="1">
        <v>32.64</v>
      </c>
      <c r="F527" s="1" t="s">
        <v>44</v>
      </c>
      <c r="G527" s="1">
        <v>3</v>
      </c>
      <c r="H527" s="1">
        <v>3</v>
      </c>
      <c r="I527" s="1">
        <v>235</v>
      </c>
      <c r="J527" s="1">
        <v>2.6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 t="s">
        <v>26</v>
      </c>
      <c r="U527" s="1">
        <v>0</v>
      </c>
    </row>
    <row r="528" spans="1:21" x14ac:dyDescent="0.3">
      <c r="A528" t="s">
        <v>658</v>
      </c>
      <c r="B528" t="s">
        <v>22</v>
      </c>
      <c r="C528" t="s">
        <v>156</v>
      </c>
      <c r="D528" t="s">
        <v>157</v>
      </c>
      <c r="E528" s="1">
        <v>25.02</v>
      </c>
      <c r="F528" s="1" t="s">
        <v>25</v>
      </c>
      <c r="G528" s="1">
        <v>3</v>
      </c>
      <c r="H528" s="1">
        <v>0</v>
      </c>
      <c r="I528" s="1">
        <v>56</v>
      </c>
      <c r="J528" s="1">
        <v>0.6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 t="s">
        <v>35</v>
      </c>
      <c r="U528" s="1">
        <v>3</v>
      </c>
    </row>
    <row r="529" spans="1:21" x14ac:dyDescent="0.3">
      <c r="A529" t="s">
        <v>659</v>
      </c>
      <c r="B529" t="s">
        <v>37</v>
      </c>
      <c r="C529" t="s">
        <v>184</v>
      </c>
      <c r="D529" t="s">
        <v>185</v>
      </c>
      <c r="E529" s="1">
        <v>23.78</v>
      </c>
      <c r="F529" s="1" t="s">
        <v>25</v>
      </c>
      <c r="G529" s="1">
        <v>2</v>
      </c>
      <c r="H529" s="1">
        <v>2</v>
      </c>
      <c r="I529" s="1">
        <v>165</v>
      </c>
      <c r="J529" s="1">
        <v>1.8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2</v>
      </c>
      <c r="R529" s="1">
        <v>0</v>
      </c>
      <c r="S529" s="1">
        <v>0</v>
      </c>
      <c r="T529" s="1" t="s">
        <v>26</v>
      </c>
      <c r="U529" s="1">
        <v>0</v>
      </c>
    </row>
    <row r="530" spans="1:21" x14ac:dyDescent="0.3">
      <c r="A530" t="s">
        <v>660</v>
      </c>
      <c r="B530" t="s">
        <v>31</v>
      </c>
      <c r="C530" t="s">
        <v>139</v>
      </c>
      <c r="D530" t="s">
        <v>140</v>
      </c>
      <c r="E530" s="1">
        <v>25.56</v>
      </c>
      <c r="F530" s="1" t="s">
        <v>25</v>
      </c>
      <c r="G530" s="1">
        <v>1</v>
      </c>
      <c r="H530" s="1">
        <v>0</v>
      </c>
      <c r="I530" s="1">
        <v>9</v>
      </c>
      <c r="J530" s="1">
        <v>0.1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 t="s">
        <v>35</v>
      </c>
      <c r="U530" s="1">
        <v>1</v>
      </c>
    </row>
    <row r="531" spans="1:21" x14ac:dyDescent="0.3">
      <c r="A531" t="s">
        <v>661</v>
      </c>
      <c r="B531" t="s">
        <v>37</v>
      </c>
      <c r="C531" t="s">
        <v>80</v>
      </c>
      <c r="D531" t="s">
        <v>81</v>
      </c>
      <c r="E531" s="1">
        <v>30.99</v>
      </c>
      <c r="F531" s="1" t="s">
        <v>39</v>
      </c>
      <c r="G531" s="1">
        <v>1</v>
      </c>
      <c r="H531" s="1">
        <v>1</v>
      </c>
      <c r="I531" s="1">
        <v>90</v>
      </c>
      <c r="J531" s="1">
        <v>1</v>
      </c>
      <c r="K531" s="1">
        <v>1</v>
      </c>
      <c r="L531" s="1">
        <v>0</v>
      </c>
      <c r="M531" s="1">
        <v>1</v>
      </c>
      <c r="N531" s="1">
        <v>1</v>
      </c>
      <c r="O531" s="1">
        <v>0</v>
      </c>
      <c r="P531" s="1">
        <v>0</v>
      </c>
      <c r="Q531" s="1">
        <v>0</v>
      </c>
      <c r="R531" s="1">
        <v>0</v>
      </c>
      <c r="S531" s="1">
        <v>1</v>
      </c>
      <c r="T531" s="1" t="s">
        <v>26</v>
      </c>
      <c r="U531" s="1">
        <v>0</v>
      </c>
    </row>
    <row r="532" spans="1:21" x14ac:dyDescent="0.3">
      <c r="A532" t="s">
        <v>662</v>
      </c>
      <c r="B532" t="s">
        <v>37</v>
      </c>
      <c r="C532" t="s">
        <v>189</v>
      </c>
      <c r="D532" t="s">
        <v>190</v>
      </c>
      <c r="E532" s="1">
        <v>28.01</v>
      </c>
      <c r="F532" s="1" t="s">
        <v>39</v>
      </c>
      <c r="G532" s="1">
        <v>3</v>
      </c>
      <c r="H532" s="1">
        <v>3</v>
      </c>
      <c r="I532" s="1">
        <v>270</v>
      </c>
      <c r="J532" s="1">
        <v>3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1</v>
      </c>
      <c r="R532" s="1">
        <v>0</v>
      </c>
      <c r="S532" s="1">
        <v>0</v>
      </c>
      <c r="T532" s="1" t="s">
        <v>26</v>
      </c>
      <c r="U532" s="1">
        <v>0</v>
      </c>
    </row>
    <row r="533" spans="1:21" x14ac:dyDescent="0.3">
      <c r="A533" t="s">
        <v>663</v>
      </c>
      <c r="B533" t="s">
        <v>83</v>
      </c>
      <c r="C533" t="s">
        <v>156</v>
      </c>
      <c r="D533" t="s">
        <v>157</v>
      </c>
      <c r="E533" s="1">
        <v>28.03</v>
      </c>
      <c r="F533" s="1" t="s">
        <v>39</v>
      </c>
      <c r="G533" s="1">
        <v>3</v>
      </c>
      <c r="H533" s="1">
        <v>3</v>
      </c>
      <c r="I533" s="1">
        <v>233</v>
      </c>
      <c r="J533" s="1">
        <v>2.6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 t="s">
        <v>26</v>
      </c>
      <c r="U533" s="1">
        <v>0</v>
      </c>
    </row>
    <row r="534" spans="1:21" x14ac:dyDescent="0.3">
      <c r="A534" t="s">
        <v>664</v>
      </c>
      <c r="B534" t="s">
        <v>31</v>
      </c>
      <c r="C534" t="s">
        <v>301</v>
      </c>
      <c r="D534" t="s">
        <v>302</v>
      </c>
      <c r="E534" s="1">
        <v>33.130000000000003</v>
      </c>
      <c r="F534" s="1" t="s">
        <v>44</v>
      </c>
      <c r="G534" s="1">
        <v>3</v>
      </c>
      <c r="H534" s="1">
        <v>1</v>
      </c>
      <c r="I534" s="1">
        <v>103</v>
      </c>
      <c r="J534" s="1">
        <v>1.1000000000000001</v>
      </c>
      <c r="K534" s="1">
        <v>1</v>
      </c>
      <c r="L534" s="1">
        <v>1</v>
      </c>
      <c r="M534" s="1">
        <v>2</v>
      </c>
      <c r="N534" s="1">
        <v>1</v>
      </c>
      <c r="O534" s="1">
        <v>0</v>
      </c>
      <c r="P534" s="1">
        <v>0</v>
      </c>
      <c r="Q534" s="1">
        <v>1</v>
      </c>
      <c r="R534" s="1">
        <v>0</v>
      </c>
      <c r="S534" s="1">
        <v>0.90900000000000003</v>
      </c>
      <c r="T534" s="1" t="s">
        <v>40</v>
      </c>
      <c r="U534" s="1">
        <v>2</v>
      </c>
    </row>
    <row r="535" spans="1:21" x14ac:dyDescent="0.3">
      <c r="A535" t="s">
        <v>665</v>
      </c>
      <c r="B535" t="s">
        <v>64</v>
      </c>
      <c r="C535" t="s">
        <v>301</v>
      </c>
      <c r="D535" t="s">
        <v>302</v>
      </c>
      <c r="E535" s="1">
        <v>28.76</v>
      </c>
      <c r="F535" s="1" t="s">
        <v>39</v>
      </c>
      <c r="G535" s="1">
        <v>1</v>
      </c>
      <c r="H535" s="1">
        <v>0</v>
      </c>
      <c r="I535" s="1">
        <v>33</v>
      </c>
      <c r="J535" s="1">
        <v>0.4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 t="s">
        <v>35</v>
      </c>
      <c r="U535" s="1">
        <v>1</v>
      </c>
    </row>
    <row r="536" spans="1:21" x14ac:dyDescent="0.3">
      <c r="A536" t="s">
        <v>666</v>
      </c>
      <c r="B536" t="s">
        <v>31</v>
      </c>
      <c r="C536" t="s">
        <v>115</v>
      </c>
      <c r="D536" t="s">
        <v>116</v>
      </c>
      <c r="E536" s="1">
        <v>27.59</v>
      </c>
      <c r="F536" s="1" t="s">
        <v>39</v>
      </c>
      <c r="G536" s="1">
        <v>2</v>
      </c>
      <c r="H536" s="1">
        <v>1</v>
      </c>
      <c r="I536" s="1">
        <v>67</v>
      </c>
      <c r="J536" s="1">
        <v>0.7</v>
      </c>
      <c r="K536" s="1">
        <v>1</v>
      </c>
      <c r="L536" s="1">
        <v>0</v>
      </c>
      <c r="M536" s="1">
        <v>1</v>
      </c>
      <c r="N536" s="1">
        <v>1</v>
      </c>
      <c r="O536" s="1">
        <v>0</v>
      </c>
      <c r="P536" s="1">
        <v>0</v>
      </c>
      <c r="Q536" s="1">
        <v>1</v>
      </c>
      <c r="R536" s="1">
        <v>0</v>
      </c>
      <c r="S536" s="1">
        <v>1.429</v>
      </c>
      <c r="T536" s="1" t="s">
        <v>40</v>
      </c>
      <c r="U536" s="1">
        <v>1</v>
      </c>
    </row>
    <row r="537" spans="1:21" x14ac:dyDescent="0.3">
      <c r="A537" t="s">
        <v>667</v>
      </c>
      <c r="B537" t="s">
        <v>22</v>
      </c>
      <c r="C537" t="s">
        <v>139</v>
      </c>
      <c r="D537" t="s">
        <v>140</v>
      </c>
      <c r="E537" s="1">
        <v>27.51</v>
      </c>
      <c r="F537" s="1" t="s">
        <v>39</v>
      </c>
      <c r="G537" s="1">
        <v>3</v>
      </c>
      <c r="H537" s="1">
        <v>2</v>
      </c>
      <c r="I537" s="1">
        <v>210</v>
      </c>
      <c r="J537" s="1">
        <v>2.2999999999999998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 t="s">
        <v>40</v>
      </c>
      <c r="U537" s="1">
        <v>1</v>
      </c>
    </row>
    <row r="538" spans="1:21" x14ac:dyDescent="0.3">
      <c r="A538" t="s">
        <v>668</v>
      </c>
      <c r="B538" t="s">
        <v>37</v>
      </c>
      <c r="C538" t="s">
        <v>189</v>
      </c>
      <c r="D538" t="s">
        <v>190</v>
      </c>
      <c r="E538" s="1">
        <v>32.82</v>
      </c>
      <c r="F538" s="1" t="s">
        <v>44</v>
      </c>
      <c r="G538" s="1">
        <v>1</v>
      </c>
      <c r="H538" s="1">
        <v>1</v>
      </c>
      <c r="I538" s="1">
        <v>90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 t="s">
        <v>26</v>
      </c>
      <c r="U538" s="1">
        <v>0</v>
      </c>
    </row>
    <row r="539" spans="1:21" x14ac:dyDescent="0.3">
      <c r="A539" t="s">
        <v>669</v>
      </c>
      <c r="B539" t="s">
        <v>31</v>
      </c>
      <c r="C539" t="s">
        <v>391</v>
      </c>
      <c r="D539" t="s">
        <v>392</v>
      </c>
      <c r="E539" s="1">
        <v>26.75</v>
      </c>
      <c r="F539" s="1" t="s">
        <v>25</v>
      </c>
      <c r="G539" s="1">
        <v>1</v>
      </c>
      <c r="H539" s="1">
        <v>0</v>
      </c>
      <c r="I539" s="1">
        <v>13</v>
      </c>
      <c r="J539" s="1">
        <v>0.1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 t="s">
        <v>35</v>
      </c>
      <c r="U539" s="1">
        <v>1</v>
      </c>
    </row>
    <row r="540" spans="1:21" x14ac:dyDescent="0.3">
      <c r="A540" t="s">
        <v>670</v>
      </c>
      <c r="B540" t="s">
        <v>22</v>
      </c>
      <c r="C540" t="s">
        <v>52</v>
      </c>
      <c r="D540" t="s">
        <v>53</v>
      </c>
      <c r="E540" s="1">
        <v>29.69</v>
      </c>
      <c r="F540" s="1" t="s">
        <v>39</v>
      </c>
      <c r="G540" s="1">
        <v>2</v>
      </c>
      <c r="H540" s="1">
        <v>2</v>
      </c>
      <c r="I540" s="1">
        <v>131</v>
      </c>
      <c r="J540" s="1">
        <v>1.5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1</v>
      </c>
      <c r="S540" s="1">
        <v>0</v>
      </c>
      <c r="T540" s="1" t="s">
        <v>26</v>
      </c>
      <c r="U540" s="1">
        <v>0</v>
      </c>
    </row>
    <row r="541" spans="1:21" x14ac:dyDescent="0.3">
      <c r="A541" t="s">
        <v>671</v>
      </c>
      <c r="B541" t="s">
        <v>22</v>
      </c>
      <c r="C541" t="s">
        <v>1147</v>
      </c>
      <c r="D541" t="s">
        <v>1149</v>
      </c>
      <c r="E541" s="1">
        <v>24.31</v>
      </c>
      <c r="F541" s="1" t="s">
        <v>25</v>
      </c>
      <c r="G541" s="1">
        <v>3</v>
      </c>
      <c r="H541" s="1">
        <v>2</v>
      </c>
      <c r="I541" s="1">
        <v>181</v>
      </c>
      <c r="J541" s="1">
        <v>2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 t="s">
        <v>40</v>
      </c>
      <c r="U541" s="1">
        <v>1</v>
      </c>
    </row>
    <row r="542" spans="1:21" x14ac:dyDescent="0.3">
      <c r="A542" t="s">
        <v>672</v>
      </c>
      <c r="B542" t="s">
        <v>22</v>
      </c>
      <c r="C542" t="s">
        <v>391</v>
      </c>
      <c r="D542" t="s">
        <v>392</v>
      </c>
      <c r="E542" s="1">
        <v>28.69</v>
      </c>
      <c r="F542" s="1" t="s">
        <v>39</v>
      </c>
      <c r="G542" s="1">
        <v>3</v>
      </c>
      <c r="H542" s="1">
        <v>3</v>
      </c>
      <c r="I542" s="1">
        <v>244</v>
      </c>
      <c r="J542" s="1">
        <v>2.7</v>
      </c>
      <c r="K542" s="1">
        <v>1</v>
      </c>
      <c r="L542" s="1">
        <v>0</v>
      </c>
      <c r="M542" s="1">
        <v>1</v>
      </c>
      <c r="N542" s="1">
        <v>1</v>
      </c>
      <c r="O542" s="1">
        <v>0</v>
      </c>
      <c r="P542" s="1">
        <v>0</v>
      </c>
      <c r="Q542" s="1">
        <v>0</v>
      </c>
      <c r="R542" s="1">
        <v>0</v>
      </c>
      <c r="S542" s="1">
        <v>0.37</v>
      </c>
      <c r="T542" s="1" t="s">
        <v>26</v>
      </c>
      <c r="U542" s="1">
        <v>0</v>
      </c>
    </row>
    <row r="543" spans="1:21" x14ac:dyDescent="0.3">
      <c r="A543" t="s">
        <v>673</v>
      </c>
      <c r="B543" t="s">
        <v>37</v>
      </c>
      <c r="C543" t="s">
        <v>136</v>
      </c>
      <c r="D543" t="s">
        <v>137</v>
      </c>
      <c r="E543" s="1">
        <v>28.53</v>
      </c>
      <c r="F543" s="1" t="s">
        <v>39</v>
      </c>
      <c r="G543" s="1">
        <v>4</v>
      </c>
      <c r="H543" s="1">
        <v>4</v>
      </c>
      <c r="I543" s="1">
        <v>360</v>
      </c>
      <c r="J543" s="1">
        <v>4</v>
      </c>
      <c r="K543" s="1">
        <v>0</v>
      </c>
      <c r="L543" s="1">
        <v>1</v>
      </c>
      <c r="M543" s="1">
        <v>1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 t="s">
        <v>26</v>
      </c>
      <c r="U543" s="1">
        <v>0</v>
      </c>
    </row>
    <row r="544" spans="1:21" x14ac:dyDescent="0.3">
      <c r="A544" t="s">
        <v>674</v>
      </c>
      <c r="B544" t="s">
        <v>22</v>
      </c>
      <c r="C544" t="s">
        <v>115</v>
      </c>
      <c r="D544" t="s">
        <v>116</v>
      </c>
      <c r="E544" s="1">
        <v>21.3</v>
      </c>
      <c r="F544" s="1" t="s">
        <v>34</v>
      </c>
      <c r="G544" s="1">
        <v>2</v>
      </c>
      <c r="H544" s="1">
        <v>0</v>
      </c>
      <c r="I544" s="1">
        <v>28</v>
      </c>
      <c r="J544" s="1">
        <v>0.3</v>
      </c>
      <c r="K544" s="1">
        <v>2</v>
      </c>
      <c r="L544" s="1">
        <v>0</v>
      </c>
      <c r="M544" s="1">
        <v>2</v>
      </c>
      <c r="N544" s="1">
        <v>2</v>
      </c>
      <c r="O544" s="1">
        <v>0</v>
      </c>
      <c r="P544" s="1">
        <v>0</v>
      </c>
      <c r="Q544" s="1">
        <v>1</v>
      </c>
      <c r="R544" s="1">
        <v>0</v>
      </c>
      <c r="S544" s="1">
        <v>6.6669999999999998</v>
      </c>
      <c r="T544" s="1" t="s">
        <v>35</v>
      </c>
      <c r="U544" s="1">
        <v>2</v>
      </c>
    </row>
    <row r="545" spans="1:21" x14ac:dyDescent="0.3">
      <c r="A545" t="s">
        <v>675</v>
      </c>
      <c r="B545" t="s">
        <v>22</v>
      </c>
      <c r="C545" t="s">
        <v>42</v>
      </c>
      <c r="D545" t="s">
        <v>43</v>
      </c>
      <c r="E545" s="1">
        <v>26.18</v>
      </c>
      <c r="F545" s="1" t="s">
        <v>25</v>
      </c>
      <c r="G545" s="1">
        <v>2</v>
      </c>
      <c r="H545" s="1">
        <v>0</v>
      </c>
      <c r="I545" s="1">
        <v>43</v>
      </c>
      <c r="J545" s="1">
        <v>0.5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 t="s">
        <v>35</v>
      </c>
      <c r="U545" s="1">
        <v>2</v>
      </c>
    </row>
    <row r="546" spans="1:21" x14ac:dyDescent="0.3">
      <c r="A546" t="s">
        <v>676</v>
      </c>
      <c r="B546" t="s">
        <v>22</v>
      </c>
      <c r="C546" t="s">
        <v>96</v>
      </c>
      <c r="D546" t="s">
        <v>97</v>
      </c>
      <c r="E546" s="1">
        <v>35.35</v>
      </c>
      <c r="F546" s="1" t="s">
        <v>74</v>
      </c>
      <c r="G546" s="1">
        <v>3</v>
      </c>
      <c r="H546" s="1">
        <v>2</v>
      </c>
      <c r="I546" s="1">
        <v>192</v>
      </c>
      <c r="J546" s="1">
        <v>2.1</v>
      </c>
      <c r="K546" s="1">
        <v>2</v>
      </c>
      <c r="L546" s="1">
        <v>1</v>
      </c>
      <c r="M546" s="1">
        <v>3</v>
      </c>
      <c r="N546" s="1">
        <v>2</v>
      </c>
      <c r="O546" s="1">
        <v>0</v>
      </c>
      <c r="P546" s="1">
        <v>0</v>
      </c>
      <c r="Q546" s="1">
        <v>0</v>
      </c>
      <c r="R546" s="1">
        <v>0</v>
      </c>
      <c r="S546" s="1">
        <v>0.95199999999999996</v>
      </c>
      <c r="T546" s="1" t="s">
        <v>40</v>
      </c>
      <c r="U546" s="1">
        <v>1</v>
      </c>
    </row>
    <row r="547" spans="1:21" x14ac:dyDescent="0.3">
      <c r="A547" t="s">
        <v>677</v>
      </c>
      <c r="B547" t="s">
        <v>37</v>
      </c>
      <c r="C547" t="s">
        <v>121</v>
      </c>
      <c r="D547" t="s">
        <v>122</v>
      </c>
      <c r="E547" s="1">
        <v>20.93</v>
      </c>
      <c r="F547" s="1" t="s">
        <v>34</v>
      </c>
      <c r="G547" s="1">
        <v>2</v>
      </c>
      <c r="H547" s="1">
        <v>1</v>
      </c>
      <c r="I547" s="1">
        <v>55</v>
      </c>
      <c r="J547" s="1">
        <v>0.6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 t="s">
        <v>40</v>
      </c>
      <c r="U547" s="1">
        <v>1</v>
      </c>
    </row>
    <row r="548" spans="1:21" x14ac:dyDescent="0.3">
      <c r="A548" t="s">
        <v>678</v>
      </c>
      <c r="B548" t="s">
        <v>61</v>
      </c>
      <c r="C548" t="s">
        <v>107</v>
      </c>
      <c r="D548" t="s">
        <v>108</v>
      </c>
      <c r="E548" s="1">
        <v>30.99</v>
      </c>
      <c r="F548" s="1" t="s">
        <v>39</v>
      </c>
      <c r="G548" s="1">
        <v>3</v>
      </c>
      <c r="H548" s="1">
        <v>3</v>
      </c>
      <c r="I548" s="1">
        <v>270</v>
      </c>
      <c r="J548" s="1">
        <v>3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 t="s">
        <v>26</v>
      </c>
      <c r="U548" s="1">
        <v>0</v>
      </c>
    </row>
    <row r="549" spans="1:21" x14ac:dyDescent="0.3">
      <c r="A549" t="s">
        <v>679</v>
      </c>
      <c r="B549" t="s">
        <v>31</v>
      </c>
      <c r="C549" t="s">
        <v>68</v>
      </c>
      <c r="D549" t="s">
        <v>69</v>
      </c>
      <c r="E549" s="1">
        <v>26.07</v>
      </c>
      <c r="F549" s="1" t="s">
        <v>25</v>
      </c>
      <c r="G549" s="1">
        <v>4</v>
      </c>
      <c r="H549" s="1">
        <v>2</v>
      </c>
      <c r="I549" s="1">
        <v>215</v>
      </c>
      <c r="J549" s="1">
        <v>2.4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 t="s">
        <v>40</v>
      </c>
      <c r="U549" s="1">
        <v>2</v>
      </c>
    </row>
    <row r="550" spans="1:21" x14ac:dyDescent="0.3">
      <c r="A550" t="s">
        <v>680</v>
      </c>
      <c r="B550" t="s">
        <v>37</v>
      </c>
      <c r="C550" t="s">
        <v>125</v>
      </c>
      <c r="D550" t="s">
        <v>126</v>
      </c>
      <c r="E550" s="1">
        <v>24.76</v>
      </c>
      <c r="F550" s="1" t="s">
        <v>25</v>
      </c>
      <c r="G550" s="1">
        <v>1</v>
      </c>
      <c r="H550" s="1">
        <v>0</v>
      </c>
      <c r="I550" s="1">
        <v>33</v>
      </c>
      <c r="J550" s="1">
        <v>0.4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 t="s">
        <v>35</v>
      </c>
      <c r="U550" s="1">
        <v>1</v>
      </c>
    </row>
    <row r="551" spans="1:21" x14ac:dyDescent="0.3">
      <c r="A551" t="s">
        <v>681</v>
      </c>
      <c r="B551" t="s">
        <v>31</v>
      </c>
      <c r="C551" t="s">
        <v>101</v>
      </c>
      <c r="D551" t="s">
        <v>102</v>
      </c>
      <c r="E551" s="1">
        <v>27.47</v>
      </c>
      <c r="F551" s="1" t="s">
        <v>39</v>
      </c>
      <c r="G551" s="1">
        <v>3</v>
      </c>
      <c r="H551" s="1">
        <v>3</v>
      </c>
      <c r="I551" s="1">
        <v>185</v>
      </c>
      <c r="J551" s="1">
        <v>2.1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 t="s">
        <v>26</v>
      </c>
      <c r="U551" s="1">
        <v>0</v>
      </c>
    </row>
    <row r="552" spans="1:21" x14ac:dyDescent="0.3">
      <c r="A552" t="s">
        <v>682</v>
      </c>
      <c r="B552" t="s">
        <v>37</v>
      </c>
      <c r="C552" t="s">
        <v>115</v>
      </c>
      <c r="D552" t="s">
        <v>116</v>
      </c>
      <c r="E552" s="1">
        <v>20.84</v>
      </c>
      <c r="F552" s="1" t="s">
        <v>34</v>
      </c>
      <c r="G552" s="1">
        <v>1</v>
      </c>
      <c r="H552" s="1">
        <v>1</v>
      </c>
      <c r="I552" s="1">
        <v>45</v>
      </c>
      <c r="J552" s="1">
        <v>0.5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 t="s">
        <v>26</v>
      </c>
      <c r="U552" s="1">
        <v>0</v>
      </c>
    </row>
    <row r="553" spans="1:21" x14ac:dyDescent="0.3">
      <c r="A553" t="s">
        <v>683</v>
      </c>
      <c r="B553" t="s">
        <v>37</v>
      </c>
      <c r="C553" t="s">
        <v>52</v>
      </c>
      <c r="D553" t="s">
        <v>53</v>
      </c>
      <c r="E553" s="1">
        <v>23.68</v>
      </c>
      <c r="F553" s="1" t="s">
        <v>25</v>
      </c>
      <c r="G553" s="1">
        <v>3</v>
      </c>
      <c r="H553" s="1">
        <v>0</v>
      </c>
      <c r="I553" s="1">
        <v>69</v>
      </c>
      <c r="J553" s="1">
        <v>0.8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 t="s">
        <v>35</v>
      </c>
      <c r="U553" s="1">
        <v>3</v>
      </c>
    </row>
    <row r="554" spans="1:21" x14ac:dyDescent="0.3">
      <c r="A554" t="s">
        <v>684</v>
      </c>
      <c r="B554" t="s">
        <v>37</v>
      </c>
      <c r="C554" t="s">
        <v>96</v>
      </c>
      <c r="D554" t="s">
        <v>97</v>
      </c>
      <c r="E554" s="1">
        <v>34.69</v>
      </c>
      <c r="F554" s="1" t="s">
        <v>44</v>
      </c>
      <c r="G554" s="1">
        <v>3</v>
      </c>
      <c r="H554" s="1">
        <v>3</v>
      </c>
      <c r="I554" s="1">
        <v>270</v>
      </c>
      <c r="J554" s="1">
        <v>3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 t="s">
        <v>26</v>
      </c>
      <c r="U554" s="1">
        <v>0</v>
      </c>
    </row>
    <row r="555" spans="1:21" x14ac:dyDescent="0.3">
      <c r="A555" t="s">
        <v>685</v>
      </c>
      <c r="B555" t="s">
        <v>22</v>
      </c>
      <c r="C555" t="s">
        <v>291</v>
      </c>
      <c r="D555" t="s">
        <v>292</v>
      </c>
      <c r="E555" s="1">
        <v>34.22</v>
      </c>
      <c r="F555" s="1" t="s">
        <v>44</v>
      </c>
      <c r="G555" s="1">
        <v>3</v>
      </c>
      <c r="H555" s="1">
        <v>3</v>
      </c>
      <c r="I555" s="1">
        <v>270</v>
      </c>
      <c r="J555" s="1">
        <v>3</v>
      </c>
      <c r="K555" s="1">
        <v>0</v>
      </c>
      <c r="L555" s="1">
        <v>1</v>
      </c>
      <c r="M555" s="1">
        <v>1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 t="s">
        <v>26</v>
      </c>
      <c r="U555" s="1">
        <v>0</v>
      </c>
    </row>
    <row r="556" spans="1:21" x14ac:dyDescent="0.3">
      <c r="A556" t="s">
        <v>686</v>
      </c>
      <c r="B556" t="s">
        <v>37</v>
      </c>
      <c r="C556" t="s">
        <v>89</v>
      </c>
      <c r="D556" t="s">
        <v>90</v>
      </c>
      <c r="E556" s="1">
        <v>26.25</v>
      </c>
      <c r="F556" s="1" t="s">
        <v>25</v>
      </c>
      <c r="G556" s="1">
        <v>3</v>
      </c>
      <c r="H556" s="1">
        <v>2</v>
      </c>
      <c r="I556" s="1">
        <v>204</v>
      </c>
      <c r="J556" s="1">
        <v>2.2999999999999998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R556" s="1">
        <v>0</v>
      </c>
      <c r="S556" s="1">
        <v>0</v>
      </c>
      <c r="T556" s="1" t="s">
        <v>40</v>
      </c>
      <c r="U556" s="1">
        <v>1</v>
      </c>
    </row>
    <row r="557" spans="1:21" x14ac:dyDescent="0.3">
      <c r="A557" t="s">
        <v>687</v>
      </c>
      <c r="B557" t="s">
        <v>31</v>
      </c>
      <c r="C557" t="s">
        <v>84</v>
      </c>
      <c r="D557" t="s">
        <v>85</v>
      </c>
      <c r="E557" s="1">
        <v>20.71</v>
      </c>
      <c r="F557" s="1" t="s">
        <v>34</v>
      </c>
      <c r="G557" s="1">
        <v>3</v>
      </c>
      <c r="H557" s="1">
        <v>1</v>
      </c>
      <c r="I557" s="1">
        <v>129</v>
      </c>
      <c r="J557" s="1">
        <v>1.4</v>
      </c>
      <c r="K557" s="1">
        <v>3</v>
      </c>
      <c r="L557" s="1">
        <v>1</v>
      </c>
      <c r="M557" s="1">
        <v>4</v>
      </c>
      <c r="N557" s="1">
        <v>3</v>
      </c>
      <c r="O557" s="1">
        <v>0</v>
      </c>
      <c r="P557" s="1">
        <v>0</v>
      </c>
      <c r="Q557" s="1">
        <v>0</v>
      </c>
      <c r="R557" s="1">
        <v>0</v>
      </c>
      <c r="S557" s="1">
        <v>2.1429999999999998</v>
      </c>
      <c r="T557" s="1" t="s">
        <v>40</v>
      </c>
      <c r="U557" s="1">
        <v>2</v>
      </c>
    </row>
    <row r="558" spans="1:21" x14ac:dyDescent="0.3">
      <c r="A558" t="s">
        <v>688</v>
      </c>
      <c r="B558" t="s">
        <v>22</v>
      </c>
      <c r="C558" t="s">
        <v>55</v>
      </c>
      <c r="D558" t="s">
        <v>56</v>
      </c>
      <c r="E558" s="1">
        <v>32.729999999999997</v>
      </c>
      <c r="F558" s="1" t="s">
        <v>44</v>
      </c>
      <c r="G558" s="1">
        <v>3</v>
      </c>
      <c r="H558" s="1">
        <v>1</v>
      </c>
      <c r="I558" s="1">
        <v>130</v>
      </c>
      <c r="J558" s="1">
        <v>1.4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 t="s">
        <v>40</v>
      </c>
      <c r="U558" s="1">
        <v>2</v>
      </c>
    </row>
    <row r="559" spans="1:21" x14ac:dyDescent="0.3">
      <c r="A559" t="s">
        <v>689</v>
      </c>
      <c r="B559" t="s">
        <v>64</v>
      </c>
      <c r="C559" t="s">
        <v>174</v>
      </c>
      <c r="D559" t="s">
        <v>175</v>
      </c>
      <c r="E559" s="1">
        <v>26.22</v>
      </c>
      <c r="F559" s="1" t="s">
        <v>25</v>
      </c>
      <c r="G559" s="1">
        <v>2</v>
      </c>
      <c r="H559" s="1">
        <v>0</v>
      </c>
      <c r="I559" s="1">
        <v>41</v>
      </c>
      <c r="J559" s="1">
        <v>0.5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 t="s">
        <v>35</v>
      </c>
      <c r="U559" s="1">
        <v>2</v>
      </c>
    </row>
    <row r="560" spans="1:21" x14ac:dyDescent="0.3">
      <c r="A560" t="s">
        <v>690</v>
      </c>
      <c r="B560" t="s">
        <v>31</v>
      </c>
      <c r="C560" t="s">
        <v>32</v>
      </c>
      <c r="D560" t="s">
        <v>33</v>
      </c>
      <c r="E560" s="1">
        <v>27.39</v>
      </c>
      <c r="F560" s="1" t="s">
        <v>39</v>
      </c>
      <c r="G560" s="1">
        <v>3</v>
      </c>
      <c r="H560" s="1">
        <v>2</v>
      </c>
      <c r="I560" s="1">
        <v>210</v>
      </c>
      <c r="J560" s="1">
        <v>2.2999999999999998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 t="s">
        <v>40</v>
      </c>
      <c r="U560" s="1">
        <v>1</v>
      </c>
    </row>
    <row r="561" spans="1:21" x14ac:dyDescent="0.3">
      <c r="A561" t="s">
        <v>691</v>
      </c>
      <c r="B561" t="s">
        <v>37</v>
      </c>
      <c r="C561" t="s">
        <v>136</v>
      </c>
      <c r="D561" t="s">
        <v>137</v>
      </c>
      <c r="E561" s="1">
        <v>32.130000000000003</v>
      </c>
      <c r="F561" s="1" t="s">
        <v>44</v>
      </c>
      <c r="G561" s="1">
        <v>4</v>
      </c>
      <c r="H561" s="1">
        <v>4</v>
      </c>
      <c r="I561" s="1">
        <v>360</v>
      </c>
      <c r="J561" s="1">
        <v>4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 t="s">
        <v>26</v>
      </c>
      <c r="U561" s="1">
        <v>0</v>
      </c>
    </row>
    <row r="562" spans="1:21" x14ac:dyDescent="0.3">
      <c r="A562" t="s">
        <v>692</v>
      </c>
      <c r="B562" t="s">
        <v>64</v>
      </c>
      <c r="C562" t="s">
        <v>136</v>
      </c>
      <c r="D562" t="s">
        <v>137</v>
      </c>
      <c r="E562" s="1">
        <v>25.03</v>
      </c>
      <c r="F562" s="1" t="s">
        <v>25</v>
      </c>
      <c r="G562" s="1">
        <v>3</v>
      </c>
      <c r="H562" s="1">
        <v>0</v>
      </c>
      <c r="I562" s="1">
        <v>77</v>
      </c>
      <c r="J562" s="1">
        <v>0.9</v>
      </c>
      <c r="K562" s="1">
        <v>1</v>
      </c>
      <c r="L562" s="1">
        <v>0</v>
      </c>
      <c r="M562" s="1">
        <v>1</v>
      </c>
      <c r="N562" s="1">
        <v>1</v>
      </c>
      <c r="O562" s="1">
        <v>0</v>
      </c>
      <c r="P562" s="1">
        <v>0</v>
      </c>
      <c r="Q562" s="1">
        <v>0</v>
      </c>
      <c r="R562" s="1">
        <v>0</v>
      </c>
      <c r="S562" s="1">
        <v>1.111</v>
      </c>
      <c r="T562" s="1" t="s">
        <v>35</v>
      </c>
      <c r="U562" s="1">
        <v>3</v>
      </c>
    </row>
    <row r="563" spans="1:21" x14ac:dyDescent="0.3">
      <c r="A563" t="s">
        <v>693</v>
      </c>
      <c r="B563" t="s">
        <v>31</v>
      </c>
      <c r="C563" t="s">
        <v>145</v>
      </c>
      <c r="D563" t="s">
        <v>146</v>
      </c>
      <c r="E563" s="1">
        <v>31.29</v>
      </c>
      <c r="F563" s="1" t="s">
        <v>44</v>
      </c>
      <c r="G563" s="1">
        <v>1</v>
      </c>
      <c r="H563" s="1">
        <v>1</v>
      </c>
      <c r="I563" s="1">
        <v>62</v>
      </c>
      <c r="J563" s="1">
        <v>0.7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 t="s">
        <v>26</v>
      </c>
      <c r="U563" s="1">
        <v>0</v>
      </c>
    </row>
    <row r="564" spans="1:21" x14ac:dyDescent="0.3">
      <c r="A564" t="s">
        <v>694</v>
      </c>
      <c r="B564" t="s">
        <v>83</v>
      </c>
      <c r="C564" t="s">
        <v>156</v>
      </c>
      <c r="D564" t="s">
        <v>157</v>
      </c>
      <c r="E564" s="1">
        <v>29.39</v>
      </c>
      <c r="F564" s="1" t="s">
        <v>39</v>
      </c>
      <c r="G564" s="1">
        <v>3</v>
      </c>
      <c r="H564" s="1">
        <v>3</v>
      </c>
      <c r="I564" s="1">
        <v>242</v>
      </c>
      <c r="J564" s="1">
        <v>2.7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 t="s">
        <v>26</v>
      </c>
      <c r="U564" s="1">
        <v>0</v>
      </c>
    </row>
    <row r="565" spans="1:21" x14ac:dyDescent="0.3">
      <c r="A565" t="s">
        <v>695</v>
      </c>
      <c r="B565" t="s">
        <v>61</v>
      </c>
      <c r="C565" t="s">
        <v>139</v>
      </c>
      <c r="D565" t="s">
        <v>140</v>
      </c>
      <c r="E565" s="1">
        <v>33.82</v>
      </c>
      <c r="F565" s="1" t="s">
        <v>44</v>
      </c>
      <c r="G565" s="1">
        <v>3</v>
      </c>
      <c r="H565" s="1">
        <v>3</v>
      </c>
      <c r="I565" s="1">
        <v>270</v>
      </c>
      <c r="J565" s="1">
        <v>3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 t="s">
        <v>26</v>
      </c>
      <c r="U565" s="1">
        <v>0</v>
      </c>
    </row>
    <row r="566" spans="1:21" x14ac:dyDescent="0.3">
      <c r="A566" t="s">
        <v>696</v>
      </c>
      <c r="B566" t="s">
        <v>31</v>
      </c>
      <c r="C566" t="s">
        <v>139</v>
      </c>
      <c r="D566" t="s">
        <v>140</v>
      </c>
      <c r="E566" s="1">
        <v>28.85</v>
      </c>
      <c r="F566" s="1" t="s">
        <v>39</v>
      </c>
      <c r="G566" s="1">
        <v>3</v>
      </c>
      <c r="H566" s="1">
        <v>3</v>
      </c>
      <c r="I566" s="1">
        <v>177</v>
      </c>
      <c r="J566" s="1">
        <v>2</v>
      </c>
      <c r="K566" s="1">
        <v>1</v>
      </c>
      <c r="L566" s="1">
        <v>0</v>
      </c>
      <c r="M566" s="1">
        <v>1</v>
      </c>
      <c r="N566" s="1">
        <v>0</v>
      </c>
      <c r="O566" s="1">
        <v>1</v>
      </c>
      <c r="P566" s="1">
        <v>1</v>
      </c>
      <c r="Q566" s="1">
        <v>0</v>
      </c>
      <c r="R566" s="1">
        <v>0</v>
      </c>
      <c r="S566" s="1">
        <v>0.5</v>
      </c>
      <c r="T566" s="1" t="s">
        <v>26</v>
      </c>
      <c r="U566" s="1">
        <v>0</v>
      </c>
    </row>
    <row r="567" spans="1:21" x14ac:dyDescent="0.3">
      <c r="A567" t="s">
        <v>697</v>
      </c>
      <c r="B567" t="s">
        <v>37</v>
      </c>
      <c r="C567" t="s">
        <v>139</v>
      </c>
      <c r="D567" t="s">
        <v>140</v>
      </c>
      <c r="E567" s="1">
        <v>28.45</v>
      </c>
      <c r="F567" s="1" t="s">
        <v>39</v>
      </c>
      <c r="G567" s="1">
        <v>2</v>
      </c>
      <c r="H567" s="1">
        <v>2</v>
      </c>
      <c r="I567" s="1">
        <v>180</v>
      </c>
      <c r="J567" s="1">
        <v>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 t="s">
        <v>26</v>
      </c>
      <c r="U567" s="1">
        <v>0</v>
      </c>
    </row>
    <row r="568" spans="1:21" x14ac:dyDescent="0.3">
      <c r="A568" t="s">
        <v>698</v>
      </c>
      <c r="B568" t="s">
        <v>83</v>
      </c>
      <c r="C568" t="s">
        <v>68</v>
      </c>
      <c r="D568" t="s">
        <v>69</v>
      </c>
      <c r="E568" s="1">
        <v>22.63</v>
      </c>
      <c r="F568" s="1" t="s">
        <v>34</v>
      </c>
      <c r="G568" s="1">
        <v>3</v>
      </c>
      <c r="H568" s="1">
        <v>3</v>
      </c>
      <c r="I568" s="1">
        <v>242</v>
      </c>
      <c r="J568" s="1">
        <v>2.7</v>
      </c>
      <c r="K568" s="1">
        <v>1</v>
      </c>
      <c r="L568" s="1">
        <v>0</v>
      </c>
      <c r="M568" s="1">
        <v>1</v>
      </c>
      <c r="N568" s="1">
        <v>1</v>
      </c>
      <c r="O568" s="1">
        <v>0</v>
      </c>
      <c r="P568" s="1">
        <v>0</v>
      </c>
      <c r="Q568" s="1">
        <v>0</v>
      </c>
      <c r="R568" s="1">
        <v>0</v>
      </c>
      <c r="S568" s="1">
        <v>0.37</v>
      </c>
      <c r="T568" s="1" t="s">
        <v>26</v>
      </c>
      <c r="U568" s="1">
        <v>0</v>
      </c>
    </row>
    <row r="569" spans="1:21" x14ac:dyDescent="0.3">
      <c r="A569" t="s">
        <v>699</v>
      </c>
      <c r="B569" t="s">
        <v>31</v>
      </c>
      <c r="C569" t="s">
        <v>42</v>
      </c>
      <c r="D569" t="s">
        <v>43</v>
      </c>
      <c r="E569" s="1">
        <v>29.03</v>
      </c>
      <c r="F569" s="1" t="s">
        <v>39</v>
      </c>
      <c r="G569" s="1">
        <v>1</v>
      </c>
      <c r="H569" s="1">
        <v>1</v>
      </c>
      <c r="I569" s="1">
        <v>89</v>
      </c>
      <c r="J569" s="1">
        <v>1</v>
      </c>
      <c r="K569" s="1">
        <v>1</v>
      </c>
      <c r="L569" s="1">
        <v>0</v>
      </c>
      <c r="M569" s="1">
        <v>1</v>
      </c>
      <c r="N569" s="1">
        <v>1</v>
      </c>
      <c r="O569" s="1">
        <v>0</v>
      </c>
      <c r="P569" s="1">
        <v>0</v>
      </c>
      <c r="Q569" s="1">
        <v>0</v>
      </c>
      <c r="R569" s="1">
        <v>0</v>
      </c>
      <c r="S569" s="1">
        <v>1</v>
      </c>
      <c r="T569" s="1" t="s">
        <v>26</v>
      </c>
      <c r="U569" s="1">
        <v>0</v>
      </c>
    </row>
    <row r="570" spans="1:21" x14ac:dyDescent="0.3">
      <c r="A570" t="s">
        <v>700</v>
      </c>
      <c r="B570" t="s">
        <v>37</v>
      </c>
      <c r="C570" t="s">
        <v>213</v>
      </c>
      <c r="D570" t="s">
        <v>214</v>
      </c>
      <c r="E570" s="1">
        <v>32.64</v>
      </c>
      <c r="F570" s="1" t="s">
        <v>44</v>
      </c>
      <c r="G570" s="1">
        <v>3</v>
      </c>
      <c r="H570" s="1">
        <v>3</v>
      </c>
      <c r="I570" s="1">
        <v>227</v>
      </c>
      <c r="J570" s="1">
        <v>2.5</v>
      </c>
      <c r="K570" s="1">
        <v>0</v>
      </c>
      <c r="L570" s="1">
        <v>1</v>
      </c>
      <c r="M570" s="1">
        <v>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 t="s">
        <v>26</v>
      </c>
      <c r="U570" s="1">
        <v>0</v>
      </c>
    </row>
    <row r="571" spans="1:21" x14ac:dyDescent="0.3">
      <c r="A571" t="s">
        <v>701</v>
      </c>
      <c r="B571" t="s">
        <v>31</v>
      </c>
      <c r="C571" t="s">
        <v>225</v>
      </c>
      <c r="D571" t="s">
        <v>226</v>
      </c>
      <c r="E571" s="1">
        <v>23.25</v>
      </c>
      <c r="F571" s="1" t="s">
        <v>25</v>
      </c>
      <c r="G571" s="1">
        <v>2</v>
      </c>
      <c r="H571" s="1">
        <v>0</v>
      </c>
      <c r="I571" s="1">
        <v>50</v>
      </c>
      <c r="J571" s="1">
        <v>0.6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 t="s">
        <v>35</v>
      </c>
      <c r="U571" s="1">
        <v>2</v>
      </c>
    </row>
    <row r="572" spans="1:21" x14ac:dyDescent="0.3">
      <c r="A572" t="s">
        <v>702</v>
      </c>
      <c r="B572" t="s">
        <v>22</v>
      </c>
      <c r="C572" t="s">
        <v>291</v>
      </c>
      <c r="D572" t="s">
        <v>292</v>
      </c>
      <c r="E572" s="1">
        <v>23.79</v>
      </c>
      <c r="F572" s="1" t="s">
        <v>25</v>
      </c>
      <c r="G572" s="1">
        <v>1</v>
      </c>
      <c r="H572" s="1">
        <v>0</v>
      </c>
      <c r="I572" s="1">
        <v>19</v>
      </c>
      <c r="J572" s="1">
        <v>0.2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 t="s">
        <v>35</v>
      </c>
      <c r="U572" s="1">
        <v>1</v>
      </c>
    </row>
    <row r="573" spans="1:21" x14ac:dyDescent="0.3">
      <c r="A573" t="s">
        <v>703</v>
      </c>
      <c r="B573" t="s">
        <v>31</v>
      </c>
      <c r="C573" t="s">
        <v>107</v>
      </c>
      <c r="D573" t="s">
        <v>108</v>
      </c>
      <c r="E573" s="1">
        <v>29.01</v>
      </c>
      <c r="F573" s="1" t="s">
        <v>39</v>
      </c>
      <c r="G573" s="1">
        <v>1</v>
      </c>
      <c r="H573" s="1">
        <v>0</v>
      </c>
      <c r="I573" s="1">
        <v>4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 t="s">
        <v>35</v>
      </c>
      <c r="U573" s="1">
        <v>1</v>
      </c>
    </row>
    <row r="574" spans="1:21" x14ac:dyDescent="0.3">
      <c r="A574" t="s">
        <v>704</v>
      </c>
      <c r="B574" t="s">
        <v>22</v>
      </c>
      <c r="C574" t="s">
        <v>121</v>
      </c>
      <c r="D574" t="s">
        <v>122</v>
      </c>
      <c r="E574" s="1">
        <v>25.11</v>
      </c>
      <c r="F574" s="1" t="s">
        <v>25</v>
      </c>
      <c r="G574" s="1">
        <v>3</v>
      </c>
      <c r="H574" s="1">
        <v>0</v>
      </c>
      <c r="I574" s="1">
        <v>153</v>
      </c>
      <c r="J574" s="1">
        <v>1.7</v>
      </c>
      <c r="K574" s="1">
        <v>1</v>
      </c>
      <c r="L574" s="1">
        <v>0</v>
      </c>
      <c r="M574" s="1">
        <v>1</v>
      </c>
      <c r="N574" s="1">
        <v>1</v>
      </c>
      <c r="O574" s="1">
        <v>0</v>
      </c>
      <c r="P574" s="1">
        <v>0</v>
      </c>
      <c r="Q574" s="1">
        <v>0</v>
      </c>
      <c r="R574" s="1">
        <v>0</v>
      </c>
      <c r="S574" s="1">
        <v>0.58799999999999997</v>
      </c>
      <c r="T574" s="1" t="s">
        <v>35</v>
      </c>
      <c r="U574" s="1">
        <v>3</v>
      </c>
    </row>
    <row r="575" spans="1:21" x14ac:dyDescent="0.3">
      <c r="A575" t="s">
        <v>705</v>
      </c>
      <c r="B575" t="s">
        <v>31</v>
      </c>
      <c r="C575" t="s">
        <v>213</v>
      </c>
      <c r="D575" t="s">
        <v>214</v>
      </c>
      <c r="E575" s="1">
        <v>32.020000000000003</v>
      </c>
      <c r="F575" s="1" t="s">
        <v>44</v>
      </c>
      <c r="G575" s="1">
        <v>1</v>
      </c>
      <c r="H575" s="1">
        <v>0</v>
      </c>
      <c r="I575" s="1">
        <v>40</v>
      </c>
      <c r="J575" s="1">
        <v>0.4</v>
      </c>
      <c r="K575" s="1">
        <v>1</v>
      </c>
      <c r="L575" s="1">
        <v>0</v>
      </c>
      <c r="M575" s="1">
        <v>1</v>
      </c>
      <c r="N575" s="1">
        <v>1</v>
      </c>
      <c r="O575" s="1">
        <v>0</v>
      </c>
      <c r="P575" s="1">
        <v>0</v>
      </c>
      <c r="Q575" s="1">
        <v>0</v>
      </c>
      <c r="R575" s="1">
        <v>0</v>
      </c>
      <c r="S575" s="1">
        <v>2.5</v>
      </c>
      <c r="T575" s="1" t="s">
        <v>35</v>
      </c>
      <c r="U575" s="1">
        <v>1</v>
      </c>
    </row>
    <row r="576" spans="1:21" x14ac:dyDescent="0.3">
      <c r="A576" t="s">
        <v>706</v>
      </c>
      <c r="B576" t="s">
        <v>22</v>
      </c>
      <c r="C576" t="s">
        <v>96</v>
      </c>
      <c r="D576" t="s">
        <v>97</v>
      </c>
      <c r="E576" s="1">
        <v>20.6</v>
      </c>
      <c r="F576" s="1" t="s">
        <v>34</v>
      </c>
      <c r="G576" s="1">
        <v>3</v>
      </c>
      <c r="H576" s="1">
        <v>3</v>
      </c>
      <c r="I576" s="1">
        <v>261</v>
      </c>
      <c r="J576" s="1">
        <v>2.9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 t="s">
        <v>26</v>
      </c>
      <c r="U576" s="1">
        <v>0</v>
      </c>
    </row>
    <row r="577" spans="1:21" x14ac:dyDescent="0.3">
      <c r="A577" t="s">
        <v>707</v>
      </c>
      <c r="B577" t="s">
        <v>37</v>
      </c>
      <c r="C577" t="s">
        <v>151</v>
      </c>
      <c r="D577" t="s">
        <v>152</v>
      </c>
      <c r="E577" s="1">
        <v>28.62</v>
      </c>
      <c r="F577" s="1" t="s">
        <v>39</v>
      </c>
      <c r="G577" s="1">
        <v>4</v>
      </c>
      <c r="H577" s="1">
        <v>3</v>
      </c>
      <c r="I577" s="1">
        <v>297</v>
      </c>
      <c r="J577" s="1">
        <v>3.3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 t="s">
        <v>40</v>
      </c>
      <c r="U577" s="1">
        <v>1</v>
      </c>
    </row>
    <row r="578" spans="1:21" x14ac:dyDescent="0.3">
      <c r="A578" t="s">
        <v>708</v>
      </c>
      <c r="B578" t="s">
        <v>31</v>
      </c>
      <c r="C578" t="s">
        <v>107</v>
      </c>
      <c r="D578" t="s">
        <v>108</v>
      </c>
      <c r="E578" s="1">
        <v>27.53</v>
      </c>
      <c r="F578" s="1" t="s">
        <v>39</v>
      </c>
      <c r="G578" s="1">
        <v>3</v>
      </c>
      <c r="H578" s="1">
        <v>3</v>
      </c>
      <c r="I578" s="1">
        <v>265</v>
      </c>
      <c r="J578" s="1">
        <v>2.9</v>
      </c>
      <c r="K578" s="1">
        <v>4</v>
      </c>
      <c r="L578" s="1">
        <v>2</v>
      </c>
      <c r="M578" s="1">
        <v>6</v>
      </c>
      <c r="N578" s="1">
        <v>4</v>
      </c>
      <c r="O578" s="1">
        <v>0</v>
      </c>
      <c r="P578" s="1">
        <v>0</v>
      </c>
      <c r="Q578" s="1">
        <v>0</v>
      </c>
      <c r="R578" s="1">
        <v>0</v>
      </c>
      <c r="S578" s="1">
        <v>1.379</v>
      </c>
      <c r="T578" s="1" t="s">
        <v>26</v>
      </c>
      <c r="U578" s="1">
        <v>0</v>
      </c>
    </row>
    <row r="579" spans="1:21" x14ac:dyDescent="0.3">
      <c r="A579" t="s">
        <v>709</v>
      </c>
      <c r="B579" t="s">
        <v>22</v>
      </c>
      <c r="C579" t="s">
        <v>68</v>
      </c>
      <c r="D579" t="s">
        <v>69</v>
      </c>
      <c r="E579" s="1">
        <v>26.29</v>
      </c>
      <c r="F579" s="1" t="s">
        <v>25</v>
      </c>
      <c r="G579" s="1">
        <v>4</v>
      </c>
      <c r="H579" s="1">
        <v>2</v>
      </c>
      <c r="I579" s="1">
        <v>260</v>
      </c>
      <c r="J579" s="1">
        <v>2.9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1</v>
      </c>
      <c r="R579" s="1">
        <v>0</v>
      </c>
      <c r="S579" s="1">
        <v>0</v>
      </c>
      <c r="T579" s="1" t="s">
        <v>40</v>
      </c>
      <c r="U579" s="1">
        <v>2</v>
      </c>
    </row>
    <row r="580" spans="1:21" x14ac:dyDescent="0.3">
      <c r="A580" t="s">
        <v>710</v>
      </c>
      <c r="B580" t="s">
        <v>22</v>
      </c>
      <c r="C580" t="s">
        <v>291</v>
      </c>
      <c r="D580" t="s">
        <v>292</v>
      </c>
      <c r="E580" s="1">
        <v>18.43</v>
      </c>
      <c r="F580" s="1" t="s">
        <v>34</v>
      </c>
      <c r="G580" s="1">
        <v>3</v>
      </c>
      <c r="H580" s="1">
        <v>1</v>
      </c>
      <c r="I580" s="1">
        <v>109</v>
      </c>
      <c r="J580" s="1">
        <v>1.2</v>
      </c>
      <c r="K580" s="1">
        <v>1</v>
      </c>
      <c r="L580" s="1">
        <v>0</v>
      </c>
      <c r="M580" s="1">
        <v>1</v>
      </c>
      <c r="N580" s="1">
        <v>1</v>
      </c>
      <c r="O580" s="1">
        <v>0</v>
      </c>
      <c r="P580" s="1">
        <v>0</v>
      </c>
      <c r="Q580" s="1">
        <v>0</v>
      </c>
      <c r="R580" s="1">
        <v>0</v>
      </c>
      <c r="S580" s="1">
        <v>0.83299999999999996</v>
      </c>
      <c r="T580" s="1" t="s">
        <v>40</v>
      </c>
      <c r="U580" s="1">
        <v>2</v>
      </c>
    </row>
    <row r="581" spans="1:21" x14ac:dyDescent="0.3">
      <c r="A581" t="s">
        <v>711</v>
      </c>
      <c r="B581" t="s">
        <v>37</v>
      </c>
      <c r="C581" t="s">
        <v>213</v>
      </c>
      <c r="D581" t="s">
        <v>214</v>
      </c>
      <c r="E581" s="1">
        <v>31.89</v>
      </c>
      <c r="F581" s="1" t="s">
        <v>44</v>
      </c>
      <c r="G581" s="1">
        <v>3</v>
      </c>
      <c r="H581" s="1">
        <v>3</v>
      </c>
      <c r="I581" s="1">
        <v>270</v>
      </c>
      <c r="J581" s="1">
        <v>3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R581" s="1">
        <v>0</v>
      </c>
      <c r="S581" s="1">
        <v>0</v>
      </c>
      <c r="T581" s="1" t="s">
        <v>26</v>
      </c>
      <c r="U581" s="1">
        <v>0</v>
      </c>
    </row>
    <row r="582" spans="1:21" x14ac:dyDescent="0.3">
      <c r="A582" t="s">
        <v>712</v>
      </c>
      <c r="B582" t="s">
        <v>37</v>
      </c>
      <c r="C582" t="s">
        <v>68</v>
      </c>
      <c r="D582" t="s">
        <v>69</v>
      </c>
      <c r="E582" s="1">
        <v>20.78</v>
      </c>
      <c r="F582" s="1" t="s">
        <v>34</v>
      </c>
      <c r="G582" s="1">
        <v>4</v>
      </c>
      <c r="H582" s="1">
        <v>4</v>
      </c>
      <c r="I582" s="1">
        <v>360</v>
      </c>
      <c r="J582" s="1">
        <v>4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 t="s">
        <v>26</v>
      </c>
      <c r="U582" s="1">
        <v>0</v>
      </c>
    </row>
    <row r="583" spans="1:21" x14ac:dyDescent="0.3">
      <c r="A583" t="s">
        <v>713</v>
      </c>
      <c r="B583" t="s">
        <v>22</v>
      </c>
      <c r="C583" t="s">
        <v>213</v>
      </c>
      <c r="D583" t="s">
        <v>214</v>
      </c>
      <c r="E583" s="1">
        <v>24.29</v>
      </c>
      <c r="F583" s="1" t="s">
        <v>25</v>
      </c>
      <c r="G583" s="1">
        <v>2</v>
      </c>
      <c r="H583" s="1">
        <v>1</v>
      </c>
      <c r="I583" s="1">
        <v>80</v>
      </c>
      <c r="J583" s="1">
        <v>0.9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1</v>
      </c>
      <c r="R583" s="1">
        <v>0</v>
      </c>
      <c r="S583" s="1">
        <v>0</v>
      </c>
      <c r="T583" s="1" t="s">
        <v>40</v>
      </c>
      <c r="U583" s="1">
        <v>1</v>
      </c>
    </row>
    <row r="584" spans="1:21" x14ac:dyDescent="0.3">
      <c r="A584" t="s">
        <v>714</v>
      </c>
      <c r="B584" t="s">
        <v>22</v>
      </c>
      <c r="C584" t="s">
        <v>239</v>
      </c>
      <c r="D584" t="s">
        <v>240</v>
      </c>
      <c r="E584" s="1">
        <v>27.17</v>
      </c>
      <c r="F584" s="1" t="s">
        <v>39</v>
      </c>
      <c r="G584" s="1">
        <v>3</v>
      </c>
      <c r="H584" s="1">
        <v>2</v>
      </c>
      <c r="I584" s="1">
        <v>159</v>
      </c>
      <c r="J584" s="1">
        <v>1.8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1</v>
      </c>
      <c r="R584" s="1">
        <v>0</v>
      </c>
      <c r="S584" s="1">
        <v>0</v>
      </c>
      <c r="T584" s="1" t="s">
        <v>40</v>
      </c>
      <c r="U584" s="1">
        <v>1</v>
      </c>
    </row>
    <row r="585" spans="1:21" x14ac:dyDescent="0.3">
      <c r="A585" t="s">
        <v>715</v>
      </c>
      <c r="B585" t="s">
        <v>22</v>
      </c>
      <c r="C585" t="s">
        <v>1146</v>
      </c>
      <c r="D585" t="s">
        <v>1148</v>
      </c>
      <c r="E585" s="1">
        <v>31.7</v>
      </c>
      <c r="F585" s="1" t="s">
        <v>44</v>
      </c>
      <c r="G585" s="1">
        <v>3</v>
      </c>
      <c r="H585" s="1">
        <v>3</v>
      </c>
      <c r="I585" s="1">
        <v>259</v>
      </c>
      <c r="J585" s="1">
        <v>2.9</v>
      </c>
      <c r="K585" s="1">
        <v>1</v>
      </c>
      <c r="L585" s="1">
        <v>0</v>
      </c>
      <c r="M585" s="1">
        <v>1</v>
      </c>
      <c r="N585" s="1">
        <v>1</v>
      </c>
      <c r="O585" s="1">
        <v>0</v>
      </c>
      <c r="P585" s="1">
        <v>0</v>
      </c>
      <c r="Q585" s="1">
        <v>0</v>
      </c>
      <c r="R585" s="1">
        <v>0</v>
      </c>
      <c r="S585" s="1">
        <v>0.34499999999999997</v>
      </c>
      <c r="T585" s="1" t="s">
        <v>26</v>
      </c>
      <c r="U585" s="1">
        <v>0</v>
      </c>
    </row>
    <row r="586" spans="1:21" x14ac:dyDescent="0.3">
      <c r="A586" t="s">
        <v>716</v>
      </c>
      <c r="B586" t="s">
        <v>37</v>
      </c>
      <c r="C586" t="s">
        <v>1146</v>
      </c>
      <c r="D586" t="s">
        <v>1148</v>
      </c>
      <c r="E586" s="1">
        <v>29.63</v>
      </c>
      <c r="F586" s="1" t="s">
        <v>39</v>
      </c>
      <c r="G586" s="1">
        <v>1</v>
      </c>
      <c r="H586" s="1">
        <v>1</v>
      </c>
      <c r="I586" s="1">
        <v>90</v>
      </c>
      <c r="J586" s="1">
        <v>1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 t="s">
        <v>26</v>
      </c>
      <c r="U586" s="1">
        <v>0</v>
      </c>
    </row>
    <row r="587" spans="1:21" x14ac:dyDescent="0.3">
      <c r="A587" t="s">
        <v>717</v>
      </c>
      <c r="B587" t="s">
        <v>22</v>
      </c>
      <c r="C587" t="s">
        <v>23</v>
      </c>
      <c r="D587" t="s">
        <v>24</v>
      </c>
      <c r="E587" s="1">
        <v>27.84</v>
      </c>
      <c r="F587" s="1" t="s">
        <v>39</v>
      </c>
      <c r="G587" s="1">
        <v>3</v>
      </c>
      <c r="H587" s="1">
        <v>3</v>
      </c>
      <c r="I587" s="1">
        <v>264</v>
      </c>
      <c r="J587" s="1">
        <v>2.9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 t="s">
        <v>26</v>
      </c>
      <c r="U587" s="1">
        <v>0</v>
      </c>
    </row>
    <row r="588" spans="1:21" x14ac:dyDescent="0.3">
      <c r="A588" t="s">
        <v>718</v>
      </c>
      <c r="B588" t="s">
        <v>37</v>
      </c>
      <c r="C588" t="s">
        <v>23</v>
      </c>
      <c r="D588" t="s">
        <v>24</v>
      </c>
      <c r="E588" s="1">
        <v>27.34</v>
      </c>
      <c r="F588" s="1" t="s">
        <v>39</v>
      </c>
      <c r="G588" s="1">
        <v>1</v>
      </c>
      <c r="H588" s="1">
        <v>1</v>
      </c>
      <c r="I588" s="1">
        <v>90</v>
      </c>
      <c r="J588" s="1">
        <v>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 t="s">
        <v>26</v>
      </c>
      <c r="U588" s="1">
        <v>0</v>
      </c>
    </row>
    <row r="589" spans="1:21" x14ac:dyDescent="0.3">
      <c r="A589" t="s">
        <v>719</v>
      </c>
      <c r="B589" t="s">
        <v>22</v>
      </c>
      <c r="C589" t="s">
        <v>1146</v>
      </c>
      <c r="D589" t="s">
        <v>1148</v>
      </c>
      <c r="E589" s="1">
        <v>34.47</v>
      </c>
      <c r="F589" s="1" t="s">
        <v>44</v>
      </c>
      <c r="G589" s="1">
        <v>3</v>
      </c>
      <c r="H589" s="1">
        <v>1</v>
      </c>
      <c r="I589" s="1">
        <v>118</v>
      </c>
      <c r="J589" s="1">
        <v>1.3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1</v>
      </c>
      <c r="R589" s="1">
        <v>0</v>
      </c>
      <c r="S589" s="1">
        <v>0</v>
      </c>
      <c r="T589" s="1" t="s">
        <v>40</v>
      </c>
      <c r="U589" s="1">
        <v>2</v>
      </c>
    </row>
    <row r="590" spans="1:21" x14ac:dyDescent="0.3">
      <c r="A590" t="s">
        <v>720</v>
      </c>
      <c r="B590" t="s">
        <v>22</v>
      </c>
      <c r="C590" t="s">
        <v>1146</v>
      </c>
      <c r="D590" t="s">
        <v>1148</v>
      </c>
      <c r="E590" s="1">
        <v>29.56</v>
      </c>
      <c r="F590" s="1" t="s">
        <v>39</v>
      </c>
      <c r="G590" s="1">
        <v>3</v>
      </c>
      <c r="H590" s="1">
        <v>3</v>
      </c>
      <c r="I590" s="1">
        <v>270</v>
      </c>
      <c r="J590" s="1">
        <v>3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 t="s">
        <v>26</v>
      </c>
      <c r="U590" s="1">
        <v>0</v>
      </c>
    </row>
    <row r="591" spans="1:21" x14ac:dyDescent="0.3">
      <c r="A591" t="s">
        <v>721</v>
      </c>
      <c r="B591" t="s">
        <v>37</v>
      </c>
      <c r="C591" t="s">
        <v>301</v>
      </c>
      <c r="D591" t="s">
        <v>302</v>
      </c>
      <c r="E591" s="1">
        <v>33.42</v>
      </c>
      <c r="F591" s="1" t="s">
        <v>44</v>
      </c>
      <c r="G591" s="1">
        <v>3</v>
      </c>
      <c r="H591" s="1">
        <v>3</v>
      </c>
      <c r="I591" s="1">
        <v>270</v>
      </c>
      <c r="J591" s="1">
        <v>3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 t="s">
        <v>26</v>
      </c>
      <c r="U591" s="1">
        <v>0</v>
      </c>
    </row>
    <row r="592" spans="1:21" x14ac:dyDescent="0.3">
      <c r="A592" t="s">
        <v>722</v>
      </c>
      <c r="B592" t="s">
        <v>37</v>
      </c>
      <c r="C592" t="s">
        <v>139</v>
      </c>
      <c r="D592" t="s">
        <v>140</v>
      </c>
      <c r="E592" s="1">
        <v>27.09</v>
      </c>
      <c r="F592" s="1" t="s">
        <v>39</v>
      </c>
      <c r="G592" s="1">
        <v>2</v>
      </c>
      <c r="H592" s="1">
        <v>2</v>
      </c>
      <c r="I592" s="1">
        <v>171</v>
      </c>
      <c r="J592" s="1">
        <v>1.9</v>
      </c>
      <c r="K592" s="1">
        <v>0</v>
      </c>
      <c r="L592" s="1">
        <v>1</v>
      </c>
      <c r="M592" s="1">
        <v>1</v>
      </c>
      <c r="N592" s="1">
        <v>0</v>
      </c>
      <c r="O592" s="1">
        <v>0</v>
      </c>
      <c r="P592" s="1">
        <v>0</v>
      </c>
      <c r="Q592" s="1">
        <v>1</v>
      </c>
      <c r="R592" s="1">
        <v>0</v>
      </c>
      <c r="S592" s="1">
        <v>0</v>
      </c>
      <c r="T592" s="1" t="s">
        <v>26</v>
      </c>
      <c r="U592" s="1">
        <v>0</v>
      </c>
    </row>
    <row r="593" spans="1:21" x14ac:dyDescent="0.3">
      <c r="A593" t="s">
        <v>723</v>
      </c>
      <c r="B593" t="s">
        <v>22</v>
      </c>
      <c r="C593" t="s">
        <v>42</v>
      </c>
      <c r="D593" t="s">
        <v>43</v>
      </c>
      <c r="E593" s="1">
        <v>23.44</v>
      </c>
      <c r="F593" s="1" t="s">
        <v>25</v>
      </c>
      <c r="G593" s="1">
        <v>3</v>
      </c>
      <c r="H593" s="1">
        <v>3</v>
      </c>
      <c r="I593" s="1">
        <v>270</v>
      </c>
      <c r="J593" s="1">
        <v>3</v>
      </c>
      <c r="K593" s="1">
        <v>0</v>
      </c>
      <c r="L593" s="1">
        <v>2</v>
      </c>
      <c r="M593" s="1">
        <v>2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 t="s">
        <v>26</v>
      </c>
      <c r="U593" s="1">
        <v>0</v>
      </c>
    </row>
    <row r="594" spans="1:21" x14ac:dyDescent="0.3">
      <c r="A594" t="s">
        <v>724</v>
      </c>
      <c r="B594" t="s">
        <v>22</v>
      </c>
      <c r="C594" t="s">
        <v>115</v>
      </c>
      <c r="D594" t="s">
        <v>116</v>
      </c>
      <c r="E594" s="1">
        <v>25.44</v>
      </c>
      <c r="F594" s="1" t="s">
        <v>25</v>
      </c>
      <c r="G594" s="1">
        <v>3</v>
      </c>
      <c r="H594" s="1">
        <v>2</v>
      </c>
      <c r="I594" s="1">
        <v>208</v>
      </c>
      <c r="J594" s="1">
        <v>2.2999999999999998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 t="s">
        <v>40</v>
      </c>
      <c r="U594" s="1">
        <v>1</v>
      </c>
    </row>
    <row r="595" spans="1:21" x14ac:dyDescent="0.3">
      <c r="A595" t="s">
        <v>725</v>
      </c>
      <c r="B595" t="s">
        <v>64</v>
      </c>
      <c r="C595" t="s">
        <v>101</v>
      </c>
      <c r="D595" t="s">
        <v>102</v>
      </c>
      <c r="E595" s="1">
        <v>32.380000000000003</v>
      </c>
      <c r="F595" s="1" t="s">
        <v>44</v>
      </c>
      <c r="G595" s="1">
        <v>3</v>
      </c>
      <c r="H595" s="1">
        <v>0</v>
      </c>
      <c r="I595" s="1">
        <v>54</v>
      </c>
      <c r="J595" s="1">
        <v>0.6</v>
      </c>
      <c r="K595" s="1">
        <v>0</v>
      </c>
      <c r="L595" s="1">
        <v>1</v>
      </c>
      <c r="M595" s="1">
        <v>1</v>
      </c>
      <c r="N595" s="1">
        <v>0</v>
      </c>
      <c r="O595" s="1">
        <v>0</v>
      </c>
      <c r="P595" s="1">
        <v>0</v>
      </c>
      <c r="Q595" s="1">
        <v>1</v>
      </c>
      <c r="R595" s="1">
        <v>0</v>
      </c>
      <c r="S595" s="1">
        <v>0</v>
      </c>
      <c r="T595" s="1" t="s">
        <v>35</v>
      </c>
      <c r="U595" s="1">
        <v>3</v>
      </c>
    </row>
    <row r="596" spans="1:21" x14ac:dyDescent="0.3">
      <c r="A596" t="s">
        <v>726</v>
      </c>
      <c r="B596" t="s">
        <v>22</v>
      </c>
      <c r="C596" t="s">
        <v>46</v>
      </c>
      <c r="D596" t="s">
        <v>47</v>
      </c>
      <c r="E596" s="1">
        <v>31.7</v>
      </c>
      <c r="F596" s="1" t="s">
        <v>44</v>
      </c>
      <c r="G596" s="1">
        <v>1</v>
      </c>
      <c r="H596" s="1">
        <v>1</v>
      </c>
      <c r="I596" s="1">
        <v>65</v>
      </c>
      <c r="J596" s="1">
        <v>0.7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 t="s">
        <v>26</v>
      </c>
      <c r="U596" s="1">
        <v>0</v>
      </c>
    </row>
    <row r="597" spans="1:21" x14ac:dyDescent="0.3">
      <c r="A597" t="s">
        <v>727</v>
      </c>
      <c r="B597" t="s">
        <v>37</v>
      </c>
      <c r="C597" t="s">
        <v>52</v>
      </c>
      <c r="D597" t="s">
        <v>53</v>
      </c>
      <c r="E597" s="1">
        <v>35.99</v>
      </c>
      <c r="F597" s="1" t="s">
        <v>74</v>
      </c>
      <c r="G597" s="1">
        <v>1</v>
      </c>
      <c r="H597" s="1">
        <v>0</v>
      </c>
      <c r="I597" s="1">
        <v>4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 t="s">
        <v>35</v>
      </c>
      <c r="U597" s="1">
        <v>1</v>
      </c>
    </row>
    <row r="598" spans="1:21" x14ac:dyDescent="0.3">
      <c r="A598" t="s">
        <v>728</v>
      </c>
      <c r="B598" t="s">
        <v>37</v>
      </c>
      <c r="C598" t="s">
        <v>181</v>
      </c>
      <c r="D598" t="s">
        <v>182</v>
      </c>
      <c r="E598" s="1">
        <v>24.03</v>
      </c>
      <c r="F598" s="1" t="s">
        <v>25</v>
      </c>
      <c r="G598" s="1">
        <v>3</v>
      </c>
      <c r="H598" s="1">
        <v>3</v>
      </c>
      <c r="I598" s="1">
        <v>250</v>
      </c>
      <c r="J598" s="1">
        <v>2.8</v>
      </c>
      <c r="K598" s="1">
        <v>1</v>
      </c>
      <c r="L598" s="1">
        <v>0</v>
      </c>
      <c r="M598" s="1">
        <v>1</v>
      </c>
      <c r="N598" s="1">
        <v>1</v>
      </c>
      <c r="O598" s="1">
        <v>0</v>
      </c>
      <c r="P598" s="1">
        <v>0</v>
      </c>
      <c r="Q598" s="1">
        <v>0</v>
      </c>
      <c r="R598" s="1">
        <v>0</v>
      </c>
      <c r="S598" s="1">
        <v>0.35699999999999998</v>
      </c>
      <c r="T598" s="1" t="s">
        <v>26</v>
      </c>
      <c r="U598" s="1">
        <v>0</v>
      </c>
    </row>
    <row r="599" spans="1:21" x14ac:dyDescent="0.3">
      <c r="A599" t="s">
        <v>729</v>
      </c>
      <c r="B599" t="s">
        <v>64</v>
      </c>
      <c r="C599" t="s">
        <v>184</v>
      </c>
      <c r="D599" t="s">
        <v>185</v>
      </c>
      <c r="E599" s="1">
        <v>36.47</v>
      </c>
      <c r="F599" s="1" t="s">
        <v>74</v>
      </c>
      <c r="G599" s="1">
        <v>3</v>
      </c>
      <c r="H599" s="1">
        <v>3</v>
      </c>
      <c r="I599" s="1">
        <v>251</v>
      </c>
      <c r="J599" s="1">
        <v>2.8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 t="s">
        <v>26</v>
      </c>
      <c r="U599" s="1">
        <v>0</v>
      </c>
    </row>
    <row r="600" spans="1:21" x14ac:dyDescent="0.3">
      <c r="A600" t="s">
        <v>730</v>
      </c>
      <c r="B600" t="s">
        <v>61</v>
      </c>
      <c r="C600" t="s">
        <v>291</v>
      </c>
      <c r="D600" t="s">
        <v>292</v>
      </c>
      <c r="E600" s="1">
        <v>34.33</v>
      </c>
      <c r="F600" s="1" t="s">
        <v>44</v>
      </c>
      <c r="G600" s="1">
        <v>2</v>
      </c>
      <c r="H600" s="1">
        <v>2</v>
      </c>
      <c r="I600" s="1">
        <v>152</v>
      </c>
      <c r="J600" s="1">
        <v>1.7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 t="s">
        <v>26</v>
      </c>
      <c r="U600" s="1">
        <v>0</v>
      </c>
    </row>
    <row r="601" spans="1:21" x14ac:dyDescent="0.3">
      <c r="A601" t="s">
        <v>731</v>
      </c>
      <c r="B601" t="s">
        <v>37</v>
      </c>
      <c r="C601" t="s">
        <v>80</v>
      </c>
      <c r="D601" t="s">
        <v>81</v>
      </c>
      <c r="E601" s="1">
        <v>27.95</v>
      </c>
      <c r="F601" s="1" t="s">
        <v>39</v>
      </c>
      <c r="G601" s="1">
        <v>3</v>
      </c>
      <c r="H601" s="1">
        <v>3</v>
      </c>
      <c r="I601" s="1">
        <v>270</v>
      </c>
      <c r="J601" s="1">
        <v>3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 t="s">
        <v>26</v>
      </c>
      <c r="U601" s="1">
        <v>0</v>
      </c>
    </row>
    <row r="602" spans="1:21" x14ac:dyDescent="0.3">
      <c r="A602" t="s">
        <v>732</v>
      </c>
      <c r="B602" t="s">
        <v>22</v>
      </c>
      <c r="C602" t="s">
        <v>209</v>
      </c>
      <c r="D602" t="s">
        <v>210</v>
      </c>
      <c r="E602" s="1">
        <v>30.02</v>
      </c>
      <c r="F602" s="1" t="s">
        <v>39</v>
      </c>
      <c r="G602" s="1">
        <v>3</v>
      </c>
      <c r="H602" s="1">
        <v>1</v>
      </c>
      <c r="I602" s="1">
        <v>109</v>
      </c>
      <c r="J602" s="1">
        <v>1.2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 t="s">
        <v>40</v>
      </c>
      <c r="U602" s="1">
        <v>2</v>
      </c>
    </row>
    <row r="603" spans="1:21" x14ac:dyDescent="0.3">
      <c r="A603" t="s">
        <v>733</v>
      </c>
      <c r="B603" t="s">
        <v>31</v>
      </c>
      <c r="C603" t="s">
        <v>139</v>
      </c>
      <c r="D603" t="s">
        <v>140</v>
      </c>
      <c r="E603" s="1">
        <v>39.020000000000003</v>
      </c>
      <c r="F603" s="1" t="s">
        <v>74</v>
      </c>
      <c r="G603" s="1">
        <v>3</v>
      </c>
      <c r="H603" s="1">
        <v>2</v>
      </c>
      <c r="I603" s="1">
        <v>200</v>
      </c>
      <c r="J603" s="1">
        <v>2.2000000000000002</v>
      </c>
      <c r="K603" s="1">
        <v>6</v>
      </c>
      <c r="L603" s="1">
        <v>0</v>
      </c>
      <c r="M603" s="1">
        <v>6</v>
      </c>
      <c r="N603" s="1">
        <v>6</v>
      </c>
      <c r="O603" s="1">
        <v>0</v>
      </c>
      <c r="P603" s="1">
        <v>1</v>
      </c>
      <c r="Q603" s="1">
        <v>0</v>
      </c>
      <c r="R603" s="1">
        <v>0</v>
      </c>
      <c r="S603" s="1">
        <v>2.7269999999999999</v>
      </c>
      <c r="T603" s="1" t="s">
        <v>40</v>
      </c>
      <c r="U603" s="1">
        <v>1</v>
      </c>
    </row>
    <row r="604" spans="1:21" x14ac:dyDescent="0.3">
      <c r="A604" t="s">
        <v>734</v>
      </c>
      <c r="B604" t="s">
        <v>22</v>
      </c>
      <c r="C604" t="s">
        <v>231</v>
      </c>
      <c r="D604" t="s">
        <v>232</v>
      </c>
      <c r="E604" s="1">
        <v>26.65</v>
      </c>
      <c r="F604" s="1" t="s">
        <v>25</v>
      </c>
      <c r="G604" s="1">
        <v>3</v>
      </c>
      <c r="H604" s="1">
        <v>2</v>
      </c>
      <c r="I604" s="1">
        <v>225</v>
      </c>
      <c r="J604" s="1">
        <v>2.5</v>
      </c>
      <c r="K604" s="1">
        <v>1</v>
      </c>
      <c r="L604" s="1">
        <v>0</v>
      </c>
      <c r="M604" s="1">
        <v>1</v>
      </c>
      <c r="N604" s="1">
        <v>1</v>
      </c>
      <c r="O604" s="1">
        <v>0</v>
      </c>
      <c r="P604" s="1">
        <v>0</v>
      </c>
      <c r="Q604" s="1">
        <v>0</v>
      </c>
      <c r="R604" s="1">
        <v>0</v>
      </c>
      <c r="S604" s="1">
        <v>0.4</v>
      </c>
      <c r="T604" s="1" t="s">
        <v>40</v>
      </c>
      <c r="U604" s="1">
        <v>1</v>
      </c>
    </row>
    <row r="605" spans="1:21" x14ac:dyDescent="0.3">
      <c r="A605" t="s">
        <v>735</v>
      </c>
      <c r="B605" t="s">
        <v>37</v>
      </c>
      <c r="C605" t="s">
        <v>301</v>
      </c>
      <c r="D605" t="s">
        <v>302</v>
      </c>
      <c r="E605" s="1">
        <v>34.799999999999997</v>
      </c>
      <c r="F605" s="1" t="s">
        <v>44</v>
      </c>
      <c r="G605" s="1">
        <v>2</v>
      </c>
      <c r="H605" s="1">
        <v>2</v>
      </c>
      <c r="I605" s="1">
        <v>147</v>
      </c>
      <c r="J605" s="1">
        <v>1.6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 t="s">
        <v>26</v>
      </c>
      <c r="U605" s="1">
        <v>0</v>
      </c>
    </row>
    <row r="606" spans="1:21" x14ac:dyDescent="0.3">
      <c r="A606" t="s">
        <v>736</v>
      </c>
      <c r="B606" t="s">
        <v>22</v>
      </c>
      <c r="C606" t="s">
        <v>92</v>
      </c>
      <c r="D606" t="s">
        <v>93</v>
      </c>
      <c r="E606" s="1">
        <v>26.76</v>
      </c>
      <c r="F606" s="1" t="s">
        <v>25</v>
      </c>
      <c r="G606" s="1">
        <v>3</v>
      </c>
      <c r="H606" s="1">
        <v>2</v>
      </c>
      <c r="I606" s="1">
        <v>162</v>
      </c>
      <c r="J606" s="1">
        <v>1.8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1</v>
      </c>
      <c r="R606" s="1">
        <v>0</v>
      </c>
      <c r="S606" s="1">
        <v>0</v>
      </c>
      <c r="T606" s="1" t="s">
        <v>40</v>
      </c>
      <c r="U606" s="1">
        <v>1</v>
      </c>
    </row>
    <row r="607" spans="1:21" x14ac:dyDescent="0.3">
      <c r="A607" t="s">
        <v>737</v>
      </c>
      <c r="B607" t="s">
        <v>37</v>
      </c>
      <c r="C607" t="s">
        <v>305</v>
      </c>
      <c r="D607" t="s">
        <v>306</v>
      </c>
      <c r="E607" s="1">
        <v>29.62</v>
      </c>
      <c r="F607" s="1" t="s">
        <v>39</v>
      </c>
      <c r="G607" s="1">
        <v>3</v>
      </c>
      <c r="H607" s="1">
        <v>3</v>
      </c>
      <c r="I607" s="1">
        <v>245</v>
      </c>
      <c r="J607" s="1">
        <v>2.7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 t="s">
        <v>26</v>
      </c>
      <c r="U607" s="1">
        <v>0</v>
      </c>
    </row>
    <row r="608" spans="1:21" x14ac:dyDescent="0.3">
      <c r="A608" t="s">
        <v>738</v>
      </c>
      <c r="B608" t="s">
        <v>22</v>
      </c>
      <c r="C608" t="s">
        <v>118</v>
      </c>
      <c r="D608" t="s">
        <v>119</v>
      </c>
      <c r="E608" s="1">
        <v>23.13</v>
      </c>
      <c r="F608" s="1" t="s">
        <v>25</v>
      </c>
      <c r="G608" s="1">
        <v>1</v>
      </c>
      <c r="H608" s="1">
        <v>1</v>
      </c>
      <c r="I608" s="1">
        <v>55</v>
      </c>
      <c r="J608" s="1">
        <v>0.6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 t="s">
        <v>26</v>
      </c>
      <c r="U608" s="1">
        <v>0</v>
      </c>
    </row>
    <row r="609" spans="1:21" x14ac:dyDescent="0.3">
      <c r="A609" t="s">
        <v>739</v>
      </c>
      <c r="B609" t="s">
        <v>37</v>
      </c>
      <c r="C609" t="s">
        <v>68</v>
      </c>
      <c r="D609" t="s">
        <v>69</v>
      </c>
      <c r="E609" s="1">
        <v>30.94</v>
      </c>
      <c r="F609" s="1" t="s">
        <v>39</v>
      </c>
      <c r="G609" s="1">
        <v>4</v>
      </c>
      <c r="H609" s="1">
        <v>4</v>
      </c>
      <c r="I609" s="1">
        <v>346</v>
      </c>
      <c r="J609" s="1">
        <v>3.8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1</v>
      </c>
      <c r="R609" s="1">
        <v>0</v>
      </c>
      <c r="S609" s="1">
        <v>0</v>
      </c>
      <c r="T609" s="1" t="s">
        <v>26</v>
      </c>
      <c r="U609" s="1">
        <v>0</v>
      </c>
    </row>
    <row r="610" spans="1:21" x14ac:dyDescent="0.3">
      <c r="A610" t="s">
        <v>740</v>
      </c>
      <c r="B610" t="s">
        <v>22</v>
      </c>
      <c r="C610" t="s">
        <v>225</v>
      </c>
      <c r="D610" t="s">
        <v>226</v>
      </c>
      <c r="E610" s="1">
        <v>40.799999999999997</v>
      </c>
      <c r="F610" s="1" t="s">
        <v>74</v>
      </c>
      <c r="G610" s="1">
        <v>3</v>
      </c>
      <c r="H610" s="1">
        <v>3</v>
      </c>
      <c r="I610" s="1">
        <v>227</v>
      </c>
      <c r="J610" s="1">
        <v>2.5</v>
      </c>
      <c r="K610" s="1">
        <v>0</v>
      </c>
      <c r="L610" s="1">
        <v>1</v>
      </c>
      <c r="M610" s="1">
        <v>1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 t="s">
        <v>26</v>
      </c>
      <c r="U610" s="1">
        <v>0</v>
      </c>
    </row>
    <row r="611" spans="1:21" x14ac:dyDescent="0.3">
      <c r="A611" t="s">
        <v>741</v>
      </c>
      <c r="B611" t="s">
        <v>22</v>
      </c>
      <c r="C611" t="s">
        <v>68</v>
      </c>
      <c r="D611" t="s">
        <v>69</v>
      </c>
      <c r="E611" s="1">
        <v>21.68</v>
      </c>
      <c r="F611" s="1" t="s">
        <v>34</v>
      </c>
      <c r="G611" s="1">
        <v>3</v>
      </c>
      <c r="H611" s="1">
        <v>2</v>
      </c>
      <c r="I611" s="1">
        <v>169</v>
      </c>
      <c r="J611" s="1">
        <v>1.9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 t="s">
        <v>40</v>
      </c>
      <c r="U611" s="1">
        <v>1</v>
      </c>
    </row>
    <row r="612" spans="1:21" x14ac:dyDescent="0.3">
      <c r="A612" t="s">
        <v>742</v>
      </c>
      <c r="B612" t="s">
        <v>31</v>
      </c>
      <c r="C612" t="s">
        <v>133</v>
      </c>
      <c r="D612" t="s">
        <v>134</v>
      </c>
      <c r="E612" s="1">
        <v>31.52</v>
      </c>
      <c r="F612" s="1" t="s">
        <v>44</v>
      </c>
      <c r="G612" s="1">
        <v>3</v>
      </c>
      <c r="H612" s="1">
        <v>1</v>
      </c>
      <c r="I612" s="1">
        <v>88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 t="s">
        <v>40</v>
      </c>
      <c r="U612" s="1">
        <v>2</v>
      </c>
    </row>
    <row r="613" spans="1:21" x14ac:dyDescent="0.3">
      <c r="A613" t="s">
        <v>743</v>
      </c>
      <c r="B613" t="s">
        <v>37</v>
      </c>
      <c r="C613" t="s">
        <v>133</v>
      </c>
      <c r="D613" t="s">
        <v>134</v>
      </c>
      <c r="E613" s="1">
        <v>32.75</v>
      </c>
      <c r="F613" s="1" t="s">
        <v>44</v>
      </c>
      <c r="G613" s="1">
        <v>3</v>
      </c>
      <c r="H613" s="1">
        <v>2</v>
      </c>
      <c r="I613" s="1">
        <v>205</v>
      </c>
      <c r="J613" s="1">
        <v>2.2999999999999998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 t="s">
        <v>40</v>
      </c>
      <c r="U613" s="1">
        <v>1</v>
      </c>
    </row>
    <row r="614" spans="1:21" x14ac:dyDescent="0.3">
      <c r="A614" t="s">
        <v>744</v>
      </c>
      <c r="B614" t="s">
        <v>22</v>
      </c>
      <c r="C614" t="s">
        <v>133</v>
      </c>
      <c r="D614" t="s">
        <v>134</v>
      </c>
      <c r="E614" s="1">
        <v>27.53</v>
      </c>
      <c r="F614" s="1" t="s">
        <v>39</v>
      </c>
      <c r="G614" s="1">
        <v>3</v>
      </c>
      <c r="H614" s="1">
        <v>3</v>
      </c>
      <c r="I614" s="1">
        <v>244</v>
      </c>
      <c r="J614" s="1">
        <v>2.7</v>
      </c>
      <c r="K614" s="1">
        <v>1</v>
      </c>
      <c r="L614" s="1">
        <v>0</v>
      </c>
      <c r="M614" s="1">
        <v>1</v>
      </c>
      <c r="N614" s="1">
        <v>1</v>
      </c>
      <c r="O614" s="1">
        <v>0</v>
      </c>
      <c r="P614" s="1">
        <v>0</v>
      </c>
      <c r="Q614" s="1">
        <v>0</v>
      </c>
      <c r="R614" s="1">
        <v>0</v>
      </c>
      <c r="S614" s="1">
        <v>0.37</v>
      </c>
      <c r="T614" s="1" t="s">
        <v>26</v>
      </c>
      <c r="U614" s="1">
        <v>0</v>
      </c>
    </row>
    <row r="615" spans="1:21" x14ac:dyDescent="0.3">
      <c r="A615" t="s">
        <v>745</v>
      </c>
      <c r="B615" t="s">
        <v>37</v>
      </c>
      <c r="C615" t="s">
        <v>189</v>
      </c>
      <c r="D615" t="s">
        <v>190</v>
      </c>
      <c r="E615" s="1">
        <v>33.86</v>
      </c>
      <c r="F615" s="1" t="s">
        <v>44</v>
      </c>
      <c r="G615" s="1">
        <v>2</v>
      </c>
      <c r="H615" s="1">
        <v>2</v>
      </c>
      <c r="I615" s="1">
        <v>180</v>
      </c>
      <c r="J615" s="1">
        <v>2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1</v>
      </c>
      <c r="R615" s="1">
        <v>0</v>
      </c>
      <c r="S615" s="1">
        <v>0</v>
      </c>
      <c r="T615" s="1" t="s">
        <v>26</v>
      </c>
      <c r="U615" s="1">
        <v>0</v>
      </c>
    </row>
    <row r="616" spans="1:21" x14ac:dyDescent="0.3">
      <c r="A616" t="s">
        <v>746</v>
      </c>
      <c r="B616" t="s">
        <v>22</v>
      </c>
      <c r="C616" t="s">
        <v>68</v>
      </c>
      <c r="D616" t="s">
        <v>69</v>
      </c>
      <c r="E616" s="1">
        <v>29.43</v>
      </c>
      <c r="F616" s="1" t="s">
        <v>39</v>
      </c>
      <c r="G616" s="1">
        <v>3</v>
      </c>
      <c r="H616" s="1">
        <v>3</v>
      </c>
      <c r="I616" s="1">
        <v>270</v>
      </c>
      <c r="J616" s="1">
        <v>3</v>
      </c>
      <c r="K616" s="1">
        <v>1</v>
      </c>
      <c r="L616" s="1">
        <v>0</v>
      </c>
      <c r="M616" s="1">
        <v>1</v>
      </c>
      <c r="N616" s="1">
        <v>0</v>
      </c>
      <c r="O616" s="1">
        <v>1</v>
      </c>
      <c r="P616" s="1">
        <v>1</v>
      </c>
      <c r="Q616" s="1">
        <v>2</v>
      </c>
      <c r="R616" s="1">
        <v>0</v>
      </c>
      <c r="S616" s="1">
        <v>0.33300000000000002</v>
      </c>
      <c r="T616" s="1" t="s">
        <v>26</v>
      </c>
      <c r="U616" s="1">
        <v>0</v>
      </c>
    </row>
    <row r="617" spans="1:21" x14ac:dyDescent="0.3">
      <c r="A617" t="s">
        <v>747</v>
      </c>
      <c r="B617" t="s">
        <v>37</v>
      </c>
      <c r="C617" t="s">
        <v>139</v>
      </c>
      <c r="D617" t="s">
        <v>140</v>
      </c>
      <c r="E617" s="1">
        <v>28.23</v>
      </c>
      <c r="F617" s="1" t="s">
        <v>39</v>
      </c>
      <c r="G617" s="1">
        <v>2</v>
      </c>
      <c r="H617" s="1">
        <v>1</v>
      </c>
      <c r="I617" s="1">
        <v>135</v>
      </c>
      <c r="J617" s="1">
        <v>1.5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 t="s">
        <v>40</v>
      </c>
      <c r="U617" s="1">
        <v>1</v>
      </c>
    </row>
    <row r="618" spans="1:21" x14ac:dyDescent="0.3">
      <c r="A618" t="s">
        <v>748</v>
      </c>
      <c r="B618" t="s">
        <v>22</v>
      </c>
      <c r="C618" t="s">
        <v>184</v>
      </c>
      <c r="D618" t="s">
        <v>185</v>
      </c>
      <c r="E618" s="1">
        <v>32.6</v>
      </c>
      <c r="F618" s="1" t="s">
        <v>44</v>
      </c>
      <c r="G618" s="1">
        <v>3</v>
      </c>
      <c r="H618" s="1">
        <v>3</v>
      </c>
      <c r="I618" s="1">
        <v>227</v>
      </c>
      <c r="J618" s="1">
        <v>2.5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 t="s">
        <v>26</v>
      </c>
      <c r="U618" s="1">
        <v>0</v>
      </c>
    </row>
    <row r="619" spans="1:21" x14ac:dyDescent="0.3">
      <c r="A619" t="s">
        <v>749</v>
      </c>
      <c r="B619" t="s">
        <v>37</v>
      </c>
      <c r="C619" t="s">
        <v>145</v>
      </c>
      <c r="D619" t="s">
        <v>146</v>
      </c>
      <c r="E619" s="1">
        <v>29.34</v>
      </c>
      <c r="F619" s="1" t="s">
        <v>39</v>
      </c>
      <c r="G619" s="1">
        <v>2</v>
      </c>
      <c r="H619" s="1">
        <v>2</v>
      </c>
      <c r="I619" s="1">
        <v>179</v>
      </c>
      <c r="J619" s="1">
        <v>2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1</v>
      </c>
      <c r="S619" s="1">
        <v>0</v>
      </c>
      <c r="T619" s="1" t="s">
        <v>26</v>
      </c>
      <c r="U619" s="1">
        <v>0</v>
      </c>
    </row>
    <row r="620" spans="1:21" x14ac:dyDescent="0.3">
      <c r="A620" t="s">
        <v>750</v>
      </c>
      <c r="B620" t="s">
        <v>37</v>
      </c>
      <c r="C620" t="s">
        <v>139</v>
      </c>
      <c r="D620" t="s">
        <v>140</v>
      </c>
      <c r="E620" s="1">
        <v>29.49</v>
      </c>
      <c r="F620" s="1" t="s">
        <v>39</v>
      </c>
      <c r="G620" s="1">
        <v>1</v>
      </c>
      <c r="H620" s="1">
        <v>1</v>
      </c>
      <c r="I620" s="1">
        <v>45</v>
      </c>
      <c r="J620" s="1">
        <v>0.5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 t="s">
        <v>26</v>
      </c>
      <c r="U620" s="1">
        <v>0</v>
      </c>
    </row>
    <row r="621" spans="1:21" x14ac:dyDescent="0.3">
      <c r="A621" t="s">
        <v>751</v>
      </c>
      <c r="B621" t="s">
        <v>22</v>
      </c>
      <c r="C621" t="s">
        <v>305</v>
      </c>
      <c r="D621" t="s">
        <v>306</v>
      </c>
      <c r="E621" s="1">
        <v>30.91</v>
      </c>
      <c r="F621" s="1" t="s">
        <v>39</v>
      </c>
      <c r="G621" s="1">
        <v>1</v>
      </c>
      <c r="H621" s="1">
        <v>1</v>
      </c>
      <c r="I621" s="1">
        <v>70</v>
      </c>
      <c r="J621" s="1">
        <v>0.8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 t="s">
        <v>26</v>
      </c>
      <c r="U621" s="1">
        <v>0</v>
      </c>
    </row>
    <row r="622" spans="1:21" x14ac:dyDescent="0.3">
      <c r="A622" t="s">
        <v>752</v>
      </c>
      <c r="B622" t="s">
        <v>22</v>
      </c>
      <c r="C622" t="s">
        <v>145</v>
      </c>
      <c r="D622" t="s">
        <v>146</v>
      </c>
      <c r="E622" s="1">
        <v>17.71</v>
      </c>
      <c r="F622" s="1" t="s">
        <v>34</v>
      </c>
      <c r="G622" s="1">
        <v>2</v>
      </c>
      <c r="H622" s="1">
        <v>1</v>
      </c>
      <c r="I622" s="1">
        <v>96</v>
      </c>
      <c r="J622" s="1">
        <v>1.1000000000000001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 t="s">
        <v>40</v>
      </c>
      <c r="U622" s="1">
        <v>1</v>
      </c>
    </row>
    <row r="623" spans="1:21" x14ac:dyDescent="0.3">
      <c r="A623" t="s">
        <v>753</v>
      </c>
      <c r="B623" t="s">
        <v>37</v>
      </c>
      <c r="C623" t="s">
        <v>184</v>
      </c>
      <c r="D623" t="s">
        <v>185</v>
      </c>
      <c r="E623" s="1">
        <v>31.88</v>
      </c>
      <c r="F623" s="1" t="s">
        <v>44</v>
      </c>
      <c r="G623" s="1">
        <v>3</v>
      </c>
      <c r="H623" s="1">
        <v>2</v>
      </c>
      <c r="I623" s="1">
        <v>181</v>
      </c>
      <c r="J623" s="1">
        <v>2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 t="s">
        <v>40</v>
      </c>
      <c r="U623" s="1">
        <v>1</v>
      </c>
    </row>
    <row r="624" spans="1:21" x14ac:dyDescent="0.3">
      <c r="A624" t="s">
        <v>754</v>
      </c>
      <c r="B624" t="s">
        <v>22</v>
      </c>
      <c r="C624" t="s">
        <v>68</v>
      </c>
      <c r="D624" t="s">
        <v>69</v>
      </c>
      <c r="E624" s="1">
        <v>25.74</v>
      </c>
      <c r="F624" s="1" t="s">
        <v>25</v>
      </c>
      <c r="G624" s="1">
        <v>2</v>
      </c>
      <c r="H624" s="1">
        <v>0</v>
      </c>
      <c r="I624" s="1">
        <v>34</v>
      </c>
      <c r="J624" s="1">
        <v>0.4</v>
      </c>
      <c r="K624" s="1">
        <v>0</v>
      </c>
      <c r="L624" s="1">
        <v>1</v>
      </c>
      <c r="M624" s="1">
        <v>1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 t="s">
        <v>35</v>
      </c>
      <c r="U624" s="1">
        <v>2</v>
      </c>
    </row>
    <row r="625" spans="1:21" x14ac:dyDescent="0.3">
      <c r="A625" t="s">
        <v>755</v>
      </c>
      <c r="B625" t="s">
        <v>61</v>
      </c>
      <c r="C625" t="s">
        <v>156</v>
      </c>
      <c r="D625" t="s">
        <v>157</v>
      </c>
      <c r="E625" s="1">
        <v>31.51</v>
      </c>
      <c r="F625" s="1" t="s">
        <v>44</v>
      </c>
      <c r="G625" s="1">
        <v>3</v>
      </c>
      <c r="H625" s="1">
        <v>3</v>
      </c>
      <c r="I625" s="1">
        <v>270</v>
      </c>
      <c r="J625" s="1">
        <v>3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 t="s">
        <v>26</v>
      </c>
      <c r="U625" s="1">
        <v>0</v>
      </c>
    </row>
    <row r="626" spans="1:21" x14ac:dyDescent="0.3">
      <c r="A626" t="s">
        <v>756</v>
      </c>
      <c r="B626" t="s">
        <v>22</v>
      </c>
      <c r="C626" t="s">
        <v>151</v>
      </c>
      <c r="D626" t="s">
        <v>152</v>
      </c>
      <c r="E626" s="1">
        <v>20.73</v>
      </c>
      <c r="F626" s="1" t="s">
        <v>34</v>
      </c>
      <c r="G626" s="1">
        <v>4</v>
      </c>
      <c r="H626" s="1">
        <v>0</v>
      </c>
      <c r="I626" s="1">
        <v>77</v>
      </c>
      <c r="J626" s="1">
        <v>0.9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 t="s">
        <v>35</v>
      </c>
      <c r="U626" s="1">
        <v>4</v>
      </c>
    </row>
    <row r="627" spans="1:21" x14ac:dyDescent="0.3">
      <c r="A627" t="s">
        <v>757</v>
      </c>
      <c r="B627" t="s">
        <v>22</v>
      </c>
      <c r="C627" t="s">
        <v>213</v>
      </c>
      <c r="D627" t="s">
        <v>214</v>
      </c>
      <c r="E627" s="1">
        <v>29.88</v>
      </c>
      <c r="F627" s="1" t="s">
        <v>39</v>
      </c>
      <c r="G627" s="1">
        <v>3</v>
      </c>
      <c r="H627" s="1">
        <v>3</v>
      </c>
      <c r="I627" s="1">
        <v>242</v>
      </c>
      <c r="J627" s="1">
        <v>2.7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1</v>
      </c>
      <c r="R627" s="1">
        <v>0</v>
      </c>
      <c r="S627" s="1">
        <v>0</v>
      </c>
      <c r="T627" s="1" t="s">
        <v>26</v>
      </c>
      <c r="U627" s="1">
        <v>0</v>
      </c>
    </row>
    <row r="628" spans="1:21" x14ac:dyDescent="0.3">
      <c r="A628" t="s">
        <v>758</v>
      </c>
      <c r="B628" t="s">
        <v>22</v>
      </c>
      <c r="C628" t="s">
        <v>49</v>
      </c>
      <c r="D628" t="s">
        <v>50</v>
      </c>
      <c r="E628" s="1">
        <v>27.24</v>
      </c>
      <c r="F628" s="1" t="s">
        <v>39</v>
      </c>
      <c r="G628" s="1">
        <v>3</v>
      </c>
      <c r="H628" s="1">
        <v>2</v>
      </c>
      <c r="I628" s="1">
        <v>216</v>
      </c>
      <c r="J628" s="1">
        <v>2.4</v>
      </c>
      <c r="K628" s="1">
        <v>0</v>
      </c>
      <c r="L628" s="1">
        <v>1</v>
      </c>
      <c r="M628" s="1">
        <v>1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 t="s">
        <v>40</v>
      </c>
      <c r="U628" s="1">
        <v>1</v>
      </c>
    </row>
    <row r="629" spans="1:21" x14ac:dyDescent="0.3">
      <c r="A629" t="s">
        <v>759</v>
      </c>
      <c r="B629" t="s">
        <v>61</v>
      </c>
      <c r="C629" t="s">
        <v>213</v>
      </c>
      <c r="D629" t="s">
        <v>214</v>
      </c>
      <c r="E629" s="1">
        <v>31.91</v>
      </c>
      <c r="F629" s="1" t="s">
        <v>44</v>
      </c>
      <c r="G629" s="1">
        <v>3</v>
      </c>
      <c r="H629" s="1">
        <v>3</v>
      </c>
      <c r="I629" s="1">
        <v>270</v>
      </c>
      <c r="J629" s="1">
        <v>3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 t="s">
        <v>26</v>
      </c>
      <c r="U629" s="1">
        <v>0</v>
      </c>
    </row>
    <row r="630" spans="1:21" x14ac:dyDescent="0.3">
      <c r="A630" t="s">
        <v>760</v>
      </c>
      <c r="B630" t="s">
        <v>37</v>
      </c>
      <c r="C630" t="s">
        <v>68</v>
      </c>
      <c r="D630" t="s">
        <v>69</v>
      </c>
      <c r="E630" s="1">
        <v>31.18</v>
      </c>
      <c r="F630" s="1" t="s">
        <v>44</v>
      </c>
      <c r="G630" s="1">
        <v>4</v>
      </c>
      <c r="H630" s="1">
        <v>4</v>
      </c>
      <c r="I630" s="1">
        <v>360</v>
      </c>
      <c r="J630" s="1">
        <v>4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 t="s">
        <v>26</v>
      </c>
      <c r="U630" s="1">
        <v>0</v>
      </c>
    </row>
    <row r="631" spans="1:21" x14ac:dyDescent="0.3">
      <c r="A631" t="s">
        <v>761</v>
      </c>
      <c r="B631" t="s">
        <v>37</v>
      </c>
      <c r="C631" t="s">
        <v>115</v>
      </c>
      <c r="D631" t="s">
        <v>116</v>
      </c>
      <c r="E631" s="1">
        <v>23.33</v>
      </c>
      <c r="F631" s="1" t="s">
        <v>25</v>
      </c>
      <c r="G631" s="1">
        <v>2</v>
      </c>
      <c r="H631" s="1">
        <v>2</v>
      </c>
      <c r="I631" s="1">
        <v>169</v>
      </c>
      <c r="J631" s="1">
        <v>1.9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1</v>
      </c>
      <c r="S631" s="1">
        <v>0</v>
      </c>
      <c r="T631" s="1" t="s">
        <v>26</v>
      </c>
      <c r="U631" s="1">
        <v>0</v>
      </c>
    </row>
    <row r="632" spans="1:21" x14ac:dyDescent="0.3">
      <c r="A632" t="s">
        <v>762</v>
      </c>
      <c r="B632" t="s">
        <v>155</v>
      </c>
      <c r="C632" t="s">
        <v>84</v>
      </c>
      <c r="D632" t="s">
        <v>85</v>
      </c>
      <c r="E632" s="1">
        <v>28.27</v>
      </c>
      <c r="F632" s="1" t="s">
        <v>39</v>
      </c>
      <c r="G632" s="1">
        <v>1</v>
      </c>
      <c r="H632" s="1">
        <v>0</v>
      </c>
      <c r="I632" s="1">
        <v>2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 t="s">
        <v>35</v>
      </c>
      <c r="U632" s="1">
        <v>1</v>
      </c>
    </row>
    <row r="633" spans="1:21" x14ac:dyDescent="0.3">
      <c r="A633" t="s">
        <v>763</v>
      </c>
      <c r="B633" t="s">
        <v>22</v>
      </c>
      <c r="C633" t="s">
        <v>213</v>
      </c>
      <c r="D633" t="s">
        <v>214</v>
      </c>
      <c r="E633" s="1">
        <v>21.65</v>
      </c>
      <c r="F633" s="1" t="s">
        <v>34</v>
      </c>
      <c r="G633" s="1">
        <v>3</v>
      </c>
      <c r="H633" s="1">
        <v>2</v>
      </c>
      <c r="I633" s="1">
        <v>120</v>
      </c>
      <c r="J633" s="1">
        <v>1.3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 t="s">
        <v>40</v>
      </c>
      <c r="U633" s="1">
        <v>1</v>
      </c>
    </row>
    <row r="634" spans="1:21" x14ac:dyDescent="0.3">
      <c r="A634" t="s">
        <v>764</v>
      </c>
      <c r="B634" t="s">
        <v>37</v>
      </c>
      <c r="C634" t="s">
        <v>104</v>
      </c>
      <c r="D634" t="s">
        <v>105</v>
      </c>
      <c r="E634" s="1">
        <v>27.24</v>
      </c>
      <c r="F634" s="1" t="s">
        <v>39</v>
      </c>
      <c r="G634" s="1">
        <v>3</v>
      </c>
      <c r="H634" s="1">
        <v>1</v>
      </c>
      <c r="I634" s="1">
        <v>101</v>
      </c>
      <c r="J634" s="1">
        <v>1.1000000000000001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 t="s">
        <v>40</v>
      </c>
      <c r="U634" s="1">
        <v>2</v>
      </c>
    </row>
    <row r="635" spans="1:21" x14ac:dyDescent="0.3">
      <c r="A635" t="s">
        <v>765</v>
      </c>
      <c r="B635" t="s">
        <v>37</v>
      </c>
      <c r="C635" t="s">
        <v>189</v>
      </c>
      <c r="D635" t="s">
        <v>190</v>
      </c>
      <c r="E635" s="1">
        <v>30.1</v>
      </c>
      <c r="F635" s="1" t="s">
        <v>39</v>
      </c>
      <c r="G635" s="1">
        <v>3</v>
      </c>
      <c r="H635" s="1">
        <v>2</v>
      </c>
      <c r="I635" s="1">
        <v>184</v>
      </c>
      <c r="J635" s="1">
        <v>2</v>
      </c>
      <c r="K635" s="1">
        <v>2</v>
      </c>
      <c r="L635" s="1">
        <v>0</v>
      </c>
      <c r="M635" s="1">
        <v>2</v>
      </c>
      <c r="N635" s="1">
        <v>2</v>
      </c>
      <c r="O635" s="1">
        <v>0</v>
      </c>
      <c r="P635" s="1">
        <v>0</v>
      </c>
      <c r="Q635" s="1">
        <v>0</v>
      </c>
      <c r="R635" s="1">
        <v>0</v>
      </c>
      <c r="S635" s="1">
        <v>1</v>
      </c>
      <c r="T635" s="1" t="s">
        <v>40</v>
      </c>
      <c r="U635" s="1">
        <v>1</v>
      </c>
    </row>
    <row r="636" spans="1:21" x14ac:dyDescent="0.3">
      <c r="A636" t="s">
        <v>766</v>
      </c>
      <c r="B636" t="s">
        <v>31</v>
      </c>
      <c r="C636" t="s">
        <v>225</v>
      </c>
      <c r="D636" t="s">
        <v>226</v>
      </c>
      <c r="E636" s="1">
        <v>28.32</v>
      </c>
      <c r="F636" s="1" t="s">
        <v>39</v>
      </c>
      <c r="G636" s="1">
        <v>2</v>
      </c>
      <c r="H636" s="1">
        <v>2</v>
      </c>
      <c r="I636" s="1">
        <v>110</v>
      </c>
      <c r="J636" s="1">
        <v>1.2</v>
      </c>
      <c r="K636" s="1">
        <v>1</v>
      </c>
      <c r="L636" s="1">
        <v>0</v>
      </c>
      <c r="M636" s="1">
        <v>1</v>
      </c>
      <c r="N636" s="1">
        <v>1</v>
      </c>
      <c r="O636" s="1">
        <v>0</v>
      </c>
      <c r="P636" s="1">
        <v>0</v>
      </c>
      <c r="Q636" s="1">
        <v>0</v>
      </c>
      <c r="R636" s="1">
        <v>0</v>
      </c>
      <c r="S636" s="1">
        <v>0.83299999999999996</v>
      </c>
      <c r="T636" s="1" t="s">
        <v>26</v>
      </c>
      <c r="U636" s="1">
        <v>0</v>
      </c>
    </row>
    <row r="637" spans="1:21" x14ac:dyDescent="0.3">
      <c r="A637" t="s">
        <v>767</v>
      </c>
      <c r="B637" t="s">
        <v>22</v>
      </c>
      <c r="C637" t="s">
        <v>159</v>
      </c>
      <c r="D637" t="s">
        <v>160</v>
      </c>
      <c r="E637" s="1">
        <v>23.34</v>
      </c>
      <c r="F637" s="1" t="s">
        <v>25</v>
      </c>
      <c r="G637" s="1">
        <v>4</v>
      </c>
      <c r="H637" s="1">
        <v>3</v>
      </c>
      <c r="I637" s="1">
        <v>270</v>
      </c>
      <c r="J637" s="1">
        <v>3</v>
      </c>
      <c r="K637" s="1">
        <v>1</v>
      </c>
      <c r="L637" s="1">
        <v>0</v>
      </c>
      <c r="M637" s="1">
        <v>1</v>
      </c>
      <c r="N637" s="1">
        <v>1</v>
      </c>
      <c r="O637" s="1">
        <v>0</v>
      </c>
      <c r="P637" s="1">
        <v>0</v>
      </c>
      <c r="Q637" s="1">
        <v>1</v>
      </c>
      <c r="R637" s="1">
        <v>0</v>
      </c>
      <c r="S637" s="1">
        <v>0.33300000000000002</v>
      </c>
      <c r="T637" s="1" t="s">
        <v>40</v>
      </c>
      <c r="U637" s="1">
        <v>1</v>
      </c>
    </row>
    <row r="638" spans="1:21" x14ac:dyDescent="0.3">
      <c r="A638" t="s">
        <v>768</v>
      </c>
      <c r="B638" t="s">
        <v>61</v>
      </c>
      <c r="C638" t="s">
        <v>89</v>
      </c>
      <c r="D638" t="s">
        <v>90</v>
      </c>
      <c r="E638" s="1">
        <v>40.04</v>
      </c>
      <c r="F638" s="1" t="s">
        <v>74</v>
      </c>
      <c r="G638" s="1">
        <v>3</v>
      </c>
      <c r="H638" s="1">
        <v>3</v>
      </c>
      <c r="I638" s="1">
        <v>225</v>
      </c>
      <c r="J638" s="1">
        <v>2.5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 t="s">
        <v>26</v>
      </c>
      <c r="U638" s="1">
        <v>0</v>
      </c>
    </row>
    <row r="639" spans="1:21" x14ac:dyDescent="0.3">
      <c r="A639" t="s">
        <v>769</v>
      </c>
      <c r="B639" t="s">
        <v>37</v>
      </c>
      <c r="C639" t="s">
        <v>112</v>
      </c>
      <c r="D639" t="s">
        <v>113</v>
      </c>
      <c r="E639" s="1">
        <v>32.42</v>
      </c>
      <c r="F639" s="1" t="s">
        <v>44</v>
      </c>
      <c r="G639" s="1">
        <v>2</v>
      </c>
      <c r="H639" s="1">
        <v>2</v>
      </c>
      <c r="I639" s="1">
        <v>147</v>
      </c>
      <c r="J639" s="1">
        <v>1.6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 t="s">
        <v>26</v>
      </c>
      <c r="U639" s="1">
        <v>0</v>
      </c>
    </row>
    <row r="640" spans="1:21" x14ac:dyDescent="0.3">
      <c r="A640" t="s">
        <v>770</v>
      </c>
      <c r="B640" t="s">
        <v>37</v>
      </c>
      <c r="C640" t="s">
        <v>28</v>
      </c>
      <c r="D640" t="s">
        <v>29</v>
      </c>
      <c r="E640" s="1">
        <v>24.19</v>
      </c>
      <c r="F640" s="1" t="s">
        <v>25</v>
      </c>
      <c r="G640" s="1">
        <v>2</v>
      </c>
      <c r="H640" s="1">
        <v>2</v>
      </c>
      <c r="I640" s="1">
        <v>162</v>
      </c>
      <c r="J640" s="1">
        <v>1.8</v>
      </c>
      <c r="K640" s="1">
        <v>0</v>
      </c>
      <c r="L640" s="1">
        <v>1</v>
      </c>
      <c r="M640" s="1">
        <v>1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 t="s">
        <v>26</v>
      </c>
      <c r="U640" s="1">
        <v>0</v>
      </c>
    </row>
    <row r="641" spans="1:21" x14ac:dyDescent="0.3">
      <c r="A641" t="s">
        <v>771</v>
      </c>
      <c r="B641" t="s">
        <v>155</v>
      </c>
      <c r="C641" t="s">
        <v>391</v>
      </c>
      <c r="D641" t="s">
        <v>392</v>
      </c>
      <c r="E641" s="1">
        <v>39.799999999999997</v>
      </c>
      <c r="F641" s="1" t="s">
        <v>74</v>
      </c>
      <c r="G641" s="1">
        <v>1</v>
      </c>
      <c r="H641" s="1">
        <v>0</v>
      </c>
      <c r="I641" s="1">
        <v>16</v>
      </c>
      <c r="J641" s="1">
        <v>0.2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 t="s">
        <v>35</v>
      </c>
      <c r="U641" s="1">
        <v>1</v>
      </c>
    </row>
    <row r="642" spans="1:21" x14ac:dyDescent="0.3">
      <c r="A642" t="s">
        <v>772</v>
      </c>
      <c r="B642" t="s">
        <v>22</v>
      </c>
      <c r="C642" t="s">
        <v>391</v>
      </c>
      <c r="D642" t="s">
        <v>392</v>
      </c>
      <c r="E642" s="1">
        <v>25.92</v>
      </c>
      <c r="F642" s="1" t="s">
        <v>25</v>
      </c>
      <c r="G642" s="1">
        <v>4</v>
      </c>
      <c r="H642" s="1">
        <v>4</v>
      </c>
      <c r="I642" s="1">
        <v>307</v>
      </c>
      <c r="J642" s="1">
        <v>3.4</v>
      </c>
      <c r="K642" s="1">
        <v>1</v>
      </c>
      <c r="L642" s="1">
        <v>1</v>
      </c>
      <c r="M642" s="1">
        <v>2</v>
      </c>
      <c r="N642" s="1">
        <v>1</v>
      </c>
      <c r="O642" s="1">
        <v>0</v>
      </c>
      <c r="P642" s="1">
        <v>0</v>
      </c>
      <c r="Q642" s="1">
        <v>0</v>
      </c>
      <c r="R642" s="1">
        <v>0</v>
      </c>
      <c r="S642" s="1">
        <v>0.29399999999999998</v>
      </c>
      <c r="T642" s="1" t="s">
        <v>26</v>
      </c>
      <c r="U642" s="1">
        <v>0</v>
      </c>
    </row>
    <row r="643" spans="1:21" x14ac:dyDescent="0.3">
      <c r="A643" t="s">
        <v>773</v>
      </c>
      <c r="B643" t="s">
        <v>37</v>
      </c>
      <c r="C643" t="s">
        <v>55</v>
      </c>
      <c r="D643" t="s">
        <v>56</v>
      </c>
      <c r="E643" s="1">
        <v>32.340000000000003</v>
      </c>
      <c r="F643" s="1" t="s">
        <v>44</v>
      </c>
      <c r="G643" s="1">
        <v>3</v>
      </c>
      <c r="H643" s="1">
        <v>3</v>
      </c>
      <c r="I643" s="1">
        <v>260</v>
      </c>
      <c r="J643" s="1">
        <v>2.9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 t="s">
        <v>26</v>
      </c>
      <c r="U643" s="1">
        <v>0</v>
      </c>
    </row>
    <row r="644" spans="1:21" x14ac:dyDescent="0.3">
      <c r="A644" t="s">
        <v>774</v>
      </c>
      <c r="B644" t="s">
        <v>155</v>
      </c>
      <c r="C644" t="s">
        <v>49</v>
      </c>
      <c r="D644" t="s">
        <v>50</v>
      </c>
      <c r="E644" s="1">
        <v>27.94</v>
      </c>
      <c r="F644" s="1" t="s">
        <v>39</v>
      </c>
      <c r="G644" s="1">
        <v>3</v>
      </c>
      <c r="H644" s="1">
        <v>3</v>
      </c>
      <c r="I644" s="1">
        <v>180</v>
      </c>
      <c r="J644" s="1">
        <v>2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1</v>
      </c>
      <c r="R644" s="1">
        <v>0</v>
      </c>
      <c r="S644" s="1">
        <v>0</v>
      </c>
      <c r="T644" s="1" t="s">
        <v>26</v>
      </c>
      <c r="U644" s="1">
        <v>0</v>
      </c>
    </row>
    <row r="645" spans="1:21" x14ac:dyDescent="0.3">
      <c r="A645" t="s">
        <v>775</v>
      </c>
      <c r="B645" t="s">
        <v>64</v>
      </c>
      <c r="C645" t="s">
        <v>72</v>
      </c>
      <c r="D645" t="s">
        <v>73</v>
      </c>
      <c r="E645" s="1">
        <v>32.229999999999997</v>
      </c>
      <c r="F645" s="1" t="s">
        <v>44</v>
      </c>
      <c r="G645" s="1">
        <v>1</v>
      </c>
      <c r="H645" s="1">
        <v>0</v>
      </c>
      <c r="I645" s="1">
        <v>24</v>
      </c>
      <c r="J645" s="1">
        <v>0.3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1</v>
      </c>
      <c r="R645" s="1">
        <v>0</v>
      </c>
      <c r="S645" s="1">
        <v>0</v>
      </c>
      <c r="T645" s="1" t="s">
        <v>35</v>
      </c>
      <c r="U645" s="1">
        <v>1</v>
      </c>
    </row>
    <row r="646" spans="1:21" x14ac:dyDescent="0.3">
      <c r="A646" t="s">
        <v>776</v>
      </c>
      <c r="B646" t="s">
        <v>64</v>
      </c>
      <c r="C646" t="s">
        <v>291</v>
      </c>
      <c r="D646" t="s">
        <v>292</v>
      </c>
      <c r="E646" s="1">
        <v>26.32</v>
      </c>
      <c r="F646" s="1" t="s">
        <v>25</v>
      </c>
      <c r="G646" s="1">
        <v>2</v>
      </c>
      <c r="H646" s="1">
        <v>0</v>
      </c>
      <c r="I646" s="1">
        <v>42</v>
      </c>
      <c r="J646" s="1">
        <v>0.5</v>
      </c>
      <c r="K646" s="1">
        <v>1</v>
      </c>
      <c r="L646" s="1">
        <v>2</v>
      </c>
      <c r="M646" s="1">
        <v>3</v>
      </c>
      <c r="N646" s="1">
        <v>1</v>
      </c>
      <c r="O646" s="1">
        <v>0</v>
      </c>
      <c r="P646" s="1">
        <v>0</v>
      </c>
      <c r="Q646" s="1">
        <v>0</v>
      </c>
      <c r="R646" s="1">
        <v>0</v>
      </c>
      <c r="S646" s="1">
        <v>2</v>
      </c>
      <c r="T646" s="1" t="s">
        <v>35</v>
      </c>
      <c r="U646" s="1">
        <v>2</v>
      </c>
    </row>
    <row r="647" spans="1:21" x14ac:dyDescent="0.3">
      <c r="A647" t="s">
        <v>777</v>
      </c>
      <c r="B647" t="s">
        <v>83</v>
      </c>
      <c r="C647" t="s">
        <v>84</v>
      </c>
      <c r="D647" t="s">
        <v>85</v>
      </c>
      <c r="E647" s="1">
        <v>25.68</v>
      </c>
      <c r="F647" s="1" t="s">
        <v>25</v>
      </c>
      <c r="G647" s="1">
        <v>3</v>
      </c>
      <c r="H647" s="1">
        <v>2</v>
      </c>
      <c r="I647" s="1">
        <v>146</v>
      </c>
      <c r="J647" s="1">
        <v>1.6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 t="s">
        <v>40</v>
      </c>
      <c r="U647" s="1">
        <v>1</v>
      </c>
    </row>
    <row r="648" spans="1:21" x14ac:dyDescent="0.3">
      <c r="A648" t="s">
        <v>778</v>
      </c>
      <c r="B648" t="s">
        <v>37</v>
      </c>
      <c r="C648" t="s">
        <v>133</v>
      </c>
      <c r="D648" t="s">
        <v>134</v>
      </c>
      <c r="E648" s="1">
        <v>30.39</v>
      </c>
      <c r="F648" s="1" t="s">
        <v>39</v>
      </c>
      <c r="G648" s="1">
        <v>3</v>
      </c>
      <c r="H648" s="1">
        <v>3</v>
      </c>
      <c r="I648" s="1">
        <v>270</v>
      </c>
      <c r="J648" s="1">
        <v>3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1</v>
      </c>
      <c r="R648" s="1">
        <v>0</v>
      </c>
      <c r="S648" s="1">
        <v>0</v>
      </c>
      <c r="T648" s="1" t="s">
        <v>26</v>
      </c>
      <c r="U648" s="1">
        <v>0</v>
      </c>
    </row>
    <row r="649" spans="1:21" x14ac:dyDescent="0.3">
      <c r="A649" t="s">
        <v>779</v>
      </c>
      <c r="B649" t="s">
        <v>61</v>
      </c>
      <c r="C649" t="s">
        <v>49</v>
      </c>
      <c r="D649" t="s">
        <v>50</v>
      </c>
      <c r="E649" s="1">
        <v>25.28</v>
      </c>
      <c r="F649" s="1" t="s">
        <v>25</v>
      </c>
      <c r="G649" s="1">
        <v>2</v>
      </c>
      <c r="H649" s="1">
        <v>2</v>
      </c>
      <c r="I649" s="1">
        <v>180</v>
      </c>
      <c r="J649" s="1">
        <v>2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 t="s">
        <v>26</v>
      </c>
      <c r="U649" s="1">
        <v>0</v>
      </c>
    </row>
    <row r="650" spans="1:21" x14ac:dyDescent="0.3">
      <c r="A650" t="s">
        <v>780</v>
      </c>
      <c r="B650" t="s">
        <v>22</v>
      </c>
      <c r="C650" t="s">
        <v>181</v>
      </c>
      <c r="D650" t="s">
        <v>182</v>
      </c>
      <c r="E650" s="1">
        <v>26.31</v>
      </c>
      <c r="F650" s="1" t="s">
        <v>25</v>
      </c>
      <c r="G650" s="1">
        <v>3</v>
      </c>
      <c r="H650" s="1">
        <v>3</v>
      </c>
      <c r="I650" s="1">
        <v>206</v>
      </c>
      <c r="J650" s="1">
        <v>2.2999999999999998</v>
      </c>
      <c r="K650" s="1">
        <v>0</v>
      </c>
      <c r="L650" s="1">
        <v>1</v>
      </c>
      <c r="M650" s="1">
        <v>1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 t="s">
        <v>26</v>
      </c>
      <c r="U650" s="1">
        <v>0</v>
      </c>
    </row>
    <row r="651" spans="1:21" x14ac:dyDescent="0.3">
      <c r="A651" t="s">
        <v>781</v>
      </c>
      <c r="B651" t="s">
        <v>61</v>
      </c>
      <c r="C651" t="s">
        <v>159</v>
      </c>
      <c r="D651" t="s">
        <v>160</v>
      </c>
      <c r="E651" s="1">
        <v>40.26</v>
      </c>
      <c r="F651" s="1" t="s">
        <v>74</v>
      </c>
      <c r="G651" s="1">
        <v>4</v>
      </c>
      <c r="H651" s="1">
        <v>4</v>
      </c>
      <c r="I651" s="1">
        <v>390</v>
      </c>
      <c r="J651" s="1">
        <v>4.3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 t="s">
        <v>26</v>
      </c>
      <c r="U651" s="1">
        <v>0</v>
      </c>
    </row>
    <row r="652" spans="1:21" x14ac:dyDescent="0.3">
      <c r="A652" t="s">
        <v>782</v>
      </c>
      <c r="B652" t="s">
        <v>22</v>
      </c>
      <c r="C652" t="s">
        <v>181</v>
      </c>
      <c r="D652" t="s">
        <v>182</v>
      </c>
      <c r="E652" s="1">
        <v>21.76</v>
      </c>
      <c r="F652" s="1" t="s">
        <v>34</v>
      </c>
      <c r="G652" s="1">
        <v>3</v>
      </c>
      <c r="H652" s="1">
        <v>2</v>
      </c>
      <c r="I652" s="1">
        <v>210</v>
      </c>
      <c r="J652" s="1">
        <v>2.2999999999999998</v>
      </c>
      <c r="K652" s="1">
        <v>1</v>
      </c>
      <c r="L652" s="1">
        <v>0</v>
      </c>
      <c r="M652" s="1">
        <v>1</v>
      </c>
      <c r="N652" s="1">
        <v>1</v>
      </c>
      <c r="O652" s="1">
        <v>0</v>
      </c>
      <c r="P652" s="1">
        <v>0</v>
      </c>
      <c r="Q652" s="1">
        <v>0</v>
      </c>
      <c r="R652" s="1">
        <v>0</v>
      </c>
      <c r="S652" s="1">
        <v>0.435</v>
      </c>
      <c r="T652" s="1" t="s">
        <v>40</v>
      </c>
      <c r="U652" s="1">
        <v>1</v>
      </c>
    </row>
    <row r="653" spans="1:21" x14ac:dyDescent="0.3">
      <c r="A653" t="s">
        <v>783</v>
      </c>
      <c r="B653" t="s">
        <v>22</v>
      </c>
      <c r="C653" t="s">
        <v>181</v>
      </c>
      <c r="D653" t="s">
        <v>182</v>
      </c>
      <c r="E653" s="1">
        <v>29.3</v>
      </c>
      <c r="F653" s="1" t="s">
        <v>39</v>
      </c>
      <c r="G653" s="1">
        <v>1</v>
      </c>
      <c r="H653" s="1">
        <v>1</v>
      </c>
      <c r="I653" s="1">
        <v>45</v>
      </c>
      <c r="J653" s="1">
        <v>0.5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 t="s">
        <v>26</v>
      </c>
      <c r="U653" s="1">
        <v>0</v>
      </c>
    </row>
    <row r="654" spans="1:21" x14ac:dyDescent="0.3">
      <c r="A654" t="s">
        <v>784</v>
      </c>
      <c r="B654" t="s">
        <v>64</v>
      </c>
      <c r="C654" t="s">
        <v>136</v>
      </c>
      <c r="D654" t="s">
        <v>137</v>
      </c>
      <c r="E654" s="1">
        <v>34.4</v>
      </c>
      <c r="F654" s="1" t="s">
        <v>44</v>
      </c>
      <c r="G654" s="1">
        <v>1</v>
      </c>
      <c r="H654" s="1">
        <v>0</v>
      </c>
      <c r="I654" s="1">
        <v>15</v>
      </c>
      <c r="J654" s="1">
        <v>0.2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 t="s">
        <v>35</v>
      </c>
      <c r="U654" s="1">
        <v>1</v>
      </c>
    </row>
    <row r="655" spans="1:21" x14ac:dyDescent="0.3">
      <c r="A655" t="s">
        <v>785</v>
      </c>
      <c r="B655" t="s">
        <v>37</v>
      </c>
      <c r="C655" t="s">
        <v>301</v>
      </c>
      <c r="D655" t="s">
        <v>302</v>
      </c>
      <c r="E655" s="1">
        <v>23.05</v>
      </c>
      <c r="F655" s="1" t="s">
        <v>25</v>
      </c>
      <c r="G655" s="1">
        <v>2</v>
      </c>
      <c r="H655" s="1">
        <v>2</v>
      </c>
      <c r="I655" s="1">
        <v>155</v>
      </c>
      <c r="J655" s="1">
        <v>1.7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1</v>
      </c>
      <c r="S655" s="1">
        <v>0</v>
      </c>
      <c r="T655" s="1" t="s">
        <v>26</v>
      </c>
      <c r="U655" s="1">
        <v>0</v>
      </c>
    </row>
    <row r="656" spans="1:21" x14ac:dyDescent="0.3">
      <c r="A656" t="s">
        <v>786</v>
      </c>
      <c r="B656" t="s">
        <v>37</v>
      </c>
      <c r="C656" t="s">
        <v>291</v>
      </c>
      <c r="D656" t="s">
        <v>292</v>
      </c>
      <c r="E656" s="1">
        <v>30.31</v>
      </c>
      <c r="F656" s="1" t="s">
        <v>39</v>
      </c>
      <c r="G656" s="1">
        <v>3</v>
      </c>
      <c r="H656" s="1">
        <v>3</v>
      </c>
      <c r="I656" s="1">
        <v>270</v>
      </c>
      <c r="J656" s="1">
        <v>3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 t="s">
        <v>26</v>
      </c>
      <c r="U656" s="1">
        <v>0</v>
      </c>
    </row>
    <row r="657" spans="1:21" x14ac:dyDescent="0.3">
      <c r="A657" t="s">
        <v>787</v>
      </c>
      <c r="B657" t="s">
        <v>22</v>
      </c>
      <c r="C657" t="s">
        <v>159</v>
      </c>
      <c r="D657" t="s">
        <v>160</v>
      </c>
      <c r="E657" s="1">
        <v>25.72</v>
      </c>
      <c r="F657" s="1" t="s">
        <v>25</v>
      </c>
      <c r="G657" s="1">
        <v>4</v>
      </c>
      <c r="H657" s="1">
        <v>4</v>
      </c>
      <c r="I657" s="1">
        <v>270</v>
      </c>
      <c r="J657" s="1">
        <v>3</v>
      </c>
      <c r="K657" s="1">
        <v>1</v>
      </c>
      <c r="L657" s="1">
        <v>1</v>
      </c>
      <c r="M657" s="1">
        <v>2</v>
      </c>
      <c r="N657" s="1">
        <v>1</v>
      </c>
      <c r="O657" s="1">
        <v>0</v>
      </c>
      <c r="P657" s="1">
        <v>0</v>
      </c>
      <c r="Q657" s="1">
        <v>0</v>
      </c>
      <c r="R657" s="1">
        <v>0</v>
      </c>
      <c r="S657" s="1">
        <v>0.33300000000000002</v>
      </c>
      <c r="T657" s="1" t="s">
        <v>26</v>
      </c>
      <c r="U657" s="1">
        <v>0</v>
      </c>
    </row>
    <row r="658" spans="1:21" x14ac:dyDescent="0.3">
      <c r="A658" t="s">
        <v>788</v>
      </c>
      <c r="B658" t="s">
        <v>61</v>
      </c>
      <c r="C658" t="s">
        <v>129</v>
      </c>
      <c r="D658" t="s">
        <v>130</v>
      </c>
      <c r="E658" s="1">
        <v>37.020000000000003</v>
      </c>
      <c r="F658" s="1" t="s">
        <v>74</v>
      </c>
      <c r="G658" s="1">
        <v>2</v>
      </c>
      <c r="H658" s="1">
        <v>2</v>
      </c>
      <c r="I658" s="1">
        <v>180</v>
      </c>
      <c r="J658" s="1">
        <v>2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 t="s">
        <v>26</v>
      </c>
      <c r="U658" s="1">
        <v>0</v>
      </c>
    </row>
    <row r="659" spans="1:21" x14ac:dyDescent="0.3">
      <c r="A659" t="s">
        <v>789</v>
      </c>
      <c r="B659" t="s">
        <v>22</v>
      </c>
      <c r="C659" t="s">
        <v>174</v>
      </c>
      <c r="D659" t="s">
        <v>175</v>
      </c>
      <c r="E659" s="1">
        <v>23.8</v>
      </c>
      <c r="F659" s="1" t="s">
        <v>25</v>
      </c>
      <c r="G659" s="1">
        <v>1</v>
      </c>
      <c r="H659" s="1">
        <v>0</v>
      </c>
      <c r="I659" s="1">
        <v>14</v>
      </c>
      <c r="J659" s="1">
        <v>0.2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 t="s">
        <v>35</v>
      </c>
      <c r="U659" s="1">
        <v>1</v>
      </c>
    </row>
    <row r="660" spans="1:21" x14ac:dyDescent="0.3">
      <c r="A660" t="s">
        <v>790</v>
      </c>
      <c r="B660" t="s">
        <v>22</v>
      </c>
      <c r="C660" t="s">
        <v>80</v>
      </c>
      <c r="D660" t="s">
        <v>81</v>
      </c>
      <c r="E660" s="1">
        <v>22.66</v>
      </c>
      <c r="F660" s="1" t="s">
        <v>34</v>
      </c>
      <c r="G660" s="1">
        <v>2</v>
      </c>
      <c r="H660" s="1">
        <v>1</v>
      </c>
      <c r="I660" s="1">
        <v>77</v>
      </c>
      <c r="J660" s="1">
        <v>0.9</v>
      </c>
      <c r="K660" s="1">
        <v>0</v>
      </c>
      <c r="L660" s="1">
        <v>1</v>
      </c>
      <c r="M660" s="1">
        <v>1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 t="s">
        <v>40</v>
      </c>
      <c r="U660" s="1">
        <v>1</v>
      </c>
    </row>
    <row r="661" spans="1:21" x14ac:dyDescent="0.3">
      <c r="A661" t="s">
        <v>791</v>
      </c>
      <c r="B661" t="s">
        <v>155</v>
      </c>
      <c r="C661" t="s">
        <v>181</v>
      </c>
      <c r="D661" t="s">
        <v>182</v>
      </c>
      <c r="E661" s="1">
        <v>27.84</v>
      </c>
      <c r="F661" s="1" t="s">
        <v>39</v>
      </c>
      <c r="G661" s="1">
        <v>1</v>
      </c>
      <c r="H661" s="1">
        <v>0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 t="s">
        <v>35</v>
      </c>
      <c r="U661" s="1">
        <v>1</v>
      </c>
    </row>
    <row r="662" spans="1:21" x14ac:dyDescent="0.3">
      <c r="A662" t="s">
        <v>792</v>
      </c>
      <c r="B662" t="s">
        <v>31</v>
      </c>
      <c r="C662" t="s">
        <v>89</v>
      </c>
      <c r="D662" t="s">
        <v>90</v>
      </c>
      <c r="E662" s="1">
        <v>27.02</v>
      </c>
      <c r="F662" s="1" t="s">
        <v>39</v>
      </c>
      <c r="G662" s="1">
        <v>3</v>
      </c>
      <c r="H662" s="1">
        <v>2</v>
      </c>
      <c r="I662" s="1">
        <v>156</v>
      </c>
      <c r="J662" s="1">
        <v>1.7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 t="s">
        <v>40</v>
      </c>
      <c r="U662" s="1">
        <v>1</v>
      </c>
    </row>
    <row r="663" spans="1:21" x14ac:dyDescent="0.3">
      <c r="A663" t="s">
        <v>793</v>
      </c>
      <c r="B663" t="s">
        <v>31</v>
      </c>
      <c r="C663" t="s">
        <v>28</v>
      </c>
      <c r="D663" t="s">
        <v>29</v>
      </c>
      <c r="E663" s="1">
        <v>21.2</v>
      </c>
      <c r="F663" s="1" t="s">
        <v>34</v>
      </c>
      <c r="G663" s="1">
        <v>3</v>
      </c>
      <c r="H663" s="1">
        <v>2</v>
      </c>
      <c r="I663" s="1">
        <v>150</v>
      </c>
      <c r="J663" s="1">
        <v>1.7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 t="s">
        <v>40</v>
      </c>
      <c r="U663" s="1">
        <v>1</v>
      </c>
    </row>
    <row r="664" spans="1:21" x14ac:dyDescent="0.3">
      <c r="A664" t="s">
        <v>794</v>
      </c>
      <c r="B664" t="s">
        <v>22</v>
      </c>
      <c r="C664" t="s">
        <v>129</v>
      </c>
      <c r="D664" t="s">
        <v>130</v>
      </c>
      <c r="E664" s="1">
        <v>24.98</v>
      </c>
      <c r="F664" s="1" t="s">
        <v>25</v>
      </c>
      <c r="G664" s="1">
        <v>3</v>
      </c>
      <c r="H664" s="1">
        <v>2</v>
      </c>
      <c r="I664" s="1">
        <v>121</v>
      </c>
      <c r="J664" s="1">
        <v>1.3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 t="s">
        <v>40</v>
      </c>
      <c r="U664" s="1">
        <v>1</v>
      </c>
    </row>
    <row r="665" spans="1:21" x14ac:dyDescent="0.3">
      <c r="A665" t="s">
        <v>795</v>
      </c>
      <c r="B665" t="s">
        <v>61</v>
      </c>
      <c r="C665" t="s">
        <v>28</v>
      </c>
      <c r="D665" t="s">
        <v>29</v>
      </c>
      <c r="E665" s="1">
        <v>35.799999999999997</v>
      </c>
      <c r="F665" s="1" t="s">
        <v>74</v>
      </c>
      <c r="G665" s="1">
        <v>2</v>
      </c>
      <c r="H665" s="1">
        <v>2</v>
      </c>
      <c r="I665" s="1">
        <v>180</v>
      </c>
      <c r="J665" s="1">
        <v>2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 t="s">
        <v>26</v>
      </c>
      <c r="U665" s="1">
        <v>0</v>
      </c>
    </row>
    <row r="666" spans="1:21" x14ac:dyDescent="0.3">
      <c r="A666" t="s">
        <v>796</v>
      </c>
      <c r="B666" t="s">
        <v>22</v>
      </c>
      <c r="C666" t="s">
        <v>231</v>
      </c>
      <c r="D666" t="s">
        <v>232</v>
      </c>
      <c r="E666" s="1">
        <v>27.99</v>
      </c>
      <c r="F666" s="1" t="s">
        <v>39</v>
      </c>
      <c r="G666" s="1">
        <v>3</v>
      </c>
      <c r="H666" s="1">
        <v>3</v>
      </c>
      <c r="I666" s="1">
        <v>270</v>
      </c>
      <c r="J666" s="1">
        <v>3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 t="s">
        <v>26</v>
      </c>
      <c r="U666" s="1">
        <v>0</v>
      </c>
    </row>
    <row r="667" spans="1:21" x14ac:dyDescent="0.3">
      <c r="A667" t="s">
        <v>797</v>
      </c>
      <c r="B667" t="s">
        <v>37</v>
      </c>
      <c r="C667" t="s">
        <v>1147</v>
      </c>
      <c r="D667" t="s">
        <v>1149</v>
      </c>
      <c r="E667" s="1">
        <v>21.28</v>
      </c>
      <c r="F667" s="1" t="s">
        <v>34</v>
      </c>
      <c r="G667" s="1">
        <v>3</v>
      </c>
      <c r="H667" s="1">
        <v>2</v>
      </c>
      <c r="I667" s="1">
        <v>205</v>
      </c>
      <c r="J667" s="1">
        <v>2.2999999999999998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 t="s">
        <v>40</v>
      </c>
      <c r="U667" s="1">
        <v>1</v>
      </c>
    </row>
    <row r="668" spans="1:21" x14ac:dyDescent="0.3">
      <c r="A668" t="s">
        <v>798</v>
      </c>
      <c r="B668" t="s">
        <v>37</v>
      </c>
      <c r="C668" t="s">
        <v>55</v>
      </c>
      <c r="D668" t="s">
        <v>56</v>
      </c>
      <c r="E668" s="1">
        <v>34.450000000000003</v>
      </c>
      <c r="F668" s="1" t="s">
        <v>44</v>
      </c>
      <c r="G668" s="1">
        <v>3</v>
      </c>
      <c r="H668" s="1">
        <v>0</v>
      </c>
      <c r="I668" s="1">
        <v>21</v>
      </c>
      <c r="J668" s="1">
        <v>0.2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 t="s">
        <v>35</v>
      </c>
      <c r="U668" s="1">
        <v>3</v>
      </c>
    </row>
    <row r="669" spans="1:21" x14ac:dyDescent="0.3">
      <c r="A669" t="s">
        <v>799</v>
      </c>
      <c r="B669" t="s">
        <v>37</v>
      </c>
      <c r="C669" t="s">
        <v>174</v>
      </c>
      <c r="D669" t="s">
        <v>175</v>
      </c>
      <c r="E669" s="1">
        <v>27.32</v>
      </c>
      <c r="F669" s="1" t="s">
        <v>39</v>
      </c>
      <c r="G669" s="1">
        <v>3</v>
      </c>
      <c r="H669" s="1">
        <v>3</v>
      </c>
      <c r="I669" s="1">
        <v>270</v>
      </c>
      <c r="J669" s="1">
        <v>3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 t="s">
        <v>26</v>
      </c>
      <c r="U669" s="1">
        <v>0</v>
      </c>
    </row>
    <row r="670" spans="1:21" x14ac:dyDescent="0.3">
      <c r="A670" t="s">
        <v>800</v>
      </c>
      <c r="B670" t="s">
        <v>61</v>
      </c>
      <c r="C670" t="s">
        <v>145</v>
      </c>
      <c r="D670" t="s">
        <v>146</v>
      </c>
      <c r="E670" s="1">
        <v>40.96</v>
      </c>
      <c r="F670" s="1" t="s">
        <v>74</v>
      </c>
      <c r="G670" s="1">
        <v>1</v>
      </c>
      <c r="H670" s="1">
        <v>0</v>
      </c>
      <c r="I670" s="1">
        <v>13</v>
      </c>
      <c r="J670" s="1">
        <v>0.1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 t="s">
        <v>35</v>
      </c>
      <c r="U670" s="1">
        <v>1</v>
      </c>
    </row>
    <row r="671" spans="1:21" x14ac:dyDescent="0.3">
      <c r="A671" t="s">
        <v>801</v>
      </c>
      <c r="B671" t="s">
        <v>31</v>
      </c>
      <c r="C671" t="s">
        <v>391</v>
      </c>
      <c r="D671" t="s">
        <v>392</v>
      </c>
      <c r="E671" s="1">
        <v>28.89</v>
      </c>
      <c r="F671" s="1" t="s">
        <v>39</v>
      </c>
      <c r="G671" s="1">
        <v>3</v>
      </c>
      <c r="H671" s="1">
        <v>0</v>
      </c>
      <c r="I671" s="1">
        <v>42</v>
      </c>
      <c r="J671" s="1">
        <v>0.5</v>
      </c>
      <c r="K671" s="1">
        <v>0</v>
      </c>
      <c r="L671" s="1">
        <v>1</v>
      </c>
      <c r="M671" s="1">
        <v>1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 t="s">
        <v>35</v>
      </c>
      <c r="U671" s="1">
        <v>3</v>
      </c>
    </row>
    <row r="672" spans="1:21" x14ac:dyDescent="0.3">
      <c r="A672" t="s">
        <v>802</v>
      </c>
      <c r="B672" t="s">
        <v>22</v>
      </c>
      <c r="C672" t="s">
        <v>121</v>
      </c>
      <c r="D672" t="s">
        <v>122</v>
      </c>
      <c r="E672" s="1">
        <v>26.01</v>
      </c>
      <c r="F672" s="1" t="s">
        <v>25</v>
      </c>
      <c r="G672" s="1">
        <v>1</v>
      </c>
      <c r="H672" s="1">
        <v>0</v>
      </c>
      <c r="I672" s="1">
        <v>22</v>
      </c>
      <c r="J672" s="1">
        <v>0.2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 t="s">
        <v>35</v>
      </c>
      <c r="U672" s="1">
        <v>1</v>
      </c>
    </row>
    <row r="673" spans="1:21" x14ac:dyDescent="0.3">
      <c r="A673" t="s">
        <v>803</v>
      </c>
      <c r="B673" t="s">
        <v>37</v>
      </c>
      <c r="C673" t="s">
        <v>68</v>
      </c>
      <c r="D673" t="s">
        <v>69</v>
      </c>
      <c r="E673" s="1">
        <v>22.36</v>
      </c>
      <c r="F673" s="1" t="s">
        <v>34</v>
      </c>
      <c r="G673" s="1">
        <v>4</v>
      </c>
      <c r="H673" s="1">
        <v>4</v>
      </c>
      <c r="I673" s="1">
        <v>360</v>
      </c>
      <c r="J673" s="1">
        <v>4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 t="s">
        <v>26</v>
      </c>
      <c r="U673" s="1">
        <v>0</v>
      </c>
    </row>
    <row r="674" spans="1:21" x14ac:dyDescent="0.3">
      <c r="A674" t="s">
        <v>804</v>
      </c>
      <c r="B674" t="s">
        <v>22</v>
      </c>
      <c r="C674" t="s">
        <v>231</v>
      </c>
      <c r="D674" t="s">
        <v>232</v>
      </c>
      <c r="E674" s="1">
        <v>21.43</v>
      </c>
      <c r="F674" s="1" t="s">
        <v>34</v>
      </c>
      <c r="G674" s="1">
        <v>3</v>
      </c>
      <c r="H674" s="1">
        <v>2</v>
      </c>
      <c r="I674" s="1">
        <v>167</v>
      </c>
      <c r="J674" s="1">
        <v>1.9</v>
      </c>
      <c r="K674" s="1">
        <v>0</v>
      </c>
      <c r="L674" s="1">
        <v>1</v>
      </c>
      <c r="M674" s="1">
        <v>1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 t="s">
        <v>40</v>
      </c>
      <c r="U674" s="1">
        <v>1</v>
      </c>
    </row>
    <row r="675" spans="1:21" x14ac:dyDescent="0.3">
      <c r="A675" t="s">
        <v>805</v>
      </c>
      <c r="B675" t="s">
        <v>22</v>
      </c>
      <c r="C675" t="s">
        <v>239</v>
      </c>
      <c r="D675" t="s">
        <v>240</v>
      </c>
      <c r="E675" s="1">
        <v>23.88</v>
      </c>
      <c r="F675" s="1" t="s">
        <v>25</v>
      </c>
      <c r="G675" s="1">
        <v>3</v>
      </c>
      <c r="H675" s="1">
        <v>0</v>
      </c>
      <c r="I675" s="1">
        <v>93</v>
      </c>
      <c r="J675" s="1"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 t="s">
        <v>35</v>
      </c>
      <c r="U675" s="1">
        <v>3</v>
      </c>
    </row>
    <row r="676" spans="1:21" x14ac:dyDescent="0.3">
      <c r="A676" t="s">
        <v>806</v>
      </c>
      <c r="B676" t="s">
        <v>22</v>
      </c>
      <c r="C676" t="s">
        <v>107</v>
      </c>
      <c r="D676" t="s">
        <v>108</v>
      </c>
      <c r="E676" s="1">
        <v>24.55</v>
      </c>
      <c r="F676" s="1" t="s">
        <v>25</v>
      </c>
      <c r="G676" s="1">
        <v>3</v>
      </c>
      <c r="H676" s="1">
        <v>3</v>
      </c>
      <c r="I676" s="1">
        <v>221</v>
      </c>
      <c r="J676" s="1">
        <v>2.5</v>
      </c>
      <c r="K676" s="1">
        <v>0</v>
      </c>
      <c r="L676" s="1">
        <v>3</v>
      </c>
      <c r="M676" s="1">
        <v>3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 t="s">
        <v>26</v>
      </c>
      <c r="U676" s="1">
        <v>0</v>
      </c>
    </row>
    <row r="677" spans="1:21" x14ac:dyDescent="0.3">
      <c r="A677" t="s">
        <v>807</v>
      </c>
      <c r="B677" t="s">
        <v>37</v>
      </c>
      <c r="C677" t="s">
        <v>89</v>
      </c>
      <c r="D677" t="s">
        <v>90</v>
      </c>
      <c r="E677" s="1">
        <v>28.66</v>
      </c>
      <c r="F677" s="1" t="s">
        <v>39</v>
      </c>
      <c r="G677" s="1">
        <v>3</v>
      </c>
      <c r="H677" s="1">
        <v>3</v>
      </c>
      <c r="I677" s="1">
        <v>270</v>
      </c>
      <c r="J677" s="1">
        <v>3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R677" s="1">
        <v>0</v>
      </c>
      <c r="S677" s="1">
        <v>0</v>
      </c>
      <c r="T677" s="1" t="s">
        <v>26</v>
      </c>
      <c r="U677" s="1">
        <v>0</v>
      </c>
    </row>
    <row r="678" spans="1:21" x14ac:dyDescent="0.3">
      <c r="A678" t="s">
        <v>808</v>
      </c>
      <c r="B678" t="s">
        <v>22</v>
      </c>
      <c r="C678" t="s">
        <v>209</v>
      </c>
      <c r="D678" t="s">
        <v>210</v>
      </c>
      <c r="E678" s="1">
        <v>28.15</v>
      </c>
      <c r="F678" s="1" t="s">
        <v>39</v>
      </c>
      <c r="G678" s="1">
        <v>3</v>
      </c>
      <c r="H678" s="1">
        <v>1</v>
      </c>
      <c r="I678" s="1">
        <v>101</v>
      </c>
      <c r="J678" s="1">
        <v>1.1000000000000001</v>
      </c>
      <c r="K678" s="1">
        <v>0</v>
      </c>
      <c r="L678" s="1">
        <v>1</v>
      </c>
      <c r="M678" s="1">
        <v>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 t="s">
        <v>40</v>
      </c>
      <c r="U678" s="1">
        <v>2</v>
      </c>
    </row>
    <row r="679" spans="1:21" x14ac:dyDescent="0.3">
      <c r="A679" t="s">
        <v>809</v>
      </c>
      <c r="B679" t="s">
        <v>31</v>
      </c>
      <c r="C679" t="s">
        <v>92</v>
      </c>
      <c r="D679" t="s">
        <v>93</v>
      </c>
      <c r="E679" s="1">
        <v>26.13</v>
      </c>
      <c r="F679" s="1" t="s">
        <v>25</v>
      </c>
      <c r="G679" s="1">
        <v>4</v>
      </c>
      <c r="H679" s="1">
        <v>2</v>
      </c>
      <c r="I679" s="1">
        <v>197</v>
      </c>
      <c r="J679" s="1">
        <v>2.2000000000000002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 t="s">
        <v>40</v>
      </c>
      <c r="U679" s="1">
        <v>2</v>
      </c>
    </row>
    <row r="680" spans="1:21" x14ac:dyDescent="0.3">
      <c r="A680" t="s">
        <v>810</v>
      </c>
      <c r="B680" t="s">
        <v>22</v>
      </c>
      <c r="C680" t="s">
        <v>55</v>
      </c>
      <c r="D680" t="s">
        <v>56</v>
      </c>
      <c r="E680" s="1">
        <v>26.26</v>
      </c>
      <c r="F680" s="1" t="s">
        <v>25</v>
      </c>
      <c r="G680" s="1">
        <v>3</v>
      </c>
      <c r="H680" s="1">
        <v>3</v>
      </c>
      <c r="I680" s="1">
        <v>268</v>
      </c>
      <c r="J680" s="1">
        <v>3</v>
      </c>
      <c r="K680" s="1">
        <v>1</v>
      </c>
      <c r="L680" s="1">
        <v>0</v>
      </c>
      <c r="M680" s="1">
        <v>1</v>
      </c>
      <c r="N680" s="1">
        <v>1</v>
      </c>
      <c r="O680" s="1">
        <v>0</v>
      </c>
      <c r="P680" s="1">
        <v>0</v>
      </c>
      <c r="Q680" s="1">
        <v>0</v>
      </c>
      <c r="R680" s="1">
        <v>0</v>
      </c>
      <c r="S680" s="1">
        <v>0.33300000000000002</v>
      </c>
      <c r="T680" s="1" t="s">
        <v>26</v>
      </c>
      <c r="U680" s="1">
        <v>0</v>
      </c>
    </row>
    <row r="681" spans="1:21" x14ac:dyDescent="0.3">
      <c r="A681" t="s">
        <v>811</v>
      </c>
      <c r="B681" t="s">
        <v>22</v>
      </c>
      <c r="C681" t="s">
        <v>301</v>
      </c>
      <c r="D681" t="s">
        <v>302</v>
      </c>
      <c r="E681" s="1">
        <v>24.87</v>
      </c>
      <c r="F681" s="1" t="s">
        <v>25</v>
      </c>
      <c r="G681" s="1">
        <v>2</v>
      </c>
      <c r="H681" s="1">
        <v>1</v>
      </c>
      <c r="I681" s="1">
        <v>74</v>
      </c>
      <c r="J681" s="1">
        <v>0.8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 t="s">
        <v>40</v>
      </c>
      <c r="U681" s="1">
        <v>1</v>
      </c>
    </row>
    <row r="682" spans="1:21" x14ac:dyDescent="0.3">
      <c r="A682" t="s">
        <v>812</v>
      </c>
      <c r="B682" t="s">
        <v>37</v>
      </c>
      <c r="C682" t="s">
        <v>77</v>
      </c>
      <c r="D682" t="s">
        <v>78</v>
      </c>
      <c r="E682" s="1">
        <v>29.17</v>
      </c>
      <c r="F682" s="1" t="s">
        <v>39</v>
      </c>
      <c r="G682" s="1">
        <v>1</v>
      </c>
      <c r="H682" s="1">
        <v>1</v>
      </c>
      <c r="I682" s="1">
        <v>90</v>
      </c>
      <c r="J682" s="1">
        <v>1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 t="s">
        <v>26</v>
      </c>
      <c r="U682" s="1">
        <v>0</v>
      </c>
    </row>
    <row r="683" spans="1:21" x14ac:dyDescent="0.3">
      <c r="A683" t="s">
        <v>813</v>
      </c>
      <c r="B683" t="s">
        <v>37</v>
      </c>
      <c r="C683" t="s">
        <v>80</v>
      </c>
      <c r="D683" t="s">
        <v>81</v>
      </c>
      <c r="E683" s="1">
        <v>27.71</v>
      </c>
      <c r="F683" s="1" t="s">
        <v>39</v>
      </c>
      <c r="G683" s="1">
        <v>2</v>
      </c>
      <c r="H683" s="1">
        <v>2</v>
      </c>
      <c r="I683" s="1">
        <v>180</v>
      </c>
      <c r="J683" s="1">
        <v>2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 t="s">
        <v>26</v>
      </c>
      <c r="U683" s="1">
        <v>0</v>
      </c>
    </row>
    <row r="684" spans="1:21" x14ac:dyDescent="0.3">
      <c r="A684" t="s">
        <v>814</v>
      </c>
      <c r="B684" t="s">
        <v>37</v>
      </c>
      <c r="C684" t="s">
        <v>118</v>
      </c>
      <c r="D684" t="s">
        <v>119</v>
      </c>
      <c r="E684" s="1">
        <v>22.19</v>
      </c>
      <c r="F684" s="1" t="s">
        <v>34</v>
      </c>
      <c r="G684" s="1">
        <v>2</v>
      </c>
      <c r="H684" s="1">
        <v>2</v>
      </c>
      <c r="I684" s="1">
        <v>180</v>
      </c>
      <c r="J684" s="1">
        <v>2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 t="s">
        <v>26</v>
      </c>
      <c r="U684" s="1">
        <v>0</v>
      </c>
    </row>
    <row r="685" spans="1:21" x14ac:dyDescent="0.3">
      <c r="A685" t="s">
        <v>815</v>
      </c>
      <c r="B685" t="s">
        <v>22</v>
      </c>
      <c r="C685" t="s">
        <v>92</v>
      </c>
      <c r="D685" t="s">
        <v>93</v>
      </c>
      <c r="E685" s="1">
        <v>34.049999999999997</v>
      </c>
      <c r="F685" s="1" t="s">
        <v>44</v>
      </c>
      <c r="G685" s="1">
        <v>1</v>
      </c>
      <c r="H685" s="1">
        <v>0</v>
      </c>
      <c r="I685" s="1">
        <v>1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 t="s">
        <v>35</v>
      </c>
      <c r="U685" s="1">
        <v>1</v>
      </c>
    </row>
    <row r="686" spans="1:21" x14ac:dyDescent="0.3">
      <c r="A686" t="s">
        <v>816</v>
      </c>
      <c r="B686" t="s">
        <v>37</v>
      </c>
      <c r="C686" t="s">
        <v>139</v>
      </c>
      <c r="D686" t="s">
        <v>140</v>
      </c>
      <c r="E686" s="1">
        <v>38.380000000000003</v>
      </c>
      <c r="F686" s="1" t="s">
        <v>74</v>
      </c>
      <c r="G686" s="1">
        <v>3</v>
      </c>
      <c r="H686" s="1">
        <v>1</v>
      </c>
      <c r="I686" s="1">
        <v>135</v>
      </c>
      <c r="J686" s="1">
        <v>1.5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 t="s">
        <v>40</v>
      </c>
      <c r="U686" s="1">
        <v>2</v>
      </c>
    </row>
    <row r="687" spans="1:21" x14ac:dyDescent="0.3">
      <c r="A687" t="s">
        <v>817</v>
      </c>
      <c r="B687" t="s">
        <v>37</v>
      </c>
      <c r="C687" t="s">
        <v>52</v>
      </c>
      <c r="D687" t="s">
        <v>53</v>
      </c>
      <c r="E687" s="1">
        <v>21.3</v>
      </c>
      <c r="F687" s="1" t="s">
        <v>34</v>
      </c>
      <c r="G687" s="1">
        <v>2</v>
      </c>
      <c r="H687" s="1">
        <v>2</v>
      </c>
      <c r="I687" s="1">
        <v>149</v>
      </c>
      <c r="J687" s="1">
        <v>1.7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 t="s">
        <v>26</v>
      </c>
      <c r="U687" s="1">
        <v>0</v>
      </c>
    </row>
    <row r="688" spans="1:21" x14ac:dyDescent="0.3">
      <c r="A688" t="s">
        <v>818</v>
      </c>
      <c r="B688" t="s">
        <v>22</v>
      </c>
      <c r="C688" t="s">
        <v>151</v>
      </c>
      <c r="D688" t="s">
        <v>152</v>
      </c>
      <c r="E688" s="1">
        <v>26.2</v>
      </c>
      <c r="F688" s="1" t="s">
        <v>25</v>
      </c>
      <c r="G688" s="1">
        <v>4</v>
      </c>
      <c r="H688" s="1">
        <v>3</v>
      </c>
      <c r="I688" s="1">
        <v>259</v>
      </c>
      <c r="J688" s="1">
        <v>2.9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 t="s">
        <v>40</v>
      </c>
      <c r="U688" s="1">
        <v>1</v>
      </c>
    </row>
    <row r="689" spans="1:21" x14ac:dyDescent="0.3">
      <c r="A689" t="s">
        <v>819</v>
      </c>
      <c r="B689" t="s">
        <v>61</v>
      </c>
      <c r="C689" t="s">
        <v>46</v>
      </c>
      <c r="D689" t="s">
        <v>47</v>
      </c>
      <c r="E689" s="1">
        <v>34.72</v>
      </c>
      <c r="F689" s="1" t="s">
        <v>44</v>
      </c>
      <c r="G689" s="1">
        <v>3</v>
      </c>
      <c r="H689" s="1">
        <v>3</v>
      </c>
      <c r="I689" s="1">
        <v>270</v>
      </c>
      <c r="J689" s="1">
        <v>3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 t="s">
        <v>26</v>
      </c>
      <c r="U689" s="1">
        <v>0</v>
      </c>
    </row>
    <row r="690" spans="1:21" x14ac:dyDescent="0.3">
      <c r="A690" t="s">
        <v>820</v>
      </c>
      <c r="B690" t="s">
        <v>22</v>
      </c>
      <c r="C690" t="s">
        <v>80</v>
      </c>
      <c r="D690" t="s">
        <v>81</v>
      </c>
      <c r="E690" s="1">
        <v>28.64</v>
      </c>
      <c r="F690" s="1" t="s">
        <v>39</v>
      </c>
      <c r="G690" s="1">
        <v>2</v>
      </c>
      <c r="H690" s="1">
        <v>2</v>
      </c>
      <c r="I690" s="1">
        <v>122</v>
      </c>
      <c r="J690" s="1">
        <v>1.4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 t="s">
        <v>26</v>
      </c>
      <c r="U690" s="1">
        <v>0</v>
      </c>
    </row>
    <row r="691" spans="1:21" x14ac:dyDescent="0.3">
      <c r="A691" t="s">
        <v>821</v>
      </c>
      <c r="B691" t="s">
        <v>31</v>
      </c>
      <c r="C691" t="s">
        <v>209</v>
      </c>
      <c r="D691" t="s">
        <v>210</v>
      </c>
      <c r="E691" s="1">
        <v>29.19</v>
      </c>
      <c r="F691" s="1" t="s">
        <v>39</v>
      </c>
      <c r="G691" s="1">
        <v>3</v>
      </c>
      <c r="H691" s="1">
        <v>3</v>
      </c>
      <c r="I691" s="1">
        <v>210</v>
      </c>
      <c r="J691" s="1">
        <v>2.2999999999999998</v>
      </c>
      <c r="K691" s="1">
        <v>2</v>
      </c>
      <c r="L691" s="1">
        <v>1</v>
      </c>
      <c r="M691" s="1">
        <v>3</v>
      </c>
      <c r="N691" s="1">
        <v>2</v>
      </c>
      <c r="O691" s="1">
        <v>0</v>
      </c>
      <c r="P691" s="1">
        <v>0</v>
      </c>
      <c r="Q691" s="1">
        <v>0</v>
      </c>
      <c r="R691" s="1">
        <v>0</v>
      </c>
      <c r="S691" s="1">
        <v>0.87</v>
      </c>
      <c r="T691" s="1" t="s">
        <v>26</v>
      </c>
      <c r="U691" s="1">
        <v>0</v>
      </c>
    </row>
    <row r="692" spans="1:21" x14ac:dyDescent="0.3">
      <c r="A692" t="s">
        <v>822</v>
      </c>
      <c r="B692" t="s">
        <v>22</v>
      </c>
      <c r="C692" t="s">
        <v>104</v>
      </c>
      <c r="D692" t="s">
        <v>105</v>
      </c>
      <c r="E692" s="1">
        <v>28.47</v>
      </c>
      <c r="F692" s="1" t="s">
        <v>39</v>
      </c>
      <c r="G692" s="1">
        <v>2</v>
      </c>
      <c r="H692" s="1">
        <v>1</v>
      </c>
      <c r="I692" s="1">
        <v>100</v>
      </c>
      <c r="J692" s="1">
        <v>1.1000000000000001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 t="s">
        <v>40</v>
      </c>
      <c r="U692" s="1">
        <v>1</v>
      </c>
    </row>
    <row r="693" spans="1:21" x14ac:dyDescent="0.3">
      <c r="A693" t="s">
        <v>823</v>
      </c>
      <c r="B693" t="s">
        <v>37</v>
      </c>
      <c r="C693" t="s">
        <v>118</v>
      </c>
      <c r="D693" t="s">
        <v>119</v>
      </c>
      <c r="E693" s="1">
        <v>24.7</v>
      </c>
      <c r="F693" s="1" t="s">
        <v>25</v>
      </c>
      <c r="G693" s="1">
        <v>3</v>
      </c>
      <c r="H693" s="1">
        <v>3</v>
      </c>
      <c r="I693" s="1">
        <v>270</v>
      </c>
      <c r="J693" s="1">
        <v>3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 t="s">
        <v>26</v>
      </c>
      <c r="U693" s="1">
        <v>0</v>
      </c>
    </row>
    <row r="694" spans="1:21" x14ac:dyDescent="0.3">
      <c r="A694" t="s">
        <v>824</v>
      </c>
      <c r="B694" t="s">
        <v>37</v>
      </c>
      <c r="C694" t="s">
        <v>139</v>
      </c>
      <c r="D694" t="s">
        <v>140</v>
      </c>
      <c r="E694" s="1">
        <v>27.73</v>
      </c>
      <c r="F694" s="1" t="s">
        <v>39</v>
      </c>
      <c r="G694" s="1">
        <v>1</v>
      </c>
      <c r="H694" s="1">
        <v>1</v>
      </c>
      <c r="I694" s="1">
        <v>90</v>
      </c>
      <c r="J694" s="1">
        <v>1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 t="s">
        <v>26</v>
      </c>
      <c r="U694" s="1">
        <v>0</v>
      </c>
    </row>
    <row r="695" spans="1:21" x14ac:dyDescent="0.3">
      <c r="A695" t="s">
        <v>825</v>
      </c>
      <c r="B695" t="s">
        <v>22</v>
      </c>
      <c r="C695" t="s">
        <v>136</v>
      </c>
      <c r="D695" t="s">
        <v>137</v>
      </c>
      <c r="E695" s="1">
        <v>28.84</v>
      </c>
      <c r="F695" s="1" t="s">
        <v>39</v>
      </c>
      <c r="G695" s="1">
        <v>4</v>
      </c>
      <c r="H695" s="1">
        <v>4</v>
      </c>
      <c r="I695" s="1">
        <v>233</v>
      </c>
      <c r="J695" s="1">
        <v>2.6</v>
      </c>
      <c r="K695" s="1">
        <v>0</v>
      </c>
      <c r="L695" s="1">
        <v>1</v>
      </c>
      <c r="M695" s="1">
        <v>1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 t="s">
        <v>26</v>
      </c>
      <c r="U695" s="1">
        <v>0</v>
      </c>
    </row>
    <row r="696" spans="1:21" x14ac:dyDescent="0.3">
      <c r="A696" t="s">
        <v>826</v>
      </c>
      <c r="B696" t="s">
        <v>22</v>
      </c>
      <c r="C696" t="s">
        <v>139</v>
      </c>
      <c r="D696" t="s">
        <v>140</v>
      </c>
      <c r="E696" s="1">
        <v>32</v>
      </c>
      <c r="F696" s="1" t="s">
        <v>44</v>
      </c>
      <c r="G696" s="1">
        <v>2</v>
      </c>
      <c r="H696" s="1">
        <v>1</v>
      </c>
      <c r="I696" s="1">
        <v>99</v>
      </c>
      <c r="J696" s="1">
        <v>1.1000000000000001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1</v>
      </c>
      <c r="R696" s="1">
        <v>0</v>
      </c>
      <c r="S696" s="1">
        <v>0</v>
      </c>
      <c r="T696" s="1" t="s">
        <v>40</v>
      </c>
      <c r="U696" s="1">
        <v>1</v>
      </c>
    </row>
    <row r="697" spans="1:21" x14ac:dyDescent="0.3">
      <c r="A697" t="s">
        <v>827</v>
      </c>
      <c r="B697" t="s">
        <v>22</v>
      </c>
      <c r="C697" t="s">
        <v>80</v>
      </c>
      <c r="D697" t="s">
        <v>81</v>
      </c>
      <c r="E697" s="1">
        <v>33.049999999999997</v>
      </c>
      <c r="F697" s="1" t="s">
        <v>44</v>
      </c>
      <c r="G697" s="1">
        <v>2</v>
      </c>
      <c r="H697" s="1">
        <v>2</v>
      </c>
      <c r="I697" s="1">
        <v>180</v>
      </c>
      <c r="J697" s="1">
        <v>2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 t="s">
        <v>26</v>
      </c>
      <c r="U697" s="1">
        <v>0</v>
      </c>
    </row>
    <row r="698" spans="1:21" x14ac:dyDescent="0.3">
      <c r="A698" t="s">
        <v>828</v>
      </c>
      <c r="B698" t="s">
        <v>22</v>
      </c>
      <c r="C698" t="s">
        <v>225</v>
      </c>
      <c r="D698" t="s">
        <v>226</v>
      </c>
      <c r="E698" s="1">
        <v>25.79</v>
      </c>
      <c r="F698" s="1" t="s">
        <v>25</v>
      </c>
      <c r="G698" s="1">
        <v>3</v>
      </c>
      <c r="H698" s="1">
        <v>1</v>
      </c>
      <c r="I698" s="1">
        <v>99</v>
      </c>
      <c r="J698" s="1">
        <v>1.1000000000000001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 t="s">
        <v>40</v>
      </c>
      <c r="U698" s="1">
        <v>2</v>
      </c>
    </row>
    <row r="699" spans="1:21" x14ac:dyDescent="0.3">
      <c r="A699" t="s">
        <v>829</v>
      </c>
      <c r="B699" t="s">
        <v>22</v>
      </c>
      <c r="C699" t="s">
        <v>225</v>
      </c>
      <c r="D699" t="s">
        <v>226</v>
      </c>
      <c r="E699" s="1">
        <v>31.39</v>
      </c>
      <c r="F699" s="1" t="s">
        <v>44</v>
      </c>
      <c r="G699" s="1">
        <v>3</v>
      </c>
      <c r="H699" s="1">
        <v>1</v>
      </c>
      <c r="I699" s="1">
        <v>100</v>
      </c>
      <c r="J699" s="1">
        <v>1.1000000000000001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 t="s">
        <v>40</v>
      </c>
      <c r="U699" s="1">
        <v>2</v>
      </c>
    </row>
    <row r="700" spans="1:21" x14ac:dyDescent="0.3">
      <c r="A700" t="s">
        <v>830</v>
      </c>
      <c r="B700" t="s">
        <v>37</v>
      </c>
      <c r="C700" t="s">
        <v>1146</v>
      </c>
      <c r="D700" t="s">
        <v>1148</v>
      </c>
      <c r="E700" s="1">
        <v>24.7</v>
      </c>
      <c r="F700" s="1" t="s">
        <v>25</v>
      </c>
      <c r="G700" s="1">
        <v>3</v>
      </c>
      <c r="H700" s="1">
        <v>2</v>
      </c>
      <c r="I700" s="1">
        <v>185</v>
      </c>
      <c r="J700" s="1">
        <v>2.1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 t="s">
        <v>40</v>
      </c>
      <c r="U700" s="1">
        <v>1</v>
      </c>
    </row>
    <row r="701" spans="1:21" x14ac:dyDescent="0.3">
      <c r="A701" t="s">
        <v>831</v>
      </c>
      <c r="B701" t="s">
        <v>37</v>
      </c>
      <c r="C701" t="s">
        <v>184</v>
      </c>
      <c r="D701" t="s">
        <v>185</v>
      </c>
      <c r="E701" s="1">
        <v>28.1</v>
      </c>
      <c r="F701" s="1" t="s">
        <v>39</v>
      </c>
      <c r="G701" s="1">
        <v>2</v>
      </c>
      <c r="H701" s="1">
        <v>1</v>
      </c>
      <c r="I701" s="1">
        <v>105</v>
      </c>
      <c r="J701" s="1">
        <v>1.2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 t="s">
        <v>40</v>
      </c>
      <c r="U701" s="1">
        <v>1</v>
      </c>
    </row>
    <row r="702" spans="1:21" x14ac:dyDescent="0.3">
      <c r="A702" t="s">
        <v>832</v>
      </c>
      <c r="B702" t="s">
        <v>22</v>
      </c>
      <c r="C702" t="s">
        <v>159</v>
      </c>
      <c r="D702" t="s">
        <v>160</v>
      </c>
      <c r="E702" s="1">
        <v>22.16</v>
      </c>
      <c r="F702" s="1" t="s">
        <v>34</v>
      </c>
      <c r="G702" s="1">
        <v>4</v>
      </c>
      <c r="H702" s="1">
        <v>4</v>
      </c>
      <c r="I702" s="1">
        <v>272</v>
      </c>
      <c r="J702" s="1">
        <v>3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</v>
      </c>
      <c r="R702" s="1">
        <v>0</v>
      </c>
      <c r="S702" s="1">
        <v>0</v>
      </c>
      <c r="T702" s="1" t="s">
        <v>26</v>
      </c>
      <c r="U702" s="1">
        <v>0</v>
      </c>
    </row>
    <row r="703" spans="1:21" x14ac:dyDescent="0.3">
      <c r="A703" t="s">
        <v>833</v>
      </c>
      <c r="B703" t="s">
        <v>37</v>
      </c>
      <c r="C703" t="s">
        <v>239</v>
      </c>
      <c r="D703" t="s">
        <v>240</v>
      </c>
      <c r="E703" s="1">
        <v>32.47</v>
      </c>
      <c r="F703" s="1" t="s">
        <v>44</v>
      </c>
      <c r="G703" s="1">
        <v>3</v>
      </c>
      <c r="H703" s="1">
        <v>3</v>
      </c>
      <c r="I703" s="1">
        <v>224</v>
      </c>
      <c r="J703" s="1">
        <v>2.5</v>
      </c>
      <c r="K703" s="1">
        <v>0</v>
      </c>
      <c r="L703" s="1">
        <v>1</v>
      </c>
      <c r="M703" s="1">
        <v>1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 t="s">
        <v>26</v>
      </c>
      <c r="U703" s="1">
        <v>0</v>
      </c>
    </row>
    <row r="704" spans="1:21" x14ac:dyDescent="0.3">
      <c r="A704" t="s">
        <v>834</v>
      </c>
      <c r="B704" t="s">
        <v>22</v>
      </c>
      <c r="C704" t="s">
        <v>139</v>
      </c>
      <c r="D704" t="s">
        <v>140</v>
      </c>
      <c r="E704" s="1">
        <v>21.81</v>
      </c>
      <c r="F704" s="1" t="s">
        <v>34</v>
      </c>
      <c r="G704" s="1">
        <v>2</v>
      </c>
      <c r="H704" s="1">
        <v>1</v>
      </c>
      <c r="I704" s="1">
        <v>71</v>
      </c>
      <c r="J704" s="1">
        <v>0.8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 t="s">
        <v>40</v>
      </c>
      <c r="U704" s="1">
        <v>1</v>
      </c>
    </row>
    <row r="705" spans="1:21" x14ac:dyDescent="0.3">
      <c r="A705" t="s">
        <v>835</v>
      </c>
      <c r="B705" t="s">
        <v>155</v>
      </c>
      <c r="C705" t="s">
        <v>28</v>
      </c>
      <c r="D705" t="s">
        <v>29</v>
      </c>
      <c r="E705" s="1">
        <v>25.96</v>
      </c>
      <c r="F705" s="1" t="s">
        <v>25</v>
      </c>
      <c r="G705" s="1">
        <v>2</v>
      </c>
      <c r="H705" s="1">
        <v>0</v>
      </c>
      <c r="I705" s="1">
        <v>123</v>
      </c>
      <c r="J705" s="1">
        <v>1.4</v>
      </c>
      <c r="K705" s="1">
        <v>1</v>
      </c>
      <c r="L705" s="1">
        <v>0</v>
      </c>
      <c r="M705" s="1">
        <v>1</v>
      </c>
      <c r="N705" s="1">
        <v>1</v>
      </c>
      <c r="O705" s="1">
        <v>0</v>
      </c>
      <c r="P705" s="1">
        <v>0</v>
      </c>
      <c r="Q705" s="1">
        <v>0</v>
      </c>
      <c r="R705" s="1">
        <v>0</v>
      </c>
      <c r="S705" s="1">
        <v>0.71399999999999997</v>
      </c>
      <c r="T705" s="1" t="s">
        <v>35</v>
      </c>
      <c r="U705" s="1">
        <v>2</v>
      </c>
    </row>
    <row r="706" spans="1:21" x14ac:dyDescent="0.3">
      <c r="A706" t="s">
        <v>836</v>
      </c>
      <c r="B706" t="s">
        <v>22</v>
      </c>
      <c r="C706" t="s">
        <v>209</v>
      </c>
      <c r="D706" t="s">
        <v>210</v>
      </c>
      <c r="E706" s="1">
        <v>23.59</v>
      </c>
      <c r="F706" s="1" t="s">
        <v>25</v>
      </c>
      <c r="G706" s="1">
        <v>3</v>
      </c>
      <c r="H706" s="1">
        <v>3</v>
      </c>
      <c r="I706" s="1">
        <v>218</v>
      </c>
      <c r="J706" s="1">
        <v>2.4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1</v>
      </c>
      <c r="R706" s="1">
        <v>0</v>
      </c>
      <c r="S706" s="1">
        <v>0</v>
      </c>
      <c r="T706" s="1" t="s">
        <v>26</v>
      </c>
      <c r="U706" s="1">
        <v>0</v>
      </c>
    </row>
    <row r="707" spans="1:21" x14ac:dyDescent="0.3">
      <c r="A707" t="s">
        <v>837</v>
      </c>
      <c r="B707" t="s">
        <v>31</v>
      </c>
      <c r="C707" t="s">
        <v>77</v>
      </c>
      <c r="D707" t="s">
        <v>78</v>
      </c>
      <c r="E707" s="1">
        <v>31.09</v>
      </c>
      <c r="F707" s="1" t="s">
        <v>44</v>
      </c>
      <c r="G707" s="1">
        <v>3</v>
      </c>
      <c r="H707" s="1">
        <v>2</v>
      </c>
      <c r="I707" s="1">
        <v>148</v>
      </c>
      <c r="J707" s="1">
        <v>1.6</v>
      </c>
      <c r="K707" s="1">
        <v>2</v>
      </c>
      <c r="L707" s="1">
        <v>0</v>
      </c>
      <c r="M707" s="1">
        <v>2</v>
      </c>
      <c r="N707" s="1">
        <v>2</v>
      </c>
      <c r="O707" s="1">
        <v>0</v>
      </c>
      <c r="P707" s="1">
        <v>0</v>
      </c>
      <c r="Q707" s="1">
        <v>1</v>
      </c>
      <c r="R707" s="1">
        <v>0</v>
      </c>
      <c r="S707" s="1">
        <v>1.25</v>
      </c>
      <c r="T707" s="1" t="s">
        <v>40</v>
      </c>
      <c r="U707" s="1">
        <v>1</v>
      </c>
    </row>
    <row r="708" spans="1:21" x14ac:dyDescent="0.3">
      <c r="A708" t="s">
        <v>838</v>
      </c>
      <c r="B708" t="s">
        <v>31</v>
      </c>
      <c r="C708" t="s">
        <v>23</v>
      </c>
      <c r="D708" t="s">
        <v>24</v>
      </c>
      <c r="E708" s="1">
        <v>23.47</v>
      </c>
      <c r="F708" s="1" t="s">
        <v>25</v>
      </c>
      <c r="G708" s="1">
        <v>3</v>
      </c>
      <c r="H708" s="1">
        <v>2</v>
      </c>
      <c r="I708" s="1">
        <v>182</v>
      </c>
      <c r="J708" s="1">
        <v>2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 t="s">
        <v>40</v>
      </c>
      <c r="U708" s="1">
        <v>1</v>
      </c>
    </row>
    <row r="709" spans="1:21" x14ac:dyDescent="0.3">
      <c r="A709" t="s">
        <v>839</v>
      </c>
      <c r="B709" t="s">
        <v>37</v>
      </c>
      <c r="C709" t="s">
        <v>80</v>
      </c>
      <c r="D709" t="s">
        <v>81</v>
      </c>
      <c r="E709" s="1">
        <v>22.07</v>
      </c>
      <c r="F709" s="1" t="s">
        <v>34</v>
      </c>
      <c r="G709" s="1">
        <v>2</v>
      </c>
      <c r="H709" s="1">
        <v>0</v>
      </c>
      <c r="I709" s="1">
        <v>49</v>
      </c>
      <c r="J709" s="1">
        <v>0.5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</v>
      </c>
      <c r="R709" s="1">
        <v>0</v>
      </c>
      <c r="S709" s="1">
        <v>0</v>
      </c>
      <c r="T709" s="1" t="s">
        <v>35</v>
      </c>
      <c r="U709" s="1">
        <v>2</v>
      </c>
    </row>
    <row r="710" spans="1:21" x14ac:dyDescent="0.3">
      <c r="A710" t="s">
        <v>840</v>
      </c>
      <c r="B710" t="s">
        <v>148</v>
      </c>
      <c r="C710" t="s">
        <v>225</v>
      </c>
      <c r="D710" t="s">
        <v>226</v>
      </c>
      <c r="E710" s="1">
        <v>37.409999999999997</v>
      </c>
      <c r="F710" s="1" t="s">
        <v>74</v>
      </c>
      <c r="G710" s="1">
        <v>3</v>
      </c>
      <c r="H710" s="1">
        <v>3</v>
      </c>
      <c r="I710" s="1">
        <v>270</v>
      </c>
      <c r="J710" s="1">
        <v>3</v>
      </c>
      <c r="K710" s="1">
        <v>0</v>
      </c>
      <c r="L710" s="1">
        <v>1</v>
      </c>
      <c r="M710" s="1">
        <v>1</v>
      </c>
      <c r="N710" s="1">
        <v>0</v>
      </c>
      <c r="O710" s="1">
        <v>0</v>
      </c>
      <c r="P710" s="1">
        <v>0</v>
      </c>
      <c r="Q710" s="1">
        <v>1</v>
      </c>
      <c r="R710" s="1">
        <v>0</v>
      </c>
      <c r="S710" s="1">
        <v>0</v>
      </c>
      <c r="T710" s="1" t="s">
        <v>26</v>
      </c>
      <c r="U710" s="1">
        <v>0</v>
      </c>
    </row>
    <row r="711" spans="1:21" x14ac:dyDescent="0.3">
      <c r="A711" t="s">
        <v>841</v>
      </c>
      <c r="B711" t="s">
        <v>354</v>
      </c>
      <c r="C711" t="s">
        <v>28</v>
      </c>
      <c r="D711" t="s">
        <v>29</v>
      </c>
      <c r="E711" s="1">
        <v>26.71</v>
      </c>
      <c r="F711" s="1" t="s">
        <v>25</v>
      </c>
      <c r="G711" s="1">
        <v>1</v>
      </c>
      <c r="H711" s="1">
        <v>0</v>
      </c>
      <c r="I711" s="1">
        <v>8</v>
      </c>
      <c r="J711" s="1">
        <v>0.1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 t="s">
        <v>35</v>
      </c>
      <c r="U711" s="1">
        <v>1</v>
      </c>
    </row>
    <row r="712" spans="1:21" x14ac:dyDescent="0.3">
      <c r="A712" t="s">
        <v>842</v>
      </c>
      <c r="B712" t="s">
        <v>155</v>
      </c>
      <c r="C712" t="s">
        <v>213</v>
      </c>
      <c r="D712" t="s">
        <v>214</v>
      </c>
      <c r="E712" s="1">
        <v>29.13</v>
      </c>
      <c r="F712" s="1" t="s">
        <v>39</v>
      </c>
      <c r="G712" s="1">
        <v>2</v>
      </c>
      <c r="H712" s="1">
        <v>0</v>
      </c>
      <c r="I712" s="1">
        <v>35</v>
      </c>
      <c r="J712" s="1">
        <v>0.4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</v>
      </c>
      <c r="R712" s="1">
        <v>0</v>
      </c>
      <c r="S712" s="1">
        <v>0</v>
      </c>
      <c r="T712" s="1" t="s">
        <v>35</v>
      </c>
      <c r="U712" s="1">
        <v>2</v>
      </c>
    </row>
    <row r="713" spans="1:21" x14ac:dyDescent="0.3">
      <c r="A713" t="s">
        <v>843</v>
      </c>
      <c r="B713" t="s">
        <v>61</v>
      </c>
      <c r="C713" t="s">
        <v>1147</v>
      </c>
      <c r="D713" t="s">
        <v>1149</v>
      </c>
      <c r="E713" s="1">
        <v>32.31</v>
      </c>
      <c r="F713" s="1" t="s">
        <v>44</v>
      </c>
      <c r="G713" s="1">
        <v>3</v>
      </c>
      <c r="H713" s="1">
        <v>3</v>
      </c>
      <c r="I713" s="1">
        <v>270</v>
      </c>
      <c r="J713" s="1">
        <v>3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 t="s">
        <v>26</v>
      </c>
      <c r="U713" s="1">
        <v>0</v>
      </c>
    </row>
    <row r="714" spans="1:21" x14ac:dyDescent="0.3">
      <c r="A714" t="s">
        <v>844</v>
      </c>
      <c r="B714" t="s">
        <v>37</v>
      </c>
      <c r="C714" t="s">
        <v>184</v>
      </c>
      <c r="D714" t="s">
        <v>185</v>
      </c>
      <c r="E714" s="1">
        <v>34.04</v>
      </c>
      <c r="F714" s="1" t="s">
        <v>44</v>
      </c>
      <c r="G714" s="1">
        <v>3</v>
      </c>
      <c r="H714" s="1">
        <v>3</v>
      </c>
      <c r="I714" s="1">
        <v>270</v>
      </c>
      <c r="J714" s="1">
        <v>3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 t="s">
        <v>26</v>
      </c>
      <c r="U714" s="1">
        <v>0</v>
      </c>
    </row>
    <row r="715" spans="1:21" x14ac:dyDescent="0.3">
      <c r="A715" t="s">
        <v>845</v>
      </c>
      <c r="B715" t="s">
        <v>31</v>
      </c>
      <c r="C715" t="s">
        <v>72</v>
      </c>
      <c r="D715" t="s">
        <v>73</v>
      </c>
      <c r="E715" s="1">
        <v>31.25</v>
      </c>
      <c r="F715" s="1" t="s">
        <v>44</v>
      </c>
      <c r="G715" s="1">
        <v>3</v>
      </c>
      <c r="H715" s="1">
        <v>2</v>
      </c>
      <c r="I715" s="1">
        <v>143</v>
      </c>
      <c r="J715" s="1">
        <v>1.6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1</v>
      </c>
      <c r="R715" s="1">
        <v>0</v>
      </c>
      <c r="S715" s="1">
        <v>0</v>
      </c>
      <c r="T715" s="1" t="s">
        <v>40</v>
      </c>
      <c r="U715" s="1">
        <v>1</v>
      </c>
    </row>
    <row r="716" spans="1:21" x14ac:dyDescent="0.3">
      <c r="A716" t="s">
        <v>846</v>
      </c>
      <c r="B716" t="s">
        <v>22</v>
      </c>
      <c r="C716" t="s">
        <v>184</v>
      </c>
      <c r="D716" t="s">
        <v>185</v>
      </c>
      <c r="E716" s="1">
        <v>29.42</v>
      </c>
      <c r="F716" s="1" t="s">
        <v>39</v>
      </c>
      <c r="G716" s="1">
        <v>3</v>
      </c>
      <c r="H716" s="1">
        <v>3</v>
      </c>
      <c r="I716" s="1">
        <v>250</v>
      </c>
      <c r="J716" s="1">
        <v>2.8</v>
      </c>
      <c r="K716" s="1">
        <v>1</v>
      </c>
      <c r="L716" s="1">
        <v>0</v>
      </c>
      <c r="M716" s="1">
        <v>1</v>
      </c>
      <c r="N716" s="1">
        <v>1</v>
      </c>
      <c r="O716" s="1">
        <v>0</v>
      </c>
      <c r="P716" s="1">
        <v>0</v>
      </c>
      <c r="Q716" s="1">
        <v>0</v>
      </c>
      <c r="R716" s="1">
        <v>0</v>
      </c>
      <c r="S716" s="1">
        <v>0.35699999999999998</v>
      </c>
      <c r="T716" s="1" t="s">
        <v>26</v>
      </c>
      <c r="U716" s="1">
        <v>0</v>
      </c>
    </row>
    <row r="717" spans="1:21" x14ac:dyDescent="0.3">
      <c r="A717" t="s">
        <v>847</v>
      </c>
      <c r="B717" t="s">
        <v>37</v>
      </c>
      <c r="C717" t="s">
        <v>184</v>
      </c>
      <c r="D717" t="s">
        <v>185</v>
      </c>
      <c r="E717" s="1">
        <v>23.65</v>
      </c>
      <c r="F717" s="1" t="s">
        <v>25</v>
      </c>
      <c r="G717" s="1">
        <v>1</v>
      </c>
      <c r="H717" s="1">
        <v>1</v>
      </c>
      <c r="I717" s="1">
        <v>89</v>
      </c>
      <c r="J717" s="1">
        <v>1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1</v>
      </c>
      <c r="R717" s="1">
        <v>0</v>
      </c>
      <c r="S717" s="1">
        <v>0</v>
      </c>
      <c r="T717" s="1" t="s">
        <v>26</v>
      </c>
      <c r="U717" s="1">
        <v>0</v>
      </c>
    </row>
    <row r="718" spans="1:21" x14ac:dyDescent="0.3">
      <c r="A718" t="s">
        <v>848</v>
      </c>
      <c r="B718" t="s">
        <v>64</v>
      </c>
      <c r="C718" t="s">
        <v>145</v>
      </c>
      <c r="D718" t="s">
        <v>146</v>
      </c>
      <c r="E718" s="1">
        <v>30.27</v>
      </c>
      <c r="F718" s="1" t="s">
        <v>39</v>
      </c>
      <c r="G718" s="1">
        <v>1</v>
      </c>
      <c r="H718" s="1">
        <v>0</v>
      </c>
      <c r="I718" s="1">
        <v>20</v>
      </c>
      <c r="J718" s="1">
        <v>0.2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 t="s">
        <v>35</v>
      </c>
      <c r="U718" s="1">
        <v>1</v>
      </c>
    </row>
    <row r="719" spans="1:21" x14ac:dyDescent="0.3">
      <c r="A719" t="s">
        <v>849</v>
      </c>
      <c r="B719" t="s">
        <v>64</v>
      </c>
      <c r="C719" t="s">
        <v>209</v>
      </c>
      <c r="D719" t="s">
        <v>210</v>
      </c>
      <c r="E719" s="1">
        <v>23.69</v>
      </c>
      <c r="F719" s="1" t="s">
        <v>25</v>
      </c>
      <c r="G719" s="1">
        <v>2</v>
      </c>
      <c r="H719" s="1">
        <v>0</v>
      </c>
      <c r="I719" s="1">
        <v>70</v>
      </c>
      <c r="J719" s="1">
        <v>0.8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 t="s">
        <v>35</v>
      </c>
      <c r="U719" s="1">
        <v>2</v>
      </c>
    </row>
    <row r="720" spans="1:21" x14ac:dyDescent="0.3">
      <c r="A720" t="s">
        <v>850</v>
      </c>
      <c r="B720" t="s">
        <v>31</v>
      </c>
      <c r="C720" t="s">
        <v>121</v>
      </c>
      <c r="D720" t="s">
        <v>122</v>
      </c>
      <c r="E720" s="1">
        <v>26.88</v>
      </c>
      <c r="F720" s="1" t="s">
        <v>25</v>
      </c>
      <c r="G720" s="1">
        <v>1</v>
      </c>
      <c r="H720" s="1">
        <v>1</v>
      </c>
      <c r="I720" s="1">
        <v>45</v>
      </c>
      <c r="J720" s="1">
        <v>0.5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 t="s">
        <v>26</v>
      </c>
      <c r="U720" s="1">
        <v>0</v>
      </c>
    </row>
    <row r="721" spans="1:21" x14ac:dyDescent="0.3">
      <c r="A721" t="s">
        <v>851</v>
      </c>
      <c r="B721" t="s">
        <v>61</v>
      </c>
      <c r="C721" t="s">
        <v>72</v>
      </c>
      <c r="D721" t="s">
        <v>73</v>
      </c>
      <c r="E721" s="1">
        <v>38.42</v>
      </c>
      <c r="F721" s="1" t="s">
        <v>74</v>
      </c>
      <c r="G721" s="1">
        <v>3</v>
      </c>
      <c r="H721" s="1">
        <v>3</v>
      </c>
      <c r="I721" s="1">
        <v>270</v>
      </c>
      <c r="J721" s="1">
        <v>3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1</v>
      </c>
      <c r="R721" s="1">
        <v>0</v>
      </c>
      <c r="S721" s="1">
        <v>0</v>
      </c>
      <c r="T721" s="1" t="s">
        <v>26</v>
      </c>
      <c r="U721" s="1">
        <v>0</v>
      </c>
    </row>
    <row r="722" spans="1:21" x14ac:dyDescent="0.3">
      <c r="A722" t="s">
        <v>852</v>
      </c>
      <c r="B722" t="s">
        <v>31</v>
      </c>
      <c r="C722" t="s">
        <v>118</v>
      </c>
      <c r="D722" t="s">
        <v>119</v>
      </c>
      <c r="E722" s="1">
        <v>25.66</v>
      </c>
      <c r="F722" s="1" t="s">
        <v>25</v>
      </c>
      <c r="G722" s="1">
        <v>3</v>
      </c>
      <c r="H722" s="1">
        <v>3</v>
      </c>
      <c r="I722" s="1">
        <v>270</v>
      </c>
      <c r="J722" s="1">
        <v>3</v>
      </c>
      <c r="K722" s="1">
        <v>1</v>
      </c>
      <c r="L722" s="1">
        <v>0</v>
      </c>
      <c r="M722" s="1">
        <v>1</v>
      </c>
      <c r="N722" s="1">
        <v>1</v>
      </c>
      <c r="O722" s="1">
        <v>0</v>
      </c>
      <c r="P722" s="1">
        <v>0</v>
      </c>
      <c r="Q722" s="1">
        <v>1</v>
      </c>
      <c r="R722" s="1">
        <v>0</v>
      </c>
      <c r="S722" s="1">
        <v>0.33300000000000002</v>
      </c>
      <c r="T722" s="1" t="s">
        <v>26</v>
      </c>
      <c r="U722" s="1">
        <v>0</v>
      </c>
    </row>
    <row r="723" spans="1:21" x14ac:dyDescent="0.3">
      <c r="A723" t="s">
        <v>853</v>
      </c>
      <c r="B723" t="s">
        <v>37</v>
      </c>
      <c r="C723" t="s">
        <v>225</v>
      </c>
      <c r="D723" t="s">
        <v>226</v>
      </c>
      <c r="E723" s="1">
        <v>28.8</v>
      </c>
      <c r="F723" s="1" t="s">
        <v>39</v>
      </c>
      <c r="G723" s="1">
        <v>2</v>
      </c>
      <c r="H723" s="1">
        <v>2</v>
      </c>
      <c r="I723" s="1">
        <v>180</v>
      </c>
      <c r="J723" s="1">
        <v>2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 t="s">
        <v>26</v>
      </c>
      <c r="U723" s="1">
        <v>0</v>
      </c>
    </row>
    <row r="724" spans="1:21" x14ac:dyDescent="0.3">
      <c r="A724" t="s">
        <v>854</v>
      </c>
      <c r="B724" t="s">
        <v>37</v>
      </c>
      <c r="C724" t="s">
        <v>118</v>
      </c>
      <c r="D724" t="s">
        <v>119</v>
      </c>
      <c r="E724" s="1">
        <v>25.9</v>
      </c>
      <c r="F724" s="1" t="s">
        <v>25</v>
      </c>
      <c r="G724" s="1">
        <v>1</v>
      </c>
      <c r="H724" s="1">
        <v>0</v>
      </c>
      <c r="I724" s="1">
        <v>29</v>
      </c>
      <c r="J724" s="1">
        <v>0.3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1</v>
      </c>
      <c r="R724" s="1">
        <v>0</v>
      </c>
      <c r="S724" s="1">
        <v>0</v>
      </c>
      <c r="T724" s="1" t="s">
        <v>35</v>
      </c>
      <c r="U724" s="1">
        <v>1</v>
      </c>
    </row>
    <row r="725" spans="1:21" x14ac:dyDescent="0.3">
      <c r="A725" t="s">
        <v>855</v>
      </c>
      <c r="B725" t="s">
        <v>37</v>
      </c>
      <c r="C725" t="s">
        <v>209</v>
      </c>
      <c r="D725" t="s">
        <v>210</v>
      </c>
      <c r="E725" s="1">
        <v>26.79</v>
      </c>
      <c r="F725" s="1" t="s">
        <v>25</v>
      </c>
      <c r="G725" s="1">
        <v>1</v>
      </c>
      <c r="H725" s="1">
        <v>1</v>
      </c>
      <c r="I725" s="1">
        <v>90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 t="s">
        <v>26</v>
      </c>
      <c r="U725" s="1">
        <v>0</v>
      </c>
    </row>
    <row r="726" spans="1:21" x14ac:dyDescent="0.3">
      <c r="A726" t="s">
        <v>856</v>
      </c>
      <c r="B726" t="s">
        <v>37</v>
      </c>
      <c r="C726" t="s">
        <v>112</v>
      </c>
      <c r="D726" t="s">
        <v>113</v>
      </c>
      <c r="E726" s="1">
        <v>29.13</v>
      </c>
      <c r="F726" s="1" t="s">
        <v>39</v>
      </c>
      <c r="G726" s="1">
        <v>3</v>
      </c>
      <c r="H726" s="1">
        <v>3</v>
      </c>
      <c r="I726" s="1">
        <v>247</v>
      </c>
      <c r="J726" s="1">
        <v>2.7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1</v>
      </c>
      <c r="R726" s="1">
        <v>0</v>
      </c>
      <c r="S726" s="1">
        <v>0</v>
      </c>
      <c r="T726" s="1" t="s">
        <v>26</v>
      </c>
      <c r="U726" s="1">
        <v>0</v>
      </c>
    </row>
    <row r="727" spans="1:21" x14ac:dyDescent="0.3">
      <c r="A727" t="s">
        <v>857</v>
      </c>
      <c r="B727" t="s">
        <v>155</v>
      </c>
      <c r="C727" t="s">
        <v>112</v>
      </c>
      <c r="D727" t="s">
        <v>113</v>
      </c>
      <c r="E727" s="1">
        <v>25.1</v>
      </c>
      <c r="F727" s="1" t="s">
        <v>25</v>
      </c>
      <c r="G727" s="1">
        <v>1</v>
      </c>
      <c r="H727" s="1">
        <v>0</v>
      </c>
      <c r="I727" s="1">
        <v>23</v>
      </c>
      <c r="J727" s="1">
        <v>0.3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 t="s">
        <v>35</v>
      </c>
      <c r="U727" s="1">
        <v>1</v>
      </c>
    </row>
    <row r="728" spans="1:21" x14ac:dyDescent="0.3">
      <c r="A728" t="s">
        <v>858</v>
      </c>
      <c r="B728" t="s">
        <v>155</v>
      </c>
      <c r="C728" t="s">
        <v>118</v>
      </c>
      <c r="D728" t="s">
        <v>119</v>
      </c>
      <c r="E728" s="1">
        <v>28.36</v>
      </c>
      <c r="F728" s="1" t="s">
        <v>39</v>
      </c>
      <c r="G728" s="1">
        <v>3</v>
      </c>
      <c r="H728" s="1">
        <v>0</v>
      </c>
      <c r="I728" s="1">
        <v>64</v>
      </c>
      <c r="J728" s="1">
        <v>0.7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 t="s">
        <v>35</v>
      </c>
      <c r="U728" s="1">
        <v>3</v>
      </c>
    </row>
    <row r="729" spans="1:21" x14ac:dyDescent="0.3">
      <c r="A729" t="s">
        <v>859</v>
      </c>
      <c r="B729" t="s">
        <v>22</v>
      </c>
      <c r="C729" t="s">
        <v>72</v>
      </c>
      <c r="D729" t="s">
        <v>73</v>
      </c>
      <c r="E729" s="1">
        <v>24.98</v>
      </c>
      <c r="F729" s="1" t="s">
        <v>25</v>
      </c>
      <c r="G729" s="1">
        <v>3</v>
      </c>
      <c r="H729" s="1">
        <v>3</v>
      </c>
      <c r="I729" s="1">
        <v>220</v>
      </c>
      <c r="J729" s="1">
        <v>2.4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 t="s">
        <v>26</v>
      </c>
      <c r="U729" s="1">
        <v>0</v>
      </c>
    </row>
    <row r="730" spans="1:21" x14ac:dyDescent="0.3">
      <c r="A730" t="s">
        <v>860</v>
      </c>
      <c r="B730" t="s">
        <v>31</v>
      </c>
      <c r="C730" t="s">
        <v>309</v>
      </c>
      <c r="D730" t="s">
        <v>310</v>
      </c>
      <c r="E730" s="1">
        <v>29.68</v>
      </c>
      <c r="F730" s="1" t="s">
        <v>39</v>
      </c>
      <c r="G730" s="1">
        <v>3</v>
      </c>
      <c r="H730" s="1">
        <v>1</v>
      </c>
      <c r="I730" s="1">
        <v>122</v>
      </c>
      <c r="J730" s="1">
        <v>1.4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 t="s">
        <v>40</v>
      </c>
      <c r="U730" s="1">
        <v>2</v>
      </c>
    </row>
    <row r="731" spans="1:21" x14ac:dyDescent="0.3">
      <c r="A731" t="s">
        <v>861</v>
      </c>
      <c r="B731" t="s">
        <v>22</v>
      </c>
      <c r="C731" t="s">
        <v>189</v>
      </c>
      <c r="D731" t="s">
        <v>190</v>
      </c>
      <c r="E731" s="1">
        <v>22.94</v>
      </c>
      <c r="F731" s="1" t="s">
        <v>34</v>
      </c>
      <c r="G731" s="1">
        <v>3</v>
      </c>
      <c r="H731" s="1">
        <v>3</v>
      </c>
      <c r="I731" s="1">
        <v>259</v>
      </c>
      <c r="J731" s="1">
        <v>2.9</v>
      </c>
      <c r="K731" s="1">
        <v>0</v>
      </c>
      <c r="L731" s="1">
        <v>1</v>
      </c>
      <c r="M731" s="1">
        <v>1</v>
      </c>
      <c r="N731" s="1">
        <v>0</v>
      </c>
      <c r="O731" s="1">
        <v>0</v>
      </c>
      <c r="P731" s="1">
        <v>0</v>
      </c>
      <c r="Q731" s="1">
        <v>1</v>
      </c>
      <c r="R731" s="1">
        <v>0</v>
      </c>
      <c r="S731" s="1">
        <v>0</v>
      </c>
      <c r="T731" s="1" t="s">
        <v>26</v>
      </c>
      <c r="U731" s="1">
        <v>0</v>
      </c>
    </row>
    <row r="732" spans="1:21" x14ac:dyDescent="0.3">
      <c r="A732" t="s">
        <v>862</v>
      </c>
      <c r="B732" t="s">
        <v>22</v>
      </c>
      <c r="C732" t="s">
        <v>23</v>
      </c>
      <c r="D732" t="s">
        <v>24</v>
      </c>
      <c r="E732" s="1">
        <v>27.78</v>
      </c>
      <c r="F732" s="1" t="s">
        <v>39</v>
      </c>
      <c r="G732" s="1">
        <v>2</v>
      </c>
      <c r="H732" s="1">
        <v>1</v>
      </c>
      <c r="I732" s="1">
        <v>78</v>
      </c>
      <c r="J732" s="1">
        <v>0.9</v>
      </c>
      <c r="K732" s="1">
        <v>0</v>
      </c>
      <c r="L732" s="1">
        <v>1</v>
      </c>
      <c r="M732" s="1">
        <v>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 t="s">
        <v>40</v>
      </c>
      <c r="U732" s="1">
        <v>1</v>
      </c>
    </row>
    <row r="733" spans="1:21" x14ac:dyDescent="0.3">
      <c r="A733" t="s">
        <v>863</v>
      </c>
      <c r="B733" t="s">
        <v>83</v>
      </c>
      <c r="C733" t="s">
        <v>125</v>
      </c>
      <c r="D733" t="s">
        <v>126</v>
      </c>
      <c r="E733" s="1">
        <v>22.97</v>
      </c>
      <c r="F733" s="1" t="s">
        <v>34</v>
      </c>
      <c r="G733" s="1">
        <v>3</v>
      </c>
      <c r="H733" s="1">
        <v>2</v>
      </c>
      <c r="I733" s="1">
        <v>123</v>
      </c>
      <c r="J733" s="1">
        <v>1.4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 t="s">
        <v>40</v>
      </c>
      <c r="U733" s="1">
        <v>1</v>
      </c>
    </row>
    <row r="734" spans="1:21" x14ac:dyDescent="0.3">
      <c r="A734" t="s">
        <v>864</v>
      </c>
      <c r="B734" t="s">
        <v>37</v>
      </c>
      <c r="C734" t="s">
        <v>1147</v>
      </c>
      <c r="D734" t="s">
        <v>1149</v>
      </c>
      <c r="E734" s="1">
        <v>23.42</v>
      </c>
      <c r="F734" s="1" t="s">
        <v>25</v>
      </c>
      <c r="G734" s="1">
        <v>1</v>
      </c>
      <c r="H734" s="1">
        <v>1</v>
      </c>
      <c r="I734" s="1">
        <v>62</v>
      </c>
      <c r="J734" s="1">
        <v>0.7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1</v>
      </c>
      <c r="R734" s="1">
        <v>0</v>
      </c>
      <c r="S734" s="1">
        <v>0</v>
      </c>
      <c r="T734" s="1" t="s">
        <v>26</v>
      </c>
      <c r="U734" s="1">
        <v>0</v>
      </c>
    </row>
    <row r="735" spans="1:21" x14ac:dyDescent="0.3">
      <c r="A735" t="s">
        <v>865</v>
      </c>
      <c r="B735" t="s">
        <v>64</v>
      </c>
      <c r="C735" t="s">
        <v>145</v>
      </c>
      <c r="D735" t="s">
        <v>146</v>
      </c>
      <c r="E735" s="1">
        <v>29.27</v>
      </c>
      <c r="F735" s="1" t="s">
        <v>39</v>
      </c>
      <c r="G735" s="1">
        <v>3</v>
      </c>
      <c r="H735" s="1">
        <v>3</v>
      </c>
      <c r="I735" s="1">
        <v>251</v>
      </c>
      <c r="J735" s="1">
        <v>2.8</v>
      </c>
      <c r="K735" s="1">
        <v>2</v>
      </c>
      <c r="L735" s="1">
        <v>0</v>
      </c>
      <c r="M735" s="1">
        <v>2</v>
      </c>
      <c r="N735" s="1">
        <v>2</v>
      </c>
      <c r="O735" s="1">
        <v>0</v>
      </c>
      <c r="P735" s="1">
        <v>0</v>
      </c>
      <c r="Q735" s="1">
        <v>0</v>
      </c>
      <c r="R735" s="1">
        <v>0</v>
      </c>
      <c r="S735" s="1">
        <v>0.71399999999999997</v>
      </c>
      <c r="T735" s="1" t="s">
        <v>26</v>
      </c>
      <c r="U735" s="1">
        <v>0</v>
      </c>
    </row>
    <row r="736" spans="1:21" x14ac:dyDescent="0.3">
      <c r="A736" t="s">
        <v>866</v>
      </c>
      <c r="B736" t="s">
        <v>64</v>
      </c>
      <c r="C736" t="s">
        <v>156</v>
      </c>
      <c r="D736" t="s">
        <v>157</v>
      </c>
      <c r="E736" s="1">
        <v>38.53</v>
      </c>
      <c r="F736" s="1" t="s">
        <v>74</v>
      </c>
      <c r="G736" s="1">
        <v>1</v>
      </c>
      <c r="H736" s="1">
        <v>0</v>
      </c>
      <c r="I736" s="1">
        <v>3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 t="s">
        <v>35</v>
      </c>
      <c r="U736" s="1">
        <v>1</v>
      </c>
    </row>
    <row r="737" spans="1:21" x14ac:dyDescent="0.3">
      <c r="A737" t="s">
        <v>867</v>
      </c>
      <c r="B737" t="s">
        <v>64</v>
      </c>
      <c r="C737" t="s">
        <v>189</v>
      </c>
      <c r="D737" t="s">
        <v>190</v>
      </c>
      <c r="E737" s="1">
        <v>33.450000000000003</v>
      </c>
      <c r="F737" s="1" t="s">
        <v>44</v>
      </c>
      <c r="G737" s="1">
        <v>2</v>
      </c>
      <c r="H737" s="1">
        <v>0</v>
      </c>
      <c r="I737" s="1">
        <v>48</v>
      </c>
      <c r="J737" s="1">
        <v>0.5</v>
      </c>
      <c r="K737" s="1">
        <v>0</v>
      </c>
      <c r="L737" s="1">
        <v>1</v>
      </c>
      <c r="M737" s="1">
        <v>1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 t="s">
        <v>35</v>
      </c>
      <c r="U737" s="1">
        <v>2</v>
      </c>
    </row>
    <row r="738" spans="1:21" x14ac:dyDescent="0.3">
      <c r="A738" t="s">
        <v>868</v>
      </c>
      <c r="B738" t="s">
        <v>37</v>
      </c>
      <c r="C738" t="s">
        <v>32</v>
      </c>
      <c r="D738" t="s">
        <v>33</v>
      </c>
      <c r="E738" s="1">
        <v>33.11</v>
      </c>
      <c r="F738" s="1" t="s">
        <v>44</v>
      </c>
      <c r="G738" s="1">
        <v>3</v>
      </c>
      <c r="H738" s="1">
        <v>1</v>
      </c>
      <c r="I738" s="1">
        <v>162</v>
      </c>
      <c r="J738" s="1">
        <v>1.8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 t="s">
        <v>40</v>
      </c>
      <c r="U738" s="1">
        <v>2</v>
      </c>
    </row>
    <row r="739" spans="1:21" x14ac:dyDescent="0.3">
      <c r="A739" t="s">
        <v>869</v>
      </c>
      <c r="B739" t="s">
        <v>22</v>
      </c>
      <c r="C739" t="s">
        <v>107</v>
      </c>
      <c r="D739" t="s">
        <v>108</v>
      </c>
      <c r="E739" s="1">
        <v>31.24</v>
      </c>
      <c r="F739" s="1" t="s">
        <v>44</v>
      </c>
      <c r="G739" s="1">
        <v>2</v>
      </c>
      <c r="H739" s="1">
        <v>2</v>
      </c>
      <c r="I739" s="1">
        <v>180</v>
      </c>
      <c r="J739" s="1">
        <v>2</v>
      </c>
      <c r="K739" s="1">
        <v>0</v>
      </c>
      <c r="L739" s="1">
        <v>1</v>
      </c>
      <c r="M739" s="1">
        <v>1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 t="s">
        <v>26</v>
      </c>
      <c r="U739" s="1">
        <v>0</v>
      </c>
    </row>
    <row r="740" spans="1:21" x14ac:dyDescent="0.3">
      <c r="A740" t="s">
        <v>870</v>
      </c>
      <c r="B740" t="s">
        <v>37</v>
      </c>
      <c r="C740" t="s">
        <v>115</v>
      </c>
      <c r="D740" t="s">
        <v>116</v>
      </c>
      <c r="E740" s="1">
        <v>28.82</v>
      </c>
      <c r="F740" s="1" t="s">
        <v>39</v>
      </c>
      <c r="G740" s="1">
        <v>1</v>
      </c>
      <c r="H740" s="1">
        <v>1</v>
      </c>
      <c r="I740" s="1">
        <v>90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 t="s">
        <v>26</v>
      </c>
      <c r="U740" s="1">
        <v>0</v>
      </c>
    </row>
    <row r="741" spans="1:21" x14ac:dyDescent="0.3">
      <c r="A741" t="s">
        <v>871</v>
      </c>
      <c r="B741" t="s">
        <v>31</v>
      </c>
      <c r="C741" t="s">
        <v>151</v>
      </c>
      <c r="D741" t="s">
        <v>152</v>
      </c>
      <c r="E741" s="1">
        <v>30.08</v>
      </c>
      <c r="F741" s="1" t="s">
        <v>39</v>
      </c>
      <c r="G741" s="1">
        <v>4</v>
      </c>
      <c r="H741" s="1">
        <v>0</v>
      </c>
      <c r="I741" s="1">
        <v>65</v>
      </c>
      <c r="J741" s="1">
        <v>0.7</v>
      </c>
      <c r="K741" s="1">
        <v>1</v>
      </c>
      <c r="L741" s="1">
        <v>1</v>
      </c>
      <c r="M741" s="1">
        <v>2</v>
      </c>
      <c r="N741" s="1">
        <v>1</v>
      </c>
      <c r="O741" s="1">
        <v>0</v>
      </c>
      <c r="P741" s="1">
        <v>0</v>
      </c>
      <c r="Q741" s="1">
        <v>0</v>
      </c>
      <c r="R741" s="1">
        <v>0</v>
      </c>
      <c r="S741" s="1">
        <v>1.429</v>
      </c>
      <c r="T741" s="1" t="s">
        <v>35</v>
      </c>
      <c r="U741" s="1">
        <v>4</v>
      </c>
    </row>
    <row r="742" spans="1:21" x14ac:dyDescent="0.3">
      <c r="A742" t="s">
        <v>872</v>
      </c>
      <c r="B742" t="s">
        <v>155</v>
      </c>
      <c r="C742" t="s">
        <v>80</v>
      </c>
      <c r="D742" t="s">
        <v>81</v>
      </c>
      <c r="E742" s="1">
        <v>31.99</v>
      </c>
      <c r="F742" s="1" t="s">
        <v>44</v>
      </c>
      <c r="G742" s="1">
        <v>1</v>
      </c>
      <c r="H742" s="1">
        <v>0</v>
      </c>
      <c r="I742" s="1">
        <v>1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 t="s">
        <v>35</v>
      </c>
      <c r="U742" s="1">
        <v>1</v>
      </c>
    </row>
    <row r="743" spans="1:21" x14ac:dyDescent="0.3">
      <c r="A743" t="s">
        <v>873</v>
      </c>
      <c r="B743" t="s">
        <v>37</v>
      </c>
      <c r="C743" t="s">
        <v>1146</v>
      </c>
      <c r="D743" t="s">
        <v>1148</v>
      </c>
      <c r="E743" s="1">
        <v>27.62</v>
      </c>
      <c r="F743" s="1" t="s">
        <v>39</v>
      </c>
      <c r="G743" s="1">
        <v>2</v>
      </c>
      <c r="H743" s="1">
        <v>0</v>
      </c>
      <c r="I743" s="1">
        <v>11</v>
      </c>
      <c r="J743" s="1">
        <v>0.1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 t="s">
        <v>35</v>
      </c>
      <c r="U743" s="1">
        <v>2</v>
      </c>
    </row>
    <row r="744" spans="1:21" x14ac:dyDescent="0.3">
      <c r="A744" t="s">
        <v>874</v>
      </c>
      <c r="B744" t="s">
        <v>31</v>
      </c>
      <c r="C744" t="s">
        <v>181</v>
      </c>
      <c r="D744" t="s">
        <v>182</v>
      </c>
      <c r="E744" s="1">
        <v>25.03</v>
      </c>
      <c r="F744" s="1" t="s">
        <v>25</v>
      </c>
      <c r="G744" s="1">
        <v>1</v>
      </c>
      <c r="H744" s="1">
        <v>0</v>
      </c>
      <c r="I744" s="1">
        <v>8</v>
      </c>
      <c r="J744" s="1">
        <v>0.1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 t="s">
        <v>35</v>
      </c>
      <c r="U744" s="1">
        <v>1</v>
      </c>
    </row>
    <row r="745" spans="1:21" x14ac:dyDescent="0.3">
      <c r="A745" t="s">
        <v>875</v>
      </c>
      <c r="B745" t="s">
        <v>37</v>
      </c>
      <c r="C745" t="s">
        <v>156</v>
      </c>
      <c r="D745" t="s">
        <v>157</v>
      </c>
      <c r="E745" s="1">
        <v>29.42</v>
      </c>
      <c r="F745" s="1" t="s">
        <v>39</v>
      </c>
      <c r="G745" s="1">
        <v>2</v>
      </c>
      <c r="H745" s="1">
        <v>2</v>
      </c>
      <c r="I745" s="1">
        <v>166</v>
      </c>
      <c r="J745" s="1">
        <v>1.8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 t="s">
        <v>26</v>
      </c>
      <c r="U745" s="1">
        <v>0</v>
      </c>
    </row>
    <row r="746" spans="1:21" x14ac:dyDescent="0.3">
      <c r="A746" t="s">
        <v>876</v>
      </c>
      <c r="B746" t="s">
        <v>22</v>
      </c>
      <c r="C746" t="s">
        <v>239</v>
      </c>
      <c r="D746" t="s">
        <v>240</v>
      </c>
      <c r="E746" s="1">
        <v>23.86</v>
      </c>
      <c r="F746" s="1" t="s">
        <v>25</v>
      </c>
      <c r="G746" s="1">
        <v>3</v>
      </c>
      <c r="H746" s="1">
        <v>0</v>
      </c>
      <c r="I746" s="1">
        <v>61</v>
      </c>
      <c r="J746" s="1">
        <v>0.7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 t="s">
        <v>35</v>
      </c>
      <c r="U746" s="1">
        <v>3</v>
      </c>
    </row>
    <row r="747" spans="1:21" x14ac:dyDescent="0.3">
      <c r="A747" t="s">
        <v>877</v>
      </c>
      <c r="B747" t="s">
        <v>61</v>
      </c>
      <c r="C747" t="s">
        <v>145</v>
      </c>
      <c r="D747" t="s">
        <v>146</v>
      </c>
      <c r="E747" s="1">
        <v>26.34</v>
      </c>
      <c r="F747" s="1" t="s">
        <v>25</v>
      </c>
      <c r="G747" s="1">
        <v>3</v>
      </c>
      <c r="H747" s="1">
        <v>3</v>
      </c>
      <c r="I747" s="1">
        <v>257</v>
      </c>
      <c r="J747" s="1">
        <v>2.9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 t="s">
        <v>26</v>
      </c>
      <c r="U747" s="1">
        <v>0</v>
      </c>
    </row>
    <row r="748" spans="1:21" x14ac:dyDescent="0.3">
      <c r="A748" t="s">
        <v>878</v>
      </c>
      <c r="B748" t="s">
        <v>83</v>
      </c>
      <c r="C748" t="s">
        <v>136</v>
      </c>
      <c r="D748" t="s">
        <v>137</v>
      </c>
      <c r="E748" s="1">
        <v>29.54</v>
      </c>
      <c r="F748" s="1" t="s">
        <v>39</v>
      </c>
      <c r="G748" s="1">
        <v>2</v>
      </c>
      <c r="H748" s="1">
        <v>2</v>
      </c>
      <c r="I748" s="1">
        <v>129</v>
      </c>
      <c r="J748" s="1">
        <v>1.4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 t="s">
        <v>26</v>
      </c>
      <c r="U748" s="1">
        <v>0</v>
      </c>
    </row>
    <row r="749" spans="1:21" x14ac:dyDescent="0.3">
      <c r="A749" t="s">
        <v>879</v>
      </c>
      <c r="B749" t="s">
        <v>22</v>
      </c>
      <c r="C749" t="s">
        <v>55</v>
      </c>
      <c r="D749" t="s">
        <v>56</v>
      </c>
      <c r="E749" s="1">
        <v>27.27</v>
      </c>
      <c r="F749" s="1" t="s">
        <v>39</v>
      </c>
      <c r="G749" s="1">
        <v>3</v>
      </c>
      <c r="H749" s="1">
        <v>3</v>
      </c>
      <c r="I749" s="1">
        <v>255</v>
      </c>
      <c r="J749" s="1">
        <v>2.8</v>
      </c>
      <c r="K749" s="1">
        <v>1</v>
      </c>
      <c r="L749" s="1">
        <v>0</v>
      </c>
      <c r="M749" s="1">
        <v>1</v>
      </c>
      <c r="N749" s="1">
        <v>1</v>
      </c>
      <c r="O749" s="1">
        <v>0</v>
      </c>
      <c r="P749" s="1">
        <v>0</v>
      </c>
      <c r="Q749" s="1">
        <v>0</v>
      </c>
      <c r="R749" s="1">
        <v>0</v>
      </c>
      <c r="S749" s="1">
        <v>0.35699999999999998</v>
      </c>
      <c r="T749" s="1" t="s">
        <v>26</v>
      </c>
      <c r="U749" s="1">
        <v>0</v>
      </c>
    </row>
    <row r="750" spans="1:21" x14ac:dyDescent="0.3">
      <c r="A750" t="s">
        <v>880</v>
      </c>
      <c r="B750" t="s">
        <v>22</v>
      </c>
      <c r="C750" t="s">
        <v>1147</v>
      </c>
      <c r="D750" t="s">
        <v>1149</v>
      </c>
      <c r="E750" s="1">
        <v>28.66</v>
      </c>
      <c r="F750" s="1" t="s">
        <v>39</v>
      </c>
      <c r="G750" s="1">
        <v>3</v>
      </c>
      <c r="H750" s="1">
        <v>1</v>
      </c>
      <c r="I750" s="1">
        <v>117</v>
      </c>
      <c r="J750" s="1">
        <v>1.3</v>
      </c>
      <c r="K750" s="1">
        <v>1</v>
      </c>
      <c r="L750" s="1">
        <v>0</v>
      </c>
      <c r="M750" s="1">
        <v>1</v>
      </c>
      <c r="N750" s="1">
        <v>1</v>
      </c>
      <c r="O750" s="1">
        <v>0</v>
      </c>
      <c r="P750" s="1">
        <v>0</v>
      </c>
      <c r="Q750" s="1">
        <v>0</v>
      </c>
      <c r="R750" s="1">
        <v>0</v>
      </c>
      <c r="S750" s="1">
        <v>0.76900000000000002</v>
      </c>
      <c r="T750" s="1" t="s">
        <v>40</v>
      </c>
      <c r="U750" s="1">
        <v>2</v>
      </c>
    </row>
    <row r="751" spans="1:21" x14ac:dyDescent="0.3">
      <c r="A751" t="s">
        <v>881</v>
      </c>
      <c r="B751" t="s">
        <v>22</v>
      </c>
      <c r="C751" t="s">
        <v>301</v>
      </c>
      <c r="D751" t="s">
        <v>302</v>
      </c>
      <c r="E751" s="1">
        <v>25.35</v>
      </c>
      <c r="F751" s="1" t="s">
        <v>25</v>
      </c>
      <c r="G751" s="1">
        <v>3</v>
      </c>
      <c r="H751" s="1">
        <v>1</v>
      </c>
      <c r="I751" s="1">
        <v>98</v>
      </c>
      <c r="J751" s="1">
        <v>1.1000000000000001</v>
      </c>
      <c r="K751" s="1">
        <v>0</v>
      </c>
      <c r="L751" s="1">
        <v>1</v>
      </c>
      <c r="M751" s="1">
        <v>1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 t="s">
        <v>40</v>
      </c>
      <c r="U751" s="1">
        <v>2</v>
      </c>
    </row>
    <row r="752" spans="1:21" x14ac:dyDescent="0.3">
      <c r="A752" t="s">
        <v>882</v>
      </c>
      <c r="B752" t="s">
        <v>37</v>
      </c>
      <c r="C752" t="s">
        <v>159</v>
      </c>
      <c r="D752" t="s">
        <v>160</v>
      </c>
      <c r="E752" s="1">
        <v>28.19</v>
      </c>
      <c r="F752" s="1" t="s">
        <v>39</v>
      </c>
      <c r="G752" s="1">
        <v>2</v>
      </c>
      <c r="H752" s="1">
        <v>1</v>
      </c>
      <c r="I752" s="1">
        <v>108</v>
      </c>
      <c r="J752" s="1">
        <v>1.2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 t="s">
        <v>40</v>
      </c>
      <c r="U752" s="1">
        <v>1</v>
      </c>
    </row>
    <row r="753" spans="1:21" x14ac:dyDescent="0.3">
      <c r="A753" t="s">
        <v>883</v>
      </c>
      <c r="B753" t="s">
        <v>22</v>
      </c>
      <c r="C753" t="s">
        <v>55</v>
      </c>
      <c r="D753" t="s">
        <v>56</v>
      </c>
      <c r="E753" s="1">
        <v>29.34</v>
      </c>
      <c r="F753" s="1" t="s">
        <v>39</v>
      </c>
      <c r="G753" s="1">
        <v>3</v>
      </c>
      <c r="H753" s="1">
        <v>3</v>
      </c>
      <c r="I753" s="1">
        <v>270</v>
      </c>
      <c r="J753" s="1">
        <v>3</v>
      </c>
      <c r="K753" s="1">
        <v>0</v>
      </c>
      <c r="L753" s="1">
        <v>1</v>
      </c>
      <c r="M753" s="1">
        <v>1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 t="s">
        <v>26</v>
      </c>
      <c r="U753" s="1">
        <v>0</v>
      </c>
    </row>
    <row r="754" spans="1:21" x14ac:dyDescent="0.3">
      <c r="A754" t="s">
        <v>884</v>
      </c>
      <c r="B754" t="s">
        <v>31</v>
      </c>
      <c r="C754" t="s">
        <v>136</v>
      </c>
      <c r="D754" t="s">
        <v>137</v>
      </c>
      <c r="E754" s="1">
        <v>19.91</v>
      </c>
      <c r="F754" s="1" t="s">
        <v>34</v>
      </c>
      <c r="G754" s="1">
        <v>3</v>
      </c>
      <c r="H754" s="1">
        <v>2</v>
      </c>
      <c r="I754" s="1">
        <v>222</v>
      </c>
      <c r="J754" s="1">
        <v>2.5</v>
      </c>
      <c r="K754" s="1">
        <v>0</v>
      </c>
      <c r="L754" s="1">
        <v>1</v>
      </c>
      <c r="M754" s="1">
        <v>1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 t="s">
        <v>40</v>
      </c>
      <c r="U754" s="1">
        <v>1</v>
      </c>
    </row>
    <row r="755" spans="1:21" x14ac:dyDescent="0.3">
      <c r="A755" t="s">
        <v>885</v>
      </c>
      <c r="B755" t="s">
        <v>31</v>
      </c>
      <c r="C755" t="s">
        <v>68</v>
      </c>
      <c r="D755" t="s">
        <v>69</v>
      </c>
      <c r="E755" s="1">
        <v>30.53</v>
      </c>
      <c r="F755" s="1" t="s">
        <v>39</v>
      </c>
      <c r="G755" s="1">
        <v>4</v>
      </c>
      <c r="H755" s="1">
        <v>2</v>
      </c>
      <c r="I755" s="1">
        <v>161</v>
      </c>
      <c r="J755" s="1">
        <v>1.8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 t="s">
        <v>40</v>
      </c>
      <c r="U755" s="1">
        <v>2</v>
      </c>
    </row>
    <row r="756" spans="1:21" x14ac:dyDescent="0.3">
      <c r="A756" t="s">
        <v>886</v>
      </c>
      <c r="B756" t="s">
        <v>37</v>
      </c>
      <c r="C756" t="s">
        <v>23</v>
      </c>
      <c r="D756" t="s">
        <v>24</v>
      </c>
      <c r="E756" s="1">
        <v>38.729999999999997</v>
      </c>
      <c r="F756" s="1" t="s">
        <v>74</v>
      </c>
      <c r="G756" s="1">
        <v>2</v>
      </c>
      <c r="H756" s="1">
        <v>2</v>
      </c>
      <c r="I756" s="1">
        <v>180</v>
      </c>
      <c r="J756" s="1">
        <v>2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 t="s">
        <v>26</v>
      </c>
      <c r="U756" s="1">
        <v>0</v>
      </c>
    </row>
    <row r="757" spans="1:21" x14ac:dyDescent="0.3">
      <c r="A757" t="s">
        <v>887</v>
      </c>
      <c r="B757" t="s">
        <v>22</v>
      </c>
      <c r="C757" t="s">
        <v>101</v>
      </c>
      <c r="D757" t="s">
        <v>102</v>
      </c>
      <c r="E757" s="1">
        <v>27.92</v>
      </c>
      <c r="F757" s="1" t="s">
        <v>39</v>
      </c>
      <c r="G757" s="1">
        <v>3</v>
      </c>
      <c r="H757" s="1">
        <v>3</v>
      </c>
      <c r="I757" s="1">
        <v>199</v>
      </c>
      <c r="J757" s="1">
        <v>2.2000000000000002</v>
      </c>
      <c r="K757" s="1">
        <v>0</v>
      </c>
      <c r="L757" s="1">
        <v>1</v>
      </c>
      <c r="M757" s="1">
        <v>1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 t="s">
        <v>26</v>
      </c>
      <c r="U757" s="1">
        <v>0</v>
      </c>
    </row>
    <row r="758" spans="1:21" x14ac:dyDescent="0.3">
      <c r="A758" t="s">
        <v>888</v>
      </c>
      <c r="B758" t="s">
        <v>37</v>
      </c>
      <c r="C758" t="s">
        <v>42</v>
      </c>
      <c r="D758" t="s">
        <v>43</v>
      </c>
      <c r="E758" s="1">
        <v>24.53</v>
      </c>
      <c r="F758" s="1" t="s">
        <v>25</v>
      </c>
      <c r="G758" s="1">
        <v>2</v>
      </c>
      <c r="H758" s="1">
        <v>2</v>
      </c>
      <c r="I758" s="1">
        <v>180</v>
      </c>
      <c r="J758" s="1">
        <v>2</v>
      </c>
      <c r="K758" s="1">
        <v>1</v>
      </c>
      <c r="L758" s="1">
        <v>0</v>
      </c>
      <c r="M758" s="1">
        <v>1</v>
      </c>
      <c r="N758" s="1">
        <v>1</v>
      </c>
      <c r="O758" s="1">
        <v>0</v>
      </c>
      <c r="P758" s="1">
        <v>0</v>
      </c>
      <c r="Q758" s="1">
        <v>0</v>
      </c>
      <c r="R758" s="1">
        <v>0</v>
      </c>
      <c r="S758" s="1">
        <v>0.5</v>
      </c>
      <c r="T758" s="1" t="s">
        <v>26</v>
      </c>
      <c r="U758" s="1">
        <v>0</v>
      </c>
    </row>
    <row r="759" spans="1:21" x14ac:dyDescent="0.3">
      <c r="A759" t="s">
        <v>889</v>
      </c>
      <c r="B759" t="s">
        <v>37</v>
      </c>
      <c r="C759" t="s">
        <v>145</v>
      </c>
      <c r="D759" t="s">
        <v>146</v>
      </c>
      <c r="E759" s="1">
        <v>26.1</v>
      </c>
      <c r="F759" s="1" t="s">
        <v>25</v>
      </c>
      <c r="G759" s="1">
        <v>3</v>
      </c>
      <c r="H759" s="1">
        <v>2</v>
      </c>
      <c r="I759" s="1">
        <v>191</v>
      </c>
      <c r="J759" s="1">
        <v>2.1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 t="s">
        <v>40</v>
      </c>
      <c r="U759" s="1">
        <v>1</v>
      </c>
    </row>
    <row r="760" spans="1:21" x14ac:dyDescent="0.3">
      <c r="A760" t="s">
        <v>890</v>
      </c>
      <c r="B760" t="s">
        <v>22</v>
      </c>
      <c r="C760" t="s">
        <v>23</v>
      </c>
      <c r="D760" t="s">
        <v>24</v>
      </c>
      <c r="E760" s="1">
        <v>23.63</v>
      </c>
      <c r="F760" s="1" t="s">
        <v>25</v>
      </c>
      <c r="G760" s="1">
        <v>3</v>
      </c>
      <c r="H760" s="1">
        <v>1</v>
      </c>
      <c r="I760" s="1">
        <v>85</v>
      </c>
      <c r="J760" s="1">
        <v>0.9</v>
      </c>
      <c r="K760" s="1">
        <v>1</v>
      </c>
      <c r="L760" s="1">
        <v>0</v>
      </c>
      <c r="M760" s="1">
        <v>1</v>
      </c>
      <c r="N760" s="1">
        <v>1</v>
      </c>
      <c r="O760" s="1">
        <v>0</v>
      </c>
      <c r="P760" s="1">
        <v>0</v>
      </c>
      <c r="Q760" s="1">
        <v>0</v>
      </c>
      <c r="R760" s="1">
        <v>0</v>
      </c>
      <c r="S760" s="1">
        <v>1.111</v>
      </c>
      <c r="T760" s="1" t="s">
        <v>40</v>
      </c>
      <c r="U760" s="1">
        <v>2</v>
      </c>
    </row>
    <row r="761" spans="1:21" x14ac:dyDescent="0.3">
      <c r="A761" t="s">
        <v>891</v>
      </c>
      <c r="B761" t="s">
        <v>155</v>
      </c>
      <c r="C761" t="s">
        <v>133</v>
      </c>
      <c r="D761" t="s">
        <v>134</v>
      </c>
      <c r="E761" s="1">
        <v>36.28</v>
      </c>
      <c r="F761" s="1" t="s">
        <v>74</v>
      </c>
      <c r="G761" s="1">
        <v>3</v>
      </c>
      <c r="H761" s="1">
        <v>3</v>
      </c>
      <c r="I761" s="1">
        <v>270</v>
      </c>
      <c r="J761" s="1">
        <v>3</v>
      </c>
      <c r="K761" s="1">
        <v>2</v>
      </c>
      <c r="L761" s="1">
        <v>1</v>
      </c>
      <c r="M761" s="1">
        <v>3</v>
      </c>
      <c r="N761" s="1">
        <v>2</v>
      </c>
      <c r="O761" s="1">
        <v>0</v>
      </c>
      <c r="P761" s="1">
        <v>0</v>
      </c>
      <c r="Q761" s="1">
        <v>0</v>
      </c>
      <c r="R761" s="1">
        <v>0</v>
      </c>
      <c r="S761" s="1">
        <v>0.66700000000000004</v>
      </c>
      <c r="T761" s="1" t="s">
        <v>26</v>
      </c>
      <c r="U761" s="1">
        <v>0</v>
      </c>
    </row>
    <row r="762" spans="1:21" x14ac:dyDescent="0.3">
      <c r="A762" t="s">
        <v>892</v>
      </c>
      <c r="B762" t="s">
        <v>37</v>
      </c>
      <c r="C762" t="s">
        <v>151</v>
      </c>
      <c r="D762" t="s">
        <v>152</v>
      </c>
      <c r="E762" s="1">
        <v>23.04</v>
      </c>
      <c r="F762" s="1" t="s">
        <v>25</v>
      </c>
      <c r="G762" s="1">
        <v>4</v>
      </c>
      <c r="H762" s="1">
        <v>4</v>
      </c>
      <c r="I762" s="1">
        <v>344</v>
      </c>
      <c r="J762" s="1">
        <v>3.8</v>
      </c>
      <c r="K762" s="1">
        <v>0</v>
      </c>
      <c r="L762" s="1">
        <v>1</v>
      </c>
      <c r="M762" s="1">
        <v>1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 t="s">
        <v>26</v>
      </c>
      <c r="U762" s="1">
        <v>0</v>
      </c>
    </row>
    <row r="763" spans="1:21" x14ac:dyDescent="0.3">
      <c r="A763" t="s">
        <v>893</v>
      </c>
      <c r="B763" t="s">
        <v>22</v>
      </c>
      <c r="C763" t="s">
        <v>1147</v>
      </c>
      <c r="D763" t="s">
        <v>1149</v>
      </c>
      <c r="E763" s="1">
        <v>27.46</v>
      </c>
      <c r="F763" s="1" t="s">
        <v>39</v>
      </c>
      <c r="G763" s="1">
        <v>2</v>
      </c>
      <c r="H763" s="1">
        <v>2</v>
      </c>
      <c r="I763" s="1">
        <v>161</v>
      </c>
      <c r="J763" s="1">
        <v>1.8</v>
      </c>
      <c r="K763" s="1">
        <v>0</v>
      </c>
      <c r="L763" s="1">
        <v>1</v>
      </c>
      <c r="M763" s="1">
        <v>1</v>
      </c>
      <c r="N763" s="1">
        <v>0</v>
      </c>
      <c r="O763" s="1">
        <v>0</v>
      </c>
      <c r="P763" s="1">
        <v>0</v>
      </c>
      <c r="Q763" s="1">
        <v>1</v>
      </c>
      <c r="R763" s="1">
        <v>0</v>
      </c>
      <c r="S763" s="1">
        <v>0</v>
      </c>
      <c r="T763" s="1" t="s">
        <v>26</v>
      </c>
      <c r="U763" s="1">
        <v>0</v>
      </c>
    </row>
    <row r="764" spans="1:21" x14ac:dyDescent="0.3">
      <c r="A764" t="s">
        <v>894</v>
      </c>
      <c r="B764" t="s">
        <v>37</v>
      </c>
      <c r="C764" t="s">
        <v>23</v>
      </c>
      <c r="D764" t="s">
        <v>24</v>
      </c>
      <c r="E764" s="1">
        <v>26.26</v>
      </c>
      <c r="F764" s="1" t="s">
        <v>25</v>
      </c>
      <c r="G764" s="1">
        <v>2</v>
      </c>
      <c r="H764" s="1">
        <v>2</v>
      </c>
      <c r="I764" s="1">
        <v>180</v>
      </c>
      <c r="J764" s="1">
        <v>2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1</v>
      </c>
      <c r="R764" s="1">
        <v>0</v>
      </c>
      <c r="S764" s="1">
        <v>0</v>
      </c>
      <c r="T764" s="1" t="s">
        <v>26</v>
      </c>
      <c r="U764" s="1">
        <v>0</v>
      </c>
    </row>
    <row r="765" spans="1:21" x14ac:dyDescent="0.3">
      <c r="A765" t="s">
        <v>895</v>
      </c>
      <c r="B765" t="s">
        <v>22</v>
      </c>
      <c r="C765" t="s">
        <v>84</v>
      </c>
      <c r="D765" t="s">
        <v>85</v>
      </c>
      <c r="E765" s="1">
        <v>24.37</v>
      </c>
      <c r="F765" s="1" t="s">
        <v>25</v>
      </c>
      <c r="G765" s="1">
        <v>2</v>
      </c>
      <c r="H765" s="1">
        <v>1</v>
      </c>
      <c r="I765" s="1">
        <v>95</v>
      </c>
      <c r="J765" s="1">
        <v>1.1000000000000001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 t="s">
        <v>40</v>
      </c>
      <c r="U765" s="1">
        <v>1</v>
      </c>
    </row>
    <row r="766" spans="1:21" x14ac:dyDescent="0.3">
      <c r="A766" t="s">
        <v>896</v>
      </c>
      <c r="B766" t="s">
        <v>22</v>
      </c>
      <c r="C766" t="s">
        <v>189</v>
      </c>
      <c r="D766" t="s">
        <v>190</v>
      </c>
      <c r="E766" s="1">
        <v>26.08</v>
      </c>
      <c r="F766" s="1" t="s">
        <v>25</v>
      </c>
      <c r="G766" s="1">
        <v>3</v>
      </c>
      <c r="H766" s="1">
        <v>0</v>
      </c>
      <c r="I766" s="1">
        <v>56</v>
      </c>
      <c r="J766" s="1">
        <v>0.6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 t="s">
        <v>35</v>
      </c>
      <c r="U766" s="1">
        <v>3</v>
      </c>
    </row>
    <row r="767" spans="1:21" x14ac:dyDescent="0.3">
      <c r="A767" t="s">
        <v>897</v>
      </c>
      <c r="B767" t="s">
        <v>37</v>
      </c>
      <c r="C767" t="s">
        <v>52</v>
      </c>
      <c r="D767" t="s">
        <v>53</v>
      </c>
      <c r="E767" s="1">
        <v>35.9</v>
      </c>
      <c r="F767" s="1" t="s">
        <v>74</v>
      </c>
      <c r="G767" s="1">
        <v>3</v>
      </c>
      <c r="H767" s="1">
        <v>3</v>
      </c>
      <c r="I767" s="1">
        <v>270</v>
      </c>
      <c r="J767" s="1">
        <v>3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 t="s">
        <v>26</v>
      </c>
      <c r="U767" s="1">
        <v>0</v>
      </c>
    </row>
    <row r="768" spans="1:21" x14ac:dyDescent="0.3">
      <c r="A768" t="s">
        <v>898</v>
      </c>
      <c r="B768" t="s">
        <v>37</v>
      </c>
      <c r="C768" t="s">
        <v>1146</v>
      </c>
      <c r="D768" t="s">
        <v>1148</v>
      </c>
      <c r="E768" s="1">
        <v>32.299999999999997</v>
      </c>
      <c r="F768" s="1" t="s">
        <v>44</v>
      </c>
      <c r="G768" s="1">
        <v>3</v>
      </c>
      <c r="H768" s="1">
        <v>3</v>
      </c>
      <c r="I768" s="1">
        <v>225</v>
      </c>
      <c r="J768" s="1">
        <v>2.5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1</v>
      </c>
      <c r="R768" s="1">
        <v>0</v>
      </c>
      <c r="S768" s="1">
        <v>0</v>
      </c>
      <c r="T768" s="1" t="s">
        <v>26</v>
      </c>
      <c r="U768" s="1">
        <v>0</v>
      </c>
    </row>
    <row r="769" spans="1:21" x14ac:dyDescent="0.3">
      <c r="A769" t="s">
        <v>899</v>
      </c>
      <c r="B769" t="s">
        <v>148</v>
      </c>
      <c r="C769" t="s">
        <v>23</v>
      </c>
      <c r="D769" t="s">
        <v>24</v>
      </c>
      <c r="E769" s="1">
        <v>28.89</v>
      </c>
      <c r="F769" s="1" t="s">
        <v>39</v>
      </c>
      <c r="G769" s="1">
        <v>2</v>
      </c>
      <c r="H769" s="1">
        <v>2</v>
      </c>
      <c r="I769" s="1">
        <v>169</v>
      </c>
      <c r="J769" s="1">
        <v>1.9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1</v>
      </c>
      <c r="R769" s="1">
        <v>0</v>
      </c>
      <c r="S769" s="1">
        <v>0</v>
      </c>
      <c r="T769" s="1" t="s">
        <v>26</v>
      </c>
      <c r="U769" s="1">
        <v>0</v>
      </c>
    </row>
    <row r="770" spans="1:21" x14ac:dyDescent="0.3">
      <c r="A770" t="s">
        <v>900</v>
      </c>
      <c r="B770" t="s">
        <v>37</v>
      </c>
      <c r="C770" t="s">
        <v>23</v>
      </c>
      <c r="D770" t="s">
        <v>24</v>
      </c>
      <c r="E770" s="1">
        <v>29.3</v>
      </c>
      <c r="F770" s="1" t="s">
        <v>39</v>
      </c>
      <c r="G770" s="1">
        <v>1</v>
      </c>
      <c r="H770" s="1">
        <v>1</v>
      </c>
      <c r="I770" s="1">
        <v>90</v>
      </c>
      <c r="J770" s="1">
        <v>1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 t="s">
        <v>26</v>
      </c>
      <c r="U770" s="1">
        <v>0</v>
      </c>
    </row>
    <row r="771" spans="1:21" x14ac:dyDescent="0.3">
      <c r="A771" t="s">
        <v>901</v>
      </c>
      <c r="B771" t="s">
        <v>61</v>
      </c>
      <c r="C771" t="s">
        <v>89</v>
      </c>
      <c r="D771" t="s">
        <v>90</v>
      </c>
      <c r="E771" s="1">
        <v>33.270000000000003</v>
      </c>
      <c r="F771" s="1" t="s">
        <v>44</v>
      </c>
      <c r="G771" s="1">
        <v>1</v>
      </c>
      <c r="H771" s="1">
        <v>0</v>
      </c>
      <c r="I771" s="1">
        <v>45</v>
      </c>
      <c r="J771" s="1">
        <v>0.5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 t="s">
        <v>35</v>
      </c>
      <c r="U771" s="1">
        <v>1</v>
      </c>
    </row>
    <row r="772" spans="1:21" x14ac:dyDescent="0.3">
      <c r="A772" t="s">
        <v>902</v>
      </c>
      <c r="B772" t="s">
        <v>22</v>
      </c>
      <c r="C772" t="s">
        <v>209</v>
      </c>
      <c r="D772" t="s">
        <v>210</v>
      </c>
      <c r="E772" s="1">
        <v>30.02</v>
      </c>
      <c r="F772" s="1" t="s">
        <v>39</v>
      </c>
      <c r="G772" s="1">
        <v>3</v>
      </c>
      <c r="H772" s="1">
        <v>3</v>
      </c>
      <c r="I772" s="1">
        <v>266</v>
      </c>
      <c r="J772" s="1">
        <v>3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 t="s">
        <v>26</v>
      </c>
      <c r="U772" s="1">
        <v>0</v>
      </c>
    </row>
    <row r="773" spans="1:21" x14ac:dyDescent="0.3">
      <c r="A773" t="s">
        <v>903</v>
      </c>
      <c r="B773" t="s">
        <v>22</v>
      </c>
      <c r="C773" t="s">
        <v>184</v>
      </c>
      <c r="D773" t="s">
        <v>185</v>
      </c>
      <c r="E773" s="1">
        <v>35.590000000000003</v>
      </c>
      <c r="F773" s="1" t="s">
        <v>74</v>
      </c>
      <c r="G773" s="1">
        <v>2</v>
      </c>
      <c r="H773" s="1">
        <v>1</v>
      </c>
      <c r="I773" s="1">
        <v>76</v>
      </c>
      <c r="J773" s="1">
        <v>0.8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 t="s">
        <v>40</v>
      </c>
      <c r="U773" s="1">
        <v>1</v>
      </c>
    </row>
    <row r="774" spans="1:21" x14ac:dyDescent="0.3">
      <c r="A774" t="s">
        <v>904</v>
      </c>
      <c r="B774" t="s">
        <v>64</v>
      </c>
      <c r="C774" t="s">
        <v>89</v>
      </c>
      <c r="D774" t="s">
        <v>90</v>
      </c>
      <c r="E774" s="1">
        <v>26.11</v>
      </c>
      <c r="F774" s="1" t="s">
        <v>25</v>
      </c>
      <c r="G774" s="1">
        <v>3</v>
      </c>
      <c r="H774" s="1">
        <v>0</v>
      </c>
      <c r="I774" s="1">
        <v>41</v>
      </c>
      <c r="J774" s="1">
        <v>0.5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 t="s">
        <v>35</v>
      </c>
      <c r="U774" s="1">
        <v>3</v>
      </c>
    </row>
    <row r="775" spans="1:21" x14ac:dyDescent="0.3">
      <c r="A775" t="s">
        <v>905</v>
      </c>
      <c r="B775" t="s">
        <v>31</v>
      </c>
      <c r="C775" t="s">
        <v>189</v>
      </c>
      <c r="D775" t="s">
        <v>190</v>
      </c>
      <c r="E775" s="1">
        <v>34.97</v>
      </c>
      <c r="F775" s="1" t="s">
        <v>44</v>
      </c>
      <c r="G775" s="1">
        <v>3</v>
      </c>
      <c r="H775" s="1">
        <v>3</v>
      </c>
      <c r="I775" s="1">
        <v>203</v>
      </c>
      <c r="J775" s="1">
        <v>2.2999999999999998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 t="s">
        <v>26</v>
      </c>
      <c r="U775" s="1">
        <v>0</v>
      </c>
    </row>
    <row r="776" spans="1:21" x14ac:dyDescent="0.3">
      <c r="A776" t="s">
        <v>906</v>
      </c>
      <c r="B776" t="s">
        <v>31</v>
      </c>
      <c r="C776" t="s">
        <v>118</v>
      </c>
      <c r="D776" t="s">
        <v>119</v>
      </c>
      <c r="E776" s="1">
        <v>26.32</v>
      </c>
      <c r="F776" s="1" t="s">
        <v>25</v>
      </c>
      <c r="G776" s="1">
        <v>3</v>
      </c>
      <c r="H776" s="1">
        <v>0</v>
      </c>
      <c r="I776" s="1">
        <v>86</v>
      </c>
      <c r="J776" s="1">
        <v>1</v>
      </c>
      <c r="K776" s="1">
        <v>0</v>
      </c>
      <c r="L776" s="1">
        <v>1</v>
      </c>
      <c r="M776" s="1">
        <v>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 t="s">
        <v>35</v>
      </c>
      <c r="U776" s="1">
        <v>3</v>
      </c>
    </row>
    <row r="777" spans="1:21" x14ac:dyDescent="0.3">
      <c r="A777" t="s">
        <v>907</v>
      </c>
      <c r="B777" t="s">
        <v>37</v>
      </c>
      <c r="C777" t="s">
        <v>84</v>
      </c>
      <c r="D777" t="s">
        <v>85</v>
      </c>
      <c r="E777" s="1">
        <v>33.85</v>
      </c>
      <c r="F777" s="1" t="s">
        <v>44</v>
      </c>
      <c r="G777" s="1">
        <v>3</v>
      </c>
      <c r="H777" s="1">
        <v>3</v>
      </c>
      <c r="I777" s="1">
        <v>268</v>
      </c>
      <c r="J777" s="1">
        <v>3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 t="s">
        <v>26</v>
      </c>
      <c r="U777" s="1">
        <v>0</v>
      </c>
    </row>
    <row r="778" spans="1:21" x14ac:dyDescent="0.3">
      <c r="A778" t="s">
        <v>908</v>
      </c>
      <c r="B778" t="s">
        <v>31</v>
      </c>
      <c r="C778" t="s">
        <v>156</v>
      </c>
      <c r="D778" t="s">
        <v>157</v>
      </c>
      <c r="E778" s="1">
        <v>27.31</v>
      </c>
      <c r="F778" s="1" t="s">
        <v>39</v>
      </c>
      <c r="G778" s="1">
        <v>2</v>
      </c>
      <c r="H778" s="1">
        <v>1</v>
      </c>
      <c r="I778" s="1">
        <v>46</v>
      </c>
      <c r="J778" s="1">
        <v>0.5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 t="s">
        <v>40</v>
      </c>
      <c r="U778" s="1">
        <v>1</v>
      </c>
    </row>
    <row r="779" spans="1:21" x14ac:dyDescent="0.3">
      <c r="A779" t="s">
        <v>909</v>
      </c>
      <c r="B779" t="s">
        <v>22</v>
      </c>
      <c r="C779" t="s">
        <v>174</v>
      </c>
      <c r="D779" t="s">
        <v>175</v>
      </c>
      <c r="E779" s="1">
        <v>26.86</v>
      </c>
      <c r="F779" s="1" t="s">
        <v>25</v>
      </c>
      <c r="G779" s="1">
        <v>1</v>
      </c>
      <c r="H779" s="1">
        <v>0</v>
      </c>
      <c r="I779" s="1">
        <v>7</v>
      </c>
      <c r="J779" s="1">
        <v>0.1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 t="s">
        <v>35</v>
      </c>
      <c r="U779" s="1">
        <v>1</v>
      </c>
    </row>
    <row r="780" spans="1:21" x14ac:dyDescent="0.3">
      <c r="A780" t="s">
        <v>910</v>
      </c>
      <c r="B780" t="s">
        <v>22</v>
      </c>
      <c r="C780" t="s">
        <v>1147</v>
      </c>
      <c r="D780" t="s">
        <v>1149</v>
      </c>
      <c r="E780" s="1">
        <v>23.93</v>
      </c>
      <c r="F780" s="1" t="s">
        <v>25</v>
      </c>
      <c r="G780" s="1">
        <v>3</v>
      </c>
      <c r="H780" s="1">
        <v>1</v>
      </c>
      <c r="I780" s="1">
        <v>126</v>
      </c>
      <c r="J780" s="1">
        <v>1.4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 t="s">
        <v>40</v>
      </c>
      <c r="U780" s="1">
        <v>2</v>
      </c>
    </row>
    <row r="781" spans="1:21" x14ac:dyDescent="0.3">
      <c r="A781" t="s">
        <v>911</v>
      </c>
      <c r="B781" t="s">
        <v>37</v>
      </c>
      <c r="C781" t="s">
        <v>139</v>
      </c>
      <c r="D781" t="s">
        <v>140</v>
      </c>
      <c r="E781" s="1">
        <v>28.18</v>
      </c>
      <c r="F781" s="1" t="s">
        <v>39</v>
      </c>
      <c r="G781" s="1">
        <v>2</v>
      </c>
      <c r="H781" s="1">
        <v>2</v>
      </c>
      <c r="I781" s="1">
        <v>135</v>
      </c>
      <c r="J781" s="1">
        <v>1.5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 t="s">
        <v>26</v>
      </c>
      <c r="U781" s="1">
        <v>0</v>
      </c>
    </row>
    <row r="782" spans="1:21" x14ac:dyDescent="0.3">
      <c r="A782" t="s">
        <v>912</v>
      </c>
      <c r="B782" t="s">
        <v>22</v>
      </c>
      <c r="C782" t="s">
        <v>145</v>
      </c>
      <c r="D782" t="s">
        <v>146</v>
      </c>
      <c r="E782" s="1">
        <v>31.07</v>
      </c>
      <c r="F782" s="1" t="s">
        <v>44</v>
      </c>
      <c r="G782" s="1">
        <v>2</v>
      </c>
      <c r="H782" s="1">
        <v>2</v>
      </c>
      <c r="I782" s="1">
        <v>132</v>
      </c>
      <c r="J782" s="1">
        <v>1.5</v>
      </c>
      <c r="K782" s="1">
        <v>1</v>
      </c>
      <c r="L782" s="1">
        <v>1</v>
      </c>
      <c r="M782" s="1">
        <v>2</v>
      </c>
      <c r="N782" s="1">
        <v>1</v>
      </c>
      <c r="O782" s="1">
        <v>0</v>
      </c>
      <c r="P782" s="1">
        <v>0</v>
      </c>
      <c r="Q782" s="1">
        <v>0</v>
      </c>
      <c r="R782" s="1">
        <v>0</v>
      </c>
      <c r="S782" s="1">
        <v>0.66700000000000004</v>
      </c>
      <c r="T782" s="1" t="s">
        <v>26</v>
      </c>
      <c r="U782" s="1">
        <v>0</v>
      </c>
    </row>
    <row r="783" spans="1:21" x14ac:dyDescent="0.3">
      <c r="A783" t="s">
        <v>913</v>
      </c>
      <c r="B783" t="s">
        <v>31</v>
      </c>
      <c r="C783" t="s">
        <v>181</v>
      </c>
      <c r="D783" t="s">
        <v>182</v>
      </c>
      <c r="E783" s="1">
        <v>41.4</v>
      </c>
      <c r="F783" s="1" t="s">
        <v>74</v>
      </c>
      <c r="G783" s="1">
        <v>3</v>
      </c>
      <c r="H783" s="1">
        <v>3</v>
      </c>
      <c r="I783" s="1">
        <v>270</v>
      </c>
      <c r="J783" s="1">
        <v>3</v>
      </c>
      <c r="K783" s="1">
        <v>2</v>
      </c>
      <c r="L783" s="1">
        <v>0</v>
      </c>
      <c r="M783" s="1">
        <v>2</v>
      </c>
      <c r="N783" s="1">
        <v>2</v>
      </c>
      <c r="O783" s="1">
        <v>0</v>
      </c>
      <c r="P783" s="1">
        <v>0</v>
      </c>
      <c r="Q783" s="1">
        <v>0</v>
      </c>
      <c r="R783" s="1">
        <v>0</v>
      </c>
      <c r="S783" s="1">
        <v>0.66700000000000004</v>
      </c>
      <c r="T783" s="1" t="s">
        <v>26</v>
      </c>
      <c r="U783" s="1">
        <v>0</v>
      </c>
    </row>
    <row r="784" spans="1:21" x14ac:dyDescent="0.3">
      <c r="A784" t="s">
        <v>914</v>
      </c>
      <c r="B784" t="s">
        <v>61</v>
      </c>
      <c r="C784" t="s">
        <v>174</v>
      </c>
      <c r="D784" t="s">
        <v>175</v>
      </c>
      <c r="E784" s="1">
        <v>37.39</v>
      </c>
      <c r="F784" s="1" t="s">
        <v>74</v>
      </c>
      <c r="G784" s="1">
        <v>3</v>
      </c>
      <c r="H784" s="1">
        <v>3</v>
      </c>
      <c r="I784" s="1">
        <v>270</v>
      </c>
      <c r="J784" s="1">
        <v>3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 t="s">
        <v>26</v>
      </c>
      <c r="U784" s="1">
        <v>0</v>
      </c>
    </row>
    <row r="785" spans="1:21" x14ac:dyDescent="0.3">
      <c r="A785" t="s">
        <v>915</v>
      </c>
      <c r="B785" t="s">
        <v>155</v>
      </c>
      <c r="C785" t="s">
        <v>101</v>
      </c>
      <c r="D785" t="s">
        <v>102</v>
      </c>
      <c r="E785" s="1">
        <v>35.25</v>
      </c>
      <c r="F785" s="1" t="s">
        <v>74</v>
      </c>
      <c r="G785" s="1">
        <v>1</v>
      </c>
      <c r="H785" s="1">
        <v>0</v>
      </c>
      <c r="I785" s="1">
        <v>11</v>
      </c>
      <c r="J785" s="1">
        <v>0.1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 t="s">
        <v>35</v>
      </c>
      <c r="U785" s="1">
        <v>1</v>
      </c>
    </row>
    <row r="786" spans="1:21" x14ac:dyDescent="0.3">
      <c r="A786" t="s">
        <v>916</v>
      </c>
      <c r="B786" t="s">
        <v>37</v>
      </c>
      <c r="C786" t="s">
        <v>55</v>
      </c>
      <c r="D786" t="s">
        <v>56</v>
      </c>
      <c r="E786" s="1">
        <v>29.41</v>
      </c>
      <c r="F786" s="1" t="s">
        <v>39</v>
      </c>
      <c r="G786" s="1">
        <v>1</v>
      </c>
      <c r="H786" s="1">
        <v>0</v>
      </c>
      <c r="I786" s="1">
        <v>10</v>
      </c>
      <c r="J786" s="1">
        <v>0.1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 t="s">
        <v>35</v>
      </c>
      <c r="U786" s="1">
        <v>1</v>
      </c>
    </row>
    <row r="787" spans="1:21" x14ac:dyDescent="0.3">
      <c r="A787" t="s">
        <v>917</v>
      </c>
      <c r="B787" t="s">
        <v>37</v>
      </c>
      <c r="C787" t="s">
        <v>159</v>
      </c>
      <c r="D787" t="s">
        <v>160</v>
      </c>
      <c r="E787" s="1">
        <v>33.33</v>
      </c>
      <c r="F787" s="1" t="s">
        <v>44</v>
      </c>
      <c r="G787" s="1">
        <v>4</v>
      </c>
      <c r="H787" s="1">
        <v>2</v>
      </c>
      <c r="I787" s="1">
        <v>262</v>
      </c>
      <c r="J787" s="1">
        <v>2.9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 t="s">
        <v>40</v>
      </c>
      <c r="U787" s="1">
        <v>2</v>
      </c>
    </row>
    <row r="788" spans="1:21" x14ac:dyDescent="0.3">
      <c r="A788" t="s">
        <v>918</v>
      </c>
      <c r="B788" t="s">
        <v>22</v>
      </c>
      <c r="C788" t="s">
        <v>209</v>
      </c>
      <c r="D788" t="s">
        <v>210</v>
      </c>
      <c r="E788" s="1">
        <v>30.24</v>
      </c>
      <c r="F788" s="1" t="s">
        <v>39</v>
      </c>
      <c r="G788" s="1">
        <v>3</v>
      </c>
      <c r="H788" s="1">
        <v>1</v>
      </c>
      <c r="I788" s="1">
        <v>122</v>
      </c>
      <c r="J788" s="1">
        <v>1.4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 t="s">
        <v>40</v>
      </c>
      <c r="U788" s="1">
        <v>2</v>
      </c>
    </row>
    <row r="789" spans="1:21" x14ac:dyDescent="0.3">
      <c r="A789" t="s">
        <v>919</v>
      </c>
      <c r="B789" t="s">
        <v>37</v>
      </c>
      <c r="C789" t="s">
        <v>28</v>
      </c>
      <c r="D789" t="s">
        <v>29</v>
      </c>
      <c r="E789" s="1">
        <v>28.62</v>
      </c>
      <c r="F789" s="1" t="s">
        <v>39</v>
      </c>
      <c r="G789" s="1">
        <v>2</v>
      </c>
      <c r="H789" s="1">
        <v>2</v>
      </c>
      <c r="I789" s="1">
        <v>102</v>
      </c>
      <c r="J789" s="1">
        <v>1.1000000000000001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 t="s">
        <v>26</v>
      </c>
      <c r="U789" s="1">
        <v>0</v>
      </c>
    </row>
    <row r="790" spans="1:21" x14ac:dyDescent="0.3">
      <c r="A790" t="s">
        <v>920</v>
      </c>
      <c r="B790" t="s">
        <v>83</v>
      </c>
      <c r="C790" t="s">
        <v>42</v>
      </c>
      <c r="D790" t="s">
        <v>43</v>
      </c>
      <c r="E790" s="1">
        <v>26.51</v>
      </c>
      <c r="F790" s="1" t="s">
        <v>25</v>
      </c>
      <c r="G790" s="1">
        <v>2</v>
      </c>
      <c r="H790" s="1">
        <v>2</v>
      </c>
      <c r="I790" s="1">
        <v>116</v>
      </c>
      <c r="J790" s="1">
        <v>1.3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 t="s">
        <v>26</v>
      </c>
      <c r="U790" s="1">
        <v>0</v>
      </c>
    </row>
    <row r="791" spans="1:21" x14ac:dyDescent="0.3">
      <c r="A791" t="s">
        <v>921</v>
      </c>
      <c r="B791" t="s">
        <v>37</v>
      </c>
      <c r="C791" t="s">
        <v>125</v>
      </c>
      <c r="D791" t="s">
        <v>126</v>
      </c>
      <c r="E791" s="1">
        <v>25.1</v>
      </c>
      <c r="F791" s="1" t="s">
        <v>25</v>
      </c>
      <c r="G791" s="1">
        <v>1</v>
      </c>
      <c r="H791" s="1">
        <v>0</v>
      </c>
      <c r="I791" s="1">
        <v>18</v>
      </c>
      <c r="J791" s="1">
        <v>0.2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 t="s">
        <v>35</v>
      </c>
      <c r="U791" s="1">
        <v>1</v>
      </c>
    </row>
    <row r="792" spans="1:21" x14ac:dyDescent="0.3">
      <c r="A792" t="s">
        <v>922</v>
      </c>
      <c r="B792" t="s">
        <v>22</v>
      </c>
      <c r="C792" t="s">
        <v>32</v>
      </c>
      <c r="D792" t="s">
        <v>33</v>
      </c>
      <c r="E792" s="1">
        <v>24.92</v>
      </c>
      <c r="F792" s="1" t="s">
        <v>25</v>
      </c>
      <c r="G792" s="1">
        <v>1</v>
      </c>
      <c r="H792" s="1">
        <v>1</v>
      </c>
      <c r="I792" s="1">
        <v>45</v>
      </c>
      <c r="J792" s="1">
        <v>0.5</v>
      </c>
      <c r="K792" s="1">
        <v>1</v>
      </c>
      <c r="L792" s="1">
        <v>0</v>
      </c>
      <c r="M792" s="1">
        <v>1</v>
      </c>
      <c r="N792" s="1">
        <v>1</v>
      </c>
      <c r="O792" s="1">
        <v>0</v>
      </c>
      <c r="P792" s="1">
        <v>0</v>
      </c>
      <c r="Q792" s="1">
        <v>1</v>
      </c>
      <c r="R792" s="1">
        <v>0</v>
      </c>
      <c r="S792" s="1">
        <v>2</v>
      </c>
      <c r="T792" s="1" t="s">
        <v>26</v>
      </c>
      <c r="U792" s="1">
        <v>0</v>
      </c>
    </row>
    <row r="793" spans="1:21" x14ac:dyDescent="0.3">
      <c r="A793" t="s">
        <v>923</v>
      </c>
      <c r="B793" t="s">
        <v>22</v>
      </c>
      <c r="C793" t="s">
        <v>112</v>
      </c>
      <c r="D793" t="s">
        <v>113</v>
      </c>
      <c r="E793" s="1">
        <v>32.29</v>
      </c>
      <c r="F793" s="1" t="s">
        <v>44</v>
      </c>
      <c r="G793" s="1">
        <v>3</v>
      </c>
      <c r="H793" s="1">
        <v>3</v>
      </c>
      <c r="I793" s="1">
        <v>270</v>
      </c>
      <c r="J793" s="1">
        <v>3</v>
      </c>
      <c r="K793" s="1">
        <v>1</v>
      </c>
      <c r="L793" s="1">
        <v>0</v>
      </c>
      <c r="M793" s="1">
        <v>1</v>
      </c>
      <c r="N793" s="1">
        <v>1</v>
      </c>
      <c r="O793" s="1">
        <v>0</v>
      </c>
      <c r="P793" s="1">
        <v>0</v>
      </c>
      <c r="Q793" s="1">
        <v>1</v>
      </c>
      <c r="R793" s="1">
        <v>0</v>
      </c>
      <c r="S793" s="1">
        <v>0.33300000000000002</v>
      </c>
      <c r="T793" s="1" t="s">
        <v>26</v>
      </c>
      <c r="U793" s="1">
        <v>0</v>
      </c>
    </row>
    <row r="794" spans="1:21" x14ac:dyDescent="0.3">
      <c r="A794" t="s">
        <v>924</v>
      </c>
      <c r="B794" t="s">
        <v>22</v>
      </c>
      <c r="C794" t="s">
        <v>213</v>
      </c>
      <c r="D794" t="s">
        <v>214</v>
      </c>
      <c r="E794" s="1">
        <v>21.53</v>
      </c>
      <c r="F794" s="1" t="s">
        <v>34</v>
      </c>
      <c r="G794" s="1">
        <v>3</v>
      </c>
      <c r="H794" s="1">
        <v>1</v>
      </c>
      <c r="I794" s="1">
        <v>169</v>
      </c>
      <c r="J794" s="1">
        <v>1.9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R794" s="1">
        <v>0</v>
      </c>
      <c r="S794" s="1">
        <v>0</v>
      </c>
      <c r="T794" s="1" t="s">
        <v>40</v>
      </c>
      <c r="U794" s="1">
        <v>2</v>
      </c>
    </row>
    <row r="795" spans="1:21" x14ac:dyDescent="0.3">
      <c r="A795" t="s">
        <v>925</v>
      </c>
      <c r="B795" t="s">
        <v>22</v>
      </c>
      <c r="C795" t="s">
        <v>309</v>
      </c>
      <c r="D795" t="s">
        <v>310</v>
      </c>
      <c r="E795" s="1">
        <v>27.08</v>
      </c>
      <c r="F795" s="1" t="s">
        <v>39</v>
      </c>
      <c r="G795" s="1">
        <v>3</v>
      </c>
      <c r="H795" s="1">
        <v>2</v>
      </c>
      <c r="I795" s="1">
        <v>183</v>
      </c>
      <c r="J795" s="1">
        <v>2</v>
      </c>
      <c r="K795" s="1">
        <v>1</v>
      </c>
      <c r="L795" s="1">
        <v>0</v>
      </c>
      <c r="M795" s="1">
        <v>1</v>
      </c>
      <c r="N795" s="1">
        <v>1</v>
      </c>
      <c r="O795" s="1">
        <v>0</v>
      </c>
      <c r="P795" s="1">
        <v>0</v>
      </c>
      <c r="Q795" s="1">
        <v>0</v>
      </c>
      <c r="R795" s="1">
        <v>0</v>
      </c>
      <c r="S795" s="1">
        <v>0.5</v>
      </c>
      <c r="T795" s="1" t="s">
        <v>40</v>
      </c>
      <c r="U795" s="1">
        <v>1</v>
      </c>
    </row>
    <row r="796" spans="1:21" x14ac:dyDescent="0.3">
      <c r="A796" t="s">
        <v>926</v>
      </c>
      <c r="B796" t="s">
        <v>22</v>
      </c>
      <c r="C796" t="s">
        <v>301</v>
      </c>
      <c r="D796" t="s">
        <v>302</v>
      </c>
      <c r="E796" s="1">
        <v>27.01</v>
      </c>
      <c r="F796" s="1" t="s">
        <v>39</v>
      </c>
      <c r="G796" s="1">
        <v>2</v>
      </c>
      <c r="H796" s="1">
        <v>1</v>
      </c>
      <c r="I796" s="1">
        <v>76</v>
      </c>
      <c r="J796" s="1">
        <v>0.8</v>
      </c>
      <c r="K796" s="1">
        <v>1</v>
      </c>
      <c r="L796" s="1">
        <v>0</v>
      </c>
      <c r="M796" s="1">
        <v>1</v>
      </c>
      <c r="N796" s="1">
        <v>1</v>
      </c>
      <c r="O796" s="1">
        <v>0</v>
      </c>
      <c r="P796" s="1">
        <v>0</v>
      </c>
      <c r="Q796" s="1">
        <v>0</v>
      </c>
      <c r="R796" s="1">
        <v>0</v>
      </c>
      <c r="S796" s="1">
        <v>1.25</v>
      </c>
      <c r="T796" s="1" t="s">
        <v>40</v>
      </c>
      <c r="U796" s="1">
        <v>1</v>
      </c>
    </row>
    <row r="797" spans="1:21" x14ac:dyDescent="0.3">
      <c r="A797" t="s">
        <v>927</v>
      </c>
      <c r="B797" t="s">
        <v>31</v>
      </c>
      <c r="C797" t="s">
        <v>151</v>
      </c>
      <c r="D797" t="s">
        <v>152</v>
      </c>
      <c r="E797" s="1">
        <v>25.42</v>
      </c>
      <c r="F797" s="1" t="s">
        <v>25</v>
      </c>
      <c r="G797" s="1">
        <v>4</v>
      </c>
      <c r="H797" s="1">
        <v>4</v>
      </c>
      <c r="I797" s="1">
        <v>360</v>
      </c>
      <c r="J797" s="1">
        <v>4</v>
      </c>
      <c r="K797" s="1">
        <v>3</v>
      </c>
      <c r="L797" s="1">
        <v>0</v>
      </c>
      <c r="M797" s="1">
        <v>3</v>
      </c>
      <c r="N797" s="1">
        <v>3</v>
      </c>
      <c r="O797" s="1">
        <v>0</v>
      </c>
      <c r="P797" s="1">
        <v>0</v>
      </c>
      <c r="Q797" s="1">
        <v>0</v>
      </c>
      <c r="R797" s="1">
        <v>0</v>
      </c>
      <c r="S797" s="1">
        <v>0.75</v>
      </c>
      <c r="T797" s="1" t="s">
        <v>26</v>
      </c>
      <c r="U797" s="1">
        <v>0</v>
      </c>
    </row>
    <row r="798" spans="1:21" x14ac:dyDescent="0.3">
      <c r="A798" t="s">
        <v>928</v>
      </c>
      <c r="B798" t="s">
        <v>22</v>
      </c>
      <c r="C798" t="s">
        <v>1147</v>
      </c>
      <c r="D798" t="s">
        <v>1149</v>
      </c>
      <c r="E798" s="1">
        <v>24.82</v>
      </c>
      <c r="F798" s="1" t="s">
        <v>25</v>
      </c>
      <c r="G798" s="1">
        <v>3</v>
      </c>
      <c r="H798" s="1">
        <v>1</v>
      </c>
      <c r="I798" s="1">
        <v>107</v>
      </c>
      <c r="J798" s="1">
        <v>1.2</v>
      </c>
      <c r="K798" s="1">
        <v>0</v>
      </c>
      <c r="L798" s="1">
        <v>2</v>
      </c>
      <c r="M798" s="1">
        <v>2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 t="s">
        <v>40</v>
      </c>
      <c r="U798" s="1">
        <v>2</v>
      </c>
    </row>
    <row r="799" spans="1:21" x14ac:dyDescent="0.3">
      <c r="A799" t="s">
        <v>929</v>
      </c>
      <c r="B799" t="s">
        <v>64</v>
      </c>
      <c r="C799" t="s">
        <v>32</v>
      </c>
      <c r="D799" t="s">
        <v>33</v>
      </c>
      <c r="E799" s="1">
        <v>34.04</v>
      </c>
      <c r="F799" s="1" t="s">
        <v>44</v>
      </c>
      <c r="G799" s="1">
        <v>3</v>
      </c>
      <c r="H799" s="1">
        <v>3</v>
      </c>
      <c r="I799" s="1">
        <v>215</v>
      </c>
      <c r="J799" s="1">
        <v>2.4</v>
      </c>
      <c r="K799" s="1">
        <v>1</v>
      </c>
      <c r="L799" s="1">
        <v>2</v>
      </c>
      <c r="M799" s="1">
        <v>3</v>
      </c>
      <c r="N799" s="1">
        <v>1</v>
      </c>
      <c r="O799" s="1">
        <v>0</v>
      </c>
      <c r="P799" s="1">
        <v>0</v>
      </c>
      <c r="Q799" s="1">
        <v>0</v>
      </c>
      <c r="R799" s="1">
        <v>0</v>
      </c>
      <c r="S799" s="1">
        <v>0.41699999999999998</v>
      </c>
      <c r="T799" s="1" t="s">
        <v>26</v>
      </c>
      <c r="U799" s="1">
        <v>0</v>
      </c>
    </row>
    <row r="800" spans="1:21" x14ac:dyDescent="0.3">
      <c r="A800" t="s">
        <v>930</v>
      </c>
      <c r="B800" t="s">
        <v>37</v>
      </c>
      <c r="C800" t="s">
        <v>151</v>
      </c>
      <c r="D800" t="s">
        <v>152</v>
      </c>
      <c r="E800" s="1">
        <v>24.45</v>
      </c>
      <c r="F800" s="1" t="s">
        <v>25</v>
      </c>
      <c r="G800" s="1">
        <v>3</v>
      </c>
      <c r="H800" s="1">
        <v>1</v>
      </c>
      <c r="I800" s="1">
        <v>139</v>
      </c>
      <c r="J800" s="1">
        <v>1.5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 t="s">
        <v>40</v>
      </c>
      <c r="U800" s="1">
        <v>2</v>
      </c>
    </row>
    <row r="801" spans="1:21" x14ac:dyDescent="0.3">
      <c r="A801" t="s">
        <v>931</v>
      </c>
      <c r="B801" t="s">
        <v>22</v>
      </c>
      <c r="C801" t="s">
        <v>92</v>
      </c>
      <c r="D801" t="s">
        <v>93</v>
      </c>
      <c r="E801" s="1">
        <v>22.39</v>
      </c>
      <c r="F801" s="1" t="s">
        <v>34</v>
      </c>
      <c r="G801" s="1">
        <v>3</v>
      </c>
      <c r="H801" s="1">
        <v>2</v>
      </c>
      <c r="I801" s="1">
        <v>182</v>
      </c>
      <c r="J801" s="1">
        <v>2</v>
      </c>
      <c r="K801" s="1">
        <v>1</v>
      </c>
      <c r="L801" s="1">
        <v>2</v>
      </c>
      <c r="M801" s="1">
        <v>3</v>
      </c>
      <c r="N801" s="1">
        <v>1</v>
      </c>
      <c r="O801" s="1">
        <v>0</v>
      </c>
      <c r="P801" s="1">
        <v>0</v>
      </c>
      <c r="Q801" s="1">
        <v>1</v>
      </c>
      <c r="R801" s="1">
        <v>0</v>
      </c>
      <c r="S801" s="1">
        <v>0.5</v>
      </c>
      <c r="T801" s="1" t="s">
        <v>40</v>
      </c>
      <c r="U801" s="1">
        <v>1</v>
      </c>
    </row>
    <row r="802" spans="1:21" x14ac:dyDescent="0.3">
      <c r="A802" t="s">
        <v>932</v>
      </c>
      <c r="B802" t="s">
        <v>37</v>
      </c>
      <c r="C802" t="s">
        <v>107</v>
      </c>
      <c r="D802" t="s">
        <v>108</v>
      </c>
      <c r="E802" s="1">
        <v>25.27</v>
      </c>
      <c r="F802" s="1" t="s">
        <v>25</v>
      </c>
      <c r="G802" s="1">
        <v>2</v>
      </c>
      <c r="H802" s="1">
        <v>2</v>
      </c>
      <c r="I802" s="1">
        <v>180</v>
      </c>
      <c r="J802" s="1">
        <v>2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 t="s">
        <v>26</v>
      </c>
      <c r="U802" s="1">
        <v>0</v>
      </c>
    </row>
    <row r="803" spans="1:21" x14ac:dyDescent="0.3">
      <c r="A803" t="s">
        <v>933</v>
      </c>
      <c r="B803" t="s">
        <v>37</v>
      </c>
      <c r="C803" t="s">
        <v>174</v>
      </c>
      <c r="D803" t="s">
        <v>175</v>
      </c>
      <c r="E803" s="1">
        <v>24.86</v>
      </c>
      <c r="F803" s="1" t="s">
        <v>25</v>
      </c>
      <c r="G803" s="1">
        <v>1</v>
      </c>
      <c r="H803" s="1">
        <v>0</v>
      </c>
      <c r="I803" s="1">
        <v>1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 t="s">
        <v>35</v>
      </c>
      <c r="U803" s="1">
        <v>1</v>
      </c>
    </row>
    <row r="804" spans="1:21" x14ac:dyDescent="0.3">
      <c r="A804" t="s">
        <v>934</v>
      </c>
      <c r="B804" t="s">
        <v>31</v>
      </c>
      <c r="C804" t="s">
        <v>121</v>
      </c>
      <c r="D804" t="s">
        <v>122</v>
      </c>
      <c r="E804" s="1">
        <v>30.32</v>
      </c>
      <c r="F804" s="1" t="s">
        <v>39</v>
      </c>
      <c r="G804" s="1">
        <v>2</v>
      </c>
      <c r="H804" s="1">
        <v>1</v>
      </c>
      <c r="I804" s="1">
        <v>83</v>
      </c>
      <c r="J804" s="1">
        <v>0.9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 t="s">
        <v>40</v>
      </c>
      <c r="U804" s="1">
        <v>1</v>
      </c>
    </row>
    <row r="805" spans="1:21" x14ac:dyDescent="0.3">
      <c r="A805" t="s">
        <v>935</v>
      </c>
      <c r="B805" t="s">
        <v>37</v>
      </c>
      <c r="C805" t="s">
        <v>189</v>
      </c>
      <c r="D805" t="s">
        <v>190</v>
      </c>
      <c r="E805" s="1">
        <v>30.05</v>
      </c>
      <c r="F805" s="1" t="s">
        <v>39</v>
      </c>
      <c r="G805" s="1">
        <v>3</v>
      </c>
      <c r="H805" s="1">
        <v>3</v>
      </c>
      <c r="I805" s="1">
        <v>270</v>
      </c>
      <c r="J805" s="1">
        <v>3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 t="s">
        <v>26</v>
      </c>
      <c r="U805" s="1">
        <v>0</v>
      </c>
    </row>
    <row r="806" spans="1:21" x14ac:dyDescent="0.3">
      <c r="A806" t="s">
        <v>936</v>
      </c>
      <c r="B806" t="s">
        <v>37</v>
      </c>
      <c r="C806" t="s">
        <v>145</v>
      </c>
      <c r="D806" t="s">
        <v>146</v>
      </c>
      <c r="E806" s="1">
        <v>28.55</v>
      </c>
      <c r="F806" s="1" t="s">
        <v>39</v>
      </c>
      <c r="G806" s="1">
        <v>2</v>
      </c>
      <c r="H806" s="1">
        <v>2</v>
      </c>
      <c r="I806" s="1">
        <v>180</v>
      </c>
      <c r="J806" s="1">
        <v>2</v>
      </c>
      <c r="K806" s="1">
        <v>0</v>
      </c>
      <c r="L806" s="1">
        <v>1</v>
      </c>
      <c r="M806" s="1">
        <v>1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 t="s">
        <v>26</v>
      </c>
      <c r="U806" s="1">
        <v>0</v>
      </c>
    </row>
    <row r="807" spans="1:21" x14ac:dyDescent="0.3">
      <c r="A807" t="s">
        <v>937</v>
      </c>
      <c r="B807" t="s">
        <v>155</v>
      </c>
      <c r="C807" t="s">
        <v>136</v>
      </c>
      <c r="D807" t="s">
        <v>137</v>
      </c>
      <c r="E807" s="1">
        <v>35.42</v>
      </c>
      <c r="F807" s="1" t="s">
        <v>74</v>
      </c>
      <c r="G807" s="1">
        <v>1</v>
      </c>
      <c r="H807" s="1">
        <v>0</v>
      </c>
      <c r="I807" s="1">
        <v>9</v>
      </c>
      <c r="J807" s="1">
        <v>0.1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 t="s">
        <v>35</v>
      </c>
      <c r="U807" s="1">
        <v>1</v>
      </c>
    </row>
    <row r="808" spans="1:21" x14ac:dyDescent="0.3">
      <c r="A808" t="s">
        <v>938</v>
      </c>
      <c r="B808" t="s">
        <v>22</v>
      </c>
      <c r="C808" t="s">
        <v>159</v>
      </c>
      <c r="D808" t="s">
        <v>160</v>
      </c>
      <c r="E808" s="1">
        <v>30.47</v>
      </c>
      <c r="F808" s="1" t="s">
        <v>39</v>
      </c>
      <c r="G808" s="1">
        <v>4</v>
      </c>
      <c r="H808" s="1">
        <v>4</v>
      </c>
      <c r="I808" s="1">
        <v>326</v>
      </c>
      <c r="J808" s="1">
        <v>3.6</v>
      </c>
      <c r="K808" s="1">
        <v>1</v>
      </c>
      <c r="L808" s="1">
        <v>0</v>
      </c>
      <c r="M808" s="1">
        <v>1</v>
      </c>
      <c r="N808" s="1">
        <v>1</v>
      </c>
      <c r="O808" s="1">
        <v>0</v>
      </c>
      <c r="P808" s="1">
        <v>0</v>
      </c>
      <c r="Q808" s="1">
        <v>0</v>
      </c>
      <c r="R808" s="1">
        <v>0</v>
      </c>
      <c r="S808" s="1">
        <v>0.27800000000000002</v>
      </c>
      <c r="T808" s="1" t="s">
        <v>26</v>
      </c>
      <c r="U808" s="1">
        <v>0</v>
      </c>
    </row>
    <row r="809" spans="1:21" x14ac:dyDescent="0.3">
      <c r="A809" t="s">
        <v>939</v>
      </c>
      <c r="B809" t="s">
        <v>22</v>
      </c>
      <c r="C809" t="s">
        <v>77</v>
      </c>
      <c r="D809" t="s">
        <v>78</v>
      </c>
      <c r="E809" s="1">
        <v>28.57</v>
      </c>
      <c r="F809" s="1" t="s">
        <v>39</v>
      </c>
      <c r="G809" s="1">
        <v>3</v>
      </c>
      <c r="H809" s="1">
        <v>2</v>
      </c>
      <c r="I809" s="1">
        <v>178</v>
      </c>
      <c r="J809" s="1">
        <v>2</v>
      </c>
      <c r="K809" s="1">
        <v>0</v>
      </c>
      <c r="L809" s="1">
        <v>1</v>
      </c>
      <c r="M809" s="1">
        <v>1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 t="s">
        <v>40</v>
      </c>
      <c r="U809" s="1">
        <v>1</v>
      </c>
    </row>
    <row r="810" spans="1:21" x14ac:dyDescent="0.3">
      <c r="A810" t="s">
        <v>940</v>
      </c>
      <c r="B810" t="s">
        <v>22</v>
      </c>
      <c r="C810" t="s">
        <v>391</v>
      </c>
      <c r="D810" t="s">
        <v>392</v>
      </c>
      <c r="E810" s="1">
        <v>25.5</v>
      </c>
      <c r="F810" s="1" t="s">
        <v>25</v>
      </c>
      <c r="G810" s="1">
        <v>3</v>
      </c>
      <c r="H810" s="1">
        <v>3</v>
      </c>
      <c r="I810" s="1">
        <v>270</v>
      </c>
      <c r="J810" s="1">
        <v>3</v>
      </c>
      <c r="K810" s="1">
        <v>1</v>
      </c>
      <c r="L810" s="1">
        <v>1</v>
      </c>
      <c r="M810" s="1">
        <v>2</v>
      </c>
      <c r="N810" s="1">
        <v>1</v>
      </c>
      <c r="O810" s="1">
        <v>0</v>
      </c>
      <c r="P810" s="1">
        <v>0</v>
      </c>
      <c r="Q810" s="1">
        <v>1</v>
      </c>
      <c r="R810" s="1">
        <v>0</v>
      </c>
      <c r="S810" s="1">
        <v>0.33300000000000002</v>
      </c>
      <c r="T810" s="1" t="s">
        <v>26</v>
      </c>
      <c r="U810" s="1">
        <v>0</v>
      </c>
    </row>
    <row r="811" spans="1:21" x14ac:dyDescent="0.3">
      <c r="A811" t="s">
        <v>941</v>
      </c>
      <c r="B811" t="s">
        <v>22</v>
      </c>
      <c r="C811" t="s">
        <v>136</v>
      </c>
      <c r="D811" t="s">
        <v>137</v>
      </c>
      <c r="E811" s="1">
        <v>25.17</v>
      </c>
      <c r="F811" s="1" t="s">
        <v>25</v>
      </c>
      <c r="G811" s="1">
        <v>3</v>
      </c>
      <c r="H811" s="1">
        <v>0</v>
      </c>
      <c r="I811" s="1">
        <v>22</v>
      </c>
      <c r="J811" s="1">
        <v>0.2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 t="s">
        <v>35</v>
      </c>
      <c r="U811" s="1">
        <v>3</v>
      </c>
    </row>
    <row r="812" spans="1:21" x14ac:dyDescent="0.3">
      <c r="A812" t="s">
        <v>942</v>
      </c>
      <c r="B812" t="s">
        <v>37</v>
      </c>
      <c r="C812" t="s">
        <v>136</v>
      </c>
      <c r="D812" t="s">
        <v>137</v>
      </c>
      <c r="E812" s="1">
        <v>32.270000000000003</v>
      </c>
      <c r="F812" s="1" t="s">
        <v>44</v>
      </c>
      <c r="G812" s="1">
        <v>4</v>
      </c>
      <c r="H812" s="1">
        <v>4</v>
      </c>
      <c r="I812" s="1">
        <v>351</v>
      </c>
      <c r="J812" s="1">
        <v>3.9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1</v>
      </c>
      <c r="R812" s="1">
        <v>0</v>
      </c>
      <c r="S812" s="1">
        <v>0</v>
      </c>
      <c r="T812" s="1" t="s">
        <v>26</v>
      </c>
      <c r="U812" s="1">
        <v>0</v>
      </c>
    </row>
    <row r="813" spans="1:21" x14ac:dyDescent="0.3">
      <c r="A813" t="s">
        <v>943</v>
      </c>
      <c r="B813" t="s">
        <v>83</v>
      </c>
      <c r="C813" t="s">
        <v>291</v>
      </c>
      <c r="D813" t="s">
        <v>292</v>
      </c>
      <c r="E813" s="1">
        <v>28.34</v>
      </c>
      <c r="F813" s="1" t="s">
        <v>39</v>
      </c>
      <c r="G813" s="1">
        <v>3</v>
      </c>
      <c r="H813" s="1">
        <v>3</v>
      </c>
      <c r="I813" s="1">
        <v>244</v>
      </c>
      <c r="J813" s="1">
        <v>2.7</v>
      </c>
      <c r="K813" s="1">
        <v>3</v>
      </c>
      <c r="L813" s="1">
        <v>1</v>
      </c>
      <c r="M813" s="1">
        <v>4</v>
      </c>
      <c r="N813" s="1">
        <v>3</v>
      </c>
      <c r="O813" s="1">
        <v>0</v>
      </c>
      <c r="P813" s="1">
        <v>0</v>
      </c>
      <c r="Q813" s="1">
        <v>0</v>
      </c>
      <c r="R813" s="1">
        <v>0</v>
      </c>
      <c r="S813" s="1">
        <v>1.111</v>
      </c>
      <c r="T813" s="1" t="s">
        <v>26</v>
      </c>
      <c r="U813" s="1">
        <v>0</v>
      </c>
    </row>
    <row r="814" spans="1:21" x14ac:dyDescent="0.3">
      <c r="A814" t="s">
        <v>944</v>
      </c>
      <c r="B814" t="s">
        <v>155</v>
      </c>
      <c r="C814" t="s">
        <v>49</v>
      </c>
      <c r="D814" t="s">
        <v>50</v>
      </c>
      <c r="E814" s="1">
        <v>35.450000000000003</v>
      </c>
      <c r="F814" s="1" t="s">
        <v>74</v>
      </c>
      <c r="G814" s="1">
        <v>1</v>
      </c>
      <c r="H814" s="1">
        <v>0</v>
      </c>
      <c r="I814" s="1">
        <v>45</v>
      </c>
      <c r="J814" s="1">
        <v>0.5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 t="s">
        <v>35</v>
      </c>
      <c r="U814" s="1">
        <v>1</v>
      </c>
    </row>
    <row r="815" spans="1:21" x14ac:dyDescent="0.3">
      <c r="A815" t="s">
        <v>945</v>
      </c>
      <c r="B815" t="s">
        <v>37</v>
      </c>
      <c r="C815" t="s">
        <v>23</v>
      </c>
      <c r="D815" t="s">
        <v>24</v>
      </c>
      <c r="E815" s="1">
        <v>23.5</v>
      </c>
      <c r="F815" s="1" t="s">
        <v>25</v>
      </c>
      <c r="G815" s="1">
        <v>2</v>
      </c>
      <c r="H815" s="1">
        <v>1</v>
      </c>
      <c r="I815" s="1">
        <v>87</v>
      </c>
      <c r="J815" s="1">
        <v>1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 t="s">
        <v>40</v>
      </c>
      <c r="U815" s="1">
        <v>1</v>
      </c>
    </row>
    <row r="816" spans="1:21" x14ac:dyDescent="0.3">
      <c r="A816" t="s">
        <v>946</v>
      </c>
      <c r="B816" t="s">
        <v>31</v>
      </c>
      <c r="C816" t="s">
        <v>309</v>
      </c>
      <c r="D816" t="s">
        <v>310</v>
      </c>
      <c r="E816" s="1">
        <v>30.43</v>
      </c>
      <c r="F816" s="1" t="s">
        <v>39</v>
      </c>
      <c r="G816" s="1">
        <v>3</v>
      </c>
      <c r="H816" s="1">
        <v>2</v>
      </c>
      <c r="I816" s="1">
        <v>180</v>
      </c>
      <c r="J816" s="1">
        <v>2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 t="s">
        <v>40</v>
      </c>
      <c r="U816" s="1">
        <v>1</v>
      </c>
    </row>
    <row r="817" spans="1:21" x14ac:dyDescent="0.3">
      <c r="A817" t="s">
        <v>947</v>
      </c>
      <c r="B817" t="s">
        <v>31</v>
      </c>
      <c r="C817" t="s">
        <v>28</v>
      </c>
      <c r="D817" t="s">
        <v>29</v>
      </c>
      <c r="E817" s="1">
        <v>22.08</v>
      </c>
      <c r="F817" s="1" t="s">
        <v>34</v>
      </c>
      <c r="G817" s="1">
        <v>3</v>
      </c>
      <c r="H817" s="1">
        <v>1</v>
      </c>
      <c r="I817" s="1">
        <v>120</v>
      </c>
      <c r="J817" s="1">
        <v>1.3</v>
      </c>
      <c r="K817" s="1">
        <v>0</v>
      </c>
      <c r="L817" s="1">
        <v>1</v>
      </c>
      <c r="M817" s="1">
        <v>1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 t="s">
        <v>40</v>
      </c>
      <c r="U817" s="1">
        <v>2</v>
      </c>
    </row>
    <row r="818" spans="1:21" x14ac:dyDescent="0.3">
      <c r="A818" t="s">
        <v>948</v>
      </c>
      <c r="B818" t="s">
        <v>61</v>
      </c>
      <c r="C818" t="s">
        <v>112</v>
      </c>
      <c r="D818" t="s">
        <v>113</v>
      </c>
      <c r="E818" s="1">
        <v>30.41</v>
      </c>
      <c r="F818" s="1" t="s">
        <v>39</v>
      </c>
      <c r="G818" s="1">
        <v>3</v>
      </c>
      <c r="H818" s="1">
        <v>3</v>
      </c>
      <c r="I818" s="1">
        <v>270</v>
      </c>
      <c r="J818" s="1">
        <v>3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 t="s">
        <v>26</v>
      </c>
      <c r="U818" s="1">
        <v>0</v>
      </c>
    </row>
    <row r="819" spans="1:21" x14ac:dyDescent="0.3">
      <c r="A819" t="s">
        <v>949</v>
      </c>
      <c r="B819" t="s">
        <v>22</v>
      </c>
      <c r="C819" t="s">
        <v>112</v>
      </c>
      <c r="D819" t="s">
        <v>113</v>
      </c>
      <c r="E819" s="1">
        <v>28.75</v>
      </c>
      <c r="F819" s="1" t="s">
        <v>39</v>
      </c>
      <c r="G819" s="1">
        <v>3</v>
      </c>
      <c r="H819" s="1">
        <v>3</v>
      </c>
      <c r="I819" s="1">
        <v>193</v>
      </c>
      <c r="J819" s="1">
        <v>2.1</v>
      </c>
      <c r="K819" s="1">
        <v>0</v>
      </c>
      <c r="L819" s="1">
        <v>1</v>
      </c>
      <c r="M819" s="1">
        <v>1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 t="s">
        <v>26</v>
      </c>
      <c r="U819" s="1">
        <v>0</v>
      </c>
    </row>
    <row r="820" spans="1:21" x14ac:dyDescent="0.3">
      <c r="A820" t="s">
        <v>950</v>
      </c>
      <c r="B820" t="s">
        <v>37</v>
      </c>
      <c r="C820" t="s">
        <v>159</v>
      </c>
      <c r="D820" t="s">
        <v>160</v>
      </c>
      <c r="E820" s="1">
        <v>26.58</v>
      </c>
      <c r="F820" s="1" t="s">
        <v>25</v>
      </c>
      <c r="G820" s="1">
        <v>2</v>
      </c>
      <c r="H820" s="1">
        <v>2</v>
      </c>
      <c r="I820" s="1">
        <v>135</v>
      </c>
      <c r="J820" s="1">
        <v>1.5</v>
      </c>
      <c r="K820" s="1">
        <v>1</v>
      </c>
      <c r="L820" s="1">
        <v>0</v>
      </c>
      <c r="M820" s="1">
        <v>1</v>
      </c>
      <c r="N820" s="1">
        <v>1</v>
      </c>
      <c r="O820" s="1">
        <v>0</v>
      </c>
      <c r="P820" s="1">
        <v>0</v>
      </c>
      <c r="Q820" s="1">
        <v>0</v>
      </c>
      <c r="R820" s="1">
        <v>0</v>
      </c>
      <c r="S820" s="1">
        <v>0.66700000000000004</v>
      </c>
      <c r="T820" s="1" t="s">
        <v>26</v>
      </c>
      <c r="U820" s="1">
        <v>0</v>
      </c>
    </row>
    <row r="821" spans="1:21" x14ac:dyDescent="0.3">
      <c r="A821" t="s">
        <v>951</v>
      </c>
      <c r="B821" t="s">
        <v>83</v>
      </c>
      <c r="C821" t="s">
        <v>112</v>
      </c>
      <c r="D821" t="s">
        <v>113</v>
      </c>
      <c r="E821" s="1">
        <v>26.42</v>
      </c>
      <c r="F821" s="1" t="s">
        <v>25</v>
      </c>
      <c r="G821" s="1">
        <v>3</v>
      </c>
      <c r="H821" s="1">
        <v>3</v>
      </c>
      <c r="I821" s="1">
        <v>204</v>
      </c>
      <c r="J821" s="1">
        <v>2.2999999999999998</v>
      </c>
      <c r="K821" s="1">
        <v>1</v>
      </c>
      <c r="L821" s="1">
        <v>0</v>
      </c>
      <c r="M821" s="1">
        <v>1</v>
      </c>
      <c r="N821" s="1">
        <v>1</v>
      </c>
      <c r="O821" s="1">
        <v>0</v>
      </c>
      <c r="P821" s="1">
        <v>0</v>
      </c>
      <c r="Q821" s="1">
        <v>0</v>
      </c>
      <c r="R821" s="1">
        <v>0</v>
      </c>
      <c r="S821" s="1">
        <v>0.435</v>
      </c>
      <c r="T821" s="1" t="s">
        <v>26</v>
      </c>
      <c r="U821" s="1">
        <v>0</v>
      </c>
    </row>
    <row r="822" spans="1:21" x14ac:dyDescent="0.3">
      <c r="A822" t="s">
        <v>952</v>
      </c>
      <c r="B822" t="s">
        <v>155</v>
      </c>
      <c r="C822" t="s">
        <v>68</v>
      </c>
      <c r="D822" t="s">
        <v>69</v>
      </c>
      <c r="E822" s="1">
        <v>23.94</v>
      </c>
      <c r="F822" s="1" t="s">
        <v>25</v>
      </c>
      <c r="G822" s="1">
        <v>1</v>
      </c>
      <c r="H822" s="1">
        <v>0</v>
      </c>
      <c r="I822" s="1">
        <v>7</v>
      </c>
      <c r="J822" s="1">
        <v>0.1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 t="s">
        <v>35</v>
      </c>
      <c r="U822" s="1">
        <v>1</v>
      </c>
    </row>
    <row r="823" spans="1:21" x14ac:dyDescent="0.3">
      <c r="A823" t="s">
        <v>953</v>
      </c>
      <c r="B823" t="s">
        <v>37</v>
      </c>
      <c r="C823" t="s">
        <v>291</v>
      </c>
      <c r="D823" t="s">
        <v>292</v>
      </c>
      <c r="E823" s="1">
        <v>34.07</v>
      </c>
      <c r="F823" s="1" t="s">
        <v>44</v>
      </c>
      <c r="G823" s="1">
        <v>1</v>
      </c>
      <c r="H823" s="1">
        <v>1</v>
      </c>
      <c r="I823" s="1">
        <v>57</v>
      </c>
      <c r="J823" s="1">
        <v>0.6</v>
      </c>
      <c r="K823" s="1">
        <v>0</v>
      </c>
      <c r="L823" s="1">
        <v>1</v>
      </c>
      <c r="M823" s="1">
        <v>1</v>
      </c>
      <c r="N823" s="1">
        <v>0</v>
      </c>
      <c r="O823" s="1">
        <v>0</v>
      </c>
      <c r="P823" s="1">
        <v>0</v>
      </c>
      <c r="Q823" s="1">
        <v>1</v>
      </c>
      <c r="R823" s="1">
        <v>0</v>
      </c>
      <c r="S823" s="1">
        <v>0</v>
      </c>
      <c r="T823" s="1" t="s">
        <v>26</v>
      </c>
      <c r="U823" s="1">
        <v>0</v>
      </c>
    </row>
    <row r="824" spans="1:21" x14ac:dyDescent="0.3">
      <c r="A824" t="s">
        <v>954</v>
      </c>
      <c r="B824" t="s">
        <v>22</v>
      </c>
      <c r="C824" t="s">
        <v>112</v>
      </c>
      <c r="D824" t="s">
        <v>113</v>
      </c>
      <c r="E824" s="1">
        <v>25.16</v>
      </c>
      <c r="F824" s="1" t="s">
        <v>25</v>
      </c>
      <c r="G824" s="1">
        <v>3</v>
      </c>
      <c r="H824" s="1">
        <v>3</v>
      </c>
      <c r="I824" s="1">
        <v>270</v>
      </c>
      <c r="J824" s="1">
        <v>3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 t="s">
        <v>26</v>
      </c>
      <c r="U824" s="1">
        <v>0</v>
      </c>
    </row>
    <row r="825" spans="1:21" x14ac:dyDescent="0.3">
      <c r="A825" t="s">
        <v>955</v>
      </c>
      <c r="B825" t="s">
        <v>37</v>
      </c>
      <c r="C825" t="s">
        <v>391</v>
      </c>
      <c r="D825" t="s">
        <v>392</v>
      </c>
      <c r="E825" s="1">
        <v>26.06</v>
      </c>
      <c r="F825" s="1" t="s">
        <v>25</v>
      </c>
      <c r="G825" s="1">
        <v>2</v>
      </c>
      <c r="H825" s="1">
        <v>1</v>
      </c>
      <c r="I825" s="1">
        <v>86</v>
      </c>
      <c r="J825" s="1">
        <v>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 t="s">
        <v>40</v>
      </c>
      <c r="U825" s="1">
        <v>1</v>
      </c>
    </row>
    <row r="826" spans="1:21" x14ac:dyDescent="0.3">
      <c r="A826" t="s">
        <v>956</v>
      </c>
      <c r="B826" t="s">
        <v>61</v>
      </c>
      <c r="C826" t="s">
        <v>28</v>
      </c>
      <c r="D826" t="s">
        <v>29</v>
      </c>
      <c r="E826" s="1">
        <v>28.92</v>
      </c>
      <c r="F826" s="1" t="s">
        <v>39</v>
      </c>
      <c r="G826" s="1">
        <v>1</v>
      </c>
      <c r="H826" s="1">
        <v>1</v>
      </c>
      <c r="I826" s="1">
        <v>90</v>
      </c>
      <c r="J826" s="1">
        <v>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 t="s">
        <v>26</v>
      </c>
      <c r="U826" s="1">
        <v>0</v>
      </c>
    </row>
    <row r="827" spans="1:21" x14ac:dyDescent="0.3">
      <c r="A827" t="s">
        <v>957</v>
      </c>
      <c r="B827" t="s">
        <v>64</v>
      </c>
      <c r="C827" t="s">
        <v>129</v>
      </c>
      <c r="D827" t="s">
        <v>130</v>
      </c>
      <c r="E827" s="1">
        <v>32.75</v>
      </c>
      <c r="F827" s="1" t="s">
        <v>44</v>
      </c>
      <c r="G827" s="1">
        <v>1</v>
      </c>
      <c r="H827" s="1">
        <v>0</v>
      </c>
      <c r="I827" s="1">
        <v>16</v>
      </c>
      <c r="J827" s="1">
        <v>0.2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 t="s">
        <v>35</v>
      </c>
      <c r="U827" s="1">
        <v>1</v>
      </c>
    </row>
    <row r="828" spans="1:21" x14ac:dyDescent="0.3">
      <c r="A828" t="s">
        <v>958</v>
      </c>
      <c r="B828" t="s">
        <v>155</v>
      </c>
      <c r="C828" t="s">
        <v>181</v>
      </c>
      <c r="D828" t="s">
        <v>182</v>
      </c>
      <c r="E828" s="1">
        <v>32.619999999999997</v>
      </c>
      <c r="F828" s="1" t="s">
        <v>44</v>
      </c>
      <c r="G828" s="1">
        <v>2</v>
      </c>
      <c r="H828" s="1">
        <v>0</v>
      </c>
      <c r="I828" s="1">
        <v>64</v>
      </c>
      <c r="J828" s="1">
        <v>0.7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1</v>
      </c>
      <c r="R828" s="1">
        <v>0</v>
      </c>
      <c r="S828" s="1">
        <v>0</v>
      </c>
      <c r="T828" s="1" t="s">
        <v>35</v>
      </c>
      <c r="U828" s="1">
        <v>2</v>
      </c>
    </row>
    <row r="829" spans="1:21" x14ac:dyDescent="0.3">
      <c r="A829" t="s">
        <v>959</v>
      </c>
      <c r="B829" t="s">
        <v>31</v>
      </c>
      <c r="C829" t="s">
        <v>184</v>
      </c>
      <c r="D829" t="s">
        <v>185</v>
      </c>
      <c r="E829" s="1">
        <v>32.18</v>
      </c>
      <c r="F829" s="1" t="s">
        <v>44</v>
      </c>
      <c r="G829" s="1">
        <v>2</v>
      </c>
      <c r="H829" s="1">
        <v>1</v>
      </c>
      <c r="I829" s="1">
        <v>90</v>
      </c>
      <c r="J829" s="1">
        <v>1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 t="s">
        <v>40</v>
      </c>
      <c r="U829" s="1">
        <v>1</v>
      </c>
    </row>
    <row r="830" spans="1:21" x14ac:dyDescent="0.3">
      <c r="A830" t="s">
        <v>960</v>
      </c>
      <c r="B830" t="s">
        <v>83</v>
      </c>
      <c r="C830" t="s">
        <v>80</v>
      </c>
      <c r="D830" t="s">
        <v>81</v>
      </c>
      <c r="E830" s="1">
        <v>26.48</v>
      </c>
      <c r="F830" s="1" t="s">
        <v>25</v>
      </c>
      <c r="G830" s="1">
        <v>3</v>
      </c>
      <c r="H830" s="1">
        <v>3</v>
      </c>
      <c r="I830" s="1">
        <v>270</v>
      </c>
      <c r="J830" s="1">
        <v>3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 t="s">
        <v>26</v>
      </c>
      <c r="U830" s="1">
        <v>0</v>
      </c>
    </row>
    <row r="831" spans="1:21" x14ac:dyDescent="0.3">
      <c r="A831" t="s">
        <v>961</v>
      </c>
      <c r="B831" t="s">
        <v>37</v>
      </c>
      <c r="C831" t="s">
        <v>80</v>
      </c>
      <c r="D831" t="s">
        <v>81</v>
      </c>
      <c r="E831" s="1">
        <v>25.42</v>
      </c>
      <c r="F831" s="1" t="s">
        <v>25</v>
      </c>
      <c r="G831" s="1">
        <v>3</v>
      </c>
      <c r="H831" s="1">
        <v>3</v>
      </c>
      <c r="I831" s="1">
        <v>266</v>
      </c>
      <c r="J831" s="1">
        <v>3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 t="s">
        <v>26</v>
      </c>
      <c r="U831" s="1">
        <v>0</v>
      </c>
    </row>
    <row r="832" spans="1:21" x14ac:dyDescent="0.3">
      <c r="A832" t="s">
        <v>962</v>
      </c>
      <c r="B832" t="s">
        <v>37</v>
      </c>
      <c r="C832" t="s">
        <v>139</v>
      </c>
      <c r="D832" t="s">
        <v>140</v>
      </c>
      <c r="E832" s="1">
        <v>29.14</v>
      </c>
      <c r="F832" s="1" t="s">
        <v>39</v>
      </c>
      <c r="G832" s="1">
        <v>1</v>
      </c>
      <c r="H832" s="1">
        <v>1</v>
      </c>
      <c r="I832" s="1">
        <v>90</v>
      </c>
      <c r="J832" s="1">
        <v>1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 t="s">
        <v>26</v>
      </c>
      <c r="U832" s="1">
        <v>0</v>
      </c>
    </row>
    <row r="833" spans="1:21" x14ac:dyDescent="0.3">
      <c r="A833" t="s">
        <v>963</v>
      </c>
      <c r="B833" t="s">
        <v>31</v>
      </c>
      <c r="C833" t="s">
        <v>49</v>
      </c>
      <c r="D833" t="s">
        <v>50</v>
      </c>
      <c r="E833" s="1">
        <v>33.17</v>
      </c>
      <c r="F833" s="1" t="s">
        <v>44</v>
      </c>
      <c r="G833" s="1">
        <v>3</v>
      </c>
      <c r="H833" s="1">
        <v>0</v>
      </c>
      <c r="I833" s="1">
        <v>28</v>
      </c>
      <c r="J833" s="1">
        <v>0.3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 t="s">
        <v>35</v>
      </c>
      <c r="U833" s="1">
        <v>3</v>
      </c>
    </row>
    <row r="834" spans="1:21" x14ac:dyDescent="0.3">
      <c r="A834" t="s">
        <v>964</v>
      </c>
      <c r="B834" t="s">
        <v>22</v>
      </c>
      <c r="C834" t="s">
        <v>77</v>
      </c>
      <c r="D834" t="s">
        <v>78</v>
      </c>
      <c r="E834" s="1">
        <v>34.950000000000003</v>
      </c>
      <c r="F834" s="1" t="s">
        <v>44</v>
      </c>
      <c r="G834" s="1">
        <v>1</v>
      </c>
      <c r="H834" s="1">
        <v>0</v>
      </c>
      <c r="I834" s="1">
        <v>14</v>
      </c>
      <c r="J834" s="1">
        <v>0.2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 t="s">
        <v>35</v>
      </c>
      <c r="U834" s="1">
        <v>1</v>
      </c>
    </row>
    <row r="835" spans="1:21" x14ac:dyDescent="0.3">
      <c r="A835" t="s">
        <v>965</v>
      </c>
      <c r="B835" t="s">
        <v>61</v>
      </c>
      <c r="C835" t="s">
        <v>305</v>
      </c>
      <c r="D835" t="s">
        <v>306</v>
      </c>
      <c r="E835" s="1">
        <v>35.75</v>
      </c>
      <c r="F835" s="1" t="s">
        <v>74</v>
      </c>
      <c r="G835" s="1">
        <v>3</v>
      </c>
      <c r="H835" s="1">
        <v>3</v>
      </c>
      <c r="I835" s="1">
        <v>270</v>
      </c>
      <c r="J835" s="1">
        <v>3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 t="s">
        <v>26</v>
      </c>
      <c r="U835" s="1">
        <v>0</v>
      </c>
    </row>
    <row r="836" spans="1:21" x14ac:dyDescent="0.3">
      <c r="A836" t="s">
        <v>966</v>
      </c>
      <c r="B836" t="s">
        <v>22</v>
      </c>
      <c r="C836" t="s">
        <v>305</v>
      </c>
      <c r="D836" t="s">
        <v>306</v>
      </c>
      <c r="E836" s="1">
        <v>29.29</v>
      </c>
      <c r="F836" s="1" t="s">
        <v>39</v>
      </c>
      <c r="G836" s="1">
        <v>3</v>
      </c>
      <c r="H836" s="1">
        <v>3</v>
      </c>
      <c r="I836" s="1">
        <v>204</v>
      </c>
      <c r="J836" s="1">
        <v>2.2999999999999998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1</v>
      </c>
      <c r="R836" s="1">
        <v>0</v>
      </c>
      <c r="S836" s="1">
        <v>0</v>
      </c>
      <c r="T836" s="1" t="s">
        <v>26</v>
      </c>
      <c r="U836" s="1">
        <v>0</v>
      </c>
    </row>
    <row r="837" spans="1:21" x14ac:dyDescent="0.3">
      <c r="A837" t="s">
        <v>967</v>
      </c>
      <c r="B837" t="s">
        <v>22</v>
      </c>
      <c r="C837" t="s">
        <v>92</v>
      </c>
      <c r="D837" t="s">
        <v>93</v>
      </c>
      <c r="E837" s="1">
        <v>26.59</v>
      </c>
      <c r="F837" s="1" t="s">
        <v>25</v>
      </c>
      <c r="G837" s="1">
        <v>4</v>
      </c>
      <c r="H837" s="1">
        <v>0</v>
      </c>
      <c r="I837" s="1">
        <v>79</v>
      </c>
      <c r="J837" s="1">
        <v>0.9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 t="s">
        <v>35</v>
      </c>
      <c r="U837" s="1">
        <v>4</v>
      </c>
    </row>
    <row r="838" spans="1:21" x14ac:dyDescent="0.3">
      <c r="A838" t="s">
        <v>968</v>
      </c>
      <c r="B838" t="s">
        <v>22</v>
      </c>
      <c r="C838" t="s">
        <v>46</v>
      </c>
      <c r="D838" t="s">
        <v>47</v>
      </c>
      <c r="E838" s="1">
        <v>23.88</v>
      </c>
      <c r="F838" s="1" t="s">
        <v>25</v>
      </c>
      <c r="G838" s="1">
        <v>3</v>
      </c>
      <c r="H838" s="1">
        <v>1</v>
      </c>
      <c r="I838" s="1">
        <v>136</v>
      </c>
      <c r="J838" s="1">
        <v>1.5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 t="s">
        <v>40</v>
      </c>
      <c r="U838" s="1">
        <v>2</v>
      </c>
    </row>
    <row r="839" spans="1:21" x14ac:dyDescent="0.3">
      <c r="A839" t="s">
        <v>969</v>
      </c>
      <c r="B839" t="s">
        <v>31</v>
      </c>
      <c r="C839" t="s">
        <v>1146</v>
      </c>
      <c r="D839" t="s">
        <v>1148</v>
      </c>
      <c r="E839" s="1">
        <v>30.89</v>
      </c>
      <c r="F839" s="1" t="s">
        <v>39</v>
      </c>
      <c r="G839" s="1">
        <v>2</v>
      </c>
      <c r="H839" s="1">
        <v>2</v>
      </c>
      <c r="I839" s="1">
        <v>171</v>
      </c>
      <c r="J839" s="1">
        <v>1.9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 t="s">
        <v>26</v>
      </c>
      <c r="U839" s="1">
        <v>0</v>
      </c>
    </row>
    <row r="840" spans="1:21" x14ac:dyDescent="0.3">
      <c r="A840" t="s">
        <v>970</v>
      </c>
      <c r="B840" t="s">
        <v>31</v>
      </c>
      <c r="C840" t="s">
        <v>55</v>
      </c>
      <c r="D840" t="s">
        <v>56</v>
      </c>
      <c r="E840" s="1">
        <v>28.5</v>
      </c>
      <c r="F840" s="1" t="s">
        <v>39</v>
      </c>
      <c r="G840" s="1">
        <v>2</v>
      </c>
      <c r="H840" s="1">
        <v>0</v>
      </c>
      <c r="I840" s="1">
        <v>2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1</v>
      </c>
      <c r="R840" s="1">
        <v>0</v>
      </c>
      <c r="S840" s="1">
        <v>0</v>
      </c>
      <c r="T840" s="1" t="s">
        <v>35</v>
      </c>
      <c r="U840" s="1">
        <v>2</v>
      </c>
    </row>
    <row r="841" spans="1:21" x14ac:dyDescent="0.3">
      <c r="A841" t="s">
        <v>971</v>
      </c>
      <c r="B841" t="s">
        <v>22</v>
      </c>
      <c r="C841" t="s">
        <v>125</v>
      </c>
      <c r="D841" t="s">
        <v>126</v>
      </c>
      <c r="E841" s="1">
        <v>23.53</v>
      </c>
      <c r="F841" s="1" t="s">
        <v>25</v>
      </c>
      <c r="G841" s="1">
        <v>1</v>
      </c>
      <c r="H841" s="1">
        <v>0</v>
      </c>
      <c r="I841" s="1">
        <v>23</v>
      </c>
      <c r="J841" s="1">
        <v>0.3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 t="s">
        <v>35</v>
      </c>
      <c r="U841" s="1">
        <v>1</v>
      </c>
    </row>
    <row r="842" spans="1:21" x14ac:dyDescent="0.3">
      <c r="A842" t="s">
        <v>972</v>
      </c>
      <c r="B842" t="s">
        <v>31</v>
      </c>
      <c r="C842" t="s">
        <v>391</v>
      </c>
      <c r="D842" t="s">
        <v>392</v>
      </c>
      <c r="E842" s="1">
        <v>21.26</v>
      </c>
      <c r="F842" s="1" t="s">
        <v>34</v>
      </c>
      <c r="G842" s="1">
        <v>1</v>
      </c>
      <c r="H842" s="1">
        <v>0</v>
      </c>
      <c r="I842" s="1">
        <v>7</v>
      </c>
      <c r="J842" s="1">
        <v>0.1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 t="s">
        <v>35</v>
      </c>
      <c r="U842" s="1">
        <v>1</v>
      </c>
    </row>
    <row r="843" spans="1:21" x14ac:dyDescent="0.3">
      <c r="A843" t="s">
        <v>973</v>
      </c>
      <c r="B843" t="s">
        <v>61</v>
      </c>
      <c r="C843" t="s">
        <v>32</v>
      </c>
      <c r="D843" t="s">
        <v>33</v>
      </c>
      <c r="E843" s="1">
        <v>26.13</v>
      </c>
      <c r="F843" s="1" t="s">
        <v>25</v>
      </c>
      <c r="G843" s="1">
        <v>3</v>
      </c>
      <c r="H843" s="1">
        <v>3</v>
      </c>
      <c r="I843" s="1">
        <v>270</v>
      </c>
      <c r="J843" s="1">
        <v>3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 t="s">
        <v>26</v>
      </c>
      <c r="U843" s="1">
        <v>0</v>
      </c>
    </row>
    <row r="844" spans="1:21" x14ac:dyDescent="0.3">
      <c r="A844" t="s">
        <v>974</v>
      </c>
      <c r="B844" t="s">
        <v>31</v>
      </c>
      <c r="C844" t="s">
        <v>49</v>
      </c>
      <c r="D844" t="s">
        <v>50</v>
      </c>
      <c r="E844" s="1">
        <v>31</v>
      </c>
      <c r="F844" s="1" t="s">
        <v>39</v>
      </c>
      <c r="G844" s="1">
        <v>3</v>
      </c>
      <c r="H844" s="1">
        <v>3</v>
      </c>
      <c r="I844" s="1">
        <v>269</v>
      </c>
      <c r="J844" s="1">
        <v>3</v>
      </c>
      <c r="K844" s="1">
        <v>1</v>
      </c>
      <c r="L844" s="1">
        <v>0</v>
      </c>
      <c r="M844" s="1">
        <v>1</v>
      </c>
      <c r="N844" s="1">
        <v>1</v>
      </c>
      <c r="O844" s="1">
        <v>0</v>
      </c>
      <c r="P844" s="1">
        <v>0</v>
      </c>
      <c r="Q844" s="1">
        <v>0</v>
      </c>
      <c r="R844" s="1">
        <v>0</v>
      </c>
      <c r="S844" s="1">
        <v>0.33300000000000002</v>
      </c>
      <c r="T844" s="1" t="s">
        <v>26</v>
      </c>
      <c r="U844" s="1">
        <v>0</v>
      </c>
    </row>
    <row r="845" spans="1:21" x14ac:dyDescent="0.3">
      <c r="A845" t="s">
        <v>975</v>
      </c>
      <c r="B845" t="s">
        <v>22</v>
      </c>
      <c r="C845" t="s">
        <v>49</v>
      </c>
      <c r="D845" t="s">
        <v>50</v>
      </c>
      <c r="E845" s="1">
        <v>30.02</v>
      </c>
      <c r="F845" s="1" t="s">
        <v>39</v>
      </c>
      <c r="G845" s="1">
        <v>3</v>
      </c>
      <c r="H845" s="1">
        <v>3</v>
      </c>
      <c r="I845" s="1">
        <v>237</v>
      </c>
      <c r="J845" s="1">
        <v>2.6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 t="s">
        <v>26</v>
      </c>
      <c r="U845" s="1">
        <v>0</v>
      </c>
    </row>
    <row r="846" spans="1:21" x14ac:dyDescent="0.3">
      <c r="A846" t="s">
        <v>976</v>
      </c>
      <c r="B846" t="s">
        <v>37</v>
      </c>
      <c r="C846" t="s">
        <v>68</v>
      </c>
      <c r="D846" t="s">
        <v>69</v>
      </c>
      <c r="E846" s="1">
        <v>30.77</v>
      </c>
      <c r="F846" s="1" t="s">
        <v>39</v>
      </c>
      <c r="G846" s="1">
        <v>1</v>
      </c>
      <c r="H846" s="1">
        <v>1</v>
      </c>
      <c r="I846" s="1">
        <v>90</v>
      </c>
      <c r="J846" s="1">
        <v>1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1</v>
      </c>
      <c r="R846" s="1">
        <v>0</v>
      </c>
      <c r="S846" s="1">
        <v>0</v>
      </c>
      <c r="T846" s="1" t="s">
        <v>26</v>
      </c>
      <c r="U846" s="1">
        <v>0</v>
      </c>
    </row>
    <row r="847" spans="1:21" x14ac:dyDescent="0.3">
      <c r="A847" t="s">
        <v>977</v>
      </c>
      <c r="B847" t="s">
        <v>22</v>
      </c>
      <c r="C847" t="s">
        <v>80</v>
      </c>
      <c r="D847" t="s">
        <v>81</v>
      </c>
      <c r="E847" s="1">
        <v>28.02</v>
      </c>
      <c r="F847" s="1" t="s">
        <v>39</v>
      </c>
      <c r="G847" s="1">
        <v>3</v>
      </c>
      <c r="H847" s="1">
        <v>2</v>
      </c>
      <c r="I847" s="1">
        <v>187</v>
      </c>
      <c r="J847" s="1">
        <v>2.1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 t="s">
        <v>40</v>
      </c>
      <c r="U847" s="1">
        <v>1</v>
      </c>
    </row>
    <row r="848" spans="1:21" x14ac:dyDescent="0.3">
      <c r="A848" t="s">
        <v>978</v>
      </c>
      <c r="B848" t="s">
        <v>155</v>
      </c>
      <c r="C848" t="s">
        <v>92</v>
      </c>
      <c r="D848" t="s">
        <v>93</v>
      </c>
      <c r="E848" s="1">
        <v>22.8</v>
      </c>
      <c r="F848" s="1" t="s">
        <v>34</v>
      </c>
      <c r="G848" s="1">
        <v>2</v>
      </c>
      <c r="H848" s="1">
        <v>0</v>
      </c>
      <c r="I848" s="1">
        <v>40</v>
      </c>
      <c r="J848" s="1">
        <v>0.4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1</v>
      </c>
      <c r="R848" s="1">
        <v>0</v>
      </c>
      <c r="S848" s="1">
        <v>0</v>
      </c>
      <c r="T848" s="1" t="s">
        <v>35</v>
      </c>
      <c r="U848" s="1">
        <v>2</v>
      </c>
    </row>
    <row r="849" spans="1:21" x14ac:dyDescent="0.3">
      <c r="A849" t="s">
        <v>979</v>
      </c>
      <c r="B849" t="s">
        <v>22</v>
      </c>
      <c r="C849" t="s">
        <v>181</v>
      </c>
      <c r="D849" t="s">
        <v>182</v>
      </c>
      <c r="E849" s="1">
        <v>31.89</v>
      </c>
      <c r="F849" s="1" t="s">
        <v>44</v>
      </c>
      <c r="G849" s="1">
        <v>2</v>
      </c>
      <c r="H849" s="1">
        <v>1</v>
      </c>
      <c r="I849" s="1">
        <v>60</v>
      </c>
      <c r="J849" s="1">
        <v>0.7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1</v>
      </c>
      <c r="R849" s="1">
        <v>0</v>
      </c>
      <c r="S849" s="1">
        <v>0</v>
      </c>
      <c r="T849" s="1" t="s">
        <v>40</v>
      </c>
      <c r="U849" s="1">
        <v>1</v>
      </c>
    </row>
    <row r="850" spans="1:21" x14ac:dyDescent="0.3">
      <c r="A850" t="s">
        <v>980</v>
      </c>
      <c r="B850" t="s">
        <v>22</v>
      </c>
      <c r="C850" t="s">
        <v>136</v>
      </c>
      <c r="D850" t="s">
        <v>137</v>
      </c>
      <c r="E850" s="1">
        <v>26.98</v>
      </c>
      <c r="F850" s="1" t="s">
        <v>25</v>
      </c>
      <c r="G850" s="1">
        <v>1</v>
      </c>
      <c r="H850" s="1">
        <v>0</v>
      </c>
      <c r="I850" s="1">
        <v>10</v>
      </c>
      <c r="J850" s="1">
        <v>0.1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 t="s">
        <v>35</v>
      </c>
      <c r="U850" s="1">
        <v>1</v>
      </c>
    </row>
    <row r="851" spans="1:21" x14ac:dyDescent="0.3">
      <c r="A851" t="s">
        <v>981</v>
      </c>
      <c r="B851" t="s">
        <v>31</v>
      </c>
      <c r="C851" t="s">
        <v>139</v>
      </c>
      <c r="D851" t="s">
        <v>140</v>
      </c>
      <c r="E851" s="1">
        <v>23.53</v>
      </c>
      <c r="F851" s="1" t="s">
        <v>25</v>
      </c>
      <c r="G851" s="1">
        <v>1</v>
      </c>
      <c r="H851" s="1">
        <v>1</v>
      </c>
      <c r="I851" s="1">
        <v>70</v>
      </c>
      <c r="J851" s="1">
        <v>0.8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 t="s">
        <v>26</v>
      </c>
      <c r="U851" s="1">
        <v>0</v>
      </c>
    </row>
    <row r="852" spans="1:21" x14ac:dyDescent="0.3">
      <c r="A852" t="s">
        <v>982</v>
      </c>
      <c r="B852" t="s">
        <v>22</v>
      </c>
      <c r="C852" t="s">
        <v>72</v>
      </c>
      <c r="D852" t="s">
        <v>73</v>
      </c>
      <c r="E852" s="1">
        <v>25.92</v>
      </c>
      <c r="F852" s="1" t="s">
        <v>25</v>
      </c>
      <c r="G852" s="1">
        <v>2</v>
      </c>
      <c r="H852" s="1">
        <v>0</v>
      </c>
      <c r="I852" s="1">
        <v>56</v>
      </c>
      <c r="J852" s="1">
        <v>0.6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 t="s">
        <v>35</v>
      </c>
      <c r="U852" s="1">
        <v>2</v>
      </c>
    </row>
    <row r="853" spans="1:21" x14ac:dyDescent="0.3">
      <c r="A853" t="s">
        <v>983</v>
      </c>
      <c r="B853" t="s">
        <v>61</v>
      </c>
      <c r="C853" t="s">
        <v>209</v>
      </c>
      <c r="D853" t="s">
        <v>210</v>
      </c>
      <c r="E853" s="1">
        <v>29.05</v>
      </c>
      <c r="F853" s="1" t="s">
        <v>39</v>
      </c>
      <c r="G853" s="1">
        <v>3</v>
      </c>
      <c r="H853" s="1">
        <v>3</v>
      </c>
      <c r="I853" s="1">
        <v>270</v>
      </c>
      <c r="J853" s="1">
        <v>3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 t="s">
        <v>26</v>
      </c>
      <c r="U853" s="1">
        <v>0</v>
      </c>
    </row>
    <row r="854" spans="1:21" x14ac:dyDescent="0.3">
      <c r="A854" t="s">
        <v>984</v>
      </c>
      <c r="B854" t="s">
        <v>22</v>
      </c>
      <c r="C854" t="s">
        <v>239</v>
      </c>
      <c r="D854" t="s">
        <v>240</v>
      </c>
      <c r="E854" s="1">
        <v>27.36</v>
      </c>
      <c r="F854" s="1" t="s">
        <v>39</v>
      </c>
      <c r="G854" s="1">
        <v>3</v>
      </c>
      <c r="H854" s="1">
        <v>3</v>
      </c>
      <c r="I854" s="1">
        <v>209</v>
      </c>
      <c r="J854" s="1">
        <v>2.2999999999999998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1</v>
      </c>
      <c r="R854" s="1">
        <v>0</v>
      </c>
      <c r="S854" s="1">
        <v>0</v>
      </c>
      <c r="T854" s="1" t="s">
        <v>26</v>
      </c>
      <c r="U854" s="1">
        <v>0</v>
      </c>
    </row>
    <row r="855" spans="1:21" x14ac:dyDescent="0.3">
      <c r="A855" t="s">
        <v>985</v>
      </c>
      <c r="B855" t="s">
        <v>37</v>
      </c>
      <c r="C855" t="s">
        <v>77</v>
      </c>
      <c r="D855" t="s">
        <v>78</v>
      </c>
      <c r="E855" s="1">
        <v>25.51</v>
      </c>
      <c r="F855" s="1" t="s">
        <v>25</v>
      </c>
      <c r="G855" s="1">
        <v>2</v>
      </c>
      <c r="H855" s="1">
        <v>2</v>
      </c>
      <c r="I855" s="1">
        <v>171</v>
      </c>
      <c r="J855" s="1">
        <v>1.9</v>
      </c>
      <c r="K855" s="1">
        <v>0</v>
      </c>
      <c r="L855" s="1">
        <v>1</v>
      </c>
      <c r="M855" s="1">
        <v>1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 t="s">
        <v>26</v>
      </c>
      <c r="U855" s="1">
        <v>0</v>
      </c>
    </row>
    <row r="856" spans="1:21" x14ac:dyDescent="0.3">
      <c r="A856" t="s">
        <v>986</v>
      </c>
      <c r="B856" t="s">
        <v>22</v>
      </c>
      <c r="C856" t="s">
        <v>68</v>
      </c>
      <c r="D856" t="s">
        <v>69</v>
      </c>
      <c r="E856" s="1">
        <v>27.33</v>
      </c>
      <c r="F856" s="1" t="s">
        <v>39</v>
      </c>
      <c r="G856" s="1">
        <v>3</v>
      </c>
      <c r="H856" s="1">
        <v>3</v>
      </c>
      <c r="I856" s="1">
        <v>229</v>
      </c>
      <c r="J856" s="1">
        <v>2.5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1</v>
      </c>
      <c r="S856" s="1">
        <v>0</v>
      </c>
      <c r="T856" s="1" t="s">
        <v>26</v>
      </c>
      <c r="U856" s="1">
        <v>0</v>
      </c>
    </row>
    <row r="857" spans="1:21" x14ac:dyDescent="0.3">
      <c r="A857" t="s">
        <v>987</v>
      </c>
      <c r="B857" t="s">
        <v>148</v>
      </c>
      <c r="C857" t="s">
        <v>42</v>
      </c>
      <c r="D857" t="s">
        <v>43</v>
      </c>
      <c r="E857" s="1">
        <v>31.14</v>
      </c>
      <c r="F857" s="1" t="s">
        <v>44</v>
      </c>
      <c r="G857" s="1">
        <v>3</v>
      </c>
      <c r="H857" s="1">
        <v>3</v>
      </c>
      <c r="I857" s="1">
        <v>250</v>
      </c>
      <c r="J857" s="1">
        <v>2.8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 t="s">
        <v>26</v>
      </c>
      <c r="U857" s="1">
        <v>0</v>
      </c>
    </row>
    <row r="858" spans="1:21" x14ac:dyDescent="0.3">
      <c r="A858" t="s">
        <v>988</v>
      </c>
      <c r="B858" t="s">
        <v>148</v>
      </c>
      <c r="C858" t="s">
        <v>309</v>
      </c>
      <c r="D858" t="s">
        <v>310</v>
      </c>
      <c r="E858" s="1">
        <v>23.24</v>
      </c>
      <c r="F858" s="1" t="s">
        <v>25</v>
      </c>
      <c r="G858" s="1">
        <v>3</v>
      </c>
      <c r="H858" s="1">
        <v>2</v>
      </c>
      <c r="I858" s="1">
        <v>141</v>
      </c>
      <c r="J858" s="1">
        <v>1.6</v>
      </c>
      <c r="K858" s="1">
        <v>0</v>
      </c>
      <c r="L858" s="1">
        <v>1</v>
      </c>
      <c r="M858" s="1">
        <v>1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 t="s">
        <v>40</v>
      </c>
      <c r="U858" s="1">
        <v>1</v>
      </c>
    </row>
    <row r="859" spans="1:21" x14ac:dyDescent="0.3">
      <c r="A859" t="s">
        <v>989</v>
      </c>
      <c r="B859" t="s">
        <v>64</v>
      </c>
      <c r="C859" t="s">
        <v>121</v>
      </c>
      <c r="D859" t="s">
        <v>122</v>
      </c>
      <c r="E859" s="1">
        <v>26.83</v>
      </c>
      <c r="F859" s="1" t="s">
        <v>25</v>
      </c>
      <c r="G859" s="1">
        <v>1</v>
      </c>
      <c r="H859" s="1">
        <v>0</v>
      </c>
      <c r="I859" s="1">
        <v>12</v>
      </c>
      <c r="J859" s="1">
        <v>0.1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 t="s">
        <v>35</v>
      </c>
      <c r="U859" s="1">
        <v>1</v>
      </c>
    </row>
    <row r="860" spans="1:21" x14ac:dyDescent="0.3">
      <c r="A860" t="s">
        <v>990</v>
      </c>
      <c r="B860" t="s">
        <v>22</v>
      </c>
      <c r="C860" t="s">
        <v>309</v>
      </c>
      <c r="D860" t="s">
        <v>310</v>
      </c>
      <c r="E860" s="1">
        <v>31.34</v>
      </c>
      <c r="F860" s="1" t="s">
        <v>44</v>
      </c>
      <c r="G860" s="1">
        <v>3</v>
      </c>
      <c r="H860" s="1">
        <v>1</v>
      </c>
      <c r="I860" s="1">
        <v>137</v>
      </c>
      <c r="J860" s="1">
        <v>1.5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 t="s">
        <v>40</v>
      </c>
      <c r="U860" s="1">
        <v>2</v>
      </c>
    </row>
    <row r="861" spans="1:21" x14ac:dyDescent="0.3">
      <c r="A861" t="s">
        <v>991</v>
      </c>
      <c r="B861" t="s">
        <v>37</v>
      </c>
      <c r="C861" t="s">
        <v>231</v>
      </c>
      <c r="D861" t="s">
        <v>232</v>
      </c>
      <c r="E861" s="1">
        <v>27.69</v>
      </c>
      <c r="F861" s="1" t="s">
        <v>39</v>
      </c>
      <c r="G861" s="1">
        <v>3</v>
      </c>
      <c r="H861" s="1">
        <v>3</v>
      </c>
      <c r="I861" s="1">
        <v>270</v>
      </c>
      <c r="J861" s="1">
        <v>3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</v>
      </c>
      <c r="R861" s="1">
        <v>0</v>
      </c>
      <c r="S861" s="1">
        <v>0</v>
      </c>
      <c r="T861" s="1" t="s">
        <v>26</v>
      </c>
      <c r="U861" s="1">
        <v>0</v>
      </c>
    </row>
    <row r="862" spans="1:21" x14ac:dyDescent="0.3">
      <c r="A862" t="s">
        <v>992</v>
      </c>
      <c r="B862" t="s">
        <v>22</v>
      </c>
      <c r="C862" t="s">
        <v>84</v>
      </c>
      <c r="D862" t="s">
        <v>85</v>
      </c>
      <c r="E862" s="1">
        <v>29.39</v>
      </c>
      <c r="F862" s="1" t="s">
        <v>39</v>
      </c>
      <c r="G862" s="1">
        <v>2</v>
      </c>
      <c r="H862" s="1">
        <v>1</v>
      </c>
      <c r="I862" s="1">
        <v>93</v>
      </c>
      <c r="J862" s="1">
        <v>1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 t="s">
        <v>40</v>
      </c>
      <c r="U862" s="1">
        <v>1</v>
      </c>
    </row>
    <row r="863" spans="1:21" x14ac:dyDescent="0.3">
      <c r="A863" t="s">
        <v>993</v>
      </c>
      <c r="B863" t="s">
        <v>37</v>
      </c>
      <c r="C863" t="s">
        <v>104</v>
      </c>
      <c r="D863" t="s">
        <v>105</v>
      </c>
      <c r="E863" s="1">
        <v>30.1</v>
      </c>
      <c r="F863" s="1" t="s">
        <v>39</v>
      </c>
      <c r="G863" s="1">
        <v>1</v>
      </c>
      <c r="H863" s="1">
        <v>0</v>
      </c>
      <c r="I863" s="1">
        <v>7</v>
      </c>
      <c r="J863" s="1">
        <v>0.1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 t="s">
        <v>35</v>
      </c>
      <c r="U863" s="1">
        <v>1</v>
      </c>
    </row>
    <row r="864" spans="1:21" x14ac:dyDescent="0.3">
      <c r="A864" t="s">
        <v>994</v>
      </c>
      <c r="B864" t="s">
        <v>37</v>
      </c>
      <c r="C864" t="s">
        <v>1147</v>
      </c>
      <c r="D864" t="s">
        <v>1149</v>
      </c>
      <c r="E864" s="1">
        <v>25.89</v>
      </c>
      <c r="F864" s="1" t="s">
        <v>25</v>
      </c>
      <c r="G864" s="1">
        <v>3</v>
      </c>
      <c r="H864" s="1">
        <v>1</v>
      </c>
      <c r="I864" s="1">
        <v>104</v>
      </c>
      <c r="J864" s="1">
        <v>1.2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 t="s">
        <v>40</v>
      </c>
      <c r="U864" s="1">
        <v>2</v>
      </c>
    </row>
    <row r="865" spans="1:21" x14ac:dyDescent="0.3">
      <c r="A865" t="s">
        <v>995</v>
      </c>
      <c r="B865" t="s">
        <v>22</v>
      </c>
      <c r="C865" t="s">
        <v>239</v>
      </c>
      <c r="D865" t="s">
        <v>240</v>
      </c>
      <c r="E865" s="1">
        <v>24.36</v>
      </c>
      <c r="F865" s="1" t="s">
        <v>25</v>
      </c>
      <c r="G865" s="1">
        <v>3</v>
      </c>
      <c r="H865" s="1">
        <v>3</v>
      </c>
      <c r="I865" s="1">
        <v>269</v>
      </c>
      <c r="J865" s="1">
        <v>3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R865" s="1">
        <v>0</v>
      </c>
      <c r="S865" s="1">
        <v>0</v>
      </c>
      <c r="T865" s="1" t="s">
        <v>26</v>
      </c>
      <c r="U865" s="1">
        <v>0</v>
      </c>
    </row>
    <row r="866" spans="1:21" x14ac:dyDescent="0.3">
      <c r="A866" t="s">
        <v>996</v>
      </c>
      <c r="B866" t="s">
        <v>155</v>
      </c>
      <c r="C866" t="s">
        <v>225</v>
      </c>
      <c r="D866" t="s">
        <v>226</v>
      </c>
      <c r="E866" s="1">
        <v>26.24</v>
      </c>
      <c r="F866" s="1" t="s">
        <v>25</v>
      </c>
      <c r="G866" s="1">
        <v>3</v>
      </c>
      <c r="H866" s="1">
        <v>3</v>
      </c>
      <c r="I866" s="1">
        <v>270</v>
      </c>
      <c r="J866" s="1">
        <v>3</v>
      </c>
      <c r="K866" s="1">
        <v>0</v>
      </c>
      <c r="L866" s="1">
        <v>1</v>
      </c>
      <c r="M866" s="1">
        <v>1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 t="s">
        <v>26</v>
      </c>
      <c r="U866" s="1">
        <v>0</v>
      </c>
    </row>
    <row r="867" spans="1:21" x14ac:dyDescent="0.3">
      <c r="A867" t="s">
        <v>997</v>
      </c>
      <c r="B867" t="s">
        <v>37</v>
      </c>
      <c r="C867" t="s">
        <v>129</v>
      </c>
      <c r="D867" t="s">
        <v>130</v>
      </c>
      <c r="E867" s="1">
        <v>31.08</v>
      </c>
      <c r="F867" s="1" t="s">
        <v>44</v>
      </c>
      <c r="G867" s="1">
        <v>1</v>
      </c>
      <c r="H867" s="1">
        <v>0</v>
      </c>
      <c r="I867" s="1">
        <v>4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 t="s">
        <v>35</v>
      </c>
      <c r="U867" s="1">
        <v>1</v>
      </c>
    </row>
    <row r="868" spans="1:21" x14ac:dyDescent="0.3">
      <c r="A868" t="s">
        <v>998</v>
      </c>
      <c r="B868" t="s">
        <v>31</v>
      </c>
      <c r="C868" t="s">
        <v>1146</v>
      </c>
      <c r="D868" t="s">
        <v>1148</v>
      </c>
      <c r="E868" s="1">
        <v>29.97</v>
      </c>
      <c r="F868" s="1" t="s">
        <v>39</v>
      </c>
      <c r="G868" s="1">
        <v>1</v>
      </c>
      <c r="H868" s="1">
        <v>0</v>
      </c>
      <c r="I868" s="1">
        <v>2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 t="s">
        <v>35</v>
      </c>
      <c r="U868" s="1">
        <v>1</v>
      </c>
    </row>
    <row r="869" spans="1:21" x14ac:dyDescent="0.3">
      <c r="A869" t="s">
        <v>999</v>
      </c>
      <c r="B869" t="s">
        <v>22</v>
      </c>
      <c r="C869" t="s">
        <v>159</v>
      </c>
      <c r="D869" t="s">
        <v>160</v>
      </c>
      <c r="E869" s="1">
        <v>25.24</v>
      </c>
      <c r="F869" s="1" t="s">
        <v>25</v>
      </c>
      <c r="G869" s="1">
        <v>1</v>
      </c>
      <c r="H869" s="1">
        <v>0</v>
      </c>
      <c r="I869" s="1">
        <v>45</v>
      </c>
      <c r="J869" s="1">
        <v>0.5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 t="s">
        <v>35</v>
      </c>
      <c r="U869" s="1">
        <v>1</v>
      </c>
    </row>
    <row r="870" spans="1:21" x14ac:dyDescent="0.3">
      <c r="A870" t="s">
        <v>1000</v>
      </c>
      <c r="B870" t="s">
        <v>37</v>
      </c>
      <c r="C870" t="s">
        <v>1147</v>
      </c>
      <c r="D870" t="s">
        <v>1149</v>
      </c>
      <c r="E870" s="1">
        <v>32.090000000000003</v>
      </c>
      <c r="F870" s="1" t="s">
        <v>44</v>
      </c>
      <c r="G870" s="1">
        <v>1</v>
      </c>
      <c r="H870" s="1">
        <v>1</v>
      </c>
      <c r="I870" s="1">
        <v>86</v>
      </c>
      <c r="J870" s="1">
        <v>1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 t="s">
        <v>26</v>
      </c>
      <c r="U870" s="1">
        <v>0</v>
      </c>
    </row>
    <row r="871" spans="1:21" x14ac:dyDescent="0.3">
      <c r="A871" t="s">
        <v>1001</v>
      </c>
      <c r="B871" t="s">
        <v>31</v>
      </c>
      <c r="C871" t="s">
        <v>28</v>
      </c>
      <c r="D871" t="s">
        <v>29</v>
      </c>
      <c r="E871" s="1">
        <v>26.39</v>
      </c>
      <c r="F871" s="1" t="s">
        <v>25</v>
      </c>
      <c r="G871" s="1">
        <v>1</v>
      </c>
      <c r="H871" s="1">
        <v>1</v>
      </c>
      <c r="I871" s="1">
        <v>90</v>
      </c>
      <c r="J871" s="1">
        <v>1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1</v>
      </c>
      <c r="Q871" s="1">
        <v>0</v>
      </c>
      <c r="R871" s="1">
        <v>0</v>
      </c>
      <c r="S871" s="1">
        <v>0</v>
      </c>
      <c r="T871" s="1" t="s">
        <v>26</v>
      </c>
      <c r="U871" s="1">
        <v>0</v>
      </c>
    </row>
    <row r="872" spans="1:21" x14ac:dyDescent="0.3">
      <c r="A872" t="s">
        <v>1002</v>
      </c>
      <c r="B872" t="s">
        <v>22</v>
      </c>
      <c r="C872" t="s">
        <v>129</v>
      </c>
      <c r="D872" t="s">
        <v>130</v>
      </c>
      <c r="E872" s="1">
        <v>24.02</v>
      </c>
      <c r="F872" s="1" t="s">
        <v>25</v>
      </c>
      <c r="G872" s="1">
        <v>3</v>
      </c>
      <c r="H872" s="1">
        <v>1</v>
      </c>
      <c r="I872" s="1">
        <v>101</v>
      </c>
      <c r="J872" s="1">
        <v>1.1000000000000001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 t="s">
        <v>40</v>
      </c>
      <c r="U872" s="1">
        <v>2</v>
      </c>
    </row>
    <row r="873" spans="1:21" x14ac:dyDescent="0.3">
      <c r="A873" t="s">
        <v>1003</v>
      </c>
      <c r="B873" t="s">
        <v>31</v>
      </c>
      <c r="C873" t="s">
        <v>189</v>
      </c>
      <c r="D873" t="s">
        <v>190</v>
      </c>
      <c r="E873" s="1">
        <v>28.57</v>
      </c>
      <c r="F873" s="1" t="s">
        <v>39</v>
      </c>
      <c r="G873" s="1">
        <v>3</v>
      </c>
      <c r="H873" s="1">
        <v>2</v>
      </c>
      <c r="I873" s="1">
        <v>167</v>
      </c>
      <c r="J873" s="1">
        <v>1.9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 t="s">
        <v>40</v>
      </c>
      <c r="U873" s="1">
        <v>1</v>
      </c>
    </row>
    <row r="874" spans="1:21" x14ac:dyDescent="0.3">
      <c r="A874" t="s">
        <v>1004</v>
      </c>
      <c r="B874" t="s">
        <v>64</v>
      </c>
      <c r="C874" t="s">
        <v>225</v>
      </c>
      <c r="D874" t="s">
        <v>226</v>
      </c>
      <c r="E874" s="1">
        <v>23.81</v>
      </c>
      <c r="F874" s="1" t="s">
        <v>25</v>
      </c>
      <c r="G874" s="1">
        <v>1</v>
      </c>
      <c r="H874" s="1">
        <v>0</v>
      </c>
      <c r="I874" s="1">
        <v>19</v>
      </c>
      <c r="J874" s="1">
        <v>0.2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 t="s">
        <v>35</v>
      </c>
      <c r="U874" s="1">
        <v>1</v>
      </c>
    </row>
    <row r="875" spans="1:21" x14ac:dyDescent="0.3">
      <c r="A875" t="s">
        <v>1005</v>
      </c>
      <c r="B875" t="s">
        <v>83</v>
      </c>
      <c r="C875" t="s">
        <v>225</v>
      </c>
      <c r="D875" t="s">
        <v>226</v>
      </c>
      <c r="E875" s="1">
        <v>22.68</v>
      </c>
      <c r="F875" s="1" t="s">
        <v>34</v>
      </c>
      <c r="G875" s="1">
        <v>3</v>
      </c>
      <c r="H875" s="1">
        <v>2</v>
      </c>
      <c r="I875" s="1">
        <v>199</v>
      </c>
      <c r="J875" s="1">
        <v>2.2000000000000002</v>
      </c>
      <c r="K875" s="1">
        <v>1</v>
      </c>
      <c r="L875" s="1">
        <v>1</v>
      </c>
      <c r="M875" s="1">
        <v>2</v>
      </c>
      <c r="N875" s="1">
        <v>1</v>
      </c>
      <c r="O875" s="1">
        <v>0</v>
      </c>
      <c r="P875" s="1">
        <v>0</v>
      </c>
      <c r="Q875" s="1">
        <v>1</v>
      </c>
      <c r="R875" s="1">
        <v>0</v>
      </c>
      <c r="S875" s="1">
        <v>0.45500000000000002</v>
      </c>
      <c r="T875" s="1" t="s">
        <v>40</v>
      </c>
      <c r="U875" s="1">
        <v>1</v>
      </c>
    </row>
    <row r="876" spans="1:21" x14ac:dyDescent="0.3">
      <c r="A876" t="s">
        <v>1006</v>
      </c>
      <c r="B876" t="s">
        <v>22</v>
      </c>
      <c r="C876" t="s">
        <v>391</v>
      </c>
      <c r="D876" t="s">
        <v>392</v>
      </c>
      <c r="E876" s="1">
        <v>26.01</v>
      </c>
      <c r="F876" s="1" t="s">
        <v>25</v>
      </c>
      <c r="G876" s="1">
        <v>4</v>
      </c>
      <c r="H876" s="1">
        <v>1</v>
      </c>
      <c r="I876" s="1">
        <v>148</v>
      </c>
      <c r="J876" s="1">
        <v>1.6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 t="s">
        <v>40</v>
      </c>
      <c r="U876" s="1">
        <v>3</v>
      </c>
    </row>
    <row r="877" spans="1:21" x14ac:dyDescent="0.3">
      <c r="A877" t="s">
        <v>1007</v>
      </c>
      <c r="B877" t="s">
        <v>37</v>
      </c>
      <c r="C877" t="s">
        <v>125</v>
      </c>
      <c r="D877" t="s">
        <v>126</v>
      </c>
      <c r="E877" s="1">
        <v>34.22</v>
      </c>
      <c r="F877" s="1" t="s">
        <v>44</v>
      </c>
      <c r="G877" s="1">
        <v>2</v>
      </c>
      <c r="H877" s="1">
        <v>1</v>
      </c>
      <c r="I877" s="1">
        <v>43</v>
      </c>
      <c r="J877" s="1">
        <v>0.5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1</v>
      </c>
      <c r="S877" s="1">
        <v>0</v>
      </c>
      <c r="T877" s="1" t="s">
        <v>40</v>
      </c>
      <c r="U877" s="1">
        <v>1</v>
      </c>
    </row>
    <row r="878" spans="1:21" x14ac:dyDescent="0.3">
      <c r="A878" t="s">
        <v>1008</v>
      </c>
      <c r="B878" t="s">
        <v>31</v>
      </c>
      <c r="C878" t="s">
        <v>309</v>
      </c>
      <c r="D878" t="s">
        <v>310</v>
      </c>
      <c r="E878" s="1">
        <v>25.5</v>
      </c>
      <c r="F878" s="1" t="s">
        <v>25</v>
      </c>
      <c r="G878" s="1">
        <v>3</v>
      </c>
      <c r="H878" s="1">
        <v>2</v>
      </c>
      <c r="I878" s="1">
        <v>189</v>
      </c>
      <c r="J878" s="1">
        <v>2.1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 t="s">
        <v>40</v>
      </c>
      <c r="U878" s="1">
        <v>1</v>
      </c>
    </row>
    <row r="879" spans="1:21" x14ac:dyDescent="0.3">
      <c r="A879" t="s">
        <v>1009</v>
      </c>
      <c r="B879" t="s">
        <v>83</v>
      </c>
      <c r="C879" t="s">
        <v>80</v>
      </c>
      <c r="D879" t="s">
        <v>81</v>
      </c>
      <c r="E879" s="1">
        <v>24.37</v>
      </c>
      <c r="F879" s="1" t="s">
        <v>25</v>
      </c>
      <c r="G879" s="1">
        <v>2</v>
      </c>
      <c r="H879" s="1">
        <v>2</v>
      </c>
      <c r="I879" s="1">
        <v>127</v>
      </c>
      <c r="J879" s="1">
        <v>1.4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 t="s">
        <v>26</v>
      </c>
      <c r="U879" s="1">
        <v>0</v>
      </c>
    </row>
    <row r="880" spans="1:21" x14ac:dyDescent="0.3">
      <c r="A880" t="s">
        <v>1010</v>
      </c>
      <c r="B880" t="s">
        <v>31</v>
      </c>
      <c r="C880" t="s">
        <v>101</v>
      </c>
      <c r="D880" t="s">
        <v>102</v>
      </c>
      <c r="E880" s="1">
        <v>24.67</v>
      </c>
      <c r="F880" s="1" t="s">
        <v>25</v>
      </c>
      <c r="G880" s="1">
        <v>4</v>
      </c>
      <c r="H880" s="1">
        <v>2</v>
      </c>
      <c r="I880" s="1">
        <v>253</v>
      </c>
      <c r="J880" s="1">
        <v>2.8</v>
      </c>
      <c r="K880" s="1">
        <v>2</v>
      </c>
      <c r="L880" s="1">
        <v>2</v>
      </c>
      <c r="M880" s="1">
        <v>4</v>
      </c>
      <c r="N880" s="1">
        <v>2</v>
      </c>
      <c r="O880" s="1">
        <v>0</v>
      </c>
      <c r="P880" s="1">
        <v>0</v>
      </c>
      <c r="Q880" s="1">
        <v>1</v>
      </c>
      <c r="R880" s="1">
        <v>0</v>
      </c>
      <c r="S880" s="1">
        <v>0.71399999999999997</v>
      </c>
      <c r="T880" s="1" t="s">
        <v>40</v>
      </c>
      <c r="U880" s="1">
        <v>2</v>
      </c>
    </row>
    <row r="881" spans="1:21" x14ac:dyDescent="0.3">
      <c r="A881" t="s">
        <v>1011</v>
      </c>
      <c r="B881" t="s">
        <v>22</v>
      </c>
      <c r="C881" t="s">
        <v>115</v>
      </c>
      <c r="D881" t="s">
        <v>116</v>
      </c>
      <c r="E881" s="1">
        <v>29.72</v>
      </c>
      <c r="F881" s="1" t="s">
        <v>39</v>
      </c>
      <c r="G881" s="1">
        <v>3</v>
      </c>
      <c r="H881" s="1">
        <v>2</v>
      </c>
      <c r="I881" s="1">
        <v>146</v>
      </c>
      <c r="J881" s="1">
        <v>1.6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 t="s">
        <v>40</v>
      </c>
      <c r="U881" s="1">
        <v>1</v>
      </c>
    </row>
    <row r="882" spans="1:21" x14ac:dyDescent="0.3">
      <c r="A882" t="s">
        <v>1012</v>
      </c>
      <c r="B882" t="s">
        <v>37</v>
      </c>
      <c r="C882" t="s">
        <v>239</v>
      </c>
      <c r="D882" t="s">
        <v>240</v>
      </c>
      <c r="E882" s="1">
        <v>22.77</v>
      </c>
      <c r="F882" s="1" t="s">
        <v>34</v>
      </c>
      <c r="G882" s="1">
        <v>3</v>
      </c>
      <c r="H882" s="1">
        <v>3</v>
      </c>
      <c r="I882" s="1">
        <v>270</v>
      </c>
      <c r="J882" s="1">
        <v>3</v>
      </c>
      <c r="K882" s="1">
        <v>1</v>
      </c>
      <c r="L882" s="1">
        <v>0</v>
      </c>
      <c r="M882" s="1">
        <v>1</v>
      </c>
      <c r="N882" s="1">
        <v>1</v>
      </c>
      <c r="O882" s="1">
        <v>0</v>
      </c>
      <c r="P882" s="1">
        <v>0</v>
      </c>
      <c r="Q882" s="1">
        <v>0</v>
      </c>
      <c r="R882" s="1">
        <v>0</v>
      </c>
      <c r="S882" s="1">
        <v>0.33300000000000002</v>
      </c>
      <c r="T882" s="1" t="s">
        <v>26</v>
      </c>
      <c r="U882" s="1">
        <v>0</v>
      </c>
    </row>
    <row r="883" spans="1:21" x14ac:dyDescent="0.3">
      <c r="A883" t="s">
        <v>1013</v>
      </c>
      <c r="B883" t="s">
        <v>37</v>
      </c>
      <c r="C883" t="s">
        <v>225</v>
      </c>
      <c r="D883" t="s">
        <v>226</v>
      </c>
      <c r="E883" s="1">
        <v>26.33</v>
      </c>
      <c r="F883" s="1" t="s">
        <v>25</v>
      </c>
      <c r="G883" s="1">
        <v>3</v>
      </c>
      <c r="H883" s="1">
        <v>3</v>
      </c>
      <c r="I883" s="1">
        <v>270</v>
      </c>
      <c r="J883" s="1">
        <v>3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 t="s">
        <v>26</v>
      </c>
      <c r="U883" s="1">
        <v>0</v>
      </c>
    </row>
    <row r="884" spans="1:21" x14ac:dyDescent="0.3">
      <c r="A884" t="s">
        <v>1014</v>
      </c>
      <c r="B884" t="s">
        <v>37</v>
      </c>
      <c r="C884" t="s">
        <v>391</v>
      </c>
      <c r="D884" t="s">
        <v>392</v>
      </c>
      <c r="E884" s="1">
        <v>22.97</v>
      </c>
      <c r="F884" s="1" t="s">
        <v>34</v>
      </c>
      <c r="G884" s="1">
        <v>2</v>
      </c>
      <c r="H884" s="1">
        <v>0</v>
      </c>
      <c r="I884" s="1">
        <v>43</v>
      </c>
      <c r="J884" s="1">
        <v>0.5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1</v>
      </c>
      <c r="R884" s="1">
        <v>0</v>
      </c>
      <c r="S884" s="1">
        <v>0</v>
      </c>
      <c r="T884" s="1" t="s">
        <v>35</v>
      </c>
      <c r="U884" s="1">
        <v>2</v>
      </c>
    </row>
    <row r="885" spans="1:21" x14ac:dyDescent="0.3">
      <c r="A885" t="s">
        <v>1015</v>
      </c>
      <c r="B885" t="s">
        <v>64</v>
      </c>
      <c r="C885" t="s">
        <v>391</v>
      </c>
      <c r="D885" t="s">
        <v>392</v>
      </c>
      <c r="E885" s="1">
        <v>24.68</v>
      </c>
      <c r="F885" s="1" t="s">
        <v>25</v>
      </c>
      <c r="G885" s="1">
        <v>1</v>
      </c>
      <c r="H885" s="1">
        <v>0</v>
      </c>
      <c r="I885" s="1">
        <v>12</v>
      </c>
      <c r="J885" s="1">
        <v>0.1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 t="s">
        <v>35</v>
      </c>
      <c r="U885" s="1">
        <v>1</v>
      </c>
    </row>
    <row r="886" spans="1:21" x14ac:dyDescent="0.3">
      <c r="A886" t="s">
        <v>1016</v>
      </c>
      <c r="B886" t="s">
        <v>61</v>
      </c>
      <c r="C886" t="s">
        <v>391</v>
      </c>
      <c r="D886" t="s">
        <v>392</v>
      </c>
      <c r="E886" s="1">
        <v>23.86</v>
      </c>
      <c r="F886" s="1" t="s">
        <v>25</v>
      </c>
      <c r="G886" s="1">
        <v>4</v>
      </c>
      <c r="H886" s="1">
        <v>4</v>
      </c>
      <c r="I886" s="1">
        <v>360</v>
      </c>
      <c r="J886" s="1">
        <v>4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 t="s">
        <v>26</v>
      </c>
      <c r="U886" s="1">
        <v>0</v>
      </c>
    </row>
    <row r="887" spans="1:21" x14ac:dyDescent="0.3">
      <c r="A887" t="s">
        <v>1017</v>
      </c>
      <c r="B887" t="s">
        <v>22</v>
      </c>
      <c r="C887" t="s">
        <v>129</v>
      </c>
      <c r="D887" t="s">
        <v>130</v>
      </c>
      <c r="E887" s="1">
        <v>27.48</v>
      </c>
      <c r="F887" s="1" t="s">
        <v>39</v>
      </c>
      <c r="G887" s="1">
        <v>1</v>
      </c>
      <c r="H887" s="1">
        <v>0</v>
      </c>
      <c r="I887" s="1">
        <v>7</v>
      </c>
      <c r="J887" s="1">
        <v>0.1</v>
      </c>
      <c r="K887" s="1">
        <v>1</v>
      </c>
      <c r="L887" s="1">
        <v>0</v>
      </c>
      <c r="M887" s="1">
        <v>1</v>
      </c>
      <c r="N887" s="1">
        <v>1</v>
      </c>
      <c r="O887" s="1">
        <v>0</v>
      </c>
      <c r="P887" s="1">
        <v>0</v>
      </c>
      <c r="Q887" s="1">
        <v>0</v>
      </c>
      <c r="R887" s="1">
        <v>0</v>
      </c>
      <c r="S887" s="1">
        <v>10</v>
      </c>
      <c r="T887" s="1" t="s">
        <v>35</v>
      </c>
      <c r="U887" s="1">
        <v>1</v>
      </c>
    </row>
    <row r="888" spans="1:21" x14ac:dyDescent="0.3">
      <c r="A888" t="s">
        <v>1018</v>
      </c>
      <c r="B888" t="s">
        <v>155</v>
      </c>
      <c r="C888" t="s">
        <v>129</v>
      </c>
      <c r="D888" t="s">
        <v>130</v>
      </c>
      <c r="E888" s="1">
        <v>24.38</v>
      </c>
      <c r="F888" s="1" t="s">
        <v>25</v>
      </c>
      <c r="G888" s="1">
        <v>2</v>
      </c>
      <c r="H888" s="1">
        <v>0</v>
      </c>
      <c r="I888" s="1">
        <v>17</v>
      </c>
      <c r="J888" s="1">
        <v>0.2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 t="s">
        <v>35</v>
      </c>
      <c r="U888" s="1">
        <v>2</v>
      </c>
    </row>
    <row r="889" spans="1:21" x14ac:dyDescent="0.3">
      <c r="A889" t="s">
        <v>1019</v>
      </c>
      <c r="B889" t="s">
        <v>31</v>
      </c>
      <c r="C889" t="s">
        <v>28</v>
      </c>
      <c r="D889" t="s">
        <v>29</v>
      </c>
      <c r="E889" s="1">
        <v>30.57</v>
      </c>
      <c r="F889" s="1" t="s">
        <v>39</v>
      </c>
      <c r="G889" s="1">
        <v>2</v>
      </c>
      <c r="H889" s="1">
        <v>2</v>
      </c>
      <c r="I889" s="1">
        <v>155</v>
      </c>
      <c r="J889" s="1">
        <v>1.7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 t="s">
        <v>26</v>
      </c>
      <c r="U889" s="1">
        <v>0</v>
      </c>
    </row>
    <row r="890" spans="1:21" x14ac:dyDescent="0.3">
      <c r="A890" t="s">
        <v>1020</v>
      </c>
      <c r="B890" t="s">
        <v>31</v>
      </c>
      <c r="C890" t="s">
        <v>55</v>
      </c>
      <c r="D890" t="s">
        <v>56</v>
      </c>
      <c r="E890" s="1">
        <v>29.05</v>
      </c>
      <c r="F890" s="1" t="s">
        <v>39</v>
      </c>
      <c r="G890" s="1">
        <v>3</v>
      </c>
      <c r="H890" s="1">
        <v>2</v>
      </c>
      <c r="I890" s="1">
        <v>215</v>
      </c>
      <c r="J890" s="1">
        <v>2.4</v>
      </c>
      <c r="K890" s="1">
        <v>1</v>
      </c>
      <c r="L890" s="1">
        <v>1</v>
      </c>
      <c r="M890" s="1">
        <v>2</v>
      </c>
      <c r="N890" s="1">
        <v>1</v>
      </c>
      <c r="O890" s="1">
        <v>0</v>
      </c>
      <c r="P890" s="1">
        <v>0</v>
      </c>
      <c r="Q890" s="1">
        <v>0</v>
      </c>
      <c r="R890" s="1">
        <v>0</v>
      </c>
      <c r="S890" s="1">
        <v>0.41699999999999998</v>
      </c>
      <c r="T890" s="1" t="s">
        <v>40</v>
      </c>
      <c r="U890" s="1">
        <v>1</v>
      </c>
    </row>
    <row r="891" spans="1:21" x14ac:dyDescent="0.3">
      <c r="A891" t="s">
        <v>1021</v>
      </c>
      <c r="B891" t="s">
        <v>22</v>
      </c>
      <c r="C891" t="s">
        <v>305</v>
      </c>
      <c r="D891" t="s">
        <v>306</v>
      </c>
      <c r="E891" s="1">
        <v>23.92</v>
      </c>
      <c r="F891" s="1" t="s">
        <v>25</v>
      </c>
      <c r="G891" s="1">
        <v>2</v>
      </c>
      <c r="H891" s="1">
        <v>2</v>
      </c>
      <c r="I891" s="1">
        <v>113</v>
      </c>
      <c r="J891" s="1">
        <v>1.3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 t="s">
        <v>26</v>
      </c>
      <c r="U891" s="1">
        <v>0</v>
      </c>
    </row>
    <row r="892" spans="1:21" x14ac:dyDescent="0.3">
      <c r="A892" t="s">
        <v>1022</v>
      </c>
      <c r="B892" t="s">
        <v>37</v>
      </c>
      <c r="C892" t="s">
        <v>139</v>
      </c>
      <c r="D892" t="s">
        <v>140</v>
      </c>
      <c r="E892" s="1">
        <v>33.83</v>
      </c>
      <c r="F892" s="1" t="s">
        <v>44</v>
      </c>
      <c r="G892" s="1">
        <v>2</v>
      </c>
      <c r="H892" s="1">
        <v>1</v>
      </c>
      <c r="I892" s="1">
        <v>99</v>
      </c>
      <c r="J892" s="1">
        <v>1.1000000000000001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 t="s">
        <v>40</v>
      </c>
      <c r="U892" s="1">
        <v>1</v>
      </c>
    </row>
    <row r="893" spans="1:21" x14ac:dyDescent="0.3">
      <c r="A893" t="s">
        <v>1023</v>
      </c>
      <c r="B893" t="s">
        <v>37</v>
      </c>
      <c r="C893" t="s">
        <v>159</v>
      </c>
      <c r="D893" t="s">
        <v>160</v>
      </c>
      <c r="E893" s="1">
        <v>30.38</v>
      </c>
      <c r="F893" s="1" t="s">
        <v>39</v>
      </c>
      <c r="G893" s="1">
        <v>4</v>
      </c>
      <c r="H893" s="1">
        <v>4</v>
      </c>
      <c r="I893" s="1">
        <v>372</v>
      </c>
      <c r="J893" s="1">
        <v>4.0999999999999996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 t="s">
        <v>26</v>
      </c>
      <c r="U893" s="1">
        <v>0</v>
      </c>
    </row>
    <row r="894" spans="1:21" x14ac:dyDescent="0.3">
      <c r="A894" t="s">
        <v>1024</v>
      </c>
      <c r="B894" t="s">
        <v>22</v>
      </c>
      <c r="C894" t="s">
        <v>115</v>
      </c>
      <c r="D894" t="s">
        <v>116</v>
      </c>
      <c r="E894" s="1">
        <v>23.33</v>
      </c>
      <c r="F894" s="1" t="s">
        <v>25</v>
      </c>
      <c r="G894" s="1">
        <v>3</v>
      </c>
      <c r="H894" s="1">
        <v>2</v>
      </c>
      <c r="I894" s="1">
        <v>197</v>
      </c>
      <c r="J894" s="1">
        <v>2.2000000000000002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 t="s">
        <v>40</v>
      </c>
      <c r="U894" s="1">
        <v>1</v>
      </c>
    </row>
    <row r="895" spans="1:21" x14ac:dyDescent="0.3">
      <c r="A895" t="s">
        <v>1025</v>
      </c>
      <c r="B895" t="s">
        <v>37</v>
      </c>
      <c r="C895" t="s">
        <v>125</v>
      </c>
      <c r="D895" t="s">
        <v>126</v>
      </c>
      <c r="E895" s="1">
        <v>25.42</v>
      </c>
      <c r="F895" s="1" t="s">
        <v>25</v>
      </c>
      <c r="G895" s="1">
        <v>2</v>
      </c>
      <c r="H895" s="1">
        <v>2</v>
      </c>
      <c r="I895" s="1">
        <v>149</v>
      </c>
      <c r="J895" s="1">
        <v>1.7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1</v>
      </c>
      <c r="R895" s="1">
        <v>0</v>
      </c>
      <c r="S895" s="1">
        <v>0</v>
      </c>
      <c r="T895" s="1" t="s">
        <v>26</v>
      </c>
      <c r="U895" s="1">
        <v>0</v>
      </c>
    </row>
    <row r="896" spans="1:21" x14ac:dyDescent="0.3">
      <c r="A896" t="s">
        <v>1026</v>
      </c>
      <c r="B896" t="s">
        <v>22</v>
      </c>
      <c r="C896" t="s">
        <v>151</v>
      </c>
      <c r="D896" t="s">
        <v>152</v>
      </c>
      <c r="E896" s="1">
        <v>21.14</v>
      </c>
      <c r="F896" s="1" t="s">
        <v>34</v>
      </c>
      <c r="G896" s="1">
        <v>3</v>
      </c>
      <c r="H896" s="1">
        <v>0</v>
      </c>
      <c r="I896" s="1">
        <v>67</v>
      </c>
      <c r="J896" s="1">
        <v>0.7</v>
      </c>
      <c r="K896" s="1">
        <v>0</v>
      </c>
      <c r="L896" s="1">
        <v>1</v>
      </c>
      <c r="M896" s="1">
        <v>1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 t="s">
        <v>35</v>
      </c>
      <c r="U896" s="1">
        <v>3</v>
      </c>
    </row>
    <row r="897" spans="1:21" x14ac:dyDescent="0.3">
      <c r="A897" t="s">
        <v>1027</v>
      </c>
      <c r="B897" t="s">
        <v>37</v>
      </c>
      <c r="C897" t="s">
        <v>42</v>
      </c>
      <c r="D897" t="s">
        <v>43</v>
      </c>
      <c r="E897" s="1">
        <v>28.1</v>
      </c>
      <c r="F897" s="1" t="s">
        <v>39</v>
      </c>
      <c r="G897" s="1">
        <v>3</v>
      </c>
      <c r="H897" s="1">
        <v>3</v>
      </c>
      <c r="I897" s="1">
        <v>270</v>
      </c>
      <c r="J897" s="1">
        <v>3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 t="s">
        <v>26</v>
      </c>
      <c r="U897" s="1">
        <v>0</v>
      </c>
    </row>
    <row r="898" spans="1:21" x14ac:dyDescent="0.3">
      <c r="A898" t="s">
        <v>1028</v>
      </c>
      <c r="B898" t="s">
        <v>37</v>
      </c>
      <c r="C898" t="s">
        <v>46</v>
      </c>
      <c r="D898" t="s">
        <v>47</v>
      </c>
      <c r="E898" s="1">
        <v>27.39</v>
      </c>
      <c r="F898" s="1" t="s">
        <v>39</v>
      </c>
      <c r="G898" s="1">
        <v>3</v>
      </c>
      <c r="H898" s="1">
        <v>3</v>
      </c>
      <c r="I898" s="1">
        <v>212</v>
      </c>
      <c r="J898" s="1">
        <v>2.4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 t="s">
        <v>26</v>
      </c>
      <c r="U898" s="1">
        <v>0</v>
      </c>
    </row>
    <row r="899" spans="1:21" x14ac:dyDescent="0.3">
      <c r="A899" t="s">
        <v>1029</v>
      </c>
      <c r="B899" t="s">
        <v>22</v>
      </c>
      <c r="C899" t="s">
        <v>391</v>
      </c>
      <c r="D899" t="s">
        <v>392</v>
      </c>
      <c r="E899" s="1">
        <v>27.8</v>
      </c>
      <c r="F899" s="1" t="s">
        <v>39</v>
      </c>
      <c r="G899" s="1">
        <v>3</v>
      </c>
      <c r="H899" s="1">
        <v>2</v>
      </c>
      <c r="I899" s="1">
        <v>193</v>
      </c>
      <c r="J899" s="1">
        <v>2.1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 t="s">
        <v>40</v>
      </c>
      <c r="U899" s="1">
        <v>1</v>
      </c>
    </row>
    <row r="900" spans="1:21" x14ac:dyDescent="0.3">
      <c r="A900" t="s">
        <v>1030</v>
      </c>
      <c r="B900" t="s">
        <v>37</v>
      </c>
      <c r="C900" t="s">
        <v>391</v>
      </c>
      <c r="D900" t="s">
        <v>392</v>
      </c>
      <c r="E900" s="1">
        <v>34.96</v>
      </c>
      <c r="F900" s="1" t="s">
        <v>44</v>
      </c>
      <c r="G900" s="1">
        <v>3</v>
      </c>
      <c r="H900" s="1">
        <v>2</v>
      </c>
      <c r="I900" s="1">
        <v>232</v>
      </c>
      <c r="J900" s="1">
        <v>2.6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1</v>
      </c>
      <c r="R900" s="1">
        <v>0</v>
      </c>
      <c r="S900" s="1">
        <v>0</v>
      </c>
      <c r="T900" s="1" t="s">
        <v>40</v>
      </c>
      <c r="U900" s="1">
        <v>1</v>
      </c>
    </row>
    <row r="901" spans="1:21" x14ac:dyDescent="0.3">
      <c r="A901" t="s">
        <v>1031</v>
      </c>
      <c r="B901" t="s">
        <v>31</v>
      </c>
      <c r="C901" t="s">
        <v>133</v>
      </c>
      <c r="D901" t="s">
        <v>134</v>
      </c>
      <c r="E901" s="1">
        <v>33.950000000000003</v>
      </c>
      <c r="F901" s="1" t="s">
        <v>44</v>
      </c>
      <c r="G901" s="1">
        <v>3</v>
      </c>
      <c r="H901" s="1">
        <v>3</v>
      </c>
      <c r="I901" s="1">
        <v>259</v>
      </c>
      <c r="J901" s="1">
        <v>2.9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1</v>
      </c>
      <c r="Q901" s="1">
        <v>0</v>
      </c>
      <c r="R901" s="1">
        <v>0</v>
      </c>
      <c r="S901" s="1">
        <v>0</v>
      </c>
      <c r="T901" s="1" t="s">
        <v>26</v>
      </c>
      <c r="U901" s="1">
        <v>0</v>
      </c>
    </row>
    <row r="902" spans="1:21" x14ac:dyDescent="0.3">
      <c r="A902" t="s">
        <v>1032</v>
      </c>
      <c r="B902" t="s">
        <v>22</v>
      </c>
      <c r="C902" t="s">
        <v>107</v>
      </c>
      <c r="D902" t="s">
        <v>108</v>
      </c>
      <c r="E902" s="1">
        <v>26.42</v>
      </c>
      <c r="F902" s="1" t="s">
        <v>25</v>
      </c>
      <c r="G902" s="1">
        <v>2</v>
      </c>
      <c r="H902" s="1">
        <v>2</v>
      </c>
      <c r="I902" s="1">
        <v>180</v>
      </c>
      <c r="J902" s="1">
        <v>2</v>
      </c>
      <c r="K902" s="1">
        <v>0</v>
      </c>
      <c r="L902" s="1">
        <v>1</v>
      </c>
      <c r="M902" s="1">
        <v>1</v>
      </c>
      <c r="N902" s="1">
        <v>0</v>
      </c>
      <c r="O902" s="1">
        <v>0</v>
      </c>
      <c r="P902" s="1">
        <v>0</v>
      </c>
      <c r="Q902" s="1">
        <v>1</v>
      </c>
      <c r="R902" s="1">
        <v>0</v>
      </c>
      <c r="S902" s="1">
        <v>0</v>
      </c>
      <c r="T902" s="1" t="s">
        <v>26</v>
      </c>
      <c r="U902" s="1">
        <v>0</v>
      </c>
    </row>
    <row r="903" spans="1:21" x14ac:dyDescent="0.3">
      <c r="A903" t="s">
        <v>1033</v>
      </c>
      <c r="B903" t="s">
        <v>37</v>
      </c>
      <c r="C903" t="s">
        <v>301</v>
      </c>
      <c r="D903" t="s">
        <v>302</v>
      </c>
      <c r="E903" s="1">
        <v>26.1</v>
      </c>
      <c r="F903" s="1" t="s">
        <v>25</v>
      </c>
      <c r="G903" s="1">
        <v>2</v>
      </c>
      <c r="H903" s="1">
        <v>1</v>
      </c>
      <c r="I903" s="1">
        <v>108</v>
      </c>
      <c r="J903" s="1">
        <v>1.2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 t="s">
        <v>40</v>
      </c>
      <c r="U903" s="1">
        <v>1</v>
      </c>
    </row>
    <row r="904" spans="1:21" x14ac:dyDescent="0.3">
      <c r="A904" t="s">
        <v>1034</v>
      </c>
      <c r="B904" t="s">
        <v>31</v>
      </c>
      <c r="C904" t="s">
        <v>136</v>
      </c>
      <c r="D904" t="s">
        <v>137</v>
      </c>
      <c r="E904" s="1">
        <v>25.01</v>
      </c>
      <c r="F904" s="1" t="s">
        <v>25</v>
      </c>
      <c r="G904" s="1">
        <v>1</v>
      </c>
      <c r="H904" s="1">
        <v>1</v>
      </c>
      <c r="I904" s="1">
        <v>61</v>
      </c>
      <c r="J904" s="1">
        <v>0.7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 t="s">
        <v>26</v>
      </c>
      <c r="U904" s="1">
        <v>0</v>
      </c>
    </row>
    <row r="905" spans="1:21" x14ac:dyDescent="0.3">
      <c r="A905" t="s">
        <v>1035</v>
      </c>
      <c r="B905" t="s">
        <v>155</v>
      </c>
      <c r="C905" t="s">
        <v>159</v>
      </c>
      <c r="D905" t="s">
        <v>160</v>
      </c>
      <c r="E905" s="1">
        <v>24.89</v>
      </c>
      <c r="F905" s="1" t="s">
        <v>25</v>
      </c>
      <c r="G905" s="1">
        <v>2</v>
      </c>
      <c r="H905" s="1">
        <v>0</v>
      </c>
      <c r="I905" s="1">
        <v>42</v>
      </c>
      <c r="J905" s="1">
        <v>0.5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 t="s">
        <v>35</v>
      </c>
      <c r="U905" s="1">
        <v>2</v>
      </c>
    </row>
    <row r="906" spans="1:21" x14ac:dyDescent="0.3">
      <c r="A906" t="s">
        <v>1036</v>
      </c>
      <c r="B906" t="s">
        <v>22</v>
      </c>
      <c r="C906" t="s">
        <v>239</v>
      </c>
      <c r="D906" t="s">
        <v>240</v>
      </c>
      <c r="E906" s="1">
        <v>31.53</v>
      </c>
      <c r="F906" s="1" t="s">
        <v>44</v>
      </c>
      <c r="G906" s="1">
        <v>3</v>
      </c>
      <c r="H906" s="1">
        <v>1</v>
      </c>
      <c r="I906" s="1">
        <v>83</v>
      </c>
      <c r="J906" s="1">
        <v>0.9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 t="s">
        <v>40</v>
      </c>
      <c r="U906" s="1">
        <v>2</v>
      </c>
    </row>
    <row r="907" spans="1:21" x14ac:dyDescent="0.3">
      <c r="A907" t="s">
        <v>1037</v>
      </c>
      <c r="B907" t="s">
        <v>64</v>
      </c>
      <c r="C907" t="s">
        <v>80</v>
      </c>
      <c r="D907" t="s">
        <v>81</v>
      </c>
      <c r="E907" s="1">
        <v>27.5</v>
      </c>
      <c r="F907" s="1" t="s">
        <v>39</v>
      </c>
      <c r="G907" s="1">
        <v>2</v>
      </c>
      <c r="H907" s="1">
        <v>0</v>
      </c>
      <c r="I907" s="1">
        <v>53</v>
      </c>
      <c r="J907" s="1">
        <v>0.6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 t="s">
        <v>35</v>
      </c>
      <c r="U907" s="1">
        <v>2</v>
      </c>
    </row>
    <row r="908" spans="1:21" x14ac:dyDescent="0.3">
      <c r="A908" t="s">
        <v>1038</v>
      </c>
      <c r="B908" t="s">
        <v>22</v>
      </c>
      <c r="C908" t="s">
        <v>28</v>
      </c>
      <c r="D908" t="s">
        <v>29</v>
      </c>
      <c r="E908" s="1">
        <v>30.15</v>
      </c>
      <c r="F908" s="1" t="s">
        <v>39</v>
      </c>
      <c r="G908" s="1">
        <v>1</v>
      </c>
      <c r="H908" s="1">
        <v>0</v>
      </c>
      <c r="I908" s="1">
        <v>45</v>
      </c>
      <c r="J908" s="1">
        <v>0.5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 t="s">
        <v>35</v>
      </c>
      <c r="U908" s="1">
        <v>1</v>
      </c>
    </row>
    <row r="909" spans="1:21" x14ac:dyDescent="0.3">
      <c r="A909" t="s">
        <v>1039</v>
      </c>
      <c r="B909" t="s">
        <v>22</v>
      </c>
      <c r="C909" t="s">
        <v>28</v>
      </c>
      <c r="D909" t="s">
        <v>29</v>
      </c>
      <c r="E909" s="1">
        <v>27.3</v>
      </c>
      <c r="F909" s="1" t="s">
        <v>39</v>
      </c>
      <c r="G909" s="1">
        <v>2</v>
      </c>
      <c r="H909" s="1">
        <v>1</v>
      </c>
      <c r="I909" s="1">
        <v>63</v>
      </c>
      <c r="J909" s="1">
        <v>0.7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 t="s">
        <v>40</v>
      </c>
      <c r="U909" s="1">
        <v>1</v>
      </c>
    </row>
    <row r="910" spans="1:21" x14ac:dyDescent="0.3">
      <c r="A910" t="s">
        <v>1040</v>
      </c>
      <c r="B910" t="s">
        <v>64</v>
      </c>
      <c r="C910" t="s">
        <v>107</v>
      </c>
      <c r="D910" t="s">
        <v>108</v>
      </c>
      <c r="E910" s="1">
        <v>28.9</v>
      </c>
      <c r="F910" s="1" t="s">
        <v>39</v>
      </c>
      <c r="G910" s="1">
        <v>1</v>
      </c>
      <c r="H910" s="1">
        <v>0</v>
      </c>
      <c r="I910" s="1">
        <v>1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 t="s">
        <v>35</v>
      </c>
      <c r="U910" s="1">
        <v>1</v>
      </c>
    </row>
    <row r="911" spans="1:21" x14ac:dyDescent="0.3">
      <c r="A911" t="s">
        <v>1041</v>
      </c>
      <c r="B911" t="s">
        <v>22</v>
      </c>
      <c r="C911" t="s">
        <v>301</v>
      </c>
      <c r="D911" t="s">
        <v>302</v>
      </c>
      <c r="E911" s="1">
        <v>29.15</v>
      </c>
      <c r="F911" s="1" t="s">
        <v>39</v>
      </c>
      <c r="G911" s="1">
        <v>3</v>
      </c>
      <c r="H911" s="1">
        <v>3</v>
      </c>
      <c r="I911" s="1">
        <v>264</v>
      </c>
      <c r="J911" s="1">
        <v>2.9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 t="s">
        <v>26</v>
      </c>
      <c r="U911" s="1">
        <v>0</v>
      </c>
    </row>
    <row r="912" spans="1:21" x14ac:dyDescent="0.3">
      <c r="A912" t="s">
        <v>1042</v>
      </c>
      <c r="B912" t="s">
        <v>22</v>
      </c>
      <c r="C912" t="s">
        <v>1146</v>
      </c>
      <c r="D912" t="s">
        <v>1148</v>
      </c>
      <c r="E912" s="1">
        <v>29.07</v>
      </c>
      <c r="F912" s="1" t="s">
        <v>39</v>
      </c>
      <c r="G912" s="1">
        <v>2</v>
      </c>
      <c r="H912" s="1">
        <v>1</v>
      </c>
      <c r="I912" s="1">
        <v>104</v>
      </c>
      <c r="J912" s="1">
        <v>1.2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 t="s">
        <v>40</v>
      </c>
      <c r="U912" s="1">
        <v>1</v>
      </c>
    </row>
    <row r="913" spans="1:21" x14ac:dyDescent="0.3">
      <c r="A913" t="s">
        <v>1043</v>
      </c>
      <c r="B913" t="s">
        <v>64</v>
      </c>
      <c r="C913" t="s">
        <v>101</v>
      </c>
      <c r="D913" t="s">
        <v>102</v>
      </c>
      <c r="E913" s="1">
        <v>28.52</v>
      </c>
      <c r="F913" s="1" t="s">
        <v>39</v>
      </c>
      <c r="G913" s="1">
        <v>1</v>
      </c>
      <c r="H913" s="1">
        <v>0</v>
      </c>
      <c r="I913" s="1">
        <v>32</v>
      </c>
      <c r="J913" s="1">
        <v>0.4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 t="s">
        <v>35</v>
      </c>
      <c r="U913" s="1">
        <v>1</v>
      </c>
    </row>
    <row r="914" spans="1:21" x14ac:dyDescent="0.3">
      <c r="A914" t="s">
        <v>1044</v>
      </c>
      <c r="B914" t="s">
        <v>22</v>
      </c>
      <c r="C914" t="s">
        <v>23</v>
      </c>
      <c r="D914" t="s">
        <v>24</v>
      </c>
      <c r="E914" s="1">
        <v>24.09</v>
      </c>
      <c r="F914" s="1" t="s">
        <v>25</v>
      </c>
      <c r="G914" s="1">
        <v>3</v>
      </c>
      <c r="H914" s="1">
        <v>2</v>
      </c>
      <c r="I914" s="1">
        <v>176</v>
      </c>
      <c r="J914" s="1">
        <v>2</v>
      </c>
      <c r="K914" s="1">
        <v>0</v>
      </c>
      <c r="L914" s="1">
        <v>1</v>
      </c>
      <c r="M914" s="1">
        <v>1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 t="s">
        <v>40</v>
      </c>
      <c r="U914" s="1">
        <v>1</v>
      </c>
    </row>
    <row r="915" spans="1:21" x14ac:dyDescent="0.3">
      <c r="A915" t="s">
        <v>1045</v>
      </c>
      <c r="B915" t="s">
        <v>22</v>
      </c>
      <c r="C915" t="s">
        <v>101</v>
      </c>
      <c r="D915" t="s">
        <v>102</v>
      </c>
      <c r="E915" s="1">
        <v>25.04</v>
      </c>
      <c r="F915" s="1" t="s">
        <v>25</v>
      </c>
      <c r="G915" s="1">
        <v>2</v>
      </c>
      <c r="H915" s="1">
        <v>0</v>
      </c>
      <c r="I915" s="1">
        <v>55</v>
      </c>
      <c r="J915" s="1">
        <v>0.6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 t="s">
        <v>35</v>
      </c>
      <c r="U915" s="1">
        <v>2</v>
      </c>
    </row>
    <row r="916" spans="1:21" x14ac:dyDescent="0.3">
      <c r="A916" t="s">
        <v>1046</v>
      </c>
      <c r="B916" t="s">
        <v>37</v>
      </c>
      <c r="C916" t="s">
        <v>391</v>
      </c>
      <c r="D916" t="s">
        <v>392</v>
      </c>
      <c r="E916" s="1">
        <v>27.65</v>
      </c>
      <c r="F916" s="1" t="s">
        <v>39</v>
      </c>
      <c r="G916" s="1">
        <v>3</v>
      </c>
      <c r="H916" s="1">
        <v>2</v>
      </c>
      <c r="I916" s="1">
        <v>184</v>
      </c>
      <c r="J916" s="1">
        <v>2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 t="s">
        <v>40</v>
      </c>
      <c r="U916" s="1">
        <v>1</v>
      </c>
    </row>
    <row r="917" spans="1:21" x14ac:dyDescent="0.3">
      <c r="A917" t="s">
        <v>1047</v>
      </c>
      <c r="B917" t="s">
        <v>22</v>
      </c>
      <c r="C917" t="s">
        <v>133</v>
      </c>
      <c r="D917" t="s">
        <v>134</v>
      </c>
      <c r="E917" s="1">
        <v>31.8</v>
      </c>
      <c r="F917" s="1" t="s">
        <v>44</v>
      </c>
      <c r="G917" s="1">
        <v>1</v>
      </c>
      <c r="H917" s="1">
        <v>0</v>
      </c>
      <c r="I917" s="1">
        <v>25</v>
      </c>
      <c r="J917" s="1">
        <v>0.3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 t="s">
        <v>35</v>
      </c>
      <c r="U917" s="1">
        <v>1</v>
      </c>
    </row>
    <row r="918" spans="1:21" x14ac:dyDescent="0.3">
      <c r="A918" t="s">
        <v>1048</v>
      </c>
      <c r="B918" t="s">
        <v>37</v>
      </c>
      <c r="C918" t="s">
        <v>118</v>
      </c>
      <c r="D918" t="s">
        <v>119</v>
      </c>
      <c r="E918" s="1">
        <v>29.47</v>
      </c>
      <c r="F918" s="1" t="s">
        <v>39</v>
      </c>
      <c r="G918" s="1">
        <v>1</v>
      </c>
      <c r="H918" s="1">
        <v>0</v>
      </c>
      <c r="I918" s="1">
        <v>6</v>
      </c>
      <c r="J918" s="1">
        <v>0.1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 t="s">
        <v>35</v>
      </c>
      <c r="U918" s="1">
        <v>1</v>
      </c>
    </row>
    <row r="919" spans="1:21" x14ac:dyDescent="0.3">
      <c r="A919" t="s">
        <v>1049</v>
      </c>
      <c r="B919" t="s">
        <v>31</v>
      </c>
      <c r="C919" t="s">
        <v>209</v>
      </c>
      <c r="D919" t="s">
        <v>210</v>
      </c>
      <c r="E919" s="1">
        <v>26.33</v>
      </c>
      <c r="F919" s="1" t="s">
        <v>25</v>
      </c>
      <c r="G919" s="1">
        <v>3</v>
      </c>
      <c r="H919" s="1">
        <v>1</v>
      </c>
      <c r="I919" s="1">
        <v>140</v>
      </c>
      <c r="J919" s="1">
        <v>1.6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 t="s">
        <v>40</v>
      </c>
      <c r="U919" s="1">
        <v>2</v>
      </c>
    </row>
    <row r="920" spans="1:21" x14ac:dyDescent="0.3">
      <c r="A920" t="s">
        <v>1050</v>
      </c>
      <c r="B920" t="s">
        <v>31</v>
      </c>
      <c r="C920" t="s">
        <v>42</v>
      </c>
      <c r="D920" t="s">
        <v>43</v>
      </c>
      <c r="E920" s="1">
        <v>23.96</v>
      </c>
      <c r="F920" s="1" t="s">
        <v>25</v>
      </c>
      <c r="G920" s="1">
        <v>3</v>
      </c>
      <c r="H920" s="1">
        <v>1</v>
      </c>
      <c r="I920" s="1">
        <v>84</v>
      </c>
      <c r="J920" s="1">
        <v>0.9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 t="s">
        <v>40</v>
      </c>
      <c r="U920" s="1">
        <v>2</v>
      </c>
    </row>
    <row r="921" spans="1:21" x14ac:dyDescent="0.3">
      <c r="A921" t="s">
        <v>1051</v>
      </c>
      <c r="B921" t="s">
        <v>22</v>
      </c>
      <c r="C921" t="s">
        <v>77</v>
      </c>
      <c r="D921" t="s">
        <v>78</v>
      </c>
      <c r="E921" s="1">
        <v>20.329999999999998</v>
      </c>
      <c r="F921" s="1" t="s">
        <v>34</v>
      </c>
      <c r="G921" s="1">
        <v>2</v>
      </c>
      <c r="H921" s="1">
        <v>1</v>
      </c>
      <c r="I921" s="1">
        <v>79</v>
      </c>
      <c r="J921" s="1">
        <v>0.9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 t="s">
        <v>40</v>
      </c>
      <c r="U921" s="1">
        <v>1</v>
      </c>
    </row>
    <row r="922" spans="1:21" x14ac:dyDescent="0.3">
      <c r="A922" t="s">
        <v>1052</v>
      </c>
      <c r="B922" t="s">
        <v>31</v>
      </c>
      <c r="C922" t="s">
        <v>231</v>
      </c>
      <c r="D922" t="s">
        <v>232</v>
      </c>
      <c r="E922" s="1">
        <v>22.26</v>
      </c>
      <c r="F922" s="1" t="s">
        <v>34</v>
      </c>
      <c r="G922" s="1">
        <v>2</v>
      </c>
      <c r="H922" s="1">
        <v>2</v>
      </c>
      <c r="I922" s="1">
        <v>118</v>
      </c>
      <c r="J922" s="1">
        <v>1.3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 t="s">
        <v>26</v>
      </c>
      <c r="U922" s="1">
        <v>0</v>
      </c>
    </row>
    <row r="923" spans="1:21" x14ac:dyDescent="0.3">
      <c r="A923" t="s">
        <v>1053</v>
      </c>
      <c r="B923" t="s">
        <v>22</v>
      </c>
      <c r="C923" t="s">
        <v>32</v>
      </c>
      <c r="D923" t="s">
        <v>33</v>
      </c>
      <c r="E923" s="1">
        <v>31.74</v>
      </c>
      <c r="F923" s="1" t="s">
        <v>44</v>
      </c>
      <c r="G923" s="1">
        <v>2</v>
      </c>
      <c r="H923" s="1">
        <v>1</v>
      </c>
      <c r="I923" s="1">
        <v>105</v>
      </c>
      <c r="J923" s="1">
        <v>1.2</v>
      </c>
      <c r="K923" s="1">
        <v>1</v>
      </c>
      <c r="L923" s="1">
        <v>1</v>
      </c>
      <c r="M923" s="1">
        <v>2</v>
      </c>
      <c r="N923" s="1">
        <v>1</v>
      </c>
      <c r="O923" s="1">
        <v>0</v>
      </c>
      <c r="P923" s="1">
        <v>0</v>
      </c>
      <c r="Q923" s="1">
        <v>0</v>
      </c>
      <c r="R923" s="1">
        <v>0</v>
      </c>
      <c r="S923" s="1">
        <v>0.83299999999999996</v>
      </c>
      <c r="T923" s="1" t="s">
        <v>40</v>
      </c>
      <c r="U923" s="1">
        <v>1</v>
      </c>
    </row>
    <row r="924" spans="1:21" x14ac:dyDescent="0.3">
      <c r="A924" t="s">
        <v>1054</v>
      </c>
      <c r="B924" t="s">
        <v>64</v>
      </c>
      <c r="C924" t="s">
        <v>181</v>
      </c>
      <c r="D924" t="s">
        <v>182</v>
      </c>
      <c r="E924" s="1">
        <v>26.5</v>
      </c>
      <c r="F924" s="1" t="s">
        <v>25</v>
      </c>
      <c r="G924" s="1">
        <v>1</v>
      </c>
      <c r="H924" s="1">
        <v>0</v>
      </c>
      <c r="I924" s="1">
        <v>28</v>
      </c>
      <c r="J924" s="1">
        <v>0.3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 t="s">
        <v>35</v>
      </c>
      <c r="U924" s="1">
        <v>1</v>
      </c>
    </row>
    <row r="925" spans="1:21" x14ac:dyDescent="0.3">
      <c r="A925" t="s">
        <v>1055</v>
      </c>
      <c r="B925" t="s">
        <v>22</v>
      </c>
      <c r="C925" t="s">
        <v>301</v>
      </c>
      <c r="D925" t="s">
        <v>302</v>
      </c>
      <c r="E925" s="1">
        <v>31.57</v>
      </c>
      <c r="F925" s="1" t="s">
        <v>44</v>
      </c>
      <c r="G925" s="1">
        <v>3</v>
      </c>
      <c r="H925" s="1">
        <v>3</v>
      </c>
      <c r="I925" s="1">
        <v>251</v>
      </c>
      <c r="J925" s="1">
        <v>2.8</v>
      </c>
      <c r="K925" s="1">
        <v>2</v>
      </c>
      <c r="L925" s="1">
        <v>0</v>
      </c>
      <c r="M925" s="1">
        <v>2</v>
      </c>
      <c r="N925" s="1">
        <v>2</v>
      </c>
      <c r="O925" s="1">
        <v>0</v>
      </c>
      <c r="P925" s="1">
        <v>0</v>
      </c>
      <c r="Q925" s="1">
        <v>0</v>
      </c>
      <c r="R925" s="1">
        <v>0</v>
      </c>
      <c r="S925" s="1">
        <v>0.71399999999999997</v>
      </c>
      <c r="T925" s="1" t="s">
        <v>26</v>
      </c>
      <c r="U925" s="1">
        <v>0</v>
      </c>
    </row>
    <row r="926" spans="1:21" x14ac:dyDescent="0.3">
      <c r="A926" t="s">
        <v>1056</v>
      </c>
      <c r="B926" t="s">
        <v>37</v>
      </c>
      <c r="C926" t="s">
        <v>23</v>
      </c>
      <c r="D926" t="s">
        <v>24</v>
      </c>
      <c r="E926" s="1">
        <v>27.88</v>
      </c>
      <c r="F926" s="1" t="s">
        <v>39</v>
      </c>
      <c r="G926" s="1">
        <v>2</v>
      </c>
      <c r="H926" s="1">
        <v>1</v>
      </c>
      <c r="I926" s="1">
        <v>101</v>
      </c>
      <c r="J926" s="1">
        <v>1.1000000000000001</v>
      </c>
      <c r="K926" s="1">
        <v>1</v>
      </c>
      <c r="L926" s="1">
        <v>0</v>
      </c>
      <c r="M926" s="1">
        <v>1</v>
      </c>
      <c r="N926" s="1">
        <v>1</v>
      </c>
      <c r="O926" s="1">
        <v>0</v>
      </c>
      <c r="P926" s="1">
        <v>0</v>
      </c>
      <c r="Q926" s="1">
        <v>0</v>
      </c>
      <c r="R926" s="1">
        <v>0</v>
      </c>
      <c r="S926" s="1">
        <v>0.90900000000000003</v>
      </c>
      <c r="T926" s="1" t="s">
        <v>40</v>
      </c>
      <c r="U926" s="1">
        <v>1</v>
      </c>
    </row>
    <row r="927" spans="1:21" x14ac:dyDescent="0.3">
      <c r="A927" t="s">
        <v>1057</v>
      </c>
      <c r="B927" t="s">
        <v>37</v>
      </c>
      <c r="C927" t="s">
        <v>213</v>
      </c>
      <c r="D927" t="s">
        <v>214</v>
      </c>
      <c r="E927" s="1">
        <v>28.62</v>
      </c>
      <c r="F927" s="1" t="s">
        <v>39</v>
      </c>
      <c r="G927" s="1">
        <v>3</v>
      </c>
      <c r="H927" s="1">
        <v>3</v>
      </c>
      <c r="I927" s="1">
        <v>270</v>
      </c>
      <c r="J927" s="1">
        <v>3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 t="s">
        <v>26</v>
      </c>
      <c r="U927" s="1">
        <v>0</v>
      </c>
    </row>
    <row r="928" spans="1:21" x14ac:dyDescent="0.3">
      <c r="A928" t="s">
        <v>1058</v>
      </c>
      <c r="B928" t="s">
        <v>61</v>
      </c>
      <c r="C928" t="s">
        <v>23</v>
      </c>
      <c r="D928" t="s">
        <v>24</v>
      </c>
      <c r="E928" s="1">
        <v>32.020000000000003</v>
      </c>
      <c r="F928" s="1" t="s">
        <v>44</v>
      </c>
      <c r="G928" s="1">
        <v>1</v>
      </c>
      <c r="H928" s="1">
        <v>1</v>
      </c>
      <c r="I928" s="1">
        <v>90</v>
      </c>
      <c r="J928" s="1">
        <v>1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 t="s">
        <v>26</v>
      </c>
      <c r="U928" s="1">
        <v>0</v>
      </c>
    </row>
    <row r="929" spans="1:21" x14ac:dyDescent="0.3">
      <c r="A929" t="s">
        <v>1059</v>
      </c>
      <c r="B929" t="s">
        <v>31</v>
      </c>
      <c r="C929" t="s">
        <v>391</v>
      </c>
      <c r="D929" t="s">
        <v>392</v>
      </c>
      <c r="E929" s="1">
        <v>27.8</v>
      </c>
      <c r="F929" s="1" t="s">
        <v>39</v>
      </c>
      <c r="G929" s="1">
        <v>4</v>
      </c>
      <c r="H929" s="1">
        <v>4</v>
      </c>
      <c r="I929" s="1">
        <v>321</v>
      </c>
      <c r="J929" s="1">
        <v>3.6</v>
      </c>
      <c r="K929" s="1">
        <v>2</v>
      </c>
      <c r="L929" s="1">
        <v>1</v>
      </c>
      <c r="M929" s="1">
        <v>3</v>
      </c>
      <c r="N929" s="1">
        <v>2</v>
      </c>
      <c r="O929" s="1">
        <v>0</v>
      </c>
      <c r="P929" s="1">
        <v>0</v>
      </c>
      <c r="Q929" s="1">
        <v>0</v>
      </c>
      <c r="R929" s="1">
        <v>0</v>
      </c>
      <c r="S929" s="1">
        <v>0.55600000000000005</v>
      </c>
      <c r="T929" s="1" t="s">
        <v>26</v>
      </c>
      <c r="U929" s="1">
        <v>0</v>
      </c>
    </row>
    <row r="930" spans="1:21" x14ac:dyDescent="0.3">
      <c r="A930" t="s">
        <v>1060</v>
      </c>
      <c r="B930" t="s">
        <v>22</v>
      </c>
      <c r="C930" t="s">
        <v>89</v>
      </c>
      <c r="D930" t="s">
        <v>90</v>
      </c>
      <c r="E930" s="1">
        <v>25.22</v>
      </c>
      <c r="F930" s="1" t="s">
        <v>25</v>
      </c>
      <c r="G930" s="1">
        <v>3</v>
      </c>
      <c r="H930" s="1">
        <v>3</v>
      </c>
      <c r="I930" s="1">
        <v>184</v>
      </c>
      <c r="J930" s="1">
        <v>2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 t="s">
        <v>26</v>
      </c>
      <c r="U930" s="1">
        <v>0</v>
      </c>
    </row>
    <row r="931" spans="1:21" x14ac:dyDescent="0.3">
      <c r="A931" t="s">
        <v>1061</v>
      </c>
      <c r="B931" t="s">
        <v>31</v>
      </c>
      <c r="C931" t="s">
        <v>159</v>
      </c>
      <c r="D931" t="s">
        <v>160</v>
      </c>
      <c r="E931" s="1">
        <v>29.95</v>
      </c>
      <c r="F931" s="1" t="s">
        <v>39</v>
      </c>
      <c r="G931" s="1">
        <v>4</v>
      </c>
      <c r="H931" s="1">
        <v>1</v>
      </c>
      <c r="I931" s="1">
        <v>151</v>
      </c>
      <c r="J931" s="1">
        <v>1.7</v>
      </c>
      <c r="K931" s="1">
        <v>3</v>
      </c>
      <c r="L931" s="1">
        <v>2</v>
      </c>
      <c r="M931" s="1">
        <v>5</v>
      </c>
      <c r="N931" s="1">
        <v>3</v>
      </c>
      <c r="O931" s="1">
        <v>0</v>
      </c>
      <c r="P931" s="1">
        <v>0</v>
      </c>
      <c r="Q931" s="1">
        <v>0</v>
      </c>
      <c r="R931" s="1">
        <v>0</v>
      </c>
      <c r="S931" s="1">
        <v>1.7649999999999999</v>
      </c>
      <c r="T931" s="1" t="s">
        <v>40</v>
      </c>
      <c r="U931" s="1">
        <v>3</v>
      </c>
    </row>
    <row r="932" spans="1:21" x14ac:dyDescent="0.3">
      <c r="A932" t="s">
        <v>1062</v>
      </c>
      <c r="B932" t="s">
        <v>37</v>
      </c>
      <c r="C932" t="s">
        <v>107</v>
      </c>
      <c r="D932" t="s">
        <v>108</v>
      </c>
      <c r="E932" s="1">
        <v>27.67</v>
      </c>
      <c r="F932" s="1" t="s">
        <v>39</v>
      </c>
      <c r="G932" s="1">
        <v>3</v>
      </c>
      <c r="H932" s="1">
        <v>3</v>
      </c>
      <c r="I932" s="1">
        <v>255</v>
      </c>
      <c r="J932" s="1">
        <v>2.8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 t="s">
        <v>26</v>
      </c>
      <c r="U932" s="1">
        <v>0</v>
      </c>
    </row>
    <row r="933" spans="1:21" x14ac:dyDescent="0.3">
      <c r="A933" t="s">
        <v>1063</v>
      </c>
      <c r="B933" t="s">
        <v>37</v>
      </c>
      <c r="C933" t="s">
        <v>49</v>
      </c>
      <c r="D933" t="s">
        <v>50</v>
      </c>
      <c r="E933" s="1">
        <v>22.45</v>
      </c>
      <c r="F933" s="1" t="s">
        <v>34</v>
      </c>
      <c r="G933" s="1">
        <v>2</v>
      </c>
      <c r="H933" s="1">
        <v>1</v>
      </c>
      <c r="I933" s="1">
        <v>95</v>
      </c>
      <c r="J933" s="1">
        <v>1.1000000000000001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 t="s">
        <v>40</v>
      </c>
      <c r="U933" s="1">
        <v>1</v>
      </c>
    </row>
    <row r="934" spans="1:21" x14ac:dyDescent="0.3">
      <c r="A934" t="s">
        <v>1064</v>
      </c>
      <c r="B934" t="s">
        <v>22</v>
      </c>
      <c r="C934" t="s">
        <v>49</v>
      </c>
      <c r="D934" t="s">
        <v>50</v>
      </c>
      <c r="E934" s="1">
        <v>25.53</v>
      </c>
      <c r="F934" s="1" t="s">
        <v>25</v>
      </c>
      <c r="G934" s="1">
        <v>2</v>
      </c>
      <c r="H934" s="1">
        <v>1</v>
      </c>
      <c r="I934" s="1">
        <v>63</v>
      </c>
      <c r="J934" s="1">
        <v>0.7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 t="s">
        <v>40</v>
      </c>
      <c r="U934" s="1">
        <v>1</v>
      </c>
    </row>
    <row r="935" spans="1:21" x14ac:dyDescent="0.3">
      <c r="A935" t="s">
        <v>1065</v>
      </c>
      <c r="B935" t="s">
        <v>22</v>
      </c>
      <c r="C935" t="s">
        <v>104</v>
      </c>
      <c r="D935" t="s">
        <v>105</v>
      </c>
      <c r="E935" s="1">
        <v>20.63</v>
      </c>
      <c r="F935" s="1" t="s">
        <v>34</v>
      </c>
      <c r="G935" s="1">
        <v>2</v>
      </c>
      <c r="H935" s="1">
        <v>0</v>
      </c>
      <c r="I935" s="1">
        <v>38</v>
      </c>
      <c r="J935" s="1">
        <v>0.4</v>
      </c>
      <c r="K935" s="1">
        <v>0</v>
      </c>
      <c r="L935" s="1">
        <v>1</v>
      </c>
      <c r="M935" s="1">
        <v>1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 t="s">
        <v>35</v>
      </c>
      <c r="U935" s="1">
        <v>2</v>
      </c>
    </row>
    <row r="936" spans="1:21" x14ac:dyDescent="0.3">
      <c r="A936" t="s">
        <v>1066</v>
      </c>
      <c r="B936" t="s">
        <v>31</v>
      </c>
      <c r="C936" t="s">
        <v>118</v>
      </c>
      <c r="D936" t="s">
        <v>119</v>
      </c>
      <c r="E936" s="1">
        <v>36.65</v>
      </c>
      <c r="F936" s="1" t="s">
        <v>74</v>
      </c>
      <c r="G936" s="1">
        <v>3</v>
      </c>
      <c r="H936" s="1">
        <v>3</v>
      </c>
      <c r="I936" s="1">
        <v>229</v>
      </c>
      <c r="J936" s="1">
        <v>2.5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 t="s">
        <v>26</v>
      </c>
      <c r="U936" s="1">
        <v>0</v>
      </c>
    </row>
    <row r="937" spans="1:21" x14ac:dyDescent="0.3">
      <c r="A937" t="s">
        <v>1067</v>
      </c>
      <c r="B937" t="s">
        <v>37</v>
      </c>
      <c r="C937" t="s">
        <v>42</v>
      </c>
      <c r="D937" t="s">
        <v>43</v>
      </c>
      <c r="E937" s="1">
        <v>27.35</v>
      </c>
      <c r="F937" s="1" t="s">
        <v>39</v>
      </c>
      <c r="G937" s="1">
        <v>3</v>
      </c>
      <c r="H937" s="1">
        <v>3</v>
      </c>
      <c r="I937" s="1">
        <v>251</v>
      </c>
      <c r="J937" s="1">
        <v>2.8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 t="s">
        <v>26</v>
      </c>
      <c r="U937" s="1">
        <v>0</v>
      </c>
    </row>
    <row r="938" spans="1:21" x14ac:dyDescent="0.3">
      <c r="A938" t="s">
        <v>1068</v>
      </c>
      <c r="B938" t="s">
        <v>22</v>
      </c>
      <c r="C938" t="s">
        <v>89</v>
      </c>
      <c r="D938" t="s">
        <v>90</v>
      </c>
      <c r="E938" s="1">
        <v>27.94</v>
      </c>
      <c r="F938" s="1" t="s">
        <v>39</v>
      </c>
      <c r="G938" s="1">
        <v>3</v>
      </c>
      <c r="H938" s="1">
        <v>3</v>
      </c>
      <c r="I938" s="1">
        <v>236</v>
      </c>
      <c r="J938" s="1">
        <v>2.6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 t="s">
        <v>26</v>
      </c>
      <c r="U938" s="1">
        <v>0</v>
      </c>
    </row>
    <row r="939" spans="1:21" x14ac:dyDescent="0.3">
      <c r="A939" t="s">
        <v>1069</v>
      </c>
      <c r="B939" t="s">
        <v>37</v>
      </c>
      <c r="C939" t="s">
        <v>101</v>
      </c>
      <c r="D939" t="s">
        <v>102</v>
      </c>
      <c r="E939" s="1">
        <v>34.979999999999997</v>
      </c>
      <c r="F939" s="1" t="s">
        <v>44</v>
      </c>
      <c r="G939" s="1">
        <v>4</v>
      </c>
      <c r="H939" s="1">
        <v>4</v>
      </c>
      <c r="I939" s="1">
        <v>390</v>
      </c>
      <c r="J939" s="1">
        <v>4.3</v>
      </c>
      <c r="K939" s="1">
        <v>1</v>
      </c>
      <c r="L939" s="1">
        <v>1</v>
      </c>
      <c r="M939" s="1">
        <v>2</v>
      </c>
      <c r="N939" s="1">
        <v>1</v>
      </c>
      <c r="O939" s="1">
        <v>0</v>
      </c>
      <c r="P939" s="1">
        <v>0</v>
      </c>
      <c r="Q939" s="1">
        <v>0</v>
      </c>
      <c r="R939" s="1">
        <v>0</v>
      </c>
      <c r="S939" s="1">
        <v>0.23300000000000001</v>
      </c>
      <c r="T939" s="1" t="s">
        <v>26</v>
      </c>
      <c r="U939" s="1">
        <v>0</v>
      </c>
    </row>
    <row r="940" spans="1:21" x14ac:dyDescent="0.3">
      <c r="A940" t="s">
        <v>1070</v>
      </c>
      <c r="B940" t="s">
        <v>22</v>
      </c>
      <c r="C940" t="s">
        <v>301</v>
      </c>
      <c r="D940" t="s">
        <v>302</v>
      </c>
      <c r="E940" s="1">
        <v>33.85</v>
      </c>
      <c r="F940" s="1" t="s">
        <v>44</v>
      </c>
      <c r="G940" s="1">
        <v>3</v>
      </c>
      <c r="H940" s="1">
        <v>1</v>
      </c>
      <c r="I940" s="1">
        <v>128</v>
      </c>
      <c r="J940" s="1">
        <v>1.4</v>
      </c>
      <c r="K940" s="1">
        <v>0</v>
      </c>
      <c r="L940" s="1">
        <v>1</v>
      </c>
      <c r="M940" s="1">
        <v>1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 t="s">
        <v>40</v>
      </c>
      <c r="U940" s="1">
        <v>2</v>
      </c>
    </row>
    <row r="941" spans="1:21" x14ac:dyDescent="0.3">
      <c r="A941" t="s">
        <v>1071</v>
      </c>
      <c r="B941" t="s">
        <v>37</v>
      </c>
      <c r="C941" t="s">
        <v>89</v>
      </c>
      <c r="D941" t="s">
        <v>90</v>
      </c>
      <c r="E941" s="1">
        <v>33.270000000000003</v>
      </c>
      <c r="F941" s="1" t="s">
        <v>44</v>
      </c>
      <c r="G941" s="1">
        <v>3</v>
      </c>
      <c r="H941" s="1">
        <v>3</v>
      </c>
      <c r="I941" s="1">
        <v>270</v>
      </c>
      <c r="J941" s="1">
        <v>3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1</v>
      </c>
      <c r="R941" s="1">
        <v>0</v>
      </c>
      <c r="S941" s="1">
        <v>0</v>
      </c>
      <c r="T941" s="1" t="s">
        <v>26</v>
      </c>
      <c r="U941" s="1">
        <v>0</v>
      </c>
    </row>
    <row r="942" spans="1:21" x14ac:dyDescent="0.3">
      <c r="A942" t="s">
        <v>1072</v>
      </c>
      <c r="B942" t="s">
        <v>31</v>
      </c>
      <c r="C942" t="s">
        <v>184</v>
      </c>
      <c r="D942" t="s">
        <v>185</v>
      </c>
      <c r="E942" s="1">
        <v>24.16</v>
      </c>
      <c r="F942" s="1" t="s">
        <v>25</v>
      </c>
      <c r="G942" s="1">
        <v>2</v>
      </c>
      <c r="H942" s="1">
        <v>0</v>
      </c>
      <c r="I942" s="1">
        <v>63</v>
      </c>
      <c r="J942" s="1">
        <v>0.7</v>
      </c>
      <c r="K942" s="1">
        <v>1</v>
      </c>
      <c r="L942" s="1">
        <v>0</v>
      </c>
      <c r="M942" s="1">
        <v>1</v>
      </c>
      <c r="N942" s="1">
        <v>1</v>
      </c>
      <c r="O942" s="1">
        <v>0</v>
      </c>
      <c r="P942" s="1">
        <v>0</v>
      </c>
      <c r="Q942" s="1">
        <v>0</v>
      </c>
      <c r="R942" s="1">
        <v>0</v>
      </c>
      <c r="S942" s="1">
        <v>1.429</v>
      </c>
      <c r="T942" s="1" t="s">
        <v>35</v>
      </c>
      <c r="U942" s="1">
        <v>2</v>
      </c>
    </row>
    <row r="943" spans="1:21" x14ac:dyDescent="0.3">
      <c r="A943" t="s">
        <v>1073</v>
      </c>
      <c r="B943" t="s">
        <v>61</v>
      </c>
      <c r="C943" t="s">
        <v>189</v>
      </c>
      <c r="D943" t="s">
        <v>190</v>
      </c>
      <c r="E943" s="1">
        <v>37.31</v>
      </c>
      <c r="F943" s="1" t="s">
        <v>74</v>
      </c>
      <c r="G943" s="1">
        <v>3</v>
      </c>
      <c r="H943" s="1">
        <v>3</v>
      </c>
      <c r="I943" s="1">
        <v>270</v>
      </c>
      <c r="J943" s="1">
        <v>3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 t="s">
        <v>26</v>
      </c>
      <c r="U943" s="1">
        <v>0</v>
      </c>
    </row>
    <row r="944" spans="1:21" x14ac:dyDescent="0.3">
      <c r="A944" t="s">
        <v>1074</v>
      </c>
      <c r="B944" t="s">
        <v>22</v>
      </c>
      <c r="C944" t="s">
        <v>145</v>
      </c>
      <c r="D944" t="s">
        <v>146</v>
      </c>
      <c r="E944" s="1">
        <v>20.9</v>
      </c>
      <c r="F944" s="1" t="s">
        <v>34</v>
      </c>
      <c r="G944" s="1">
        <v>2</v>
      </c>
      <c r="H944" s="1">
        <v>0</v>
      </c>
      <c r="I944" s="1">
        <v>48</v>
      </c>
      <c r="J944" s="1">
        <v>0.5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 t="s">
        <v>35</v>
      </c>
      <c r="U944" s="1">
        <v>2</v>
      </c>
    </row>
    <row r="945" spans="1:21" x14ac:dyDescent="0.3">
      <c r="A945" t="s">
        <v>1075</v>
      </c>
      <c r="B945" t="s">
        <v>22</v>
      </c>
      <c r="C945" t="s">
        <v>84</v>
      </c>
      <c r="D945" t="s">
        <v>85</v>
      </c>
      <c r="E945" s="1">
        <v>27.9</v>
      </c>
      <c r="F945" s="1" t="s">
        <v>39</v>
      </c>
      <c r="G945" s="1">
        <v>3</v>
      </c>
      <c r="H945" s="1">
        <v>2</v>
      </c>
      <c r="I945" s="1">
        <v>177</v>
      </c>
      <c r="J945" s="1">
        <v>2</v>
      </c>
      <c r="K945" s="1">
        <v>2</v>
      </c>
      <c r="L945" s="1">
        <v>1</v>
      </c>
      <c r="M945" s="1">
        <v>3</v>
      </c>
      <c r="N945" s="1">
        <v>2</v>
      </c>
      <c r="O945" s="1">
        <v>0</v>
      </c>
      <c r="P945" s="1">
        <v>0</v>
      </c>
      <c r="Q945" s="1">
        <v>0</v>
      </c>
      <c r="R945" s="1">
        <v>0</v>
      </c>
      <c r="S945" s="1">
        <v>1</v>
      </c>
      <c r="T945" s="1" t="s">
        <v>40</v>
      </c>
      <c r="U945" s="1">
        <v>1</v>
      </c>
    </row>
    <row r="946" spans="1:21" x14ac:dyDescent="0.3">
      <c r="A946" t="s">
        <v>1076</v>
      </c>
      <c r="B946" t="s">
        <v>61</v>
      </c>
      <c r="C946" t="s">
        <v>115</v>
      </c>
      <c r="D946" t="s">
        <v>116</v>
      </c>
      <c r="E946" s="1">
        <v>30.57</v>
      </c>
      <c r="F946" s="1" t="s">
        <v>39</v>
      </c>
      <c r="G946" s="1">
        <v>3</v>
      </c>
      <c r="H946" s="1">
        <v>3</v>
      </c>
      <c r="I946" s="1">
        <v>270</v>
      </c>
      <c r="J946" s="1">
        <v>3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 t="s">
        <v>26</v>
      </c>
      <c r="U946" s="1">
        <v>0</v>
      </c>
    </row>
    <row r="947" spans="1:21" x14ac:dyDescent="0.3">
      <c r="A947" t="s">
        <v>1077</v>
      </c>
      <c r="B947" t="s">
        <v>37</v>
      </c>
      <c r="C947" t="s">
        <v>145</v>
      </c>
      <c r="D947" t="s">
        <v>146</v>
      </c>
      <c r="E947" s="1">
        <v>27.69</v>
      </c>
      <c r="F947" s="1" t="s">
        <v>39</v>
      </c>
      <c r="G947" s="1">
        <v>2</v>
      </c>
      <c r="H947" s="1">
        <v>2</v>
      </c>
      <c r="I947" s="1">
        <v>180</v>
      </c>
      <c r="J947" s="1">
        <v>2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 t="s">
        <v>26</v>
      </c>
      <c r="U947" s="1">
        <v>0</v>
      </c>
    </row>
    <row r="948" spans="1:21" x14ac:dyDescent="0.3">
      <c r="A948" t="s">
        <v>1078</v>
      </c>
      <c r="B948" t="s">
        <v>64</v>
      </c>
      <c r="C948" t="s">
        <v>145</v>
      </c>
      <c r="D948" t="s">
        <v>146</v>
      </c>
      <c r="E948" s="1">
        <v>28.59</v>
      </c>
      <c r="F948" s="1" t="s">
        <v>39</v>
      </c>
      <c r="G948" s="1">
        <v>1</v>
      </c>
      <c r="H948" s="1">
        <v>0</v>
      </c>
      <c r="I948" s="1">
        <v>12</v>
      </c>
      <c r="J948" s="1">
        <v>0.1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 t="s">
        <v>35</v>
      </c>
      <c r="U948" s="1">
        <v>1</v>
      </c>
    </row>
    <row r="949" spans="1:21" x14ac:dyDescent="0.3">
      <c r="A949" t="s">
        <v>1079</v>
      </c>
      <c r="B949" t="s">
        <v>37</v>
      </c>
      <c r="C949" t="s">
        <v>181</v>
      </c>
      <c r="D949" t="s">
        <v>182</v>
      </c>
      <c r="E949" s="1">
        <v>22.92</v>
      </c>
      <c r="F949" s="1" t="s">
        <v>34</v>
      </c>
      <c r="G949" s="1">
        <v>3</v>
      </c>
      <c r="H949" s="1">
        <v>3</v>
      </c>
      <c r="I949" s="1">
        <v>270</v>
      </c>
      <c r="J949" s="1">
        <v>3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1</v>
      </c>
      <c r="R949" s="1">
        <v>0</v>
      </c>
      <c r="S949" s="1">
        <v>0</v>
      </c>
      <c r="T949" s="1" t="s">
        <v>26</v>
      </c>
      <c r="U949" s="1">
        <v>0</v>
      </c>
    </row>
    <row r="950" spans="1:21" x14ac:dyDescent="0.3">
      <c r="A950" t="s">
        <v>1080</v>
      </c>
      <c r="B950" t="s">
        <v>37</v>
      </c>
      <c r="C950" t="s">
        <v>121</v>
      </c>
      <c r="D950" t="s">
        <v>122</v>
      </c>
      <c r="E950" s="1">
        <v>35.200000000000003</v>
      </c>
      <c r="F950" s="1" t="s">
        <v>74</v>
      </c>
      <c r="G950" s="1">
        <v>4</v>
      </c>
      <c r="H950" s="1">
        <v>1</v>
      </c>
      <c r="I950" s="1">
        <v>156</v>
      </c>
      <c r="J950" s="1">
        <v>1.7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 t="s">
        <v>40</v>
      </c>
      <c r="U950" s="1">
        <v>3</v>
      </c>
    </row>
    <row r="951" spans="1:21" x14ac:dyDescent="0.3">
      <c r="A951" t="s">
        <v>1081</v>
      </c>
      <c r="B951" t="s">
        <v>22</v>
      </c>
      <c r="C951" t="s">
        <v>231</v>
      </c>
      <c r="D951" t="s">
        <v>232</v>
      </c>
      <c r="E951" s="1">
        <v>25.15</v>
      </c>
      <c r="F951" s="1" t="s">
        <v>25</v>
      </c>
      <c r="G951" s="1">
        <v>2</v>
      </c>
      <c r="H951" s="1">
        <v>1</v>
      </c>
      <c r="I951" s="1">
        <v>75</v>
      </c>
      <c r="J951" s="1">
        <v>0.8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 t="s">
        <v>40</v>
      </c>
      <c r="U951" s="1">
        <v>1</v>
      </c>
    </row>
    <row r="952" spans="1:21" x14ac:dyDescent="0.3">
      <c r="A952" t="s">
        <v>1082</v>
      </c>
      <c r="B952" t="s">
        <v>155</v>
      </c>
      <c r="C952" t="s">
        <v>101</v>
      </c>
      <c r="D952" t="s">
        <v>102</v>
      </c>
      <c r="E952" s="1">
        <v>25.2</v>
      </c>
      <c r="F952" s="1" t="s">
        <v>25</v>
      </c>
      <c r="G952" s="1">
        <v>3</v>
      </c>
      <c r="H952" s="1">
        <v>3</v>
      </c>
      <c r="I952" s="1">
        <v>265</v>
      </c>
      <c r="J952" s="1">
        <v>2.9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1</v>
      </c>
      <c r="R952" s="1">
        <v>0</v>
      </c>
      <c r="S952" s="1">
        <v>0</v>
      </c>
      <c r="T952" s="1" t="s">
        <v>26</v>
      </c>
      <c r="U952" s="1">
        <v>0</v>
      </c>
    </row>
    <row r="953" spans="1:21" x14ac:dyDescent="0.3">
      <c r="A953" t="s">
        <v>1083</v>
      </c>
      <c r="B953" t="s">
        <v>61</v>
      </c>
      <c r="C953" t="s">
        <v>101</v>
      </c>
      <c r="D953" t="s">
        <v>102</v>
      </c>
      <c r="E953" s="1">
        <v>23.87</v>
      </c>
      <c r="F953" s="1" t="s">
        <v>25</v>
      </c>
      <c r="G953" s="1">
        <v>4</v>
      </c>
      <c r="H953" s="1">
        <v>4</v>
      </c>
      <c r="I953" s="1">
        <v>390</v>
      </c>
      <c r="J953" s="1">
        <v>4.3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 t="s">
        <v>26</v>
      </c>
      <c r="U953" s="1">
        <v>0</v>
      </c>
    </row>
    <row r="954" spans="1:21" x14ac:dyDescent="0.3">
      <c r="A954" t="s">
        <v>1084</v>
      </c>
      <c r="B954" t="s">
        <v>37</v>
      </c>
      <c r="C954" t="s">
        <v>89</v>
      </c>
      <c r="D954" t="s">
        <v>90</v>
      </c>
      <c r="E954" s="1">
        <v>28.64</v>
      </c>
      <c r="F954" s="1" t="s">
        <v>39</v>
      </c>
      <c r="G954" s="1">
        <v>1</v>
      </c>
      <c r="H954" s="1">
        <v>1</v>
      </c>
      <c r="I954" s="1">
        <v>45</v>
      </c>
      <c r="J954" s="1">
        <v>0.5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 t="s">
        <v>26</v>
      </c>
      <c r="U954" s="1">
        <v>0</v>
      </c>
    </row>
    <row r="955" spans="1:21" x14ac:dyDescent="0.3">
      <c r="A955" t="s">
        <v>1085</v>
      </c>
      <c r="B955" t="s">
        <v>31</v>
      </c>
      <c r="C955" t="s">
        <v>89</v>
      </c>
      <c r="D955" t="s">
        <v>90</v>
      </c>
      <c r="E955" s="1">
        <v>28</v>
      </c>
      <c r="F955" s="1" t="s">
        <v>39</v>
      </c>
      <c r="G955" s="1">
        <v>3</v>
      </c>
      <c r="H955" s="1">
        <v>2</v>
      </c>
      <c r="I955" s="1">
        <v>192</v>
      </c>
      <c r="J955" s="1">
        <v>2.1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 t="s">
        <v>40</v>
      </c>
      <c r="U955" s="1">
        <v>1</v>
      </c>
    </row>
    <row r="956" spans="1:21" x14ac:dyDescent="0.3">
      <c r="A956" t="s">
        <v>1086</v>
      </c>
      <c r="B956" t="s">
        <v>31</v>
      </c>
      <c r="C956" t="s">
        <v>309</v>
      </c>
      <c r="D956" t="s">
        <v>310</v>
      </c>
      <c r="E956" s="1">
        <v>23.28</v>
      </c>
      <c r="F956" s="1" t="s">
        <v>25</v>
      </c>
      <c r="G956" s="1">
        <v>1</v>
      </c>
      <c r="H956" s="1">
        <v>1</v>
      </c>
      <c r="I956" s="1">
        <v>55</v>
      </c>
      <c r="J956" s="1">
        <v>0.6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 t="s">
        <v>26</v>
      </c>
      <c r="U956" s="1">
        <v>0</v>
      </c>
    </row>
    <row r="957" spans="1:21" x14ac:dyDescent="0.3">
      <c r="A957" t="s">
        <v>1087</v>
      </c>
      <c r="B957" t="s">
        <v>22</v>
      </c>
      <c r="C957" t="s">
        <v>118</v>
      </c>
      <c r="D957" t="s">
        <v>119</v>
      </c>
      <c r="E957" s="1">
        <v>24.31</v>
      </c>
      <c r="F957" s="1" t="s">
        <v>25</v>
      </c>
      <c r="G957" s="1">
        <v>3</v>
      </c>
      <c r="H957" s="1">
        <v>3</v>
      </c>
      <c r="I957" s="1">
        <v>270</v>
      </c>
      <c r="J957" s="1">
        <v>3</v>
      </c>
      <c r="K957" s="1">
        <v>0</v>
      </c>
      <c r="L957" s="1">
        <v>1</v>
      </c>
      <c r="M957" s="1">
        <v>1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 t="s">
        <v>26</v>
      </c>
      <c r="U957" s="1">
        <v>0</v>
      </c>
    </row>
    <row r="958" spans="1:21" x14ac:dyDescent="0.3">
      <c r="A958" t="s">
        <v>1088</v>
      </c>
      <c r="B958" t="s">
        <v>22</v>
      </c>
      <c r="C958" t="s">
        <v>181</v>
      </c>
      <c r="D958" t="s">
        <v>182</v>
      </c>
      <c r="E958" s="1">
        <v>26.38</v>
      </c>
      <c r="F958" s="1" t="s">
        <v>25</v>
      </c>
      <c r="G958" s="1">
        <v>3</v>
      </c>
      <c r="H958" s="1">
        <v>3</v>
      </c>
      <c r="I958" s="1">
        <v>233</v>
      </c>
      <c r="J958" s="1">
        <v>2.6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 t="s">
        <v>26</v>
      </c>
      <c r="U958" s="1">
        <v>0</v>
      </c>
    </row>
    <row r="959" spans="1:21" x14ac:dyDescent="0.3">
      <c r="A959" t="s">
        <v>1089</v>
      </c>
      <c r="B959" t="s">
        <v>22</v>
      </c>
      <c r="C959" t="s">
        <v>225</v>
      </c>
      <c r="D959" t="s">
        <v>226</v>
      </c>
      <c r="E959" s="1">
        <v>28.74</v>
      </c>
      <c r="F959" s="1" t="s">
        <v>39</v>
      </c>
      <c r="G959" s="1">
        <v>2</v>
      </c>
      <c r="H959" s="1">
        <v>1</v>
      </c>
      <c r="I959" s="1">
        <v>100</v>
      </c>
      <c r="J959" s="1">
        <v>1.1000000000000001</v>
      </c>
      <c r="K959" s="1">
        <v>1</v>
      </c>
      <c r="L959" s="1">
        <v>0</v>
      </c>
      <c r="M959" s="1">
        <v>1</v>
      </c>
      <c r="N959" s="1">
        <v>1</v>
      </c>
      <c r="O959" s="1">
        <v>0</v>
      </c>
      <c r="P959" s="1">
        <v>0</v>
      </c>
      <c r="Q959" s="1">
        <v>0</v>
      </c>
      <c r="R959" s="1">
        <v>0</v>
      </c>
      <c r="S959" s="1">
        <v>0.90900000000000003</v>
      </c>
      <c r="T959" s="1" t="s">
        <v>40</v>
      </c>
      <c r="U959" s="1">
        <v>1</v>
      </c>
    </row>
    <row r="960" spans="1:21" x14ac:dyDescent="0.3">
      <c r="A960" t="s">
        <v>1090</v>
      </c>
      <c r="B960" t="s">
        <v>22</v>
      </c>
      <c r="C960" t="s">
        <v>231</v>
      </c>
      <c r="D960" t="s">
        <v>232</v>
      </c>
      <c r="E960" s="1">
        <v>22.62</v>
      </c>
      <c r="F960" s="1" t="s">
        <v>34</v>
      </c>
      <c r="G960" s="1">
        <v>2</v>
      </c>
      <c r="H960" s="1">
        <v>1</v>
      </c>
      <c r="I960" s="1">
        <v>87</v>
      </c>
      <c r="J960" s="1">
        <v>1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 t="s">
        <v>40</v>
      </c>
      <c r="U960" s="1">
        <v>1</v>
      </c>
    </row>
    <row r="961" spans="1:21" x14ac:dyDescent="0.3">
      <c r="A961" t="s">
        <v>1091</v>
      </c>
      <c r="B961" t="s">
        <v>61</v>
      </c>
      <c r="C961" t="s">
        <v>184</v>
      </c>
      <c r="D961" t="s">
        <v>185</v>
      </c>
      <c r="E961" s="1">
        <v>40.07</v>
      </c>
      <c r="F961" s="1" t="s">
        <v>74</v>
      </c>
      <c r="G961" s="1">
        <v>3</v>
      </c>
      <c r="H961" s="1">
        <v>3</v>
      </c>
      <c r="I961" s="1">
        <v>270</v>
      </c>
      <c r="J961" s="1">
        <v>3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 t="s">
        <v>26</v>
      </c>
      <c r="U961" s="1">
        <v>0</v>
      </c>
    </row>
    <row r="962" spans="1:21" x14ac:dyDescent="0.3">
      <c r="A962" t="s">
        <v>1092</v>
      </c>
      <c r="B962" t="s">
        <v>37</v>
      </c>
      <c r="C962" t="s">
        <v>239</v>
      </c>
      <c r="D962" t="s">
        <v>240</v>
      </c>
      <c r="E962" s="1">
        <v>31.59</v>
      </c>
      <c r="F962" s="1" t="s">
        <v>44</v>
      </c>
      <c r="G962" s="1">
        <v>2</v>
      </c>
      <c r="H962" s="1">
        <v>0</v>
      </c>
      <c r="I962" s="1">
        <v>18</v>
      </c>
      <c r="J962" s="1">
        <v>0.2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 t="s">
        <v>35</v>
      </c>
      <c r="U962" s="1">
        <v>2</v>
      </c>
    </row>
    <row r="963" spans="1:21" x14ac:dyDescent="0.3">
      <c r="A963" t="s">
        <v>1093</v>
      </c>
      <c r="B963" t="s">
        <v>37</v>
      </c>
      <c r="C963" t="s">
        <v>225</v>
      </c>
      <c r="D963" t="s">
        <v>226</v>
      </c>
      <c r="E963" s="1">
        <v>19.34</v>
      </c>
      <c r="F963" s="1" t="s">
        <v>34</v>
      </c>
      <c r="G963" s="1">
        <v>1</v>
      </c>
      <c r="H963" s="1">
        <v>1</v>
      </c>
      <c r="I963" s="1">
        <v>65</v>
      </c>
      <c r="J963" s="1">
        <v>0.7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 t="s">
        <v>26</v>
      </c>
      <c r="U963" s="1">
        <v>0</v>
      </c>
    </row>
    <row r="964" spans="1:21" x14ac:dyDescent="0.3">
      <c r="A964" t="s">
        <v>1094</v>
      </c>
      <c r="B964" t="s">
        <v>31</v>
      </c>
      <c r="C964" t="s">
        <v>77</v>
      </c>
      <c r="D964" t="s">
        <v>78</v>
      </c>
      <c r="E964" s="1">
        <v>23.49</v>
      </c>
      <c r="F964" s="1" t="s">
        <v>25</v>
      </c>
      <c r="G964" s="1">
        <v>2</v>
      </c>
      <c r="H964" s="1">
        <v>1</v>
      </c>
      <c r="I964" s="1">
        <v>79</v>
      </c>
      <c r="J964" s="1">
        <v>0.9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 t="s">
        <v>40</v>
      </c>
      <c r="U964" s="1">
        <v>1</v>
      </c>
    </row>
    <row r="965" spans="1:21" x14ac:dyDescent="0.3">
      <c r="A965" t="s">
        <v>1095</v>
      </c>
      <c r="B965" t="s">
        <v>37</v>
      </c>
      <c r="C965" t="s">
        <v>213</v>
      </c>
      <c r="D965" t="s">
        <v>214</v>
      </c>
      <c r="E965" s="1">
        <v>28.59</v>
      </c>
      <c r="F965" s="1" t="s">
        <v>39</v>
      </c>
      <c r="G965" s="1">
        <v>3</v>
      </c>
      <c r="H965" s="1">
        <v>3</v>
      </c>
      <c r="I965" s="1">
        <v>264</v>
      </c>
      <c r="J965" s="1">
        <v>2.9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 t="s">
        <v>26</v>
      </c>
      <c r="U965" s="1">
        <v>0</v>
      </c>
    </row>
    <row r="966" spans="1:21" x14ac:dyDescent="0.3">
      <c r="A966" t="s">
        <v>1096</v>
      </c>
      <c r="B966" t="s">
        <v>22</v>
      </c>
      <c r="C966" t="s">
        <v>112</v>
      </c>
      <c r="D966" t="s">
        <v>113</v>
      </c>
      <c r="E966" s="1">
        <v>20.52</v>
      </c>
      <c r="F966" s="1" t="s">
        <v>34</v>
      </c>
      <c r="G966" s="1">
        <v>3</v>
      </c>
      <c r="H966" s="1">
        <v>1</v>
      </c>
      <c r="I966" s="1">
        <v>144</v>
      </c>
      <c r="J966" s="1">
        <v>1.6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 t="s">
        <v>40</v>
      </c>
      <c r="U966" s="1">
        <v>2</v>
      </c>
    </row>
    <row r="967" spans="1:21" x14ac:dyDescent="0.3">
      <c r="A967" t="s">
        <v>1097</v>
      </c>
      <c r="B967" t="s">
        <v>37</v>
      </c>
      <c r="C967" t="s">
        <v>391</v>
      </c>
      <c r="D967" t="s">
        <v>392</v>
      </c>
      <c r="E967" s="1">
        <v>29.4</v>
      </c>
      <c r="F967" s="1" t="s">
        <v>39</v>
      </c>
      <c r="G967" s="1">
        <v>2</v>
      </c>
      <c r="H967" s="1">
        <v>1</v>
      </c>
      <c r="I967" s="1">
        <v>90</v>
      </c>
      <c r="J967" s="1">
        <v>1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 t="s">
        <v>40</v>
      </c>
      <c r="U967" s="1">
        <v>1</v>
      </c>
    </row>
    <row r="968" spans="1:21" x14ac:dyDescent="0.3">
      <c r="A968" t="s">
        <v>1098</v>
      </c>
      <c r="B968" t="s">
        <v>31</v>
      </c>
      <c r="C968" t="s">
        <v>156</v>
      </c>
      <c r="D968" t="s">
        <v>157</v>
      </c>
      <c r="E968" s="1">
        <v>35.21</v>
      </c>
      <c r="F968" s="1" t="s">
        <v>74</v>
      </c>
      <c r="G968" s="1">
        <v>2</v>
      </c>
      <c r="H968" s="1">
        <v>1</v>
      </c>
      <c r="I968" s="1">
        <v>76</v>
      </c>
      <c r="J968" s="1">
        <v>0.8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 t="s">
        <v>40</v>
      </c>
      <c r="U968" s="1">
        <v>1</v>
      </c>
    </row>
    <row r="969" spans="1:21" x14ac:dyDescent="0.3">
      <c r="A969" t="s">
        <v>1099</v>
      </c>
      <c r="B969" t="s">
        <v>64</v>
      </c>
      <c r="C969" t="s">
        <v>1147</v>
      </c>
      <c r="D969" t="s">
        <v>1149</v>
      </c>
      <c r="E969" s="1">
        <v>30.5</v>
      </c>
      <c r="F969" s="1" t="s">
        <v>39</v>
      </c>
      <c r="G969" s="1">
        <v>1</v>
      </c>
      <c r="H969" s="1">
        <v>0</v>
      </c>
      <c r="I969" s="1">
        <v>7</v>
      </c>
      <c r="J969" s="1">
        <v>0.1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 t="s">
        <v>35</v>
      </c>
      <c r="U969" s="1">
        <v>1</v>
      </c>
    </row>
    <row r="970" spans="1:21" x14ac:dyDescent="0.3">
      <c r="A970" t="s">
        <v>1100</v>
      </c>
      <c r="B970" t="s">
        <v>22</v>
      </c>
      <c r="C970" t="s">
        <v>23</v>
      </c>
      <c r="D970" t="s">
        <v>24</v>
      </c>
      <c r="E970" s="1">
        <v>26.35</v>
      </c>
      <c r="F970" s="1" t="s">
        <v>25</v>
      </c>
      <c r="G970" s="1">
        <v>2</v>
      </c>
      <c r="H970" s="1">
        <v>1</v>
      </c>
      <c r="I970" s="1">
        <v>76</v>
      </c>
      <c r="J970" s="1">
        <v>0.8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 t="s">
        <v>40</v>
      </c>
      <c r="U970" s="1">
        <v>1</v>
      </c>
    </row>
    <row r="971" spans="1:21" x14ac:dyDescent="0.3">
      <c r="A971" t="s">
        <v>1101</v>
      </c>
      <c r="B971" t="s">
        <v>31</v>
      </c>
      <c r="C971" t="s">
        <v>101</v>
      </c>
      <c r="D971" t="s">
        <v>102</v>
      </c>
      <c r="E971" s="1">
        <v>33.9</v>
      </c>
      <c r="F971" s="1" t="s">
        <v>44</v>
      </c>
      <c r="G971" s="1">
        <v>1</v>
      </c>
      <c r="H971" s="1">
        <v>0</v>
      </c>
      <c r="I971" s="1">
        <v>50</v>
      </c>
      <c r="J971" s="1">
        <v>0.6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 t="s">
        <v>35</v>
      </c>
      <c r="U971" s="1">
        <v>1</v>
      </c>
    </row>
    <row r="972" spans="1:21" x14ac:dyDescent="0.3">
      <c r="A972" t="s">
        <v>1102</v>
      </c>
      <c r="B972" t="s">
        <v>61</v>
      </c>
      <c r="C972" t="s">
        <v>129</v>
      </c>
      <c r="D972" t="s">
        <v>130</v>
      </c>
      <c r="E972" s="1">
        <v>27.97</v>
      </c>
      <c r="F972" s="1" t="s">
        <v>39</v>
      </c>
      <c r="G972" s="1">
        <v>1</v>
      </c>
      <c r="H972" s="1">
        <v>1</v>
      </c>
      <c r="I972" s="1">
        <v>90</v>
      </c>
      <c r="J972" s="1">
        <v>1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 t="s">
        <v>26</v>
      </c>
      <c r="U972" s="1">
        <v>0</v>
      </c>
    </row>
    <row r="973" spans="1:21" x14ac:dyDescent="0.3">
      <c r="A973" t="s">
        <v>1103</v>
      </c>
      <c r="B973" t="s">
        <v>37</v>
      </c>
      <c r="C973" t="s">
        <v>84</v>
      </c>
      <c r="D973" t="s">
        <v>85</v>
      </c>
      <c r="E973" s="1">
        <v>33.32</v>
      </c>
      <c r="F973" s="1" t="s">
        <v>44</v>
      </c>
      <c r="G973" s="1">
        <v>2</v>
      </c>
      <c r="H973" s="1">
        <v>1</v>
      </c>
      <c r="I973" s="1">
        <v>102</v>
      </c>
      <c r="J973" s="1">
        <v>1.1000000000000001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 t="s">
        <v>40</v>
      </c>
      <c r="U973" s="1">
        <v>1</v>
      </c>
    </row>
    <row r="974" spans="1:21" x14ac:dyDescent="0.3">
      <c r="A974" t="s">
        <v>1104</v>
      </c>
      <c r="B974" t="s">
        <v>22</v>
      </c>
      <c r="C974" t="s">
        <v>80</v>
      </c>
      <c r="D974" t="s">
        <v>81</v>
      </c>
      <c r="E974" s="1">
        <v>32.04</v>
      </c>
      <c r="F974" s="1" t="s">
        <v>44</v>
      </c>
      <c r="G974" s="1">
        <v>1</v>
      </c>
      <c r="H974" s="1">
        <v>1</v>
      </c>
      <c r="I974" s="1">
        <v>65</v>
      </c>
      <c r="J974" s="1">
        <v>0.7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0</v>
      </c>
      <c r="S974" s="1">
        <v>0</v>
      </c>
      <c r="T974" s="1" t="s">
        <v>26</v>
      </c>
      <c r="U974" s="1">
        <v>0</v>
      </c>
    </row>
    <row r="975" spans="1:21" x14ac:dyDescent="0.3">
      <c r="A975" t="s">
        <v>1105</v>
      </c>
      <c r="B975" t="s">
        <v>22</v>
      </c>
      <c r="C975" t="s">
        <v>209</v>
      </c>
      <c r="D975" t="s">
        <v>210</v>
      </c>
      <c r="E975" s="1">
        <v>23.97</v>
      </c>
      <c r="F975" s="1" t="s">
        <v>25</v>
      </c>
      <c r="G975" s="1">
        <v>3</v>
      </c>
      <c r="H975" s="1">
        <v>0</v>
      </c>
      <c r="I975" s="1">
        <v>48</v>
      </c>
      <c r="J975" s="1">
        <v>0.5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 t="s">
        <v>35</v>
      </c>
      <c r="U975" s="1">
        <v>3</v>
      </c>
    </row>
    <row r="976" spans="1:21" x14ac:dyDescent="0.3">
      <c r="A976" t="s">
        <v>1106</v>
      </c>
      <c r="B976" t="s">
        <v>61</v>
      </c>
      <c r="C976" t="s">
        <v>68</v>
      </c>
      <c r="D976" t="s">
        <v>69</v>
      </c>
      <c r="E976" s="1">
        <v>34.44</v>
      </c>
      <c r="F976" s="1" t="s">
        <v>44</v>
      </c>
      <c r="G976" s="1">
        <v>4</v>
      </c>
      <c r="H976" s="1">
        <v>4</v>
      </c>
      <c r="I976" s="1">
        <v>360</v>
      </c>
      <c r="J976" s="1">
        <v>4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 t="s">
        <v>26</v>
      </c>
      <c r="U976" s="1">
        <v>0</v>
      </c>
    </row>
    <row r="977" spans="1:21" x14ac:dyDescent="0.3">
      <c r="A977" t="s">
        <v>1107</v>
      </c>
      <c r="B977" t="s">
        <v>64</v>
      </c>
      <c r="C977" t="s">
        <v>112</v>
      </c>
      <c r="D977" t="s">
        <v>113</v>
      </c>
      <c r="E977" s="1">
        <v>25.08</v>
      </c>
      <c r="F977" s="1" t="s">
        <v>25</v>
      </c>
      <c r="G977" s="1">
        <v>2</v>
      </c>
      <c r="H977" s="1">
        <v>0</v>
      </c>
      <c r="I977" s="1">
        <v>21</v>
      </c>
      <c r="J977" s="1">
        <v>0.2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 t="s">
        <v>35</v>
      </c>
      <c r="U977" s="1">
        <v>2</v>
      </c>
    </row>
    <row r="978" spans="1:21" x14ac:dyDescent="0.3">
      <c r="A978" t="s">
        <v>1108</v>
      </c>
      <c r="B978" t="s">
        <v>22</v>
      </c>
      <c r="C978" t="s">
        <v>159</v>
      </c>
      <c r="D978" t="s">
        <v>160</v>
      </c>
      <c r="E978" s="1">
        <v>23.16</v>
      </c>
      <c r="F978" s="1" t="s">
        <v>25</v>
      </c>
      <c r="G978" s="1">
        <v>4</v>
      </c>
      <c r="H978" s="1">
        <v>4</v>
      </c>
      <c r="I978" s="1">
        <v>361</v>
      </c>
      <c r="J978" s="1">
        <v>4</v>
      </c>
      <c r="K978" s="1">
        <v>0</v>
      </c>
      <c r="L978" s="1">
        <v>3</v>
      </c>
      <c r="M978" s="1">
        <v>3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 t="s">
        <v>26</v>
      </c>
      <c r="U978" s="1">
        <v>0</v>
      </c>
    </row>
    <row r="979" spans="1:21" x14ac:dyDescent="0.3">
      <c r="A979" t="s">
        <v>1109</v>
      </c>
      <c r="B979" t="s">
        <v>31</v>
      </c>
      <c r="C979" t="s">
        <v>213</v>
      </c>
      <c r="D979" t="s">
        <v>214</v>
      </c>
      <c r="E979" s="1">
        <v>29.82</v>
      </c>
      <c r="F979" s="1" t="s">
        <v>39</v>
      </c>
      <c r="G979" s="1">
        <v>3</v>
      </c>
      <c r="H979" s="1">
        <v>3</v>
      </c>
      <c r="I979" s="1">
        <v>270</v>
      </c>
      <c r="J979" s="1">
        <v>3</v>
      </c>
      <c r="K979" s="1">
        <v>3</v>
      </c>
      <c r="L979" s="1">
        <v>0</v>
      </c>
      <c r="M979" s="1">
        <v>3</v>
      </c>
      <c r="N979" s="1">
        <v>2</v>
      </c>
      <c r="O979" s="1">
        <v>1</v>
      </c>
      <c r="P979" s="1">
        <v>1</v>
      </c>
      <c r="Q979" s="1">
        <v>0</v>
      </c>
      <c r="R979" s="1">
        <v>0</v>
      </c>
      <c r="S979" s="1">
        <v>1</v>
      </c>
      <c r="T979" s="1" t="s">
        <v>26</v>
      </c>
      <c r="U979" s="1">
        <v>0</v>
      </c>
    </row>
    <row r="980" spans="1:21" x14ac:dyDescent="0.3">
      <c r="A980" t="s">
        <v>1110</v>
      </c>
      <c r="B980" t="s">
        <v>64</v>
      </c>
      <c r="C980" t="s">
        <v>159</v>
      </c>
      <c r="D980" t="s">
        <v>160</v>
      </c>
      <c r="E980" s="1">
        <v>24.37</v>
      </c>
      <c r="F980" s="1" t="s">
        <v>25</v>
      </c>
      <c r="G980" s="1">
        <v>1</v>
      </c>
      <c r="H980" s="1">
        <v>0</v>
      </c>
      <c r="I980" s="1">
        <v>33</v>
      </c>
      <c r="J980" s="1">
        <v>0.4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 t="s">
        <v>35</v>
      </c>
      <c r="U980" s="1">
        <v>1</v>
      </c>
    </row>
    <row r="981" spans="1:21" x14ac:dyDescent="0.3">
      <c r="A981" t="s">
        <v>1111</v>
      </c>
      <c r="B981" t="s">
        <v>31</v>
      </c>
      <c r="C981" t="s">
        <v>239</v>
      </c>
      <c r="D981" t="s">
        <v>240</v>
      </c>
      <c r="E981" s="1">
        <v>34.56</v>
      </c>
      <c r="F981" s="1" t="s">
        <v>44</v>
      </c>
      <c r="G981" s="1">
        <v>3</v>
      </c>
      <c r="H981" s="1">
        <v>3</v>
      </c>
      <c r="I981" s="1">
        <v>270</v>
      </c>
      <c r="J981" s="1">
        <v>3</v>
      </c>
      <c r="K981" s="1">
        <v>0</v>
      </c>
      <c r="L981" s="1">
        <v>2</v>
      </c>
      <c r="M981" s="1">
        <v>2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 t="s">
        <v>26</v>
      </c>
      <c r="U981" s="1">
        <v>0</v>
      </c>
    </row>
    <row r="982" spans="1:21" x14ac:dyDescent="0.3">
      <c r="A982" t="s">
        <v>1112</v>
      </c>
      <c r="B982" t="s">
        <v>64</v>
      </c>
      <c r="C982" t="s">
        <v>23</v>
      </c>
      <c r="D982" t="s">
        <v>24</v>
      </c>
      <c r="E982" s="1">
        <v>28.26</v>
      </c>
      <c r="F982" s="1" t="s">
        <v>39</v>
      </c>
      <c r="G982" s="1">
        <v>1</v>
      </c>
      <c r="H982" s="1">
        <v>0</v>
      </c>
      <c r="I982" s="1">
        <v>1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 t="s">
        <v>35</v>
      </c>
      <c r="U982" s="1">
        <v>1</v>
      </c>
    </row>
    <row r="983" spans="1:21" x14ac:dyDescent="0.3">
      <c r="A983" t="s">
        <v>1113</v>
      </c>
      <c r="B983" t="s">
        <v>22</v>
      </c>
      <c r="C983" t="s">
        <v>84</v>
      </c>
      <c r="D983" t="s">
        <v>85</v>
      </c>
      <c r="E983" s="1">
        <v>33.76</v>
      </c>
      <c r="F983" s="1" t="s">
        <v>44</v>
      </c>
      <c r="G983" s="1">
        <v>3</v>
      </c>
      <c r="H983" s="1">
        <v>3</v>
      </c>
      <c r="I983" s="1">
        <v>270</v>
      </c>
      <c r="J983" s="1">
        <v>3</v>
      </c>
      <c r="K983" s="1">
        <v>1</v>
      </c>
      <c r="L983" s="1">
        <v>0</v>
      </c>
      <c r="M983" s="1">
        <v>1</v>
      </c>
      <c r="N983" s="1">
        <v>0</v>
      </c>
      <c r="O983" s="1">
        <v>1</v>
      </c>
      <c r="P983" s="1">
        <v>1</v>
      </c>
      <c r="Q983" s="1">
        <v>1</v>
      </c>
      <c r="R983" s="1">
        <v>0</v>
      </c>
      <c r="S983" s="1">
        <v>0.33300000000000002</v>
      </c>
      <c r="T983" s="1" t="s">
        <v>26</v>
      </c>
      <c r="U983" s="1">
        <v>0</v>
      </c>
    </row>
    <row r="984" spans="1:21" x14ac:dyDescent="0.3">
      <c r="A984" t="s">
        <v>1114</v>
      </c>
      <c r="B984" t="s">
        <v>22</v>
      </c>
      <c r="C984" t="s">
        <v>125</v>
      </c>
      <c r="D984" t="s">
        <v>126</v>
      </c>
      <c r="E984" s="1">
        <v>25.72</v>
      </c>
      <c r="F984" s="1" t="s">
        <v>25</v>
      </c>
      <c r="G984" s="1">
        <v>1</v>
      </c>
      <c r="H984" s="1">
        <v>0</v>
      </c>
      <c r="I984" s="1">
        <v>24</v>
      </c>
      <c r="J984" s="1">
        <v>0.3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 t="s">
        <v>35</v>
      </c>
      <c r="U984" s="1">
        <v>1</v>
      </c>
    </row>
    <row r="985" spans="1:21" x14ac:dyDescent="0.3">
      <c r="A985" t="s">
        <v>1115</v>
      </c>
      <c r="B985" t="s">
        <v>31</v>
      </c>
      <c r="C985" t="s">
        <v>209</v>
      </c>
      <c r="D985" t="s">
        <v>210</v>
      </c>
      <c r="E985" s="1">
        <v>18.96</v>
      </c>
      <c r="F985" s="1" t="s">
        <v>34</v>
      </c>
      <c r="G985" s="1">
        <v>3</v>
      </c>
      <c r="H985" s="1">
        <v>2</v>
      </c>
      <c r="I985" s="1">
        <v>140</v>
      </c>
      <c r="J985" s="1">
        <v>1.6</v>
      </c>
      <c r="K985" s="1">
        <v>1</v>
      </c>
      <c r="L985" s="1">
        <v>0</v>
      </c>
      <c r="M985" s="1">
        <v>1</v>
      </c>
      <c r="N985" s="1">
        <v>1</v>
      </c>
      <c r="O985" s="1">
        <v>0</v>
      </c>
      <c r="P985" s="1">
        <v>0</v>
      </c>
      <c r="Q985" s="1">
        <v>0</v>
      </c>
      <c r="R985" s="1">
        <v>0</v>
      </c>
      <c r="S985" s="1">
        <v>0.625</v>
      </c>
      <c r="T985" s="1" t="s">
        <v>40</v>
      </c>
      <c r="U985" s="1">
        <v>1</v>
      </c>
    </row>
    <row r="986" spans="1:21" x14ac:dyDescent="0.3">
      <c r="A986" t="s">
        <v>1116</v>
      </c>
      <c r="B986" t="s">
        <v>22</v>
      </c>
      <c r="C986" t="s">
        <v>184</v>
      </c>
      <c r="D986" t="s">
        <v>185</v>
      </c>
      <c r="E986" s="1">
        <v>30.5</v>
      </c>
      <c r="F986" s="1" t="s">
        <v>39</v>
      </c>
      <c r="G986" s="1">
        <v>1</v>
      </c>
      <c r="H986" s="1">
        <v>0</v>
      </c>
      <c r="I986" s="1">
        <v>11</v>
      </c>
      <c r="J986" s="1">
        <v>0.1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 t="s">
        <v>35</v>
      </c>
      <c r="U986" s="1">
        <v>1</v>
      </c>
    </row>
    <row r="987" spans="1:21" x14ac:dyDescent="0.3">
      <c r="A987" t="s">
        <v>1117</v>
      </c>
      <c r="B987" t="s">
        <v>22</v>
      </c>
      <c r="C987" t="s">
        <v>151</v>
      </c>
      <c r="D987" t="s">
        <v>152</v>
      </c>
      <c r="E987" s="1">
        <v>20.6</v>
      </c>
      <c r="F987" s="1" t="s">
        <v>34</v>
      </c>
      <c r="G987" s="1">
        <v>2</v>
      </c>
      <c r="H987" s="1">
        <v>0</v>
      </c>
      <c r="I987" s="1">
        <v>63</v>
      </c>
      <c r="J987" s="1">
        <v>0.7</v>
      </c>
      <c r="K987" s="1">
        <v>1</v>
      </c>
      <c r="L987" s="1">
        <v>0</v>
      </c>
      <c r="M987" s="1">
        <v>1</v>
      </c>
      <c r="N987" s="1">
        <v>1</v>
      </c>
      <c r="O987" s="1">
        <v>0</v>
      </c>
      <c r="P987" s="1">
        <v>0</v>
      </c>
      <c r="Q987" s="1">
        <v>0</v>
      </c>
      <c r="R987" s="1">
        <v>0</v>
      </c>
      <c r="S987" s="1">
        <v>1.429</v>
      </c>
      <c r="T987" s="1" t="s">
        <v>35</v>
      </c>
      <c r="U987" s="1">
        <v>2</v>
      </c>
    </row>
    <row r="988" spans="1:21" x14ac:dyDescent="0.3">
      <c r="A988" t="s">
        <v>1118</v>
      </c>
      <c r="B988" t="s">
        <v>22</v>
      </c>
      <c r="C988" t="s">
        <v>118</v>
      </c>
      <c r="D988" t="s">
        <v>119</v>
      </c>
      <c r="E988" s="1">
        <v>26.02</v>
      </c>
      <c r="F988" s="1" t="s">
        <v>25</v>
      </c>
      <c r="G988" s="1">
        <v>3</v>
      </c>
      <c r="H988" s="1">
        <v>3</v>
      </c>
      <c r="I988" s="1">
        <v>233</v>
      </c>
      <c r="J988" s="1">
        <v>2.6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 t="s">
        <v>26</v>
      </c>
      <c r="U988" s="1">
        <v>0</v>
      </c>
    </row>
    <row r="989" spans="1:21" x14ac:dyDescent="0.3">
      <c r="A989" t="s">
        <v>1119</v>
      </c>
      <c r="B989" t="s">
        <v>31</v>
      </c>
      <c r="C989" t="s">
        <v>231</v>
      </c>
      <c r="D989" t="s">
        <v>232</v>
      </c>
      <c r="E989" s="1">
        <v>25.59</v>
      </c>
      <c r="F989" s="1" t="s">
        <v>25</v>
      </c>
      <c r="G989" s="1">
        <v>2</v>
      </c>
      <c r="H989" s="1">
        <v>0</v>
      </c>
      <c r="I989" s="1">
        <v>24</v>
      </c>
      <c r="J989" s="1">
        <v>0.3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 t="s">
        <v>35</v>
      </c>
      <c r="U989" s="1">
        <v>2</v>
      </c>
    </row>
    <row r="990" spans="1:21" x14ac:dyDescent="0.3">
      <c r="A990" t="s">
        <v>1120</v>
      </c>
      <c r="B990" t="s">
        <v>22</v>
      </c>
      <c r="C990" t="s">
        <v>104</v>
      </c>
      <c r="D990" t="s">
        <v>105</v>
      </c>
      <c r="E990" s="1">
        <v>21.16</v>
      </c>
      <c r="F990" s="1" t="s">
        <v>34</v>
      </c>
      <c r="G990" s="1">
        <v>3</v>
      </c>
      <c r="H990" s="1">
        <v>2</v>
      </c>
      <c r="I990" s="1">
        <v>218</v>
      </c>
      <c r="J990" s="1">
        <v>2.4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 t="s">
        <v>40</v>
      </c>
      <c r="U990" s="1">
        <v>1</v>
      </c>
    </row>
    <row r="991" spans="1:21" x14ac:dyDescent="0.3">
      <c r="A991" t="s">
        <v>1121</v>
      </c>
      <c r="B991" t="s">
        <v>22</v>
      </c>
      <c r="C991" t="s">
        <v>80</v>
      </c>
      <c r="D991" t="s">
        <v>81</v>
      </c>
      <c r="E991" s="1">
        <v>20.45</v>
      </c>
      <c r="F991" s="1" t="s">
        <v>34</v>
      </c>
      <c r="G991" s="1">
        <v>3</v>
      </c>
      <c r="H991" s="1">
        <v>2</v>
      </c>
      <c r="I991" s="1">
        <v>186</v>
      </c>
      <c r="J991" s="1">
        <v>2.1</v>
      </c>
      <c r="K991" s="1">
        <v>1</v>
      </c>
      <c r="L991" s="1">
        <v>0</v>
      </c>
      <c r="M991" s="1">
        <v>1</v>
      </c>
      <c r="N991" s="1">
        <v>1</v>
      </c>
      <c r="O991" s="1">
        <v>0</v>
      </c>
      <c r="P991" s="1">
        <v>0</v>
      </c>
      <c r="Q991" s="1">
        <v>1</v>
      </c>
      <c r="R991" s="1">
        <v>0</v>
      </c>
      <c r="S991" s="1">
        <v>0.47599999999999998</v>
      </c>
      <c r="T991" s="1" t="s">
        <v>40</v>
      </c>
      <c r="U991" s="1">
        <v>1</v>
      </c>
    </row>
    <row r="992" spans="1:21" x14ac:dyDescent="0.3">
      <c r="A992" t="s">
        <v>1122</v>
      </c>
      <c r="B992" t="s">
        <v>22</v>
      </c>
      <c r="C992" t="s">
        <v>305</v>
      </c>
      <c r="D992" t="s">
        <v>306</v>
      </c>
      <c r="E992" s="1">
        <v>27.57</v>
      </c>
      <c r="F992" s="1" t="s">
        <v>39</v>
      </c>
      <c r="G992" s="1">
        <v>3</v>
      </c>
      <c r="H992" s="1">
        <v>3</v>
      </c>
      <c r="I992" s="1">
        <v>250</v>
      </c>
      <c r="J992" s="1">
        <v>2.8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 t="s">
        <v>26</v>
      </c>
      <c r="U992" s="1">
        <v>0</v>
      </c>
    </row>
    <row r="993" spans="1:21" x14ac:dyDescent="0.3">
      <c r="A993" t="s">
        <v>1123</v>
      </c>
      <c r="B993" t="s">
        <v>37</v>
      </c>
      <c r="C993" t="s">
        <v>125</v>
      </c>
      <c r="D993" t="s">
        <v>126</v>
      </c>
      <c r="E993" s="1">
        <v>29.62</v>
      </c>
      <c r="F993" s="1" t="s">
        <v>39</v>
      </c>
      <c r="G993" s="1">
        <v>1</v>
      </c>
      <c r="H993" s="1">
        <v>0</v>
      </c>
      <c r="I993" s="1">
        <v>75</v>
      </c>
      <c r="J993" s="1">
        <v>0.8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 t="s">
        <v>35</v>
      </c>
      <c r="U993" s="1">
        <v>1</v>
      </c>
    </row>
    <row r="994" spans="1:21" x14ac:dyDescent="0.3">
      <c r="A994" t="s">
        <v>1124</v>
      </c>
      <c r="B994" t="s">
        <v>22</v>
      </c>
      <c r="C994" t="s">
        <v>133</v>
      </c>
      <c r="D994" t="s">
        <v>134</v>
      </c>
      <c r="E994" s="1">
        <v>24.19</v>
      </c>
      <c r="F994" s="1" t="s">
        <v>25</v>
      </c>
      <c r="G994" s="1">
        <v>1</v>
      </c>
      <c r="H994" s="1">
        <v>1</v>
      </c>
      <c r="I994" s="1">
        <v>45</v>
      </c>
      <c r="J994" s="1">
        <v>0.5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 t="s">
        <v>26</v>
      </c>
      <c r="U994" s="1">
        <v>0</v>
      </c>
    </row>
    <row r="995" spans="1:21" x14ac:dyDescent="0.3">
      <c r="A995" t="s">
        <v>1125</v>
      </c>
      <c r="B995" t="s">
        <v>31</v>
      </c>
      <c r="C995" t="s">
        <v>125</v>
      </c>
      <c r="D995" t="s">
        <v>126</v>
      </c>
      <c r="E995" s="1">
        <v>30.44</v>
      </c>
      <c r="F995" s="1" t="s">
        <v>39</v>
      </c>
      <c r="G995" s="1">
        <v>1</v>
      </c>
      <c r="H995" s="1">
        <v>0</v>
      </c>
      <c r="I995" s="1">
        <v>33</v>
      </c>
      <c r="J995" s="1">
        <v>0.4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 t="s">
        <v>35</v>
      </c>
      <c r="U995" s="1">
        <v>1</v>
      </c>
    </row>
    <row r="996" spans="1:21" x14ac:dyDescent="0.3">
      <c r="A996" t="s">
        <v>1126</v>
      </c>
      <c r="B996" t="s">
        <v>22</v>
      </c>
      <c r="C996" t="s">
        <v>104</v>
      </c>
      <c r="D996" t="s">
        <v>105</v>
      </c>
      <c r="E996" s="1">
        <v>27.42</v>
      </c>
      <c r="F996" s="1" t="s">
        <v>39</v>
      </c>
      <c r="G996" s="1">
        <v>2</v>
      </c>
      <c r="H996" s="1">
        <v>2</v>
      </c>
      <c r="I996" s="1">
        <v>139</v>
      </c>
      <c r="J996" s="1">
        <v>1.5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 t="s">
        <v>26</v>
      </c>
      <c r="U996" s="1">
        <v>0</v>
      </c>
    </row>
    <row r="997" spans="1:21" x14ac:dyDescent="0.3">
      <c r="A997" t="s">
        <v>1127</v>
      </c>
      <c r="B997" t="s">
        <v>61</v>
      </c>
      <c r="C997" t="s">
        <v>49</v>
      </c>
      <c r="D997" t="s">
        <v>50</v>
      </c>
      <c r="E997" s="1">
        <v>35.479999999999997</v>
      </c>
      <c r="F997" s="1" t="s">
        <v>74</v>
      </c>
      <c r="G997" s="1">
        <v>1</v>
      </c>
      <c r="H997" s="1">
        <v>1</v>
      </c>
      <c r="I997" s="1">
        <v>90</v>
      </c>
      <c r="J997" s="1">
        <v>1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 t="s">
        <v>26</v>
      </c>
      <c r="U997" s="1">
        <v>0</v>
      </c>
    </row>
    <row r="998" spans="1:21" x14ac:dyDescent="0.3">
      <c r="A998" t="s">
        <v>1128</v>
      </c>
      <c r="B998" t="s">
        <v>37</v>
      </c>
      <c r="C998" t="s">
        <v>84</v>
      </c>
      <c r="D998" t="s">
        <v>85</v>
      </c>
      <c r="E998" s="1">
        <v>29.61</v>
      </c>
      <c r="F998" s="1" t="s">
        <v>39</v>
      </c>
      <c r="G998" s="1">
        <v>1</v>
      </c>
      <c r="H998" s="1">
        <v>1</v>
      </c>
      <c r="I998" s="1">
        <v>90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1</v>
      </c>
      <c r="R998" s="1">
        <v>0</v>
      </c>
      <c r="S998" s="1">
        <v>0</v>
      </c>
      <c r="T998" s="1" t="s">
        <v>26</v>
      </c>
      <c r="U998" s="1">
        <v>0</v>
      </c>
    </row>
    <row r="999" spans="1:21" x14ac:dyDescent="0.3">
      <c r="A999" t="s">
        <v>1129</v>
      </c>
      <c r="B999" t="s">
        <v>22</v>
      </c>
      <c r="C999" t="s">
        <v>309</v>
      </c>
      <c r="D999" t="s">
        <v>310</v>
      </c>
      <c r="E999" s="1">
        <v>33.86</v>
      </c>
      <c r="F999" s="1" t="s">
        <v>44</v>
      </c>
      <c r="G999" s="1">
        <v>2</v>
      </c>
      <c r="H999" s="1">
        <v>1</v>
      </c>
      <c r="I999" s="1">
        <v>126</v>
      </c>
      <c r="J999" s="1">
        <v>1.4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 t="s">
        <v>40</v>
      </c>
      <c r="U999" s="1">
        <v>1</v>
      </c>
    </row>
    <row r="1000" spans="1:21" x14ac:dyDescent="0.3">
      <c r="A1000" t="s">
        <v>1130</v>
      </c>
      <c r="B1000" t="s">
        <v>64</v>
      </c>
      <c r="C1000" t="s">
        <v>23</v>
      </c>
      <c r="D1000" t="s">
        <v>24</v>
      </c>
      <c r="E1000" s="1">
        <v>28.39</v>
      </c>
      <c r="F1000" s="1" t="s">
        <v>39</v>
      </c>
      <c r="G1000" s="1">
        <v>1</v>
      </c>
      <c r="H1000" s="1">
        <v>0</v>
      </c>
      <c r="I1000" s="1">
        <v>14</v>
      </c>
      <c r="J1000" s="1">
        <v>0.2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 t="s">
        <v>35</v>
      </c>
      <c r="U1000" s="1">
        <v>1</v>
      </c>
    </row>
    <row r="1001" spans="1:21" x14ac:dyDescent="0.3">
      <c r="A1001" t="s">
        <v>1131</v>
      </c>
      <c r="B1001" t="s">
        <v>22</v>
      </c>
      <c r="C1001" t="s">
        <v>129</v>
      </c>
      <c r="D1001" t="s">
        <v>130</v>
      </c>
      <c r="E1001" s="1">
        <v>23.61</v>
      </c>
      <c r="F1001" s="1" t="s">
        <v>25</v>
      </c>
      <c r="G1001" s="1">
        <v>1</v>
      </c>
      <c r="H1001" s="1">
        <v>0</v>
      </c>
      <c r="I1001" s="1">
        <v>35</v>
      </c>
      <c r="J1001" s="1">
        <v>0.4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 t="s">
        <v>35</v>
      </c>
      <c r="U1001" s="1">
        <v>1</v>
      </c>
    </row>
    <row r="1002" spans="1:21" x14ac:dyDescent="0.3">
      <c r="A1002" t="s">
        <v>1132</v>
      </c>
      <c r="B1002" t="s">
        <v>22</v>
      </c>
      <c r="C1002" t="s">
        <v>96</v>
      </c>
      <c r="D1002" t="s">
        <v>97</v>
      </c>
      <c r="E1002" s="1">
        <v>28.1</v>
      </c>
      <c r="F1002" s="1" t="s">
        <v>39</v>
      </c>
      <c r="G1002" s="1">
        <v>2</v>
      </c>
      <c r="H1002" s="1">
        <v>1</v>
      </c>
      <c r="I1002" s="1">
        <v>54</v>
      </c>
      <c r="J1002" s="1">
        <v>0.6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1</v>
      </c>
      <c r="R1002" s="1">
        <v>0</v>
      </c>
      <c r="S1002" s="1">
        <v>0</v>
      </c>
      <c r="T1002" s="1" t="s">
        <v>40</v>
      </c>
      <c r="U1002" s="1">
        <v>1</v>
      </c>
    </row>
    <row r="1003" spans="1:21" x14ac:dyDescent="0.3">
      <c r="A1003" t="s">
        <v>1133</v>
      </c>
      <c r="B1003" t="s">
        <v>61</v>
      </c>
      <c r="C1003" t="s">
        <v>96</v>
      </c>
      <c r="D1003" t="s">
        <v>97</v>
      </c>
      <c r="E1003" s="1">
        <v>28.13</v>
      </c>
      <c r="F1003" s="1" t="s">
        <v>39</v>
      </c>
      <c r="G1003" s="1">
        <v>2</v>
      </c>
      <c r="H1003" s="1">
        <v>2</v>
      </c>
      <c r="I1003" s="1">
        <v>180</v>
      </c>
      <c r="J1003" s="1">
        <v>2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 t="s">
        <v>26</v>
      </c>
      <c r="U1003" s="1">
        <v>0</v>
      </c>
    </row>
    <row r="1004" spans="1:21" x14ac:dyDescent="0.3">
      <c r="A1004" t="s">
        <v>1134</v>
      </c>
      <c r="B1004" t="s">
        <v>83</v>
      </c>
      <c r="C1004" t="s">
        <v>32</v>
      </c>
      <c r="D1004" t="s">
        <v>33</v>
      </c>
      <c r="E1004" s="1">
        <v>29.18</v>
      </c>
      <c r="F1004" s="1" t="s">
        <v>39</v>
      </c>
      <c r="G1004" s="1">
        <v>3</v>
      </c>
      <c r="H1004" s="1">
        <v>3</v>
      </c>
      <c r="I1004" s="1">
        <v>225</v>
      </c>
      <c r="J1004" s="1">
        <v>2.5</v>
      </c>
      <c r="K1004" s="1">
        <v>1</v>
      </c>
      <c r="L1004" s="1">
        <v>1</v>
      </c>
      <c r="M1004" s="1">
        <v>2</v>
      </c>
      <c r="N1004" s="1">
        <v>1</v>
      </c>
      <c r="O1004" s="1">
        <v>0</v>
      </c>
      <c r="P1004" s="1">
        <v>0</v>
      </c>
      <c r="Q1004" s="1">
        <v>0</v>
      </c>
      <c r="R1004" s="1">
        <v>0</v>
      </c>
      <c r="S1004" s="1">
        <v>0.4</v>
      </c>
      <c r="T1004" s="1" t="s">
        <v>26</v>
      </c>
      <c r="U1004" s="1">
        <v>0</v>
      </c>
    </row>
    <row r="1005" spans="1:21" x14ac:dyDescent="0.3">
      <c r="A1005" t="s">
        <v>1135</v>
      </c>
      <c r="B1005" t="s">
        <v>37</v>
      </c>
      <c r="C1005" t="s">
        <v>309</v>
      </c>
      <c r="D1005" t="s">
        <v>310</v>
      </c>
      <c r="E1005" s="1">
        <v>25.64</v>
      </c>
      <c r="F1005" s="1" t="s">
        <v>25</v>
      </c>
      <c r="G1005" s="1">
        <v>1</v>
      </c>
      <c r="H1005" s="1">
        <v>0</v>
      </c>
      <c r="I1005" s="1">
        <v>13</v>
      </c>
      <c r="J1005" s="1">
        <v>0.1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 t="s">
        <v>35</v>
      </c>
      <c r="U1005" s="1">
        <v>1</v>
      </c>
    </row>
    <row r="1006" spans="1:21" x14ac:dyDescent="0.3">
      <c r="A1006" t="s">
        <v>1136</v>
      </c>
      <c r="B1006" t="s">
        <v>22</v>
      </c>
      <c r="C1006" t="s">
        <v>32</v>
      </c>
      <c r="D1006" t="s">
        <v>33</v>
      </c>
      <c r="E1006" s="1">
        <v>30.47</v>
      </c>
      <c r="F1006" s="1" t="s">
        <v>39</v>
      </c>
      <c r="G1006" s="1">
        <v>3</v>
      </c>
      <c r="H1006" s="1">
        <v>0</v>
      </c>
      <c r="I1006" s="1">
        <v>55</v>
      </c>
      <c r="J1006" s="1">
        <v>0.6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 t="s">
        <v>35</v>
      </c>
      <c r="U1006" s="1">
        <v>3</v>
      </c>
    </row>
    <row r="1007" spans="1:21" x14ac:dyDescent="0.3">
      <c r="A1007" t="s">
        <v>1137</v>
      </c>
      <c r="B1007" t="s">
        <v>64</v>
      </c>
      <c r="C1007" t="s">
        <v>68</v>
      </c>
      <c r="D1007" t="s">
        <v>69</v>
      </c>
      <c r="E1007" s="1">
        <v>36.909999999999997</v>
      </c>
      <c r="F1007" s="1" t="s">
        <v>74</v>
      </c>
      <c r="G1007" s="1">
        <v>1</v>
      </c>
      <c r="H1007" s="1">
        <v>0</v>
      </c>
      <c r="I1007" s="1">
        <v>23</v>
      </c>
      <c r="J1007" s="1">
        <v>0.3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1</v>
      </c>
      <c r="S1007" s="1">
        <v>0</v>
      </c>
      <c r="T1007" s="1" t="s">
        <v>35</v>
      </c>
      <c r="U1007" s="1">
        <v>1</v>
      </c>
    </row>
    <row r="1008" spans="1:21" x14ac:dyDescent="0.3">
      <c r="A1008" t="s">
        <v>1138</v>
      </c>
      <c r="B1008" t="s">
        <v>22</v>
      </c>
      <c r="C1008" t="s">
        <v>28</v>
      </c>
      <c r="D1008" t="s">
        <v>29</v>
      </c>
      <c r="E1008" s="1">
        <v>27.53</v>
      </c>
      <c r="F1008" s="1" t="s">
        <v>39</v>
      </c>
      <c r="G1008" s="1">
        <v>2</v>
      </c>
      <c r="H1008" s="1">
        <v>2</v>
      </c>
      <c r="I1008" s="1">
        <v>170</v>
      </c>
      <c r="J1008" s="1">
        <v>1.9</v>
      </c>
      <c r="K1008" s="1">
        <v>0</v>
      </c>
      <c r="L1008" s="1">
        <v>2</v>
      </c>
      <c r="M1008" s="1">
        <v>2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 t="s">
        <v>26</v>
      </c>
      <c r="U1008" s="1">
        <v>0</v>
      </c>
    </row>
    <row r="1009" spans="1:21" x14ac:dyDescent="0.3">
      <c r="A1009" t="s">
        <v>1139</v>
      </c>
      <c r="B1009" t="s">
        <v>37</v>
      </c>
      <c r="C1009" t="s">
        <v>28</v>
      </c>
      <c r="D1009" t="s">
        <v>29</v>
      </c>
      <c r="E1009" s="1">
        <v>26.59</v>
      </c>
      <c r="F1009" s="1" t="s">
        <v>25</v>
      </c>
      <c r="G1009" s="1">
        <v>3</v>
      </c>
      <c r="H1009" s="1">
        <v>1</v>
      </c>
      <c r="I1009" s="1">
        <v>115</v>
      </c>
      <c r="J1009" s="1">
        <v>1.3</v>
      </c>
      <c r="K1009" s="1">
        <v>1</v>
      </c>
      <c r="L1009" s="1">
        <v>0</v>
      </c>
      <c r="M1009" s="1">
        <v>1</v>
      </c>
      <c r="N1009" s="1">
        <v>1</v>
      </c>
      <c r="O1009" s="1">
        <v>0</v>
      </c>
      <c r="P1009" s="1">
        <v>0</v>
      </c>
      <c r="Q1009" s="1">
        <v>0</v>
      </c>
      <c r="R1009" s="1">
        <v>0</v>
      </c>
      <c r="S1009" s="1">
        <v>0.76900000000000002</v>
      </c>
      <c r="T1009" s="1" t="s">
        <v>40</v>
      </c>
      <c r="U1009" s="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1020-DE38-4990-A8A2-89622AAE60E6}">
  <dimension ref="A3:B52"/>
  <sheetViews>
    <sheetView workbookViewId="0">
      <selection activeCell="D11" sqref="D11"/>
    </sheetView>
  </sheetViews>
  <sheetFormatPr defaultRowHeight="14.4" x14ac:dyDescent="0.3"/>
  <cols>
    <col min="1" max="1" width="13.109375" bestFit="1" customWidth="1"/>
    <col min="2" max="2" width="13.33203125" bestFit="1" customWidth="1"/>
    <col min="3" max="3" width="12.77734375" bestFit="1" customWidth="1"/>
    <col min="4" max="4" width="12.88671875" bestFit="1" customWidth="1"/>
  </cols>
  <sheetData>
    <row r="3" spans="1:2" x14ac:dyDescent="0.3">
      <c r="A3" s="2" t="s">
        <v>1140</v>
      </c>
      <c r="B3" t="s">
        <v>1150</v>
      </c>
    </row>
    <row r="4" spans="1:2" x14ac:dyDescent="0.3">
      <c r="A4" s="3" t="s">
        <v>96</v>
      </c>
      <c r="B4" s="4">
        <v>27.130909090909089</v>
      </c>
    </row>
    <row r="5" spans="1:2" x14ac:dyDescent="0.3">
      <c r="A5" s="3" t="s">
        <v>139</v>
      </c>
      <c r="B5" s="4">
        <v>28.839583333333326</v>
      </c>
    </row>
    <row r="6" spans="1:2" x14ac:dyDescent="0.3">
      <c r="A6" s="3" t="s">
        <v>231</v>
      </c>
      <c r="B6" s="4">
        <v>26.543499999999995</v>
      </c>
    </row>
    <row r="7" spans="1:2" x14ac:dyDescent="0.3">
      <c r="A7" s="3" t="s">
        <v>112</v>
      </c>
      <c r="B7" s="4">
        <v>28.820000000000004</v>
      </c>
    </row>
    <row r="8" spans="1:2" x14ac:dyDescent="0.3">
      <c r="A8" s="3" t="s">
        <v>301</v>
      </c>
      <c r="B8" s="4">
        <v>28.794736842105269</v>
      </c>
    </row>
    <row r="9" spans="1:2" x14ac:dyDescent="0.3">
      <c r="A9" s="3" t="s">
        <v>115</v>
      </c>
      <c r="B9" s="4">
        <v>26.472727272727273</v>
      </c>
    </row>
    <row r="10" spans="1:2" x14ac:dyDescent="0.3">
      <c r="A10" s="3" t="s">
        <v>136</v>
      </c>
      <c r="B10" s="4">
        <v>28.803181818181816</v>
      </c>
    </row>
    <row r="11" spans="1:2" x14ac:dyDescent="0.3">
      <c r="A11" s="3" t="s">
        <v>184</v>
      </c>
      <c r="B11" s="4">
        <v>29.919523809523813</v>
      </c>
    </row>
    <row r="12" spans="1:2" x14ac:dyDescent="0.3">
      <c r="A12" s="3" t="s">
        <v>92</v>
      </c>
      <c r="B12" s="4">
        <v>27.047142857142859</v>
      </c>
    </row>
    <row r="13" spans="1:2" x14ac:dyDescent="0.3">
      <c r="A13" s="3" t="s">
        <v>189</v>
      </c>
      <c r="B13" s="4">
        <v>29.9255</v>
      </c>
    </row>
    <row r="14" spans="1:2" x14ac:dyDescent="0.3">
      <c r="A14" s="3" t="s">
        <v>213</v>
      </c>
      <c r="B14" s="4">
        <v>29.135714285714286</v>
      </c>
    </row>
    <row r="15" spans="1:2" x14ac:dyDescent="0.3">
      <c r="A15" s="3" t="s">
        <v>77</v>
      </c>
      <c r="B15" s="4">
        <v>25.885000000000002</v>
      </c>
    </row>
    <row r="16" spans="1:2" x14ac:dyDescent="0.3">
      <c r="A16" s="3" t="s">
        <v>225</v>
      </c>
      <c r="B16" s="4">
        <v>28.646842105263161</v>
      </c>
    </row>
    <row r="17" spans="1:2" x14ac:dyDescent="0.3">
      <c r="A17" s="3" t="s">
        <v>174</v>
      </c>
      <c r="B17" s="4">
        <v>28.605454545454549</v>
      </c>
    </row>
    <row r="18" spans="1:2" x14ac:dyDescent="0.3">
      <c r="A18" s="3" t="s">
        <v>309</v>
      </c>
      <c r="B18" s="4">
        <v>28.185714285714283</v>
      </c>
    </row>
    <row r="19" spans="1:2" x14ac:dyDescent="0.3">
      <c r="A19" s="3" t="s">
        <v>118</v>
      </c>
      <c r="B19" s="4">
        <v>27.154210526315794</v>
      </c>
    </row>
    <row r="20" spans="1:2" x14ac:dyDescent="0.3">
      <c r="A20" s="3" t="s">
        <v>32</v>
      </c>
      <c r="B20" s="4">
        <v>28.684999999999995</v>
      </c>
    </row>
    <row r="21" spans="1:2" x14ac:dyDescent="0.3">
      <c r="A21" s="3" t="s">
        <v>107</v>
      </c>
      <c r="B21" s="4">
        <v>26.841428571428569</v>
      </c>
    </row>
    <row r="22" spans="1:2" x14ac:dyDescent="0.3">
      <c r="A22" s="3" t="s">
        <v>159</v>
      </c>
      <c r="B22" s="4">
        <v>28.026086956521741</v>
      </c>
    </row>
    <row r="23" spans="1:2" x14ac:dyDescent="0.3">
      <c r="A23" s="3" t="s">
        <v>80</v>
      </c>
      <c r="B23" s="4">
        <v>27.395238095238092</v>
      </c>
    </row>
    <row r="24" spans="1:2" x14ac:dyDescent="0.3">
      <c r="A24" s="3" t="s">
        <v>72</v>
      </c>
      <c r="B24" s="4">
        <v>28.630000000000003</v>
      </c>
    </row>
    <row r="25" spans="1:2" x14ac:dyDescent="0.3">
      <c r="A25" s="3" t="s">
        <v>133</v>
      </c>
      <c r="B25" s="4">
        <v>30.991999999999997</v>
      </c>
    </row>
    <row r="26" spans="1:2" x14ac:dyDescent="0.3">
      <c r="A26" s="3" t="s">
        <v>125</v>
      </c>
      <c r="B26" s="4">
        <v>26.778400000000001</v>
      </c>
    </row>
    <row r="27" spans="1:2" x14ac:dyDescent="0.3">
      <c r="A27" s="3" t="s">
        <v>391</v>
      </c>
      <c r="B27" s="4">
        <v>27.580833333333327</v>
      </c>
    </row>
    <row r="28" spans="1:2" x14ac:dyDescent="0.3">
      <c r="A28" s="3" t="s">
        <v>55</v>
      </c>
      <c r="B28" s="4">
        <v>28.635999999999996</v>
      </c>
    </row>
    <row r="29" spans="1:2" x14ac:dyDescent="0.3">
      <c r="A29" s="3" t="s">
        <v>305</v>
      </c>
      <c r="B29" s="4">
        <v>28.266500000000001</v>
      </c>
    </row>
    <row r="30" spans="1:2" x14ac:dyDescent="0.3">
      <c r="A30" s="3" t="s">
        <v>145</v>
      </c>
      <c r="B30" s="4">
        <v>27.861599999999999</v>
      </c>
    </row>
    <row r="31" spans="1:2" x14ac:dyDescent="0.3">
      <c r="A31" s="3" t="s">
        <v>151</v>
      </c>
      <c r="B31" s="4">
        <v>25.659499999999998</v>
      </c>
    </row>
    <row r="32" spans="1:2" x14ac:dyDescent="0.3">
      <c r="A32" s="3" t="s">
        <v>101</v>
      </c>
      <c r="B32" s="4">
        <v>27.930000000000003</v>
      </c>
    </row>
    <row r="33" spans="1:2" x14ac:dyDescent="0.3">
      <c r="A33" s="3" t="s">
        <v>239</v>
      </c>
      <c r="B33" s="4">
        <v>28.105882352941173</v>
      </c>
    </row>
    <row r="34" spans="1:2" x14ac:dyDescent="0.3">
      <c r="A34" s="3" t="s">
        <v>28</v>
      </c>
      <c r="B34" s="4">
        <v>26.987199999999998</v>
      </c>
    </row>
    <row r="35" spans="1:2" x14ac:dyDescent="0.3">
      <c r="A35" s="3" t="s">
        <v>156</v>
      </c>
      <c r="B35" s="4">
        <v>30.40349999999999</v>
      </c>
    </row>
    <row r="36" spans="1:2" x14ac:dyDescent="0.3">
      <c r="A36" s="3" t="s">
        <v>121</v>
      </c>
      <c r="B36" s="4">
        <v>28.532083333333336</v>
      </c>
    </row>
    <row r="37" spans="1:2" x14ac:dyDescent="0.3">
      <c r="A37" s="3" t="s">
        <v>181</v>
      </c>
      <c r="B37" s="4">
        <v>27.727727272727272</v>
      </c>
    </row>
    <row r="38" spans="1:2" x14ac:dyDescent="0.3">
      <c r="A38" s="3" t="s">
        <v>52</v>
      </c>
      <c r="B38" s="4">
        <v>30.019545454545451</v>
      </c>
    </row>
    <row r="39" spans="1:2" x14ac:dyDescent="0.3">
      <c r="A39" s="3" t="s">
        <v>46</v>
      </c>
      <c r="B39" s="4">
        <v>28.533888888888882</v>
      </c>
    </row>
    <row r="40" spans="1:2" x14ac:dyDescent="0.3">
      <c r="A40" s="3" t="s">
        <v>291</v>
      </c>
      <c r="B40" s="4">
        <v>27.959047619047617</v>
      </c>
    </row>
    <row r="41" spans="1:2" x14ac:dyDescent="0.3">
      <c r="A41" s="3" t="s">
        <v>68</v>
      </c>
      <c r="B41" s="4">
        <v>27.202105263157897</v>
      </c>
    </row>
    <row r="42" spans="1:2" x14ac:dyDescent="0.3">
      <c r="A42" s="3" t="s">
        <v>209</v>
      </c>
      <c r="B42" s="4">
        <v>26.54</v>
      </c>
    </row>
    <row r="43" spans="1:2" x14ac:dyDescent="0.3">
      <c r="A43" s="3" t="s">
        <v>129</v>
      </c>
      <c r="B43" s="4">
        <v>27.384761904761906</v>
      </c>
    </row>
    <row r="44" spans="1:2" x14ac:dyDescent="0.3">
      <c r="A44" s="3" t="s">
        <v>84</v>
      </c>
      <c r="B44" s="4">
        <v>28.756666666666668</v>
      </c>
    </row>
    <row r="45" spans="1:2" x14ac:dyDescent="0.3">
      <c r="A45" s="3" t="s">
        <v>42</v>
      </c>
      <c r="B45" s="4">
        <v>27.903000000000002</v>
      </c>
    </row>
    <row r="46" spans="1:2" x14ac:dyDescent="0.3">
      <c r="A46" s="3" t="s">
        <v>104</v>
      </c>
      <c r="B46" s="4">
        <v>27.086521739130436</v>
      </c>
    </row>
    <row r="47" spans="1:2" x14ac:dyDescent="0.3">
      <c r="A47" s="3" t="s">
        <v>23</v>
      </c>
      <c r="B47" s="4">
        <v>27.055652173913042</v>
      </c>
    </row>
    <row r="48" spans="1:2" x14ac:dyDescent="0.3">
      <c r="A48" s="3" t="s">
        <v>89</v>
      </c>
      <c r="B48" s="4">
        <v>29.131176470588233</v>
      </c>
    </row>
    <row r="49" spans="1:2" x14ac:dyDescent="0.3">
      <c r="A49" s="3" t="s">
        <v>49</v>
      </c>
      <c r="B49" s="4">
        <v>28.002173913043475</v>
      </c>
    </row>
    <row r="50" spans="1:2" x14ac:dyDescent="0.3">
      <c r="A50" s="3" t="s">
        <v>1146</v>
      </c>
      <c r="B50" s="4">
        <v>28.971000000000004</v>
      </c>
    </row>
    <row r="51" spans="1:2" x14ac:dyDescent="0.3">
      <c r="A51" s="3" t="s">
        <v>1147</v>
      </c>
      <c r="B51" s="4">
        <v>27.241000000000003</v>
      </c>
    </row>
    <row r="52" spans="1:2" x14ac:dyDescent="0.3">
      <c r="A52" s="3" t="s">
        <v>1141</v>
      </c>
      <c r="B52" s="4">
        <v>28.035734126984142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1AAC-D05C-4900-B710-AE5BD0CFBDF7}">
  <dimension ref="A1:D49"/>
  <sheetViews>
    <sheetView workbookViewId="0">
      <selection activeCell="F29" sqref="F29"/>
    </sheetView>
  </sheetViews>
  <sheetFormatPr defaultRowHeight="14.4" x14ac:dyDescent="0.3"/>
  <cols>
    <col min="1" max="1" width="13.109375" bestFit="1" customWidth="1"/>
    <col min="2" max="2" width="9.6640625" style="1" customWidth="1"/>
    <col min="3" max="3" width="13.44140625" style="1" customWidth="1"/>
    <col min="4" max="4" width="13.6640625" style="1" customWidth="1"/>
  </cols>
  <sheetData>
    <row r="1" spans="1:4" x14ac:dyDescent="0.3">
      <c r="A1" t="s">
        <v>3</v>
      </c>
      <c r="B1" s="1" t="s">
        <v>4</v>
      </c>
      <c r="C1" s="1" t="s">
        <v>1151</v>
      </c>
      <c r="D1" s="1" t="s">
        <v>1152</v>
      </c>
    </row>
    <row r="2" spans="1:4" x14ac:dyDescent="0.3">
      <c r="A2" t="s">
        <v>133</v>
      </c>
      <c r="B2" s="5">
        <v>30.991999999999997</v>
      </c>
      <c r="C2" s="1">
        <v>28.06</v>
      </c>
      <c r="D2" s="5">
        <f>Table8[[#This Row],[AGE]]-Table8[[#This Row],[AVG_AGE]]</f>
        <v>2.9319999999999986</v>
      </c>
    </row>
    <row r="3" spans="1:4" x14ac:dyDescent="0.3">
      <c r="A3" t="s">
        <v>156</v>
      </c>
      <c r="B3" s="5">
        <v>30.40349999999999</v>
      </c>
      <c r="C3" s="1">
        <v>28.06</v>
      </c>
      <c r="D3" s="5">
        <f>Table8[[#This Row],[AGE]]-Table8[[#This Row],[AVG_AGE]]</f>
        <v>2.3434999999999917</v>
      </c>
    </row>
    <row r="4" spans="1:4" x14ac:dyDescent="0.3">
      <c r="A4" t="s">
        <v>52</v>
      </c>
      <c r="B4" s="5">
        <v>30.019545454545451</v>
      </c>
      <c r="C4" s="1">
        <v>28.06</v>
      </c>
      <c r="D4" s="5">
        <f>Table8[[#This Row],[AGE]]-Table8[[#This Row],[AVG_AGE]]</f>
        <v>1.9595454545454523</v>
      </c>
    </row>
    <row r="5" spans="1:4" x14ac:dyDescent="0.3">
      <c r="A5" t="s">
        <v>189</v>
      </c>
      <c r="B5" s="5">
        <v>29.9255</v>
      </c>
      <c r="C5" s="1">
        <v>28.06</v>
      </c>
      <c r="D5" s="5">
        <f>Table8[[#This Row],[AGE]]-Table8[[#This Row],[AVG_AGE]]</f>
        <v>1.8655000000000008</v>
      </c>
    </row>
    <row r="6" spans="1:4" x14ac:dyDescent="0.3">
      <c r="A6" t="s">
        <v>184</v>
      </c>
      <c r="B6" s="5">
        <v>29.919523809523813</v>
      </c>
      <c r="C6" s="1">
        <v>28.06</v>
      </c>
      <c r="D6" s="5">
        <f>Table8[[#This Row],[AGE]]-Table8[[#This Row],[AVG_AGE]]</f>
        <v>1.8595238095238145</v>
      </c>
    </row>
    <row r="7" spans="1:4" x14ac:dyDescent="0.3">
      <c r="A7" t="s">
        <v>213</v>
      </c>
      <c r="B7" s="5">
        <v>29.135714285714286</v>
      </c>
      <c r="C7" s="1">
        <v>28.06</v>
      </c>
      <c r="D7" s="5">
        <f>Table8[[#This Row],[AGE]]-Table8[[#This Row],[AVG_AGE]]</f>
        <v>1.0757142857142874</v>
      </c>
    </row>
    <row r="8" spans="1:4" x14ac:dyDescent="0.3">
      <c r="A8" t="s">
        <v>89</v>
      </c>
      <c r="B8" s="5">
        <v>29.131176470588233</v>
      </c>
      <c r="C8" s="1">
        <v>28.06</v>
      </c>
      <c r="D8" s="5">
        <f>Table8[[#This Row],[AGE]]-Table8[[#This Row],[AVG_AGE]]</f>
        <v>1.0711764705882345</v>
      </c>
    </row>
    <row r="9" spans="1:4" x14ac:dyDescent="0.3">
      <c r="A9" t="s">
        <v>1146</v>
      </c>
      <c r="B9" s="5">
        <v>28.971000000000004</v>
      </c>
      <c r="C9" s="1">
        <v>28.06</v>
      </c>
      <c r="D9" s="5">
        <f>Table8[[#This Row],[AGE]]-Table8[[#This Row],[AVG_AGE]]</f>
        <v>0.91100000000000492</v>
      </c>
    </row>
    <row r="10" spans="1:4" x14ac:dyDescent="0.3">
      <c r="A10" t="s">
        <v>139</v>
      </c>
      <c r="B10" s="5">
        <v>28.839583333333326</v>
      </c>
      <c r="C10" s="1">
        <v>28.06</v>
      </c>
      <c r="D10" s="5">
        <f>Table8[[#This Row],[AGE]]-Table8[[#This Row],[AVG_AGE]]</f>
        <v>0.77958333333332774</v>
      </c>
    </row>
    <row r="11" spans="1:4" x14ac:dyDescent="0.3">
      <c r="A11" t="s">
        <v>112</v>
      </c>
      <c r="B11" s="5">
        <v>28.820000000000004</v>
      </c>
      <c r="C11" s="1">
        <v>28.06</v>
      </c>
      <c r="D11" s="5">
        <f>Table8[[#This Row],[AGE]]-Table8[[#This Row],[AVG_AGE]]</f>
        <v>0.76000000000000512</v>
      </c>
    </row>
    <row r="12" spans="1:4" x14ac:dyDescent="0.3">
      <c r="A12" t="s">
        <v>136</v>
      </c>
      <c r="B12" s="5">
        <v>28.803181818181816</v>
      </c>
      <c r="C12" s="1">
        <v>28.06</v>
      </c>
      <c r="D12" s="5">
        <f>Table8[[#This Row],[AGE]]-Table8[[#This Row],[AVG_AGE]]</f>
        <v>0.74318181818181728</v>
      </c>
    </row>
    <row r="13" spans="1:4" x14ac:dyDescent="0.3">
      <c r="A13" t="s">
        <v>301</v>
      </c>
      <c r="B13" s="5">
        <v>28.794736842105269</v>
      </c>
      <c r="C13" s="1">
        <v>28.06</v>
      </c>
      <c r="D13" s="5">
        <f>Table8[[#This Row],[AGE]]-Table8[[#This Row],[AVG_AGE]]</f>
        <v>0.73473684210527068</v>
      </c>
    </row>
    <row r="14" spans="1:4" x14ac:dyDescent="0.3">
      <c r="A14" t="s">
        <v>84</v>
      </c>
      <c r="B14" s="5">
        <v>28.756666666666668</v>
      </c>
      <c r="C14" s="1">
        <v>28.06</v>
      </c>
      <c r="D14" s="5">
        <f>Table8[[#This Row],[AGE]]-Table8[[#This Row],[AVG_AGE]]</f>
        <v>0.69666666666666899</v>
      </c>
    </row>
    <row r="15" spans="1:4" x14ac:dyDescent="0.3">
      <c r="A15" t="s">
        <v>32</v>
      </c>
      <c r="B15" s="5">
        <v>28.684999999999995</v>
      </c>
      <c r="C15" s="1">
        <v>28.06</v>
      </c>
      <c r="D15" s="5">
        <f>Table8[[#This Row],[AGE]]-Table8[[#This Row],[AVG_AGE]]</f>
        <v>0.62499999999999645</v>
      </c>
    </row>
    <row r="16" spans="1:4" x14ac:dyDescent="0.3">
      <c r="A16" t="s">
        <v>225</v>
      </c>
      <c r="B16" s="5">
        <v>28.646842105263161</v>
      </c>
      <c r="C16" s="1">
        <v>28.06</v>
      </c>
      <c r="D16" s="5">
        <f>Table8[[#This Row],[AGE]]-Table8[[#This Row],[AVG_AGE]]</f>
        <v>0.58684210526316249</v>
      </c>
    </row>
    <row r="17" spans="1:4" x14ac:dyDescent="0.3">
      <c r="A17" t="s">
        <v>55</v>
      </c>
      <c r="B17" s="5">
        <v>28.635999999999996</v>
      </c>
      <c r="C17" s="1">
        <v>28.06</v>
      </c>
      <c r="D17" s="5">
        <f>Table8[[#This Row],[AGE]]-Table8[[#This Row],[AVG_AGE]]</f>
        <v>0.57599999999999696</v>
      </c>
    </row>
    <row r="18" spans="1:4" x14ac:dyDescent="0.3">
      <c r="A18" t="s">
        <v>72</v>
      </c>
      <c r="B18" s="5">
        <v>28.630000000000003</v>
      </c>
      <c r="C18" s="1">
        <v>28.06</v>
      </c>
      <c r="D18" s="5">
        <f>Table8[[#This Row],[AGE]]-Table8[[#This Row],[AVG_AGE]]</f>
        <v>0.57000000000000384</v>
      </c>
    </row>
    <row r="19" spans="1:4" x14ac:dyDescent="0.3">
      <c r="A19" t="s">
        <v>174</v>
      </c>
      <c r="B19" s="5">
        <v>28.605454545454549</v>
      </c>
      <c r="C19" s="1">
        <v>28.06</v>
      </c>
      <c r="D19" s="5">
        <f>Table8[[#This Row],[AGE]]-Table8[[#This Row],[AVG_AGE]]</f>
        <v>0.5454545454545503</v>
      </c>
    </row>
    <row r="20" spans="1:4" x14ac:dyDescent="0.3">
      <c r="A20" t="s">
        <v>46</v>
      </c>
      <c r="B20" s="5">
        <v>28.533888888888882</v>
      </c>
      <c r="C20" s="1">
        <v>28.06</v>
      </c>
      <c r="D20" s="5">
        <f>Table8[[#This Row],[AGE]]-Table8[[#This Row],[AVG_AGE]]</f>
        <v>0.47388888888888303</v>
      </c>
    </row>
    <row r="21" spans="1:4" x14ac:dyDescent="0.3">
      <c r="A21" t="s">
        <v>121</v>
      </c>
      <c r="B21" s="5">
        <v>28.532083333333336</v>
      </c>
      <c r="C21" s="1">
        <v>28.06</v>
      </c>
      <c r="D21" s="5">
        <f>Table8[[#This Row],[AGE]]-Table8[[#This Row],[AVG_AGE]]</f>
        <v>0.47208333333333741</v>
      </c>
    </row>
    <row r="22" spans="1:4" x14ac:dyDescent="0.3">
      <c r="A22" t="s">
        <v>305</v>
      </c>
      <c r="B22" s="5">
        <v>28.266500000000001</v>
      </c>
      <c r="C22" s="1">
        <v>28.06</v>
      </c>
      <c r="D22" s="5">
        <f>Table8[[#This Row],[AGE]]-Table8[[#This Row],[AVG_AGE]]</f>
        <v>0.2065000000000019</v>
      </c>
    </row>
    <row r="23" spans="1:4" x14ac:dyDescent="0.3">
      <c r="A23" t="s">
        <v>309</v>
      </c>
      <c r="B23" s="5">
        <v>28.185714285714283</v>
      </c>
      <c r="C23" s="1">
        <v>28.06</v>
      </c>
      <c r="D23" s="5">
        <f>Table8[[#This Row],[AGE]]-Table8[[#This Row],[AVG_AGE]]</f>
        <v>0.12571428571428456</v>
      </c>
    </row>
    <row r="24" spans="1:4" x14ac:dyDescent="0.3">
      <c r="A24" t="s">
        <v>239</v>
      </c>
      <c r="B24" s="5">
        <v>28.105882352941173</v>
      </c>
      <c r="C24" s="1">
        <v>28.06</v>
      </c>
      <c r="D24" s="5">
        <f>Table8[[#This Row],[AGE]]-Table8[[#This Row],[AVG_AGE]]</f>
        <v>4.5882352941173821E-2</v>
      </c>
    </row>
    <row r="25" spans="1:4" x14ac:dyDescent="0.3">
      <c r="A25" t="s">
        <v>159</v>
      </c>
      <c r="B25" s="5">
        <v>28.026086956521741</v>
      </c>
      <c r="C25" s="1">
        <v>28.06</v>
      </c>
      <c r="D25" s="5">
        <f>Table8[[#This Row],[AGE]]-Table8[[#This Row],[AVG_AGE]]</f>
        <v>-3.3913043478257521E-2</v>
      </c>
    </row>
    <row r="26" spans="1:4" x14ac:dyDescent="0.3">
      <c r="A26" t="s">
        <v>49</v>
      </c>
      <c r="B26" s="5">
        <v>28.002173913043475</v>
      </c>
      <c r="C26" s="1">
        <v>28.06</v>
      </c>
      <c r="D26" s="5">
        <f>Table8[[#This Row],[AGE]]-Table8[[#This Row],[AVG_AGE]]</f>
        <v>-5.7826086956524136E-2</v>
      </c>
    </row>
    <row r="27" spans="1:4" x14ac:dyDescent="0.3">
      <c r="A27" t="s">
        <v>291</v>
      </c>
      <c r="B27" s="5">
        <v>27.959047619047617</v>
      </c>
      <c r="C27" s="1">
        <v>28.06</v>
      </c>
      <c r="D27" s="5">
        <f>Table8[[#This Row],[AGE]]-Table8[[#This Row],[AVG_AGE]]</f>
        <v>-0.10095238095238201</v>
      </c>
    </row>
    <row r="28" spans="1:4" x14ac:dyDescent="0.3">
      <c r="A28" t="s">
        <v>101</v>
      </c>
      <c r="B28" s="5">
        <v>27.930000000000003</v>
      </c>
      <c r="C28" s="1">
        <v>28.06</v>
      </c>
      <c r="D28" s="5">
        <f>Table8[[#This Row],[AGE]]-Table8[[#This Row],[AVG_AGE]]</f>
        <v>-0.12999999999999545</v>
      </c>
    </row>
    <row r="29" spans="1:4" x14ac:dyDescent="0.3">
      <c r="A29" t="s">
        <v>42</v>
      </c>
      <c r="B29" s="5">
        <v>27.903000000000002</v>
      </c>
      <c r="C29" s="1">
        <v>28.06</v>
      </c>
      <c r="D29" s="5">
        <f>Table8[[#This Row],[AGE]]-Table8[[#This Row],[AVG_AGE]]</f>
        <v>-0.15699999999999648</v>
      </c>
    </row>
    <row r="30" spans="1:4" x14ac:dyDescent="0.3">
      <c r="A30" t="s">
        <v>145</v>
      </c>
      <c r="B30" s="5">
        <v>27.861599999999999</v>
      </c>
      <c r="C30" s="1">
        <v>28.06</v>
      </c>
      <c r="D30" s="5">
        <f>Table8[[#This Row],[AGE]]-Table8[[#This Row],[AVG_AGE]]</f>
        <v>-0.19839999999999947</v>
      </c>
    </row>
    <row r="31" spans="1:4" x14ac:dyDescent="0.3">
      <c r="A31" t="s">
        <v>181</v>
      </c>
      <c r="B31" s="5">
        <v>27.727727272727272</v>
      </c>
      <c r="C31" s="1">
        <v>28.06</v>
      </c>
      <c r="D31" s="5">
        <f>Table8[[#This Row],[AGE]]-Table8[[#This Row],[AVG_AGE]]</f>
        <v>-0.33227272727272705</v>
      </c>
    </row>
    <row r="32" spans="1:4" x14ac:dyDescent="0.3">
      <c r="A32" t="s">
        <v>391</v>
      </c>
      <c r="B32" s="5">
        <v>27.580833333333327</v>
      </c>
      <c r="C32" s="1">
        <v>28.06</v>
      </c>
      <c r="D32" s="5">
        <f>Table8[[#This Row],[AGE]]-Table8[[#This Row],[AVG_AGE]]</f>
        <v>-0.4791666666666714</v>
      </c>
    </row>
    <row r="33" spans="1:4" x14ac:dyDescent="0.3">
      <c r="A33" t="s">
        <v>80</v>
      </c>
      <c r="B33" s="5">
        <v>27.395238095238092</v>
      </c>
      <c r="C33" s="1">
        <v>28.06</v>
      </c>
      <c r="D33" s="5">
        <f>Table8[[#This Row],[AGE]]-Table8[[#This Row],[AVG_AGE]]</f>
        <v>-0.66476190476190666</v>
      </c>
    </row>
    <row r="34" spans="1:4" x14ac:dyDescent="0.3">
      <c r="A34" t="s">
        <v>129</v>
      </c>
      <c r="B34" s="5">
        <v>27.384761904761906</v>
      </c>
      <c r="C34" s="1">
        <v>28.06</v>
      </c>
      <c r="D34" s="5">
        <f>Table8[[#This Row],[AGE]]-Table8[[#This Row],[AVG_AGE]]</f>
        <v>-0.67523809523809319</v>
      </c>
    </row>
    <row r="35" spans="1:4" x14ac:dyDescent="0.3">
      <c r="A35" t="s">
        <v>1147</v>
      </c>
      <c r="B35" s="5">
        <v>27.241000000000003</v>
      </c>
      <c r="C35" s="1">
        <v>28.06</v>
      </c>
      <c r="D35" s="5">
        <f>Table8[[#This Row],[AGE]]-Table8[[#This Row],[AVG_AGE]]</f>
        <v>-0.81899999999999551</v>
      </c>
    </row>
    <row r="36" spans="1:4" x14ac:dyDescent="0.3">
      <c r="A36" t="s">
        <v>68</v>
      </c>
      <c r="B36" s="5">
        <v>27.202105263157897</v>
      </c>
      <c r="C36" s="1">
        <v>28.06</v>
      </c>
      <c r="D36" s="5">
        <f>Table8[[#This Row],[AGE]]-Table8[[#This Row],[AVG_AGE]]</f>
        <v>-0.85789473684210193</v>
      </c>
    </row>
    <row r="37" spans="1:4" x14ac:dyDescent="0.3">
      <c r="A37" t="s">
        <v>118</v>
      </c>
      <c r="B37" s="5">
        <v>27.154210526315794</v>
      </c>
      <c r="C37" s="1">
        <v>28.06</v>
      </c>
      <c r="D37" s="5">
        <f>Table8[[#This Row],[AGE]]-Table8[[#This Row],[AVG_AGE]]</f>
        <v>-0.90578947368420515</v>
      </c>
    </row>
    <row r="38" spans="1:4" x14ac:dyDescent="0.3">
      <c r="A38" t="s">
        <v>96</v>
      </c>
      <c r="B38" s="5">
        <v>27.130909090909089</v>
      </c>
      <c r="C38" s="1">
        <v>28.06</v>
      </c>
      <c r="D38" s="5">
        <f>Table8[[#This Row],[AGE]]-Table8[[#This Row],[AVG_AGE]]</f>
        <v>-0.92909090909090963</v>
      </c>
    </row>
    <row r="39" spans="1:4" x14ac:dyDescent="0.3">
      <c r="A39" t="s">
        <v>104</v>
      </c>
      <c r="B39" s="5">
        <v>27.086521739130436</v>
      </c>
      <c r="C39" s="1">
        <v>28.06</v>
      </c>
      <c r="D39" s="5">
        <f>Table8[[#This Row],[AGE]]-Table8[[#This Row],[AVG_AGE]]</f>
        <v>-0.97347826086956246</v>
      </c>
    </row>
    <row r="40" spans="1:4" x14ac:dyDescent="0.3">
      <c r="A40" t="s">
        <v>23</v>
      </c>
      <c r="B40" s="5">
        <v>27.055652173913042</v>
      </c>
      <c r="C40" s="1">
        <v>28.06</v>
      </c>
      <c r="D40" s="5">
        <f>Table8[[#This Row],[AGE]]-Table8[[#This Row],[AVG_AGE]]</f>
        <v>-1.0043478260869563</v>
      </c>
    </row>
    <row r="41" spans="1:4" x14ac:dyDescent="0.3">
      <c r="A41" t="s">
        <v>92</v>
      </c>
      <c r="B41" s="5">
        <v>27.047142857142859</v>
      </c>
      <c r="C41" s="1">
        <v>28.06</v>
      </c>
      <c r="D41" s="5">
        <f>Table8[[#This Row],[AGE]]-Table8[[#This Row],[AVG_AGE]]</f>
        <v>-1.0128571428571398</v>
      </c>
    </row>
    <row r="42" spans="1:4" x14ac:dyDescent="0.3">
      <c r="A42" t="s">
        <v>28</v>
      </c>
      <c r="B42" s="5">
        <v>26.987199999999998</v>
      </c>
      <c r="C42" s="1">
        <v>28.06</v>
      </c>
      <c r="D42" s="5">
        <f>Table8[[#This Row],[AGE]]-Table8[[#This Row],[AVG_AGE]]</f>
        <v>-1.0728000000000009</v>
      </c>
    </row>
    <row r="43" spans="1:4" x14ac:dyDescent="0.3">
      <c r="A43" t="s">
        <v>107</v>
      </c>
      <c r="B43" s="5">
        <v>26.841428571428569</v>
      </c>
      <c r="C43" s="1">
        <v>28.06</v>
      </c>
      <c r="D43" s="5">
        <f>Table8[[#This Row],[AGE]]-Table8[[#This Row],[AVG_AGE]]</f>
        <v>-1.2185714285714297</v>
      </c>
    </row>
    <row r="44" spans="1:4" x14ac:dyDescent="0.3">
      <c r="A44" t="s">
        <v>125</v>
      </c>
      <c r="B44" s="5">
        <v>26.778400000000001</v>
      </c>
      <c r="C44" s="1">
        <v>28.06</v>
      </c>
      <c r="D44" s="5">
        <f>Table8[[#This Row],[AGE]]-Table8[[#This Row],[AVG_AGE]]</f>
        <v>-1.2815999999999974</v>
      </c>
    </row>
    <row r="45" spans="1:4" x14ac:dyDescent="0.3">
      <c r="A45" t="s">
        <v>231</v>
      </c>
      <c r="B45" s="5">
        <v>26.543499999999995</v>
      </c>
      <c r="C45" s="1">
        <v>28.06</v>
      </c>
      <c r="D45" s="5">
        <f>Table8[[#This Row],[AGE]]-Table8[[#This Row],[AVG_AGE]]</f>
        <v>-1.5165000000000042</v>
      </c>
    </row>
    <row r="46" spans="1:4" x14ac:dyDescent="0.3">
      <c r="A46" t="s">
        <v>209</v>
      </c>
      <c r="B46" s="5">
        <v>26.54</v>
      </c>
      <c r="C46" s="1">
        <v>28.06</v>
      </c>
      <c r="D46" s="5">
        <f>Table8[[#This Row],[AGE]]-Table8[[#This Row],[AVG_AGE]]</f>
        <v>-1.5199999999999996</v>
      </c>
    </row>
    <row r="47" spans="1:4" x14ac:dyDescent="0.3">
      <c r="A47" t="s">
        <v>115</v>
      </c>
      <c r="B47" s="5">
        <v>26.472727272727273</v>
      </c>
      <c r="C47" s="1">
        <v>28.06</v>
      </c>
      <c r="D47" s="5">
        <f>Table8[[#This Row],[AGE]]-Table8[[#This Row],[AVG_AGE]]</f>
        <v>-1.5872727272727261</v>
      </c>
    </row>
    <row r="48" spans="1:4" x14ac:dyDescent="0.3">
      <c r="A48" t="s">
        <v>77</v>
      </c>
      <c r="B48" s="5">
        <v>25.885000000000002</v>
      </c>
      <c r="C48" s="1">
        <v>28.06</v>
      </c>
      <c r="D48" s="5">
        <f>Table8[[#This Row],[AGE]]-Table8[[#This Row],[AVG_AGE]]</f>
        <v>-2.1749999999999972</v>
      </c>
    </row>
    <row r="49" spans="1:4" x14ac:dyDescent="0.3">
      <c r="A49" t="s">
        <v>151</v>
      </c>
      <c r="B49" s="5">
        <v>25.659499999999998</v>
      </c>
      <c r="C49" s="1">
        <v>28.06</v>
      </c>
      <c r="D49" s="5">
        <f>Table8[[#This Row],[AGE]]-Table8[[#This Row],[AVG_AGE]]</f>
        <v>-2.400500000000001</v>
      </c>
    </row>
  </sheetData>
  <conditionalFormatting sqref="B2:B4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1B49-7C70-4798-BC89-15469A6304AD}">
  <dimension ref="A1:D47"/>
  <sheetViews>
    <sheetView workbookViewId="0">
      <selection activeCell="P33" sqref="P33"/>
    </sheetView>
  </sheetViews>
  <sheetFormatPr defaultRowHeight="14.4" x14ac:dyDescent="0.3"/>
  <cols>
    <col min="1" max="1" width="9.33203125" customWidth="1"/>
    <col min="3" max="3" width="10" bestFit="1" customWidth="1"/>
  </cols>
  <sheetData>
    <row r="1" spans="1:4" x14ac:dyDescent="0.3">
      <c r="A1" t="s">
        <v>3</v>
      </c>
      <c r="B1" t="s">
        <v>1142</v>
      </c>
      <c r="C1" t="s">
        <v>1143</v>
      </c>
      <c r="D1" t="s">
        <v>1144</v>
      </c>
    </row>
    <row r="2" spans="1:4" x14ac:dyDescent="0.3">
      <c r="A2" t="s">
        <v>310</v>
      </c>
      <c r="B2">
        <v>0</v>
      </c>
      <c r="C2">
        <v>1</v>
      </c>
      <c r="D2">
        <f>SUM(Table2[[#This Row],[RED]:[YELLOW]])</f>
        <v>1</v>
      </c>
    </row>
    <row r="3" spans="1:4" x14ac:dyDescent="0.3">
      <c r="A3" t="s">
        <v>97</v>
      </c>
      <c r="B3">
        <v>0</v>
      </c>
      <c r="C3">
        <v>1</v>
      </c>
      <c r="D3">
        <f>SUM(Table2[[#This Row],[RED]:[YELLOW]])</f>
        <v>1</v>
      </c>
    </row>
    <row r="4" spans="1:4" x14ac:dyDescent="0.3">
      <c r="A4" t="s">
        <v>108</v>
      </c>
      <c r="B4">
        <v>0</v>
      </c>
      <c r="C4">
        <v>1</v>
      </c>
      <c r="D4">
        <f>SUM(Table2[[#This Row],[RED]:[YELLOW]])</f>
        <v>1</v>
      </c>
    </row>
    <row r="5" spans="1:4" x14ac:dyDescent="0.3">
      <c r="A5" t="s">
        <v>29</v>
      </c>
      <c r="B5">
        <v>0</v>
      </c>
      <c r="C5">
        <v>1</v>
      </c>
      <c r="D5">
        <f>SUM(Table2[[#This Row],[RED]:[YELLOW]])</f>
        <v>1</v>
      </c>
    </row>
    <row r="6" spans="1:4" x14ac:dyDescent="0.3">
      <c r="A6" t="s">
        <v>43</v>
      </c>
      <c r="B6">
        <v>0</v>
      </c>
      <c r="C6">
        <v>1</v>
      </c>
      <c r="D6">
        <f>SUM(Table2[[#This Row],[RED]:[YELLOW]])</f>
        <v>1</v>
      </c>
    </row>
    <row r="7" spans="1:4" x14ac:dyDescent="0.3">
      <c r="A7" t="s">
        <v>140</v>
      </c>
      <c r="B7">
        <v>0</v>
      </c>
      <c r="C7">
        <v>2</v>
      </c>
      <c r="D7">
        <f>SUM(Table2[[#This Row],[RED]:[YELLOW]])</f>
        <v>2</v>
      </c>
    </row>
    <row r="8" spans="1:4" x14ac:dyDescent="0.3">
      <c r="A8" t="s">
        <v>210</v>
      </c>
      <c r="B8">
        <v>0</v>
      </c>
      <c r="C8">
        <v>2</v>
      </c>
      <c r="D8">
        <f>SUM(Table2[[#This Row],[RED]:[YELLOW]])</f>
        <v>2</v>
      </c>
    </row>
    <row r="9" spans="1:4" x14ac:dyDescent="0.3">
      <c r="A9" t="s">
        <v>226</v>
      </c>
      <c r="B9">
        <v>0</v>
      </c>
      <c r="C9">
        <v>2</v>
      </c>
      <c r="D9">
        <f>SUM(Table2[[#This Row],[RED]:[YELLOW]])</f>
        <v>2</v>
      </c>
    </row>
    <row r="10" spans="1:4" x14ac:dyDescent="0.3">
      <c r="A10" t="s">
        <v>152</v>
      </c>
      <c r="B10">
        <v>0</v>
      </c>
      <c r="C10">
        <v>2</v>
      </c>
      <c r="D10">
        <f>SUM(Table2[[#This Row],[RED]:[YELLOW]])</f>
        <v>2</v>
      </c>
    </row>
    <row r="11" spans="1:4" x14ac:dyDescent="0.3">
      <c r="A11" t="s">
        <v>292</v>
      </c>
      <c r="B11">
        <v>0</v>
      </c>
      <c r="C11">
        <v>2</v>
      </c>
      <c r="D11">
        <f>SUM(Table2[[#This Row],[RED]:[YELLOW]])</f>
        <v>2</v>
      </c>
    </row>
    <row r="12" spans="1:4" x14ac:dyDescent="0.3">
      <c r="A12" t="s">
        <v>105</v>
      </c>
      <c r="B12">
        <v>0</v>
      </c>
      <c r="C12">
        <v>2</v>
      </c>
      <c r="D12">
        <f>SUM(Table2[[#This Row],[RED]:[YELLOW]])</f>
        <v>2</v>
      </c>
    </row>
    <row r="13" spans="1:4" x14ac:dyDescent="0.3">
      <c r="A13" t="s">
        <v>146</v>
      </c>
      <c r="B13">
        <v>1</v>
      </c>
      <c r="C13">
        <v>2</v>
      </c>
      <c r="D13">
        <f>SUM(Table2[[#This Row],[RED]:[YELLOW]])</f>
        <v>3</v>
      </c>
    </row>
    <row r="14" spans="1:4" x14ac:dyDescent="0.3">
      <c r="A14" t="s">
        <v>85</v>
      </c>
      <c r="B14">
        <v>0</v>
      </c>
      <c r="C14">
        <v>3</v>
      </c>
      <c r="D14">
        <f>SUM(Table2[[#This Row],[RED]:[YELLOW]])</f>
        <v>3</v>
      </c>
    </row>
    <row r="15" spans="1:4" x14ac:dyDescent="0.3">
      <c r="A15" t="s">
        <v>160</v>
      </c>
      <c r="B15">
        <v>0</v>
      </c>
      <c r="C15">
        <v>3</v>
      </c>
      <c r="D15">
        <f>SUM(Table2[[#This Row],[RED]:[YELLOW]])</f>
        <v>3</v>
      </c>
    </row>
    <row r="16" spans="1:4" x14ac:dyDescent="0.3">
      <c r="A16" t="s">
        <v>81</v>
      </c>
      <c r="B16">
        <v>0</v>
      </c>
      <c r="C16">
        <v>3</v>
      </c>
      <c r="D16">
        <f>SUM(Table2[[#This Row],[RED]:[YELLOW]])</f>
        <v>3</v>
      </c>
    </row>
    <row r="17" spans="1:4" x14ac:dyDescent="0.3">
      <c r="A17" t="s">
        <v>102</v>
      </c>
      <c r="B17">
        <v>0</v>
      </c>
      <c r="C17">
        <v>3</v>
      </c>
      <c r="D17">
        <f>SUM(Table2[[#This Row],[RED]:[YELLOW]])</f>
        <v>3</v>
      </c>
    </row>
    <row r="18" spans="1:4" x14ac:dyDescent="0.3">
      <c r="A18" t="s">
        <v>302</v>
      </c>
      <c r="B18">
        <v>1</v>
      </c>
      <c r="C18">
        <v>3</v>
      </c>
      <c r="D18">
        <f>SUM(Table2[[#This Row],[RED]:[YELLOW]])</f>
        <v>4</v>
      </c>
    </row>
    <row r="19" spans="1:4" x14ac:dyDescent="0.3">
      <c r="A19" t="s">
        <v>113</v>
      </c>
      <c r="B19">
        <v>0</v>
      </c>
      <c r="C19">
        <v>4</v>
      </c>
      <c r="D19">
        <f>SUM(Table2[[#This Row],[RED]:[YELLOW]])</f>
        <v>4</v>
      </c>
    </row>
    <row r="20" spans="1:4" x14ac:dyDescent="0.3">
      <c r="A20" t="s">
        <v>78</v>
      </c>
      <c r="B20">
        <v>0</v>
      </c>
      <c r="C20">
        <v>4</v>
      </c>
      <c r="D20">
        <f>SUM(Table2[[#This Row],[RED]:[YELLOW]])</f>
        <v>4</v>
      </c>
    </row>
    <row r="21" spans="1:4" x14ac:dyDescent="0.3">
      <c r="A21" t="s">
        <v>190</v>
      </c>
      <c r="B21">
        <v>0</v>
      </c>
      <c r="C21">
        <v>4</v>
      </c>
      <c r="D21">
        <f>SUM(Table2[[#This Row],[RED]:[YELLOW]])</f>
        <v>4</v>
      </c>
    </row>
    <row r="22" spans="1:4" x14ac:dyDescent="0.3">
      <c r="A22" t="s">
        <v>185</v>
      </c>
      <c r="B22">
        <v>0</v>
      </c>
      <c r="C22">
        <v>4</v>
      </c>
      <c r="D22">
        <f>SUM(Table2[[#This Row],[RED]:[YELLOW]])</f>
        <v>4</v>
      </c>
    </row>
    <row r="23" spans="1:4" x14ac:dyDescent="0.3">
      <c r="A23" t="s">
        <v>56</v>
      </c>
      <c r="B23">
        <v>0</v>
      </c>
      <c r="C23">
        <v>4</v>
      </c>
      <c r="D23">
        <f>SUM(Table2[[#This Row],[RED]:[YELLOW]])</f>
        <v>4</v>
      </c>
    </row>
    <row r="24" spans="1:4" x14ac:dyDescent="0.3">
      <c r="A24" t="s">
        <v>392</v>
      </c>
      <c r="B24">
        <v>0</v>
      </c>
      <c r="C24">
        <v>4</v>
      </c>
      <c r="D24">
        <f>SUM(Table2[[#This Row],[RED]:[YELLOW]])</f>
        <v>4</v>
      </c>
    </row>
    <row r="25" spans="1:4" x14ac:dyDescent="0.3">
      <c r="A25" t="s">
        <v>306</v>
      </c>
      <c r="B25">
        <v>0</v>
      </c>
      <c r="C25">
        <v>4</v>
      </c>
      <c r="D25">
        <f>SUM(Table2[[#This Row],[RED]:[YELLOW]])</f>
        <v>4</v>
      </c>
    </row>
    <row r="26" spans="1:4" x14ac:dyDescent="0.3">
      <c r="A26" t="s">
        <v>240</v>
      </c>
      <c r="B26">
        <v>0</v>
      </c>
      <c r="C26">
        <v>4</v>
      </c>
      <c r="D26">
        <f>SUM(Table2[[#This Row],[RED]:[YELLOW]])</f>
        <v>4</v>
      </c>
    </row>
    <row r="27" spans="1:4" x14ac:dyDescent="0.3">
      <c r="A27" t="s">
        <v>182</v>
      </c>
      <c r="B27">
        <v>0</v>
      </c>
      <c r="C27">
        <v>4</v>
      </c>
      <c r="D27">
        <f>SUM(Table2[[#This Row],[RED]:[YELLOW]])</f>
        <v>4</v>
      </c>
    </row>
    <row r="28" spans="1:4" x14ac:dyDescent="0.3">
      <c r="A28" t="s">
        <v>50</v>
      </c>
      <c r="B28">
        <v>0</v>
      </c>
      <c r="C28">
        <v>4</v>
      </c>
      <c r="D28">
        <f>SUM(Table2[[#This Row],[RED]:[YELLOW]])</f>
        <v>4</v>
      </c>
    </row>
    <row r="29" spans="1:4" x14ac:dyDescent="0.3">
      <c r="A29" t="s">
        <v>126</v>
      </c>
      <c r="B29">
        <v>1</v>
      </c>
      <c r="C29">
        <v>4</v>
      </c>
      <c r="D29">
        <f>SUM(Table2[[#This Row],[RED]:[YELLOW]])</f>
        <v>5</v>
      </c>
    </row>
    <row r="30" spans="1:4" x14ac:dyDescent="0.3">
      <c r="A30" t="s">
        <v>232</v>
      </c>
      <c r="B30">
        <v>0</v>
      </c>
      <c r="C30">
        <v>5</v>
      </c>
      <c r="D30">
        <f>SUM(Table2[[#This Row],[RED]:[YELLOW]])</f>
        <v>5</v>
      </c>
    </row>
    <row r="31" spans="1:4" x14ac:dyDescent="0.3">
      <c r="A31" t="s">
        <v>214</v>
      </c>
      <c r="B31">
        <v>0</v>
      </c>
      <c r="C31">
        <v>5</v>
      </c>
      <c r="D31">
        <f>SUM(Table2[[#This Row],[RED]:[YELLOW]])</f>
        <v>5</v>
      </c>
    </row>
    <row r="32" spans="1:4" x14ac:dyDescent="0.3">
      <c r="A32" t="s">
        <v>119</v>
      </c>
      <c r="B32">
        <v>0</v>
      </c>
      <c r="C32">
        <v>5</v>
      </c>
      <c r="D32">
        <f>SUM(Table2[[#This Row],[RED]:[YELLOW]])</f>
        <v>5</v>
      </c>
    </row>
    <row r="33" spans="1:4" x14ac:dyDescent="0.3">
      <c r="A33" t="s">
        <v>157</v>
      </c>
      <c r="B33">
        <v>0</v>
      </c>
      <c r="C33">
        <v>5</v>
      </c>
      <c r="D33">
        <f>SUM(Table2[[#This Row],[RED]:[YELLOW]])</f>
        <v>5</v>
      </c>
    </row>
    <row r="34" spans="1:4" x14ac:dyDescent="0.3">
      <c r="A34" t="s">
        <v>130</v>
      </c>
      <c r="B34">
        <v>0</v>
      </c>
      <c r="C34">
        <v>5</v>
      </c>
      <c r="D34">
        <f>SUM(Table2[[#This Row],[RED]:[YELLOW]])</f>
        <v>5</v>
      </c>
    </row>
    <row r="35" spans="1:4" x14ac:dyDescent="0.3">
      <c r="A35" t="s">
        <v>24</v>
      </c>
      <c r="B35">
        <v>0</v>
      </c>
      <c r="C35">
        <v>5</v>
      </c>
      <c r="D35">
        <f>SUM(Table2[[#This Row],[RED]:[YELLOW]])</f>
        <v>5</v>
      </c>
    </row>
    <row r="36" spans="1:4" x14ac:dyDescent="0.3">
      <c r="A36" t="s">
        <v>53</v>
      </c>
      <c r="B36">
        <v>2</v>
      </c>
      <c r="C36">
        <v>4</v>
      </c>
      <c r="D36">
        <f>SUM(Table2[[#This Row],[RED]:[YELLOW]])</f>
        <v>6</v>
      </c>
    </row>
    <row r="37" spans="1:4" x14ac:dyDescent="0.3">
      <c r="A37" t="s">
        <v>90</v>
      </c>
      <c r="B37">
        <v>1</v>
      </c>
      <c r="C37">
        <v>5</v>
      </c>
      <c r="D37">
        <f>SUM(Table2[[#This Row],[RED]:[YELLOW]])</f>
        <v>6</v>
      </c>
    </row>
    <row r="38" spans="1:4" x14ac:dyDescent="0.3">
      <c r="A38" t="s">
        <v>33</v>
      </c>
      <c r="B38">
        <v>0</v>
      </c>
      <c r="C38">
        <v>6</v>
      </c>
      <c r="D38">
        <f>SUM(Table2[[#This Row],[RED]:[YELLOW]])</f>
        <v>6</v>
      </c>
    </row>
    <row r="39" spans="1:4" x14ac:dyDescent="0.3">
      <c r="A39" t="s">
        <v>134</v>
      </c>
      <c r="B39">
        <v>0</v>
      </c>
      <c r="C39">
        <v>6</v>
      </c>
      <c r="D39">
        <f>SUM(Table2[[#This Row],[RED]:[YELLOW]])</f>
        <v>6</v>
      </c>
    </row>
    <row r="40" spans="1:4" x14ac:dyDescent="0.3">
      <c r="A40" t="s">
        <v>47</v>
      </c>
      <c r="B40">
        <v>0</v>
      </c>
      <c r="C40">
        <v>6</v>
      </c>
      <c r="D40">
        <f>SUM(Table2[[#This Row],[RED]:[YELLOW]])</f>
        <v>6</v>
      </c>
    </row>
    <row r="41" spans="1:4" x14ac:dyDescent="0.3">
      <c r="A41" t="s">
        <v>69</v>
      </c>
      <c r="B41">
        <v>2</v>
      </c>
      <c r="C41">
        <v>5</v>
      </c>
      <c r="D41">
        <f>SUM(Table2[[#This Row],[RED]:[YELLOW]])</f>
        <v>7</v>
      </c>
    </row>
    <row r="42" spans="1:4" x14ac:dyDescent="0.3">
      <c r="A42" t="s">
        <v>116</v>
      </c>
      <c r="B42">
        <v>1</v>
      </c>
      <c r="C42">
        <v>6</v>
      </c>
      <c r="D42">
        <f>SUM(Table2[[#This Row],[RED]:[YELLOW]])</f>
        <v>7</v>
      </c>
    </row>
    <row r="43" spans="1:4" x14ac:dyDescent="0.3">
      <c r="A43" t="s">
        <v>137</v>
      </c>
      <c r="B43">
        <v>0</v>
      </c>
      <c r="C43">
        <v>7</v>
      </c>
      <c r="D43">
        <f>SUM(Table2[[#This Row],[RED]:[YELLOW]])</f>
        <v>7</v>
      </c>
    </row>
    <row r="44" spans="1:4" x14ac:dyDescent="0.3">
      <c r="A44" t="s">
        <v>93</v>
      </c>
      <c r="B44">
        <v>0</v>
      </c>
      <c r="C44">
        <v>7</v>
      </c>
      <c r="D44">
        <f>SUM(Table2[[#This Row],[RED]:[YELLOW]])</f>
        <v>7</v>
      </c>
    </row>
    <row r="45" spans="1:4" x14ac:dyDescent="0.3">
      <c r="A45" t="s">
        <v>175</v>
      </c>
      <c r="B45">
        <v>0</v>
      </c>
      <c r="C45">
        <v>7</v>
      </c>
      <c r="D45">
        <f>SUM(Table2[[#This Row],[RED]:[YELLOW]])</f>
        <v>7</v>
      </c>
    </row>
    <row r="46" spans="1:4" x14ac:dyDescent="0.3">
      <c r="A46" t="s">
        <v>73</v>
      </c>
      <c r="B46">
        <v>0</v>
      </c>
      <c r="C46">
        <v>7</v>
      </c>
      <c r="D46">
        <f>SUM(Table2[[#This Row],[RED]:[YELLOW]])</f>
        <v>7</v>
      </c>
    </row>
    <row r="47" spans="1:4" x14ac:dyDescent="0.3">
      <c r="A47" t="s">
        <v>122</v>
      </c>
      <c r="B47">
        <v>1</v>
      </c>
      <c r="C47">
        <v>9</v>
      </c>
      <c r="D47">
        <f>SUM(Table2[[#This Row],[RED]:[YELLOW]])</f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89AE-1FBB-4F42-BBD4-0354BE573189}">
  <dimension ref="A1:B49"/>
  <sheetViews>
    <sheetView zoomScale="120" zoomScaleNormal="120" workbookViewId="0">
      <selection activeCell="F30" sqref="F30"/>
    </sheetView>
  </sheetViews>
  <sheetFormatPr defaultRowHeight="14.4" x14ac:dyDescent="0.3"/>
  <cols>
    <col min="1" max="1" width="13.21875" bestFit="1" customWidth="1"/>
    <col min="2" max="2" width="11.21875" style="1" bestFit="1" customWidth="1"/>
  </cols>
  <sheetData>
    <row r="1" spans="1:2" x14ac:dyDescent="0.3">
      <c r="A1" t="s">
        <v>3</v>
      </c>
      <c r="B1" s="1" t="s">
        <v>10</v>
      </c>
    </row>
    <row r="2" spans="1:2" x14ac:dyDescent="0.3">
      <c r="A2" t="s">
        <v>159</v>
      </c>
      <c r="B2" s="1">
        <v>11</v>
      </c>
    </row>
    <row r="3" spans="1:2" x14ac:dyDescent="0.3">
      <c r="A3" t="s">
        <v>107</v>
      </c>
      <c r="B3" s="1">
        <v>10</v>
      </c>
    </row>
    <row r="4" spans="1:2" x14ac:dyDescent="0.3">
      <c r="A4" t="s">
        <v>101</v>
      </c>
      <c r="B4" s="1">
        <v>10</v>
      </c>
    </row>
    <row r="5" spans="1:2" x14ac:dyDescent="0.3">
      <c r="A5" t="s">
        <v>136</v>
      </c>
      <c r="B5" s="1">
        <v>9</v>
      </c>
    </row>
    <row r="6" spans="1:2" x14ac:dyDescent="0.3">
      <c r="A6" t="s">
        <v>92</v>
      </c>
      <c r="B6" s="1">
        <v>8</v>
      </c>
    </row>
    <row r="7" spans="1:2" x14ac:dyDescent="0.3">
      <c r="A7" t="s">
        <v>391</v>
      </c>
      <c r="B7" s="1">
        <v>8</v>
      </c>
    </row>
    <row r="8" spans="1:2" x14ac:dyDescent="0.3">
      <c r="A8" t="s">
        <v>291</v>
      </c>
      <c r="B8" s="1">
        <v>8</v>
      </c>
    </row>
    <row r="9" spans="1:2" x14ac:dyDescent="0.3">
      <c r="A9" t="s">
        <v>139</v>
      </c>
      <c r="B9" s="1">
        <v>8</v>
      </c>
    </row>
    <row r="10" spans="1:2" x14ac:dyDescent="0.3">
      <c r="A10" t="s">
        <v>151</v>
      </c>
      <c r="B10" s="1">
        <v>7</v>
      </c>
    </row>
    <row r="11" spans="1:2" x14ac:dyDescent="0.3">
      <c r="A11" t="s">
        <v>28</v>
      </c>
      <c r="B11" s="1">
        <v>7</v>
      </c>
    </row>
    <row r="12" spans="1:2" x14ac:dyDescent="0.3">
      <c r="A12" t="s">
        <v>129</v>
      </c>
      <c r="B12" s="1">
        <v>7</v>
      </c>
    </row>
    <row r="13" spans="1:2" x14ac:dyDescent="0.3">
      <c r="A13" t="s">
        <v>84</v>
      </c>
      <c r="B13" s="1">
        <v>7</v>
      </c>
    </row>
    <row r="14" spans="1:2" x14ac:dyDescent="0.3">
      <c r="A14" t="s">
        <v>145</v>
      </c>
      <c r="B14" s="1">
        <v>6</v>
      </c>
    </row>
    <row r="15" spans="1:2" x14ac:dyDescent="0.3">
      <c r="A15" t="s">
        <v>23</v>
      </c>
      <c r="B15" s="1">
        <v>6</v>
      </c>
    </row>
    <row r="16" spans="1:2" x14ac:dyDescent="0.3">
      <c r="A16" t="s">
        <v>1147</v>
      </c>
      <c r="B16" s="1">
        <v>6</v>
      </c>
    </row>
    <row r="17" spans="1:2" x14ac:dyDescent="0.3">
      <c r="A17" t="s">
        <v>96</v>
      </c>
      <c r="B17" s="1">
        <v>5</v>
      </c>
    </row>
    <row r="18" spans="1:2" x14ac:dyDescent="0.3">
      <c r="A18" t="s">
        <v>301</v>
      </c>
      <c r="B18" s="1">
        <v>5</v>
      </c>
    </row>
    <row r="19" spans="1:2" x14ac:dyDescent="0.3">
      <c r="A19" t="s">
        <v>225</v>
      </c>
      <c r="B19" s="1">
        <v>5</v>
      </c>
    </row>
    <row r="20" spans="1:2" x14ac:dyDescent="0.3">
      <c r="A20" t="s">
        <v>32</v>
      </c>
      <c r="B20" s="1">
        <v>5</v>
      </c>
    </row>
    <row r="21" spans="1:2" x14ac:dyDescent="0.3">
      <c r="A21" t="s">
        <v>181</v>
      </c>
      <c r="B21" s="1">
        <v>5</v>
      </c>
    </row>
    <row r="22" spans="1:2" x14ac:dyDescent="0.3">
      <c r="A22" t="s">
        <v>112</v>
      </c>
      <c r="B22" s="1">
        <v>5</v>
      </c>
    </row>
    <row r="23" spans="1:2" x14ac:dyDescent="0.3">
      <c r="A23" t="s">
        <v>115</v>
      </c>
      <c r="B23" s="1">
        <v>4</v>
      </c>
    </row>
    <row r="24" spans="1:2" x14ac:dyDescent="0.3">
      <c r="A24" t="s">
        <v>189</v>
      </c>
      <c r="B24" s="1">
        <v>4</v>
      </c>
    </row>
    <row r="25" spans="1:2" x14ac:dyDescent="0.3">
      <c r="A25" t="s">
        <v>77</v>
      </c>
      <c r="B25" s="1">
        <v>4</v>
      </c>
    </row>
    <row r="26" spans="1:2" x14ac:dyDescent="0.3">
      <c r="A26" t="s">
        <v>239</v>
      </c>
      <c r="B26" s="1">
        <v>4</v>
      </c>
    </row>
    <row r="27" spans="1:2" x14ac:dyDescent="0.3">
      <c r="A27" t="s">
        <v>209</v>
      </c>
      <c r="B27" s="1">
        <v>4</v>
      </c>
    </row>
    <row r="28" spans="1:2" x14ac:dyDescent="0.3">
      <c r="A28" t="s">
        <v>213</v>
      </c>
      <c r="B28" s="1">
        <v>4</v>
      </c>
    </row>
    <row r="29" spans="1:2" x14ac:dyDescent="0.3">
      <c r="A29" t="s">
        <v>133</v>
      </c>
      <c r="B29" s="1">
        <v>3</v>
      </c>
    </row>
    <row r="30" spans="1:2" x14ac:dyDescent="0.3">
      <c r="A30" t="s">
        <v>55</v>
      </c>
      <c r="B30" s="1">
        <v>3</v>
      </c>
    </row>
    <row r="31" spans="1:2" x14ac:dyDescent="0.3">
      <c r="A31" t="s">
        <v>121</v>
      </c>
      <c r="B31" s="1">
        <v>3</v>
      </c>
    </row>
    <row r="32" spans="1:2" x14ac:dyDescent="0.3">
      <c r="A32" t="s">
        <v>104</v>
      </c>
      <c r="B32" s="1">
        <v>3</v>
      </c>
    </row>
    <row r="33" spans="1:2" x14ac:dyDescent="0.3">
      <c r="A33" t="s">
        <v>89</v>
      </c>
      <c r="B33" s="1">
        <v>3</v>
      </c>
    </row>
    <row r="34" spans="1:2" x14ac:dyDescent="0.3">
      <c r="A34" t="s">
        <v>231</v>
      </c>
      <c r="B34" s="1">
        <v>2</v>
      </c>
    </row>
    <row r="35" spans="1:2" x14ac:dyDescent="0.3">
      <c r="A35" t="s">
        <v>184</v>
      </c>
      <c r="B35" s="1">
        <v>2</v>
      </c>
    </row>
    <row r="36" spans="1:2" x14ac:dyDescent="0.3">
      <c r="A36" t="s">
        <v>309</v>
      </c>
      <c r="B36" s="1">
        <v>2</v>
      </c>
    </row>
    <row r="37" spans="1:2" x14ac:dyDescent="0.3">
      <c r="A37" t="s">
        <v>118</v>
      </c>
      <c r="B37" s="1">
        <v>2</v>
      </c>
    </row>
    <row r="38" spans="1:2" x14ac:dyDescent="0.3">
      <c r="A38" t="s">
        <v>80</v>
      </c>
      <c r="B38" s="1">
        <v>2</v>
      </c>
    </row>
    <row r="39" spans="1:2" x14ac:dyDescent="0.3">
      <c r="A39" t="s">
        <v>305</v>
      </c>
      <c r="B39" s="1">
        <v>2</v>
      </c>
    </row>
    <row r="40" spans="1:2" x14ac:dyDescent="0.3">
      <c r="A40" t="s">
        <v>52</v>
      </c>
      <c r="B40" s="1">
        <v>2</v>
      </c>
    </row>
    <row r="41" spans="1:2" x14ac:dyDescent="0.3">
      <c r="A41" t="s">
        <v>42</v>
      </c>
      <c r="B41" s="1">
        <v>2</v>
      </c>
    </row>
    <row r="42" spans="1:2" x14ac:dyDescent="0.3">
      <c r="A42" t="s">
        <v>49</v>
      </c>
      <c r="B42" s="1">
        <v>2</v>
      </c>
    </row>
    <row r="43" spans="1:2" x14ac:dyDescent="0.3">
      <c r="A43" t="s">
        <v>68</v>
      </c>
      <c r="B43" s="1">
        <v>2</v>
      </c>
    </row>
    <row r="44" spans="1:2" x14ac:dyDescent="0.3">
      <c r="A44" t="s">
        <v>174</v>
      </c>
      <c r="B44" s="1">
        <v>1</v>
      </c>
    </row>
    <row r="45" spans="1:2" x14ac:dyDescent="0.3">
      <c r="A45" t="s">
        <v>72</v>
      </c>
      <c r="B45" s="1">
        <v>1</v>
      </c>
    </row>
    <row r="46" spans="1:2" x14ac:dyDescent="0.3">
      <c r="A46" t="s">
        <v>125</v>
      </c>
      <c r="B46" s="1">
        <v>1</v>
      </c>
    </row>
    <row r="47" spans="1:2" x14ac:dyDescent="0.3">
      <c r="A47" t="s">
        <v>46</v>
      </c>
      <c r="B47" s="1">
        <v>1</v>
      </c>
    </row>
    <row r="48" spans="1:2" x14ac:dyDescent="0.3">
      <c r="A48" t="s">
        <v>1146</v>
      </c>
      <c r="B48" s="1">
        <v>1</v>
      </c>
    </row>
    <row r="49" spans="1:2" x14ac:dyDescent="0.3">
      <c r="A49" t="s">
        <v>156</v>
      </c>
      <c r="B49" s="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DED2-A6E7-40E8-85E3-B55D551308EA}">
  <dimension ref="A1:E49"/>
  <sheetViews>
    <sheetView workbookViewId="0">
      <selection activeCell="P32" sqref="P32"/>
    </sheetView>
  </sheetViews>
  <sheetFormatPr defaultRowHeight="14.4" x14ac:dyDescent="0.3"/>
  <cols>
    <col min="1" max="1" width="9.33203125" customWidth="1"/>
    <col min="2" max="3" width="0" hidden="1" customWidth="1"/>
    <col min="4" max="4" width="14.88671875" style="1" bestFit="1" customWidth="1"/>
    <col min="5" max="5" width="8.88671875" style="1"/>
  </cols>
  <sheetData>
    <row r="1" spans="1:5" x14ac:dyDescent="0.3">
      <c r="A1" t="s">
        <v>3</v>
      </c>
      <c r="B1" t="s">
        <v>1142</v>
      </c>
      <c r="C1" t="s">
        <v>1143</v>
      </c>
      <c r="D1" s="1" t="s">
        <v>1145</v>
      </c>
      <c r="E1" s="1" t="s">
        <v>10</v>
      </c>
    </row>
    <row r="2" spans="1:5" x14ac:dyDescent="0.3">
      <c r="A2" t="s">
        <v>121</v>
      </c>
      <c r="B2">
        <v>1</v>
      </c>
      <c r="C2">
        <v>9</v>
      </c>
      <c r="D2" s="1">
        <f>SUM(Table3[[#This Row],[RED]:[YELLOW]])</f>
        <v>10</v>
      </c>
      <c r="E2" s="1">
        <v>3</v>
      </c>
    </row>
    <row r="3" spans="1:5" x14ac:dyDescent="0.3">
      <c r="A3" t="s">
        <v>136</v>
      </c>
      <c r="B3">
        <v>0</v>
      </c>
      <c r="C3">
        <v>7</v>
      </c>
      <c r="D3" s="1">
        <f>SUM(Table3[[#This Row],[RED]:[YELLOW]])</f>
        <v>7</v>
      </c>
      <c r="E3" s="1">
        <v>9</v>
      </c>
    </row>
    <row r="4" spans="1:5" x14ac:dyDescent="0.3">
      <c r="A4" t="s">
        <v>92</v>
      </c>
      <c r="B4">
        <v>0</v>
      </c>
      <c r="C4">
        <v>7</v>
      </c>
      <c r="D4" s="1">
        <f>SUM(Table3[[#This Row],[RED]:[YELLOW]])</f>
        <v>7</v>
      </c>
      <c r="E4" s="1">
        <v>8</v>
      </c>
    </row>
    <row r="5" spans="1:5" x14ac:dyDescent="0.3">
      <c r="A5" t="s">
        <v>115</v>
      </c>
      <c r="B5">
        <v>1</v>
      </c>
      <c r="C5">
        <v>6</v>
      </c>
      <c r="D5" s="1">
        <f>SUM(Table3[[#This Row],[RED]:[YELLOW]])</f>
        <v>7</v>
      </c>
      <c r="E5" s="1">
        <v>4</v>
      </c>
    </row>
    <row r="6" spans="1:5" x14ac:dyDescent="0.3">
      <c r="A6" t="s">
        <v>68</v>
      </c>
      <c r="B6">
        <v>2</v>
      </c>
      <c r="C6">
        <v>5</v>
      </c>
      <c r="D6" s="1">
        <f>SUM(Table3[[#This Row],[RED]:[YELLOW]])</f>
        <v>7</v>
      </c>
      <c r="E6" s="1">
        <v>2</v>
      </c>
    </row>
    <row r="7" spans="1:5" x14ac:dyDescent="0.3">
      <c r="A7" t="s">
        <v>174</v>
      </c>
      <c r="B7">
        <v>0</v>
      </c>
      <c r="C7">
        <v>7</v>
      </c>
      <c r="D7" s="1">
        <f>SUM(Table3[[#This Row],[RED]:[YELLOW]])</f>
        <v>7</v>
      </c>
      <c r="E7" s="1">
        <v>1</v>
      </c>
    </row>
    <row r="8" spans="1:5" x14ac:dyDescent="0.3">
      <c r="A8" t="s">
        <v>72</v>
      </c>
      <c r="B8">
        <v>0</v>
      </c>
      <c r="C8">
        <v>7</v>
      </c>
      <c r="D8" s="1">
        <f>SUM(Table3[[#This Row],[RED]:[YELLOW]])</f>
        <v>7</v>
      </c>
      <c r="E8" s="1">
        <v>1</v>
      </c>
    </row>
    <row r="9" spans="1:5" x14ac:dyDescent="0.3">
      <c r="A9" t="s">
        <v>32</v>
      </c>
      <c r="B9">
        <v>0</v>
      </c>
      <c r="C9">
        <v>6</v>
      </c>
      <c r="D9" s="1">
        <f>SUM(Table3[[#This Row],[RED]:[YELLOW]])</f>
        <v>6</v>
      </c>
      <c r="E9" s="1">
        <v>5</v>
      </c>
    </row>
    <row r="10" spans="1:5" x14ac:dyDescent="0.3">
      <c r="A10" t="s">
        <v>133</v>
      </c>
      <c r="B10">
        <v>0</v>
      </c>
      <c r="C10">
        <v>6</v>
      </c>
      <c r="D10" s="1">
        <f>SUM(Table3[[#This Row],[RED]:[YELLOW]])</f>
        <v>6</v>
      </c>
      <c r="E10" s="1">
        <v>3</v>
      </c>
    </row>
    <row r="11" spans="1:5" x14ac:dyDescent="0.3">
      <c r="A11" t="s">
        <v>89</v>
      </c>
      <c r="B11">
        <v>1</v>
      </c>
      <c r="C11">
        <v>5</v>
      </c>
      <c r="D11" s="1">
        <f>SUM(Table3[[#This Row],[RED]:[YELLOW]])</f>
        <v>6</v>
      </c>
      <c r="E11" s="1">
        <v>3</v>
      </c>
    </row>
    <row r="12" spans="1:5" x14ac:dyDescent="0.3">
      <c r="A12" t="s">
        <v>52</v>
      </c>
      <c r="B12">
        <v>2</v>
      </c>
      <c r="C12">
        <v>4</v>
      </c>
      <c r="D12" s="1">
        <f>SUM(Table3[[#This Row],[RED]:[YELLOW]])</f>
        <v>6</v>
      </c>
      <c r="E12" s="1">
        <v>2</v>
      </c>
    </row>
    <row r="13" spans="1:5" x14ac:dyDescent="0.3">
      <c r="A13" t="s">
        <v>46</v>
      </c>
      <c r="B13">
        <v>0</v>
      </c>
      <c r="C13">
        <v>6</v>
      </c>
      <c r="D13" s="1">
        <f>SUM(Table3[[#This Row],[RED]:[YELLOW]])</f>
        <v>6</v>
      </c>
      <c r="E13" s="1">
        <v>1</v>
      </c>
    </row>
    <row r="14" spans="1:5" x14ac:dyDescent="0.3">
      <c r="A14" t="s">
        <v>129</v>
      </c>
      <c r="B14">
        <v>0</v>
      </c>
      <c r="C14">
        <v>5</v>
      </c>
      <c r="D14" s="1">
        <f>SUM(Table3[[#This Row],[RED]:[YELLOW]])</f>
        <v>5</v>
      </c>
      <c r="E14" s="1">
        <v>7</v>
      </c>
    </row>
    <row r="15" spans="1:5" x14ac:dyDescent="0.3">
      <c r="A15" t="s">
        <v>23</v>
      </c>
      <c r="B15">
        <v>0</v>
      </c>
      <c r="C15">
        <v>5</v>
      </c>
      <c r="D15" s="1">
        <f>SUM(Table3[[#This Row],[RED]:[YELLOW]])</f>
        <v>5</v>
      </c>
      <c r="E15" s="1">
        <v>6</v>
      </c>
    </row>
    <row r="16" spans="1:5" x14ac:dyDescent="0.3">
      <c r="A16" t="s">
        <v>213</v>
      </c>
      <c r="B16">
        <v>0</v>
      </c>
      <c r="C16">
        <v>5</v>
      </c>
      <c r="D16" s="1">
        <f>SUM(Table3[[#This Row],[RED]:[YELLOW]])</f>
        <v>5</v>
      </c>
      <c r="E16" s="1">
        <v>4</v>
      </c>
    </row>
    <row r="17" spans="1:5" x14ac:dyDescent="0.3">
      <c r="A17" t="s">
        <v>231</v>
      </c>
      <c r="B17">
        <v>0</v>
      </c>
      <c r="C17">
        <v>5</v>
      </c>
      <c r="D17" s="1">
        <f>SUM(Table3[[#This Row],[RED]:[YELLOW]])</f>
        <v>5</v>
      </c>
      <c r="E17" s="1">
        <v>2</v>
      </c>
    </row>
    <row r="18" spans="1:5" x14ac:dyDescent="0.3">
      <c r="A18" t="s">
        <v>118</v>
      </c>
      <c r="B18">
        <v>0</v>
      </c>
      <c r="C18">
        <v>5</v>
      </c>
      <c r="D18" s="1">
        <f>SUM(Table3[[#This Row],[RED]:[YELLOW]])</f>
        <v>5</v>
      </c>
      <c r="E18" s="1">
        <v>2</v>
      </c>
    </row>
    <row r="19" spans="1:5" x14ac:dyDescent="0.3">
      <c r="A19" t="s">
        <v>125</v>
      </c>
      <c r="B19">
        <v>1</v>
      </c>
      <c r="C19">
        <v>4</v>
      </c>
      <c r="D19" s="1">
        <f>SUM(Table3[[#This Row],[RED]:[YELLOW]])</f>
        <v>5</v>
      </c>
      <c r="E19" s="1">
        <v>1</v>
      </c>
    </row>
    <row r="20" spans="1:5" x14ac:dyDescent="0.3">
      <c r="A20" t="s">
        <v>66</v>
      </c>
      <c r="B20">
        <v>0</v>
      </c>
      <c r="C20">
        <v>5</v>
      </c>
      <c r="D20" s="1">
        <f>SUM(Table3[[#This Row],[RED]:[YELLOW]])</f>
        <v>5</v>
      </c>
      <c r="E20" s="1">
        <v>1</v>
      </c>
    </row>
    <row r="21" spans="1:5" x14ac:dyDescent="0.3">
      <c r="A21" t="s">
        <v>156</v>
      </c>
      <c r="B21">
        <v>0</v>
      </c>
      <c r="C21">
        <v>5</v>
      </c>
      <c r="D21" s="1">
        <f>SUM(Table3[[#This Row],[RED]:[YELLOW]])</f>
        <v>5</v>
      </c>
      <c r="E21" s="1">
        <v>0</v>
      </c>
    </row>
    <row r="22" spans="1:5" x14ac:dyDescent="0.3">
      <c r="A22" t="s">
        <v>391</v>
      </c>
      <c r="B22">
        <v>0</v>
      </c>
      <c r="C22">
        <v>4</v>
      </c>
      <c r="D22" s="1">
        <f>SUM(Table3[[#This Row],[RED]:[YELLOW]])</f>
        <v>4</v>
      </c>
      <c r="E22" s="1">
        <v>8</v>
      </c>
    </row>
    <row r="23" spans="1:5" x14ac:dyDescent="0.3">
      <c r="A23" t="s">
        <v>112</v>
      </c>
      <c r="B23">
        <v>0</v>
      </c>
      <c r="C23">
        <v>4</v>
      </c>
      <c r="D23" s="1">
        <f>SUM(Table3[[#This Row],[RED]:[YELLOW]])</f>
        <v>4</v>
      </c>
      <c r="E23" s="1">
        <v>5</v>
      </c>
    </row>
    <row r="24" spans="1:5" x14ac:dyDescent="0.3">
      <c r="A24" t="s">
        <v>301</v>
      </c>
      <c r="B24">
        <v>1</v>
      </c>
      <c r="C24">
        <v>3</v>
      </c>
      <c r="D24" s="1">
        <f>SUM(Table3[[#This Row],[RED]:[YELLOW]])</f>
        <v>4</v>
      </c>
      <c r="E24" s="1">
        <v>5</v>
      </c>
    </row>
    <row r="25" spans="1:5" x14ac:dyDescent="0.3">
      <c r="A25" t="s">
        <v>181</v>
      </c>
      <c r="B25">
        <v>0</v>
      </c>
      <c r="C25">
        <v>4</v>
      </c>
      <c r="D25" s="1">
        <f>SUM(Table3[[#This Row],[RED]:[YELLOW]])</f>
        <v>4</v>
      </c>
      <c r="E25" s="1">
        <v>5</v>
      </c>
    </row>
    <row r="26" spans="1:5" x14ac:dyDescent="0.3">
      <c r="A26" t="s">
        <v>189</v>
      </c>
      <c r="B26">
        <v>0</v>
      </c>
      <c r="C26">
        <v>4</v>
      </c>
      <c r="D26" s="1">
        <f>SUM(Table3[[#This Row],[RED]:[YELLOW]])</f>
        <v>4</v>
      </c>
      <c r="E26" s="1">
        <v>4</v>
      </c>
    </row>
    <row r="27" spans="1:5" x14ac:dyDescent="0.3">
      <c r="A27" t="s">
        <v>77</v>
      </c>
      <c r="B27">
        <v>0</v>
      </c>
      <c r="C27">
        <v>4</v>
      </c>
      <c r="D27" s="1">
        <f>SUM(Table3[[#This Row],[RED]:[YELLOW]])</f>
        <v>4</v>
      </c>
      <c r="E27" s="1">
        <v>4</v>
      </c>
    </row>
    <row r="28" spans="1:5" x14ac:dyDescent="0.3">
      <c r="A28" t="s">
        <v>239</v>
      </c>
      <c r="B28">
        <v>0</v>
      </c>
      <c r="C28">
        <v>4</v>
      </c>
      <c r="D28" s="1">
        <f>SUM(Table3[[#This Row],[RED]:[YELLOW]])</f>
        <v>4</v>
      </c>
      <c r="E28" s="1">
        <v>4</v>
      </c>
    </row>
    <row r="29" spans="1:5" x14ac:dyDescent="0.3">
      <c r="A29" t="s">
        <v>55</v>
      </c>
      <c r="B29">
        <v>0</v>
      </c>
      <c r="C29">
        <v>4</v>
      </c>
      <c r="D29" s="1">
        <f>SUM(Table3[[#This Row],[RED]:[YELLOW]])</f>
        <v>4</v>
      </c>
      <c r="E29" s="1">
        <v>3</v>
      </c>
    </row>
    <row r="30" spans="1:5" x14ac:dyDescent="0.3">
      <c r="A30" t="s">
        <v>184</v>
      </c>
      <c r="B30">
        <v>0</v>
      </c>
      <c r="C30">
        <v>4</v>
      </c>
      <c r="D30" s="1">
        <f>SUM(Table3[[#This Row],[RED]:[YELLOW]])</f>
        <v>4</v>
      </c>
      <c r="E30" s="1">
        <v>2</v>
      </c>
    </row>
    <row r="31" spans="1:5" x14ac:dyDescent="0.3">
      <c r="A31" t="s">
        <v>305</v>
      </c>
      <c r="B31">
        <v>0</v>
      </c>
      <c r="C31">
        <v>4</v>
      </c>
      <c r="D31" s="1">
        <f>SUM(Table3[[#This Row],[RED]:[YELLOW]])</f>
        <v>4</v>
      </c>
      <c r="E31" s="1">
        <v>2</v>
      </c>
    </row>
    <row r="32" spans="1:5" x14ac:dyDescent="0.3">
      <c r="A32" t="s">
        <v>49</v>
      </c>
      <c r="B32">
        <v>0</v>
      </c>
      <c r="C32">
        <v>4</v>
      </c>
      <c r="D32" s="1">
        <f>SUM(Table3[[#This Row],[RED]:[YELLOW]])</f>
        <v>4</v>
      </c>
      <c r="E32" s="1">
        <v>2</v>
      </c>
    </row>
    <row r="33" spans="1:5" x14ac:dyDescent="0.3">
      <c r="A33" t="s">
        <v>159</v>
      </c>
      <c r="B33">
        <v>0</v>
      </c>
      <c r="C33">
        <v>3</v>
      </c>
      <c r="D33" s="1">
        <f>SUM(Table3[[#This Row],[RED]:[YELLOW]])</f>
        <v>3</v>
      </c>
      <c r="E33" s="1">
        <v>11</v>
      </c>
    </row>
    <row r="34" spans="1:5" x14ac:dyDescent="0.3">
      <c r="A34" t="s">
        <v>101</v>
      </c>
      <c r="B34">
        <v>0</v>
      </c>
      <c r="C34">
        <v>3</v>
      </c>
      <c r="D34" s="1">
        <f>SUM(Table3[[#This Row],[RED]:[YELLOW]])</f>
        <v>3</v>
      </c>
      <c r="E34" s="1">
        <v>10</v>
      </c>
    </row>
    <row r="35" spans="1:5" x14ac:dyDescent="0.3">
      <c r="A35" t="s">
        <v>84</v>
      </c>
      <c r="B35">
        <v>0</v>
      </c>
      <c r="C35">
        <v>3</v>
      </c>
      <c r="D35" s="1">
        <f>SUM(Table3[[#This Row],[RED]:[YELLOW]])</f>
        <v>3</v>
      </c>
      <c r="E35" s="1">
        <v>7</v>
      </c>
    </row>
    <row r="36" spans="1:5" x14ac:dyDescent="0.3">
      <c r="A36" t="s">
        <v>145</v>
      </c>
      <c r="B36">
        <v>1</v>
      </c>
      <c r="C36">
        <v>2</v>
      </c>
      <c r="D36" s="1">
        <f>SUM(Table3[[#This Row],[RED]:[YELLOW]])</f>
        <v>3</v>
      </c>
      <c r="E36" s="1">
        <v>6</v>
      </c>
    </row>
    <row r="37" spans="1:5" x14ac:dyDescent="0.3">
      <c r="A37" t="s">
        <v>80</v>
      </c>
      <c r="B37">
        <v>0</v>
      </c>
      <c r="C37">
        <v>3</v>
      </c>
      <c r="D37" s="1">
        <f>SUM(Table3[[#This Row],[RED]:[YELLOW]])</f>
        <v>3</v>
      </c>
      <c r="E37" s="1">
        <v>2</v>
      </c>
    </row>
    <row r="38" spans="1:5" x14ac:dyDescent="0.3">
      <c r="A38" t="s">
        <v>139</v>
      </c>
      <c r="B38">
        <v>0</v>
      </c>
      <c r="C38">
        <v>2</v>
      </c>
      <c r="D38" s="1">
        <f>SUM(Table3[[#This Row],[RED]:[YELLOW]])</f>
        <v>2</v>
      </c>
      <c r="E38" s="1">
        <v>8</v>
      </c>
    </row>
    <row r="39" spans="1:5" x14ac:dyDescent="0.3">
      <c r="A39" t="s">
        <v>291</v>
      </c>
      <c r="B39">
        <v>0</v>
      </c>
      <c r="C39">
        <v>2</v>
      </c>
      <c r="D39" s="1">
        <f>SUM(Table3[[#This Row],[RED]:[YELLOW]])</f>
        <v>2</v>
      </c>
      <c r="E39" s="1">
        <v>8</v>
      </c>
    </row>
    <row r="40" spans="1:5" x14ac:dyDescent="0.3">
      <c r="A40" t="s">
        <v>151</v>
      </c>
      <c r="B40">
        <v>0</v>
      </c>
      <c r="C40">
        <v>2</v>
      </c>
      <c r="D40" s="1">
        <f>SUM(Table3[[#This Row],[RED]:[YELLOW]])</f>
        <v>2</v>
      </c>
      <c r="E40" s="1">
        <v>7</v>
      </c>
    </row>
    <row r="41" spans="1:5" x14ac:dyDescent="0.3">
      <c r="A41" t="s">
        <v>168</v>
      </c>
      <c r="B41">
        <v>0</v>
      </c>
      <c r="C41">
        <v>2</v>
      </c>
      <c r="D41" s="1">
        <f>SUM(Table3[[#This Row],[RED]:[YELLOW]])</f>
        <v>2</v>
      </c>
      <c r="E41" s="1">
        <v>6</v>
      </c>
    </row>
    <row r="42" spans="1:5" x14ac:dyDescent="0.3">
      <c r="A42" t="s">
        <v>225</v>
      </c>
      <c r="B42">
        <v>0</v>
      </c>
      <c r="C42">
        <v>2</v>
      </c>
      <c r="D42" s="1">
        <f>SUM(Table3[[#This Row],[RED]:[YELLOW]])</f>
        <v>2</v>
      </c>
      <c r="E42" s="1">
        <v>5</v>
      </c>
    </row>
    <row r="43" spans="1:5" x14ac:dyDescent="0.3">
      <c r="A43" t="s">
        <v>209</v>
      </c>
      <c r="B43">
        <v>0</v>
      </c>
      <c r="C43">
        <v>2</v>
      </c>
      <c r="D43" s="1">
        <f>SUM(Table3[[#This Row],[RED]:[YELLOW]])</f>
        <v>2</v>
      </c>
      <c r="E43" s="1">
        <v>4</v>
      </c>
    </row>
    <row r="44" spans="1:5" x14ac:dyDescent="0.3">
      <c r="A44" t="s">
        <v>104</v>
      </c>
      <c r="B44">
        <v>0</v>
      </c>
      <c r="C44">
        <v>2</v>
      </c>
      <c r="D44" s="1">
        <f>SUM(Table3[[#This Row],[RED]:[YELLOW]])</f>
        <v>2</v>
      </c>
      <c r="E44" s="1">
        <v>3</v>
      </c>
    </row>
    <row r="45" spans="1:5" x14ac:dyDescent="0.3">
      <c r="A45" t="s">
        <v>107</v>
      </c>
      <c r="B45">
        <v>0</v>
      </c>
      <c r="C45">
        <v>1</v>
      </c>
      <c r="D45" s="1">
        <f>SUM(Table3[[#This Row],[RED]:[YELLOW]])</f>
        <v>1</v>
      </c>
      <c r="E45" s="1">
        <v>10</v>
      </c>
    </row>
    <row r="46" spans="1:5" x14ac:dyDescent="0.3">
      <c r="A46" t="s">
        <v>28</v>
      </c>
      <c r="B46">
        <v>0</v>
      </c>
      <c r="C46">
        <v>1</v>
      </c>
      <c r="D46" s="1">
        <f>SUM(Table3[[#This Row],[RED]:[YELLOW]])</f>
        <v>1</v>
      </c>
      <c r="E46" s="1">
        <v>7</v>
      </c>
    </row>
    <row r="47" spans="1:5" x14ac:dyDescent="0.3">
      <c r="A47" t="s">
        <v>96</v>
      </c>
      <c r="B47">
        <v>0</v>
      </c>
      <c r="C47">
        <v>1</v>
      </c>
      <c r="D47" s="1">
        <f>SUM(Table3[[#This Row],[RED]:[YELLOW]])</f>
        <v>1</v>
      </c>
      <c r="E47" s="1">
        <v>5</v>
      </c>
    </row>
    <row r="48" spans="1:5" x14ac:dyDescent="0.3">
      <c r="A48" t="s">
        <v>309</v>
      </c>
      <c r="B48">
        <v>0</v>
      </c>
      <c r="C48">
        <v>1</v>
      </c>
      <c r="D48" s="1">
        <f>SUM(Table3[[#This Row],[RED]:[YELLOW]])</f>
        <v>1</v>
      </c>
      <c r="E48" s="1">
        <v>2</v>
      </c>
    </row>
    <row r="49" spans="1:5" x14ac:dyDescent="0.3">
      <c r="A49" t="s">
        <v>42</v>
      </c>
      <c r="B49">
        <v>0</v>
      </c>
      <c r="C49">
        <v>1</v>
      </c>
      <c r="D49" s="1">
        <f>SUM(Table3[[#This Row],[RED]:[YELLOW]])</f>
        <v>1</v>
      </c>
      <c r="E49" s="1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0A4C-D6AA-408A-9E83-58AC2C9E90DC}">
  <dimension ref="A1:C49"/>
  <sheetViews>
    <sheetView workbookViewId="0">
      <selection activeCell="R7" sqref="R7"/>
    </sheetView>
  </sheetViews>
  <sheetFormatPr defaultRowHeight="14.4" x14ac:dyDescent="0.3"/>
  <cols>
    <col min="1" max="1" width="13.109375" bestFit="1" customWidth="1"/>
    <col min="2" max="2" width="10.88671875" style="1" customWidth="1"/>
    <col min="3" max="3" width="11" style="1" customWidth="1"/>
  </cols>
  <sheetData>
    <row r="1" spans="1:3" x14ac:dyDescent="0.3">
      <c r="A1" t="s">
        <v>3</v>
      </c>
      <c r="B1" s="1" t="s">
        <v>4</v>
      </c>
      <c r="C1" s="1" t="s">
        <v>10</v>
      </c>
    </row>
    <row r="2" spans="1:3" x14ac:dyDescent="0.3">
      <c r="A2" t="s">
        <v>96</v>
      </c>
      <c r="B2" s="5">
        <v>27.130909090909089</v>
      </c>
      <c r="C2" s="1">
        <v>5</v>
      </c>
    </row>
    <row r="3" spans="1:3" x14ac:dyDescent="0.3">
      <c r="A3" t="s">
        <v>139</v>
      </c>
      <c r="B3" s="5">
        <v>28.839583333333326</v>
      </c>
      <c r="C3" s="1">
        <v>8</v>
      </c>
    </row>
    <row r="4" spans="1:3" x14ac:dyDescent="0.3">
      <c r="A4" t="s">
        <v>231</v>
      </c>
      <c r="B4" s="5">
        <v>26.543499999999995</v>
      </c>
      <c r="C4" s="1">
        <v>2</v>
      </c>
    </row>
    <row r="5" spans="1:3" x14ac:dyDescent="0.3">
      <c r="A5" t="s">
        <v>112</v>
      </c>
      <c r="B5" s="5">
        <v>28.820000000000004</v>
      </c>
      <c r="C5" s="1">
        <v>5</v>
      </c>
    </row>
    <row r="6" spans="1:3" x14ac:dyDescent="0.3">
      <c r="A6" t="s">
        <v>301</v>
      </c>
      <c r="B6" s="5">
        <v>28.794736842105269</v>
      </c>
      <c r="C6" s="1">
        <v>5</v>
      </c>
    </row>
    <row r="7" spans="1:3" x14ac:dyDescent="0.3">
      <c r="A7" t="s">
        <v>115</v>
      </c>
      <c r="B7" s="5">
        <v>26.472727272727273</v>
      </c>
      <c r="C7" s="1">
        <v>4</v>
      </c>
    </row>
    <row r="8" spans="1:3" x14ac:dyDescent="0.3">
      <c r="A8" t="s">
        <v>136</v>
      </c>
      <c r="B8" s="5">
        <v>28.803181818181816</v>
      </c>
      <c r="C8" s="1">
        <v>9</v>
      </c>
    </row>
    <row r="9" spans="1:3" x14ac:dyDescent="0.3">
      <c r="A9" t="s">
        <v>184</v>
      </c>
      <c r="B9" s="5">
        <v>29.919523809523813</v>
      </c>
      <c r="C9" s="1">
        <v>2</v>
      </c>
    </row>
    <row r="10" spans="1:3" x14ac:dyDescent="0.3">
      <c r="A10" t="s">
        <v>92</v>
      </c>
      <c r="B10" s="5">
        <v>27.047142857142859</v>
      </c>
      <c r="C10" s="1">
        <v>8</v>
      </c>
    </row>
    <row r="11" spans="1:3" x14ac:dyDescent="0.3">
      <c r="A11" t="s">
        <v>189</v>
      </c>
      <c r="B11" s="5">
        <v>29.9255</v>
      </c>
      <c r="C11" s="1">
        <v>4</v>
      </c>
    </row>
    <row r="12" spans="1:3" x14ac:dyDescent="0.3">
      <c r="A12" t="s">
        <v>213</v>
      </c>
      <c r="B12" s="5">
        <v>29.135714285714286</v>
      </c>
      <c r="C12" s="1">
        <v>4</v>
      </c>
    </row>
    <row r="13" spans="1:3" x14ac:dyDescent="0.3">
      <c r="A13" t="s">
        <v>77</v>
      </c>
      <c r="B13" s="5">
        <v>25.885000000000002</v>
      </c>
      <c r="C13" s="1">
        <v>4</v>
      </c>
    </row>
    <row r="14" spans="1:3" x14ac:dyDescent="0.3">
      <c r="A14" t="s">
        <v>225</v>
      </c>
      <c r="B14" s="5">
        <v>28.646842105263161</v>
      </c>
      <c r="C14" s="1">
        <v>5</v>
      </c>
    </row>
    <row r="15" spans="1:3" x14ac:dyDescent="0.3">
      <c r="A15" t="s">
        <v>174</v>
      </c>
      <c r="B15" s="5">
        <v>28.605454545454549</v>
      </c>
      <c r="C15" s="1">
        <v>1</v>
      </c>
    </row>
    <row r="16" spans="1:3" x14ac:dyDescent="0.3">
      <c r="A16" t="s">
        <v>309</v>
      </c>
      <c r="B16" s="5">
        <v>28.185714285714283</v>
      </c>
      <c r="C16" s="1">
        <v>2</v>
      </c>
    </row>
    <row r="17" spans="1:3" x14ac:dyDescent="0.3">
      <c r="A17" t="s">
        <v>118</v>
      </c>
      <c r="B17" s="5">
        <v>27.154210526315794</v>
      </c>
      <c r="C17" s="1">
        <v>2</v>
      </c>
    </row>
    <row r="18" spans="1:3" x14ac:dyDescent="0.3">
      <c r="A18" t="s">
        <v>32</v>
      </c>
      <c r="B18" s="5">
        <v>28.684999999999995</v>
      </c>
      <c r="C18" s="1">
        <v>5</v>
      </c>
    </row>
    <row r="19" spans="1:3" x14ac:dyDescent="0.3">
      <c r="A19" t="s">
        <v>168</v>
      </c>
      <c r="B19" s="5">
        <v>27.241000000000003</v>
      </c>
      <c r="C19" s="1">
        <v>6</v>
      </c>
    </row>
    <row r="20" spans="1:3" x14ac:dyDescent="0.3">
      <c r="A20" t="s">
        <v>107</v>
      </c>
      <c r="B20" s="5">
        <v>26.841428571428569</v>
      </c>
      <c r="C20" s="1">
        <v>10</v>
      </c>
    </row>
    <row r="21" spans="1:3" x14ac:dyDescent="0.3">
      <c r="A21" t="s">
        <v>159</v>
      </c>
      <c r="B21" s="5">
        <v>28.026086956521741</v>
      </c>
      <c r="C21" s="1">
        <v>11</v>
      </c>
    </row>
    <row r="22" spans="1:3" x14ac:dyDescent="0.3">
      <c r="A22" t="s">
        <v>80</v>
      </c>
      <c r="B22" s="5">
        <v>27.395238095238092</v>
      </c>
      <c r="C22" s="1">
        <v>2</v>
      </c>
    </row>
    <row r="23" spans="1:3" x14ac:dyDescent="0.3">
      <c r="A23" t="s">
        <v>72</v>
      </c>
      <c r="B23" s="5">
        <v>28.630000000000003</v>
      </c>
      <c r="C23" s="1">
        <v>1</v>
      </c>
    </row>
    <row r="24" spans="1:3" x14ac:dyDescent="0.3">
      <c r="A24" t="s">
        <v>133</v>
      </c>
      <c r="B24" s="5">
        <v>30.991999999999997</v>
      </c>
      <c r="C24" s="1">
        <v>3</v>
      </c>
    </row>
    <row r="25" spans="1:3" x14ac:dyDescent="0.3">
      <c r="A25" t="s">
        <v>125</v>
      </c>
      <c r="B25" s="5">
        <v>26.778400000000001</v>
      </c>
      <c r="C25" s="1">
        <v>1</v>
      </c>
    </row>
    <row r="26" spans="1:3" x14ac:dyDescent="0.3">
      <c r="A26" t="s">
        <v>391</v>
      </c>
      <c r="B26" s="5">
        <v>27.580833333333327</v>
      </c>
      <c r="C26" s="1">
        <v>8</v>
      </c>
    </row>
    <row r="27" spans="1:3" x14ac:dyDescent="0.3">
      <c r="A27" t="s">
        <v>55</v>
      </c>
      <c r="B27" s="5">
        <v>28.635999999999996</v>
      </c>
      <c r="C27" s="1">
        <v>3</v>
      </c>
    </row>
    <row r="28" spans="1:3" x14ac:dyDescent="0.3">
      <c r="A28" t="s">
        <v>305</v>
      </c>
      <c r="B28" s="5">
        <v>28.266500000000001</v>
      </c>
      <c r="C28" s="1">
        <v>2</v>
      </c>
    </row>
    <row r="29" spans="1:3" x14ac:dyDescent="0.3">
      <c r="A29" t="s">
        <v>145</v>
      </c>
      <c r="B29" s="5">
        <v>27.861599999999999</v>
      </c>
      <c r="C29" s="1">
        <v>6</v>
      </c>
    </row>
    <row r="30" spans="1:3" x14ac:dyDescent="0.3">
      <c r="A30" t="s">
        <v>151</v>
      </c>
      <c r="B30" s="5">
        <v>25.659499999999998</v>
      </c>
      <c r="C30" s="1">
        <v>7</v>
      </c>
    </row>
    <row r="31" spans="1:3" x14ac:dyDescent="0.3">
      <c r="A31" t="s">
        <v>101</v>
      </c>
      <c r="B31" s="5">
        <v>27.930000000000003</v>
      </c>
      <c r="C31" s="1">
        <v>10</v>
      </c>
    </row>
    <row r="32" spans="1:3" x14ac:dyDescent="0.3">
      <c r="A32" t="s">
        <v>239</v>
      </c>
      <c r="B32" s="5">
        <v>28.105882352941173</v>
      </c>
      <c r="C32" s="1">
        <v>4</v>
      </c>
    </row>
    <row r="33" spans="1:3" x14ac:dyDescent="0.3">
      <c r="A33" t="s">
        <v>28</v>
      </c>
      <c r="B33" s="5">
        <v>26.987199999999998</v>
      </c>
      <c r="C33" s="1">
        <v>7</v>
      </c>
    </row>
    <row r="34" spans="1:3" x14ac:dyDescent="0.3">
      <c r="A34" t="s">
        <v>156</v>
      </c>
      <c r="B34" s="5">
        <v>30.40349999999999</v>
      </c>
      <c r="C34" s="1">
        <v>0</v>
      </c>
    </row>
    <row r="35" spans="1:3" x14ac:dyDescent="0.3">
      <c r="A35" t="s">
        <v>121</v>
      </c>
      <c r="B35" s="5">
        <v>28.532083333333336</v>
      </c>
      <c r="C35" s="1">
        <v>3</v>
      </c>
    </row>
    <row r="36" spans="1:3" x14ac:dyDescent="0.3">
      <c r="A36" t="s">
        <v>181</v>
      </c>
      <c r="B36" s="5">
        <v>27.727727272727272</v>
      </c>
      <c r="C36" s="1">
        <v>5</v>
      </c>
    </row>
    <row r="37" spans="1:3" x14ac:dyDescent="0.3">
      <c r="A37" t="s">
        <v>52</v>
      </c>
      <c r="B37" s="5">
        <v>30.019545454545451</v>
      </c>
      <c r="C37" s="1">
        <v>2</v>
      </c>
    </row>
    <row r="38" spans="1:3" x14ac:dyDescent="0.3">
      <c r="A38" t="s">
        <v>46</v>
      </c>
      <c r="B38" s="5">
        <v>28.533888888888882</v>
      </c>
      <c r="C38" s="1">
        <v>1</v>
      </c>
    </row>
    <row r="39" spans="1:3" x14ac:dyDescent="0.3">
      <c r="A39" t="s">
        <v>66</v>
      </c>
      <c r="B39" s="5">
        <v>28.971000000000004</v>
      </c>
      <c r="C39" s="1">
        <v>1</v>
      </c>
    </row>
    <row r="40" spans="1:3" x14ac:dyDescent="0.3">
      <c r="A40" t="s">
        <v>291</v>
      </c>
      <c r="B40" s="5">
        <v>27.959047619047617</v>
      </c>
      <c r="C40" s="1">
        <v>8</v>
      </c>
    </row>
    <row r="41" spans="1:3" x14ac:dyDescent="0.3">
      <c r="A41" t="s">
        <v>68</v>
      </c>
      <c r="B41" s="5">
        <v>27.202105263157897</v>
      </c>
      <c r="C41" s="1">
        <v>2</v>
      </c>
    </row>
    <row r="42" spans="1:3" x14ac:dyDescent="0.3">
      <c r="A42" t="s">
        <v>209</v>
      </c>
      <c r="B42" s="5">
        <v>26.54</v>
      </c>
      <c r="C42" s="1">
        <v>4</v>
      </c>
    </row>
    <row r="43" spans="1:3" x14ac:dyDescent="0.3">
      <c r="A43" t="s">
        <v>129</v>
      </c>
      <c r="B43" s="5">
        <v>27.384761904761906</v>
      </c>
      <c r="C43" s="1">
        <v>7</v>
      </c>
    </row>
    <row r="44" spans="1:3" x14ac:dyDescent="0.3">
      <c r="A44" t="s">
        <v>84</v>
      </c>
      <c r="B44" s="5">
        <v>28.756666666666668</v>
      </c>
      <c r="C44" s="1">
        <v>7</v>
      </c>
    </row>
    <row r="45" spans="1:3" x14ac:dyDescent="0.3">
      <c r="A45" t="s">
        <v>42</v>
      </c>
      <c r="B45" s="5">
        <v>27.903000000000002</v>
      </c>
      <c r="C45" s="1">
        <v>2</v>
      </c>
    </row>
    <row r="46" spans="1:3" x14ac:dyDescent="0.3">
      <c r="A46" t="s">
        <v>104</v>
      </c>
      <c r="B46" s="5">
        <v>27.086521739130436</v>
      </c>
      <c r="C46" s="1">
        <v>3</v>
      </c>
    </row>
    <row r="47" spans="1:3" x14ac:dyDescent="0.3">
      <c r="A47" t="s">
        <v>23</v>
      </c>
      <c r="B47" s="5">
        <v>27.055652173913042</v>
      </c>
      <c r="C47" s="1">
        <v>6</v>
      </c>
    </row>
    <row r="48" spans="1:3" x14ac:dyDescent="0.3">
      <c r="A48" t="s">
        <v>89</v>
      </c>
      <c r="B48" s="5">
        <v>29.131176470588233</v>
      </c>
      <c r="C48" s="1">
        <v>3</v>
      </c>
    </row>
    <row r="49" spans="1:3" x14ac:dyDescent="0.3">
      <c r="A49" t="s">
        <v>49</v>
      </c>
      <c r="B49" s="5">
        <v>28.002173913043475</v>
      </c>
      <c r="C49" s="1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C01F-E78F-43CB-BFAD-BE4D775CD7BA}">
  <dimension ref="A1:C1009"/>
  <sheetViews>
    <sheetView workbookViewId="0">
      <selection activeCell="C6" sqref="C6"/>
    </sheetView>
  </sheetViews>
  <sheetFormatPr defaultRowHeight="14.4" x14ac:dyDescent="0.3"/>
  <cols>
    <col min="1" max="1" width="24.88671875" bestFit="1" customWidth="1"/>
  </cols>
  <sheetData>
    <row r="1" spans="1:3" x14ac:dyDescent="0.3">
      <c r="A1" t="s">
        <v>0</v>
      </c>
      <c r="B1" t="s">
        <v>4</v>
      </c>
      <c r="C1" t="s">
        <v>10</v>
      </c>
    </row>
    <row r="2" spans="1:3" x14ac:dyDescent="0.3">
      <c r="A2" t="s">
        <v>733</v>
      </c>
      <c r="B2">
        <v>39.020000000000003</v>
      </c>
      <c r="C2">
        <v>6</v>
      </c>
    </row>
    <row r="3" spans="1:3" x14ac:dyDescent="0.3">
      <c r="A3" t="s">
        <v>500</v>
      </c>
      <c r="B3">
        <v>25.94</v>
      </c>
      <c r="C3">
        <v>4</v>
      </c>
    </row>
    <row r="4" spans="1:3" x14ac:dyDescent="0.3">
      <c r="A4" t="s">
        <v>585</v>
      </c>
      <c r="B4">
        <v>25.97</v>
      </c>
      <c r="C4">
        <v>4</v>
      </c>
    </row>
    <row r="5" spans="1:3" x14ac:dyDescent="0.3">
      <c r="A5" t="s">
        <v>708</v>
      </c>
      <c r="B5">
        <v>27.53</v>
      </c>
      <c r="C5">
        <v>4</v>
      </c>
    </row>
    <row r="6" spans="1:3" x14ac:dyDescent="0.3">
      <c r="A6" t="s">
        <v>368</v>
      </c>
      <c r="B6">
        <v>29.13</v>
      </c>
      <c r="C6">
        <v>4</v>
      </c>
    </row>
    <row r="7" spans="1:3" x14ac:dyDescent="0.3">
      <c r="A7" t="s">
        <v>687</v>
      </c>
      <c r="B7">
        <v>20.71</v>
      </c>
      <c r="C7">
        <v>3</v>
      </c>
    </row>
    <row r="8" spans="1:3" x14ac:dyDescent="0.3">
      <c r="A8" t="s">
        <v>273</v>
      </c>
      <c r="B8">
        <v>24.41</v>
      </c>
      <c r="C8">
        <v>3</v>
      </c>
    </row>
    <row r="9" spans="1:3" x14ac:dyDescent="0.3">
      <c r="A9" t="s">
        <v>927</v>
      </c>
      <c r="B9">
        <v>25.42</v>
      </c>
      <c r="C9">
        <v>3</v>
      </c>
    </row>
    <row r="10" spans="1:3" x14ac:dyDescent="0.3">
      <c r="A10" t="s">
        <v>586</v>
      </c>
      <c r="B10">
        <v>26.16</v>
      </c>
      <c r="C10">
        <v>3</v>
      </c>
    </row>
    <row r="11" spans="1:3" x14ac:dyDescent="0.3">
      <c r="A11" t="s">
        <v>351</v>
      </c>
      <c r="B11">
        <v>26.46</v>
      </c>
      <c r="C11">
        <v>3</v>
      </c>
    </row>
    <row r="12" spans="1:3" x14ac:dyDescent="0.3">
      <c r="A12" t="s">
        <v>525</v>
      </c>
      <c r="B12">
        <v>27.05</v>
      </c>
      <c r="C12">
        <v>3</v>
      </c>
    </row>
    <row r="13" spans="1:3" x14ac:dyDescent="0.3">
      <c r="A13" t="s">
        <v>344</v>
      </c>
      <c r="B13">
        <v>27.09</v>
      </c>
      <c r="C13">
        <v>3</v>
      </c>
    </row>
    <row r="14" spans="1:3" x14ac:dyDescent="0.3">
      <c r="A14" t="s">
        <v>451</v>
      </c>
      <c r="B14">
        <v>27.15</v>
      </c>
      <c r="C14">
        <v>3</v>
      </c>
    </row>
    <row r="15" spans="1:3" x14ac:dyDescent="0.3">
      <c r="A15" t="s">
        <v>943</v>
      </c>
      <c r="B15">
        <v>28.34</v>
      </c>
      <c r="C15">
        <v>3</v>
      </c>
    </row>
    <row r="16" spans="1:3" x14ac:dyDescent="0.3">
      <c r="A16" t="s">
        <v>1109</v>
      </c>
      <c r="B16">
        <v>29.82</v>
      </c>
      <c r="C16">
        <v>3</v>
      </c>
    </row>
    <row r="17" spans="1:3" x14ac:dyDescent="0.3">
      <c r="A17" t="s">
        <v>1061</v>
      </c>
      <c r="B17">
        <v>29.95</v>
      </c>
      <c r="C17">
        <v>3</v>
      </c>
    </row>
    <row r="18" spans="1:3" x14ac:dyDescent="0.3">
      <c r="A18" t="s">
        <v>596</v>
      </c>
      <c r="B18">
        <v>32.92</v>
      </c>
      <c r="C18">
        <v>3</v>
      </c>
    </row>
    <row r="19" spans="1:3" x14ac:dyDescent="0.3">
      <c r="A19" t="s">
        <v>674</v>
      </c>
      <c r="B19">
        <v>21.3</v>
      </c>
      <c r="C19">
        <v>2</v>
      </c>
    </row>
    <row r="20" spans="1:3" x14ac:dyDescent="0.3">
      <c r="A20" t="s">
        <v>200</v>
      </c>
      <c r="B20">
        <v>22.73</v>
      </c>
      <c r="C20">
        <v>2</v>
      </c>
    </row>
    <row r="21" spans="1:3" x14ac:dyDescent="0.3">
      <c r="A21" t="s">
        <v>242</v>
      </c>
      <c r="B21">
        <v>23</v>
      </c>
      <c r="C21">
        <v>2</v>
      </c>
    </row>
    <row r="22" spans="1:3" x14ac:dyDescent="0.3">
      <c r="A22" t="s">
        <v>405</v>
      </c>
      <c r="B22">
        <v>24.18</v>
      </c>
      <c r="C22">
        <v>2</v>
      </c>
    </row>
    <row r="23" spans="1:3" x14ac:dyDescent="0.3">
      <c r="A23" t="s">
        <v>1010</v>
      </c>
      <c r="B23">
        <v>24.67</v>
      </c>
      <c r="C23">
        <v>2</v>
      </c>
    </row>
    <row r="24" spans="1:3" x14ac:dyDescent="0.3">
      <c r="A24" t="s">
        <v>216</v>
      </c>
      <c r="B24">
        <v>24.99</v>
      </c>
      <c r="C24">
        <v>2</v>
      </c>
    </row>
    <row r="25" spans="1:3" x14ac:dyDescent="0.3">
      <c r="A25" t="s">
        <v>179</v>
      </c>
      <c r="B25">
        <v>26.37</v>
      </c>
      <c r="C25">
        <v>2</v>
      </c>
    </row>
    <row r="26" spans="1:3" x14ac:dyDescent="0.3">
      <c r="A26" t="s">
        <v>489</v>
      </c>
      <c r="B26">
        <v>27.43</v>
      </c>
      <c r="C26">
        <v>2</v>
      </c>
    </row>
    <row r="27" spans="1:3" x14ac:dyDescent="0.3">
      <c r="A27" t="s">
        <v>1059</v>
      </c>
      <c r="B27">
        <v>27.8</v>
      </c>
      <c r="C27">
        <v>2</v>
      </c>
    </row>
    <row r="28" spans="1:3" x14ac:dyDescent="0.3">
      <c r="A28" t="s">
        <v>1075</v>
      </c>
      <c r="B28">
        <v>27.9</v>
      </c>
      <c r="C28">
        <v>2</v>
      </c>
    </row>
    <row r="29" spans="1:3" x14ac:dyDescent="0.3">
      <c r="A29" t="s">
        <v>821</v>
      </c>
      <c r="B29">
        <v>29.19</v>
      </c>
      <c r="C29">
        <v>2</v>
      </c>
    </row>
    <row r="30" spans="1:3" x14ac:dyDescent="0.3">
      <c r="A30" t="s">
        <v>865</v>
      </c>
      <c r="B30">
        <v>29.27</v>
      </c>
      <c r="C30">
        <v>2</v>
      </c>
    </row>
    <row r="31" spans="1:3" x14ac:dyDescent="0.3">
      <c r="A31" t="s">
        <v>594</v>
      </c>
      <c r="B31">
        <v>29.9</v>
      </c>
      <c r="C31">
        <v>2</v>
      </c>
    </row>
    <row r="32" spans="1:3" x14ac:dyDescent="0.3">
      <c r="A32" t="s">
        <v>765</v>
      </c>
      <c r="B32">
        <v>30.1</v>
      </c>
      <c r="C32">
        <v>2</v>
      </c>
    </row>
    <row r="33" spans="1:3" x14ac:dyDescent="0.3">
      <c r="A33" t="s">
        <v>837</v>
      </c>
      <c r="B33">
        <v>31.09</v>
      </c>
      <c r="C33">
        <v>2</v>
      </c>
    </row>
    <row r="34" spans="1:3" x14ac:dyDescent="0.3">
      <c r="A34" t="s">
        <v>642</v>
      </c>
      <c r="B34">
        <v>31.2</v>
      </c>
      <c r="C34">
        <v>2</v>
      </c>
    </row>
    <row r="35" spans="1:3" x14ac:dyDescent="0.3">
      <c r="A35" t="s">
        <v>1055</v>
      </c>
      <c r="B35">
        <v>31.57</v>
      </c>
      <c r="C35">
        <v>2</v>
      </c>
    </row>
    <row r="36" spans="1:3" x14ac:dyDescent="0.3">
      <c r="A36" t="s">
        <v>676</v>
      </c>
      <c r="B36">
        <v>35.35</v>
      </c>
      <c r="C36">
        <v>2</v>
      </c>
    </row>
    <row r="37" spans="1:3" x14ac:dyDescent="0.3">
      <c r="A37" t="s">
        <v>891</v>
      </c>
      <c r="B37">
        <v>36.28</v>
      </c>
      <c r="C37">
        <v>2</v>
      </c>
    </row>
    <row r="38" spans="1:3" x14ac:dyDescent="0.3">
      <c r="A38" t="s">
        <v>192</v>
      </c>
      <c r="B38">
        <v>37.200000000000003</v>
      </c>
      <c r="C38">
        <v>2</v>
      </c>
    </row>
    <row r="39" spans="1:3" x14ac:dyDescent="0.3">
      <c r="A39" t="s">
        <v>913</v>
      </c>
      <c r="B39">
        <v>41.4</v>
      </c>
      <c r="C39">
        <v>2</v>
      </c>
    </row>
    <row r="40" spans="1:3" x14ac:dyDescent="0.3">
      <c r="A40" t="s">
        <v>710</v>
      </c>
      <c r="B40">
        <v>18.43</v>
      </c>
      <c r="C40">
        <v>1</v>
      </c>
    </row>
    <row r="41" spans="1:3" x14ac:dyDescent="0.3">
      <c r="A41" t="s">
        <v>114</v>
      </c>
      <c r="B41">
        <v>18.77</v>
      </c>
      <c r="C41">
        <v>1</v>
      </c>
    </row>
    <row r="42" spans="1:3" x14ac:dyDescent="0.3">
      <c r="A42" t="s">
        <v>1115</v>
      </c>
      <c r="B42">
        <v>18.96</v>
      </c>
      <c r="C42">
        <v>1</v>
      </c>
    </row>
    <row r="43" spans="1:3" x14ac:dyDescent="0.3">
      <c r="A43" t="s">
        <v>555</v>
      </c>
      <c r="B43">
        <v>20.39</v>
      </c>
      <c r="C43">
        <v>1</v>
      </c>
    </row>
    <row r="44" spans="1:3" x14ac:dyDescent="0.3">
      <c r="A44" t="s">
        <v>1121</v>
      </c>
      <c r="B44">
        <v>20.45</v>
      </c>
      <c r="C44">
        <v>1</v>
      </c>
    </row>
    <row r="45" spans="1:3" x14ac:dyDescent="0.3">
      <c r="A45" t="s">
        <v>1117</v>
      </c>
      <c r="B45">
        <v>20.6</v>
      </c>
      <c r="C45">
        <v>1</v>
      </c>
    </row>
    <row r="46" spans="1:3" x14ac:dyDescent="0.3">
      <c r="A46" t="s">
        <v>396</v>
      </c>
      <c r="B46">
        <v>21.07</v>
      </c>
      <c r="C46">
        <v>1</v>
      </c>
    </row>
    <row r="47" spans="1:3" x14ac:dyDescent="0.3">
      <c r="A47" t="s">
        <v>492</v>
      </c>
      <c r="B47">
        <v>21.34</v>
      </c>
      <c r="C47">
        <v>1</v>
      </c>
    </row>
    <row r="48" spans="1:3" x14ac:dyDescent="0.3">
      <c r="A48" t="s">
        <v>782</v>
      </c>
      <c r="B48">
        <v>21.76</v>
      </c>
      <c r="C48">
        <v>1</v>
      </c>
    </row>
    <row r="49" spans="1:3" x14ac:dyDescent="0.3">
      <c r="A49" t="s">
        <v>445</v>
      </c>
      <c r="B49">
        <v>21.89</v>
      </c>
      <c r="C49">
        <v>1</v>
      </c>
    </row>
    <row r="50" spans="1:3" x14ac:dyDescent="0.3">
      <c r="A50" t="s">
        <v>316</v>
      </c>
      <c r="B50">
        <v>22.13</v>
      </c>
      <c r="C50">
        <v>1</v>
      </c>
    </row>
    <row r="51" spans="1:3" x14ac:dyDescent="0.3">
      <c r="A51" t="s">
        <v>931</v>
      </c>
      <c r="B51">
        <v>22.39</v>
      </c>
      <c r="C51">
        <v>1</v>
      </c>
    </row>
    <row r="52" spans="1:3" x14ac:dyDescent="0.3">
      <c r="A52" t="s">
        <v>328</v>
      </c>
      <c r="B52">
        <v>22.4</v>
      </c>
      <c r="C52">
        <v>1</v>
      </c>
    </row>
    <row r="53" spans="1:3" x14ac:dyDescent="0.3">
      <c r="A53" t="s">
        <v>411</v>
      </c>
      <c r="B53">
        <v>22.43</v>
      </c>
      <c r="C53">
        <v>1</v>
      </c>
    </row>
    <row r="54" spans="1:3" x14ac:dyDescent="0.3">
      <c r="A54" t="s">
        <v>376</v>
      </c>
      <c r="B54">
        <v>22.49</v>
      </c>
      <c r="C54">
        <v>1</v>
      </c>
    </row>
    <row r="55" spans="1:3" x14ac:dyDescent="0.3">
      <c r="A55" t="s">
        <v>698</v>
      </c>
      <c r="B55">
        <v>22.63</v>
      </c>
      <c r="C55">
        <v>1</v>
      </c>
    </row>
    <row r="56" spans="1:3" x14ac:dyDescent="0.3">
      <c r="A56" t="s">
        <v>1005</v>
      </c>
      <c r="B56">
        <v>22.68</v>
      </c>
      <c r="C56">
        <v>1</v>
      </c>
    </row>
    <row r="57" spans="1:3" x14ac:dyDescent="0.3">
      <c r="A57" t="s">
        <v>431</v>
      </c>
      <c r="B57">
        <v>22.74</v>
      </c>
      <c r="C57">
        <v>1</v>
      </c>
    </row>
    <row r="58" spans="1:3" x14ac:dyDescent="0.3">
      <c r="A58" t="s">
        <v>1012</v>
      </c>
      <c r="B58">
        <v>22.77</v>
      </c>
      <c r="C58">
        <v>1</v>
      </c>
    </row>
    <row r="59" spans="1:3" x14ac:dyDescent="0.3">
      <c r="A59" t="s">
        <v>171</v>
      </c>
      <c r="B59">
        <v>23.03</v>
      </c>
      <c r="C59">
        <v>1</v>
      </c>
    </row>
    <row r="60" spans="1:3" x14ac:dyDescent="0.3">
      <c r="A60" t="s">
        <v>275</v>
      </c>
      <c r="B60">
        <v>23.04</v>
      </c>
      <c r="C60">
        <v>1</v>
      </c>
    </row>
    <row r="61" spans="1:3" x14ac:dyDescent="0.3">
      <c r="A61" t="s">
        <v>767</v>
      </c>
      <c r="B61">
        <v>23.34</v>
      </c>
      <c r="C61">
        <v>1</v>
      </c>
    </row>
    <row r="62" spans="1:3" x14ac:dyDescent="0.3">
      <c r="A62" t="s">
        <v>224</v>
      </c>
      <c r="B62">
        <v>23.37</v>
      </c>
      <c r="C62">
        <v>1</v>
      </c>
    </row>
    <row r="63" spans="1:3" x14ac:dyDescent="0.3">
      <c r="A63" t="s">
        <v>890</v>
      </c>
      <c r="B63">
        <v>23.63</v>
      </c>
      <c r="C63">
        <v>1</v>
      </c>
    </row>
    <row r="64" spans="1:3" x14ac:dyDescent="0.3">
      <c r="A64" t="s">
        <v>220</v>
      </c>
      <c r="B64">
        <v>23.82</v>
      </c>
      <c r="C64">
        <v>1</v>
      </c>
    </row>
    <row r="65" spans="1:3" x14ac:dyDescent="0.3">
      <c r="A65" t="s">
        <v>374</v>
      </c>
      <c r="B65">
        <v>23.97</v>
      </c>
      <c r="C65">
        <v>1</v>
      </c>
    </row>
    <row r="66" spans="1:3" x14ac:dyDescent="0.3">
      <c r="A66" t="s">
        <v>728</v>
      </c>
      <c r="B66">
        <v>24.03</v>
      </c>
      <c r="C66">
        <v>1</v>
      </c>
    </row>
    <row r="67" spans="1:3" x14ac:dyDescent="0.3">
      <c r="A67" t="s">
        <v>237</v>
      </c>
      <c r="B67">
        <v>24.06</v>
      </c>
      <c r="C67">
        <v>1</v>
      </c>
    </row>
    <row r="68" spans="1:3" x14ac:dyDescent="0.3">
      <c r="A68" t="s">
        <v>27</v>
      </c>
      <c r="B68">
        <v>24.16</v>
      </c>
      <c r="C68">
        <v>1</v>
      </c>
    </row>
    <row r="69" spans="1:3" x14ac:dyDescent="0.3">
      <c r="A69" t="s">
        <v>1072</v>
      </c>
      <c r="B69">
        <v>24.16</v>
      </c>
      <c r="C69">
        <v>1</v>
      </c>
    </row>
    <row r="70" spans="1:3" x14ac:dyDescent="0.3">
      <c r="A70" t="s">
        <v>452</v>
      </c>
      <c r="B70">
        <v>24.38</v>
      </c>
      <c r="C70">
        <v>1</v>
      </c>
    </row>
    <row r="71" spans="1:3" x14ac:dyDescent="0.3">
      <c r="A71" t="s">
        <v>888</v>
      </c>
      <c r="B71">
        <v>24.53</v>
      </c>
      <c r="C71">
        <v>1</v>
      </c>
    </row>
    <row r="72" spans="1:3" x14ac:dyDescent="0.3">
      <c r="A72" t="s">
        <v>922</v>
      </c>
      <c r="B72">
        <v>24.92</v>
      </c>
      <c r="C72">
        <v>1</v>
      </c>
    </row>
    <row r="73" spans="1:3" x14ac:dyDescent="0.3">
      <c r="A73" t="s">
        <v>208</v>
      </c>
      <c r="B73">
        <v>24.94</v>
      </c>
      <c r="C73">
        <v>1</v>
      </c>
    </row>
    <row r="74" spans="1:3" x14ac:dyDescent="0.3">
      <c r="A74" t="s">
        <v>352</v>
      </c>
      <c r="B74">
        <v>24.99</v>
      </c>
      <c r="C74">
        <v>1</v>
      </c>
    </row>
    <row r="75" spans="1:3" x14ac:dyDescent="0.3">
      <c r="A75" t="s">
        <v>692</v>
      </c>
      <c r="B75">
        <v>25.03</v>
      </c>
      <c r="C75">
        <v>1</v>
      </c>
    </row>
    <row r="76" spans="1:3" x14ac:dyDescent="0.3">
      <c r="A76" t="s">
        <v>704</v>
      </c>
      <c r="B76">
        <v>25.11</v>
      </c>
      <c r="C76">
        <v>1</v>
      </c>
    </row>
    <row r="77" spans="1:3" x14ac:dyDescent="0.3">
      <c r="A77" t="s">
        <v>254</v>
      </c>
      <c r="B77">
        <v>25.14</v>
      </c>
      <c r="C77">
        <v>1</v>
      </c>
    </row>
    <row r="78" spans="1:3" x14ac:dyDescent="0.3">
      <c r="A78" t="s">
        <v>548</v>
      </c>
      <c r="B78">
        <v>25.22</v>
      </c>
      <c r="C78">
        <v>1</v>
      </c>
    </row>
    <row r="79" spans="1:3" x14ac:dyDescent="0.3">
      <c r="A79" t="s">
        <v>940</v>
      </c>
      <c r="B79">
        <v>25.5</v>
      </c>
      <c r="C79">
        <v>1</v>
      </c>
    </row>
    <row r="80" spans="1:3" x14ac:dyDescent="0.3">
      <c r="A80" t="s">
        <v>852</v>
      </c>
      <c r="B80">
        <v>25.66</v>
      </c>
      <c r="C80">
        <v>1</v>
      </c>
    </row>
    <row r="81" spans="1:3" x14ac:dyDescent="0.3">
      <c r="A81" t="s">
        <v>787</v>
      </c>
      <c r="B81">
        <v>25.72</v>
      </c>
      <c r="C81">
        <v>1</v>
      </c>
    </row>
    <row r="82" spans="1:3" x14ac:dyDescent="0.3">
      <c r="A82" t="s">
        <v>558</v>
      </c>
      <c r="B82">
        <v>25.84</v>
      </c>
      <c r="C82">
        <v>1</v>
      </c>
    </row>
    <row r="83" spans="1:3" x14ac:dyDescent="0.3">
      <c r="A83" t="s">
        <v>772</v>
      </c>
      <c r="B83">
        <v>25.92</v>
      </c>
      <c r="C83">
        <v>1</v>
      </c>
    </row>
    <row r="84" spans="1:3" x14ac:dyDescent="0.3">
      <c r="A84" t="s">
        <v>835</v>
      </c>
      <c r="B84">
        <v>25.96</v>
      </c>
      <c r="C84">
        <v>1</v>
      </c>
    </row>
    <row r="85" spans="1:3" x14ac:dyDescent="0.3">
      <c r="A85" t="s">
        <v>527</v>
      </c>
      <c r="B85">
        <v>26.06</v>
      </c>
      <c r="C85">
        <v>1</v>
      </c>
    </row>
    <row r="86" spans="1:3" x14ac:dyDescent="0.3">
      <c r="A86" t="s">
        <v>143</v>
      </c>
      <c r="B86">
        <v>26.1</v>
      </c>
      <c r="C86">
        <v>1</v>
      </c>
    </row>
    <row r="87" spans="1:3" x14ac:dyDescent="0.3">
      <c r="A87" t="s">
        <v>293</v>
      </c>
      <c r="B87">
        <v>26.1</v>
      </c>
      <c r="C87">
        <v>1</v>
      </c>
    </row>
    <row r="88" spans="1:3" x14ac:dyDescent="0.3">
      <c r="A88" t="s">
        <v>246</v>
      </c>
      <c r="B88">
        <v>26.2</v>
      </c>
      <c r="C88">
        <v>1</v>
      </c>
    </row>
    <row r="89" spans="1:3" x14ac:dyDescent="0.3">
      <c r="A89" t="s">
        <v>810</v>
      </c>
      <c r="B89">
        <v>26.26</v>
      </c>
      <c r="C89">
        <v>1</v>
      </c>
    </row>
    <row r="90" spans="1:3" x14ac:dyDescent="0.3">
      <c r="A90" t="s">
        <v>776</v>
      </c>
      <c r="B90">
        <v>26.32</v>
      </c>
      <c r="C90">
        <v>1</v>
      </c>
    </row>
    <row r="91" spans="1:3" x14ac:dyDescent="0.3">
      <c r="A91" t="s">
        <v>479</v>
      </c>
      <c r="B91">
        <v>26.37</v>
      </c>
      <c r="C91">
        <v>1</v>
      </c>
    </row>
    <row r="92" spans="1:3" x14ac:dyDescent="0.3">
      <c r="A92" t="s">
        <v>951</v>
      </c>
      <c r="B92">
        <v>26.42</v>
      </c>
      <c r="C92">
        <v>1</v>
      </c>
    </row>
    <row r="93" spans="1:3" x14ac:dyDescent="0.3">
      <c r="A93" t="s">
        <v>950</v>
      </c>
      <c r="B93">
        <v>26.58</v>
      </c>
      <c r="C93">
        <v>1</v>
      </c>
    </row>
    <row r="94" spans="1:3" x14ac:dyDescent="0.3">
      <c r="A94" t="s">
        <v>1139</v>
      </c>
      <c r="B94">
        <v>26.59</v>
      </c>
      <c r="C94">
        <v>1</v>
      </c>
    </row>
    <row r="95" spans="1:3" x14ac:dyDescent="0.3">
      <c r="A95" t="s">
        <v>734</v>
      </c>
      <c r="B95">
        <v>26.65</v>
      </c>
      <c r="C95">
        <v>1</v>
      </c>
    </row>
    <row r="96" spans="1:3" x14ac:dyDescent="0.3">
      <c r="A96" t="s">
        <v>557</v>
      </c>
      <c r="B96">
        <v>26.77</v>
      </c>
      <c r="C96">
        <v>1</v>
      </c>
    </row>
    <row r="97" spans="1:3" x14ac:dyDescent="0.3">
      <c r="A97" t="s">
        <v>926</v>
      </c>
      <c r="B97">
        <v>27.01</v>
      </c>
      <c r="C97">
        <v>1</v>
      </c>
    </row>
    <row r="98" spans="1:3" x14ac:dyDescent="0.3">
      <c r="A98" t="s">
        <v>646</v>
      </c>
      <c r="B98">
        <v>27.05</v>
      </c>
      <c r="C98">
        <v>1</v>
      </c>
    </row>
    <row r="99" spans="1:3" x14ac:dyDescent="0.3">
      <c r="A99" t="s">
        <v>925</v>
      </c>
      <c r="B99">
        <v>27.08</v>
      </c>
      <c r="C99">
        <v>1</v>
      </c>
    </row>
    <row r="100" spans="1:3" x14ac:dyDescent="0.3">
      <c r="A100" t="s">
        <v>631</v>
      </c>
      <c r="B100">
        <v>27.19</v>
      </c>
      <c r="C100">
        <v>1</v>
      </c>
    </row>
    <row r="101" spans="1:3" x14ac:dyDescent="0.3">
      <c r="A101" t="s">
        <v>879</v>
      </c>
      <c r="B101">
        <v>27.27</v>
      </c>
      <c r="C101">
        <v>1</v>
      </c>
    </row>
    <row r="102" spans="1:3" x14ac:dyDescent="0.3">
      <c r="A102" t="s">
        <v>1017</v>
      </c>
      <c r="B102">
        <v>27.48</v>
      </c>
      <c r="C102">
        <v>1</v>
      </c>
    </row>
    <row r="103" spans="1:3" x14ac:dyDescent="0.3">
      <c r="A103" t="s">
        <v>744</v>
      </c>
      <c r="B103">
        <v>27.53</v>
      </c>
      <c r="C103">
        <v>1</v>
      </c>
    </row>
    <row r="104" spans="1:3" x14ac:dyDescent="0.3">
      <c r="A104" t="s">
        <v>666</v>
      </c>
      <c r="B104">
        <v>27.59</v>
      </c>
      <c r="C104">
        <v>1</v>
      </c>
    </row>
    <row r="105" spans="1:3" x14ac:dyDescent="0.3">
      <c r="A105" t="s">
        <v>508</v>
      </c>
      <c r="B105">
        <v>27.65</v>
      </c>
      <c r="C105">
        <v>1</v>
      </c>
    </row>
    <row r="106" spans="1:3" x14ac:dyDescent="0.3">
      <c r="A106" t="s">
        <v>297</v>
      </c>
      <c r="B106">
        <v>27.74</v>
      </c>
      <c r="C106">
        <v>1</v>
      </c>
    </row>
    <row r="107" spans="1:3" x14ac:dyDescent="0.3">
      <c r="A107" t="s">
        <v>1056</v>
      </c>
      <c r="B107">
        <v>27.88</v>
      </c>
      <c r="C107">
        <v>1</v>
      </c>
    </row>
    <row r="108" spans="1:3" x14ac:dyDescent="0.3">
      <c r="A108" t="s">
        <v>498</v>
      </c>
      <c r="B108">
        <v>28.07</v>
      </c>
      <c r="C108">
        <v>1</v>
      </c>
    </row>
    <row r="109" spans="1:3" x14ac:dyDescent="0.3">
      <c r="A109" t="s">
        <v>766</v>
      </c>
      <c r="B109">
        <v>28.32</v>
      </c>
      <c r="C109">
        <v>1</v>
      </c>
    </row>
    <row r="110" spans="1:3" x14ac:dyDescent="0.3">
      <c r="A110" t="s">
        <v>194</v>
      </c>
      <c r="B110">
        <v>28.36</v>
      </c>
      <c r="C110">
        <v>1</v>
      </c>
    </row>
    <row r="111" spans="1:3" x14ac:dyDescent="0.3">
      <c r="A111" t="s">
        <v>880</v>
      </c>
      <c r="B111">
        <v>28.66</v>
      </c>
      <c r="C111">
        <v>1</v>
      </c>
    </row>
    <row r="112" spans="1:3" x14ac:dyDescent="0.3">
      <c r="A112" t="s">
        <v>672</v>
      </c>
      <c r="B112">
        <v>28.69</v>
      </c>
      <c r="C112">
        <v>1</v>
      </c>
    </row>
    <row r="113" spans="1:3" x14ac:dyDescent="0.3">
      <c r="A113" t="s">
        <v>1089</v>
      </c>
      <c r="B113">
        <v>28.74</v>
      </c>
      <c r="C113">
        <v>1</v>
      </c>
    </row>
    <row r="114" spans="1:3" x14ac:dyDescent="0.3">
      <c r="A114" t="s">
        <v>696</v>
      </c>
      <c r="B114">
        <v>28.85</v>
      </c>
      <c r="C114">
        <v>1</v>
      </c>
    </row>
    <row r="115" spans="1:3" x14ac:dyDescent="0.3">
      <c r="A115" t="s">
        <v>592</v>
      </c>
      <c r="B115">
        <v>28.98</v>
      </c>
      <c r="C115">
        <v>1</v>
      </c>
    </row>
    <row r="116" spans="1:3" x14ac:dyDescent="0.3">
      <c r="A116" t="s">
        <v>699</v>
      </c>
      <c r="B116">
        <v>29.03</v>
      </c>
      <c r="C116">
        <v>1</v>
      </c>
    </row>
    <row r="117" spans="1:3" x14ac:dyDescent="0.3">
      <c r="A117" t="s">
        <v>1020</v>
      </c>
      <c r="B117">
        <v>29.05</v>
      </c>
      <c r="C117">
        <v>1</v>
      </c>
    </row>
    <row r="118" spans="1:3" x14ac:dyDescent="0.3">
      <c r="A118" t="s">
        <v>1134</v>
      </c>
      <c r="B118">
        <v>29.18</v>
      </c>
      <c r="C118">
        <v>1</v>
      </c>
    </row>
    <row r="119" spans="1:3" x14ac:dyDescent="0.3">
      <c r="A119" t="s">
        <v>437</v>
      </c>
      <c r="B119">
        <v>29.22</v>
      </c>
      <c r="C119">
        <v>1</v>
      </c>
    </row>
    <row r="120" spans="1:3" x14ac:dyDescent="0.3">
      <c r="A120" t="s">
        <v>410</v>
      </c>
      <c r="B120">
        <v>29.37</v>
      </c>
      <c r="C120">
        <v>1</v>
      </c>
    </row>
    <row r="121" spans="1:3" x14ac:dyDescent="0.3">
      <c r="A121" t="s">
        <v>846</v>
      </c>
      <c r="B121">
        <v>29.42</v>
      </c>
      <c r="C121">
        <v>1</v>
      </c>
    </row>
    <row r="122" spans="1:3" x14ac:dyDescent="0.3">
      <c r="A122" t="s">
        <v>746</v>
      </c>
      <c r="B122">
        <v>29.43</v>
      </c>
      <c r="C122">
        <v>1</v>
      </c>
    </row>
    <row r="123" spans="1:3" x14ac:dyDescent="0.3">
      <c r="A123" t="s">
        <v>165</v>
      </c>
      <c r="B123">
        <v>29.45</v>
      </c>
      <c r="C123">
        <v>1</v>
      </c>
    </row>
    <row r="124" spans="1:3" x14ac:dyDescent="0.3">
      <c r="A124" t="s">
        <v>382</v>
      </c>
      <c r="B124">
        <v>29.46</v>
      </c>
      <c r="C124">
        <v>1</v>
      </c>
    </row>
    <row r="125" spans="1:3" x14ac:dyDescent="0.3">
      <c r="A125" t="s">
        <v>388</v>
      </c>
      <c r="B125">
        <v>29.47</v>
      </c>
      <c r="C125">
        <v>1</v>
      </c>
    </row>
    <row r="126" spans="1:3" x14ac:dyDescent="0.3">
      <c r="A126" t="s">
        <v>417</v>
      </c>
      <c r="B126">
        <v>29.52</v>
      </c>
      <c r="C126">
        <v>1</v>
      </c>
    </row>
    <row r="127" spans="1:3" x14ac:dyDescent="0.3">
      <c r="A127" t="s">
        <v>606</v>
      </c>
      <c r="B127">
        <v>29.53</v>
      </c>
      <c r="C127">
        <v>1</v>
      </c>
    </row>
    <row r="128" spans="1:3" x14ac:dyDescent="0.3">
      <c r="A128" t="s">
        <v>552</v>
      </c>
      <c r="B128">
        <v>29.77</v>
      </c>
      <c r="C128">
        <v>1</v>
      </c>
    </row>
    <row r="129" spans="1:3" x14ac:dyDescent="0.3">
      <c r="A129" t="s">
        <v>871</v>
      </c>
      <c r="B129">
        <v>30.08</v>
      </c>
      <c r="C129">
        <v>1</v>
      </c>
    </row>
    <row r="130" spans="1:3" x14ac:dyDescent="0.3">
      <c r="A130" t="s">
        <v>656</v>
      </c>
      <c r="B130">
        <v>30.22</v>
      </c>
      <c r="C130">
        <v>1</v>
      </c>
    </row>
    <row r="131" spans="1:3" x14ac:dyDescent="0.3">
      <c r="A131" t="s">
        <v>547</v>
      </c>
      <c r="B131">
        <v>30.27</v>
      </c>
      <c r="C131">
        <v>1</v>
      </c>
    </row>
    <row r="132" spans="1:3" x14ac:dyDescent="0.3">
      <c r="A132" t="s">
        <v>938</v>
      </c>
      <c r="B132">
        <v>30.47</v>
      </c>
      <c r="C132">
        <v>1</v>
      </c>
    </row>
    <row r="133" spans="1:3" x14ac:dyDescent="0.3">
      <c r="A133" t="s">
        <v>661</v>
      </c>
      <c r="B133">
        <v>30.99</v>
      </c>
      <c r="C133">
        <v>1</v>
      </c>
    </row>
    <row r="134" spans="1:3" x14ac:dyDescent="0.3">
      <c r="A134" t="s">
        <v>974</v>
      </c>
      <c r="B134">
        <v>31</v>
      </c>
      <c r="C134">
        <v>1</v>
      </c>
    </row>
    <row r="135" spans="1:3" x14ac:dyDescent="0.3">
      <c r="A135" t="s">
        <v>912</v>
      </c>
      <c r="B135">
        <v>31.07</v>
      </c>
      <c r="C135">
        <v>1</v>
      </c>
    </row>
    <row r="136" spans="1:3" x14ac:dyDescent="0.3">
      <c r="A136" t="s">
        <v>203</v>
      </c>
      <c r="B136">
        <v>31.64</v>
      </c>
      <c r="C136">
        <v>1</v>
      </c>
    </row>
    <row r="137" spans="1:3" x14ac:dyDescent="0.3">
      <c r="A137" t="s">
        <v>715</v>
      </c>
      <c r="B137">
        <v>31.7</v>
      </c>
      <c r="C137">
        <v>1</v>
      </c>
    </row>
    <row r="138" spans="1:3" x14ac:dyDescent="0.3">
      <c r="A138" t="s">
        <v>1053</v>
      </c>
      <c r="B138">
        <v>31.74</v>
      </c>
      <c r="C138">
        <v>1</v>
      </c>
    </row>
    <row r="139" spans="1:3" x14ac:dyDescent="0.3">
      <c r="A139" t="s">
        <v>705</v>
      </c>
      <c r="B139">
        <v>32.020000000000003</v>
      </c>
      <c r="C139">
        <v>1</v>
      </c>
    </row>
    <row r="140" spans="1:3" x14ac:dyDescent="0.3">
      <c r="A140" t="s">
        <v>923</v>
      </c>
      <c r="B140">
        <v>32.29</v>
      </c>
      <c r="C140">
        <v>1</v>
      </c>
    </row>
    <row r="141" spans="1:3" x14ac:dyDescent="0.3">
      <c r="A141" t="s">
        <v>664</v>
      </c>
      <c r="B141">
        <v>33.130000000000003</v>
      </c>
      <c r="C141">
        <v>1</v>
      </c>
    </row>
    <row r="142" spans="1:3" x14ac:dyDescent="0.3">
      <c r="A142" t="s">
        <v>564</v>
      </c>
      <c r="B142">
        <v>33.31</v>
      </c>
      <c r="C142">
        <v>1</v>
      </c>
    </row>
    <row r="143" spans="1:3" x14ac:dyDescent="0.3">
      <c r="A143" t="s">
        <v>1113</v>
      </c>
      <c r="B143">
        <v>33.76</v>
      </c>
      <c r="C143">
        <v>1</v>
      </c>
    </row>
    <row r="144" spans="1:3" x14ac:dyDescent="0.3">
      <c r="A144" t="s">
        <v>929</v>
      </c>
      <c r="B144">
        <v>34.04</v>
      </c>
      <c r="C144">
        <v>1</v>
      </c>
    </row>
    <row r="145" spans="1:3" x14ac:dyDescent="0.3">
      <c r="A145" t="s">
        <v>298</v>
      </c>
      <c r="B145">
        <v>34.35</v>
      </c>
      <c r="C145">
        <v>1</v>
      </c>
    </row>
    <row r="146" spans="1:3" x14ac:dyDescent="0.3">
      <c r="A146" t="s">
        <v>277</v>
      </c>
      <c r="B146">
        <v>34.94</v>
      </c>
      <c r="C146">
        <v>1</v>
      </c>
    </row>
    <row r="147" spans="1:3" x14ac:dyDescent="0.3">
      <c r="A147" t="s">
        <v>1069</v>
      </c>
      <c r="B147">
        <v>34.979999999999997</v>
      </c>
      <c r="C147">
        <v>1</v>
      </c>
    </row>
    <row r="148" spans="1:3" x14ac:dyDescent="0.3">
      <c r="A148" t="s">
        <v>359</v>
      </c>
      <c r="B148">
        <v>35.01</v>
      </c>
      <c r="C148">
        <v>1</v>
      </c>
    </row>
    <row r="149" spans="1:3" x14ac:dyDescent="0.3">
      <c r="A149" t="s">
        <v>577</v>
      </c>
      <c r="B149">
        <v>35.15</v>
      </c>
      <c r="C149">
        <v>1</v>
      </c>
    </row>
    <row r="150" spans="1:3" x14ac:dyDescent="0.3">
      <c r="A150" t="s">
        <v>526</v>
      </c>
      <c r="B150">
        <v>35.549999999999997</v>
      </c>
      <c r="C150">
        <v>1</v>
      </c>
    </row>
    <row r="151" spans="1:3" x14ac:dyDescent="0.3">
      <c r="A151" t="s">
        <v>612</v>
      </c>
      <c r="B151">
        <v>35.97</v>
      </c>
      <c r="C151">
        <v>1</v>
      </c>
    </row>
    <row r="152" spans="1:3" x14ac:dyDescent="0.3">
      <c r="A152" t="s">
        <v>752</v>
      </c>
      <c r="B152">
        <v>17.71</v>
      </c>
      <c r="C152">
        <v>0</v>
      </c>
    </row>
    <row r="153" spans="1:3" x14ac:dyDescent="0.3">
      <c r="A153" t="s">
        <v>30</v>
      </c>
      <c r="B153">
        <v>18.489999999999998</v>
      </c>
      <c r="C153">
        <v>0</v>
      </c>
    </row>
    <row r="154" spans="1:3" x14ac:dyDescent="0.3">
      <c r="A154" t="s">
        <v>264</v>
      </c>
      <c r="B154">
        <v>18.739999999999998</v>
      </c>
      <c r="C154">
        <v>0</v>
      </c>
    </row>
    <row r="155" spans="1:3" x14ac:dyDescent="0.3">
      <c r="A155" t="s">
        <v>535</v>
      </c>
      <c r="B155">
        <v>18.82</v>
      </c>
      <c r="C155">
        <v>0</v>
      </c>
    </row>
    <row r="156" spans="1:3" x14ac:dyDescent="0.3">
      <c r="A156" t="s">
        <v>600</v>
      </c>
      <c r="B156">
        <v>18.899999999999999</v>
      </c>
      <c r="C156">
        <v>0</v>
      </c>
    </row>
    <row r="157" spans="1:3" x14ac:dyDescent="0.3">
      <c r="A157" t="s">
        <v>1093</v>
      </c>
      <c r="B157">
        <v>19.34</v>
      </c>
      <c r="C157">
        <v>0</v>
      </c>
    </row>
    <row r="158" spans="1:3" x14ac:dyDescent="0.3">
      <c r="A158" t="s">
        <v>340</v>
      </c>
      <c r="B158">
        <v>19.440000000000001</v>
      </c>
      <c r="C158">
        <v>0</v>
      </c>
    </row>
    <row r="159" spans="1:3" x14ac:dyDescent="0.3">
      <c r="A159" t="s">
        <v>387</v>
      </c>
      <c r="B159">
        <v>19.62</v>
      </c>
      <c r="C159">
        <v>0</v>
      </c>
    </row>
    <row r="160" spans="1:3" x14ac:dyDescent="0.3">
      <c r="A160" t="s">
        <v>345</v>
      </c>
      <c r="B160">
        <v>19.739999999999998</v>
      </c>
      <c r="C160">
        <v>0</v>
      </c>
    </row>
    <row r="161" spans="1:3" x14ac:dyDescent="0.3">
      <c r="A161" t="s">
        <v>884</v>
      </c>
      <c r="B161">
        <v>19.91</v>
      </c>
      <c r="C161">
        <v>0</v>
      </c>
    </row>
    <row r="162" spans="1:3" x14ac:dyDescent="0.3">
      <c r="A162" t="s">
        <v>412</v>
      </c>
      <c r="B162">
        <v>19.940000000000001</v>
      </c>
      <c r="C162">
        <v>0</v>
      </c>
    </row>
    <row r="163" spans="1:3" x14ac:dyDescent="0.3">
      <c r="A163" t="s">
        <v>553</v>
      </c>
      <c r="B163">
        <v>20.23</v>
      </c>
      <c r="C163">
        <v>0</v>
      </c>
    </row>
    <row r="164" spans="1:3" x14ac:dyDescent="0.3">
      <c r="A164" t="s">
        <v>524</v>
      </c>
      <c r="B164">
        <v>20.309999999999999</v>
      </c>
      <c r="C164">
        <v>0</v>
      </c>
    </row>
    <row r="165" spans="1:3" x14ac:dyDescent="0.3">
      <c r="A165" t="s">
        <v>1051</v>
      </c>
      <c r="B165">
        <v>20.329999999999998</v>
      </c>
      <c r="C165">
        <v>0</v>
      </c>
    </row>
    <row r="166" spans="1:3" x14ac:dyDescent="0.3">
      <c r="A166" t="s">
        <v>253</v>
      </c>
      <c r="B166">
        <v>20.41</v>
      </c>
      <c r="C166">
        <v>0</v>
      </c>
    </row>
    <row r="167" spans="1:3" x14ac:dyDescent="0.3">
      <c r="A167" t="s">
        <v>1096</v>
      </c>
      <c r="B167">
        <v>20.52</v>
      </c>
      <c r="C167">
        <v>0</v>
      </c>
    </row>
    <row r="168" spans="1:3" x14ac:dyDescent="0.3">
      <c r="A168" t="s">
        <v>423</v>
      </c>
      <c r="B168">
        <v>20.6</v>
      </c>
      <c r="C168">
        <v>0</v>
      </c>
    </row>
    <row r="169" spans="1:3" x14ac:dyDescent="0.3">
      <c r="A169" t="s">
        <v>706</v>
      </c>
      <c r="B169">
        <v>20.6</v>
      </c>
      <c r="C169">
        <v>0</v>
      </c>
    </row>
    <row r="170" spans="1:3" x14ac:dyDescent="0.3">
      <c r="A170" t="s">
        <v>456</v>
      </c>
      <c r="B170">
        <v>20.63</v>
      </c>
      <c r="C170">
        <v>0</v>
      </c>
    </row>
    <row r="171" spans="1:3" x14ac:dyDescent="0.3">
      <c r="A171" t="s">
        <v>1065</v>
      </c>
      <c r="B171">
        <v>20.63</v>
      </c>
      <c r="C171">
        <v>0</v>
      </c>
    </row>
    <row r="172" spans="1:3" x14ac:dyDescent="0.3">
      <c r="A172" t="s">
        <v>361</v>
      </c>
      <c r="B172">
        <v>20.71</v>
      </c>
      <c r="C172">
        <v>0</v>
      </c>
    </row>
    <row r="173" spans="1:3" x14ac:dyDescent="0.3">
      <c r="A173" t="s">
        <v>756</v>
      </c>
      <c r="B173">
        <v>20.73</v>
      </c>
      <c r="C173">
        <v>0</v>
      </c>
    </row>
    <row r="174" spans="1:3" x14ac:dyDescent="0.3">
      <c r="A174" t="s">
        <v>712</v>
      </c>
      <c r="B174">
        <v>20.78</v>
      </c>
      <c r="C174">
        <v>0</v>
      </c>
    </row>
    <row r="175" spans="1:3" x14ac:dyDescent="0.3">
      <c r="A175" t="s">
        <v>375</v>
      </c>
      <c r="B175">
        <v>20.81</v>
      </c>
      <c r="C175">
        <v>0</v>
      </c>
    </row>
    <row r="176" spans="1:3" x14ac:dyDescent="0.3">
      <c r="A176" t="s">
        <v>682</v>
      </c>
      <c r="B176">
        <v>20.84</v>
      </c>
      <c r="C176">
        <v>0</v>
      </c>
    </row>
    <row r="177" spans="1:3" x14ac:dyDescent="0.3">
      <c r="A177" t="s">
        <v>1074</v>
      </c>
      <c r="B177">
        <v>20.9</v>
      </c>
      <c r="C177">
        <v>0</v>
      </c>
    </row>
    <row r="178" spans="1:3" x14ac:dyDescent="0.3">
      <c r="A178" t="s">
        <v>677</v>
      </c>
      <c r="B178">
        <v>20.93</v>
      </c>
      <c r="C178">
        <v>0</v>
      </c>
    </row>
    <row r="179" spans="1:3" x14ac:dyDescent="0.3">
      <c r="A179" t="s">
        <v>478</v>
      </c>
      <c r="B179">
        <v>21.07</v>
      </c>
      <c r="C179">
        <v>0</v>
      </c>
    </row>
    <row r="180" spans="1:3" x14ac:dyDescent="0.3">
      <c r="A180" t="s">
        <v>1026</v>
      </c>
      <c r="B180">
        <v>21.14</v>
      </c>
      <c r="C180">
        <v>0</v>
      </c>
    </row>
    <row r="181" spans="1:3" x14ac:dyDescent="0.3">
      <c r="A181" t="s">
        <v>1120</v>
      </c>
      <c r="B181">
        <v>21.16</v>
      </c>
      <c r="C181">
        <v>0</v>
      </c>
    </row>
    <row r="182" spans="1:3" x14ac:dyDescent="0.3">
      <c r="A182" t="s">
        <v>793</v>
      </c>
      <c r="B182">
        <v>21.2</v>
      </c>
      <c r="C182">
        <v>0</v>
      </c>
    </row>
    <row r="183" spans="1:3" x14ac:dyDescent="0.3">
      <c r="A183" t="s">
        <v>972</v>
      </c>
      <c r="B183">
        <v>21.26</v>
      </c>
      <c r="C183">
        <v>0</v>
      </c>
    </row>
    <row r="184" spans="1:3" x14ac:dyDescent="0.3">
      <c r="A184" t="s">
        <v>797</v>
      </c>
      <c r="B184">
        <v>21.28</v>
      </c>
      <c r="C184">
        <v>0</v>
      </c>
    </row>
    <row r="185" spans="1:3" x14ac:dyDescent="0.3">
      <c r="A185" t="s">
        <v>817</v>
      </c>
      <c r="B185">
        <v>21.3</v>
      </c>
      <c r="C185">
        <v>0</v>
      </c>
    </row>
    <row r="186" spans="1:3" x14ac:dyDescent="0.3">
      <c r="A186" t="s">
        <v>211</v>
      </c>
      <c r="B186">
        <v>21.31</v>
      </c>
      <c r="C186">
        <v>0</v>
      </c>
    </row>
    <row r="187" spans="1:3" x14ac:dyDescent="0.3">
      <c r="A187" t="s">
        <v>436</v>
      </c>
      <c r="B187">
        <v>21.4</v>
      </c>
      <c r="C187">
        <v>0</v>
      </c>
    </row>
    <row r="188" spans="1:3" x14ac:dyDescent="0.3">
      <c r="A188" t="s">
        <v>256</v>
      </c>
      <c r="B188">
        <v>21.42</v>
      </c>
      <c r="C188">
        <v>0</v>
      </c>
    </row>
    <row r="189" spans="1:3" x14ac:dyDescent="0.3">
      <c r="A189" t="s">
        <v>804</v>
      </c>
      <c r="B189">
        <v>21.43</v>
      </c>
      <c r="C189">
        <v>0</v>
      </c>
    </row>
    <row r="190" spans="1:3" x14ac:dyDescent="0.3">
      <c r="A190" t="s">
        <v>389</v>
      </c>
      <c r="B190">
        <v>21.5</v>
      </c>
      <c r="C190">
        <v>0</v>
      </c>
    </row>
    <row r="191" spans="1:3" x14ac:dyDescent="0.3">
      <c r="A191" t="s">
        <v>924</v>
      </c>
      <c r="B191">
        <v>21.53</v>
      </c>
      <c r="C191">
        <v>0</v>
      </c>
    </row>
    <row r="192" spans="1:3" x14ac:dyDescent="0.3">
      <c r="A192" t="s">
        <v>150</v>
      </c>
      <c r="B192">
        <v>21.58</v>
      </c>
      <c r="C192">
        <v>0</v>
      </c>
    </row>
    <row r="193" spans="1:3" x14ac:dyDescent="0.3">
      <c r="A193" t="s">
        <v>763</v>
      </c>
      <c r="B193">
        <v>21.65</v>
      </c>
      <c r="C193">
        <v>0</v>
      </c>
    </row>
    <row r="194" spans="1:3" x14ac:dyDescent="0.3">
      <c r="A194" t="s">
        <v>741</v>
      </c>
      <c r="B194">
        <v>21.68</v>
      </c>
      <c r="C194">
        <v>0</v>
      </c>
    </row>
    <row r="195" spans="1:3" x14ac:dyDescent="0.3">
      <c r="A195" t="s">
        <v>834</v>
      </c>
      <c r="B195">
        <v>21.81</v>
      </c>
      <c r="C195">
        <v>0</v>
      </c>
    </row>
    <row r="196" spans="1:3" x14ac:dyDescent="0.3">
      <c r="A196" t="s">
        <v>457</v>
      </c>
      <c r="B196">
        <v>21.9</v>
      </c>
      <c r="C196">
        <v>0</v>
      </c>
    </row>
    <row r="197" spans="1:3" x14ac:dyDescent="0.3">
      <c r="A197" t="s">
        <v>219</v>
      </c>
      <c r="B197">
        <v>21.94</v>
      </c>
      <c r="C197">
        <v>0</v>
      </c>
    </row>
    <row r="198" spans="1:3" x14ac:dyDescent="0.3">
      <c r="A198" t="s">
        <v>491</v>
      </c>
      <c r="B198">
        <v>21.99</v>
      </c>
      <c r="C198">
        <v>0</v>
      </c>
    </row>
    <row r="199" spans="1:3" x14ac:dyDescent="0.3">
      <c r="A199" t="s">
        <v>839</v>
      </c>
      <c r="B199">
        <v>22.07</v>
      </c>
      <c r="C199">
        <v>0</v>
      </c>
    </row>
    <row r="200" spans="1:3" x14ac:dyDescent="0.3">
      <c r="A200" t="s">
        <v>947</v>
      </c>
      <c r="B200">
        <v>22.08</v>
      </c>
      <c r="C200">
        <v>0</v>
      </c>
    </row>
    <row r="201" spans="1:3" x14ac:dyDescent="0.3">
      <c r="A201" t="s">
        <v>610</v>
      </c>
      <c r="B201">
        <v>22.14</v>
      </c>
      <c r="C201">
        <v>0</v>
      </c>
    </row>
    <row r="202" spans="1:3" x14ac:dyDescent="0.3">
      <c r="A202" t="s">
        <v>832</v>
      </c>
      <c r="B202">
        <v>22.16</v>
      </c>
      <c r="C202">
        <v>0</v>
      </c>
    </row>
    <row r="203" spans="1:3" x14ac:dyDescent="0.3">
      <c r="A203" t="s">
        <v>814</v>
      </c>
      <c r="B203">
        <v>22.19</v>
      </c>
      <c r="C203">
        <v>0</v>
      </c>
    </row>
    <row r="204" spans="1:3" x14ac:dyDescent="0.3">
      <c r="A204" t="s">
        <v>205</v>
      </c>
      <c r="B204">
        <v>22.21</v>
      </c>
      <c r="C204">
        <v>0</v>
      </c>
    </row>
    <row r="205" spans="1:3" x14ac:dyDescent="0.3">
      <c r="A205" t="s">
        <v>460</v>
      </c>
      <c r="B205">
        <v>22.22</v>
      </c>
      <c r="C205">
        <v>0</v>
      </c>
    </row>
    <row r="206" spans="1:3" x14ac:dyDescent="0.3">
      <c r="A206" t="s">
        <v>1052</v>
      </c>
      <c r="B206">
        <v>22.26</v>
      </c>
      <c r="C206">
        <v>0</v>
      </c>
    </row>
    <row r="207" spans="1:3" x14ac:dyDescent="0.3">
      <c r="A207" t="s">
        <v>425</v>
      </c>
      <c r="B207">
        <v>22.29</v>
      </c>
      <c r="C207">
        <v>0</v>
      </c>
    </row>
    <row r="208" spans="1:3" x14ac:dyDescent="0.3">
      <c r="A208" t="s">
        <v>427</v>
      </c>
      <c r="B208">
        <v>22.31</v>
      </c>
      <c r="C208">
        <v>0</v>
      </c>
    </row>
    <row r="209" spans="1:3" x14ac:dyDescent="0.3">
      <c r="A209" t="s">
        <v>613</v>
      </c>
      <c r="B209">
        <v>22.33</v>
      </c>
      <c r="C209">
        <v>0</v>
      </c>
    </row>
    <row r="210" spans="1:3" x14ac:dyDescent="0.3">
      <c r="A210" t="s">
        <v>803</v>
      </c>
      <c r="B210">
        <v>22.36</v>
      </c>
      <c r="C210">
        <v>0</v>
      </c>
    </row>
    <row r="211" spans="1:3" x14ac:dyDescent="0.3">
      <c r="A211" t="s">
        <v>228</v>
      </c>
      <c r="B211">
        <v>22.41</v>
      </c>
      <c r="C211">
        <v>0</v>
      </c>
    </row>
    <row r="212" spans="1:3" x14ac:dyDescent="0.3">
      <c r="A212" t="s">
        <v>574</v>
      </c>
      <c r="B212">
        <v>22.44</v>
      </c>
      <c r="C212">
        <v>0</v>
      </c>
    </row>
    <row r="213" spans="1:3" x14ac:dyDescent="0.3">
      <c r="A213" t="s">
        <v>1063</v>
      </c>
      <c r="B213">
        <v>22.45</v>
      </c>
      <c r="C213">
        <v>0</v>
      </c>
    </row>
    <row r="214" spans="1:3" x14ac:dyDescent="0.3">
      <c r="A214" t="s">
        <v>290</v>
      </c>
      <c r="B214">
        <v>22.49</v>
      </c>
      <c r="C214">
        <v>0</v>
      </c>
    </row>
    <row r="215" spans="1:3" x14ac:dyDescent="0.3">
      <c r="A215" t="s">
        <v>373</v>
      </c>
      <c r="B215">
        <v>22.53</v>
      </c>
      <c r="C215">
        <v>0</v>
      </c>
    </row>
    <row r="216" spans="1:3" x14ac:dyDescent="0.3">
      <c r="A216" t="s">
        <v>79</v>
      </c>
      <c r="B216">
        <v>22.54</v>
      </c>
      <c r="C216">
        <v>0</v>
      </c>
    </row>
    <row r="217" spans="1:3" x14ac:dyDescent="0.3">
      <c r="A217" t="s">
        <v>386</v>
      </c>
      <c r="B217">
        <v>22.57</v>
      </c>
      <c r="C217">
        <v>0</v>
      </c>
    </row>
    <row r="218" spans="1:3" x14ac:dyDescent="0.3">
      <c r="A218" t="s">
        <v>1090</v>
      </c>
      <c r="B218">
        <v>22.62</v>
      </c>
      <c r="C218">
        <v>0</v>
      </c>
    </row>
    <row r="219" spans="1:3" x14ac:dyDescent="0.3">
      <c r="A219" t="s">
        <v>790</v>
      </c>
      <c r="B219">
        <v>22.66</v>
      </c>
      <c r="C219">
        <v>0</v>
      </c>
    </row>
    <row r="220" spans="1:3" x14ac:dyDescent="0.3">
      <c r="A220" t="s">
        <v>262</v>
      </c>
      <c r="B220">
        <v>22.68</v>
      </c>
      <c r="C220">
        <v>0</v>
      </c>
    </row>
    <row r="221" spans="1:3" x14ac:dyDescent="0.3">
      <c r="A221" t="s">
        <v>323</v>
      </c>
      <c r="B221">
        <v>22.69</v>
      </c>
      <c r="C221">
        <v>0</v>
      </c>
    </row>
    <row r="222" spans="1:3" x14ac:dyDescent="0.3">
      <c r="A222" t="s">
        <v>326</v>
      </c>
      <c r="B222">
        <v>22.72</v>
      </c>
      <c r="C222">
        <v>0</v>
      </c>
    </row>
    <row r="223" spans="1:3" x14ac:dyDescent="0.3">
      <c r="A223" t="s">
        <v>634</v>
      </c>
      <c r="B223">
        <v>22.77</v>
      </c>
      <c r="C223">
        <v>0</v>
      </c>
    </row>
    <row r="224" spans="1:3" x14ac:dyDescent="0.3">
      <c r="A224" t="s">
        <v>978</v>
      </c>
      <c r="B224">
        <v>22.8</v>
      </c>
      <c r="C224">
        <v>0</v>
      </c>
    </row>
    <row r="225" spans="1:3" x14ac:dyDescent="0.3">
      <c r="A225" t="s">
        <v>166</v>
      </c>
      <c r="B225">
        <v>22.86</v>
      </c>
      <c r="C225">
        <v>0</v>
      </c>
    </row>
    <row r="226" spans="1:3" x14ac:dyDescent="0.3">
      <c r="A226" t="s">
        <v>318</v>
      </c>
      <c r="B226">
        <v>22.87</v>
      </c>
      <c r="C226">
        <v>0</v>
      </c>
    </row>
    <row r="227" spans="1:3" x14ac:dyDescent="0.3">
      <c r="A227" t="s">
        <v>546</v>
      </c>
      <c r="B227">
        <v>22.87</v>
      </c>
      <c r="C227">
        <v>0</v>
      </c>
    </row>
    <row r="228" spans="1:3" x14ac:dyDescent="0.3">
      <c r="A228" t="s">
        <v>230</v>
      </c>
      <c r="B228">
        <v>22.9</v>
      </c>
      <c r="C228">
        <v>0</v>
      </c>
    </row>
    <row r="229" spans="1:3" x14ac:dyDescent="0.3">
      <c r="A229" t="s">
        <v>304</v>
      </c>
      <c r="B229">
        <v>22.92</v>
      </c>
      <c r="C229">
        <v>0</v>
      </c>
    </row>
    <row r="230" spans="1:3" x14ac:dyDescent="0.3">
      <c r="A230" t="s">
        <v>1079</v>
      </c>
      <c r="B230">
        <v>22.92</v>
      </c>
      <c r="C230">
        <v>0</v>
      </c>
    </row>
    <row r="231" spans="1:3" x14ac:dyDescent="0.3">
      <c r="A231" t="s">
        <v>861</v>
      </c>
      <c r="B231">
        <v>22.94</v>
      </c>
      <c r="C231">
        <v>0</v>
      </c>
    </row>
    <row r="232" spans="1:3" x14ac:dyDescent="0.3">
      <c r="A232" t="s">
        <v>259</v>
      </c>
      <c r="B232">
        <v>22.97</v>
      </c>
      <c r="C232">
        <v>0</v>
      </c>
    </row>
    <row r="233" spans="1:3" x14ac:dyDescent="0.3">
      <c r="A233" t="s">
        <v>863</v>
      </c>
      <c r="B233">
        <v>22.97</v>
      </c>
      <c r="C233">
        <v>0</v>
      </c>
    </row>
    <row r="234" spans="1:3" x14ac:dyDescent="0.3">
      <c r="A234" t="s">
        <v>1014</v>
      </c>
      <c r="B234">
        <v>22.97</v>
      </c>
      <c r="C234">
        <v>0</v>
      </c>
    </row>
    <row r="235" spans="1:3" x14ac:dyDescent="0.3">
      <c r="A235" t="s">
        <v>587</v>
      </c>
      <c r="B235">
        <v>23.03</v>
      </c>
      <c r="C235">
        <v>0</v>
      </c>
    </row>
    <row r="236" spans="1:3" x14ac:dyDescent="0.3">
      <c r="A236" t="s">
        <v>495</v>
      </c>
      <c r="B236">
        <v>23.04</v>
      </c>
      <c r="C236">
        <v>0</v>
      </c>
    </row>
    <row r="237" spans="1:3" x14ac:dyDescent="0.3">
      <c r="A237" t="s">
        <v>892</v>
      </c>
      <c r="B237">
        <v>23.04</v>
      </c>
      <c r="C237">
        <v>0</v>
      </c>
    </row>
    <row r="238" spans="1:3" x14ac:dyDescent="0.3">
      <c r="A238" t="s">
        <v>785</v>
      </c>
      <c r="B238">
        <v>23.05</v>
      </c>
      <c r="C238">
        <v>0</v>
      </c>
    </row>
    <row r="239" spans="1:3" x14ac:dyDescent="0.3">
      <c r="A239" t="s">
        <v>572</v>
      </c>
      <c r="B239">
        <v>23.08</v>
      </c>
      <c r="C239">
        <v>0</v>
      </c>
    </row>
    <row r="240" spans="1:3" x14ac:dyDescent="0.3">
      <c r="A240" t="s">
        <v>494</v>
      </c>
      <c r="B240">
        <v>23.11</v>
      </c>
      <c r="C240">
        <v>0</v>
      </c>
    </row>
    <row r="241" spans="1:3" x14ac:dyDescent="0.3">
      <c r="A241" t="s">
        <v>441</v>
      </c>
      <c r="B241">
        <v>23.12</v>
      </c>
      <c r="C241">
        <v>0</v>
      </c>
    </row>
    <row r="242" spans="1:3" x14ac:dyDescent="0.3">
      <c r="A242" t="s">
        <v>738</v>
      </c>
      <c r="B242">
        <v>23.13</v>
      </c>
      <c r="C242">
        <v>0</v>
      </c>
    </row>
    <row r="243" spans="1:3" x14ac:dyDescent="0.3">
      <c r="A243" t="s">
        <v>424</v>
      </c>
      <c r="B243">
        <v>23.15</v>
      </c>
      <c r="C243">
        <v>0</v>
      </c>
    </row>
    <row r="244" spans="1:3" x14ac:dyDescent="0.3">
      <c r="A244" t="s">
        <v>267</v>
      </c>
      <c r="B244">
        <v>23.16</v>
      </c>
      <c r="C244">
        <v>0</v>
      </c>
    </row>
    <row r="245" spans="1:3" x14ac:dyDescent="0.3">
      <c r="A245" t="s">
        <v>1108</v>
      </c>
      <c r="B245">
        <v>23.16</v>
      </c>
      <c r="C245">
        <v>0</v>
      </c>
    </row>
    <row r="246" spans="1:3" x14ac:dyDescent="0.3">
      <c r="A246" t="s">
        <v>554</v>
      </c>
      <c r="B246">
        <v>23.18</v>
      </c>
      <c r="C246">
        <v>0</v>
      </c>
    </row>
    <row r="247" spans="1:3" x14ac:dyDescent="0.3">
      <c r="A247" t="s">
        <v>473</v>
      </c>
      <c r="B247">
        <v>23.19</v>
      </c>
      <c r="C247">
        <v>0</v>
      </c>
    </row>
    <row r="248" spans="1:3" x14ac:dyDescent="0.3">
      <c r="A248" t="s">
        <v>988</v>
      </c>
      <c r="B248">
        <v>23.24</v>
      </c>
      <c r="C248">
        <v>0</v>
      </c>
    </row>
    <row r="249" spans="1:3" x14ac:dyDescent="0.3">
      <c r="A249" t="s">
        <v>701</v>
      </c>
      <c r="B249">
        <v>23.25</v>
      </c>
      <c r="C249">
        <v>0</v>
      </c>
    </row>
    <row r="250" spans="1:3" x14ac:dyDescent="0.3">
      <c r="A250" t="s">
        <v>471</v>
      </c>
      <c r="B250">
        <v>23.26</v>
      </c>
      <c r="C250">
        <v>0</v>
      </c>
    </row>
    <row r="251" spans="1:3" x14ac:dyDescent="0.3">
      <c r="A251" t="s">
        <v>503</v>
      </c>
      <c r="B251">
        <v>23.26</v>
      </c>
      <c r="C251">
        <v>0</v>
      </c>
    </row>
    <row r="252" spans="1:3" x14ac:dyDescent="0.3">
      <c r="A252" t="s">
        <v>1086</v>
      </c>
      <c r="B252">
        <v>23.28</v>
      </c>
      <c r="C252">
        <v>0</v>
      </c>
    </row>
    <row r="253" spans="1:3" x14ac:dyDescent="0.3">
      <c r="A253" t="s">
        <v>312</v>
      </c>
      <c r="B253">
        <v>23.31</v>
      </c>
      <c r="C253">
        <v>0</v>
      </c>
    </row>
    <row r="254" spans="1:3" x14ac:dyDescent="0.3">
      <c r="A254" t="s">
        <v>509</v>
      </c>
      <c r="B254">
        <v>23.32</v>
      </c>
      <c r="C254">
        <v>0</v>
      </c>
    </row>
    <row r="255" spans="1:3" x14ac:dyDescent="0.3">
      <c r="A255" t="s">
        <v>761</v>
      </c>
      <c r="B255">
        <v>23.33</v>
      </c>
      <c r="C255">
        <v>0</v>
      </c>
    </row>
    <row r="256" spans="1:3" x14ac:dyDescent="0.3">
      <c r="A256" t="s">
        <v>1024</v>
      </c>
      <c r="B256">
        <v>23.33</v>
      </c>
      <c r="C256">
        <v>0</v>
      </c>
    </row>
    <row r="257" spans="1:3" x14ac:dyDescent="0.3">
      <c r="A257" t="s">
        <v>58</v>
      </c>
      <c r="B257">
        <v>23.41</v>
      </c>
      <c r="C257">
        <v>0</v>
      </c>
    </row>
    <row r="258" spans="1:3" x14ac:dyDescent="0.3">
      <c r="A258" t="s">
        <v>413</v>
      </c>
      <c r="B258">
        <v>23.41</v>
      </c>
      <c r="C258">
        <v>0</v>
      </c>
    </row>
    <row r="259" spans="1:3" x14ac:dyDescent="0.3">
      <c r="A259" t="s">
        <v>864</v>
      </c>
      <c r="B259">
        <v>23.42</v>
      </c>
      <c r="C259">
        <v>0</v>
      </c>
    </row>
    <row r="260" spans="1:3" x14ac:dyDescent="0.3">
      <c r="A260" t="s">
        <v>723</v>
      </c>
      <c r="B260">
        <v>23.44</v>
      </c>
      <c r="C260">
        <v>0</v>
      </c>
    </row>
    <row r="261" spans="1:3" x14ac:dyDescent="0.3">
      <c r="A261" t="s">
        <v>838</v>
      </c>
      <c r="B261">
        <v>23.47</v>
      </c>
      <c r="C261">
        <v>0</v>
      </c>
    </row>
    <row r="262" spans="1:3" x14ac:dyDescent="0.3">
      <c r="A262" t="s">
        <v>1094</v>
      </c>
      <c r="B262">
        <v>23.49</v>
      </c>
      <c r="C262">
        <v>0</v>
      </c>
    </row>
    <row r="263" spans="1:3" x14ac:dyDescent="0.3">
      <c r="A263" t="s">
        <v>945</v>
      </c>
      <c r="B263">
        <v>23.5</v>
      </c>
      <c r="C263">
        <v>0</v>
      </c>
    </row>
    <row r="264" spans="1:3" x14ac:dyDescent="0.3">
      <c r="A264" t="s">
        <v>971</v>
      </c>
      <c r="B264">
        <v>23.53</v>
      </c>
      <c r="C264">
        <v>0</v>
      </c>
    </row>
    <row r="265" spans="1:3" x14ac:dyDescent="0.3">
      <c r="A265" t="s">
        <v>981</v>
      </c>
      <c r="B265">
        <v>23.53</v>
      </c>
      <c r="C265">
        <v>0</v>
      </c>
    </row>
    <row r="266" spans="1:3" x14ac:dyDescent="0.3">
      <c r="A266" t="s">
        <v>329</v>
      </c>
      <c r="B266">
        <v>23.54</v>
      </c>
      <c r="C266">
        <v>0</v>
      </c>
    </row>
    <row r="267" spans="1:3" x14ac:dyDescent="0.3">
      <c r="A267" t="s">
        <v>311</v>
      </c>
      <c r="B267">
        <v>23.59</v>
      </c>
      <c r="C267">
        <v>0</v>
      </c>
    </row>
    <row r="268" spans="1:3" x14ac:dyDescent="0.3">
      <c r="A268" t="s">
        <v>836</v>
      </c>
      <c r="B268">
        <v>23.59</v>
      </c>
      <c r="C268">
        <v>0</v>
      </c>
    </row>
    <row r="269" spans="1:3" x14ac:dyDescent="0.3">
      <c r="A269" t="s">
        <v>1131</v>
      </c>
      <c r="B269">
        <v>23.61</v>
      </c>
      <c r="C269">
        <v>0</v>
      </c>
    </row>
    <row r="270" spans="1:3" x14ac:dyDescent="0.3">
      <c r="A270" t="s">
        <v>167</v>
      </c>
      <c r="B270">
        <v>23.65</v>
      </c>
      <c r="C270">
        <v>0</v>
      </c>
    </row>
    <row r="271" spans="1:3" x14ac:dyDescent="0.3">
      <c r="A271" t="s">
        <v>847</v>
      </c>
      <c r="B271">
        <v>23.65</v>
      </c>
      <c r="C271">
        <v>0</v>
      </c>
    </row>
    <row r="272" spans="1:3" x14ac:dyDescent="0.3">
      <c r="A272" t="s">
        <v>263</v>
      </c>
      <c r="B272">
        <v>23.67</v>
      </c>
      <c r="C272">
        <v>0</v>
      </c>
    </row>
    <row r="273" spans="1:3" x14ac:dyDescent="0.3">
      <c r="A273" t="s">
        <v>683</v>
      </c>
      <c r="B273">
        <v>23.68</v>
      </c>
      <c r="C273">
        <v>0</v>
      </c>
    </row>
    <row r="274" spans="1:3" x14ac:dyDescent="0.3">
      <c r="A274" t="s">
        <v>849</v>
      </c>
      <c r="B274">
        <v>23.69</v>
      </c>
      <c r="C274">
        <v>0</v>
      </c>
    </row>
    <row r="275" spans="1:3" x14ac:dyDescent="0.3">
      <c r="A275" t="s">
        <v>234</v>
      </c>
      <c r="B275">
        <v>23.7</v>
      </c>
      <c r="C275">
        <v>0</v>
      </c>
    </row>
    <row r="276" spans="1:3" x14ac:dyDescent="0.3">
      <c r="A276" t="s">
        <v>397</v>
      </c>
      <c r="B276">
        <v>23.7</v>
      </c>
      <c r="C276">
        <v>0</v>
      </c>
    </row>
    <row r="277" spans="1:3" x14ac:dyDescent="0.3">
      <c r="A277" t="s">
        <v>659</v>
      </c>
      <c r="B277">
        <v>23.78</v>
      </c>
      <c r="C277">
        <v>0</v>
      </c>
    </row>
    <row r="278" spans="1:3" x14ac:dyDescent="0.3">
      <c r="A278" t="s">
        <v>702</v>
      </c>
      <c r="B278">
        <v>23.79</v>
      </c>
      <c r="C278">
        <v>0</v>
      </c>
    </row>
    <row r="279" spans="1:3" x14ac:dyDescent="0.3">
      <c r="A279" t="s">
        <v>470</v>
      </c>
      <c r="B279">
        <v>23.8</v>
      </c>
      <c r="C279">
        <v>0</v>
      </c>
    </row>
    <row r="280" spans="1:3" x14ac:dyDescent="0.3">
      <c r="A280" t="s">
        <v>789</v>
      </c>
      <c r="B280">
        <v>23.8</v>
      </c>
      <c r="C280">
        <v>0</v>
      </c>
    </row>
    <row r="281" spans="1:3" x14ac:dyDescent="0.3">
      <c r="A281" t="s">
        <v>462</v>
      </c>
      <c r="B281">
        <v>23.81</v>
      </c>
      <c r="C281">
        <v>0</v>
      </c>
    </row>
    <row r="282" spans="1:3" x14ac:dyDescent="0.3">
      <c r="A282" t="s">
        <v>1004</v>
      </c>
      <c r="B282">
        <v>23.81</v>
      </c>
      <c r="C282">
        <v>0</v>
      </c>
    </row>
    <row r="283" spans="1:3" x14ac:dyDescent="0.3">
      <c r="A283" t="s">
        <v>876</v>
      </c>
      <c r="B283">
        <v>23.86</v>
      </c>
      <c r="C283">
        <v>0</v>
      </c>
    </row>
    <row r="284" spans="1:3" x14ac:dyDescent="0.3">
      <c r="A284" t="s">
        <v>1016</v>
      </c>
      <c r="B284">
        <v>23.86</v>
      </c>
      <c r="C284">
        <v>0</v>
      </c>
    </row>
    <row r="285" spans="1:3" x14ac:dyDescent="0.3">
      <c r="A285" t="s">
        <v>365</v>
      </c>
      <c r="B285">
        <v>23.87</v>
      </c>
      <c r="C285">
        <v>0</v>
      </c>
    </row>
    <row r="286" spans="1:3" x14ac:dyDescent="0.3">
      <c r="A286" t="s">
        <v>1083</v>
      </c>
      <c r="B286">
        <v>23.87</v>
      </c>
      <c r="C286">
        <v>0</v>
      </c>
    </row>
    <row r="287" spans="1:3" x14ac:dyDescent="0.3">
      <c r="A287" t="s">
        <v>805</v>
      </c>
      <c r="B287">
        <v>23.88</v>
      </c>
      <c r="C287">
        <v>0</v>
      </c>
    </row>
    <row r="288" spans="1:3" x14ac:dyDescent="0.3">
      <c r="A288" t="s">
        <v>968</v>
      </c>
      <c r="B288">
        <v>23.88</v>
      </c>
      <c r="C288">
        <v>0</v>
      </c>
    </row>
    <row r="289" spans="1:3" x14ac:dyDescent="0.3">
      <c r="A289" t="s">
        <v>573</v>
      </c>
      <c r="B289">
        <v>23.92</v>
      </c>
      <c r="C289">
        <v>0</v>
      </c>
    </row>
    <row r="290" spans="1:3" x14ac:dyDescent="0.3">
      <c r="A290" t="s">
        <v>1021</v>
      </c>
      <c r="B290">
        <v>23.92</v>
      </c>
      <c r="C290">
        <v>0</v>
      </c>
    </row>
    <row r="291" spans="1:3" x14ac:dyDescent="0.3">
      <c r="A291" t="s">
        <v>540</v>
      </c>
      <c r="B291">
        <v>23.93</v>
      </c>
      <c r="C291">
        <v>0</v>
      </c>
    </row>
    <row r="292" spans="1:3" x14ac:dyDescent="0.3">
      <c r="A292" t="s">
        <v>910</v>
      </c>
      <c r="B292">
        <v>23.93</v>
      </c>
      <c r="C292">
        <v>0</v>
      </c>
    </row>
    <row r="293" spans="1:3" x14ac:dyDescent="0.3">
      <c r="A293" t="s">
        <v>952</v>
      </c>
      <c r="B293">
        <v>23.94</v>
      </c>
      <c r="C293">
        <v>0</v>
      </c>
    </row>
    <row r="294" spans="1:3" x14ac:dyDescent="0.3">
      <c r="A294" t="s">
        <v>1050</v>
      </c>
      <c r="B294">
        <v>23.96</v>
      </c>
      <c r="C294">
        <v>0</v>
      </c>
    </row>
    <row r="295" spans="1:3" x14ac:dyDescent="0.3">
      <c r="A295" t="s">
        <v>1105</v>
      </c>
      <c r="B295">
        <v>23.97</v>
      </c>
      <c r="C295">
        <v>0</v>
      </c>
    </row>
    <row r="296" spans="1:3" x14ac:dyDescent="0.3">
      <c r="A296" t="s">
        <v>571</v>
      </c>
      <c r="B296">
        <v>23.99</v>
      </c>
      <c r="C296">
        <v>0</v>
      </c>
    </row>
    <row r="297" spans="1:3" x14ac:dyDescent="0.3">
      <c r="A297" t="s">
        <v>1002</v>
      </c>
      <c r="B297">
        <v>24.02</v>
      </c>
      <c r="C297">
        <v>0</v>
      </c>
    </row>
    <row r="298" spans="1:3" x14ac:dyDescent="0.3">
      <c r="A298" t="s">
        <v>514</v>
      </c>
      <c r="B298">
        <v>24.04</v>
      </c>
      <c r="C298">
        <v>0</v>
      </c>
    </row>
    <row r="299" spans="1:3" x14ac:dyDescent="0.3">
      <c r="A299" t="s">
        <v>621</v>
      </c>
      <c r="B299">
        <v>24.04</v>
      </c>
      <c r="C299">
        <v>0</v>
      </c>
    </row>
    <row r="300" spans="1:3" x14ac:dyDescent="0.3">
      <c r="A300" t="s">
        <v>537</v>
      </c>
      <c r="B300">
        <v>24.05</v>
      </c>
      <c r="C300">
        <v>0</v>
      </c>
    </row>
    <row r="301" spans="1:3" x14ac:dyDescent="0.3">
      <c r="A301" t="s">
        <v>393</v>
      </c>
      <c r="B301">
        <v>24.09</v>
      </c>
      <c r="C301">
        <v>0</v>
      </c>
    </row>
    <row r="302" spans="1:3" x14ac:dyDescent="0.3">
      <c r="A302" t="s">
        <v>1044</v>
      </c>
      <c r="B302">
        <v>24.09</v>
      </c>
      <c r="C302">
        <v>0</v>
      </c>
    </row>
    <row r="303" spans="1:3" x14ac:dyDescent="0.3">
      <c r="A303" t="s">
        <v>549</v>
      </c>
      <c r="B303">
        <v>24.1</v>
      </c>
      <c r="C303">
        <v>0</v>
      </c>
    </row>
    <row r="304" spans="1:3" x14ac:dyDescent="0.3">
      <c r="A304" t="s">
        <v>180</v>
      </c>
      <c r="B304">
        <v>24.12</v>
      </c>
      <c r="C304">
        <v>0</v>
      </c>
    </row>
    <row r="305" spans="1:3" x14ac:dyDescent="0.3">
      <c r="A305" t="s">
        <v>480</v>
      </c>
      <c r="B305">
        <v>24.12</v>
      </c>
      <c r="C305">
        <v>0</v>
      </c>
    </row>
    <row r="306" spans="1:3" x14ac:dyDescent="0.3">
      <c r="A306" t="s">
        <v>516</v>
      </c>
      <c r="B306">
        <v>24.12</v>
      </c>
      <c r="C306">
        <v>0</v>
      </c>
    </row>
    <row r="307" spans="1:3" x14ac:dyDescent="0.3">
      <c r="A307" t="s">
        <v>576</v>
      </c>
      <c r="B307">
        <v>24.14</v>
      </c>
      <c r="C307">
        <v>0</v>
      </c>
    </row>
    <row r="308" spans="1:3" x14ac:dyDescent="0.3">
      <c r="A308" t="s">
        <v>222</v>
      </c>
      <c r="B308">
        <v>24.17</v>
      </c>
      <c r="C308">
        <v>0</v>
      </c>
    </row>
    <row r="309" spans="1:3" x14ac:dyDescent="0.3">
      <c r="A309" t="s">
        <v>770</v>
      </c>
      <c r="B309">
        <v>24.19</v>
      </c>
      <c r="C309">
        <v>0</v>
      </c>
    </row>
    <row r="310" spans="1:3" x14ac:dyDescent="0.3">
      <c r="A310" t="s">
        <v>1124</v>
      </c>
      <c r="B310">
        <v>24.19</v>
      </c>
      <c r="C310">
        <v>0</v>
      </c>
    </row>
    <row r="311" spans="1:3" x14ac:dyDescent="0.3">
      <c r="A311" t="s">
        <v>466</v>
      </c>
      <c r="B311">
        <v>24.23</v>
      </c>
      <c r="C311">
        <v>0</v>
      </c>
    </row>
    <row r="312" spans="1:3" x14ac:dyDescent="0.3">
      <c r="A312" t="s">
        <v>173</v>
      </c>
      <c r="B312">
        <v>24.25</v>
      </c>
      <c r="C312">
        <v>0</v>
      </c>
    </row>
    <row r="313" spans="1:3" x14ac:dyDescent="0.3">
      <c r="A313" t="s">
        <v>713</v>
      </c>
      <c r="B313">
        <v>24.29</v>
      </c>
      <c r="C313">
        <v>0</v>
      </c>
    </row>
    <row r="314" spans="1:3" x14ac:dyDescent="0.3">
      <c r="A314" t="s">
        <v>671</v>
      </c>
      <c r="B314">
        <v>24.31</v>
      </c>
      <c r="C314">
        <v>0</v>
      </c>
    </row>
    <row r="315" spans="1:3" x14ac:dyDescent="0.3">
      <c r="A315" t="s">
        <v>1087</v>
      </c>
      <c r="B315">
        <v>24.31</v>
      </c>
      <c r="C315">
        <v>0</v>
      </c>
    </row>
    <row r="316" spans="1:3" x14ac:dyDescent="0.3">
      <c r="A316" t="s">
        <v>124</v>
      </c>
      <c r="B316">
        <v>24.33</v>
      </c>
      <c r="C316">
        <v>0</v>
      </c>
    </row>
    <row r="317" spans="1:3" x14ac:dyDescent="0.3">
      <c r="A317" t="s">
        <v>510</v>
      </c>
      <c r="B317">
        <v>24.33</v>
      </c>
      <c r="C317">
        <v>0</v>
      </c>
    </row>
    <row r="318" spans="1:3" x14ac:dyDescent="0.3">
      <c r="A318" t="s">
        <v>106</v>
      </c>
      <c r="B318">
        <v>24.34</v>
      </c>
      <c r="C318">
        <v>0</v>
      </c>
    </row>
    <row r="319" spans="1:3" x14ac:dyDescent="0.3">
      <c r="A319" t="s">
        <v>450</v>
      </c>
      <c r="B319">
        <v>24.36</v>
      </c>
      <c r="C319">
        <v>0</v>
      </c>
    </row>
    <row r="320" spans="1:3" x14ac:dyDescent="0.3">
      <c r="A320" t="s">
        <v>995</v>
      </c>
      <c r="B320">
        <v>24.36</v>
      </c>
      <c r="C320">
        <v>0</v>
      </c>
    </row>
    <row r="321" spans="1:3" x14ac:dyDescent="0.3">
      <c r="A321" t="s">
        <v>895</v>
      </c>
      <c r="B321">
        <v>24.37</v>
      </c>
      <c r="C321">
        <v>0</v>
      </c>
    </row>
    <row r="322" spans="1:3" x14ac:dyDescent="0.3">
      <c r="A322" t="s">
        <v>1009</v>
      </c>
      <c r="B322">
        <v>24.37</v>
      </c>
      <c r="C322">
        <v>0</v>
      </c>
    </row>
    <row r="323" spans="1:3" x14ac:dyDescent="0.3">
      <c r="A323" t="s">
        <v>1110</v>
      </c>
      <c r="B323">
        <v>24.37</v>
      </c>
      <c r="C323">
        <v>0</v>
      </c>
    </row>
    <row r="324" spans="1:3" x14ac:dyDescent="0.3">
      <c r="A324" t="s">
        <v>502</v>
      </c>
      <c r="B324">
        <v>24.38</v>
      </c>
      <c r="C324">
        <v>0</v>
      </c>
    </row>
    <row r="325" spans="1:3" x14ac:dyDescent="0.3">
      <c r="A325" t="s">
        <v>1018</v>
      </c>
      <c r="B325">
        <v>24.38</v>
      </c>
      <c r="C325">
        <v>0</v>
      </c>
    </row>
    <row r="326" spans="1:3" x14ac:dyDescent="0.3">
      <c r="A326" t="s">
        <v>497</v>
      </c>
      <c r="B326">
        <v>24.43</v>
      </c>
      <c r="C326">
        <v>0</v>
      </c>
    </row>
    <row r="327" spans="1:3" x14ac:dyDescent="0.3">
      <c r="A327" t="s">
        <v>930</v>
      </c>
      <c r="B327">
        <v>24.45</v>
      </c>
      <c r="C327">
        <v>0</v>
      </c>
    </row>
    <row r="328" spans="1:3" x14ac:dyDescent="0.3">
      <c r="A328" t="s">
        <v>539</v>
      </c>
      <c r="B328">
        <v>24.47</v>
      </c>
      <c r="C328">
        <v>0</v>
      </c>
    </row>
    <row r="329" spans="1:3" x14ac:dyDescent="0.3">
      <c r="A329" t="s">
        <v>76</v>
      </c>
      <c r="B329">
        <v>24.49</v>
      </c>
      <c r="C329">
        <v>0</v>
      </c>
    </row>
    <row r="330" spans="1:3" x14ac:dyDescent="0.3">
      <c r="A330" t="s">
        <v>560</v>
      </c>
      <c r="B330">
        <v>24.49</v>
      </c>
      <c r="C330">
        <v>0</v>
      </c>
    </row>
    <row r="331" spans="1:3" x14ac:dyDescent="0.3">
      <c r="A331" t="s">
        <v>247</v>
      </c>
      <c r="B331">
        <v>24.5</v>
      </c>
      <c r="C331">
        <v>0</v>
      </c>
    </row>
    <row r="332" spans="1:3" x14ac:dyDescent="0.3">
      <c r="A332" t="s">
        <v>806</v>
      </c>
      <c r="B332">
        <v>24.55</v>
      </c>
      <c r="C332">
        <v>0</v>
      </c>
    </row>
    <row r="333" spans="1:3" x14ac:dyDescent="0.3">
      <c r="A333" t="s">
        <v>287</v>
      </c>
      <c r="B333">
        <v>24.66</v>
      </c>
      <c r="C333">
        <v>0</v>
      </c>
    </row>
    <row r="334" spans="1:3" x14ac:dyDescent="0.3">
      <c r="A334" t="s">
        <v>1015</v>
      </c>
      <c r="B334">
        <v>24.68</v>
      </c>
      <c r="C334">
        <v>0</v>
      </c>
    </row>
    <row r="335" spans="1:3" x14ac:dyDescent="0.3">
      <c r="A335" t="s">
        <v>823</v>
      </c>
      <c r="B335">
        <v>24.7</v>
      </c>
      <c r="C335">
        <v>0</v>
      </c>
    </row>
    <row r="336" spans="1:3" x14ac:dyDescent="0.3">
      <c r="A336" t="s">
        <v>830</v>
      </c>
      <c r="B336">
        <v>24.7</v>
      </c>
      <c r="C336">
        <v>0</v>
      </c>
    </row>
    <row r="337" spans="1:3" x14ac:dyDescent="0.3">
      <c r="A337" t="s">
        <v>299</v>
      </c>
      <c r="B337">
        <v>24.76</v>
      </c>
      <c r="C337">
        <v>0</v>
      </c>
    </row>
    <row r="338" spans="1:3" x14ac:dyDescent="0.3">
      <c r="A338" t="s">
        <v>680</v>
      </c>
      <c r="B338">
        <v>24.76</v>
      </c>
      <c r="C338">
        <v>0</v>
      </c>
    </row>
    <row r="339" spans="1:3" x14ac:dyDescent="0.3">
      <c r="A339" t="s">
        <v>281</v>
      </c>
      <c r="B339">
        <v>24.77</v>
      </c>
      <c r="C339">
        <v>0</v>
      </c>
    </row>
    <row r="340" spans="1:3" x14ac:dyDescent="0.3">
      <c r="A340" t="s">
        <v>928</v>
      </c>
      <c r="B340">
        <v>24.82</v>
      </c>
      <c r="C340">
        <v>0</v>
      </c>
    </row>
    <row r="341" spans="1:3" x14ac:dyDescent="0.3">
      <c r="A341" t="s">
        <v>177</v>
      </c>
      <c r="B341">
        <v>24.85</v>
      </c>
      <c r="C341">
        <v>0</v>
      </c>
    </row>
    <row r="342" spans="1:3" x14ac:dyDescent="0.3">
      <c r="A342" t="s">
        <v>313</v>
      </c>
      <c r="B342">
        <v>24.85</v>
      </c>
      <c r="C342">
        <v>0</v>
      </c>
    </row>
    <row r="343" spans="1:3" x14ac:dyDescent="0.3">
      <c r="A343" t="s">
        <v>933</v>
      </c>
      <c r="B343">
        <v>24.86</v>
      </c>
      <c r="C343">
        <v>0</v>
      </c>
    </row>
    <row r="344" spans="1:3" x14ac:dyDescent="0.3">
      <c r="A344" t="s">
        <v>811</v>
      </c>
      <c r="B344">
        <v>24.87</v>
      </c>
      <c r="C344">
        <v>0</v>
      </c>
    </row>
    <row r="345" spans="1:3" x14ac:dyDescent="0.3">
      <c r="A345" t="s">
        <v>1035</v>
      </c>
      <c r="B345">
        <v>24.89</v>
      </c>
      <c r="C345">
        <v>0</v>
      </c>
    </row>
    <row r="346" spans="1:3" x14ac:dyDescent="0.3">
      <c r="A346" t="s">
        <v>562</v>
      </c>
      <c r="B346">
        <v>24.92</v>
      </c>
      <c r="C346">
        <v>0</v>
      </c>
    </row>
    <row r="347" spans="1:3" x14ac:dyDescent="0.3">
      <c r="A347" t="s">
        <v>258</v>
      </c>
      <c r="B347">
        <v>24.97</v>
      </c>
      <c r="C347">
        <v>0</v>
      </c>
    </row>
    <row r="348" spans="1:3" x14ac:dyDescent="0.3">
      <c r="A348" t="s">
        <v>794</v>
      </c>
      <c r="B348">
        <v>24.98</v>
      </c>
      <c r="C348">
        <v>0</v>
      </c>
    </row>
    <row r="349" spans="1:3" x14ac:dyDescent="0.3">
      <c r="A349" t="s">
        <v>859</v>
      </c>
      <c r="B349">
        <v>24.98</v>
      </c>
      <c r="C349">
        <v>0</v>
      </c>
    </row>
    <row r="350" spans="1:3" x14ac:dyDescent="0.3">
      <c r="A350" t="s">
        <v>204</v>
      </c>
      <c r="B350">
        <v>24.99</v>
      </c>
      <c r="C350">
        <v>0</v>
      </c>
    </row>
    <row r="351" spans="1:3" x14ac:dyDescent="0.3">
      <c r="A351" t="s">
        <v>487</v>
      </c>
      <c r="B351">
        <v>25</v>
      </c>
      <c r="C351">
        <v>0</v>
      </c>
    </row>
    <row r="352" spans="1:3" x14ac:dyDescent="0.3">
      <c r="A352" t="s">
        <v>1034</v>
      </c>
      <c r="B352">
        <v>25.01</v>
      </c>
      <c r="C352">
        <v>0</v>
      </c>
    </row>
    <row r="353" spans="1:3" x14ac:dyDescent="0.3">
      <c r="A353" t="s">
        <v>183</v>
      </c>
      <c r="B353">
        <v>25.02</v>
      </c>
      <c r="C353">
        <v>0</v>
      </c>
    </row>
    <row r="354" spans="1:3" x14ac:dyDescent="0.3">
      <c r="A354" t="s">
        <v>658</v>
      </c>
      <c r="B354">
        <v>25.02</v>
      </c>
      <c r="C354">
        <v>0</v>
      </c>
    </row>
    <row r="355" spans="1:3" x14ac:dyDescent="0.3">
      <c r="A355" t="s">
        <v>566</v>
      </c>
      <c r="B355">
        <v>25.03</v>
      </c>
      <c r="C355">
        <v>0</v>
      </c>
    </row>
    <row r="356" spans="1:3" x14ac:dyDescent="0.3">
      <c r="A356" t="s">
        <v>874</v>
      </c>
      <c r="B356">
        <v>25.03</v>
      </c>
      <c r="C356">
        <v>0</v>
      </c>
    </row>
    <row r="357" spans="1:3" x14ac:dyDescent="0.3">
      <c r="A357" t="s">
        <v>1045</v>
      </c>
      <c r="B357">
        <v>25.04</v>
      </c>
      <c r="C357">
        <v>0</v>
      </c>
    </row>
    <row r="358" spans="1:3" x14ac:dyDescent="0.3">
      <c r="A358" t="s">
        <v>95</v>
      </c>
      <c r="B358">
        <v>25.07</v>
      </c>
      <c r="C358">
        <v>0</v>
      </c>
    </row>
    <row r="359" spans="1:3" x14ac:dyDescent="0.3">
      <c r="A359" t="s">
        <v>580</v>
      </c>
      <c r="B359">
        <v>25.07</v>
      </c>
      <c r="C359">
        <v>0</v>
      </c>
    </row>
    <row r="360" spans="1:3" x14ac:dyDescent="0.3">
      <c r="A360" t="s">
        <v>632</v>
      </c>
      <c r="B360">
        <v>25.07</v>
      </c>
      <c r="C360">
        <v>0</v>
      </c>
    </row>
    <row r="361" spans="1:3" x14ac:dyDescent="0.3">
      <c r="A361" t="s">
        <v>1107</v>
      </c>
      <c r="B361">
        <v>25.08</v>
      </c>
      <c r="C361">
        <v>0</v>
      </c>
    </row>
    <row r="362" spans="1:3" x14ac:dyDescent="0.3">
      <c r="A362" t="s">
        <v>857</v>
      </c>
      <c r="B362">
        <v>25.1</v>
      </c>
      <c r="C362">
        <v>0</v>
      </c>
    </row>
    <row r="363" spans="1:3" x14ac:dyDescent="0.3">
      <c r="A363" t="s">
        <v>921</v>
      </c>
      <c r="B363">
        <v>25.1</v>
      </c>
      <c r="C363">
        <v>0</v>
      </c>
    </row>
    <row r="364" spans="1:3" x14ac:dyDescent="0.3">
      <c r="A364" t="s">
        <v>464</v>
      </c>
      <c r="B364">
        <v>25.11</v>
      </c>
      <c r="C364">
        <v>0</v>
      </c>
    </row>
    <row r="365" spans="1:3" x14ac:dyDescent="0.3">
      <c r="A365" t="s">
        <v>622</v>
      </c>
      <c r="B365">
        <v>25.12</v>
      </c>
      <c r="C365">
        <v>0</v>
      </c>
    </row>
    <row r="366" spans="1:3" x14ac:dyDescent="0.3">
      <c r="A366" t="s">
        <v>67</v>
      </c>
      <c r="B366">
        <v>25.15</v>
      </c>
      <c r="C366">
        <v>0</v>
      </c>
    </row>
    <row r="367" spans="1:3" x14ac:dyDescent="0.3">
      <c r="A367" t="s">
        <v>1081</v>
      </c>
      <c r="B367">
        <v>25.15</v>
      </c>
      <c r="C367">
        <v>0</v>
      </c>
    </row>
    <row r="368" spans="1:3" x14ac:dyDescent="0.3">
      <c r="A368" t="s">
        <v>654</v>
      </c>
      <c r="B368">
        <v>25.16</v>
      </c>
      <c r="C368">
        <v>0</v>
      </c>
    </row>
    <row r="369" spans="1:3" x14ac:dyDescent="0.3">
      <c r="A369" t="s">
        <v>954</v>
      </c>
      <c r="B369">
        <v>25.16</v>
      </c>
      <c r="C369">
        <v>0</v>
      </c>
    </row>
    <row r="370" spans="1:3" x14ac:dyDescent="0.3">
      <c r="A370" t="s">
        <v>36</v>
      </c>
      <c r="B370">
        <v>25.17</v>
      </c>
      <c r="C370">
        <v>0</v>
      </c>
    </row>
    <row r="371" spans="1:3" x14ac:dyDescent="0.3">
      <c r="A371" t="s">
        <v>941</v>
      </c>
      <c r="B371">
        <v>25.17</v>
      </c>
      <c r="C371">
        <v>0</v>
      </c>
    </row>
    <row r="372" spans="1:3" x14ac:dyDescent="0.3">
      <c r="A372" t="s">
        <v>138</v>
      </c>
      <c r="B372">
        <v>25.18</v>
      </c>
      <c r="C372">
        <v>0</v>
      </c>
    </row>
    <row r="373" spans="1:3" x14ac:dyDescent="0.3">
      <c r="A373" t="s">
        <v>75</v>
      </c>
      <c r="B373">
        <v>25.19</v>
      </c>
      <c r="C373">
        <v>0</v>
      </c>
    </row>
    <row r="374" spans="1:3" x14ac:dyDescent="0.3">
      <c r="A374" t="s">
        <v>468</v>
      </c>
      <c r="B374">
        <v>25.2</v>
      </c>
      <c r="C374">
        <v>0</v>
      </c>
    </row>
    <row r="375" spans="1:3" x14ac:dyDescent="0.3">
      <c r="A375" t="s">
        <v>1082</v>
      </c>
      <c r="B375">
        <v>25.2</v>
      </c>
      <c r="C375">
        <v>0</v>
      </c>
    </row>
    <row r="376" spans="1:3" x14ac:dyDescent="0.3">
      <c r="A376" t="s">
        <v>308</v>
      </c>
      <c r="B376">
        <v>25.22</v>
      </c>
      <c r="C376">
        <v>0</v>
      </c>
    </row>
    <row r="377" spans="1:3" x14ac:dyDescent="0.3">
      <c r="A377" t="s">
        <v>1060</v>
      </c>
      <c r="B377">
        <v>25.22</v>
      </c>
      <c r="C377">
        <v>0</v>
      </c>
    </row>
    <row r="378" spans="1:3" x14ac:dyDescent="0.3">
      <c r="A378" t="s">
        <v>999</v>
      </c>
      <c r="B378">
        <v>25.24</v>
      </c>
      <c r="C378">
        <v>0</v>
      </c>
    </row>
    <row r="379" spans="1:3" x14ac:dyDescent="0.3">
      <c r="A379" t="s">
        <v>932</v>
      </c>
      <c r="B379">
        <v>25.27</v>
      </c>
      <c r="C379">
        <v>0</v>
      </c>
    </row>
    <row r="380" spans="1:3" x14ac:dyDescent="0.3">
      <c r="A380" t="s">
        <v>779</v>
      </c>
      <c r="B380">
        <v>25.28</v>
      </c>
      <c r="C380">
        <v>0</v>
      </c>
    </row>
    <row r="381" spans="1:3" x14ac:dyDescent="0.3">
      <c r="A381" t="s">
        <v>244</v>
      </c>
      <c r="B381">
        <v>25.29</v>
      </c>
      <c r="C381">
        <v>0</v>
      </c>
    </row>
    <row r="382" spans="1:3" x14ac:dyDescent="0.3">
      <c r="A382" t="s">
        <v>362</v>
      </c>
      <c r="B382">
        <v>25.31</v>
      </c>
      <c r="C382">
        <v>0</v>
      </c>
    </row>
    <row r="383" spans="1:3" x14ac:dyDescent="0.3">
      <c r="A383" t="s">
        <v>331</v>
      </c>
      <c r="B383">
        <v>25.32</v>
      </c>
      <c r="C383">
        <v>0</v>
      </c>
    </row>
    <row r="384" spans="1:3" x14ac:dyDescent="0.3">
      <c r="A384" t="s">
        <v>475</v>
      </c>
      <c r="B384">
        <v>25.34</v>
      </c>
      <c r="C384">
        <v>0</v>
      </c>
    </row>
    <row r="385" spans="1:3" x14ac:dyDescent="0.3">
      <c r="A385" t="s">
        <v>649</v>
      </c>
      <c r="B385">
        <v>25.34</v>
      </c>
      <c r="C385">
        <v>0</v>
      </c>
    </row>
    <row r="386" spans="1:3" x14ac:dyDescent="0.3">
      <c r="A386" t="s">
        <v>881</v>
      </c>
      <c r="B386">
        <v>25.35</v>
      </c>
      <c r="C386">
        <v>0</v>
      </c>
    </row>
    <row r="387" spans="1:3" x14ac:dyDescent="0.3">
      <c r="A387" t="s">
        <v>597</v>
      </c>
      <c r="B387">
        <v>25.36</v>
      </c>
      <c r="C387">
        <v>0</v>
      </c>
    </row>
    <row r="388" spans="1:3" x14ac:dyDescent="0.3">
      <c r="A388" t="s">
        <v>366</v>
      </c>
      <c r="B388">
        <v>25.38</v>
      </c>
      <c r="C388">
        <v>0</v>
      </c>
    </row>
    <row r="389" spans="1:3" x14ac:dyDescent="0.3">
      <c r="A389" t="s">
        <v>59</v>
      </c>
      <c r="B389">
        <v>25.39</v>
      </c>
      <c r="C389">
        <v>0</v>
      </c>
    </row>
    <row r="390" spans="1:3" x14ac:dyDescent="0.3">
      <c r="A390" t="s">
        <v>640</v>
      </c>
      <c r="B390">
        <v>25.41</v>
      </c>
      <c r="C390">
        <v>0</v>
      </c>
    </row>
    <row r="391" spans="1:3" x14ac:dyDescent="0.3">
      <c r="A391" t="s">
        <v>961</v>
      </c>
      <c r="B391">
        <v>25.42</v>
      </c>
      <c r="C391">
        <v>0</v>
      </c>
    </row>
    <row r="392" spans="1:3" x14ac:dyDescent="0.3">
      <c r="A392" t="s">
        <v>1025</v>
      </c>
      <c r="B392">
        <v>25.42</v>
      </c>
      <c r="C392">
        <v>0</v>
      </c>
    </row>
    <row r="393" spans="1:3" x14ac:dyDescent="0.3">
      <c r="A393" t="s">
        <v>724</v>
      </c>
      <c r="B393">
        <v>25.44</v>
      </c>
      <c r="C393">
        <v>0</v>
      </c>
    </row>
    <row r="394" spans="1:3" x14ac:dyDescent="0.3">
      <c r="A394" t="s">
        <v>435</v>
      </c>
      <c r="B394">
        <v>25.45</v>
      </c>
      <c r="C394">
        <v>0</v>
      </c>
    </row>
    <row r="395" spans="1:3" x14ac:dyDescent="0.3">
      <c r="A395" t="s">
        <v>625</v>
      </c>
      <c r="B395">
        <v>25.48</v>
      </c>
      <c r="C395">
        <v>0</v>
      </c>
    </row>
    <row r="396" spans="1:3" x14ac:dyDescent="0.3">
      <c r="A396" t="s">
        <v>533</v>
      </c>
      <c r="B396">
        <v>25.49</v>
      </c>
      <c r="C396">
        <v>0</v>
      </c>
    </row>
    <row r="397" spans="1:3" x14ac:dyDescent="0.3">
      <c r="A397" t="s">
        <v>617</v>
      </c>
      <c r="B397">
        <v>25.5</v>
      </c>
      <c r="C397">
        <v>0</v>
      </c>
    </row>
    <row r="398" spans="1:3" x14ac:dyDescent="0.3">
      <c r="A398" t="s">
        <v>1008</v>
      </c>
      <c r="B398">
        <v>25.5</v>
      </c>
      <c r="C398">
        <v>0</v>
      </c>
    </row>
    <row r="399" spans="1:3" x14ac:dyDescent="0.3">
      <c r="A399" t="s">
        <v>985</v>
      </c>
      <c r="B399">
        <v>25.51</v>
      </c>
      <c r="C399">
        <v>0</v>
      </c>
    </row>
    <row r="400" spans="1:3" x14ac:dyDescent="0.3">
      <c r="A400" t="s">
        <v>360</v>
      </c>
      <c r="B400">
        <v>25.52</v>
      </c>
      <c r="C400">
        <v>0</v>
      </c>
    </row>
    <row r="401" spans="1:3" x14ac:dyDescent="0.3">
      <c r="A401" t="s">
        <v>1064</v>
      </c>
      <c r="B401">
        <v>25.53</v>
      </c>
      <c r="C401">
        <v>0</v>
      </c>
    </row>
    <row r="402" spans="1:3" x14ac:dyDescent="0.3">
      <c r="A402" t="s">
        <v>660</v>
      </c>
      <c r="B402">
        <v>25.56</v>
      </c>
      <c r="C402">
        <v>0</v>
      </c>
    </row>
    <row r="403" spans="1:3" x14ac:dyDescent="0.3">
      <c r="A403" t="s">
        <v>153</v>
      </c>
      <c r="B403">
        <v>25.57</v>
      </c>
      <c r="C403">
        <v>0</v>
      </c>
    </row>
    <row r="404" spans="1:3" x14ac:dyDescent="0.3">
      <c r="A404" t="s">
        <v>545</v>
      </c>
      <c r="B404">
        <v>25.57</v>
      </c>
      <c r="C404">
        <v>0</v>
      </c>
    </row>
    <row r="405" spans="1:3" x14ac:dyDescent="0.3">
      <c r="A405" t="s">
        <v>335</v>
      </c>
      <c r="B405">
        <v>25.59</v>
      </c>
      <c r="C405">
        <v>0</v>
      </c>
    </row>
    <row r="406" spans="1:3" x14ac:dyDescent="0.3">
      <c r="A406" t="s">
        <v>1119</v>
      </c>
      <c r="B406">
        <v>25.59</v>
      </c>
      <c r="C406">
        <v>0</v>
      </c>
    </row>
    <row r="407" spans="1:3" x14ac:dyDescent="0.3">
      <c r="A407" t="s">
        <v>459</v>
      </c>
      <c r="B407">
        <v>25.64</v>
      </c>
      <c r="C407">
        <v>0</v>
      </c>
    </row>
    <row r="408" spans="1:3" x14ac:dyDescent="0.3">
      <c r="A408" t="s">
        <v>1135</v>
      </c>
      <c r="B408">
        <v>25.64</v>
      </c>
      <c r="C408">
        <v>0</v>
      </c>
    </row>
    <row r="409" spans="1:3" x14ac:dyDescent="0.3">
      <c r="A409" t="s">
        <v>371</v>
      </c>
      <c r="B409">
        <v>25.65</v>
      </c>
      <c r="C409">
        <v>0</v>
      </c>
    </row>
    <row r="410" spans="1:3" x14ac:dyDescent="0.3">
      <c r="A410" t="s">
        <v>353</v>
      </c>
      <c r="B410">
        <v>25.66</v>
      </c>
      <c r="C410">
        <v>0</v>
      </c>
    </row>
    <row r="411" spans="1:3" x14ac:dyDescent="0.3">
      <c r="A411" t="s">
        <v>201</v>
      </c>
      <c r="B411">
        <v>25.67</v>
      </c>
      <c r="C411">
        <v>0</v>
      </c>
    </row>
    <row r="412" spans="1:3" x14ac:dyDescent="0.3">
      <c r="A412" t="s">
        <v>542</v>
      </c>
      <c r="B412">
        <v>25.67</v>
      </c>
      <c r="C412">
        <v>0</v>
      </c>
    </row>
    <row r="413" spans="1:3" x14ac:dyDescent="0.3">
      <c r="A413" t="s">
        <v>777</v>
      </c>
      <c r="B413">
        <v>25.68</v>
      </c>
      <c r="C413">
        <v>0</v>
      </c>
    </row>
    <row r="414" spans="1:3" x14ac:dyDescent="0.3">
      <c r="A414" t="s">
        <v>21</v>
      </c>
      <c r="B414">
        <v>25.69</v>
      </c>
      <c r="C414">
        <v>0</v>
      </c>
    </row>
    <row r="415" spans="1:3" x14ac:dyDescent="0.3">
      <c r="A415" t="s">
        <v>583</v>
      </c>
      <c r="B415">
        <v>25.71</v>
      </c>
      <c r="C415">
        <v>0</v>
      </c>
    </row>
    <row r="416" spans="1:3" x14ac:dyDescent="0.3">
      <c r="A416" t="s">
        <v>91</v>
      </c>
      <c r="B416">
        <v>25.72</v>
      </c>
      <c r="C416">
        <v>0</v>
      </c>
    </row>
    <row r="417" spans="1:3" x14ac:dyDescent="0.3">
      <c r="A417" t="s">
        <v>1114</v>
      </c>
      <c r="B417">
        <v>25.72</v>
      </c>
      <c r="C417">
        <v>0</v>
      </c>
    </row>
    <row r="418" spans="1:3" x14ac:dyDescent="0.3">
      <c r="A418" t="s">
        <v>754</v>
      </c>
      <c r="B418">
        <v>25.74</v>
      </c>
      <c r="C418">
        <v>0</v>
      </c>
    </row>
    <row r="419" spans="1:3" x14ac:dyDescent="0.3">
      <c r="A419" t="s">
        <v>303</v>
      </c>
      <c r="B419">
        <v>25.75</v>
      </c>
      <c r="C419">
        <v>0</v>
      </c>
    </row>
    <row r="420" spans="1:3" x14ac:dyDescent="0.3">
      <c r="A420" t="s">
        <v>283</v>
      </c>
      <c r="B420">
        <v>25.76</v>
      </c>
      <c r="C420">
        <v>0</v>
      </c>
    </row>
    <row r="421" spans="1:3" x14ac:dyDescent="0.3">
      <c r="A421" t="s">
        <v>455</v>
      </c>
      <c r="B421">
        <v>25.77</v>
      </c>
      <c r="C421">
        <v>0</v>
      </c>
    </row>
    <row r="422" spans="1:3" x14ac:dyDescent="0.3">
      <c r="A422" t="s">
        <v>828</v>
      </c>
      <c r="B422">
        <v>25.79</v>
      </c>
      <c r="C422">
        <v>0</v>
      </c>
    </row>
    <row r="423" spans="1:3" x14ac:dyDescent="0.3">
      <c r="A423" t="s">
        <v>443</v>
      </c>
      <c r="B423">
        <v>25.82</v>
      </c>
      <c r="C423">
        <v>0</v>
      </c>
    </row>
    <row r="424" spans="1:3" x14ac:dyDescent="0.3">
      <c r="A424" t="s">
        <v>440</v>
      </c>
      <c r="B424">
        <v>25.86</v>
      </c>
      <c r="C424">
        <v>0</v>
      </c>
    </row>
    <row r="425" spans="1:3" x14ac:dyDescent="0.3">
      <c r="A425" t="s">
        <v>994</v>
      </c>
      <c r="B425">
        <v>25.89</v>
      </c>
      <c r="C425">
        <v>0</v>
      </c>
    </row>
    <row r="426" spans="1:3" x14ac:dyDescent="0.3">
      <c r="A426" t="s">
        <v>854</v>
      </c>
      <c r="B426">
        <v>25.9</v>
      </c>
      <c r="C426">
        <v>0</v>
      </c>
    </row>
    <row r="427" spans="1:3" x14ac:dyDescent="0.3">
      <c r="A427" t="s">
        <v>982</v>
      </c>
      <c r="B427">
        <v>25.92</v>
      </c>
      <c r="C427">
        <v>0</v>
      </c>
    </row>
    <row r="428" spans="1:3" x14ac:dyDescent="0.3">
      <c r="A428" t="s">
        <v>486</v>
      </c>
      <c r="B428">
        <v>25.96</v>
      </c>
      <c r="C428">
        <v>0</v>
      </c>
    </row>
    <row r="429" spans="1:3" x14ac:dyDescent="0.3">
      <c r="A429" t="s">
        <v>103</v>
      </c>
      <c r="B429">
        <v>25.98</v>
      </c>
      <c r="C429">
        <v>0</v>
      </c>
    </row>
    <row r="430" spans="1:3" x14ac:dyDescent="0.3">
      <c r="A430" t="s">
        <v>408</v>
      </c>
      <c r="B430">
        <v>25.98</v>
      </c>
      <c r="C430">
        <v>0</v>
      </c>
    </row>
    <row r="431" spans="1:3" x14ac:dyDescent="0.3">
      <c r="A431" t="s">
        <v>465</v>
      </c>
      <c r="B431">
        <v>25.98</v>
      </c>
      <c r="C431">
        <v>0</v>
      </c>
    </row>
    <row r="432" spans="1:3" x14ac:dyDescent="0.3">
      <c r="A432" t="s">
        <v>802</v>
      </c>
      <c r="B432">
        <v>26.01</v>
      </c>
      <c r="C432">
        <v>0</v>
      </c>
    </row>
    <row r="433" spans="1:3" x14ac:dyDescent="0.3">
      <c r="A433" t="s">
        <v>1006</v>
      </c>
      <c r="B433">
        <v>26.01</v>
      </c>
      <c r="C433">
        <v>0</v>
      </c>
    </row>
    <row r="434" spans="1:3" x14ac:dyDescent="0.3">
      <c r="A434" t="s">
        <v>1118</v>
      </c>
      <c r="B434">
        <v>26.02</v>
      </c>
      <c r="C434">
        <v>0</v>
      </c>
    </row>
    <row r="435" spans="1:3" x14ac:dyDescent="0.3">
      <c r="A435" t="s">
        <v>127</v>
      </c>
      <c r="B435">
        <v>26.03</v>
      </c>
      <c r="C435">
        <v>0</v>
      </c>
    </row>
    <row r="436" spans="1:3" x14ac:dyDescent="0.3">
      <c r="A436" t="s">
        <v>467</v>
      </c>
      <c r="B436">
        <v>26.05</v>
      </c>
      <c r="C436">
        <v>0</v>
      </c>
    </row>
    <row r="437" spans="1:3" x14ac:dyDescent="0.3">
      <c r="A437" t="s">
        <v>955</v>
      </c>
      <c r="B437">
        <v>26.06</v>
      </c>
      <c r="C437">
        <v>0</v>
      </c>
    </row>
    <row r="438" spans="1:3" x14ac:dyDescent="0.3">
      <c r="A438" t="s">
        <v>679</v>
      </c>
      <c r="B438">
        <v>26.07</v>
      </c>
      <c r="C438">
        <v>0</v>
      </c>
    </row>
    <row r="439" spans="1:3" x14ac:dyDescent="0.3">
      <c r="A439" t="s">
        <v>284</v>
      </c>
      <c r="B439">
        <v>26.08</v>
      </c>
      <c r="C439">
        <v>0</v>
      </c>
    </row>
    <row r="440" spans="1:3" x14ac:dyDescent="0.3">
      <c r="A440" t="s">
        <v>896</v>
      </c>
      <c r="B440">
        <v>26.08</v>
      </c>
      <c r="C440">
        <v>0</v>
      </c>
    </row>
    <row r="441" spans="1:3" x14ac:dyDescent="0.3">
      <c r="A441" t="s">
        <v>889</v>
      </c>
      <c r="B441">
        <v>26.1</v>
      </c>
      <c r="C441">
        <v>0</v>
      </c>
    </row>
    <row r="442" spans="1:3" x14ac:dyDescent="0.3">
      <c r="A442" t="s">
        <v>1033</v>
      </c>
      <c r="B442">
        <v>26.1</v>
      </c>
      <c r="C442">
        <v>0</v>
      </c>
    </row>
    <row r="443" spans="1:3" x14ac:dyDescent="0.3">
      <c r="A443" t="s">
        <v>575</v>
      </c>
      <c r="B443">
        <v>26.11</v>
      </c>
      <c r="C443">
        <v>0</v>
      </c>
    </row>
    <row r="444" spans="1:3" x14ac:dyDescent="0.3">
      <c r="A444" t="s">
        <v>904</v>
      </c>
      <c r="B444">
        <v>26.11</v>
      </c>
      <c r="C444">
        <v>0</v>
      </c>
    </row>
    <row r="445" spans="1:3" x14ac:dyDescent="0.3">
      <c r="A445" t="s">
        <v>629</v>
      </c>
      <c r="B445">
        <v>26.12</v>
      </c>
      <c r="C445">
        <v>0</v>
      </c>
    </row>
    <row r="446" spans="1:3" x14ac:dyDescent="0.3">
      <c r="A446" t="s">
        <v>54</v>
      </c>
      <c r="B446">
        <v>26.13</v>
      </c>
      <c r="C446">
        <v>0</v>
      </c>
    </row>
    <row r="447" spans="1:3" x14ac:dyDescent="0.3">
      <c r="A447" t="s">
        <v>278</v>
      </c>
      <c r="B447">
        <v>26.13</v>
      </c>
      <c r="C447">
        <v>0</v>
      </c>
    </row>
    <row r="448" spans="1:3" x14ac:dyDescent="0.3">
      <c r="A448" t="s">
        <v>809</v>
      </c>
      <c r="B448">
        <v>26.13</v>
      </c>
      <c r="C448">
        <v>0</v>
      </c>
    </row>
    <row r="449" spans="1:3" x14ac:dyDescent="0.3">
      <c r="A449" t="s">
        <v>973</v>
      </c>
      <c r="B449">
        <v>26.13</v>
      </c>
      <c r="C449">
        <v>0</v>
      </c>
    </row>
    <row r="450" spans="1:3" x14ac:dyDescent="0.3">
      <c r="A450" t="s">
        <v>163</v>
      </c>
      <c r="B450">
        <v>26.14</v>
      </c>
      <c r="C450">
        <v>0</v>
      </c>
    </row>
    <row r="451" spans="1:3" x14ac:dyDescent="0.3">
      <c r="A451" t="s">
        <v>652</v>
      </c>
      <c r="B451">
        <v>26.15</v>
      </c>
      <c r="C451">
        <v>0</v>
      </c>
    </row>
    <row r="452" spans="1:3" x14ac:dyDescent="0.3">
      <c r="A452" t="s">
        <v>227</v>
      </c>
      <c r="B452">
        <v>26.16</v>
      </c>
      <c r="C452">
        <v>0</v>
      </c>
    </row>
    <row r="453" spans="1:3" x14ac:dyDescent="0.3">
      <c r="A453" t="s">
        <v>675</v>
      </c>
      <c r="B453">
        <v>26.18</v>
      </c>
      <c r="C453">
        <v>0</v>
      </c>
    </row>
    <row r="454" spans="1:3" x14ac:dyDescent="0.3">
      <c r="A454" t="s">
        <v>818</v>
      </c>
      <c r="B454">
        <v>26.2</v>
      </c>
      <c r="C454">
        <v>0</v>
      </c>
    </row>
    <row r="455" spans="1:3" x14ac:dyDescent="0.3">
      <c r="A455" t="s">
        <v>636</v>
      </c>
      <c r="B455">
        <v>26.22</v>
      </c>
      <c r="C455">
        <v>0</v>
      </c>
    </row>
    <row r="456" spans="1:3" x14ac:dyDescent="0.3">
      <c r="A456" t="s">
        <v>689</v>
      </c>
      <c r="B456">
        <v>26.22</v>
      </c>
      <c r="C456">
        <v>0</v>
      </c>
    </row>
    <row r="457" spans="1:3" x14ac:dyDescent="0.3">
      <c r="A457" t="s">
        <v>635</v>
      </c>
      <c r="B457">
        <v>26.23</v>
      </c>
      <c r="C457">
        <v>0</v>
      </c>
    </row>
    <row r="458" spans="1:3" x14ac:dyDescent="0.3">
      <c r="A458" t="s">
        <v>996</v>
      </c>
      <c r="B458">
        <v>26.24</v>
      </c>
      <c r="C458">
        <v>0</v>
      </c>
    </row>
    <row r="459" spans="1:3" x14ac:dyDescent="0.3">
      <c r="A459" t="s">
        <v>260</v>
      </c>
      <c r="B459">
        <v>26.25</v>
      </c>
      <c r="C459">
        <v>0</v>
      </c>
    </row>
    <row r="460" spans="1:3" x14ac:dyDescent="0.3">
      <c r="A460" t="s">
        <v>686</v>
      </c>
      <c r="B460">
        <v>26.25</v>
      </c>
      <c r="C460">
        <v>0</v>
      </c>
    </row>
    <row r="461" spans="1:3" x14ac:dyDescent="0.3">
      <c r="A461" t="s">
        <v>894</v>
      </c>
      <c r="B461">
        <v>26.26</v>
      </c>
      <c r="C461">
        <v>0</v>
      </c>
    </row>
    <row r="462" spans="1:3" x14ac:dyDescent="0.3">
      <c r="A462" t="s">
        <v>383</v>
      </c>
      <c r="B462">
        <v>26.27</v>
      </c>
      <c r="C462">
        <v>0</v>
      </c>
    </row>
    <row r="463" spans="1:3" x14ac:dyDescent="0.3">
      <c r="A463" t="s">
        <v>589</v>
      </c>
      <c r="B463">
        <v>26.27</v>
      </c>
      <c r="C463">
        <v>0</v>
      </c>
    </row>
    <row r="464" spans="1:3" x14ac:dyDescent="0.3">
      <c r="A464" t="s">
        <v>709</v>
      </c>
      <c r="B464">
        <v>26.29</v>
      </c>
      <c r="C464">
        <v>0</v>
      </c>
    </row>
    <row r="465" spans="1:3" x14ac:dyDescent="0.3">
      <c r="A465" t="s">
        <v>780</v>
      </c>
      <c r="B465">
        <v>26.31</v>
      </c>
      <c r="C465">
        <v>0</v>
      </c>
    </row>
    <row r="466" spans="1:3" x14ac:dyDescent="0.3">
      <c r="A466" t="s">
        <v>906</v>
      </c>
      <c r="B466">
        <v>26.32</v>
      </c>
      <c r="C466">
        <v>0</v>
      </c>
    </row>
    <row r="467" spans="1:3" x14ac:dyDescent="0.3">
      <c r="A467" t="s">
        <v>1013</v>
      </c>
      <c r="B467">
        <v>26.33</v>
      </c>
      <c r="C467">
        <v>0</v>
      </c>
    </row>
    <row r="468" spans="1:3" x14ac:dyDescent="0.3">
      <c r="A468" t="s">
        <v>1049</v>
      </c>
      <c r="B468">
        <v>26.33</v>
      </c>
      <c r="C468">
        <v>0</v>
      </c>
    </row>
    <row r="469" spans="1:3" x14ac:dyDescent="0.3">
      <c r="A469" t="s">
        <v>877</v>
      </c>
      <c r="B469">
        <v>26.34</v>
      </c>
      <c r="C469">
        <v>0</v>
      </c>
    </row>
    <row r="470" spans="1:3" x14ac:dyDescent="0.3">
      <c r="A470" t="s">
        <v>1100</v>
      </c>
      <c r="B470">
        <v>26.35</v>
      </c>
      <c r="C470">
        <v>0</v>
      </c>
    </row>
    <row r="471" spans="1:3" x14ac:dyDescent="0.3">
      <c r="A471" t="s">
        <v>518</v>
      </c>
      <c r="B471">
        <v>26.36</v>
      </c>
      <c r="C471">
        <v>0</v>
      </c>
    </row>
    <row r="472" spans="1:3" x14ac:dyDescent="0.3">
      <c r="A472" t="s">
        <v>1088</v>
      </c>
      <c r="B472">
        <v>26.38</v>
      </c>
      <c r="C472">
        <v>0</v>
      </c>
    </row>
    <row r="473" spans="1:3" x14ac:dyDescent="0.3">
      <c r="A473" t="s">
        <v>1001</v>
      </c>
      <c r="B473">
        <v>26.39</v>
      </c>
      <c r="C473">
        <v>0</v>
      </c>
    </row>
    <row r="474" spans="1:3" x14ac:dyDescent="0.3">
      <c r="A474" t="s">
        <v>62</v>
      </c>
      <c r="B474">
        <v>26.4</v>
      </c>
      <c r="C474">
        <v>0</v>
      </c>
    </row>
    <row r="475" spans="1:3" x14ac:dyDescent="0.3">
      <c r="A475" t="s">
        <v>520</v>
      </c>
      <c r="B475">
        <v>26.4</v>
      </c>
      <c r="C475">
        <v>0</v>
      </c>
    </row>
    <row r="476" spans="1:3" x14ac:dyDescent="0.3">
      <c r="A476" t="s">
        <v>149</v>
      </c>
      <c r="B476">
        <v>26.41</v>
      </c>
      <c r="C476">
        <v>0</v>
      </c>
    </row>
    <row r="477" spans="1:3" x14ac:dyDescent="0.3">
      <c r="A477" t="s">
        <v>543</v>
      </c>
      <c r="B477">
        <v>26.42</v>
      </c>
      <c r="C477">
        <v>0</v>
      </c>
    </row>
    <row r="478" spans="1:3" x14ac:dyDescent="0.3">
      <c r="A478" t="s">
        <v>1032</v>
      </c>
      <c r="B478">
        <v>26.42</v>
      </c>
      <c r="C478">
        <v>0</v>
      </c>
    </row>
    <row r="479" spans="1:3" x14ac:dyDescent="0.3">
      <c r="A479" t="s">
        <v>960</v>
      </c>
      <c r="B479">
        <v>26.48</v>
      </c>
      <c r="C479">
        <v>0</v>
      </c>
    </row>
    <row r="480" spans="1:3" x14ac:dyDescent="0.3">
      <c r="A480" t="s">
        <v>1054</v>
      </c>
      <c r="B480">
        <v>26.5</v>
      </c>
      <c r="C480">
        <v>0</v>
      </c>
    </row>
    <row r="481" spans="1:3" x14ac:dyDescent="0.3">
      <c r="A481" t="s">
        <v>920</v>
      </c>
      <c r="B481">
        <v>26.51</v>
      </c>
      <c r="C481">
        <v>0</v>
      </c>
    </row>
    <row r="482" spans="1:3" x14ac:dyDescent="0.3">
      <c r="A482" t="s">
        <v>394</v>
      </c>
      <c r="B482">
        <v>26.56</v>
      </c>
      <c r="C482">
        <v>0</v>
      </c>
    </row>
    <row r="483" spans="1:3" x14ac:dyDescent="0.3">
      <c r="A483" t="s">
        <v>570</v>
      </c>
      <c r="B483">
        <v>26.56</v>
      </c>
      <c r="C483">
        <v>0</v>
      </c>
    </row>
    <row r="484" spans="1:3" x14ac:dyDescent="0.3">
      <c r="A484" t="s">
        <v>320</v>
      </c>
      <c r="B484">
        <v>26.57</v>
      </c>
      <c r="C484">
        <v>0</v>
      </c>
    </row>
    <row r="485" spans="1:3" x14ac:dyDescent="0.3">
      <c r="A485" t="s">
        <v>967</v>
      </c>
      <c r="B485">
        <v>26.59</v>
      </c>
      <c r="C485">
        <v>0</v>
      </c>
    </row>
    <row r="486" spans="1:3" x14ac:dyDescent="0.3">
      <c r="A486" t="s">
        <v>432</v>
      </c>
      <c r="B486">
        <v>26.64</v>
      </c>
      <c r="C486">
        <v>0</v>
      </c>
    </row>
    <row r="487" spans="1:3" x14ac:dyDescent="0.3">
      <c r="A487" t="s">
        <v>841</v>
      </c>
      <c r="B487">
        <v>26.71</v>
      </c>
      <c r="C487">
        <v>0</v>
      </c>
    </row>
    <row r="488" spans="1:3" x14ac:dyDescent="0.3">
      <c r="A488" t="s">
        <v>590</v>
      </c>
      <c r="B488">
        <v>26.73</v>
      </c>
      <c r="C488">
        <v>0</v>
      </c>
    </row>
    <row r="489" spans="1:3" x14ac:dyDescent="0.3">
      <c r="A489" t="s">
        <v>669</v>
      </c>
      <c r="B489">
        <v>26.75</v>
      </c>
      <c r="C489">
        <v>0</v>
      </c>
    </row>
    <row r="490" spans="1:3" x14ac:dyDescent="0.3">
      <c r="A490" t="s">
        <v>736</v>
      </c>
      <c r="B490">
        <v>26.76</v>
      </c>
      <c r="C490">
        <v>0</v>
      </c>
    </row>
    <row r="491" spans="1:3" x14ac:dyDescent="0.3">
      <c r="A491" t="s">
        <v>265</v>
      </c>
      <c r="B491">
        <v>26.77</v>
      </c>
      <c r="C491">
        <v>0</v>
      </c>
    </row>
    <row r="492" spans="1:3" x14ac:dyDescent="0.3">
      <c r="A492" t="s">
        <v>333</v>
      </c>
      <c r="B492">
        <v>26.78</v>
      </c>
      <c r="C492">
        <v>0</v>
      </c>
    </row>
    <row r="493" spans="1:3" x14ac:dyDescent="0.3">
      <c r="A493" t="s">
        <v>269</v>
      </c>
      <c r="B493">
        <v>26.79</v>
      </c>
      <c r="C493">
        <v>0</v>
      </c>
    </row>
    <row r="494" spans="1:3" x14ac:dyDescent="0.3">
      <c r="A494" t="s">
        <v>511</v>
      </c>
      <c r="B494">
        <v>26.79</v>
      </c>
      <c r="C494">
        <v>0</v>
      </c>
    </row>
    <row r="495" spans="1:3" x14ac:dyDescent="0.3">
      <c r="A495" t="s">
        <v>855</v>
      </c>
      <c r="B495">
        <v>26.79</v>
      </c>
      <c r="C495">
        <v>0</v>
      </c>
    </row>
    <row r="496" spans="1:3" x14ac:dyDescent="0.3">
      <c r="A496" t="s">
        <v>989</v>
      </c>
      <c r="B496">
        <v>26.83</v>
      </c>
      <c r="C496">
        <v>0</v>
      </c>
    </row>
    <row r="497" spans="1:3" x14ac:dyDescent="0.3">
      <c r="A497" t="s">
        <v>94</v>
      </c>
      <c r="B497">
        <v>26.85</v>
      </c>
      <c r="C497">
        <v>0</v>
      </c>
    </row>
    <row r="498" spans="1:3" x14ac:dyDescent="0.3">
      <c r="A498" t="s">
        <v>433</v>
      </c>
      <c r="B498">
        <v>26.85</v>
      </c>
      <c r="C498">
        <v>0</v>
      </c>
    </row>
    <row r="499" spans="1:3" x14ac:dyDescent="0.3">
      <c r="A499" t="s">
        <v>909</v>
      </c>
      <c r="B499">
        <v>26.86</v>
      </c>
      <c r="C499">
        <v>0</v>
      </c>
    </row>
    <row r="500" spans="1:3" x14ac:dyDescent="0.3">
      <c r="A500" t="s">
        <v>285</v>
      </c>
      <c r="B500">
        <v>26.87</v>
      </c>
      <c r="C500">
        <v>0</v>
      </c>
    </row>
    <row r="501" spans="1:3" x14ac:dyDescent="0.3">
      <c r="A501" t="s">
        <v>569</v>
      </c>
      <c r="B501">
        <v>26.87</v>
      </c>
      <c r="C501">
        <v>0</v>
      </c>
    </row>
    <row r="502" spans="1:3" x14ac:dyDescent="0.3">
      <c r="A502" t="s">
        <v>850</v>
      </c>
      <c r="B502">
        <v>26.88</v>
      </c>
      <c r="C502">
        <v>0</v>
      </c>
    </row>
    <row r="503" spans="1:3" x14ac:dyDescent="0.3">
      <c r="A503" t="s">
        <v>51</v>
      </c>
      <c r="B503">
        <v>26.9</v>
      </c>
      <c r="C503">
        <v>0</v>
      </c>
    </row>
    <row r="504" spans="1:3" x14ac:dyDescent="0.3">
      <c r="A504" t="s">
        <v>117</v>
      </c>
      <c r="B504">
        <v>26.9</v>
      </c>
      <c r="C504">
        <v>0</v>
      </c>
    </row>
    <row r="505" spans="1:3" x14ac:dyDescent="0.3">
      <c r="A505" t="s">
        <v>380</v>
      </c>
      <c r="B505">
        <v>26.91</v>
      </c>
      <c r="C505">
        <v>0</v>
      </c>
    </row>
    <row r="506" spans="1:3" x14ac:dyDescent="0.3">
      <c r="A506" t="s">
        <v>45</v>
      </c>
      <c r="B506">
        <v>26.95</v>
      </c>
      <c r="C506">
        <v>0</v>
      </c>
    </row>
    <row r="507" spans="1:3" x14ac:dyDescent="0.3">
      <c r="A507" t="s">
        <v>407</v>
      </c>
      <c r="B507">
        <v>26.98</v>
      </c>
      <c r="C507">
        <v>0</v>
      </c>
    </row>
    <row r="508" spans="1:3" x14ac:dyDescent="0.3">
      <c r="A508" t="s">
        <v>980</v>
      </c>
      <c r="B508">
        <v>26.98</v>
      </c>
      <c r="C508">
        <v>0</v>
      </c>
    </row>
    <row r="509" spans="1:3" x14ac:dyDescent="0.3">
      <c r="A509" t="s">
        <v>398</v>
      </c>
      <c r="B509">
        <v>26.99</v>
      </c>
      <c r="C509">
        <v>0</v>
      </c>
    </row>
    <row r="510" spans="1:3" x14ac:dyDescent="0.3">
      <c r="A510" t="s">
        <v>792</v>
      </c>
      <c r="B510">
        <v>27.02</v>
      </c>
      <c r="C510">
        <v>0</v>
      </c>
    </row>
    <row r="511" spans="1:3" x14ac:dyDescent="0.3">
      <c r="A511" t="s">
        <v>639</v>
      </c>
      <c r="B511">
        <v>27.04</v>
      </c>
      <c r="C511">
        <v>0</v>
      </c>
    </row>
    <row r="512" spans="1:3" x14ac:dyDescent="0.3">
      <c r="A512" t="s">
        <v>722</v>
      </c>
      <c r="B512">
        <v>27.09</v>
      </c>
      <c r="C512">
        <v>0</v>
      </c>
    </row>
    <row r="513" spans="1:3" x14ac:dyDescent="0.3">
      <c r="A513" t="s">
        <v>620</v>
      </c>
      <c r="B513">
        <v>27.1</v>
      </c>
      <c r="C513">
        <v>0</v>
      </c>
    </row>
    <row r="514" spans="1:3" x14ac:dyDescent="0.3">
      <c r="A514" t="s">
        <v>563</v>
      </c>
      <c r="B514">
        <v>27.13</v>
      </c>
      <c r="C514">
        <v>0</v>
      </c>
    </row>
    <row r="515" spans="1:3" x14ac:dyDescent="0.3">
      <c r="A515" t="s">
        <v>615</v>
      </c>
      <c r="B515">
        <v>27.15</v>
      </c>
      <c r="C515">
        <v>0</v>
      </c>
    </row>
    <row r="516" spans="1:3" x14ac:dyDescent="0.3">
      <c r="A516" t="s">
        <v>324</v>
      </c>
      <c r="B516">
        <v>27.17</v>
      </c>
      <c r="C516">
        <v>0</v>
      </c>
    </row>
    <row r="517" spans="1:3" x14ac:dyDescent="0.3">
      <c r="A517" t="s">
        <v>484</v>
      </c>
      <c r="B517">
        <v>27.17</v>
      </c>
      <c r="C517">
        <v>0</v>
      </c>
    </row>
    <row r="518" spans="1:3" x14ac:dyDescent="0.3">
      <c r="A518" t="s">
        <v>714</v>
      </c>
      <c r="B518">
        <v>27.17</v>
      </c>
      <c r="C518">
        <v>0</v>
      </c>
    </row>
    <row r="519" spans="1:3" x14ac:dyDescent="0.3">
      <c r="A519" t="s">
        <v>238</v>
      </c>
      <c r="B519">
        <v>27.18</v>
      </c>
      <c r="C519">
        <v>0</v>
      </c>
    </row>
    <row r="520" spans="1:3" x14ac:dyDescent="0.3">
      <c r="A520" t="s">
        <v>342</v>
      </c>
      <c r="B520">
        <v>27.19</v>
      </c>
      <c r="C520">
        <v>0</v>
      </c>
    </row>
    <row r="521" spans="1:3" x14ac:dyDescent="0.3">
      <c r="A521" t="s">
        <v>758</v>
      </c>
      <c r="B521">
        <v>27.24</v>
      </c>
      <c r="C521">
        <v>0</v>
      </c>
    </row>
    <row r="522" spans="1:3" x14ac:dyDescent="0.3">
      <c r="A522" t="s">
        <v>764</v>
      </c>
      <c r="B522">
        <v>27.24</v>
      </c>
      <c r="C522">
        <v>0</v>
      </c>
    </row>
    <row r="523" spans="1:3" x14ac:dyDescent="0.3">
      <c r="A523" t="s">
        <v>236</v>
      </c>
      <c r="B523">
        <v>27.28</v>
      </c>
      <c r="C523">
        <v>0</v>
      </c>
    </row>
    <row r="524" spans="1:3" x14ac:dyDescent="0.3">
      <c r="A524" t="s">
        <v>347</v>
      </c>
      <c r="B524">
        <v>27.28</v>
      </c>
      <c r="C524">
        <v>0</v>
      </c>
    </row>
    <row r="525" spans="1:3" x14ac:dyDescent="0.3">
      <c r="A525" t="s">
        <v>1039</v>
      </c>
      <c r="B525">
        <v>27.3</v>
      </c>
      <c r="C525">
        <v>0</v>
      </c>
    </row>
    <row r="526" spans="1:3" x14ac:dyDescent="0.3">
      <c r="A526" t="s">
        <v>418</v>
      </c>
      <c r="B526">
        <v>27.31</v>
      </c>
      <c r="C526">
        <v>0</v>
      </c>
    </row>
    <row r="527" spans="1:3" x14ac:dyDescent="0.3">
      <c r="A527" t="s">
        <v>908</v>
      </c>
      <c r="B527">
        <v>27.31</v>
      </c>
      <c r="C527">
        <v>0</v>
      </c>
    </row>
    <row r="528" spans="1:3" x14ac:dyDescent="0.3">
      <c r="A528" t="s">
        <v>799</v>
      </c>
      <c r="B528">
        <v>27.32</v>
      </c>
      <c r="C528">
        <v>0</v>
      </c>
    </row>
    <row r="529" spans="1:3" x14ac:dyDescent="0.3">
      <c r="A529" t="s">
        <v>367</v>
      </c>
      <c r="B529">
        <v>27.33</v>
      </c>
      <c r="C529">
        <v>0</v>
      </c>
    </row>
    <row r="530" spans="1:3" x14ac:dyDescent="0.3">
      <c r="A530" t="s">
        <v>986</v>
      </c>
      <c r="B530">
        <v>27.33</v>
      </c>
      <c r="C530">
        <v>0</v>
      </c>
    </row>
    <row r="531" spans="1:3" x14ac:dyDescent="0.3">
      <c r="A531" t="s">
        <v>378</v>
      </c>
      <c r="B531">
        <v>27.34</v>
      </c>
      <c r="C531">
        <v>0</v>
      </c>
    </row>
    <row r="532" spans="1:3" x14ac:dyDescent="0.3">
      <c r="A532" t="s">
        <v>718</v>
      </c>
      <c r="B532">
        <v>27.34</v>
      </c>
      <c r="C532">
        <v>0</v>
      </c>
    </row>
    <row r="533" spans="1:3" x14ac:dyDescent="0.3">
      <c r="A533" t="s">
        <v>1067</v>
      </c>
      <c r="B533">
        <v>27.35</v>
      </c>
      <c r="C533">
        <v>0</v>
      </c>
    </row>
    <row r="534" spans="1:3" x14ac:dyDescent="0.3">
      <c r="A534" t="s">
        <v>984</v>
      </c>
      <c r="B534">
        <v>27.36</v>
      </c>
      <c r="C534">
        <v>0</v>
      </c>
    </row>
    <row r="535" spans="1:3" x14ac:dyDescent="0.3">
      <c r="A535" t="s">
        <v>70</v>
      </c>
      <c r="B535">
        <v>27.37</v>
      </c>
      <c r="C535">
        <v>0</v>
      </c>
    </row>
    <row r="536" spans="1:3" x14ac:dyDescent="0.3">
      <c r="A536" t="s">
        <v>63</v>
      </c>
      <c r="B536">
        <v>27.38</v>
      </c>
      <c r="C536">
        <v>0</v>
      </c>
    </row>
    <row r="537" spans="1:3" x14ac:dyDescent="0.3">
      <c r="A537" t="s">
        <v>276</v>
      </c>
      <c r="B537">
        <v>27.39</v>
      </c>
      <c r="C537">
        <v>0</v>
      </c>
    </row>
    <row r="538" spans="1:3" x14ac:dyDescent="0.3">
      <c r="A538" t="s">
        <v>317</v>
      </c>
      <c r="B538">
        <v>27.39</v>
      </c>
      <c r="C538">
        <v>0</v>
      </c>
    </row>
    <row r="539" spans="1:3" x14ac:dyDescent="0.3">
      <c r="A539" t="s">
        <v>319</v>
      </c>
      <c r="B539">
        <v>27.39</v>
      </c>
      <c r="C539">
        <v>0</v>
      </c>
    </row>
    <row r="540" spans="1:3" x14ac:dyDescent="0.3">
      <c r="A540" t="s">
        <v>690</v>
      </c>
      <c r="B540">
        <v>27.39</v>
      </c>
      <c r="C540">
        <v>0</v>
      </c>
    </row>
    <row r="541" spans="1:3" x14ac:dyDescent="0.3">
      <c r="A541" t="s">
        <v>1028</v>
      </c>
      <c r="B541">
        <v>27.39</v>
      </c>
      <c r="C541">
        <v>0</v>
      </c>
    </row>
    <row r="542" spans="1:3" x14ac:dyDescent="0.3">
      <c r="A542" t="s">
        <v>38</v>
      </c>
      <c r="B542">
        <v>27.41</v>
      </c>
      <c r="C542">
        <v>0</v>
      </c>
    </row>
    <row r="543" spans="1:3" x14ac:dyDescent="0.3">
      <c r="A543" t="s">
        <v>442</v>
      </c>
      <c r="B543">
        <v>27.41</v>
      </c>
      <c r="C543">
        <v>0</v>
      </c>
    </row>
    <row r="544" spans="1:3" x14ac:dyDescent="0.3">
      <c r="A544" t="s">
        <v>1126</v>
      </c>
      <c r="B544">
        <v>27.42</v>
      </c>
      <c r="C544">
        <v>0</v>
      </c>
    </row>
    <row r="545" spans="1:3" x14ac:dyDescent="0.3">
      <c r="A545" t="s">
        <v>529</v>
      </c>
      <c r="B545">
        <v>27.46</v>
      </c>
      <c r="C545">
        <v>0</v>
      </c>
    </row>
    <row r="546" spans="1:3" x14ac:dyDescent="0.3">
      <c r="A546" t="s">
        <v>538</v>
      </c>
      <c r="B546">
        <v>27.46</v>
      </c>
      <c r="C546">
        <v>0</v>
      </c>
    </row>
    <row r="547" spans="1:3" x14ac:dyDescent="0.3">
      <c r="A547" t="s">
        <v>893</v>
      </c>
      <c r="B547">
        <v>27.46</v>
      </c>
      <c r="C547">
        <v>0</v>
      </c>
    </row>
    <row r="548" spans="1:3" x14ac:dyDescent="0.3">
      <c r="A548" t="s">
        <v>681</v>
      </c>
      <c r="B548">
        <v>27.47</v>
      </c>
      <c r="C548">
        <v>0</v>
      </c>
    </row>
    <row r="549" spans="1:3" x14ac:dyDescent="0.3">
      <c r="A549" t="s">
        <v>1037</v>
      </c>
      <c r="B549">
        <v>27.5</v>
      </c>
      <c r="C549">
        <v>0</v>
      </c>
    </row>
    <row r="550" spans="1:3" x14ac:dyDescent="0.3">
      <c r="A550" t="s">
        <v>519</v>
      </c>
      <c r="B550">
        <v>27.51</v>
      </c>
      <c r="C550">
        <v>0</v>
      </c>
    </row>
    <row r="551" spans="1:3" x14ac:dyDescent="0.3">
      <c r="A551" t="s">
        <v>667</v>
      </c>
      <c r="B551">
        <v>27.51</v>
      </c>
      <c r="C551">
        <v>0</v>
      </c>
    </row>
    <row r="552" spans="1:3" x14ac:dyDescent="0.3">
      <c r="A552" t="s">
        <v>356</v>
      </c>
      <c r="B552">
        <v>27.53</v>
      </c>
      <c r="C552">
        <v>0</v>
      </c>
    </row>
    <row r="553" spans="1:3" x14ac:dyDescent="0.3">
      <c r="A553" t="s">
        <v>1138</v>
      </c>
      <c r="B553">
        <v>27.53</v>
      </c>
      <c r="C553">
        <v>0</v>
      </c>
    </row>
    <row r="554" spans="1:3" x14ac:dyDescent="0.3">
      <c r="A554" t="s">
        <v>461</v>
      </c>
      <c r="B554">
        <v>27.57</v>
      </c>
      <c r="C554">
        <v>0</v>
      </c>
    </row>
    <row r="555" spans="1:3" x14ac:dyDescent="0.3">
      <c r="A555" t="s">
        <v>1122</v>
      </c>
      <c r="B555">
        <v>27.57</v>
      </c>
      <c r="C555">
        <v>0</v>
      </c>
    </row>
    <row r="556" spans="1:3" x14ac:dyDescent="0.3">
      <c r="A556" t="s">
        <v>550</v>
      </c>
      <c r="B556">
        <v>27.6</v>
      </c>
      <c r="C556">
        <v>0</v>
      </c>
    </row>
    <row r="557" spans="1:3" x14ac:dyDescent="0.3">
      <c r="A557" t="s">
        <v>873</v>
      </c>
      <c r="B557">
        <v>27.62</v>
      </c>
      <c r="C557">
        <v>0</v>
      </c>
    </row>
    <row r="558" spans="1:3" x14ac:dyDescent="0.3">
      <c r="A558" t="s">
        <v>627</v>
      </c>
      <c r="B558">
        <v>27.63</v>
      </c>
      <c r="C558">
        <v>0</v>
      </c>
    </row>
    <row r="559" spans="1:3" x14ac:dyDescent="0.3">
      <c r="A559" t="s">
        <v>1046</v>
      </c>
      <c r="B559">
        <v>27.65</v>
      </c>
      <c r="C559">
        <v>0</v>
      </c>
    </row>
    <row r="560" spans="1:3" x14ac:dyDescent="0.3">
      <c r="A560" t="s">
        <v>1062</v>
      </c>
      <c r="B560">
        <v>27.67</v>
      </c>
      <c r="C560">
        <v>0</v>
      </c>
    </row>
    <row r="561" spans="1:3" x14ac:dyDescent="0.3">
      <c r="A561" t="s">
        <v>109</v>
      </c>
      <c r="B561">
        <v>27.69</v>
      </c>
      <c r="C561">
        <v>0</v>
      </c>
    </row>
    <row r="562" spans="1:3" x14ac:dyDescent="0.3">
      <c r="A562" t="s">
        <v>991</v>
      </c>
      <c r="B562">
        <v>27.69</v>
      </c>
      <c r="C562">
        <v>0</v>
      </c>
    </row>
    <row r="563" spans="1:3" x14ac:dyDescent="0.3">
      <c r="A563" t="s">
        <v>1077</v>
      </c>
      <c r="B563">
        <v>27.69</v>
      </c>
      <c r="C563">
        <v>0</v>
      </c>
    </row>
    <row r="564" spans="1:3" x14ac:dyDescent="0.3">
      <c r="A564" t="s">
        <v>169</v>
      </c>
      <c r="B564">
        <v>27.7</v>
      </c>
      <c r="C564">
        <v>0</v>
      </c>
    </row>
    <row r="565" spans="1:3" x14ac:dyDescent="0.3">
      <c r="A565" t="s">
        <v>813</v>
      </c>
      <c r="B565">
        <v>27.71</v>
      </c>
      <c r="C565">
        <v>0</v>
      </c>
    </row>
    <row r="566" spans="1:3" x14ac:dyDescent="0.3">
      <c r="A566" t="s">
        <v>581</v>
      </c>
      <c r="B566">
        <v>27.73</v>
      </c>
      <c r="C566">
        <v>0</v>
      </c>
    </row>
    <row r="567" spans="1:3" x14ac:dyDescent="0.3">
      <c r="A567" t="s">
        <v>824</v>
      </c>
      <c r="B567">
        <v>27.73</v>
      </c>
      <c r="C567">
        <v>0</v>
      </c>
    </row>
    <row r="568" spans="1:3" x14ac:dyDescent="0.3">
      <c r="A568" t="s">
        <v>349</v>
      </c>
      <c r="B568">
        <v>27.78</v>
      </c>
      <c r="C568">
        <v>0</v>
      </c>
    </row>
    <row r="569" spans="1:3" x14ac:dyDescent="0.3">
      <c r="A569" t="s">
        <v>862</v>
      </c>
      <c r="B569">
        <v>27.78</v>
      </c>
      <c r="C569">
        <v>0</v>
      </c>
    </row>
    <row r="570" spans="1:3" x14ac:dyDescent="0.3">
      <c r="A570" t="s">
        <v>1029</v>
      </c>
      <c r="B570">
        <v>27.8</v>
      </c>
      <c r="C570">
        <v>0</v>
      </c>
    </row>
    <row r="571" spans="1:3" x14ac:dyDescent="0.3">
      <c r="A571" t="s">
        <v>144</v>
      </c>
      <c r="B571">
        <v>27.81</v>
      </c>
      <c r="C571">
        <v>0</v>
      </c>
    </row>
    <row r="572" spans="1:3" x14ac:dyDescent="0.3">
      <c r="A572" t="s">
        <v>255</v>
      </c>
      <c r="B572">
        <v>27.81</v>
      </c>
      <c r="C572">
        <v>0</v>
      </c>
    </row>
    <row r="573" spans="1:3" x14ac:dyDescent="0.3">
      <c r="A573" t="s">
        <v>446</v>
      </c>
      <c r="B573">
        <v>27.82</v>
      </c>
      <c r="C573">
        <v>0</v>
      </c>
    </row>
    <row r="574" spans="1:3" x14ac:dyDescent="0.3">
      <c r="A574" t="s">
        <v>496</v>
      </c>
      <c r="B574">
        <v>27.83</v>
      </c>
      <c r="C574">
        <v>0</v>
      </c>
    </row>
    <row r="575" spans="1:3" x14ac:dyDescent="0.3">
      <c r="A575" t="s">
        <v>717</v>
      </c>
      <c r="B575">
        <v>27.84</v>
      </c>
      <c r="C575">
        <v>0</v>
      </c>
    </row>
    <row r="576" spans="1:3" x14ac:dyDescent="0.3">
      <c r="A576" t="s">
        <v>791</v>
      </c>
      <c r="B576">
        <v>27.84</v>
      </c>
      <c r="C576">
        <v>0</v>
      </c>
    </row>
    <row r="577" spans="1:3" x14ac:dyDescent="0.3">
      <c r="A577" t="s">
        <v>438</v>
      </c>
      <c r="B577">
        <v>27.85</v>
      </c>
      <c r="C577">
        <v>0</v>
      </c>
    </row>
    <row r="578" spans="1:3" x14ac:dyDescent="0.3">
      <c r="A578" t="s">
        <v>170</v>
      </c>
      <c r="B578">
        <v>27.86</v>
      </c>
      <c r="C578">
        <v>0</v>
      </c>
    </row>
    <row r="579" spans="1:3" x14ac:dyDescent="0.3">
      <c r="A579" t="s">
        <v>444</v>
      </c>
      <c r="B579">
        <v>27.86</v>
      </c>
      <c r="C579">
        <v>0</v>
      </c>
    </row>
    <row r="580" spans="1:3" x14ac:dyDescent="0.3">
      <c r="A580" t="s">
        <v>521</v>
      </c>
      <c r="B580">
        <v>27.87</v>
      </c>
      <c r="C580">
        <v>0</v>
      </c>
    </row>
    <row r="581" spans="1:3" x14ac:dyDescent="0.3">
      <c r="A581" t="s">
        <v>197</v>
      </c>
      <c r="B581">
        <v>27.88</v>
      </c>
      <c r="C581">
        <v>0</v>
      </c>
    </row>
    <row r="582" spans="1:3" x14ac:dyDescent="0.3">
      <c r="A582" t="s">
        <v>887</v>
      </c>
      <c r="B582">
        <v>27.92</v>
      </c>
      <c r="C582">
        <v>0</v>
      </c>
    </row>
    <row r="583" spans="1:3" x14ac:dyDescent="0.3">
      <c r="A583" t="s">
        <v>343</v>
      </c>
      <c r="B583">
        <v>27.94</v>
      </c>
      <c r="C583">
        <v>0</v>
      </c>
    </row>
    <row r="584" spans="1:3" x14ac:dyDescent="0.3">
      <c r="A584" t="s">
        <v>774</v>
      </c>
      <c r="B584">
        <v>27.94</v>
      </c>
      <c r="C584">
        <v>0</v>
      </c>
    </row>
    <row r="585" spans="1:3" x14ac:dyDescent="0.3">
      <c r="A585" t="s">
        <v>1068</v>
      </c>
      <c r="B585">
        <v>27.94</v>
      </c>
      <c r="C585">
        <v>0</v>
      </c>
    </row>
    <row r="586" spans="1:3" x14ac:dyDescent="0.3">
      <c r="A586" t="s">
        <v>731</v>
      </c>
      <c r="B586">
        <v>27.95</v>
      </c>
      <c r="C586">
        <v>0</v>
      </c>
    </row>
    <row r="587" spans="1:3" x14ac:dyDescent="0.3">
      <c r="A587" t="s">
        <v>505</v>
      </c>
      <c r="B587">
        <v>27.97</v>
      </c>
      <c r="C587">
        <v>0</v>
      </c>
    </row>
    <row r="588" spans="1:3" x14ac:dyDescent="0.3">
      <c r="A588" t="s">
        <v>1102</v>
      </c>
      <c r="B588">
        <v>27.97</v>
      </c>
      <c r="C588">
        <v>0</v>
      </c>
    </row>
    <row r="589" spans="1:3" x14ac:dyDescent="0.3">
      <c r="A589" t="s">
        <v>796</v>
      </c>
      <c r="B589">
        <v>27.99</v>
      </c>
      <c r="C589">
        <v>0</v>
      </c>
    </row>
    <row r="590" spans="1:3" x14ac:dyDescent="0.3">
      <c r="A590" t="s">
        <v>128</v>
      </c>
      <c r="B590">
        <v>28</v>
      </c>
      <c r="C590">
        <v>0</v>
      </c>
    </row>
    <row r="591" spans="1:3" x14ac:dyDescent="0.3">
      <c r="A591" t="s">
        <v>176</v>
      </c>
      <c r="B591">
        <v>28</v>
      </c>
      <c r="C591">
        <v>0</v>
      </c>
    </row>
    <row r="592" spans="1:3" x14ac:dyDescent="0.3">
      <c r="A592" t="s">
        <v>420</v>
      </c>
      <c r="B592">
        <v>28</v>
      </c>
      <c r="C592">
        <v>0</v>
      </c>
    </row>
    <row r="593" spans="1:3" x14ac:dyDescent="0.3">
      <c r="A593" t="s">
        <v>1085</v>
      </c>
      <c r="B593">
        <v>28</v>
      </c>
      <c r="C593">
        <v>0</v>
      </c>
    </row>
    <row r="594" spans="1:3" x14ac:dyDescent="0.3">
      <c r="A594" t="s">
        <v>241</v>
      </c>
      <c r="B594">
        <v>28.01</v>
      </c>
      <c r="C594">
        <v>0</v>
      </c>
    </row>
    <row r="595" spans="1:3" x14ac:dyDescent="0.3">
      <c r="A595" t="s">
        <v>662</v>
      </c>
      <c r="B595">
        <v>28.01</v>
      </c>
      <c r="C595">
        <v>0</v>
      </c>
    </row>
    <row r="596" spans="1:3" x14ac:dyDescent="0.3">
      <c r="A596" t="s">
        <v>977</v>
      </c>
      <c r="B596">
        <v>28.02</v>
      </c>
      <c r="C596">
        <v>0</v>
      </c>
    </row>
    <row r="597" spans="1:3" x14ac:dyDescent="0.3">
      <c r="A597" t="s">
        <v>663</v>
      </c>
      <c r="B597">
        <v>28.03</v>
      </c>
      <c r="C597">
        <v>0</v>
      </c>
    </row>
    <row r="598" spans="1:3" x14ac:dyDescent="0.3">
      <c r="A598" t="s">
        <v>282</v>
      </c>
      <c r="B598">
        <v>28.04</v>
      </c>
      <c r="C598">
        <v>0</v>
      </c>
    </row>
    <row r="599" spans="1:3" x14ac:dyDescent="0.3">
      <c r="A599" t="s">
        <v>390</v>
      </c>
      <c r="B599">
        <v>28.04</v>
      </c>
      <c r="C599">
        <v>0</v>
      </c>
    </row>
    <row r="600" spans="1:3" x14ac:dyDescent="0.3">
      <c r="A600" t="s">
        <v>404</v>
      </c>
      <c r="B600">
        <v>28.06</v>
      </c>
      <c r="C600">
        <v>0</v>
      </c>
    </row>
    <row r="601" spans="1:3" x14ac:dyDescent="0.3">
      <c r="A601" t="s">
        <v>604</v>
      </c>
      <c r="B601">
        <v>28.07</v>
      </c>
      <c r="C601">
        <v>0</v>
      </c>
    </row>
    <row r="602" spans="1:3" x14ac:dyDescent="0.3">
      <c r="A602" t="s">
        <v>395</v>
      </c>
      <c r="B602">
        <v>28.08</v>
      </c>
      <c r="C602">
        <v>0</v>
      </c>
    </row>
    <row r="603" spans="1:3" x14ac:dyDescent="0.3">
      <c r="A603" t="s">
        <v>831</v>
      </c>
      <c r="B603">
        <v>28.1</v>
      </c>
      <c r="C603">
        <v>0</v>
      </c>
    </row>
    <row r="604" spans="1:3" x14ac:dyDescent="0.3">
      <c r="A604" t="s">
        <v>1027</v>
      </c>
      <c r="B604">
        <v>28.1</v>
      </c>
      <c r="C604">
        <v>0</v>
      </c>
    </row>
    <row r="605" spans="1:3" x14ac:dyDescent="0.3">
      <c r="A605" t="s">
        <v>1132</v>
      </c>
      <c r="B605">
        <v>28.1</v>
      </c>
      <c r="C605">
        <v>0</v>
      </c>
    </row>
    <row r="606" spans="1:3" x14ac:dyDescent="0.3">
      <c r="A606" t="s">
        <v>280</v>
      </c>
      <c r="B606">
        <v>28.11</v>
      </c>
      <c r="C606">
        <v>0</v>
      </c>
    </row>
    <row r="607" spans="1:3" x14ac:dyDescent="0.3">
      <c r="A607" t="s">
        <v>1133</v>
      </c>
      <c r="B607">
        <v>28.13</v>
      </c>
      <c r="C607">
        <v>0</v>
      </c>
    </row>
    <row r="608" spans="1:3" x14ac:dyDescent="0.3">
      <c r="A608" t="s">
        <v>808</v>
      </c>
      <c r="B608">
        <v>28.15</v>
      </c>
      <c r="C608">
        <v>0</v>
      </c>
    </row>
    <row r="609" spans="1:3" x14ac:dyDescent="0.3">
      <c r="A609" t="s">
        <v>599</v>
      </c>
      <c r="B609">
        <v>28.17</v>
      </c>
      <c r="C609">
        <v>0</v>
      </c>
    </row>
    <row r="610" spans="1:3" x14ac:dyDescent="0.3">
      <c r="A610" t="s">
        <v>911</v>
      </c>
      <c r="B610">
        <v>28.18</v>
      </c>
      <c r="C610">
        <v>0</v>
      </c>
    </row>
    <row r="611" spans="1:3" x14ac:dyDescent="0.3">
      <c r="A611" t="s">
        <v>882</v>
      </c>
      <c r="B611">
        <v>28.19</v>
      </c>
      <c r="C611">
        <v>0</v>
      </c>
    </row>
    <row r="612" spans="1:3" x14ac:dyDescent="0.3">
      <c r="A612" t="s">
        <v>98</v>
      </c>
      <c r="B612">
        <v>28.2</v>
      </c>
      <c r="C612">
        <v>0</v>
      </c>
    </row>
    <row r="613" spans="1:3" x14ac:dyDescent="0.3">
      <c r="A613" t="s">
        <v>474</v>
      </c>
      <c r="B613">
        <v>28.23</v>
      </c>
      <c r="C613">
        <v>0</v>
      </c>
    </row>
    <row r="614" spans="1:3" x14ac:dyDescent="0.3">
      <c r="A614" t="s">
        <v>747</v>
      </c>
      <c r="B614">
        <v>28.23</v>
      </c>
      <c r="C614">
        <v>0</v>
      </c>
    </row>
    <row r="615" spans="1:3" x14ac:dyDescent="0.3">
      <c r="A615" t="s">
        <v>257</v>
      </c>
      <c r="B615">
        <v>28.24</v>
      </c>
      <c r="C615">
        <v>0</v>
      </c>
    </row>
    <row r="616" spans="1:3" x14ac:dyDescent="0.3">
      <c r="A616" t="s">
        <v>1112</v>
      </c>
      <c r="B616">
        <v>28.26</v>
      </c>
      <c r="C616">
        <v>0</v>
      </c>
    </row>
    <row r="617" spans="1:3" x14ac:dyDescent="0.3">
      <c r="A617" t="s">
        <v>370</v>
      </c>
      <c r="B617">
        <v>28.27</v>
      </c>
      <c r="C617">
        <v>0</v>
      </c>
    </row>
    <row r="618" spans="1:3" x14ac:dyDescent="0.3">
      <c r="A618" t="s">
        <v>430</v>
      </c>
      <c r="B618">
        <v>28.27</v>
      </c>
      <c r="C618">
        <v>0</v>
      </c>
    </row>
    <row r="619" spans="1:3" x14ac:dyDescent="0.3">
      <c r="A619" t="s">
        <v>762</v>
      </c>
      <c r="B619">
        <v>28.27</v>
      </c>
      <c r="C619">
        <v>0</v>
      </c>
    </row>
    <row r="620" spans="1:3" x14ac:dyDescent="0.3">
      <c r="A620" t="s">
        <v>448</v>
      </c>
      <c r="B620">
        <v>28.29</v>
      </c>
      <c r="C620">
        <v>0</v>
      </c>
    </row>
    <row r="621" spans="1:3" x14ac:dyDescent="0.3">
      <c r="A621" t="s">
        <v>325</v>
      </c>
      <c r="B621">
        <v>28.3</v>
      </c>
      <c r="C621">
        <v>0</v>
      </c>
    </row>
    <row r="622" spans="1:3" x14ac:dyDescent="0.3">
      <c r="A622" t="s">
        <v>369</v>
      </c>
      <c r="B622">
        <v>28.32</v>
      </c>
      <c r="C622">
        <v>0</v>
      </c>
    </row>
    <row r="623" spans="1:3" x14ac:dyDescent="0.3">
      <c r="A623" t="s">
        <v>624</v>
      </c>
      <c r="B623">
        <v>28.33</v>
      </c>
      <c r="C623">
        <v>0</v>
      </c>
    </row>
    <row r="624" spans="1:3" x14ac:dyDescent="0.3">
      <c r="A624" t="s">
        <v>499</v>
      </c>
      <c r="B624">
        <v>28.35</v>
      </c>
      <c r="C624">
        <v>0</v>
      </c>
    </row>
    <row r="625" spans="1:3" x14ac:dyDescent="0.3">
      <c r="A625" t="s">
        <v>858</v>
      </c>
      <c r="B625">
        <v>28.36</v>
      </c>
      <c r="C625">
        <v>0</v>
      </c>
    </row>
    <row r="626" spans="1:3" x14ac:dyDescent="0.3">
      <c r="A626" t="s">
        <v>252</v>
      </c>
      <c r="B626">
        <v>28.37</v>
      </c>
      <c r="C626">
        <v>0</v>
      </c>
    </row>
    <row r="627" spans="1:3" x14ac:dyDescent="0.3">
      <c r="A627" t="s">
        <v>1130</v>
      </c>
      <c r="B627">
        <v>28.39</v>
      </c>
      <c r="C627">
        <v>0</v>
      </c>
    </row>
    <row r="628" spans="1:3" x14ac:dyDescent="0.3">
      <c r="A628" t="s">
        <v>485</v>
      </c>
      <c r="B628">
        <v>28.43</v>
      </c>
      <c r="C628">
        <v>0</v>
      </c>
    </row>
    <row r="629" spans="1:3" x14ac:dyDescent="0.3">
      <c r="A629" t="s">
        <v>415</v>
      </c>
      <c r="B629">
        <v>28.44</v>
      </c>
      <c r="C629">
        <v>0</v>
      </c>
    </row>
    <row r="630" spans="1:3" x14ac:dyDescent="0.3">
      <c r="A630" t="s">
        <v>697</v>
      </c>
      <c r="B630">
        <v>28.45</v>
      </c>
      <c r="C630">
        <v>0</v>
      </c>
    </row>
    <row r="631" spans="1:3" x14ac:dyDescent="0.3">
      <c r="A631" t="s">
        <v>822</v>
      </c>
      <c r="B631">
        <v>28.47</v>
      </c>
      <c r="C631">
        <v>0</v>
      </c>
    </row>
    <row r="632" spans="1:3" x14ac:dyDescent="0.3">
      <c r="A632" t="s">
        <v>970</v>
      </c>
      <c r="B632">
        <v>28.5</v>
      </c>
      <c r="C632">
        <v>0</v>
      </c>
    </row>
    <row r="633" spans="1:3" x14ac:dyDescent="0.3">
      <c r="A633" t="s">
        <v>645</v>
      </c>
      <c r="B633">
        <v>28.52</v>
      </c>
      <c r="C633">
        <v>0</v>
      </c>
    </row>
    <row r="634" spans="1:3" x14ac:dyDescent="0.3">
      <c r="A634" t="s">
        <v>1043</v>
      </c>
      <c r="B634">
        <v>28.52</v>
      </c>
      <c r="C634">
        <v>0</v>
      </c>
    </row>
    <row r="635" spans="1:3" x14ac:dyDescent="0.3">
      <c r="A635" t="s">
        <v>673</v>
      </c>
      <c r="B635">
        <v>28.53</v>
      </c>
      <c r="C635">
        <v>0</v>
      </c>
    </row>
    <row r="636" spans="1:3" x14ac:dyDescent="0.3">
      <c r="A636" t="s">
        <v>936</v>
      </c>
      <c r="B636">
        <v>28.55</v>
      </c>
      <c r="C636">
        <v>0</v>
      </c>
    </row>
    <row r="637" spans="1:3" x14ac:dyDescent="0.3">
      <c r="A637" t="s">
        <v>616</v>
      </c>
      <c r="B637">
        <v>28.56</v>
      </c>
      <c r="C637">
        <v>0</v>
      </c>
    </row>
    <row r="638" spans="1:3" x14ac:dyDescent="0.3">
      <c r="A638" t="s">
        <v>939</v>
      </c>
      <c r="B638">
        <v>28.57</v>
      </c>
      <c r="C638">
        <v>0</v>
      </c>
    </row>
    <row r="639" spans="1:3" x14ac:dyDescent="0.3">
      <c r="A639" t="s">
        <v>1003</v>
      </c>
      <c r="B639">
        <v>28.57</v>
      </c>
      <c r="C639">
        <v>0</v>
      </c>
    </row>
    <row r="640" spans="1:3" x14ac:dyDescent="0.3">
      <c r="A640" t="s">
        <v>332</v>
      </c>
      <c r="B640">
        <v>28.59</v>
      </c>
      <c r="C640">
        <v>0</v>
      </c>
    </row>
    <row r="641" spans="1:3" x14ac:dyDescent="0.3">
      <c r="A641" t="s">
        <v>1078</v>
      </c>
      <c r="B641">
        <v>28.59</v>
      </c>
      <c r="C641">
        <v>0</v>
      </c>
    </row>
    <row r="642" spans="1:3" x14ac:dyDescent="0.3">
      <c r="A642" t="s">
        <v>1095</v>
      </c>
      <c r="B642">
        <v>28.59</v>
      </c>
      <c r="C642">
        <v>0</v>
      </c>
    </row>
    <row r="643" spans="1:3" x14ac:dyDescent="0.3">
      <c r="A643" t="s">
        <v>251</v>
      </c>
      <c r="B643">
        <v>28.6</v>
      </c>
      <c r="C643">
        <v>0</v>
      </c>
    </row>
    <row r="644" spans="1:3" x14ac:dyDescent="0.3">
      <c r="A644" t="s">
        <v>286</v>
      </c>
      <c r="B644">
        <v>28.61</v>
      </c>
      <c r="C644">
        <v>0</v>
      </c>
    </row>
    <row r="645" spans="1:3" x14ac:dyDescent="0.3">
      <c r="A645" t="s">
        <v>490</v>
      </c>
      <c r="B645">
        <v>28.62</v>
      </c>
      <c r="C645">
        <v>0</v>
      </c>
    </row>
    <row r="646" spans="1:3" x14ac:dyDescent="0.3">
      <c r="A646" t="s">
        <v>707</v>
      </c>
      <c r="B646">
        <v>28.62</v>
      </c>
      <c r="C646">
        <v>0</v>
      </c>
    </row>
    <row r="647" spans="1:3" x14ac:dyDescent="0.3">
      <c r="A647" t="s">
        <v>919</v>
      </c>
      <c r="B647">
        <v>28.62</v>
      </c>
      <c r="C647">
        <v>0</v>
      </c>
    </row>
    <row r="648" spans="1:3" x14ac:dyDescent="0.3">
      <c r="A648" t="s">
        <v>1057</v>
      </c>
      <c r="B648">
        <v>28.62</v>
      </c>
      <c r="C648">
        <v>0</v>
      </c>
    </row>
    <row r="649" spans="1:3" x14ac:dyDescent="0.3">
      <c r="A649" t="s">
        <v>820</v>
      </c>
      <c r="B649">
        <v>28.64</v>
      </c>
      <c r="C649">
        <v>0</v>
      </c>
    </row>
    <row r="650" spans="1:3" x14ac:dyDescent="0.3">
      <c r="A650" t="s">
        <v>1084</v>
      </c>
      <c r="B650">
        <v>28.64</v>
      </c>
      <c r="C650">
        <v>0</v>
      </c>
    </row>
    <row r="651" spans="1:3" x14ac:dyDescent="0.3">
      <c r="A651" t="s">
        <v>807</v>
      </c>
      <c r="B651">
        <v>28.66</v>
      </c>
      <c r="C651">
        <v>0</v>
      </c>
    </row>
    <row r="652" spans="1:3" x14ac:dyDescent="0.3">
      <c r="A652" t="s">
        <v>162</v>
      </c>
      <c r="B652">
        <v>28.67</v>
      </c>
      <c r="C652">
        <v>0</v>
      </c>
    </row>
    <row r="653" spans="1:3" x14ac:dyDescent="0.3">
      <c r="A653" t="s">
        <v>147</v>
      </c>
      <c r="B653">
        <v>28.68</v>
      </c>
      <c r="C653">
        <v>0</v>
      </c>
    </row>
    <row r="654" spans="1:3" x14ac:dyDescent="0.3">
      <c r="A654" t="s">
        <v>623</v>
      </c>
      <c r="B654">
        <v>28.68</v>
      </c>
      <c r="C654">
        <v>0</v>
      </c>
    </row>
    <row r="655" spans="1:3" x14ac:dyDescent="0.3">
      <c r="A655" t="s">
        <v>534</v>
      </c>
      <c r="B655">
        <v>28.73</v>
      </c>
      <c r="C655">
        <v>0</v>
      </c>
    </row>
    <row r="656" spans="1:3" x14ac:dyDescent="0.3">
      <c r="A656" t="s">
        <v>949</v>
      </c>
      <c r="B656">
        <v>28.75</v>
      </c>
      <c r="C656">
        <v>0</v>
      </c>
    </row>
    <row r="657" spans="1:3" x14ac:dyDescent="0.3">
      <c r="A657" t="s">
        <v>665</v>
      </c>
      <c r="B657">
        <v>28.76</v>
      </c>
      <c r="C657">
        <v>0</v>
      </c>
    </row>
    <row r="658" spans="1:3" x14ac:dyDescent="0.3">
      <c r="A658" t="s">
        <v>188</v>
      </c>
      <c r="B658">
        <v>28.77</v>
      </c>
      <c r="C658">
        <v>0</v>
      </c>
    </row>
    <row r="659" spans="1:3" x14ac:dyDescent="0.3">
      <c r="A659" t="s">
        <v>853</v>
      </c>
      <c r="B659">
        <v>28.8</v>
      </c>
      <c r="C659">
        <v>0</v>
      </c>
    </row>
    <row r="660" spans="1:3" x14ac:dyDescent="0.3">
      <c r="A660" t="s">
        <v>870</v>
      </c>
      <c r="B660">
        <v>28.82</v>
      </c>
      <c r="C660">
        <v>0</v>
      </c>
    </row>
    <row r="661" spans="1:3" x14ac:dyDescent="0.3">
      <c r="A661" t="s">
        <v>48</v>
      </c>
      <c r="B661">
        <v>28.83</v>
      </c>
      <c r="C661">
        <v>0</v>
      </c>
    </row>
    <row r="662" spans="1:3" x14ac:dyDescent="0.3">
      <c r="A662" t="s">
        <v>593</v>
      </c>
      <c r="B662">
        <v>28.84</v>
      </c>
      <c r="C662">
        <v>0</v>
      </c>
    </row>
    <row r="663" spans="1:3" x14ac:dyDescent="0.3">
      <c r="A663" t="s">
        <v>825</v>
      </c>
      <c r="B663">
        <v>28.84</v>
      </c>
      <c r="C663">
        <v>0</v>
      </c>
    </row>
    <row r="664" spans="1:3" x14ac:dyDescent="0.3">
      <c r="A664" t="s">
        <v>801</v>
      </c>
      <c r="B664">
        <v>28.89</v>
      </c>
      <c r="C664">
        <v>0</v>
      </c>
    </row>
    <row r="665" spans="1:3" x14ac:dyDescent="0.3">
      <c r="A665" t="s">
        <v>899</v>
      </c>
      <c r="B665">
        <v>28.89</v>
      </c>
      <c r="C665">
        <v>0</v>
      </c>
    </row>
    <row r="666" spans="1:3" x14ac:dyDescent="0.3">
      <c r="A666" t="s">
        <v>206</v>
      </c>
      <c r="B666">
        <v>28.9</v>
      </c>
      <c r="C666">
        <v>0</v>
      </c>
    </row>
    <row r="667" spans="1:3" x14ac:dyDescent="0.3">
      <c r="A667" t="s">
        <v>406</v>
      </c>
      <c r="B667">
        <v>28.9</v>
      </c>
      <c r="C667">
        <v>0</v>
      </c>
    </row>
    <row r="668" spans="1:3" x14ac:dyDescent="0.3">
      <c r="A668" t="s">
        <v>1040</v>
      </c>
      <c r="B668">
        <v>28.9</v>
      </c>
      <c r="C668">
        <v>0</v>
      </c>
    </row>
    <row r="669" spans="1:3" x14ac:dyDescent="0.3">
      <c r="A669" t="s">
        <v>956</v>
      </c>
      <c r="B669">
        <v>28.92</v>
      </c>
      <c r="C669">
        <v>0</v>
      </c>
    </row>
    <row r="670" spans="1:3" x14ac:dyDescent="0.3">
      <c r="A670" t="s">
        <v>161</v>
      </c>
      <c r="B670">
        <v>28.93</v>
      </c>
      <c r="C670">
        <v>0</v>
      </c>
    </row>
    <row r="671" spans="1:3" x14ac:dyDescent="0.3">
      <c r="A671" t="s">
        <v>401</v>
      </c>
      <c r="B671">
        <v>28.97</v>
      </c>
      <c r="C671">
        <v>0</v>
      </c>
    </row>
    <row r="672" spans="1:3" x14ac:dyDescent="0.3">
      <c r="A672" t="s">
        <v>250</v>
      </c>
      <c r="B672">
        <v>29.01</v>
      </c>
      <c r="C672">
        <v>0</v>
      </c>
    </row>
    <row r="673" spans="1:3" x14ac:dyDescent="0.3">
      <c r="A673" t="s">
        <v>703</v>
      </c>
      <c r="B673">
        <v>29.01</v>
      </c>
      <c r="C673">
        <v>0</v>
      </c>
    </row>
    <row r="674" spans="1:3" x14ac:dyDescent="0.3">
      <c r="A674" t="s">
        <v>87</v>
      </c>
      <c r="B674">
        <v>29.04</v>
      </c>
      <c r="C674">
        <v>0</v>
      </c>
    </row>
    <row r="675" spans="1:3" x14ac:dyDescent="0.3">
      <c r="A675" t="s">
        <v>983</v>
      </c>
      <c r="B675">
        <v>29.05</v>
      </c>
      <c r="C675">
        <v>0</v>
      </c>
    </row>
    <row r="676" spans="1:3" x14ac:dyDescent="0.3">
      <c r="A676" t="s">
        <v>1042</v>
      </c>
      <c r="B676">
        <v>29.07</v>
      </c>
      <c r="C676">
        <v>0</v>
      </c>
    </row>
    <row r="677" spans="1:3" x14ac:dyDescent="0.3">
      <c r="A677" t="s">
        <v>363</v>
      </c>
      <c r="B677">
        <v>29.08</v>
      </c>
      <c r="C677">
        <v>0</v>
      </c>
    </row>
    <row r="678" spans="1:3" x14ac:dyDescent="0.3">
      <c r="A678" t="s">
        <v>637</v>
      </c>
      <c r="B678">
        <v>29.09</v>
      </c>
      <c r="C678">
        <v>0</v>
      </c>
    </row>
    <row r="679" spans="1:3" x14ac:dyDescent="0.3">
      <c r="A679" t="s">
        <v>377</v>
      </c>
      <c r="B679">
        <v>29.13</v>
      </c>
      <c r="C679">
        <v>0</v>
      </c>
    </row>
    <row r="680" spans="1:3" x14ac:dyDescent="0.3">
      <c r="A680" t="s">
        <v>381</v>
      </c>
      <c r="B680">
        <v>29.13</v>
      </c>
      <c r="C680">
        <v>0</v>
      </c>
    </row>
    <row r="681" spans="1:3" x14ac:dyDescent="0.3">
      <c r="A681" t="s">
        <v>582</v>
      </c>
      <c r="B681">
        <v>29.13</v>
      </c>
      <c r="C681">
        <v>0</v>
      </c>
    </row>
    <row r="682" spans="1:3" x14ac:dyDescent="0.3">
      <c r="A682" t="s">
        <v>842</v>
      </c>
      <c r="B682">
        <v>29.13</v>
      </c>
      <c r="C682">
        <v>0</v>
      </c>
    </row>
    <row r="683" spans="1:3" x14ac:dyDescent="0.3">
      <c r="A683" t="s">
        <v>856</v>
      </c>
      <c r="B683">
        <v>29.13</v>
      </c>
      <c r="C683">
        <v>0</v>
      </c>
    </row>
    <row r="684" spans="1:3" x14ac:dyDescent="0.3">
      <c r="A684" t="s">
        <v>962</v>
      </c>
      <c r="B684">
        <v>29.14</v>
      </c>
      <c r="C684">
        <v>0</v>
      </c>
    </row>
    <row r="685" spans="1:3" x14ac:dyDescent="0.3">
      <c r="A685" t="s">
        <v>1041</v>
      </c>
      <c r="B685">
        <v>29.15</v>
      </c>
      <c r="C685">
        <v>0</v>
      </c>
    </row>
    <row r="686" spans="1:3" x14ac:dyDescent="0.3">
      <c r="A686" t="s">
        <v>812</v>
      </c>
      <c r="B686">
        <v>29.17</v>
      </c>
      <c r="C686">
        <v>0</v>
      </c>
    </row>
    <row r="687" spans="1:3" x14ac:dyDescent="0.3">
      <c r="A687" t="s">
        <v>131</v>
      </c>
      <c r="B687">
        <v>29.2</v>
      </c>
      <c r="C687">
        <v>0</v>
      </c>
    </row>
    <row r="688" spans="1:3" x14ac:dyDescent="0.3">
      <c r="A688" t="s">
        <v>966</v>
      </c>
      <c r="B688">
        <v>29.29</v>
      </c>
      <c r="C688">
        <v>0</v>
      </c>
    </row>
    <row r="689" spans="1:3" x14ac:dyDescent="0.3">
      <c r="A689" t="s">
        <v>783</v>
      </c>
      <c r="B689">
        <v>29.3</v>
      </c>
      <c r="C689">
        <v>0</v>
      </c>
    </row>
    <row r="690" spans="1:3" x14ac:dyDescent="0.3">
      <c r="A690" t="s">
        <v>900</v>
      </c>
      <c r="B690">
        <v>29.3</v>
      </c>
      <c r="C690">
        <v>0</v>
      </c>
    </row>
    <row r="691" spans="1:3" x14ac:dyDescent="0.3">
      <c r="A691" t="s">
        <v>504</v>
      </c>
      <c r="B691">
        <v>29.31</v>
      </c>
      <c r="C691">
        <v>0</v>
      </c>
    </row>
    <row r="692" spans="1:3" x14ac:dyDescent="0.3">
      <c r="A692" t="s">
        <v>399</v>
      </c>
      <c r="B692">
        <v>29.33</v>
      </c>
      <c r="C692">
        <v>0</v>
      </c>
    </row>
    <row r="693" spans="1:3" x14ac:dyDescent="0.3">
      <c r="A693" t="s">
        <v>578</v>
      </c>
      <c r="B693">
        <v>29.34</v>
      </c>
      <c r="C693">
        <v>0</v>
      </c>
    </row>
    <row r="694" spans="1:3" x14ac:dyDescent="0.3">
      <c r="A694" t="s">
        <v>749</v>
      </c>
      <c r="B694">
        <v>29.34</v>
      </c>
      <c r="C694">
        <v>0</v>
      </c>
    </row>
    <row r="695" spans="1:3" x14ac:dyDescent="0.3">
      <c r="A695" t="s">
        <v>883</v>
      </c>
      <c r="B695">
        <v>29.34</v>
      </c>
      <c r="C695">
        <v>0</v>
      </c>
    </row>
    <row r="696" spans="1:3" x14ac:dyDescent="0.3">
      <c r="A696" t="s">
        <v>307</v>
      </c>
      <c r="B696">
        <v>29.36</v>
      </c>
      <c r="C696">
        <v>0</v>
      </c>
    </row>
    <row r="697" spans="1:3" x14ac:dyDescent="0.3">
      <c r="A697" t="s">
        <v>694</v>
      </c>
      <c r="B697">
        <v>29.39</v>
      </c>
      <c r="C697">
        <v>0</v>
      </c>
    </row>
    <row r="698" spans="1:3" x14ac:dyDescent="0.3">
      <c r="A698" t="s">
        <v>992</v>
      </c>
      <c r="B698">
        <v>29.39</v>
      </c>
      <c r="C698">
        <v>0</v>
      </c>
    </row>
    <row r="699" spans="1:3" x14ac:dyDescent="0.3">
      <c r="A699" t="s">
        <v>1097</v>
      </c>
      <c r="B699">
        <v>29.4</v>
      </c>
      <c r="C699">
        <v>0</v>
      </c>
    </row>
    <row r="700" spans="1:3" x14ac:dyDescent="0.3">
      <c r="A700" t="s">
        <v>916</v>
      </c>
      <c r="B700">
        <v>29.41</v>
      </c>
      <c r="C700">
        <v>0</v>
      </c>
    </row>
    <row r="701" spans="1:3" x14ac:dyDescent="0.3">
      <c r="A701" t="s">
        <v>346</v>
      </c>
      <c r="B701">
        <v>29.42</v>
      </c>
      <c r="C701">
        <v>0</v>
      </c>
    </row>
    <row r="702" spans="1:3" x14ac:dyDescent="0.3">
      <c r="A702" t="s">
        <v>561</v>
      </c>
      <c r="B702">
        <v>29.42</v>
      </c>
      <c r="C702">
        <v>0</v>
      </c>
    </row>
    <row r="703" spans="1:3" x14ac:dyDescent="0.3">
      <c r="A703" t="s">
        <v>875</v>
      </c>
      <c r="B703">
        <v>29.42</v>
      </c>
      <c r="C703">
        <v>0</v>
      </c>
    </row>
    <row r="704" spans="1:3" x14ac:dyDescent="0.3">
      <c r="A704" t="s">
        <v>1048</v>
      </c>
      <c r="B704">
        <v>29.47</v>
      </c>
      <c r="C704">
        <v>0</v>
      </c>
    </row>
    <row r="705" spans="1:3" x14ac:dyDescent="0.3">
      <c r="A705" t="s">
        <v>82</v>
      </c>
      <c r="B705">
        <v>29.48</v>
      </c>
      <c r="C705">
        <v>0</v>
      </c>
    </row>
    <row r="706" spans="1:3" x14ac:dyDescent="0.3">
      <c r="A706" t="s">
        <v>750</v>
      </c>
      <c r="B706">
        <v>29.49</v>
      </c>
      <c r="C706">
        <v>0</v>
      </c>
    </row>
    <row r="707" spans="1:3" x14ac:dyDescent="0.3">
      <c r="A707" t="s">
        <v>120</v>
      </c>
      <c r="B707">
        <v>29.51</v>
      </c>
      <c r="C707">
        <v>0</v>
      </c>
    </row>
    <row r="708" spans="1:3" x14ac:dyDescent="0.3">
      <c r="A708" t="s">
        <v>565</v>
      </c>
      <c r="B708">
        <v>29.51</v>
      </c>
      <c r="C708">
        <v>0</v>
      </c>
    </row>
    <row r="709" spans="1:3" x14ac:dyDescent="0.3">
      <c r="A709" t="s">
        <v>878</v>
      </c>
      <c r="B709">
        <v>29.54</v>
      </c>
      <c r="C709">
        <v>0</v>
      </c>
    </row>
    <row r="710" spans="1:3" x14ac:dyDescent="0.3">
      <c r="A710" t="s">
        <v>720</v>
      </c>
      <c r="B710">
        <v>29.56</v>
      </c>
      <c r="C710">
        <v>0</v>
      </c>
    </row>
    <row r="711" spans="1:3" x14ac:dyDescent="0.3">
      <c r="A711" t="s">
        <v>196</v>
      </c>
      <c r="B711">
        <v>29.58</v>
      </c>
      <c r="C711">
        <v>0</v>
      </c>
    </row>
    <row r="712" spans="1:3" x14ac:dyDescent="0.3">
      <c r="A712" t="s">
        <v>416</v>
      </c>
      <c r="B712">
        <v>29.59</v>
      </c>
      <c r="C712">
        <v>0</v>
      </c>
    </row>
    <row r="713" spans="1:3" x14ac:dyDescent="0.3">
      <c r="A713" t="s">
        <v>86</v>
      </c>
      <c r="B713">
        <v>29.61</v>
      </c>
      <c r="C713">
        <v>0</v>
      </c>
    </row>
    <row r="714" spans="1:3" x14ac:dyDescent="0.3">
      <c r="A714" t="s">
        <v>1128</v>
      </c>
      <c r="B714">
        <v>29.61</v>
      </c>
      <c r="C714">
        <v>0</v>
      </c>
    </row>
    <row r="715" spans="1:3" x14ac:dyDescent="0.3">
      <c r="A715" t="s">
        <v>737</v>
      </c>
      <c r="B715">
        <v>29.62</v>
      </c>
      <c r="C715">
        <v>0</v>
      </c>
    </row>
    <row r="716" spans="1:3" x14ac:dyDescent="0.3">
      <c r="A716" t="s">
        <v>1123</v>
      </c>
      <c r="B716">
        <v>29.62</v>
      </c>
      <c r="C716">
        <v>0</v>
      </c>
    </row>
    <row r="717" spans="1:3" x14ac:dyDescent="0.3">
      <c r="A717" t="s">
        <v>716</v>
      </c>
      <c r="B717">
        <v>29.63</v>
      </c>
      <c r="C717">
        <v>0</v>
      </c>
    </row>
    <row r="718" spans="1:3" x14ac:dyDescent="0.3">
      <c r="A718" t="s">
        <v>158</v>
      </c>
      <c r="B718">
        <v>29.67</v>
      </c>
      <c r="C718">
        <v>0</v>
      </c>
    </row>
    <row r="719" spans="1:3" x14ac:dyDescent="0.3">
      <c r="A719" t="s">
        <v>860</v>
      </c>
      <c r="B719">
        <v>29.68</v>
      </c>
      <c r="C719">
        <v>0</v>
      </c>
    </row>
    <row r="720" spans="1:3" x14ac:dyDescent="0.3">
      <c r="A720" t="s">
        <v>670</v>
      </c>
      <c r="B720">
        <v>29.69</v>
      </c>
      <c r="C720">
        <v>0</v>
      </c>
    </row>
    <row r="721" spans="1:3" x14ac:dyDescent="0.3">
      <c r="A721" t="s">
        <v>229</v>
      </c>
      <c r="B721">
        <v>29.71</v>
      </c>
      <c r="C721">
        <v>0</v>
      </c>
    </row>
    <row r="722" spans="1:3" x14ac:dyDescent="0.3">
      <c r="A722" t="s">
        <v>603</v>
      </c>
      <c r="B722">
        <v>29.72</v>
      </c>
      <c r="C722">
        <v>0</v>
      </c>
    </row>
    <row r="723" spans="1:3" x14ac:dyDescent="0.3">
      <c r="A723" t="s">
        <v>1011</v>
      </c>
      <c r="B723">
        <v>29.72</v>
      </c>
      <c r="C723">
        <v>0</v>
      </c>
    </row>
    <row r="724" spans="1:3" x14ac:dyDescent="0.3">
      <c r="A724" t="s">
        <v>419</v>
      </c>
      <c r="B724">
        <v>29.74</v>
      </c>
      <c r="C724">
        <v>0</v>
      </c>
    </row>
    <row r="725" spans="1:3" x14ac:dyDescent="0.3">
      <c r="A725" t="s">
        <v>409</v>
      </c>
      <c r="B725">
        <v>29.75</v>
      </c>
      <c r="C725">
        <v>0</v>
      </c>
    </row>
    <row r="726" spans="1:3" x14ac:dyDescent="0.3">
      <c r="A726" t="s">
        <v>123</v>
      </c>
      <c r="B726">
        <v>29.86</v>
      </c>
      <c r="C726">
        <v>0</v>
      </c>
    </row>
    <row r="727" spans="1:3" x14ac:dyDescent="0.3">
      <c r="A727" t="s">
        <v>164</v>
      </c>
      <c r="B727">
        <v>29.86</v>
      </c>
      <c r="C727">
        <v>0</v>
      </c>
    </row>
    <row r="728" spans="1:3" x14ac:dyDescent="0.3">
      <c r="A728" t="s">
        <v>223</v>
      </c>
      <c r="B728">
        <v>29.86</v>
      </c>
      <c r="C728">
        <v>0</v>
      </c>
    </row>
    <row r="729" spans="1:3" x14ac:dyDescent="0.3">
      <c r="A729" t="s">
        <v>607</v>
      </c>
      <c r="B729">
        <v>29.87</v>
      </c>
      <c r="C729">
        <v>0</v>
      </c>
    </row>
    <row r="730" spans="1:3" x14ac:dyDescent="0.3">
      <c r="A730" t="s">
        <v>217</v>
      </c>
      <c r="B730">
        <v>29.88</v>
      </c>
      <c r="C730">
        <v>0</v>
      </c>
    </row>
    <row r="731" spans="1:3" x14ac:dyDescent="0.3">
      <c r="A731" t="s">
        <v>757</v>
      </c>
      <c r="B731">
        <v>29.88</v>
      </c>
      <c r="C731">
        <v>0</v>
      </c>
    </row>
    <row r="732" spans="1:3" x14ac:dyDescent="0.3">
      <c r="A732" t="s">
        <v>609</v>
      </c>
      <c r="B732">
        <v>29.93</v>
      </c>
      <c r="C732">
        <v>0</v>
      </c>
    </row>
    <row r="733" spans="1:3" x14ac:dyDescent="0.3">
      <c r="A733" t="s">
        <v>172</v>
      </c>
      <c r="B733">
        <v>29.94</v>
      </c>
      <c r="C733">
        <v>0</v>
      </c>
    </row>
    <row r="734" spans="1:3" x14ac:dyDescent="0.3">
      <c r="A734" t="s">
        <v>295</v>
      </c>
      <c r="B734">
        <v>29.94</v>
      </c>
      <c r="C734">
        <v>0</v>
      </c>
    </row>
    <row r="735" spans="1:3" x14ac:dyDescent="0.3">
      <c r="A735" t="s">
        <v>65</v>
      </c>
      <c r="B735">
        <v>29.96</v>
      </c>
      <c r="C735">
        <v>0</v>
      </c>
    </row>
    <row r="736" spans="1:3" x14ac:dyDescent="0.3">
      <c r="A736" t="s">
        <v>650</v>
      </c>
      <c r="B736">
        <v>29.97</v>
      </c>
      <c r="C736">
        <v>0</v>
      </c>
    </row>
    <row r="737" spans="1:3" x14ac:dyDescent="0.3">
      <c r="A737" t="s">
        <v>998</v>
      </c>
      <c r="B737">
        <v>29.97</v>
      </c>
      <c r="C737">
        <v>0</v>
      </c>
    </row>
    <row r="738" spans="1:3" x14ac:dyDescent="0.3">
      <c r="A738" t="s">
        <v>195</v>
      </c>
      <c r="B738">
        <v>29.98</v>
      </c>
      <c r="C738">
        <v>0</v>
      </c>
    </row>
    <row r="739" spans="1:3" x14ac:dyDescent="0.3">
      <c r="A739" t="s">
        <v>544</v>
      </c>
      <c r="B739">
        <v>29.99</v>
      </c>
      <c r="C739">
        <v>0</v>
      </c>
    </row>
    <row r="740" spans="1:3" x14ac:dyDescent="0.3">
      <c r="A740" t="s">
        <v>187</v>
      </c>
      <c r="B740">
        <v>30.01</v>
      </c>
      <c r="C740">
        <v>0</v>
      </c>
    </row>
    <row r="741" spans="1:3" x14ac:dyDescent="0.3">
      <c r="A741" t="s">
        <v>732</v>
      </c>
      <c r="B741">
        <v>30.02</v>
      </c>
      <c r="C741">
        <v>0</v>
      </c>
    </row>
    <row r="742" spans="1:3" x14ac:dyDescent="0.3">
      <c r="A742" t="s">
        <v>902</v>
      </c>
      <c r="B742">
        <v>30.02</v>
      </c>
      <c r="C742">
        <v>0</v>
      </c>
    </row>
    <row r="743" spans="1:3" x14ac:dyDescent="0.3">
      <c r="A743" t="s">
        <v>975</v>
      </c>
      <c r="B743">
        <v>30.02</v>
      </c>
      <c r="C743">
        <v>0</v>
      </c>
    </row>
    <row r="744" spans="1:3" x14ac:dyDescent="0.3">
      <c r="A744" t="s">
        <v>935</v>
      </c>
      <c r="B744">
        <v>30.05</v>
      </c>
      <c r="C744">
        <v>0</v>
      </c>
    </row>
    <row r="745" spans="1:3" x14ac:dyDescent="0.3">
      <c r="A745" t="s">
        <v>602</v>
      </c>
      <c r="B745">
        <v>30.06</v>
      </c>
      <c r="C745">
        <v>0</v>
      </c>
    </row>
    <row r="746" spans="1:3" x14ac:dyDescent="0.3">
      <c r="A746" t="s">
        <v>644</v>
      </c>
      <c r="B746">
        <v>30.09</v>
      </c>
      <c r="C746">
        <v>0</v>
      </c>
    </row>
    <row r="747" spans="1:3" x14ac:dyDescent="0.3">
      <c r="A747" t="s">
        <v>993</v>
      </c>
      <c r="B747">
        <v>30.1</v>
      </c>
      <c r="C747">
        <v>0</v>
      </c>
    </row>
    <row r="748" spans="1:3" x14ac:dyDescent="0.3">
      <c r="A748" t="s">
        <v>341</v>
      </c>
      <c r="B748">
        <v>30.11</v>
      </c>
      <c r="C748">
        <v>0</v>
      </c>
    </row>
    <row r="749" spans="1:3" x14ac:dyDescent="0.3">
      <c r="A749" t="s">
        <v>314</v>
      </c>
      <c r="B749">
        <v>30.15</v>
      </c>
      <c r="C749">
        <v>0</v>
      </c>
    </row>
    <row r="750" spans="1:3" x14ac:dyDescent="0.3">
      <c r="A750" t="s">
        <v>1038</v>
      </c>
      <c r="B750">
        <v>30.15</v>
      </c>
      <c r="C750">
        <v>0</v>
      </c>
    </row>
    <row r="751" spans="1:3" x14ac:dyDescent="0.3">
      <c r="A751" t="s">
        <v>638</v>
      </c>
      <c r="B751">
        <v>30.18</v>
      </c>
      <c r="C751">
        <v>0</v>
      </c>
    </row>
    <row r="752" spans="1:3" x14ac:dyDescent="0.3">
      <c r="A752" t="s">
        <v>400</v>
      </c>
      <c r="B752">
        <v>30.2</v>
      </c>
      <c r="C752">
        <v>0</v>
      </c>
    </row>
    <row r="753" spans="1:3" x14ac:dyDescent="0.3">
      <c r="A753" t="s">
        <v>271</v>
      </c>
      <c r="B753">
        <v>30.23</v>
      </c>
      <c r="C753">
        <v>0</v>
      </c>
    </row>
    <row r="754" spans="1:3" x14ac:dyDescent="0.3">
      <c r="A754" t="s">
        <v>288</v>
      </c>
      <c r="B754">
        <v>30.24</v>
      </c>
      <c r="C754">
        <v>0</v>
      </c>
    </row>
    <row r="755" spans="1:3" x14ac:dyDescent="0.3">
      <c r="A755" t="s">
        <v>918</v>
      </c>
      <c r="B755">
        <v>30.24</v>
      </c>
      <c r="C755">
        <v>0</v>
      </c>
    </row>
    <row r="756" spans="1:3" x14ac:dyDescent="0.3">
      <c r="A756" t="s">
        <v>848</v>
      </c>
      <c r="B756">
        <v>30.27</v>
      </c>
      <c r="C756">
        <v>0</v>
      </c>
    </row>
    <row r="757" spans="1:3" x14ac:dyDescent="0.3">
      <c r="A757" t="s">
        <v>506</v>
      </c>
      <c r="B757">
        <v>30.3</v>
      </c>
      <c r="C757">
        <v>0</v>
      </c>
    </row>
    <row r="758" spans="1:3" x14ac:dyDescent="0.3">
      <c r="A758" t="s">
        <v>786</v>
      </c>
      <c r="B758">
        <v>30.31</v>
      </c>
      <c r="C758">
        <v>0</v>
      </c>
    </row>
    <row r="759" spans="1:3" x14ac:dyDescent="0.3">
      <c r="A759" t="s">
        <v>934</v>
      </c>
      <c r="B759">
        <v>30.32</v>
      </c>
      <c r="C759">
        <v>0</v>
      </c>
    </row>
    <row r="760" spans="1:3" x14ac:dyDescent="0.3">
      <c r="A760" t="s">
        <v>154</v>
      </c>
      <c r="B760">
        <v>30.38</v>
      </c>
      <c r="C760">
        <v>0</v>
      </c>
    </row>
    <row r="761" spans="1:3" x14ac:dyDescent="0.3">
      <c r="A761" t="s">
        <v>513</v>
      </c>
      <c r="B761">
        <v>30.38</v>
      </c>
      <c r="C761">
        <v>0</v>
      </c>
    </row>
    <row r="762" spans="1:3" x14ac:dyDescent="0.3">
      <c r="A762" t="s">
        <v>1023</v>
      </c>
      <c r="B762">
        <v>30.38</v>
      </c>
      <c r="C762">
        <v>0</v>
      </c>
    </row>
    <row r="763" spans="1:3" x14ac:dyDescent="0.3">
      <c r="A763" t="s">
        <v>778</v>
      </c>
      <c r="B763">
        <v>30.39</v>
      </c>
      <c r="C763">
        <v>0</v>
      </c>
    </row>
    <row r="764" spans="1:3" x14ac:dyDescent="0.3">
      <c r="A764" t="s">
        <v>178</v>
      </c>
      <c r="B764">
        <v>30.41</v>
      </c>
      <c r="C764">
        <v>0</v>
      </c>
    </row>
    <row r="765" spans="1:3" x14ac:dyDescent="0.3">
      <c r="A765" t="s">
        <v>948</v>
      </c>
      <c r="B765">
        <v>30.41</v>
      </c>
      <c r="C765">
        <v>0</v>
      </c>
    </row>
    <row r="766" spans="1:3" x14ac:dyDescent="0.3">
      <c r="A766" t="s">
        <v>528</v>
      </c>
      <c r="B766">
        <v>30.42</v>
      </c>
      <c r="C766">
        <v>0</v>
      </c>
    </row>
    <row r="767" spans="1:3" x14ac:dyDescent="0.3">
      <c r="A767" t="s">
        <v>517</v>
      </c>
      <c r="B767">
        <v>30.43</v>
      </c>
      <c r="C767">
        <v>0</v>
      </c>
    </row>
    <row r="768" spans="1:3" x14ac:dyDescent="0.3">
      <c r="A768" t="s">
        <v>946</v>
      </c>
      <c r="B768">
        <v>30.43</v>
      </c>
      <c r="C768">
        <v>0</v>
      </c>
    </row>
    <row r="769" spans="1:3" x14ac:dyDescent="0.3">
      <c r="A769" t="s">
        <v>493</v>
      </c>
      <c r="B769">
        <v>30.44</v>
      </c>
      <c r="C769">
        <v>0</v>
      </c>
    </row>
    <row r="770" spans="1:3" x14ac:dyDescent="0.3">
      <c r="A770" t="s">
        <v>1125</v>
      </c>
      <c r="B770">
        <v>30.44</v>
      </c>
      <c r="C770">
        <v>0</v>
      </c>
    </row>
    <row r="771" spans="1:3" x14ac:dyDescent="0.3">
      <c r="A771" t="s">
        <v>315</v>
      </c>
      <c r="B771">
        <v>30.45</v>
      </c>
      <c r="C771">
        <v>0</v>
      </c>
    </row>
    <row r="772" spans="1:3" x14ac:dyDescent="0.3">
      <c r="A772" t="s">
        <v>1136</v>
      </c>
      <c r="B772">
        <v>30.47</v>
      </c>
      <c r="C772">
        <v>0</v>
      </c>
    </row>
    <row r="773" spans="1:3" x14ac:dyDescent="0.3">
      <c r="A773" t="s">
        <v>1099</v>
      </c>
      <c r="B773">
        <v>30.5</v>
      </c>
      <c r="C773">
        <v>0</v>
      </c>
    </row>
    <row r="774" spans="1:3" x14ac:dyDescent="0.3">
      <c r="A774" t="s">
        <v>1116</v>
      </c>
      <c r="B774">
        <v>30.5</v>
      </c>
      <c r="C774">
        <v>0</v>
      </c>
    </row>
    <row r="775" spans="1:3" x14ac:dyDescent="0.3">
      <c r="A775" t="s">
        <v>619</v>
      </c>
      <c r="B775">
        <v>30.51</v>
      </c>
      <c r="C775">
        <v>0</v>
      </c>
    </row>
    <row r="776" spans="1:3" x14ac:dyDescent="0.3">
      <c r="A776" t="s">
        <v>885</v>
      </c>
      <c r="B776">
        <v>30.53</v>
      </c>
      <c r="C776">
        <v>0</v>
      </c>
    </row>
    <row r="777" spans="1:3" x14ac:dyDescent="0.3">
      <c r="A777" t="s">
        <v>512</v>
      </c>
      <c r="B777">
        <v>30.54</v>
      </c>
      <c r="C777">
        <v>0</v>
      </c>
    </row>
    <row r="778" spans="1:3" x14ac:dyDescent="0.3">
      <c r="A778" t="s">
        <v>198</v>
      </c>
      <c r="B778">
        <v>30.55</v>
      </c>
      <c r="C778">
        <v>0</v>
      </c>
    </row>
    <row r="779" spans="1:3" x14ac:dyDescent="0.3">
      <c r="A779" t="s">
        <v>300</v>
      </c>
      <c r="B779">
        <v>30.57</v>
      </c>
      <c r="C779">
        <v>0</v>
      </c>
    </row>
    <row r="780" spans="1:3" x14ac:dyDescent="0.3">
      <c r="A780" t="s">
        <v>530</v>
      </c>
      <c r="B780">
        <v>30.57</v>
      </c>
      <c r="C780">
        <v>0</v>
      </c>
    </row>
    <row r="781" spans="1:3" x14ac:dyDescent="0.3">
      <c r="A781" t="s">
        <v>1019</v>
      </c>
      <c r="B781">
        <v>30.57</v>
      </c>
      <c r="C781">
        <v>0</v>
      </c>
    </row>
    <row r="782" spans="1:3" x14ac:dyDescent="0.3">
      <c r="A782" t="s">
        <v>1076</v>
      </c>
      <c r="B782">
        <v>30.57</v>
      </c>
      <c r="C782">
        <v>0</v>
      </c>
    </row>
    <row r="783" spans="1:3" x14ac:dyDescent="0.3">
      <c r="A783" t="s">
        <v>261</v>
      </c>
      <c r="B783">
        <v>30.61</v>
      </c>
      <c r="C783">
        <v>0</v>
      </c>
    </row>
    <row r="784" spans="1:3" x14ac:dyDescent="0.3">
      <c r="A784" t="s">
        <v>132</v>
      </c>
      <c r="B784">
        <v>30.63</v>
      </c>
      <c r="C784">
        <v>0</v>
      </c>
    </row>
    <row r="785" spans="1:3" x14ac:dyDescent="0.3">
      <c r="A785" t="s">
        <v>579</v>
      </c>
      <c r="B785">
        <v>30.68</v>
      </c>
      <c r="C785">
        <v>0</v>
      </c>
    </row>
    <row r="786" spans="1:3" x14ac:dyDescent="0.3">
      <c r="A786" t="s">
        <v>279</v>
      </c>
      <c r="B786">
        <v>30.69</v>
      </c>
      <c r="C786">
        <v>0</v>
      </c>
    </row>
    <row r="787" spans="1:3" x14ac:dyDescent="0.3">
      <c r="A787" t="s">
        <v>402</v>
      </c>
      <c r="B787">
        <v>30.73</v>
      </c>
      <c r="C787">
        <v>0</v>
      </c>
    </row>
    <row r="788" spans="1:3" x14ac:dyDescent="0.3">
      <c r="A788" t="s">
        <v>976</v>
      </c>
      <c r="B788">
        <v>30.77</v>
      </c>
      <c r="C788">
        <v>0</v>
      </c>
    </row>
    <row r="789" spans="1:3" x14ac:dyDescent="0.3">
      <c r="A789" t="s">
        <v>969</v>
      </c>
      <c r="B789">
        <v>30.89</v>
      </c>
      <c r="C789">
        <v>0</v>
      </c>
    </row>
    <row r="790" spans="1:3" x14ac:dyDescent="0.3">
      <c r="A790" t="s">
        <v>482</v>
      </c>
      <c r="B790">
        <v>30.9</v>
      </c>
      <c r="C790">
        <v>0</v>
      </c>
    </row>
    <row r="791" spans="1:3" x14ac:dyDescent="0.3">
      <c r="A791" t="s">
        <v>751</v>
      </c>
      <c r="B791">
        <v>30.91</v>
      </c>
      <c r="C791">
        <v>0</v>
      </c>
    </row>
    <row r="792" spans="1:3" x14ac:dyDescent="0.3">
      <c r="A792" t="s">
        <v>739</v>
      </c>
      <c r="B792">
        <v>30.94</v>
      </c>
      <c r="C792">
        <v>0</v>
      </c>
    </row>
    <row r="793" spans="1:3" x14ac:dyDescent="0.3">
      <c r="A793" t="s">
        <v>99</v>
      </c>
      <c r="B793">
        <v>30.95</v>
      </c>
      <c r="C793">
        <v>0</v>
      </c>
    </row>
    <row r="794" spans="1:3" x14ac:dyDescent="0.3">
      <c r="A794" t="s">
        <v>294</v>
      </c>
      <c r="B794">
        <v>30.96</v>
      </c>
      <c r="C794">
        <v>0</v>
      </c>
    </row>
    <row r="795" spans="1:3" x14ac:dyDescent="0.3">
      <c r="A795" t="s">
        <v>678</v>
      </c>
      <c r="B795">
        <v>30.99</v>
      </c>
      <c r="C795">
        <v>0</v>
      </c>
    </row>
    <row r="796" spans="1:3" x14ac:dyDescent="0.3">
      <c r="A796" t="s">
        <v>601</v>
      </c>
      <c r="B796">
        <v>31.02</v>
      </c>
      <c r="C796">
        <v>0</v>
      </c>
    </row>
    <row r="797" spans="1:3" x14ac:dyDescent="0.3">
      <c r="A797" t="s">
        <v>274</v>
      </c>
      <c r="B797">
        <v>31.03</v>
      </c>
      <c r="C797">
        <v>0</v>
      </c>
    </row>
    <row r="798" spans="1:3" x14ac:dyDescent="0.3">
      <c r="A798" t="s">
        <v>186</v>
      </c>
      <c r="B798">
        <v>31.04</v>
      </c>
      <c r="C798">
        <v>0</v>
      </c>
    </row>
    <row r="799" spans="1:3" x14ac:dyDescent="0.3">
      <c r="A799" t="s">
        <v>997</v>
      </c>
      <c r="B799">
        <v>31.08</v>
      </c>
      <c r="C799">
        <v>0</v>
      </c>
    </row>
    <row r="800" spans="1:3" x14ac:dyDescent="0.3">
      <c r="A800" t="s">
        <v>57</v>
      </c>
      <c r="B800">
        <v>31.14</v>
      </c>
      <c r="C800">
        <v>0</v>
      </c>
    </row>
    <row r="801" spans="1:3" x14ac:dyDescent="0.3">
      <c r="A801" t="s">
        <v>987</v>
      </c>
      <c r="B801">
        <v>31.14</v>
      </c>
      <c r="C801">
        <v>0</v>
      </c>
    </row>
    <row r="802" spans="1:3" x14ac:dyDescent="0.3">
      <c r="A802" t="s">
        <v>439</v>
      </c>
      <c r="B802">
        <v>31.15</v>
      </c>
      <c r="C802">
        <v>0</v>
      </c>
    </row>
    <row r="803" spans="1:3" x14ac:dyDescent="0.3">
      <c r="A803" t="s">
        <v>532</v>
      </c>
      <c r="B803">
        <v>31.15</v>
      </c>
      <c r="C803">
        <v>0</v>
      </c>
    </row>
    <row r="804" spans="1:3" x14ac:dyDescent="0.3">
      <c r="A804" t="s">
        <v>760</v>
      </c>
      <c r="B804">
        <v>31.18</v>
      </c>
      <c r="C804">
        <v>0</v>
      </c>
    </row>
    <row r="805" spans="1:3" x14ac:dyDescent="0.3">
      <c r="A805" t="s">
        <v>248</v>
      </c>
      <c r="B805">
        <v>31.21</v>
      </c>
      <c r="C805">
        <v>0</v>
      </c>
    </row>
    <row r="806" spans="1:3" x14ac:dyDescent="0.3">
      <c r="A806" t="s">
        <v>869</v>
      </c>
      <c r="B806">
        <v>31.24</v>
      </c>
      <c r="C806">
        <v>0</v>
      </c>
    </row>
    <row r="807" spans="1:3" x14ac:dyDescent="0.3">
      <c r="A807" t="s">
        <v>845</v>
      </c>
      <c r="B807">
        <v>31.25</v>
      </c>
      <c r="C807">
        <v>0</v>
      </c>
    </row>
    <row r="808" spans="1:3" x14ac:dyDescent="0.3">
      <c r="A808" t="s">
        <v>693</v>
      </c>
      <c r="B808">
        <v>31.29</v>
      </c>
      <c r="C808">
        <v>0</v>
      </c>
    </row>
    <row r="809" spans="1:3" x14ac:dyDescent="0.3">
      <c r="A809" t="s">
        <v>990</v>
      </c>
      <c r="B809">
        <v>31.34</v>
      </c>
      <c r="C809">
        <v>0</v>
      </c>
    </row>
    <row r="810" spans="1:3" x14ac:dyDescent="0.3">
      <c r="A810" t="s">
        <v>322</v>
      </c>
      <c r="B810">
        <v>31.35</v>
      </c>
      <c r="C810">
        <v>0</v>
      </c>
    </row>
    <row r="811" spans="1:3" x14ac:dyDescent="0.3">
      <c r="A811" t="s">
        <v>100</v>
      </c>
      <c r="B811">
        <v>31.36</v>
      </c>
      <c r="C811">
        <v>0</v>
      </c>
    </row>
    <row r="812" spans="1:3" x14ac:dyDescent="0.3">
      <c r="A812" t="s">
        <v>476</v>
      </c>
      <c r="B812">
        <v>31.39</v>
      </c>
      <c r="C812">
        <v>0</v>
      </c>
    </row>
    <row r="813" spans="1:3" x14ac:dyDescent="0.3">
      <c r="A813" t="s">
        <v>614</v>
      </c>
      <c r="B813">
        <v>31.39</v>
      </c>
      <c r="C813">
        <v>0</v>
      </c>
    </row>
    <row r="814" spans="1:3" x14ac:dyDescent="0.3">
      <c r="A814" t="s">
        <v>829</v>
      </c>
      <c r="B814">
        <v>31.39</v>
      </c>
      <c r="C814">
        <v>0</v>
      </c>
    </row>
    <row r="815" spans="1:3" x14ac:dyDescent="0.3">
      <c r="A815" t="s">
        <v>655</v>
      </c>
      <c r="B815">
        <v>31.41</v>
      </c>
      <c r="C815">
        <v>0</v>
      </c>
    </row>
    <row r="816" spans="1:3" x14ac:dyDescent="0.3">
      <c r="A816" t="s">
        <v>321</v>
      </c>
      <c r="B816">
        <v>31.42</v>
      </c>
      <c r="C816">
        <v>0</v>
      </c>
    </row>
    <row r="817" spans="1:3" x14ac:dyDescent="0.3">
      <c r="A817" t="s">
        <v>385</v>
      </c>
      <c r="B817">
        <v>31.45</v>
      </c>
      <c r="C817">
        <v>0</v>
      </c>
    </row>
    <row r="818" spans="1:3" x14ac:dyDescent="0.3">
      <c r="A818" t="s">
        <v>414</v>
      </c>
      <c r="B818">
        <v>31.47</v>
      </c>
      <c r="C818">
        <v>0</v>
      </c>
    </row>
    <row r="819" spans="1:3" x14ac:dyDescent="0.3">
      <c r="A819" t="s">
        <v>591</v>
      </c>
      <c r="B819">
        <v>31.47</v>
      </c>
      <c r="C819">
        <v>0</v>
      </c>
    </row>
    <row r="820" spans="1:3" x14ac:dyDescent="0.3">
      <c r="A820" t="s">
        <v>653</v>
      </c>
      <c r="B820">
        <v>31.47</v>
      </c>
      <c r="C820">
        <v>0</v>
      </c>
    </row>
    <row r="821" spans="1:3" x14ac:dyDescent="0.3">
      <c r="A821" t="s">
        <v>643</v>
      </c>
      <c r="B821">
        <v>31.48</v>
      </c>
      <c r="C821">
        <v>0</v>
      </c>
    </row>
    <row r="822" spans="1:3" x14ac:dyDescent="0.3">
      <c r="A822" t="s">
        <v>755</v>
      </c>
      <c r="B822">
        <v>31.51</v>
      </c>
      <c r="C822">
        <v>0</v>
      </c>
    </row>
    <row r="823" spans="1:3" x14ac:dyDescent="0.3">
      <c r="A823" t="s">
        <v>742</v>
      </c>
      <c r="B823">
        <v>31.52</v>
      </c>
      <c r="C823">
        <v>0</v>
      </c>
    </row>
    <row r="824" spans="1:3" x14ac:dyDescent="0.3">
      <c r="A824" t="s">
        <v>1036</v>
      </c>
      <c r="B824">
        <v>31.53</v>
      </c>
      <c r="C824">
        <v>0</v>
      </c>
    </row>
    <row r="825" spans="1:3" x14ac:dyDescent="0.3">
      <c r="A825" t="s">
        <v>1092</v>
      </c>
      <c r="B825">
        <v>31.59</v>
      </c>
      <c r="C825">
        <v>0</v>
      </c>
    </row>
    <row r="826" spans="1:3" x14ac:dyDescent="0.3">
      <c r="A826" t="s">
        <v>249</v>
      </c>
      <c r="B826">
        <v>31.6</v>
      </c>
      <c r="C826">
        <v>0</v>
      </c>
    </row>
    <row r="827" spans="1:3" x14ac:dyDescent="0.3">
      <c r="A827" t="s">
        <v>648</v>
      </c>
      <c r="B827">
        <v>31.68</v>
      </c>
      <c r="C827">
        <v>0</v>
      </c>
    </row>
    <row r="828" spans="1:3" x14ac:dyDescent="0.3">
      <c r="A828" t="s">
        <v>726</v>
      </c>
      <c r="B828">
        <v>31.7</v>
      </c>
      <c r="C828">
        <v>0</v>
      </c>
    </row>
    <row r="829" spans="1:3" x14ac:dyDescent="0.3">
      <c r="A829" t="s">
        <v>245</v>
      </c>
      <c r="B829">
        <v>31.72</v>
      </c>
      <c r="C829">
        <v>0</v>
      </c>
    </row>
    <row r="830" spans="1:3" x14ac:dyDescent="0.3">
      <c r="A830" t="s">
        <v>88</v>
      </c>
      <c r="B830">
        <v>31.74</v>
      </c>
      <c r="C830">
        <v>0</v>
      </c>
    </row>
    <row r="831" spans="1:3" x14ac:dyDescent="0.3">
      <c r="A831" t="s">
        <v>429</v>
      </c>
      <c r="B831">
        <v>31.75</v>
      </c>
      <c r="C831">
        <v>0</v>
      </c>
    </row>
    <row r="832" spans="1:3" x14ac:dyDescent="0.3">
      <c r="A832" t="s">
        <v>477</v>
      </c>
      <c r="B832">
        <v>31.75</v>
      </c>
      <c r="C832">
        <v>0</v>
      </c>
    </row>
    <row r="833" spans="1:3" x14ac:dyDescent="0.3">
      <c r="A833" t="s">
        <v>598</v>
      </c>
      <c r="B833">
        <v>31.77</v>
      </c>
      <c r="C833">
        <v>0</v>
      </c>
    </row>
    <row r="834" spans="1:3" x14ac:dyDescent="0.3">
      <c r="A834" t="s">
        <v>1047</v>
      </c>
      <c r="B834">
        <v>31.8</v>
      </c>
      <c r="C834">
        <v>0</v>
      </c>
    </row>
    <row r="835" spans="1:3" x14ac:dyDescent="0.3">
      <c r="A835" t="s">
        <v>221</v>
      </c>
      <c r="B835">
        <v>31.81</v>
      </c>
      <c r="C835">
        <v>0</v>
      </c>
    </row>
    <row r="836" spans="1:3" x14ac:dyDescent="0.3">
      <c r="A836" t="s">
        <v>434</v>
      </c>
      <c r="B836">
        <v>31.81</v>
      </c>
      <c r="C836">
        <v>0</v>
      </c>
    </row>
    <row r="837" spans="1:3" x14ac:dyDescent="0.3">
      <c r="A837" t="s">
        <v>584</v>
      </c>
      <c r="B837">
        <v>31.86</v>
      </c>
      <c r="C837">
        <v>0</v>
      </c>
    </row>
    <row r="838" spans="1:3" x14ac:dyDescent="0.3">
      <c r="A838" t="s">
        <v>454</v>
      </c>
      <c r="B838">
        <v>31.87</v>
      </c>
      <c r="C838">
        <v>0</v>
      </c>
    </row>
    <row r="839" spans="1:3" x14ac:dyDescent="0.3">
      <c r="A839" t="s">
        <v>753</v>
      </c>
      <c r="B839">
        <v>31.88</v>
      </c>
      <c r="C839">
        <v>0</v>
      </c>
    </row>
    <row r="840" spans="1:3" x14ac:dyDescent="0.3">
      <c r="A840" t="s">
        <v>605</v>
      </c>
      <c r="B840">
        <v>31.89</v>
      </c>
      <c r="C840">
        <v>0</v>
      </c>
    </row>
    <row r="841" spans="1:3" x14ac:dyDescent="0.3">
      <c r="A841" t="s">
        <v>711</v>
      </c>
      <c r="B841">
        <v>31.89</v>
      </c>
      <c r="C841">
        <v>0</v>
      </c>
    </row>
    <row r="842" spans="1:3" x14ac:dyDescent="0.3">
      <c r="A842" t="s">
        <v>979</v>
      </c>
      <c r="B842">
        <v>31.89</v>
      </c>
      <c r="C842">
        <v>0</v>
      </c>
    </row>
    <row r="843" spans="1:3" x14ac:dyDescent="0.3">
      <c r="A843" t="s">
        <v>759</v>
      </c>
      <c r="B843">
        <v>31.91</v>
      </c>
      <c r="C843">
        <v>0</v>
      </c>
    </row>
    <row r="844" spans="1:3" x14ac:dyDescent="0.3">
      <c r="A844" t="s">
        <v>651</v>
      </c>
      <c r="B844">
        <v>31.95</v>
      </c>
      <c r="C844">
        <v>0</v>
      </c>
    </row>
    <row r="845" spans="1:3" x14ac:dyDescent="0.3">
      <c r="A845" t="s">
        <v>243</v>
      </c>
      <c r="B845">
        <v>31.99</v>
      </c>
      <c r="C845">
        <v>0</v>
      </c>
    </row>
    <row r="846" spans="1:3" x14ac:dyDescent="0.3">
      <c r="A846" t="s">
        <v>872</v>
      </c>
      <c r="B846">
        <v>31.99</v>
      </c>
      <c r="C846">
        <v>0</v>
      </c>
    </row>
    <row r="847" spans="1:3" x14ac:dyDescent="0.3">
      <c r="A847" t="s">
        <v>826</v>
      </c>
      <c r="B847">
        <v>32</v>
      </c>
      <c r="C847">
        <v>0</v>
      </c>
    </row>
    <row r="848" spans="1:3" x14ac:dyDescent="0.3">
      <c r="A848" t="s">
        <v>1058</v>
      </c>
      <c r="B848">
        <v>32.020000000000003</v>
      </c>
      <c r="C848">
        <v>0</v>
      </c>
    </row>
    <row r="849" spans="1:3" x14ac:dyDescent="0.3">
      <c r="A849" t="s">
        <v>1104</v>
      </c>
      <c r="B849">
        <v>32.04</v>
      </c>
      <c r="C849">
        <v>0</v>
      </c>
    </row>
    <row r="850" spans="1:3" x14ac:dyDescent="0.3">
      <c r="A850" t="s">
        <v>296</v>
      </c>
      <c r="B850">
        <v>32.090000000000003</v>
      </c>
      <c r="C850">
        <v>0</v>
      </c>
    </row>
    <row r="851" spans="1:3" x14ac:dyDescent="0.3">
      <c r="A851" t="s">
        <v>641</v>
      </c>
      <c r="B851">
        <v>32.090000000000003</v>
      </c>
      <c r="C851">
        <v>0</v>
      </c>
    </row>
    <row r="852" spans="1:3" x14ac:dyDescent="0.3">
      <c r="A852" t="s">
        <v>1000</v>
      </c>
      <c r="B852">
        <v>32.090000000000003</v>
      </c>
      <c r="C852">
        <v>0</v>
      </c>
    </row>
    <row r="853" spans="1:3" x14ac:dyDescent="0.3">
      <c r="A853" t="s">
        <v>364</v>
      </c>
      <c r="B853">
        <v>32.1</v>
      </c>
      <c r="C853">
        <v>0</v>
      </c>
    </row>
    <row r="854" spans="1:3" x14ac:dyDescent="0.3">
      <c r="A854" t="s">
        <v>691</v>
      </c>
      <c r="B854">
        <v>32.130000000000003</v>
      </c>
      <c r="C854">
        <v>0</v>
      </c>
    </row>
    <row r="855" spans="1:3" x14ac:dyDescent="0.3">
      <c r="A855" t="s">
        <v>338</v>
      </c>
      <c r="B855">
        <v>32.14</v>
      </c>
      <c r="C855">
        <v>0</v>
      </c>
    </row>
    <row r="856" spans="1:3" x14ac:dyDescent="0.3">
      <c r="A856" t="s">
        <v>628</v>
      </c>
      <c r="B856">
        <v>32.15</v>
      </c>
      <c r="C856">
        <v>0</v>
      </c>
    </row>
    <row r="857" spans="1:3" x14ac:dyDescent="0.3">
      <c r="A857" t="s">
        <v>959</v>
      </c>
      <c r="B857">
        <v>32.18</v>
      </c>
      <c r="C857">
        <v>0</v>
      </c>
    </row>
    <row r="858" spans="1:3" x14ac:dyDescent="0.3">
      <c r="A858" t="s">
        <v>481</v>
      </c>
      <c r="B858">
        <v>32.200000000000003</v>
      </c>
      <c r="C858">
        <v>0</v>
      </c>
    </row>
    <row r="859" spans="1:3" x14ac:dyDescent="0.3">
      <c r="A859" t="s">
        <v>775</v>
      </c>
      <c r="B859">
        <v>32.229999999999997</v>
      </c>
      <c r="C859">
        <v>0</v>
      </c>
    </row>
    <row r="860" spans="1:3" x14ac:dyDescent="0.3">
      <c r="A860" t="s">
        <v>595</v>
      </c>
      <c r="B860">
        <v>32.270000000000003</v>
      </c>
      <c r="C860">
        <v>0</v>
      </c>
    </row>
    <row r="861" spans="1:3" x14ac:dyDescent="0.3">
      <c r="A861" t="s">
        <v>942</v>
      </c>
      <c r="B861">
        <v>32.270000000000003</v>
      </c>
      <c r="C861">
        <v>0</v>
      </c>
    </row>
    <row r="862" spans="1:3" x14ac:dyDescent="0.3">
      <c r="A862" t="s">
        <v>272</v>
      </c>
      <c r="B862">
        <v>32.28</v>
      </c>
      <c r="C862">
        <v>0</v>
      </c>
    </row>
    <row r="863" spans="1:3" x14ac:dyDescent="0.3">
      <c r="A863" t="s">
        <v>327</v>
      </c>
      <c r="B863">
        <v>32.29</v>
      </c>
      <c r="C863">
        <v>0</v>
      </c>
    </row>
    <row r="864" spans="1:3" x14ac:dyDescent="0.3">
      <c r="A864" t="s">
        <v>898</v>
      </c>
      <c r="B864">
        <v>32.299999999999997</v>
      </c>
      <c r="C864">
        <v>0</v>
      </c>
    </row>
    <row r="865" spans="1:3" x14ac:dyDescent="0.3">
      <c r="A865" t="s">
        <v>843</v>
      </c>
      <c r="B865">
        <v>32.31</v>
      </c>
      <c r="C865">
        <v>0</v>
      </c>
    </row>
    <row r="866" spans="1:3" x14ac:dyDescent="0.3">
      <c r="A866" t="s">
        <v>773</v>
      </c>
      <c r="B866">
        <v>32.340000000000003</v>
      </c>
      <c r="C866">
        <v>0</v>
      </c>
    </row>
    <row r="867" spans="1:3" x14ac:dyDescent="0.3">
      <c r="A867" t="s">
        <v>141</v>
      </c>
      <c r="B867">
        <v>32.380000000000003</v>
      </c>
      <c r="C867">
        <v>0</v>
      </c>
    </row>
    <row r="868" spans="1:3" x14ac:dyDescent="0.3">
      <c r="A868" t="s">
        <v>725</v>
      </c>
      <c r="B868">
        <v>32.380000000000003</v>
      </c>
      <c r="C868">
        <v>0</v>
      </c>
    </row>
    <row r="869" spans="1:3" x14ac:dyDescent="0.3">
      <c r="A869" t="s">
        <v>289</v>
      </c>
      <c r="B869">
        <v>32.39</v>
      </c>
      <c r="C869">
        <v>0</v>
      </c>
    </row>
    <row r="870" spans="1:3" x14ac:dyDescent="0.3">
      <c r="A870" t="s">
        <v>501</v>
      </c>
      <c r="B870">
        <v>32.4</v>
      </c>
      <c r="C870">
        <v>0</v>
      </c>
    </row>
    <row r="871" spans="1:3" x14ac:dyDescent="0.3">
      <c r="A871" t="s">
        <v>611</v>
      </c>
      <c r="B871">
        <v>32.42</v>
      </c>
      <c r="C871">
        <v>0</v>
      </c>
    </row>
    <row r="872" spans="1:3" x14ac:dyDescent="0.3">
      <c r="A872" t="s">
        <v>769</v>
      </c>
      <c r="B872">
        <v>32.42</v>
      </c>
      <c r="C872">
        <v>0</v>
      </c>
    </row>
    <row r="873" spans="1:3" x14ac:dyDescent="0.3">
      <c r="A873" t="s">
        <v>833</v>
      </c>
      <c r="B873">
        <v>32.47</v>
      </c>
      <c r="C873">
        <v>0</v>
      </c>
    </row>
    <row r="874" spans="1:3" x14ac:dyDescent="0.3">
      <c r="A874" t="s">
        <v>449</v>
      </c>
      <c r="B874">
        <v>32.520000000000003</v>
      </c>
      <c r="C874">
        <v>0</v>
      </c>
    </row>
    <row r="875" spans="1:3" x14ac:dyDescent="0.3">
      <c r="A875" t="s">
        <v>41</v>
      </c>
      <c r="B875">
        <v>32.53</v>
      </c>
      <c r="C875">
        <v>0</v>
      </c>
    </row>
    <row r="876" spans="1:3" x14ac:dyDescent="0.3">
      <c r="A876" t="s">
        <v>748</v>
      </c>
      <c r="B876">
        <v>32.6</v>
      </c>
      <c r="C876">
        <v>0</v>
      </c>
    </row>
    <row r="877" spans="1:3" x14ac:dyDescent="0.3">
      <c r="A877" t="s">
        <v>958</v>
      </c>
      <c r="B877">
        <v>32.619999999999997</v>
      </c>
      <c r="C877">
        <v>0</v>
      </c>
    </row>
    <row r="878" spans="1:3" x14ac:dyDescent="0.3">
      <c r="A878" t="s">
        <v>426</v>
      </c>
      <c r="B878">
        <v>32.630000000000003</v>
      </c>
      <c r="C878">
        <v>0</v>
      </c>
    </row>
    <row r="879" spans="1:3" x14ac:dyDescent="0.3">
      <c r="A879" t="s">
        <v>657</v>
      </c>
      <c r="B879">
        <v>32.64</v>
      </c>
      <c r="C879">
        <v>0</v>
      </c>
    </row>
    <row r="880" spans="1:3" x14ac:dyDescent="0.3">
      <c r="A880" t="s">
        <v>700</v>
      </c>
      <c r="B880">
        <v>32.64</v>
      </c>
      <c r="C880">
        <v>0</v>
      </c>
    </row>
    <row r="881" spans="1:3" x14ac:dyDescent="0.3">
      <c r="A881" t="s">
        <v>218</v>
      </c>
      <c r="B881">
        <v>32.68</v>
      </c>
      <c r="C881">
        <v>0</v>
      </c>
    </row>
    <row r="882" spans="1:3" x14ac:dyDescent="0.3">
      <c r="A882" t="s">
        <v>421</v>
      </c>
      <c r="B882">
        <v>32.68</v>
      </c>
      <c r="C882">
        <v>0</v>
      </c>
    </row>
    <row r="883" spans="1:3" x14ac:dyDescent="0.3">
      <c r="A883" t="s">
        <v>559</v>
      </c>
      <c r="B883">
        <v>32.700000000000003</v>
      </c>
      <c r="C883">
        <v>0</v>
      </c>
    </row>
    <row r="884" spans="1:3" x14ac:dyDescent="0.3">
      <c r="A884" t="s">
        <v>688</v>
      </c>
      <c r="B884">
        <v>32.729999999999997</v>
      </c>
      <c r="C884">
        <v>0</v>
      </c>
    </row>
    <row r="885" spans="1:3" x14ac:dyDescent="0.3">
      <c r="A885" t="s">
        <v>743</v>
      </c>
      <c r="B885">
        <v>32.75</v>
      </c>
      <c r="C885">
        <v>0</v>
      </c>
    </row>
    <row r="886" spans="1:3" x14ac:dyDescent="0.3">
      <c r="A886" t="s">
        <v>957</v>
      </c>
      <c r="B886">
        <v>32.75</v>
      </c>
      <c r="C886">
        <v>0</v>
      </c>
    </row>
    <row r="887" spans="1:3" x14ac:dyDescent="0.3">
      <c r="A887" t="s">
        <v>463</v>
      </c>
      <c r="B887">
        <v>32.81</v>
      </c>
      <c r="C887">
        <v>0</v>
      </c>
    </row>
    <row r="888" spans="1:3" x14ac:dyDescent="0.3">
      <c r="A888" t="s">
        <v>668</v>
      </c>
      <c r="B888">
        <v>32.82</v>
      </c>
      <c r="C888">
        <v>0</v>
      </c>
    </row>
    <row r="889" spans="1:3" x14ac:dyDescent="0.3">
      <c r="A889" t="s">
        <v>422</v>
      </c>
      <c r="B889">
        <v>32.869999999999997</v>
      </c>
      <c r="C889">
        <v>0</v>
      </c>
    </row>
    <row r="890" spans="1:3" x14ac:dyDescent="0.3">
      <c r="A890" t="s">
        <v>339</v>
      </c>
      <c r="B890">
        <v>32.880000000000003</v>
      </c>
      <c r="C890">
        <v>0</v>
      </c>
    </row>
    <row r="891" spans="1:3" x14ac:dyDescent="0.3">
      <c r="A891" t="s">
        <v>568</v>
      </c>
      <c r="B891">
        <v>32.880000000000003</v>
      </c>
      <c r="C891">
        <v>0</v>
      </c>
    </row>
    <row r="892" spans="1:3" x14ac:dyDescent="0.3">
      <c r="A892" t="s">
        <v>384</v>
      </c>
      <c r="B892">
        <v>32.94</v>
      </c>
      <c r="C892">
        <v>0</v>
      </c>
    </row>
    <row r="893" spans="1:3" x14ac:dyDescent="0.3">
      <c r="A893" t="s">
        <v>372</v>
      </c>
      <c r="B893">
        <v>32.96</v>
      </c>
      <c r="C893">
        <v>0</v>
      </c>
    </row>
    <row r="894" spans="1:3" x14ac:dyDescent="0.3">
      <c r="A894" t="s">
        <v>588</v>
      </c>
      <c r="B894">
        <v>33.01</v>
      </c>
      <c r="C894">
        <v>0</v>
      </c>
    </row>
    <row r="895" spans="1:3" x14ac:dyDescent="0.3">
      <c r="A895" t="s">
        <v>379</v>
      </c>
      <c r="B895">
        <v>33.020000000000003</v>
      </c>
      <c r="C895">
        <v>0</v>
      </c>
    </row>
    <row r="896" spans="1:3" x14ac:dyDescent="0.3">
      <c r="A896" t="s">
        <v>618</v>
      </c>
      <c r="B896">
        <v>33.03</v>
      </c>
      <c r="C896">
        <v>0</v>
      </c>
    </row>
    <row r="897" spans="1:3" x14ac:dyDescent="0.3">
      <c r="A897" t="s">
        <v>827</v>
      </c>
      <c r="B897">
        <v>33.049999999999997</v>
      </c>
      <c r="C897">
        <v>0</v>
      </c>
    </row>
    <row r="898" spans="1:3" x14ac:dyDescent="0.3">
      <c r="A898" t="s">
        <v>868</v>
      </c>
      <c r="B898">
        <v>33.11</v>
      </c>
      <c r="C898">
        <v>0</v>
      </c>
    </row>
    <row r="899" spans="1:3" x14ac:dyDescent="0.3">
      <c r="A899" t="s">
        <v>330</v>
      </c>
      <c r="B899">
        <v>33.14</v>
      </c>
      <c r="C899">
        <v>0</v>
      </c>
    </row>
    <row r="900" spans="1:3" x14ac:dyDescent="0.3">
      <c r="A900" t="s">
        <v>458</v>
      </c>
      <c r="B900">
        <v>33.14</v>
      </c>
      <c r="C900">
        <v>0</v>
      </c>
    </row>
    <row r="901" spans="1:3" x14ac:dyDescent="0.3">
      <c r="A901" t="s">
        <v>472</v>
      </c>
      <c r="B901">
        <v>33.15</v>
      </c>
      <c r="C901">
        <v>0</v>
      </c>
    </row>
    <row r="902" spans="1:3" x14ac:dyDescent="0.3">
      <c r="A902" t="s">
        <v>963</v>
      </c>
      <c r="B902">
        <v>33.17</v>
      </c>
      <c r="C902">
        <v>0</v>
      </c>
    </row>
    <row r="903" spans="1:3" x14ac:dyDescent="0.3">
      <c r="A903" t="s">
        <v>541</v>
      </c>
      <c r="B903">
        <v>33.25</v>
      </c>
      <c r="C903">
        <v>0</v>
      </c>
    </row>
    <row r="904" spans="1:3" x14ac:dyDescent="0.3">
      <c r="A904" t="s">
        <v>901</v>
      </c>
      <c r="B904">
        <v>33.270000000000003</v>
      </c>
      <c r="C904">
        <v>0</v>
      </c>
    </row>
    <row r="905" spans="1:3" x14ac:dyDescent="0.3">
      <c r="A905" t="s">
        <v>1071</v>
      </c>
      <c r="B905">
        <v>33.270000000000003</v>
      </c>
      <c r="C905">
        <v>0</v>
      </c>
    </row>
    <row r="906" spans="1:3" x14ac:dyDescent="0.3">
      <c r="A906" t="s">
        <v>556</v>
      </c>
      <c r="B906">
        <v>33.31</v>
      </c>
      <c r="C906">
        <v>0</v>
      </c>
    </row>
    <row r="907" spans="1:3" x14ac:dyDescent="0.3">
      <c r="A907" t="s">
        <v>1103</v>
      </c>
      <c r="B907">
        <v>33.32</v>
      </c>
      <c r="C907">
        <v>0</v>
      </c>
    </row>
    <row r="908" spans="1:3" x14ac:dyDescent="0.3">
      <c r="A908" t="s">
        <v>917</v>
      </c>
      <c r="B908">
        <v>33.33</v>
      </c>
      <c r="C908">
        <v>0</v>
      </c>
    </row>
    <row r="909" spans="1:3" x14ac:dyDescent="0.3">
      <c r="A909" t="s">
        <v>551</v>
      </c>
      <c r="B909">
        <v>33.380000000000003</v>
      </c>
      <c r="C909">
        <v>0</v>
      </c>
    </row>
    <row r="910" spans="1:3" x14ac:dyDescent="0.3">
      <c r="A910" t="s">
        <v>142</v>
      </c>
      <c r="B910">
        <v>33.39</v>
      </c>
      <c r="C910">
        <v>0</v>
      </c>
    </row>
    <row r="911" spans="1:3" x14ac:dyDescent="0.3">
      <c r="A911" t="s">
        <v>110</v>
      </c>
      <c r="B911">
        <v>33.409999999999997</v>
      </c>
      <c r="C911">
        <v>0</v>
      </c>
    </row>
    <row r="912" spans="1:3" x14ac:dyDescent="0.3">
      <c r="A912" t="s">
        <v>721</v>
      </c>
      <c r="B912">
        <v>33.42</v>
      </c>
      <c r="C912">
        <v>0</v>
      </c>
    </row>
    <row r="913" spans="1:3" x14ac:dyDescent="0.3">
      <c r="A913" t="s">
        <v>428</v>
      </c>
      <c r="B913">
        <v>33.43</v>
      </c>
      <c r="C913">
        <v>0</v>
      </c>
    </row>
    <row r="914" spans="1:3" x14ac:dyDescent="0.3">
      <c r="A914" t="s">
        <v>867</v>
      </c>
      <c r="B914">
        <v>33.450000000000003</v>
      </c>
      <c r="C914">
        <v>0</v>
      </c>
    </row>
    <row r="915" spans="1:3" x14ac:dyDescent="0.3">
      <c r="A915" t="s">
        <v>60</v>
      </c>
      <c r="B915">
        <v>33.47</v>
      </c>
      <c r="C915">
        <v>0</v>
      </c>
    </row>
    <row r="916" spans="1:3" x14ac:dyDescent="0.3">
      <c r="A916" t="s">
        <v>135</v>
      </c>
      <c r="B916">
        <v>33.74</v>
      </c>
      <c r="C916">
        <v>0</v>
      </c>
    </row>
    <row r="917" spans="1:3" x14ac:dyDescent="0.3">
      <c r="A917" t="s">
        <v>235</v>
      </c>
      <c r="B917">
        <v>33.770000000000003</v>
      </c>
      <c r="C917">
        <v>0</v>
      </c>
    </row>
    <row r="918" spans="1:3" x14ac:dyDescent="0.3">
      <c r="A918" t="s">
        <v>633</v>
      </c>
      <c r="B918">
        <v>33.78</v>
      </c>
      <c r="C918">
        <v>0</v>
      </c>
    </row>
    <row r="919" spans="1:3" x14ac:dyDescent="0.3">
      <c r="A919" t="s">
        <v>695</v>
      </c>
      <c r="B919">
        <v>33.82</v>
      </c>
      <c r="C919">
        <v>0</v>
      </c>
    </row>
    <row r="920" spans="1:3" x14ac:dyDescent="0.3">
      <c r="A920" t="s">
        <v>1022</v>
      </c>
      <c r="B920">
        <v>33.83</v>
      </c>
      <c r="C920">
        <v>0</v>
      </c>
    </row>
    <row r="921" spans="1:3" x14ac:dyDescent="0.3">
      <c r="A921" t="s">
        <v>336</v>
      </c>
      <c r="B921">
        <v>33.85</v>
      </c>
      <c r="C921">
        <v>0</v>
      </c>
    </row>
    <row r="922" spans="1:3" x14ac:dyDescent="0.3">
      <c r="A922" t="s">
        <v>907</v>
      </c>
      <c r="B922">
        <v>33.85</v>
      </c>
      <c r="C922">
        <v>0</v>
      </c>
    </row>
    <row r="923" spans="1:3" x14ac:dyDescent="0.3">
      <c r="A923" t="s">
        <v>1070</v>
      </c>
      <c r="B923">
        <v>33.85</v>
      </c>
      <c r="C923">
        <v>0</v>
      </c>
    </row>
    <row r="924" spans="1:3" x14ac:dyDescent="0.3">
      <c r="A924" t="s">
        <v>745</v>
      </c>
      <c r="B924">
        <v>33.86</v>
      </c>
      <c r="C924">
        <v>0</v>
      </c>
    </row>
    <row r="925" spans="1:3" x14ac:dyDescent="0.3">
      <c r="A925" t="s">
        <v>1129</v>
      </c>
      <c r="B925">
        <v>33.86</v>
      </c>
      <c r="C925">
        <v>0</v>
      </c>
    </row>
    <row r="926" spans="1:3" x14ac:dyDescent="0.3">
      <c r="A926" t="s">
        <v>567</v>
      </c>
      <c r="B926">
        <v>33.89</v>
      </c>
      <c r="C926">
        <v>0</v>
      </c>
    </row>
    <row r="927" spans="1:3" x14ac:dyDescent="0.3">
      <c r="A927" t="s">
        <v>1101</v>
      </c>
      <c r="B927">
        <v>33.9</v>
      </c>
      <c r="C927">
        <v>0</v>
      </c>
    </row>
    <row r="928" spans="1:3" x14ac:dyDescent="0.3">
      <c r="A928" t="s">
        <v>1031</v>
      </c>
      <c r="B928">
        <v>33.950000000000003</v>
      </c>
      <c r="C928">
        <v>0</v>
      </c>
    </row>
    <row r="929" spans="1:3" x14ac:dyDescent="0.3">
      <c r="A929" t="s">
        <v>193</v>
      </c>
      <c r="B929">
        <v>33.96</v>
      </c>
      <c r="C929">
        <v>0</v>
      </c>
    </row>
    <row r="930" spans="1:3" x14ac:dyDescent="0.3">
      <c r="A930" t="s">
        <v>536</v>
      </c>
      <c r="B930">
        <v>33.979999999999997</v>
      </c>
      <c r="C930">
        <v>0</v>
      </c>
    </row>
    <row r="931" spans="1:3" x14ac:dyDescent="0.3">
      <c r="A931" t="s">
        <v>111</v>
      </c>
      <c r="B931">
        <v>34.020000000000003</v>
      </c>
      <c r="C931">
        <v>0</v>
      </c>
    </row>
    <row r="932" spans="1:3" x14ac:dyDescent="0.3">
      <c r="A932" t="s">
        <v>844</v>
      </c>
      <c r="B932">
        <v>34.04</v>
      </c>
      <c r="C932">
        <v>0</v>
      </c>
    </row>
    <row r="933" spans="1:3" x14ac:dyDescent="0.3">
      <c r="A933" t="s">
        <v>815</v>
      </c>
      <c r="B933">
        <v>34.049999999999997</v>
      </c>
      <c r="C933">
        <v>0</v>
      </c>
    </row>
    <row r="934" spans="1:3" x14ac:dyDescent="0.3">
      <c r="A934" t="s">
        <v>953</v>
      </c>
      <c r="B934">
        <v>34.07</v>
      </c>
      <c r="C934">
        <v>0</v>
      </c>
    </row>
    <row r="935" spans="1:3" x14ac:dyDescent="0.3">
      <c r="A935" t="s">
        <v>337</v>
      </c>
      <c r="B935">
        <v>34.14</v>
      </c>
      <c r="C935">
        <v>0</v>
      </c>
    </row>
    <row r="936" spans="1:3" x14ac:dyDescent="0.3">
      <c r="A936" t="s">
        <v>447</v>
      </c>
      <c r="B936">
        <v>34.21</v>
      </c>
      <c r="C936">
        <v>0</v>
      </c>
    </row>
    <row r="937" spans="1:3" x14ac:dyDescent="0.3">
      <c r="A937" t="s">
        <v>358</v>
      </c>
      <c r="B937">
        <v>34.22</v>
      </c>
      <c r="C937">
        <v>0</v>
      </c>
    </row>
    <row r="938" spans="1:3" x14ac:dyDescent="0.3">
      <c r="A938" t="s">
        <v>685</v>
      </c>
      <c r="B938">
        <v>34.22</v>
      </c>
      <c r="C938">
        <v>0</v>
      </c>
    </row>
    <row r="939" spans="1:3" x14ac:dyDescent="0.3">
      <c r="A939" t="s">
        <v>1007</v>
      </c>
      <c r="B939">
        <v>34.22</v>
      </c>
      <c r="C939">
        <v>0</v>
      </c>
    </row>
    <row r="940" spans="1:3" x14ac:dyDescent="0.3">
      <c r="A940" t="s">
        <v>730</v>
      </c>
      <c r="B940">
        <v>34.33</v>
      </c>
      <c r="C940">
        <v>0</v>
      </c>
    </row>
    <row r="941" spans="1:3" x14ac:dyDescent="0.3">
      <c r="A941" t="s">
        <v>784</v>
      </c>
      <c r="B941">
        <v>34.4</v>
      </c>
      <c r="C941">
        <v>0</v>
      </c>
    </row>
    <row r="942" spans="1:3" x14ac:dyDescent="0.3">
      <c r="A942" t="s">
        <v>1106</v>
      </c>
      <c r="B942">
        <v>34.44</v>
      </c>
      <c r="C942">
        <v>0</v>
      </c>
    </row>
    <row r="943" spans="1:3" x14ac:dyDescent="0.3">
      <c r="A943" t="s">
        <v>798</v>
      </c>
      <c r="B943">
        <v>34.450000000000003</v>
      </c>
      <c r="C943">
        <v>0</v>
      </c>
    </row>
    <row r="944" spans="1:3" x14ac:dyDescent="0.3">
      <c r="A944" t="s">
        <v>191</v>
      </c>
      <c r="B944">
        <v>34.46</v>
      </c>
      <c r="C944">
        <v>0</v>
      </c>
    </row>
    <row r="945" spans="1:3" x14ac:dyDescent="0.3">
      <c r="A945" t="s">
        <v>719</v>
      </c>
      <c r="B945">
        <v>34.47</v>
      </c>
      <c r="C945">
        <v>0</v>
      </c>
    </row>
    <row r="946" spans="1:3" x14ac:dyDescent="0.3">
      <c r="A946" t="s">
        <v>1111</v>
      </c>
      <c r="B946">
        <v>34.56</v>
      </c>
      <c r="C946">
        <v>0</v>
      </c>
    </row>
    <row r="947" spans="1:3" x14ac:dyDescent="0.3">
      <c r="A947" t="s">
        <v>515</v>
      </c>
      <c r="B947">
        <v>34.61</v>
      </c>
      <c r="C947">
        <v>0</v>
      </c>
    </row>
    <row r="948" spans="1:3" x14ac:dyDescent="0.3">
      <c r="A948" t="s">
        <v>684</v>
      </c>
      <c r="B948">
        <v>34.69</v>
      </c>
      <c r="C948">
        <v>0</v>
      </c>
    </row>
    <row r="949" spans="1:3" x14ac:dyDescent="0.3">
      <c r="A949" t="s">
        <v>819</v>
      </c>
      <c r="B949">
        <v>34.72</v>
      </c>
      <c r="C949">
        <v>0</v>
      </c>
    </row>
    <row r="950" spans="1:3" x14ac:dyDescent="0.3">
      <c r="A950" t="s">
        <v>202</v>
      </c>
      <c r="B950">
        <v>34.799999999999997</v>
      </c>
      <c r="C950">
        <v>0</v>
      </c>
    </row>
    <row r="951" spans="1:3" x14ac:dyDescent="0.3">
      <c r="A951" t="s">
        <v>735</v>
      </c>
      <c r="B951">
        <v>34.799999999999997</v>
      </c>
      <c r="C951">
        <v>0</v>
      </c>
    </row>
    <row r="952" spans="1:3" x14ac:dyDescent="0.3">
      <c r="A952" t="s">
        <v>215</v>
      </c>
      <c r="B952">
        <v>34.85</v>
      </c>
      <c r="C952">
        <v>0</v>
      </c>
    </row>
    <row r="953" spans="1:3" x14ac:dyDescent="0.3">
      <c r="A953" t="s">
        <v>207</v>
      </c>
      <c r="B953">
        <v>34.86</v>
      </c>
      <c r="C953">
        <v>0</v>
      </c>
    </row>
    <row r="954" spans="1:3" x14ac:dyDescent="0.3">
      <c r="A954" t="s">
        <v>357</v>
      </c>
      <c r="B954">
        <v>34.86</v>
      </c>
      <c r="C954">
        <v>0</v>
      </c>
    </row>
    <row r="955" spans="1:3" x14ac:dyDescent="0.3">
      <c r="A955" t="s">
        <v>964</v>
      </c>
      <c r="B955">
        <v>34.950000000000003</v>
      </c>
      <c r="C955">
        <v>0</v>
      </c>
    </row>
    <row r="956" spans="1:3" x14ac:dyDescent="0.3">
      <c r="A956" t="s">
        <v>348</v>
      </c>
      <c r="B956">
        <v>34.96</v>
      </c>
      <c r="C956">
        <v>0</v>
      </c>
    </row>
    <row r="957" spans="1:3" x14ac:dyDescent="0.3">
      <c r="A957" t="s">
        <v>1030</v>
      </c>
      <c r="B957">
        <v>34.96</v>
      </c>
      <c r="C957">
        <v>0</v>
      </c>
    </row>
    <row r="958" spans="1:3" x14ac:dyDescent="0.3">
      <c r="A958" t="s">
        <v>905</v>
      </c>
      <c r="B958">
        <v>34.97</v>
      </c>
      <c r="C958">
        <v>0</v>
      </c>
    </row>
    <row r="959" spans="1:3" x14ac:dyDescent="0.3">
      <c r="A959" t="s">
        <v>626</v>
      </c>
      <c r="B959">
        <v>35.03</v>
      </c>
      <c r="C959">
        <v>0</v>
      </c>
    </row>
    <row r="960" spans="1:3" x14ac:dyDescent="0.3">
      <c r="A960" t="s">
        <v>630</v>
      </c>
      <c r="B960">
        <v>35.03</v>
      </c>
      <c r="C960">
        <v>0</v>
      </c>
    </row>
    <row r="961" spans="1:3" x14ac:dyDescent="0.3">
      <c r="A961" t="s">
        <v>483</v>
      </c>
      <c r="B961">
        <v>35.04</v>
      </c>
      <c r="C961">
        <v>0</v>
      </c>
    </row>
    <row r="962" spans="1:3" x14ac:dyDescent="0.3">
      <c r="A962" t="s">
        <v>522</v>
      </c>
      <c r="B962">
        <v>35.119999999999997</v>
      </c>
      <c r="C962">
        <v>0</v>
      </c>
    </row>
    <row r="963" spans="1:3" x14ac:dyDescent="0.3">
      <c r="A963" t="s">
        <v>1080</v>
      </c>
      <c r="B963">
        <v>35.200000000000003</v>
      </c>
      <c r="C963">
        <v>0</v>
      </c>
    </row>
    <row r="964" spans="1:3" x14ac:dyDescent="0.3">
      <c r="A964" t="s">
        <v>1098</v>
      </c>
      <c r="B964">
        <v>35.21</v>
      </c>
      <c r="C964">
        <v>0</v>
      </c>
    </row>
    <row r="965" spans="1:3" x14ac:dyDescent="0.3">
      <c r="A965" t="s">
        <v>212</v>
      </c>
      <c r="B965">
        <v>35.22</v>
      </c>
      <c r="C965">
        <v>0</v>
      </c>
    </row>
    <row r="966" spans="1:3" x14ac:dyDescent="0.3">
      <c r="A966" t="s">
        <v>268</v>
      </c>
      <c r="B966">
        <v>35.24</v>
      </c>
      <c r="C966">
        <v>0</v>
      </c>
    </row>
    <row r="967" spans="1:3" x14ac:dyDescent="0.3">
      <c r="A967" t="s">
        <v>355</v>
      </c>
      <c r="B967">
        <v>35.25</v>
      </c>
      <c r="C967">
        <v>0</v>
      </c>
    </row>
    <row r="968" spans="1:3" x14ac:dyDescent="0.3">
      <c r="A968" t="s">
        <v>915</v>
      </c>
      <c r="B968">
        <v>35.25</v>
      </c>
      <c r="C968">
        <v>0</v>
      </c>
    </row>
    <row r="969" spans="1:3" x14ac:dyDescent="0.3">
      <c r="A969" t="s">
        <v>334</v>
      </c>
      <c r="B969">
        <v>35.380000000000003</v>
      </c>
      <c r="C969">
        <v>0</v>
      </c>
    </row>
    <row r="970" spans="1:3" x14ac:dyDescent="0.3">
      <c r="A970" t="s">
        <v>647</v>
      </c>
      <c r="B970">
        <v>35.4</v>
      </c>
      <c r="C970">
        <v>0</v>
      </c>
    </row>
    <row r="971" spans="1:3" x14ac:dyDescent="0.3">
      <c r="A971" t="s">
        <v>937</v>
      </c>
      <c r="B971">
        <v>35.42</v>
      </c>
      <c r="C971">
        <v>0</v>
      </c>
    </row>
    <row r="972" spans="1:3" x14ac:dyDescent="0.3">
      <c r="A972" t="s">
        <v>944</v>
      </c>
      <c r="B972">
        <v>35.450000000000003</v>
      </c>
      <c r="C972">
        <v>0</v>
      </c>
    </row>
    <row r="973" spans="1:3" x14ac:dyDescent="0.3">
      <c r="A973" t="s">
        <v>1127</v>
      </c>
      <c r="B973">
        <v>35.479999999999997</v>
      </c>
      <c r="C973">
        <v>0</v>
      </c>
    </row>
    <row r="974" spans="1:3" x14ac:dyDescent="0.3">
      <c r="A974" t="s">
        <v>233</v>
      </c>
      <c r="B974">
        <v>35.54</v>
      </c>
      <c r="C974">
        <v>0</v>
      </c>
    </row>
    <row r="975" spans="1:3" x14ac:dyDescent="0.3">
      <c r="A975" t="s">
        <v>903</v>
      </c>
      <c r="B975">
        <v>35.590000000000003</v>
      </c>
      <c r="C975">
        <v>0</v>
      </c>
    </row>
    <row r="976" spans="1:3" x14ac:dyDescent="0.3">
      <c r="A976" t="s">
        <v>199</v>
      </c>
      <c r="B976">
        <v>35.71</v>
      </c>
      <c r="C976">
        <v>0</v>
      </c>
    </row>
    <row r="977" spans="1:3" x14ac:dyDescent="0.3">
      <c r="A977" t="s">
        <v>965</v>
      </c>
      <c r="B977">
        <v>35.75</v>
      </c>
      <c r="C977">
        <v>0</v>
      </c>
    </row>
    <row r="978" spans="1:3" x14ac:dyDescent="0.3">
      <c r="A978" t="s">
        <v>266</v>
      </c>
      <c r="B978">
        <v>35.79</v>
      </c>
      <c r="C978">
        <v>0</v>
      </c>
    </row>
    <row r="979" spans="1:3" x14ac:dyDescent="0.3">
      <c r="A979" t="s">
        <v>795</v>
      </c>
      <c r="B979">
        <v>35.799999999999997</v>
      </c>
      <c r="C979">
        <v>0</v>
      </c>
    </row>
    <row r="980" spans="1:3" x14ac:dyDescent="0.3">
      <c r="A980" t="s">
        <v>350</v>
      </c>
      <c r="B980">
        <v>35.89</v>
      </c>
      <c r="C980">
        <v>0</v>
      </c>
    </row>
    <row r="981" spans="1:3" x14ac:dyDescent="0.3">
      <c r="A981" t="s">
        <v>897</v>
      </c>
      <c r="B981">
        <v>35.9</v>
      </c>
      <c r="C981">
        <v>0</v>
      </c>
    </row>
    <row r="982" spans="1:3" x14ac:dyDescent="0.3">
      <c r="A982" t="s">
        <v>727</v>
      </c>
      <c r="B982">
        <v>35.99</v>
      </c>
      <c r="C982">
        <v>0</v>
      </c>
    </row>
    <row r="983" spans="1:3" x14ac:dyDescent="0.3">
      <c r="A983" t="s">
        <v>531</v>
      </c>
      <c r="B983">
        <v>36.04</v>
      </c>
      <c r="C983">
        <v>0</v>
      </c>
    </row>
    <row r="984" spans="1:3" x14ac:dyDescent="0.3">
      <c r="A984" t="s">
        <v>71</v>
      </c>
      <c r="B984">
        <v>36.11</v>
      </c>
      <c r="C984">
        <v>0</v>
      </c>
    </row>
    <row r="985" spans="1:3" x14ac:dyDescent="0.3">
      <c r="A985" t="s">
        <v>507</v>
      </c>
      <c r="B985">
        <v>36.340000000000003</v>
      </c>
      <c r="C985">
        <v>0</v>
      </c>
    </row>
    <row r="986" spans="1:3" x14ac:dyDescent="0.3">
      <c r="A986" t="s">
        <v>469</v>
      </c>
      <c r="B986">
        <v>36.380000000000003</v>
      </c>
      <c r="C986">
        <v>0</v>
      </c>
    </row>
    <row r="987" spans="1:3" x14ac:dyDescent="0.3">
      <c r="A987" t="s">
        <v>729</v>
      </c>
      <c r="B987">
        <v>36.47</v>
      </c>
      <c r="C987">
        <v>0</v>
      </c>
    </row>
    <row r="988" spans="1:3" x14ac:dyDescent="0.3">
      <c r="A988" t="s">
        <v>523</v>
      </c>
      <c r="B988">
        <v>36.49</v>
      </c>
      <c r="C988">
        <v>0</v>
      </c>
    </row>
    <row r="989" spans="1:3" x14ac:dyDescent="0.3">
      <c r="A989" t="s">
        <v>1066</v>
      </c>
      <c r="B989">
        <v>36.65</v>
      </c>
      <c r="C989">
        <v>0</v>
      </c>
    </row>
    <row r="990" spans="1:3" x14ac:dyDescent="0.3">
      <c r="A990" t="s">
        <v>488</v>
      </c>
      <c r="B990">
        <v>36.76</v>
      </c>
      <c r="C990">
        <v>0</v>
      </c>
    </row>
    <row r="991" spans="1:3" x14ac:dyDescent="0.3">
      <c r="A991" t="s">
        <v>1137</v>
      </c>
      <c r="B991">
        <v>36.909999999999997</v>
      </c>
      <c r="C991">
        <v>0</v>
      </c>
    </row>
    <row r="992" spans="1:3" x14ac:dyDescent="0.3">
      <c r="A992" t="s">
        <v>788</v>
      </c>
      <c r="B992">
        <v>37.020000000000003</v>
      </c>
      <c r="C992">
        <v>0</v>
      </c>
    </row>
    <row r="993" spans="1:3" x14ac:dyDescent="0.3">
      <c r="A993" t="s">
        <v>608</v>
      </c>
      <c r="B993">
        <v>37.130000000000003</v>
      </c>
      <c r="C993">
        <v>0</v>
      </c>
    </row>
    <row r="994" spans="1:3" x14ac:dyDescent="0.3">
      <c r="A994" t="s">
        <v>1073</v>
      </c>
      <c r="B994">
        <v>37.31</v>
      </c>
      <c r="C994">
        <v>0</v>
      </c>
    </row>
    <row r="995" spans="1:3" x14ac:dyDescent="0.3">
      <c r="A995" t="s">
        <v>914</v>
      </c>
      <c r="B995">
        <v>37.39</v>
      </c>
      <c r="C995">
        <v>0</v>
      </c>
    </row>
    <row r="996" spans="1:3" x14ac:dyDescent="0.3">
      <c r="A996" t="s">
        <v>840</v>
      </c>
      <c r="B996">
        <v>37.409999999999997</v>
      </c>
      <c r="C996">
        <v>0</v>
      </c>
    </row>
    <row r="997" spans="1:3" x14ac:dyDescent="0.3">
      <c r="A997" t="s">
        <v>270</v>
      </c>
      <c r="B997">
        <v>37.869999999999997</v>
      </c>
      <c r="C997">
        <v>0</v>
      </c>
    </row>
    <row r="998" spans="1:3" x14ac:dyDescent="0.3">
      <c r="A998" t="s">
        <v>816</v>
      </c>
      <c r="B998">
        <v>38.380000000000003</v>
      </c>
      <c r="C998">
        <v>0</v>
      </c>
    </row>
    <row r="999" spans="1:3" x14ac:dyDescent="0.3">
      <c r="A999" t="s">
        <v>851</v>
      </c>
      <c r="B999">
        <v>38.42</v>
      </c>
      <c r="C999">
        <v>0</v>
      </c>
    </row>
    <row r="1000" spans="1:3" x14ac:dyDescent="0.3">
      <c r="A1000" t="s">
        <v>866</v>
      </c>
      <c r="B1000">
        <v>38.53</v>
      </c>
      <c r="C1000">
        <v>0</v>
      </c>
    </row>
    <row r="1001" spans="1:3" x14ac:dyDescent="0.3">
      <c r="A1001" t="s">
        <v>886</v>
      </c>
      <c r="B1001">
        <v>38.729999999999997</v>
      </c>
      <c r="C1001">
        <v>0</v>
      </c>
    </row>
    <row r="1002" spans="1:3" x14ac:dyDescent="0.3">
      <c r="A1002" t="s">
        <v>453</v>
      </c>
      <c r="B1002">
        <v>39.25</v>
      </c>
      <c r="C1002">
        <v>0</v>
      </c>
    </row>
    <row r="1003" spans="1:3" x14ac:dyDescent="0.3">
      <c r="A1003" t="s">
        <v>771</v>
      </c>
      <c r="B1003">
        <v>39.799999999999997</v>
      </c>
      <c r="C1003">
        <v>0</v>
      </c>
    </row>
    <row r="1004" spans="1:3" x14ac:dyDescent="0.3">
      <c r="A1004" t="s">
        <v>768</v>
      </c>
      <c r="B1004">
        <v>40.04</v>
      </c>
      <c r="C1004">
        <v>0</v>
      </c>
    </row>
    <row r="1005" spans="1:3" x14ac:dyDescent="0.3">
      <c r="A1005" t="s">
        <v>1091</v>
      </c>
      <c r="B1005">
        <v>40.07</v>
      </c>
      <c r="C1005">
        <v>0</v>
      </c>
    </row>
    <row r="1006" spans="1:3" x14ac:dyDescent="0.3">
      <c r="A1006" t="s">
        <v>781</v>
      </c>
      <c r="B1006">
        <v>40.26</v>
      </c>
      <c r="C1006">
        <v>0</v>
      </c>
    </row>
    <row r="1007" spans="1:3" x14ac:dyDescent="0.3">
      <c r="A1007" t="s">
        <v>403</v>
      </c>
      <c r="B1007">
        <v>40.29</v>
      </c>
      <c r="C1007">
        <v>0</v>
      </c>
    </row>
    <row r="1008" spans="1:3" x14ac:dyDescent="0.3">
      <c r="A1008" t="s">
        <v>740</v>
      </c>
      <c r="B1008">
        <v>40.799999999999997</v>
      </c>
      <c r="C1008">
        <v>0</v>
      </c>
    </row>
    <row r="1009" spans="1:3" x14ac:dyDescent="0.3">
      <c r="A1009" t="s">
        <v>800</v>
      </c>
      <c r="B1009">
        <v>40.96</v>
      </c>
      <c r="C1009">
        <v>0</v>
      </c>
    </row>
  </sheetData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clean_fulLwc_dataset</vt:lpstr>
      <vt:lpstr>Pivot_Table</vt:lpstr>
      <vt:lpstr>Nation_Age</vt:lpstr>
      <vt:lpstr>Nation_Cards</vt:lpstr>
      <vt:lpstr>Nation_Goals</vt:lpstr>
      <vt:lpstr>Nation_Cards_vs_Goals</vt:lpstr>
      <vt:lpstr>Nation_Age_vs_Goals</vt:lpstr>
      <vt:lpstr>Player_Age_vs_Goals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2026-07-03T16:49:58Z</dcterms:created>
  <dcterms:modified xsi:type="dcterms:W3CDTF">2026-07-03T18:43:25Z</dcterms:modified>
</cp:coreProperties>
</file>