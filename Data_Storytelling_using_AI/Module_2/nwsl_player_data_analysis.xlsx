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AI_And_Data_Storytelling_Course/Module_2/Data/"/>
    </mc:Choice>
  </mc:AlternateContent>
  <xr:revisionPtr revIDLastSave="237" documentId="8_{2A084563-43B4-4BD6-8C45-6759F4C4C411}" xr6:coauthVersionLast="47" xr6:coauthVersionMax="47" xr10:uidLastSave="{089CE427-1D99-4ACE-B9F6-C0DFDF233D77}"/>
  <bookViews>
    <workbookView xWindow="-110" yWindow="-110" windowWidth="19420" windowHeight="11500" xr2:uid="{73D94CB9-5198-492A-8830-967F8A7AA5AA}"/>
  </bookViews>
  <sheets>
    <sheet name="PLAYER_DATA" sheetId="1" r:id="rId1"/>
    <sheet name="PIVOT_TABLE" sheetId="7" r:id="rId2"/>
    <sheet name="TOP_10_POINTS" sheetId="6" r:id="rId3"/>
    <sheet name="GPG_XGPG" sheetId="5" r:id="rId4"/>
    <sheet name="GPG_APG" sheetId="4" r:id="rId5"/>
    <sheet name="PCT_STARTS" sheetId="9" r:id="rId6"/>
  </sheets>
  <calcPr calcId="191029"/>
  <pivotCaches>
    <pivotCache cacheId="2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4" l="1"/>
  <c r="D10" i="4"/>
  <c r="D3" i="4"/>
  <c r="D9" i="4"/>
  <c r="D8" i="4"/>
  <c r="D13" i="4"/>
  <c r="D2" i="4"/>
  <c r="D74" i="4"/>
  <c r="D14" i="4"/>
  <c r="D6" i="4"/>
  <c r="D75" i="4"/>
  <c r="D16" i="4"/>
  <c r="D11" i="4"/>
  <c r="D76" i="4"/>
  <c r="D22" i="4"/>
  <c r="D77" i="4"/>
  <c r="D78" i="4"/>
  <c r="D79" i="4"/>
  <c r="D80" i="4"/>
  <c r="D25" i="4"/>
  <c r="D31" i="4"/>
  <c r="D4" i="4"/>
  <c r="D81" i="4"/>
  <c r="D82" i="4"/>
  <c r="D83" i="4"/>
  <c r="D7" i="4"/>
  <c r="D12" i="4"/>
  <c r="D84" i="4"/>
  <c r="D85" i="4"/>
  <c r="D35" i="4"/>
  <c r="D5" i="4"/>
  <c r="D40" i="4"/>
  <c r="D20" i="4"/>
  <c r="D41" i="4"/>
  <c r="D42" i="4"/>
  <c r="D29" i="4"/>
  <c r="D37" i="4"/>
  <c r="D17" i="4"/>
  <c r="D18" i="4"/>
  <c r="D38" i="4"/>
  <c r="D86" i="4"/>
  <c r="D87" i="4"/>
  <c r="D45" i="4"/>
  <c r="D23" i="4"/>
  <c r="D88" i="4"/>
  <c r="D89" i="4"/>
  <c r="D24" i="4"/>
  <c r="D90" i="4"/>
  <c r="D91" i="4"/>
  <c r="D47" i="4"/>
  <c r="D26" i="4"/>
  <c r="D92" i="4"/>
  <c r="D27" i="4"/>
  <c r="D93" i="4"/>
  <c r="D32" i="4"/>
  <c r="D50" i="4"/>
  <c r="D94" i="4"/>
  <c r="D95" i="4"/>
  <c r="D21" i="4"/>
  <c r="D33" i="4"/>
  <c r="D15" i="4"/>
  <c r="D96" i="4"/>
  <c r="D97" i="4"/>
  <c r="D30" i="4"/>
  <c r="D98" i="4"/>
  <c r="D19" i="4"/>
  <c r="D55" i="4"/>
  <c r="D99" i="4"/>
  <c r="D39" i="4"/>
  <c r="D56" i="4"/>
  <c r="D100" i="4"/>
  <c r="D101" i="4"/>
  <c r="D57" i="4"/>
  <c r="D102" i="4"/>
  <c r="D103" i="4"/>
  <c r="D104" i="4"/>
  <c r="D58" i="4"/>
  <c r="D105" i="4"/>
  <c r="D46" i="4"/>
  <c r="D106" i="4"/>
  <c r="D107" i="4"/>
  <c r="D59" i="4"/>
  <c r="D108" i="4"/>
  <c r="D109" i="4"/>
  <c r="D110" i="4"/>
  <c r="D28" i="4"/>
  <c r="D60" i="4"/>
  <c r="D111" i="4"/>
  <c r="D48" i="4"/>
  <c r="D112" i="4"/>
  <c r="D113" i="4"/>
  <c r="D61" i="4"/>
  <c r="D114" i="4"/>
  <c r="D36" i="4"/>
  <c r="D115" i="4"/>
  <c r="D49" i="4"/>
  <c r="D116" i="4"/>
  <c r="D62" i="4"/>
  <c r="D63" i="4"/>
  <c r="D64" i="4"/>
  <c r="D51" i="4"/>
  <c r="D65" i="4"/>
  <c r="D52" i="4"/>
  <c r="D66" i="4"/>
  <c r="D43" i="4"/>
  <c r="D117" i="4"/>
  <c r="D67" i="4"/>
  <c r="D118" i="4"/>
  <c r="D68" i="4"/>
  <c r="D69" i="4"/>
  <c r="D70" i="4"/>
  <c r="D119" i="4"/>
  <c r="D44" i="4"/>
  <c r="D53" i="4"/>
  <c r="D71" i="4"/>
  <c r="D120" i="4"/>
  <c r="D72" i="4"/>
  <c r="D54" i="4"/>
  <c r="D34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268" i="5"/>
  <c r="D86" i="5"/>
  <c r="D55" i="5"/>
  <c r="D188" i="5"/>
  <c r="D186" i="5"/>
  <c r="D87" i="5"/>
  <c r="D289" i="5"/>
  <c r="D88" i="5"/>
  <c r="D244" i="5"/>
  <c r="D18" i="5"/>
  <c r="D246" i="5"/>
  <c r="D231" i="5"/>
  <c r="D285" i="5"/>
  <c r="D307" i="5"/>
  <c r="D38" i="5"/>
  <c r="D89" i="5"/>
  <c r="D33" i="5"/>
  <c r="D90" i="5"/>
  <c r="D91" i="5"/>
  <c r="D171" i="5"/>
  <c r="D275" i="5"/>
  <c r="D290" i="5"/>
  <c r="D92" i="5"/>
  <c r="D176" i="5"/>
  <c r="D93" i="5"/>
  <c r="D94" i="5"/>
  <c r="D95" i="5"/>
  <c r="D83" i="5"/>
  <c r="D296" i="5"/>
  <c r="D36" i="5"/>
  <c r="D72" i="5"/>
  <c r="D284" i="5"/>
  <c r="D96" i="5"/>
  <c r="D97" i="5"/>
  <c r="D7" i="5"/>
  <c r="D229" i="5"/>
  <c r="D37" i="5"/>
  <c r="D98" i="5"/>
  <c r="D224" i="5"/>
  <c r="D5" i="5"/>
  <c r="D99" i="5"/>
  <c r="D73" i="5"/>
  <c r="D26" i="5"/>
  <c r="D100" i="5"/>
  <c r="D24" i="5"/>
  <c r="D30" i="5"/>
  <c r="D101" i="5"/>
  <c r="D102" i="5"/>
  <c r="D81" i="5"/>
  <c r="D175" i="5"/>
  <c r="D194" i="5"/>
  <c r="D103" i="5"/>
  <c r="D74" i="5"/>
  <c r="D226" i="5"/>
  <c r="D60" i="5"/>
  <c r="D104" i="5"/>
  <c r="D105" i="5"/>
  <c r="D281" i="5"/>
  <c r="D53" i="5"/>
  <c r="D237" i="5"/>
  <c r="D6" i="5"/>
  <c r="D189" i="5"/>
  <c r="D57" i="5"/>
  <c r="D106" i="5"/>
  <c r="D303" i="5"/>
  <c r="D256" i="5"/>
  <c r="D107" i="5"/>
  <c r="D58" i="5"/>
  <c r="D34" i="5"/>
  <c r="D291" i="5"/>
  <c r="D213" i="5"/>
  <c r="D214" i="5"/>
  <c r="D271" i="5"/>
  <c r="D108" i="5"/>
  <c r="D195" i="5"/>
  <c r="D109" i="5"/>
  <c r="D233" i="5"/>
  <c r="D8" i="5"/>
  <c r="D63" i="5"/>
  <c r="D14" i="5"/>
  <c r="D234" i="5"/>
  <c r="D252" i="5"/>
  <c r="D305" i="5"/>
  <c r="D242" i="5"/>
  <c r="D184" i="5"/>
  <c r="D177" i="5"/>
  <c r="D287" i="5"/>
  <c r="D110" i="5"/>
  <c r="D68" i="5"/>
  <c r="D251" i="5"/>
  <c r="D15" i="5"/>
  <c r="D111" i="5"/>
  <c r="D112" i="5"/>
  <c r="D113" i="5"/>
  <c r="D247" i="5"/>
  <c r="D10" i="5"/>
  <c r="D114" i="5"/>
  <c r="D27" i="5"/>
  <c r="D3" i="5"/>
  <c r="D190" i="5"/>
  <c r="D115" i="5"/>
  <c r="D19" i="5"/>
  <c r="D48" i="5"/>
  <c r="D248" i="5"/>
  <c r="D62" i="5"/>
  <c r="D35" i="5"/>
  <c r="D258" i="5"/>
  <c r="D78" i="5"/>
  <c r="D238" i="5"/>
  <c r="D172" i="5"/>
  <c r="D276" i="5"/>
  <c r="D230" i="5"/>
  <c r="D54" i="5"/>
  <c r="D116" i="5"/>
  <c r="D117" i="5"/>
  <c r="D39" i="5"/>
  <c r="D259" i="5"/>
  <c r="D208" i="5"/>
  <c r="D273" i="5"/>
  <c r="D118" i="5"/>
  <c r="D191" i="5"/>
  <c r="D304" i="5"/>
  <c r="D119" i="5"/>
  <c r="D235" i="5"/>
  <c r="D185" i="5"/>
  <c r="D308" i="5"/>
  <c r="D274" i="5"/>
  <c r="D282" i="5"/>
  <c r="D120" i="5"/>
  <c r="D121" i="5"/>
  <c r="D84" i="5"/>
  <c r="D269" i="5"/>
  <c r="D42" i="5"/>
  <c r="D122" i="5"/>
  <c r="D178" i="5"/>
  <c r="D16" i="5"/>
  <c r="D311" i="5"/>
  <c r="D223" i="5"/>
  <c r="D45" i="5"/>
  <c r="D59" i="5"/>
  <c r="D123" i="5"/>
  <c r="D124" i="5"/>
  <c r="D125" i="5"/>
  <c r="D126" i="5"/>
  <c r="D21" i="5"/>
  <c r="D182" i="5"/>
  <c r="D127" i="5"/>
  <c r="D82" i="5"/>
  <c r="D4" i="5"/>
  <c r="D128" i="5"/>
  <c r="D129" i="5"/>
  <c r="D130" i="5"/>
  <c r="D131" i="5"/>
  <c r="D56" i="5"/>
  <c r="D132" i="5"/>
  <c r="D49" i="5"/>
  <c r="D215" i="5"/>
  <c r="D133" i="5"/>
  <c r="D265" i="5"/>
  <c r="D134" i="5"/>
  <c r="D257" i="5"/>
  <c r="D40" i="5"/>
  <c r="D295" i="5"/>
  <c r="D25" i="5"/>
  <c r="D277" i="5"/>
  <c r="D245" i="5"/>
  <c r="D31" i="5"/>
  <c r="D67" i="5"/>
  <c r="D216" i="5"/>
  <c r="D135" i="5"/>
  <c r="D13" i="5"/>
  <c r="D267" i="5"/>
  <c r="D136" i="5"/>
  <c r="D22" i="5"/>
  <c r="D263" i="5"/>
  <c r="D69" i="5"/>
  <c r="D173" i="5"/>
  <c r="D225" i="5"/>
  <c r="D137" i="5"/>
  <c r="D209" i="5"/>
  <c r="D138" i="5"/>
  <c r="D139" i="5"/>
  <c r="D196" i="5"/>
  <c r="D205" i="5"/>
  <c r="D140" i="5"/>
  <c r="D65" i="5"/>
  <c r="D80" i="5"/>
  <c r="D141" i="5"/>
  <c r="D28" i="5"/>
  <c r="D52" i="5"/>
  <c r="D249" i="5"/>
  <c r="D32" i="5"/>
  <c r="D142" i="5"/>
  <c r="D243" i="5"/>
  <c r="D43" i="5"/>
  <c r="D221" i="5"/>
  <c r="D168" i="5"/>
  <c r="D220" i="5"/>
  <c r="D169" i="5"/>
  <c r="D44" i="5"/>
  <c r="D310" i="5"/>
  <c r="D202" i="5"/>
  <c r="D239" i="5"/>
  <c r="D232" i="5"/>
  <c r="D272" i="5"/>
  <c r="D203" i="5"/>
  <c r="D143" i="5"/>
  <c r="D204" i="5"/>
  <c r="D255" i="5"/>
  <c r="D144" i="5"/>
  <c r="D240" i="5"/>
  <c r="D145" i="5"/>
  <c r="D61" i="5"/>
  <c r="D76" i="5"/>
  <c r="D179" i="5"/>
  <c r="D71" i="5"/>
  <c r="D146" i="5"/>
  <c r="D70" i="5"/>
  <c r="D288" i="5"/>
  <c r="D147" i="5"/>
  <c r="D12" i="5"/>
  <c r="D206" i="5"/>
  <c r="D46" i="5"/>
  <c r="D148" i="5"/>
  <c r="D218" i="5"/>
  <c r="D210" i="5"/>
  <c r="D180" i="5"/>
  <c r="D9" i="5"/>
  <c r="D192" i="5"/>
  <c r="D266" i="5"/>
  <c r="D174" i="5"/>
  <c r="D286" i="5"/>
  <c r="D149" i="5"/>
  <c r="D20" i="5"/>
  <c r="D260" i="5"/>
  <c r="D241" i="5"/>
  <c r="D211" i="5"/>
  <c r="D217" i="5"/>
  <c r="D292" i="5"/>
  <c r="D253" i="5"/>
  <c r="D150" i="5"/>
  <c r="D227" i="5"/>
  <c r="D294" i="5"/>
  <c r="D151" i="5"/>
  <c r="D152" i="5"/>
  <c r="D85" i="5"/>
  <c r="D183" i="5"/>
  <c r="D64" i="5"/>
  <c r="D66" i="5"/>
  <c r="D197" i="5"/>
  <c r="D17" i="5"/>
  <c r="D29" i="5"/>
  <c r="D222" i="5"/>
  <c r="D297" i="5"/>
  <c r="D236" i="5"/>
  <c r="D153" i="5"/>
  <c r="D154" i="5"/>
  <c r="D181" i="5"/>
  <c r="D270" i="5"/>
  <c r="D298" i="5"/>
  <c r="D51" i="5"/>
  <c r="D219" i="5"/>
  <c r="D2" i="5"/>
  <c r="D278" i="5"/>
  <c r="D306" i="5"/>
  <c r="D155" i="5"/>
  <c r="D198" i="5"/>
  <c r="D79" i="5"/>
  <c r="D11" i="5"/>
  <c r="D201" i="5"/>
  <c r="D228" i="5"/>
  <c r="D199" i="5"/>
  <c r="D193" i="5"/>
  <c r="D156" i="5"/>
  <c r="D157" i="5"/>
  <c r="D158" i="5"/>
  <c r="D75" i="5"/>
  <c r="D280" i="5"/>
  <c r="D254" i="5"/>
  <c r="D187" i="5"/>
  <c r="D200" i="5"/>
  <c r="D47" i="5"/>
  <c r="D50" i="5"/>
  <c r="D309" i="5"/>
  <c r="D159" i="5"/>
  <c r="D212" i="5"/>
  <c r="D160" i="5"/>
  <c r="D161" i="5"/>
  <c r="D250" i="5"/>
  <c r="D162" i="5"/>
  <c r="D300" i="5"/>
  <c r="D163" i="5"/>
  <c r="D264" i="5"/>
  <c r="D261" i="5"/>
  <c r="D207" i="5"/>
  <c r="D77" i="5"/>
  <c r="D301" i="5"/>
  <c r="D170" i="5"/>
  <c r="D302" i="5"/>
  <c r="D164" i="5"/>
  <c r="D279" i="5"/>
  <c r="D41" i="5"/>
  <c r="D293" i="5"/>
  <c r="D299" i="5"/>
  <c r="D23" i="5"/>
  <c r="D262" i="5"/>
  <c r="D165" i="5"/>
  <c r="D283" i="5"/>
  <c r="D166" i="5"/>
  <c r="D167" i="5"/>
  <c r="J3" i="1"/>
  <c r="J2" i="1"/>
  <c r="J13" i="1"/>
  <c r="J8" i="1"/>
  <c r="J4" i="1"/>
  <c r="J11" i="1"/>
  <c r="J7" i="1"/>
  <c r="J6" i="1"/>
  <c r="J5" i="1"/>
  <c r="J9" i="1"/>
  <c r="J12" i="1"/>
  <c r="J72" i="1"/>
  <c r="J14" i="1"/>
  <c r="J25" i="1"/>
  <c r="J10" i="1"/>
  <c r="J15" i="1"/>
  <c r="J37" i="1"/>
  <c r="J53" i="1"/>
  <c r="J18" i="1"/>
  <c r="J21" i="1"/>
  <c r="J16" i="1"/>
  <c r="J23" i="1"/>
  <c r="J30" i="1"/>
  <c r="J31" i="1"/>
  <c r="J19" i="1"/>
  <c r="J20" i="1"/>
  <c r="J17" i="1"/>
  <c r="J22" i="1"/>
  <c r="J32" i="1"/>
  <c r="J33" i="1"/>
  <c r="J24" i="1"/>
  <c r="J100" i="1"/>
  <c r="J38" i="1"/>
  <c r="J34" i="1"/>
  <c r="J101" i="1"/>
  <c r="J26" i="1"/>
  <c r="J54" i="1"/>
  <c r="J41" i="1"/>
  <c r="J102" i="1"/>
  <c r="J42" i="1"/>
  <c r="J47" i="1"/>
  <c r="J73" i="1"/>
  <c r="J27" i="1"/>
  <c r="J35" i="1"/>
  <c r="J28" i="1"/>
  <c r="J29" i="1"/>
  <c r="J39" i="1"/>
  <c r="J36" i="1"/>
  <c r="J40" i="1"/>
  <c r="J48" i="1"/>
  <c r="J49" i="1"/>
  <c r="J55" i="1"/>
  <c r="J43" i="1"/>
  <c r="J44" i="1"/>
  <c r="J56" i="1"/>
  <c r="J50" i="1"/>
  <c r="J57" i="1"/>
  <c r="J58" i="1"/>
  <c r="J103" i="1"/>
  <c r="J51" i="1"/>
  <c r="J45" i="1"/>
  <c r="J46" i="1"/>
  <c r="J63" i="1"/>
  <c r="J52" i="1"/>
  <c r="J59" i="1"/>
  <c r="J60" i="1"/>
  <c r="J64" i="1"/>
  <c r="J61" i="1"/>
  <c r="J62" i="1"/>
  <c r="J74" i="1"/>
  <c r="J133" i="1"/>
  <c r="J75" i="1"/>
  <c r="J104" i="1"/>
  <c r="J92" i="1"/>
  <c r="J76" i="1"/>
  <c r="J65" i="1"/>
  <c r="J66" i="1"/>
  <c r="J67" i="1"/>
  <c r="J77" i="1"/>
  <c r="J78" i="1"/>
  <c r="J105" i="1"/>
  <c r="J79" i="1"/>
  <c r="J134" i="1"/>
  <c r="J80" i="1"/>
  <c r="J106" i="1"/>
  <c r="J93" i="1"/>
  <c r="J135" i="1"/>
  <c r="J107" i="1"/>
  <c r="J68" i="1"/>
  <c r="J81" i="1"/>
  <c r="J69" i="1"/>
  <c r="J94" i="1"/>
  <c r="J82" i="1"/>
  <c r="J95" i="1"/>
  <c r="J96" i="1"/>
  <c r="J83" i="1"/>
  <c r="J97" i="1"/>
  <c r="J98" i="1"/>
  <c r="J84" i="1"/>
  <c r="J85" i="1"/>
  <c r="J70" i="1"/>
  <c r="J86" i="1"/>
  <c r="J71" i="1"/>
  <c r="J87" i="1"/>
  <c r="J88" i="1"/>
  <c r="J99" i="1"/>
  <c r="J89" i="1"/>
  <c r="J90" i="1"/>
  <c r="J91" i="1"/>
  <c r="J108" i="1"/>
  <c r="J136" i="1"/>
  <c r="J137" i="1"/>
  <c r="J109" i="1"/>
  <c r="J110" i="1"/>
  <c r="J138" i="1"/>
  <c r="J139" i="1"/>
  <c r="J140" i="1"/>
  <c r="J111" i="1"/>
  <c r="J112" i="1"/>
  <c r="J113" i="1"/>
  <c r="J141" i="1"/>
  <c r="J114" i="1"/>
  <c r="J115" i="1"/>
  <c r="J116" i="1"/>
  <c r="J142" i="1"/>
  <c r="J143" i="1"/>
  <c r="J117" i="1"/>
  <c r="J144" i="1"/>
  <c r="J118" i="1"/>
  <c r="J145" i="1"/>
  <c r="J119" i="1"/>
  <c r="J146" i="1"/>
  <c r="J120" i="1"/>
  <c r="J121" i="1"/>
  <c r="J122" i="1"/>
  <c r="J123" i="1"/>
  <c r="J124" i="1"/>
  <c r="J125" i="1"/>
  <c r="J126" i="1"/>
  <c r="J147" i="1"/>
  <c r="J148" i="1"/>
  <c r="J149" i="1"/>
  <c r="J127" i="1"/>
  <c r="J150" i="1"/>
  <c r="J151" i="1"/>
  <c r="J128" i="1"/>
  <c r="J152" i="1"/>
  <c r="J153" i="1"/>
  <c r="J154" i="1"/>
  <c r="J155" i="1"/>
  <c r="J129" i="1"/>
  <c r="J130" i="1"/>
  <c r="J156" i="1"/>
  <c r="J131" i="1"/>
  <c r="J132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AA3" i="1"/>
  <c r="AA2" i="1"/>
  <c r="AA13" i="1"/>
  <c r="AA8" i="1"/>
  <c r="AA4" i="1"/>
  <c r="AA11" i="1"/>
  <c r="AA7" i="1"/>
  <c r="AA6" i="1"/>
  <c r="AA5" i="1"/>
  <c r="AA9" i="1"/>
  <c r="AA12" i="1"/>
  <c r="AA72" i="1"/>
  <c r="AA14" i="1"/>
  <c r="AA25" i="1"/>
  <c r="AA10" i="1"/>
  <c r="AA15" i="1"/>
  <c r="AA37" i="1"/>
  <c r="AA53" i="1"/>
  <c r="AA18" i="1"/>
  <c r="AA21" i="1"/>
  <c r="AA16" i="1"/>
  <c r="AA23" i="1"/>
  <c r="AA30" i="1"/>
  <c r="AA31" i="1"/>
  <c r="AA19" i="1"/>
  <c r="AA20" i="1"/>
  <c r="AA17" i="1"/>
  <c r="AA22" i="1"/>
  <c r="AA32" i="1"/>
  <c r="AA33" i="1"/>
  <c r="AA24" i="1"/>
  <c r="AA100" i="1"/>
  <c r="AA38" i="1"/>
  <c r="AA34" i="1"/>
  <c r="AA101" i="1"/>
  <c r="AA26" i="1"/>
  <c r="AA54" i="1"/>
  <c r="AA41" i="1"/>
  <c r="AA102" i="1"/>
  <c r="AA42" i="1"/>
  <c r="AA47" i="1"/>
  <c r="AA73" i="1"/>
  <c r="AA27" i="1"/>
  <c r="AA35" i="1"/>
  <c r="AA28" i="1"/>
  <c r="AA29" i="1"/>
  <c r="AA39" i="1"/>
  <c r="AA36" i="1"/>
  <c r="AA40" i="1"/>
  <c r="AA48" i="1"/>
  <c r="AA49" i="1"/>
  <c r="AA55" i="1"/>
  <c r="AA43" i="1"/>
  <c r="AA44" i="1"/>
  <c r="AA56" i="1"/>
  <c r="AA50" i="1"/>
  <c r="AA57" i="1"/>
  <c r="AA58" i="1"/>
  <c r="AA103" i="1"/>
  <c r="AA51" i="1"/>
  <c r="AA45" i="1"/>
  <c r="AA46" i="1"/>
  <c r="AA63" i="1"/>
  <c r="AA52" i="1"/>
  <c r="AA59" i="1"/>
  <c r="AA60" i="1"/>
  <c r="AA64" i="1"/>
  <c r="AA61" i="1"/>
  <c r="AA62" i="1"/>
  <c r="AA74" i="1"/>
  <c r="AA133" i="1"/>
  <c r="AA75" i="1"/>
  <c r="AA104" i="1"/>
  <c r="AA92" i="1"/>
  <c r="AA76" i="1"/>
  <c r="AA65" i="1"/>
  <c r="AA66" i="1"/>
  <c r="AA67" i="1"/>
  <c r="AA77" i="1"/>
  <c r="AA78" i="1"/>
  <c r="AA105" i="1"/>
  <c r="AA79" i="1"/>
  <c r="AA134" i="1"/>
  <c r="AA80" i="1"/>
  <c r="AA106" i="1"/>
  <c r="AA93" i="1"/>
  <c r="AA135" i="1"/>
  <c r="AA107" i="1"/>
  <c r="AA68" i="1"/>
  <c r="AA81" i="1"/>
  <c r="AA69" i="1"/>
  <c r="AA94" i="1"/>
  <c r="AA82" i="1"/>
  <c r="AA95" i="1"/>
  <c r="AA96" i="1"/>
  <c r="AA83" i="1"/>
  <c r="AA97" i="1"/>
  <c r="AA98" i="1"/>
  <c r="AA84" i="1"/>
  <c r="AA85" i="1"/>
  <c r="AA70" i="1"/>
  <c r="AA86" i="1"/>
  <c r="AA71" i="1"/>
  <c r="AA87" i="1"/>
  <c r="AA88" i="1"/>
  <c r="AA99" i="1"/>
  <c r="AA89" i="1"/>
  <c r="AA90" i="1"/>
  <c r="AA91" i="1"/>
  <c r="AA108" i="1"/>
  <c r="AA136" i="1"/>
  <c r="AA137" i="1"/>
  <c r="AA109" i="1"/>
  <c r="AA110" i="1"/>
  <c r="AA138" i="1"/>
  <c r="AA139" i="1"/>
  <c r="AA140" i="1"/>
  <c r="AA111" i="1"/>
  <c r="AA112" i="1"/>
  <c r="AA113" i="1"/>
  <c r="AA141" i="1"/>
  <c r="AA114" i="1"/>
  <c r="AA115" i="1"/>
  <c r="AA116" i="1"/>
  <c r="AA142" i="1"/>
  <c r="AA143" i="1"/>
  <c r="AA117" i="1"/>
  <c r="AA144" i="1"/>
  <c r="AA118" i="1"/>
  <c r="AA145" i="1"/>
  <c r="AA119" i="1"/>
  <c r="AA146" i="1"/>
  <c r="AA120" i="1"/>
  <c r="AA121" i="1"/>
  <c r="AA122" i="1"/>
  <c r="AA123" i="1"/>
  <c r="AA124" i="1"/>
  <c r="AA125" i="1"/>
  <c r="AA126" i="1"/>
  <c r="AA147" i="1"/>
  <c r="AA148" i="1"/>
  <c r="AA149" i="1"/>
  <c r="AA127" i="1"/>
  <c r="AA150" i="1"/>
  <c r="AA151" i="1"/>
  <c r="AA128" i="1"/>
  <c r="AA152" i="1"/>
  <c r="AA153" i="1"/>
  <c r="AA154" i="1"/>
  <c r="AA155" i="1"/>
  <c r="AA129" i="1"/>
  <c r="AA130" i="1"/>
  <c r="AA156" i="1"/>
  <c r="AA131" i="1"/>
  <c r="AA132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Y3" i="1"/>
  <c r="Y2" i="1"/>
  <c r="Y13" i="1"/>
  <c r="Y8" i="1"/>
  <c r="Y4" i="1"/>
  <c r="Y11" i="1"/>
  <c r="Y7" i="1"/>
  <c r="Y6" i="1"/>
  <c r="Y5" i="1"/>
  <c r="Y9" i="1"/>
  <c r="Y12" i="1"/>
  <c r="Y72" i="1"/>
  <c r="Y14" i="1"/>
  <c r="Y25" i="1"/>
  <c r="Y10" i="1"/>
  <c r="Y15" i="1"/>
  <c r="Y37" i="1"/>
  <c r="Y53" i="1"/>
  <c r="Y18" i="1"/>
  <c r="Y21" i="1"/>
  <c r="Y16" i="1"/>
  <c r="Y23" i="1"/>
  <c r="Y30" i="1"/>
  <c r="Y31" i="1"/>
  <c r="Y19" i="1"/>
  <c r="Y20" i="1"/>
  <c r="Y17" i="1"/>
  <c r="Y22" i="1"/>
  <c r="Y32" i="1"/>
  <c r="Y33" i="1"/>
  <c r="Y24" i="1"/>
  <c r="Y100" i="1"/>
  <c r="Y38" i="1"/>
  <c r="Y34" i="1"/>
  <c r="Y101" i="1"/>
  <c r="Y26" i="1"/>
  <c r="Y54" i="1"/>
  <c r="Y41" i="1"/>
  <c r="Y102" i="1"/>
  <c r="Y42" i="1"/>
  <c r="Y47" i="1"/>
  <c r="Y73" i="1"/>
  <c r="Y27" i="1"/>
  <c r="Y35" i="1"/>
  <c r="Y28" i="1"/>
  <c r="Y29" i="1"/>
  <c r="Y39" i="1"/>
  <c r="Y36" i="1"/>
  <c r="Y40" i="1"/>
  <c r="Y48" i="1"/>
  <c r="Y49" i="1"/>
  <c r="Y55" i="1"/>
  <c r="Y43" i="1"/>
  <c r="Y44" i="1"/>
  <c r="Y56" i="1"/>
  <c r="Y50" i="1"/>
  <c r="Y57" i="1"/>
  <c r="Y58" i="1"/>
  <c r="Y103" i="1"/>
  <c r="Y51" i="1"/>
  <c r="Y45" i="1"/>
  <c r="Y46" i="1"/>
  <c r="Y63" i="1"/>
  <c r="Y52" i="1"/>
  <c r="Y59" i="1"/>
  <c r="Y60" i="1"/>
  <c r="Y64" i="1"/>
  <c r="Y61" i="1"/>
  <c r="Y62" i="1"/>
  <c r="Y74" i="1"/>
  <c r="Y133" i="1"/>
  <c r="Y75" i="1"/>
  <c r="Y104" i="1"/>
  <c r="Y92" i="1"/>
  <c r="Y76" i="1"/>
  <c r="Y65" i="1"/>
  <c r="Y66" i="1"/>
  <c r="Y67" i="1"/>
  <c r="Y77" i="1"/>
  <c r="Y78" i="1"/>
  <c r="Y105" i="1"/>
  <c r="Y79" i="1"/>
  <c r="Y134" i="1"/>
  <c r="Y80" i="1"/>
  <c r="Y106" i="1"/>
  <c r="Y93" i="1"/>
  <c r="Y135" i="1"/>
  <c r="Y107" i="1"/>
  <c r="Y68" i="1"/>
  <c r="Y81" i="1"/>
  <c r="Y69" i="1"/>
  <c r="Y94" i="1"/>
  <c r="Y82" i="1"/>
  <c r="Y95" i="1"/>
  <c r="Y96" i="1"/>
  <c r="Y83" i="1"/>
  <c r="Y97" i="1"/>
  <c r="Y98" i="1"/>
  <c r="Y84" i="1"/>
  <c r="Y85" i="1"/>
  <c r="Y70" i="1"/>
  <c r="Y86" i="1"/>
  <c r="Y71" i="1"/>
  <c r="Y87" i="1"/>
  <c r="Y88" i="1"/>
  <c r="Y99" i="1"/>
  <c r="Y89" i="1"/>
  <c r="Y90" i="1"/>
  <c r="Y91" i="1"/>
  <c r="Y108" i="1"/>
  <c r="Y136" i="1"/>
  <c r="Y137" i="1"/>
  <c r="Y109" i="1"/>
  <c r="Y110" i="1"/>
  <c r="Y138" i="1"/>
  <c r="Y139" i="1"/>
  <c r="Y140" i="1"/>
  <c r="Y111" i="1"/>
  <c r="Y112" i="1"/>
  <c r="Y113" i="1"/>
  <c r="Y141" i="1"/>
  <c r="Y114" i="1"/>
  <c r="Y115" i="1"/>
  <c r="Y116" i="1"/>
  <c r="Y142" i="1"/>
  <c r="Y143" i="1"/>
  <c r="Y117" i="1"/>
  <c r="Y144" i="1"/>
  <c r="Y118" i="1"/>
  <c r="Y145" i="1"/>
  <c r="Y119" i="1"/>
  <c r="Y146" i="1"/>
  <c r="Y120" i="1"/>
  <c r="Y121" i="1"/>
  <c r="Y122" i="1"/>
  <c r="Y123" i="1"/>
  <c r="Y124" i="1"/>
  <c r="Y125" i="1"/>
  <c r="Y126" i="1"/>
  <c r="Y147" i="1"/>
  <c r="Y148" i="1"/>
  <c r="Y149" i="1"/>
  <c r="Y127" i="1"/>
  <c r="Y150" i="1"/>
  <c r="Y151" i="1"/>
  <c r="Y128" i="1"/>
  <c r="Y152" i="1"/>
  <c r="Y153" i="1"/>
  <c r="Y154" i="1"/>
  <c r="Y155" i="1"/>
  <c r="Y129" i="1"/>
  <c r="Y130" i="1"/>
  <c r="Y156" i="1"/>
  <c r="Y131" i="1"/>
  <c r="Y132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T157" i="1"/>
  <c r="T23" i="1"/>
  <c r="T74" i="1"/>
  <c r="T105" i="1"/>
  <c r="T158" i="1"/>
  <c r="T159" i="1"/>
  <c r="T160" i="1"/>
  <c r="T161" i="1"/>
  <c r="T56" i="1"/>
  <c r="T146" i="1"/>
  <c r="T57" i="1"/>
  <c r="T162" i="1"/>
  <c r="T109" i="1"/>
  <c r="T27" i="1"/>
  <c r="T163" i="1"/>
  <c r="T164" i="1"/>
  <c r="T165" i="1"/>
  <c r="T4" i="1"/>
  <c r="T79" i="1"/>
  <c r="T139" i="1"/>
  <c r="T166" i="1"/>
  <c r="T12" i="1"/>
  <c r="T133" i="1"/>
  <c r="T167" i="1"/>
  <c r="T168" i="1"/>
  <c r="T134" i="1"/>
  <c r="T169" i="1"/>
  <c r="T116" i="1"/>
  <c r="T170" i="1"/>
  <c r="T142" i="1"/>
  <c r="T171" i="1"/>
  <c r="T172" i="1"/>
  <c r="T48" i="1"/>
  <c r="T173" i="1"/>
  <c r="T100" i="1"/>
  <c r="T174" i="1"/>
  <c r="T175" i="1"/>
  <c r="T81" i="1"/>
  <c r="T110" i="1"/>
  <c r="T143" i="1"/>
  <c r="T69" i="1"/>
  <c r="T176" i="1"/>
  <c r="T177" i="1"/>
  <c r="T178" i="1"/>
  <c r="T179" i="1"/>
  <c r="T180" i="1"/>
  <c r="T7" i="1"/>
  <c r="T120" i="1"/>
  <c r="T181" i="1"/>
  <c r="T182" i="1"/>
  <c r="T3" i="1"/>
  <c r="T117" i="1"/>
  <c r="T183" i="1"/>
  <c r="T38" i="1"/>
  <c r="T184" i="1"/>
  <c r="T32" i="1"/>
  <c r="T185" i="1"/>
  <c r="T186" i="1"/>
  <c r="T187" i="1"/>
  <c r="T13" i="1"/>
  <c r="T34" i="1"/>
  <c r="T188" i="1"/>
  <c r="T189" i="1"/>
  <c r="T190" i="1"/>
  <c r="T191" i="1"/>
  <c r="T192" i="1"/>
  <c r="T19" i="1"/>
  <c r="T193" i="1"/>
  <c r="T194" i="1"/>
  <c r="T35" i="1"/>
  <c r="T195" i="1"/>
  <c r="T11" i="1"/>
  <c r="T147" i="1"/>
  <c r="T33" i="1"/>
  <c r="T196" i="1"/>
  <c r="T148" i="1"/>
  <c r="T197" i="1"/>
  <c r="T198" i="1"/>
  <c r="T199" i="1"/>
  <c r="T200" i="1"/>
  <c r="T101" i="1"/>
  <c r="T201" i="1"/>
  <c r="T202" i="1"/>
  <c r="T203" i="1"/>
  <c r="T204" i="1"/>
  <c r="T121" i="1"/>
  <c r="T205" i="1"/>
  <c r="T136" i="1"/>
  <c r="T206" i="1"/>
  <c r="T30" i="1"/>
  <c r="T72" i="1"/>
  <c r="T58" i="1"/>
  <c r="T26" i="1"/>
  <c r="T207" i="1"/>
  <c r="T208" i="1"/>
  <c r="T144" i="1"/>
  <c r="T209" i="1"/>
  <c r="T210" i="1"/>
  <c r="T20" i="1"/>
  <c r="T211" i="1"/>
  <c r="T63" i="1"/>
  <c r="T138" i="1"/>
  <c r="T212" i="1"/>
  <c r="T49" i="1"/>
  <c r="T213" i="1"/>
  <c r="T108" i="1"/>
  <c r="T2" i="1"/>
  <c r="T214" i="1"/>
  <c r="T28" i="1"/>
  <c r="T118" i="1"/>
  <c r="T122" i="1"/>
  <c r="T215" i="1"/>
  <c r="T216" i="1"/>
  <c r="T50" i="1"/>
  <c r="T52" i="1"/>
  <c r="T217" i="1"/>
  <c r="T218" i="1"/>
  <c r="T219" i="1"/>
  <c r="T8" i="1"/>
  <c r="T220" i="1"/>
  <c r="T140" i="1"/>
  <c r="T221" i="1"/>
  <c r="T222" i="1"/>
  <c r="T123" i="1"/>
  <c r="T223" i="1"/>
  <c r="T15" i="1"/>
  <c r="T111" i="1"/>
  <c r="T124" i="1"/>
  <c r="T80" i="1"/>
  <c r="T125" i="1"/>
  <c r="T224" i="1"/>
  <c r="T149" i="1"/>
  <c r="T75" i="1"/>
  <c r="T94" i="1"/>
  <c r="T127" i="1"/>
  <c r="T225" i="1"/>
  <c r="T226" i="1"/>
  <c r="T227" i="1"/>
  <c r="T112" i="1"/>
  <c r="T228" i="1"/>
  <c r="T229" i="1"/>
  <c r="T230" i="1"/>
  <c r="T231" i="1"/>
  <c r="T55" i="1"/>
  <c r="T104" i="1"/>
  <c r="T150" i="1"/>
  <c r="T232" i="1"/>
  <c r="T233" i="1"/>
  <c r="T234" i="1"/>
  <c r="T106" i="1"/>
  <c r="T37" i="1"/>
  <c r="T151" i="1"/>
  <c r="T54" i="1"/>
  <c r="T235" i="1"/>
  <c r="T59" i="1"/>
  <c r="T128" i="1"/>
  <c r="T43" i="1"/>
  <c r="T236" i="1"/>
  <c r="T65" i="1"/>
  <c r="T237" i="1"/>
  <c r="T17" i="1"/>
  <c r="T238" i="1"/>
  <c r="T113" i="1"/>
  <c r="T239" i="1"/>
  <c r="T240" i="1"/>
  <c r="T93" i="1"/>
  <c r="T241" i="1"/>
  <c r="T24" i="1"/>
  <c r="T242" i="1"/>
  <c r="T60" i="1"/>
  <c r="T243" i="1"/>
  <c r="T41" i="1"/>
  <c r="T244" i="1"/>
  <c r="T245" i="1"/>
  <c r="T246" i="1"/>
  <c r="T247" i="1"/>
  <c r="T82" i="1"/>
  <c r="T29" i="1"/>
  <c r="T248" i="1"/>
  <c r="T152" i="1"/>
  <c r="T249" i="1"/>
  <c r="T250" i="1"/>
  <c r="T6" i="1"/>
  <c r="T251" i="1"/>
  <c r="T252" i="1"/>
  <c r="T253" i="1"/>
  <c r="T254" i="1"/>
  <c r="T153" i="1"/>
  <c r="T255" i="1"/>
  <c r="T95" i="1"/>
  <c r="T256" i="1"/>
  <c r="T126" i="1"/>
  <c r="T257" i="1"/>
  <c r="T103" i="1"/>
  <c r="T145" i="1"/>
  <c r="T154" i="1"/>
  <c r="T155" i="1"/>
  <c r="T96" i="1"/>
  <c r="T258" i="1"/>
  <c r="T14" i="1"/>
  <c r="T259" i="1"/>
  <c r="T260" i="1"/>
  <c r="T261" i="1"/>
  <c r="T51" i="1"/>
  <c r="T262" i="1"/>
  <c r="T129" i="1"/>
  <c r="T39" i="1"/>
  <c r="T83" i="1"/>
  <c r="T45" i="1"/>
  <c r="T263" i="1"/>
  <c r="T264" i="1"/>
  <c r="T265" i="1"/>
  <c r="T266" i="1"/>
  <c r="T130" i="1"/>
  <c r="T267" i="1"/>
  <c r="T97" i="1"/>
  <c r="T268" i="1"/>
  <c r="T102" i="1"/>
  <c r="T36" i="1"/>
  <c r="T269" i="1"/>
  <c r="T270" i="1"/>
  <c r="T156" i="1"/>
  <c r="T42" i="1"/>
  <c r="T25" i="1"/>
  <c r="T98" i="1"/>
  <c r="T271" i="1"/>
  <c r="T92" i="1"/>
  <c r="T66" i="1"/>
  <c r="T272" i="1"/>
  <c r="T67" i="1"/>
  <c r="T273" i="1"/>
  <c r="T53" i="1"/>
  <c r="T119" i="1"/>
  <c r="T274" i="1"/>
  <c r="T275" i="1"/>
  <c r="T276" i="1"/>
  <c r="T277" i="1"/>
  <c r="T278" i="1"/>
  <c r="T76" i="1"/>
  <c r="T47" i="1"/>
  <c r="T84" i="1"/>
  <c r="T279" i="1"/>
  <c r="T280" i="1"/>
  <c r="T85" i="1"/>
  <c r="T281" i="1"/>
  <c r="T282" i="1"/>
  <c r="T283" i="1"/>
  <c r="T284" i="1"/>
  <c r="T64" i="1"/>
  <c r="T285" i="1"/>
  <c r="T77" i="1"/>
  <c r="T286" i="1"/>
  <c r="T70" i="1"/>
  <c r="T18" i="1"/>
  <c r="T73" i="1"/>
  <c r="T131" i="1"/>
  <c r="T287" i="1"/>
  <c r="T22" i="1"/>
  <c r="T10" i="1"/>
  <c r="T86" i="1"/>
  <c r="T71" i="1"/>
  <c r="T87" i="1"/>
  <c r="T88" i="1"/>
  <c r="T288" i="1"/>
  <c r="T289" i="1"/>
  <c r="T290" i="1"/>
  <c r="T291" i="1"/>
  <c r="T292" i="1"/>
  <c r="T31" i="1"/>
  <c r="T293" i="1"/>
  <c r="T40" i="1"/>
  <c r="T294" i="1"/>
  <c r="T295" i="1"/>
  <c r="T135" i="1"/>
  <c r="T44" i="1"/>
  <c r="T61" i="1"/>
  <c r="T296" i="1"/>
  <c r="T297" i="1"/>
  <c r="T141" i="1"/>
  <c r="T298" i="1"/>
  <c r="T99" i="1"/>
  <c r="T299" i="1"/>
  <c r="T114" i="1"/>
  <c r="T300" i="1"/>
  <c r="T9" i="1"/>
  <c r="T21" i="1"/>
  <c r="T301" i="1"/>
  <c r="T5" i="1"/>
  <c r="T46" i="1"/>
  <c r="T302" i="1"/>
  <c r="T303" i="1"/>
  <c r="T16" i="1"/>
  <c r="T304" i="1"/>
  <c r="T305" i="1"/>
  <c r="T89" i="1"/>
  <c r="T306" i="1"/>
  <c r="T107" i="1"/>
  <c r="T90" i="1"/>
  <c r="T307" i="1"/>
  <c r="T132" i="1"/>
  <c r="T115" i="1"/>
  <c r="T308" i="1"/>
  <c r="T309" i="1"/>
  <c r="T310" i="1"/>
  <c r="T311" i="1"/>
  <c r="T91" i="1"/>
  <c r="T62" i="1"/>
  <c r="T137" i="1"/>
  <c r="T68" i="1"/>
  <c r="T78" i="1"/>
  <c r="R157" i="1"/>
  <c r="R23" i="1"/>
  <c r="R74" i="1"/>
  <c r="R105" i="1"/>
  <c r="R158" i="1"/>
  <c r="R159" i="1"/>
  <c r="R160" i="1"/>
  <c r="R161" i="1"/>
  <c r="R56" i="1"/>
  <c r="R146" i="1"/>
  <c r="R57" i="1"/>
  <c r="R162" i="1"/>
  <c r="R109" i="1"/>
  <c r="R27" i="1"/>
  <c r="R163" i="1"/>
  <c r="R164" i="1"/>
  <c r="R165" i="1"/>
  <c r="R4" i="1"/>
  <c r="R79" i="1"/>
  <c r="R139" i="1"/>
  <c r="R166" i="1"/>
  <c r="R12" i="1"/>
  <c r="R133" i="1"/>
  <c r="R167" i="1"/>
  <c r="R168" i="1"/>
  <c r="R134" i="1"/>
  <c r="R169" i="1"/>
  <c r="R116" i="1"/>
  <c r="R170" i="1"/>
  <c r="R142" i="1"/>
  <c r="R171" i="1"/>
  <c r="R172" i="1"/>
  <c r="R48" i="1"/>
  <c r="R173" i="1"/>
  <c r="R100" i="1"/>
  <c r="R174" i="1"/>
  <c r="R175" i="1"/>
  <c r="R81" i="1"/>
  <c r="R110" i="1"/>
  <c r="R143" i="1"/>
  <c r="R69" i="1"/>
  <c r="R176" i="1"/>
  <c r="R177" i="1"/>
  <c r="R178" i="1"/>
  <c r="R179" i="1"/>
  <c r="R180" i="1"/>
  <c r="R7" i="1"/>
  <c r="R120" i="1"/>
  <c r="R181" i="1"/>
  <c r="R182" i="1"/>
  <c r="R3" i="1"/>
  <c r="R117" i="1"/>
  <c r="R183" i="1"/>
  <c r="R38" i="1"/>
  <c r="R184" i="1"/>
  <c r="R32" i="1"/>
  <c r="R185" i="1"/>
  <c r="R186" i="1"/>
  <c r="R187" i="1"/>
  <c r="R13" i="1"/>
  <c r="R34" i="1"/>
  <c r="R188" i="1"/>
  <c r="R189" i="1"/>
  <c r="R190" i="1"/>
  <c r="R191" i="1"/>
  <c r="R192" i="1"/>
  <c r="R19" i="1"/>
  <c r="R193" i="1"/>
  <c r="R194" i="1"/>
  <c r="R35" i="1"/>
  <c r="R195" i="1"/>
  <c r="R11" i="1"/>
  <c r="R147" i="1"/>
  <c r="R33" i="1"/>
  <c r="R196" i="1"/>
  <c r="R148" i="1"/>
  <c r="R197" i="1"/>
  <c r="R198" i="1"/>
  <c r="R199" i="1"/>
  <c r="R200" i="1"/>
  <c r="R101" i="1"/>
  <c r="R201" i="1"/>
  <c r="R202" i="1"/>
  <c r="R203" i="1"/>
  <c r="R204" i="1"/>
  <c r="R121" i="1"/>
  <c r="R205" i="1"/>
  <c r="R136" i="1"/>
  <c r="R206" i="1"/>
  <c r="R30" i="1"/>
  <c r="R72" i="1"/>
  <c r="R58" i="1"/>
  <c r="R26" i="1"/>
  <c r="R207" i="1"/>
  <c r="R208" i="1"/>
  <c r="R144" i="1"/>
  <c r="R209" i="1"/>
  <c r="R210" i="1"/>
  <c r="R20" i="1"/>
  <c r="R211" i="1"/>
  <c r="R63" i="1"/>
  <c r="R138" i="1"/>
  <c r="R212" i="1"/>
  <c r="R49" i="1"/>
  <c r="R213" i="1"/>
  <c r="R108" i="1"/>
  <c r="R2" i="1"/>
  <c r="R214" i="1"/>
  <c r="R28" i="1"/>
  <c r="R118" i="1"/>
  <c r="R122" i="1"/>
  <c r="R215" i="1"/>
  <c r="R216" i="1"/>
  <c r="R50" i="1"/>
  <c r="R52" i="1"/>
  <c r="R217" i="1"/>
  <c r="R218" i="1"/>
  <c r="R219" i="1"/>
  <c r="R8" i="1"/>
  <c r="R220" i="1"/>
  <c r="R140" i="1"/>
  <c r="R221" i="1"/>
  <c r="R222" i="1"/>
  <c r="R123" i="1"/>
  <c r="R223" i="1"/>
  <c r="R15" i="1"/>
  <c r="R111" i="1"/>
  <c r="R124" i="1"/>
  <c r="R80" i="1"/>
  <c r="R125" i="1"/>
  <c r="R224" i="1"/>
  <c r="R149" i="1"/>
  <c r="R75" i="1"/>
  <c r="R94" i="1"/>
  <c r="R127" i="1"/>
  <c r="R225" i="1"/>
  <c r="R226" i="1"/>
  <c r="R227" i="1"/>
  <c r="R112" i="1"/>
  <c r="R228" i="1"/>
  <c r="R229" i="1"/>
  <c r="R230" i="1"/>
  <c r="R231" i="1"/>
  <c r="R55" i="1"/>
  <c r="R104" i="1"/>
  <c r="R150" i="1"/>
  <c r="R232" i="1"/>
  <c r="R233" i="1"/>
  <c r="R234" i="1"/>
  <c r="R106" i="1"/>
  <c r="R37" i="1"/>
  <c r="R151" i="1"/>
  <c r="R54" i="1"/>
  <c r="R235" i="1"/>
  <c r="R59" i="1"/>
  <c r="R128" i="1"/>
  <c r="R43" i="1"/>
  <c r="R236" i="1"/>
  <c r="R65" i="1"/>
  <c r="R237" i="1"/>
  <c r="R17" i="1"/>
  <c r="R238" i="1"/>
  <c r="R113" i="1"/>
  <c r="R239" i="1"/>
  <c r="R240" i="1"/>
  <c r="R93" i="1"/>
  <c r="R241" i="1"/>
  <c r="R24" i="1"/>
  <c r="R242" i="1"/>
  <c r="R60" i="1"/>
  <c r="R243" i="1"/>
  <c r="R41" i="1"/>
  <c r="R244" i="1"/>
  <c r="R245" i="1"/>
  <c r="R246" i="1"/>
  <c r="R247" i="1"/>
  <c r="R82" i="1"/>
  <c r="R29" i="1"/>
  <c r="R248" i="1"/>
  <c r="R152" i="1"/>
  <c r="R249" i="1"/>
  <c r="R250" i="1"/>
  <c r="R6" i="1"/>
  <c r="R251" i="1"/>
  <c r="R252" i="1"/>
  <c r="R253" i="1"/>
  <c r="R254" i="1"/>
  <c r="R153" i="1"/>
  <c r="R255" i="1"/>
  <c r="R95" i="1"/>
  <c r="R256" i="1"/>
  <c r="R126" i="1"/>
  <c r="R257" i="1"/>
  <c r="R103" i="1"/>
  <c r="R145" i="1"/>
  <c r="R154" i="1"/>
  <c r="R155" i="1"/>
  <c r="R96" i="1"/>
  <c r="R258" i="1"/>
  <c r="R14" i="1"/>
  <c r="R259" i="1"/>
  <c r="R260" i="1"/>
  <c r="R261" i="1"/>
  <c r="R51" i="1"/>
  <c r="R262" i="1"/>
  <c r="R129" i="1"/>
  <c r="R39" i="1"/>
  <c r="R83" i="1"/>
  <c r="R45" i="1"/>
  <c r="R263" i="1"/>
  <c r="R264" i="1"/>
  <c r="R265" i="1"/>
  <c r="R266" i="1"/>
  <c r="R130" i="1"/>
  <c r="R267" i="1"/>
  <c r="R97" i="1"/>
  <c r="R268" i="1"/>
  <c r="R102" i="1"/>
  <c r="R36" i="1"/>
  <c r="R269" i="1"/>
  <c r="R270" i="1"/>
  <c r="R156" i="1"/>
  <c r="R42" i="1"/>
  <c r="R25" i="1"/>
  <c r="R98" i="1"/>
  <c r="R271" i="1"/>
  <c r="R92" i="1"/>
  <c r="R66" i="1"/>
  <c r="R272" i="1"/>
  <c r="R67" i="1"/>
  <c r="R273" i="1"/>
  <c r="R53" i="1"/>
  <c r="R119" i="1"/>
  <c r="R274" i="1"/>
  <c r="R275" i="1"/>
  <c r="R276" i="1"/>
  <c r="R277" i="1"/>
  <c r="R278" i="1"/>
  <c r="R76" i="1"/>
  <c r="R47" i="1"/>
  <c r="R84" i="1"/>
  <c r="R279" i="1"/>
  <c r="R280" i="1"/>
  <c r="R85" i="1"/>
  <c r="R281" i="1"/>
  <c r="R282" i="1"/>
  <c r="R283" i="1"/>
  <c r="R284" i="1"/>
  <c r="R64" i="1"/>
  <c r="R285" i="1"/>
  <c r="R77" i="1"/>
  <c r="R286" i="1"/>
  <c r="R70" i="1"/>
  <c r="R18" i="1"/>
  <c r="R73" i="1"/>
  <c r="R131" i="1"/>
  <c r="R287" i="1"/>
  <c r="R22" i="1"/>
  <c r="R10" i="1"/>
  <c r="R86" i="1"/>
  <c r="R71" i="1"/>
  <c r="R87" i="1"/>
  <c r="R88" i="1"/>
  <c r="R288" i="1"/>
  <c r="R289" i="1"/>
  <c r="R290" i="1"/>
  <c r="R291" i="1"/>
  <c r="R292" i="1"/>
  <c r="R31" i="1"/>
  <c r="R293" i="1"/>
  <c r="R40" i="1"/>
  <c r="R294" i="1"/>
  <c r="R295" i="1"/>
  <c r="R135" i="1"/>
  <c r="R44" i="1"/>
  <c r="R61" i="1"/>
  <c r="R296" i="1"/>
  <c r="R297" i="1"/>
  <c r="R141" i="1"/>
  <c r="R298" i="1"/>
  <c r="R99" i="1"/>
  <c r="R299" i="1"/>
  <c r="R114" i="1"/>
  <c r="R300" i="1"/>
  <c r="R9" i="1"/>
  <c r="R21" i="1"/>
  <c r="R301" i="1"/>
  <c r="R5" i="1"/>
  <c r="R46" i="1"/>
  <c r="R302" i="1"/>
  <c r="R303" i="1"/>
  <c r="R16" i="1"/>
  <c r="R304" i="1"/>
  <c r="R305" i="1"/>
  <c r="R89" i="1"/>
  <c r="R306" i="1"/>
  <c r="R107" i="1"/>
  <c r="R90" i="1"/>
  <c r="R307" i="1"/>
  <c r="R132" i="1"/>
  <c r="R115" i="1"/>
  <c r="R308" i="1"/>
  <c r="R309" i="1"/>
  <c r="R310" i="1"/>
  <c r="R311" i="1"/>
  <c r="R91" i="1"/>
  <c r="R62" i="1"/>
  <c r="R137" i="1"/>
  <c r="R68" i="1"/>
  <c r="R78" i="1"/>
  <c r="P157" i="1"/>
  <c r="P23" i="1"/>
  <c r="P74" i="1"/>
  <c r="P105" i="1"/>
  <c r="P158" i="1"/>
  <c r="P159" i="1"/>
  <c r="P160" i="1"/>
  <c r="P161" i="1"/>
  <c r="P56" i="1"/>
  <c r="P146" i="1"/>
  <c r="P57" i="1"/>
  <c r="P162" i="1"/>
  <c r="P109" i="1"/>
  <c r="P27" i="1"/>
  <c r="P163" i="1"/>
  <c r="P164" i="1"/>
  <c r="P165" i="1"/>
  <c r="P4" i="1"/>
  <c r="P79" i="1"/>
  <c r="P139" i="1"/>
  <c r="P166" i="1"/>
  <c r="P12" i="1"/>
  <c r="P133" i="1"/>
  <c r="P167" i="1"/>
  <c r="P168" i="1"/>
  <c r="P134" i="1"/>
  <c r="P169" i="1"/>
  <c r="P116" i="1"/>
  <c r="P170" i="1"/>
  <c r="P142" i="1"/>
  <c r="P171" i="1"/>
  <c r="P172" i="1"/>
  <c r="P48" i="1"/>
  <c r="P173" i="1"/>
  <c r="P100" i="1"/>
  <c r="P174" i="1"/>
  <c r="P175" i="1"/>
  <c r="P81" i="1"/>
  <c r="P110" i="1"/>
  <c r="P143" i="1"/>
  <c r="P69" i="1"/>
  <c r="P176" i="1"/>
  <c r="P177" i="1"/>
  <c r="P178" i="1"/>
  <c r="P179" i="1"/>
  <c r="P180" i="1"/>
  <c r="P7" i="1"/>
  <c r="P120" i="1"/>
  <c r="P181" i="1"/>
  <c r="P182" i="1"/>
  <c r="P3" i="1"/>
  <c r="P117" i="1"/>
  <c r="P183" i="1"/>
  <c r="P38" i="1"/>
  <c r="P184" i="1"/>
  <c r="P32" i="1"/>
  <c r="P185" i="1"/>
  <c r="P186" i="1"/>
  <c r="P187" i="1"/>
  <c r="P13" i="1"/>
  <c r="P34" i="1"/>
  <c r="P188" i="1"/>
  <c r="P189" i="1"/>
  <c r="P190" i="1"/>
  <c r="P191" i="1"/>
  <c r="P192" i="1"/>
  <c r="P19" i="1"/>
  <c r="P193" i="1"/>
  <c r="P194" i="1"/>
  <c r="P35" i="1"/>
  <c r="P195" i="1"/>
  <c r="P11" i="1"/>
  <c r="P147" i="1"/>
  <c r="P33" i="1"/>
  <c r="P196" i="1"/>
  <c r="P148" i="1"/>
  <c r="P197" i="1"/>
  <c r="P198" i="1"/>
  <c r="P199" i="1"/>
  <c r="P200" i="1"/>
  <c r="P101" i="1"/>
  <c r="P201" i="1"/>
  <c r="P202" i="1"/>
  <c r="P203" i="1"/>
  <c r="P204" i="1"/>
  <c r="P121" i="1"/>
  <c r="P205" i="1"/>
  <c r="P136" i="1"/>
  <c r="P206" i="1"/>
  <c r="P30" i="1"/>
  <c r="P72" i="1"/>
  <c r="P58" i="1"/>
  <c r="P26" i="1"/>
  <c r="P207" i="1"/>
  <c r="P208" i="1"/>
  <c r="P144" i="1"/>
  <c r="P209" i="1"/>
  <c r="P210" i="1"/>
  <c r="P20" i="1"/>
  <c r="P211" i="1"/>
  <c r="P63" i="1"/>
  <c r="P138" i="1"/>
  <c r="P212" i="1"/>
  <c r="P49" i="1"/>
  <c r="P213" i="1"/>
  <c r="P108" i="1"/>
  <c r="P2" i="1"/>
  <c r="P214" i="1"/>
  <c r="P28" i="1"/>
  <c r="P118" i="1"/>
  <c r="P122" i="1"/>
  <c r="P215" i="1"/>
  <c r="P216" i="1"/>
  <c r="P50" i="1"/>
  <c r="P52" i="1"/>
  <c r="P217" i="1"/>
  <c r="P218" i="1"/>
  <c r="P219" i="1"/>
  <c r="P8" i="1"/>
  <c r="P220" i="1"/>
  <c r="P140" i="1"/>
  <c r="P221" i="1"/>
  <c r="P222" i="1"/>
  <c r="P123" i="1"/>
  <c r="P223" i="1"/>
  <c r="P15" i="1"/>
  <c r="P111" i="1"/>
  <c r="P124" i="1"/>
  <c r="P80" i="1"/>
  <c r="P125" i="1"/>
  <c r="P224" i="1"/>
  <c r="P149" i="1"/>
  <c r="P75" i="1"/>
  <c r="P94" i="1"/>
  <c r="P127" i="1"/>
  <c r="P225" i="1"/>
  <c r="P226" i="1"/>
  <c r="P227" i="1"/>
  <c r="P112" i="1"/>
  <c r="P228" i="1"/>
  <c r="P229" i="1"/>
  <c r="P230" i="1"/>
  <c r="P231" i="1"/>
  <c r="P55" i="1"/>
  <c r="P104" i="1"/>
  <c r="P150" i="1"/>
  <c r="P232" i="1"/>
  <c r="P233" i="1"/>
  <c r="P234" i="1"/>
  <c r="P106" i="1"/>
  <c r="P37" i="1"/>
  <c r="P151" i="1"/>
  <c r="P54" i="1"/>
  <c r="P235" i="1"/>
  <c r="P59" i="1"/>
  <c r="P128" i="1"/>
  <c r="P43" i="1"/>
  <c r="P236" i="1"/>
  <c r="P65" i="1"/>
  <c r="P237" i="1"/>
  <c r="P17" i="1"/>
  <c r="P238" i="1"/>
  <c r="P113" i="1"/>
  <c r="P239" i="1"/>
  <c r="P240" i="1"/>
  <c r="P93" i="1"/>
  <c r="P241" i="1"/>
  <c r="P24" i="1"/>
  <c r="P242" i="1"/>
  <c r="P60" i="1"/>
  <c r="P243" i="1"/>
  <c r="P41" i="1"/>
  <c r="P244" i="1"/>
  <c r="P245" i="1"/>
  <c r="P246" i="1"/>
  <c r="P247" i="1"/>
  <c r="P82" i="1"/>
  <c r="P29" i="1"/>
  <c r="P248" i="1"/>
  <c r="P152" i="1"/>
  <c r="P249" i="1"/>
  <c r="P250" i="1"/>
  <c r="P6" i="1"/>
  <c r="P251" i="1"/>
  <c r="P252" i="1"/>
  <c r="P253" i="1"/>
  <c r="P254" i="1"/>
  <c r="P153" i="1"/>
  <c r="P255" i="1"/>
  <c r="P95" i="1"/>
  <c r="P256" i="1"/>
  <c r="P126" i="1"/>
  <c r="P257" i="1"/>
  <c r="P103" i="1"/>
  <c r="P145" i="1"/>
  <c r="P154" i="1"/>
  <c r="P155" i="1"/>
  <c r="P96" i="1"/>
  <c r="P258" i="1"/>
  <c r="P14" i="1"/>
  <c r="P259" i="1"/>
  <c r="P260" i="1"/>
  <c r="P261" i="1"/>
  <c r="P51" i="1"/>
  <c r="P262" i="1"/>
  <c r="P129" i="1"/>
  <c r="P39" i="1"/>
  <c r="P83" i="1"/>
  <c r="P45" i="1"/>
  <c r="P263" i="1"/>
  <c r="P264" i="1"/>
  <c r="P265" i="1"/>
  <c r="P266" i="1"/>
  <c r="P130" i="1"/>
  <c r="P267" i="1"/>
  <c r="P97" i="1"/>
  <c r="P268" i="1"/>
  <c r="P102" i="1"/>
  <c r="P36" i="1"/>
  <c r="P269" i="1"/>
  <c r="P270" i="1"/>
  <c r="P156" i="1"/>
  <c r="P42" i="1"/>
  <c r="P25" i="1"/>
  <c r="P98" i="1"/>
  <c r="P271" i="1"/>
  <c r="P92" i="1"/>
  <c r="P66" i="1"/>
  <c r="P272" i="1"/>
  <c r="P67" i="1"/>
  <c r="P273" i="1"/>
  <c r="P53" i="1"/>
  <c r="P119" i="1"/>
  <c r="P274" i="1"/>
  <c r="P275" i="1"/>
  <c r="P276" i="1"/>
  <c r="P277" i="1"/>
  <c r="P278" i="1"/>
  <c r="P76" i="1"/>
  <c r="P47" i="1"/>
  <c r="P84" i="1"/>
  <c r="P279" i="1"/>
  <c r="P280" i="1"/>
  <c r="P85" i="1"/>
  <c r="P281" i="1"/>
  <c r="P282" i="1"/>
  <c r="P283" i="1"/>
  <c r="P284" i="1"/>
  <c r="P64" i="1"/>
  <c r="P285" i="1"/>
  <c r="P77" i="1"/>
  <c r="P286" i="1"/>
  <c r="P70" i="1"/>
  <c r="P18" i="1"/>
  <c r="P73" i="1"/>
  <c r="P131" i="1"/>
  <c r="P287" i="1"/>
  <c r="P22" i="1"/>
  <c r="P10" i="1"/>
  <c r="P86" i="1"/>
  <c r="P71" i="1"/>
  <c r="P87" i="1"/>
  <c r="P88" i="1"/>
  <c r="P288" i="1"/>
  <c r="P289" i="1"/>
  <c r="P290" i="1"/>
  <c r="P291" i="1"/>
  <c r="P292" i="1"/>
  <c r="P31" i="1"/>
  <c r="P293" i="1"/>
  <c r="P40" i="1"/>
  <c r="P294" i="1"/>
  <c r="P295" i="1"/>
  <c r="P135" i="1"/>
  <c r="P44" i="1"/>
  <c r="P61" i="1"/>
  <c r="P296" i="1"/>
  <c r="P297" i="1"/>
  <c r="P141" i="1"/>
  <c r="P298" i="1"/>
  <c r="P99" i="1"/>
  <c r="P299" i="1"/>
  <c r="P114" i="1"/>
  <c r="P300" i="1"/>
  <c r="P9" i="1"/>
  <c r="P21" i="1"/>
  <c r="P301" i="1"/>
  <c r="P5" i="1"/>
  <c r="P46" i="1"/>
  <c r="P302" i="1"/>
  <c r="P303" i="1"/>
  <c r="P16" i="1"/>
  <c r="P304" i="1"/>
  <c r="P305" i="1"/>
  <c r="P89" i="1"/>
  <c r="P306" i="1"/>
  <c r="P107" i="1"/>
  <c r="P90" i="1"/>
  <c r="P307" i="1"/>
  <c r="P132" i="1"/>
  <c r="P115" i="1"/>
  <c r="P308" i="1"/>
  <c r="P309" i="1"/>
  <c r="P310" i="1"/>
  <c r="P311" i="1"/>
  <c r="P91" i="1"/>
  <c r="P62" i="1"/>
  <c r="P137" i="1"/>
  <c r="P68" i="1"/>
  <c r="P78" i="1"/>
  <c r="N157" i="1"/>
  <c r="N23" i="1"/>
  <c r="N74" i="1"/>
  <c r="N105" i="1"/>
  <c r="N158" i="1"/>
  <c r="N159" i="1"/>
  <c r="N160" i="1"/>
  <c r="N161" i="1"/>
  <c r="N56" i="1"/>
  <c r="N146" i="1"/>
  <c r="N57" i="1"/>
  <c r="N162" i="1"/>
  <c r="N109" i="1"/>
  <c r="N27" i="1"/>
  <c r="N163" i="1"/>
  <c r="N164" i="1"/>
  <c r="N165" i="1"/>
  <c r="N4" i="1"/>
  <c r="N79" i="1"/>
  <c r="N139" i="1"/>
  <c r="N166" i="1"/>
  <c r="N12" i="1"/>
  <c r="N133" i="1"/>
  <c r="N167" i="1"/>
  <c r="N168" i="1"/>
  <c r="N134" i="1"/>
  <c r="N169" i="1"/>
  <c r="N116" i="1"/>
  <c r="N170" i="1"/>
  <c r="N142" i="1"/>
  <c r="N171" i="1"/>
  <c r="N172" i="1"/>
  <c r="N48" i="1"/>
  <c r="N173" i="1"/>
  <c r="N100" i="1"/>
  <c r="N174" i="1"/>
  <c r="N175" i="1"/>
  <c r="N81" i="1"/>
  <c r="N110" i="1"/>
  <c r="N143" i="1"/>
  <c r="N69" i="1"/>
  <c r="N176" i="1"/>
  <c r="N177" i="1"/>
  <c r="N178" i="1"/>
  <c r="N179" i="1"/>
  <c r="N180" i="1"/>
  <c r="N7" i="1"/>
  <c r="N120" i="1"/>
  <c r="N181" i="1"/>
  <c r="N182" i="1"/>
  <c r="N3" i="1"/>
  <c r="N117" i="1"/>
  <c r="N183" i="1"/>
  <c r="N38" i="1"/>
  <c r="N184" i="1"/>
  <c r="N32" i="1"/>
  <c r="N185" i="1"/>
  <c r="N186" i="1"/>
  <c r="N187" i="1"/>
  <c r="N13" i="1"/>
  <c r="N34" i="1"/>
  <c r="N188" i="1"/>
  <c r="N189" i="1"/>
  <c r="N190" i="1"/>
  <c r="N191" i="1"/>
  <c r="N192" i="1"/>
  <c r="N19" i="1"/>
  <c r="N193" i="1"/>
  <c r="N194" i="1"/>
  <c r="N35" i="1"/>
  <c r="N195" i="1"/>
  <c r="N11" i="1"/>
  <c r="N147" i="1"/>
  <c r="N33" i="1"/>
  <c r="N196" i="1"/>
  <c r="N148" i="1"/>
  <c r="N197" i="1"/>
  <c r="N198" i="1"/>
  <c r="N199" i="1"/>
  <c r="N200" i="1"/>
  <c r="N101" i="1"/>
  <c r="N201" i="1"/>
  <c r="N202" i="1"/>
  <c r="N203" i="1"/>
  <c r="N204" i="1"/>
  <c r="N121" i="1"/>
  <c r="N205" i="1"/>
  <c r="N136" i="1"/>
  <c r="N206" i="1"/>
  <c r="N30" i="1"/>
  <c r="N72" i="1"/>
  <c r="N58" i="1"/>
  <c r="N26" i="1"/>
  <c r="N207" i="1"/>
  <c r="N208" i="1"/>
  <c r="N144" i="1"/>
  <c r="N209" i="1"/>
  <c r="N210" i="1"/>
  <c r="N20" i="1"/>
  <c r="N211" i="1"/>
  <c r="N63" i="1"/>
  <c r="N138" i="1"/>
  <c r="N212" i="1"/>
  <c r="N49" i="1"/>
  <c r="N213" i="1"/>
  <c r="N108" i="1"/>
  <c r="N2" i="1"/>
  <c r="N214" i="1"/>
  <c r="N28" i="1"/>
  <c r="N118" i="1"/>
  <c r="N122" i="1"/>
  <c r="N215" i="1"/>
  <c r="N216" i="1"/>
  <c r="N50" i="1"/>
  <c r="N52" i="1"/>
  <c r="N217" i="1"/>
  <c r="N218" i="1"/>
  <c r="N219" i="1"/>
  <c r="N8" i="1"/>
  <c r="N220" i="1"/>
  <c r="N140" i="1"/>
  <c r="N221" i="1"/>
  <c r="N222" i="1"/>
  <c r="N123" i="1"/>
  <c r="N223" i="1"/>
  <c r="N15" i="1"/>
  <c r="N111" i="1"/>
  <c r="N124" i="1"/>
  <c r="N80" i="1"/>
  <c r="N125" i="1"/>
  <c r="N224" i="1"/>
  <c r="N149" i="1"/>
  <c r="N75" i="1"/>
  <c r="N94" i="1"/>
  <c r="N127" i="1"/>
  <c r="N225" i="1"/>
  <c r="N226" i="1"/>
  <c r="N227" i="1"/>
  <c r="N112" i="1"/>
  <c r="N228" i="1"/>
  <c r="N229" i="1"/>
  <c r="N230" i="1"/>
  <c r="N231" i="1"/>
  <c r="N55" i="1"/>
  <c r="N104" i="1"/>
  <c r="N150" i="1"/>
  <c r="N232" i="1"/>
  <c r="N233" i="1"/>
  <c r="N234" i="1"/>
  <c r="N106" i="1"/>
  <c r="N37" i="1"/>
  <c r="N151" i="1"/>
  <c r="N54" i="1"/>
  <c r="N235" i="1"/>
  <c r="N59" i="1"/>
  <c r="N128" i="1"/>
  <c r="N43" i="1"/>
  <c r="N236" i="1"/>
  <c r="N65" i="1"/>
  <c r="N237" i="1"/>
  <c r="N17" i="1"/>
  <c r="N238" i="1"/>
  <c r="N113" i="1"/>
  <c r="N239" i="1"/>
  <c r="N240" i="1"/>
  <c r="N93" i="1"/>
  <c r="N241" i="1"/>
  <c r="N24" i="1"/>
  <c r="N242" i="1"/>
  <c r="N60" i="1"/>
  <c r="N243" i="1"/>
  <c r="N41" i="1"/>
  <c r="N244" i="1"/>
  <c r="N245" i="1"/>
  <c r="N246" i="1"/>
  <c r="N247" i="1"/>
  <c r="N82" i="1"/>
  <c r="N29" i="1"/>
  <c r="N248" i="1"/>
  <c r="N152" i="1"/>
  <c r="N249" i="1"/>
  <c r="N250" i="1"/>
  <c r="N6" i="1"/>
  <c r="N251" i="1"/>
  <c r="N252" i="1"/>
  <c r="N253" i="1"/>
  <c r="N254" i="1"/>
  <c r="N153" i="1"/>
  <c r="N255" i="1"/>
  <c r="N95" i="1"/>
  <c r="N256" i="1"/>
  <c r="N126" i="1"/>
  <c r="N257" i="1"/>
  <c r="N103" i="1"/>
  <c r="N145" i="1"/>
  <c r="N154" i="1"/>
  <c r="N155" i="1"/>
  <c r="N96" i="1"/>
  <c r="N258" i="1"/>
  <c r="N14" i="1"/>
  <c r="N259" i="1"/>
  <c r="N260" i="1"/>
  <c r="N261" i="1"/>
  <c r="N51" i="1"/>
  <c r="N262" i="1"/>
  <c r="N129" i="1"/>
  <c r="N39" i="1"/>
  <c r="N83" i="1"/>
  <c r="N45" i="1"/>
  <c r="N263" i="1"/>
  <c r="N264" i="1"/>
  <c r="N265" i="1"/>
  <c r="N266" i="1"/>
  <c r="N130" i="1"/>
  <c r="N267" i="1"/>
  <c r="N97" i="1"/>
  <c r="N268" i="1"/>
  <c r="N102" i="1"/>
  <c r="N36" i="1"/>
  <c r="N269" i="1"/>
  <c r="N270" i="1"/>
  <c r="N156" i="1"/>
  <c r="N42" i="1"/>
  <c r="N25" i="1"/>
  <c r="N98" i="1"/>
  <c r="N271" i="1"/>
  <c r="N92" i="1"/>
  <c r="N66" i="1"/>
  <c r="N272" i="1"/>
  <c r="N67" i="1"/>
  <c r="N273" i="1"/>
  <c r="N53" i="1"/>
  <c r="N119" i="1"/>
  <c r="N274" i="1"/>
  <c r="N275" i="1"/>
  <c r="N276" i="1"/>
  <c r="N277" i="1"/>
  <c r="N278" i="1"/>
  <c r="N76" i="1"/>
  <c r="N47" i="1"/>
  <c r="N84" i="1"/>
  <c r="N279" i="1"/>
  <c r="N280" i="1"/>
  <c r="N85" i="1"/>
  <c r="N281" i="1"/>
  <c r="N282" i="1"/>
  <c r="N283" i="1"/>
  <c r="N284" i="1"/>
  <c r="N64" i="1"/>
  <c r="N285" i="1"/>
  <c r="N77" i="1"/>
  <c r="N286" i="1"/>
  <c r="N70" i="1"/>
  <c r="N18" i="1"/>
  <c r="N73" i="1"/>
  <c r="N131" i="1"/>
  <c r="N287" i="1"/>
  <c r="N22" i="1"/>
  <c r="N10" i="1"/>
  <c r="N86" i="1"/>
  <c r="N71" i="1"/>
  <c r="N87" i="1"/>
  <c r="N88" i="1"/>
  <c r="N288" i="1"/>
  <c r="N289" i="1"/>
  <c r="N290" i="1"/>
  <c r="N291" i="1"/>
  <c r="N292" i="1"/>
  <c r="N31" i="1"/>
  <c r="N293" i="1"/>
  <c r="N40" i="1"/>
  <c r="N294" i="1"/>
  <c r="N295" i="1"/>
  <c r="N135" i="1"/>
  <c r="N44" i="1"/>
  <c r="N61" i="1"/>
  <c r="N296" i="1"/>
  <c r="N297" i="1"/>
  <c r="N141" i="1"/>
  <c r="N298" i="1"/>
  <c r="N99" i="1"/>
  <c r="N299" i="1"/>
  <c r="N114" i="1"/>
  <c r="N300" i="1"/>
  <c r="N9" i="1"/>
  <c r="N21" i="1"/>
  <c r="N301" i="1"/>
  <c r="N5" i="1"/>
  <c r="N46" i="1"/>
  <c r="N302" i="1"/>
  <c r="N303" i="1"/>
  <c r="N16" i="1"/>
  <c r="N304" i="1"/>
  <c r="N305" i="1"/>
  <c r="N89" i="1"/>
  <c r="N306" i="1"/>
  <c r="N107" i="1"/>
  <c r="N90" i="1"/>
  <c r="N307" i="1"/>
  <c r="N132" i="1"/>
  <c r="N115" i="1"/>
  <c r="N308" i="1"/>
  <c r="N309" i="1"/>
  <c r="N310" i="1"/>
  <c r="N311" i="1"/>
  <c r="N91" i="1"/>
  <c r="N62" i="1"/>
  <c r="N137" i="1"/>
  <c r="N68" i="1"/>
  <c r="N78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<sst xmlns="http://schemas.openxmlformats.org/spreadsheetml/2006/main" count="3133" uniqueCount="708">
  <si>
    <t>RANK</t>
  </si>
  <si>
    <t>PLAYER</t>
  </si>
  <si>
    <t>NATION</t>
  </si>
  <si>
    <t>POSITION</t>
  </si>
  <si>
    <t>SQUAD</t>
  </si>
  <si>
    <t>AGE</t>
  </si>
  <si>
    <t>YEAR_BORN</t>
  </si>
  <si>
    <t>MP</t>
  </si>
  <si>
    <t>STARTS</t>
  </si>
  <si>
    <t>MINUTES</t>
  </si>
  <si>
    <t>90_MINS</t>
  </si>
  <si>
    <t>G</t>
  </si>
  <si>
    <t>A</t>
  </si>
  <si>
    <t>G_PK</t>
  </si>
  <si>
    <t>PK</t>
  </si>
  <si>
    <t>PK_ATT</t>
  </si>
  <si>
    <t>CRDY</t>
  </si>
  <si>
    <t>CRDR</t>
  </si>
  <si>
    <t>XG</t>
  </si>
  <si>
    <t>NPXG</t>
  </si>
  <si>
    <t>XAG</t>
  </si>
  <si>
    <t>NPXG_XAG</t>
  </si>
  <si>
    <t>PRGC</t>
  </si>
  <si>
    <t>PRGP</t>
  </si>
  <si>
    <t>PRGR</t>
  </si>
  <si>
    <t>PTS</t>
  </si>
  <si>
    <t>Kerry Abello</t>
  </si>
  <si>
    <t>us USA</t>
  </si>
  <si>
    <t>DF</t>
  </si>
  <si>
    <t>Pride</t>
  </si>
  <si>
    <t>25-301</t>
  </si>
  <si>
    <t>Emeri Adames</t>
  </si>
  <si>
    <t>FW,MF</t>
  </si>
  <si>
    <t>Reign</t>
  </si>
  <si>
    <t>19-103</t>
  </si>
  <si>
    <t>Marie-Yasmine Alidou</t>
  </si>
  <si>
    <t>ca CAN</t>
  </si>
  <si>
    <t>MF,FW</t>
  </si>
  <si>
    <t>Thorns</t>
  </si>
  <si>
    <t>30-078</t>
  </si>
  <si>
    <t>Aline</t>
  </si>
  <si>
    <t>br BRA</t>
  </si>
  <si>
    <t>Courage</t>
  </si>
  <si>
    <t>20-008</t>
  </si>
  <si>
    <t>Emmie Allen</t>
  </si>
  <si>
    <t>GK</t>
  </si>
  <si>
    <t>Bay FC</t>
  </si>
  <si>
    <t>22-263</t>
  </si>
  <si>
    <t>Michelle Alozie</t>
  </si>
  <si>
    <t>ng NGA</t>
  </si>
  <si>
    <t>DF,MF</t>
  </si>
  <si>
    <t>Dash</t>
  </si>
  <si>
    <t>28-078</t>
  </si>
  <si>
    <t>Angelina Anderson</t>
  </si>
  <si>
    <t>Angel City</t>
  </si>
  <si>
    <t>24-115</t>
  </si>
  <si>
    <t>Hannah Anderson</t>
  </si>
  <si>
    <t>Chicago Stars</t>
  </si>
  <si>
    <t>24-103</t>
  </si>
  <si>
    <t>Joelle Anderson</t>
  </si>
  <si>
    <t>26-282</t>
  </si>
  <si>
    <t>Angelina</t>
  </si>
  <si>
    <t>MF</t>
  </si>
  <si>
    <t>25-170</t>
  </si>
  <si>
    <t>Trinity Armstrong</t>
  </si>
  <si>
    <t>Wave</t>
  </si>
  <si>
    <t>17-355</t>
  </si>
  <si>
    <t>Mackenzie Arnold</t>
  </si>
  <si>
    <t>au AUS</t>
  </si>
  <si>
    <t>31-140</t>
  </si>
  <si>
    <t>Ary Borges</t>
  </si>
  <si>
    <t>Louisville</t>
  </si>
  <si>
    <t>25-199</t>
  </si>
  <si>
    <t>Kimmi Ascanio</t>
  </si>
  <si>
    <t>17-175</t>
  </si>
  <si>
    <t>Ramona Bachmann</t>
  </si>
  <si>
    <t>ch SUI</t>
  </si>
  <si>
    <t>34-202</t>
  </si>
  <si>
    <t>Dorian Bailey</t>
  </si>
  <si>
    <t>28-168</t>
  </si>
  <si>
    <t>Elizabeth Ball</t>
  </si>
  <si>
    <t>Current</t>
  </si>
  <si>
    <t>29-268</t>
  </si>
  <si>
    <t>Barbra Banda</t>
  </si>
  <si>
    <t>zm ZAM</t>
  </si>
  <si>
    <t>FW</t>
  </si>
  <si>
    <t>25-117</t>
  </si>
  <si>
    <t>Melanie Barcenas</t>
  </si>
  <si>
    <t>17-258</t>
  </si>
  <si>
    <t>Lauren Barnes</t>
  </si>
  <si>
    <t>36-045</t>
  </si>
  <si>
    <t>Catherine Barry</t>
  </si>
  <si>
    <t>23-211</t>
  </si>
  <si>
    <t>Beatriz</t>
  </si>
  <si>
    <t>31-210</t>
  </si>
  <si>
    <t>Hannah Bebar</t>
  </si>
  <si>
    <t>23-313</t>
  </si>
  <si>
    <t>Maycee Bell</t>
  </si>
  <si>
    <t>24-300</t>
  </si>
  <si>
    <t>Ann-Katrin Berger</t>
  </si>
  <si>
    <t>de GER</t>
  </si>
  <si>
    <t>Gotham FC</t>
  </si>
  <si>
    <t>34-279</t>
  </si>
  <si>
    <t>Malia Berkely</t>
  </si>
  <si>
    <t>27-152</t>
  </si>
  <si>
    <t>Rebeca Bernal</t>
  </si>
  <si>
    <t>mx MEX</t>
  </si>
  <si>
    <t>Spirit</t>
  </si>
  <si>
    <t>27-318</t>
  </si>
  <si>
    <t>Hannah Betfort</t>
  </si>
  <si>
    <t>26-192</t>
  </si>
  <si>
    <t>Croix Bethune</t>
  </si>
  <si>
    <t>24-123</t>
  </si>
  <si>
    <t>Camryn Biegalski</t>
  </si>
  <si>
    <t>26-338</t>
  </si>
  <si>
    <t>Jenna Bike</t>
  </si>
  <si>
    <t>27-163</t>
  </si>
  <si>
    <t>Bella Bixby</t>
  </si>
  <si>
    <t>29-237</t>
  </si>
  <si>
    <t>Lynn Biyendolo</t>
  </si>
  <si>
    <t>32-055</t>
  </si>
  <si>
    <t>Jordyn Bloomer</t>
  </si>
  <si>
    <t>27-274</t>
  </si>
  <si>
    <t>Meg Boade</t>
  </si>
  <si>
    <t>Tess Boade</t>
  </si>
  <si>
    <t>26-162</t>
  </si>
  <si>
    <t>Jordan Brewster</t>
  </si>
  <si>
    <t>25-291</t>
  </si>
  <si>
    <t>Messiah Bright</t>
  </si>
  <si>
    <t>25-184</t>
  </si>
  <si>
    <t>Courtney Brown</t>
  </si>
  <si>
    <t>24-232</t>
  </si>
  <si>
    <t>Bruninha</t>
  </si>
  <si>
    <t>23-029</t>
  </si>
  <si>
    <t>Jordyn Bugg</t>
  </si>
  <si>
    <t>18-338</t>
  </si>
  <si>
    <t>Jane Campbell</t>
  </si>
  <si>
    <t>30-148</t>
  </si>
  <si>
    <t>Ryan Campbell</t>
  </si>
  <si>
    <t>23-119</t>
  </si>
  <si>
    <t>Gabrielle Carle</t>
  </si>
  <si>
    <t>26-276</t>
  </si>
  <si>
    <t>Jess Carter</t>
  </si>
  <si>
    <t>eng ENG</t>
  </si>
  <si>
    <t>27-261</t>
  </si>
  <si>
    <t>Kyra Carusa</t>
  </si>
  <si>
    <t>ie IRL</t>
  </si>
  <si>
    <t>29-243</t>
  </si>
  <si>
    <t>Delphine Cascarino</t>
  </si>
  <si>
    <t>fr FRA</t>
  </si>
  <si>
    <t>28-160</t>
  </si>
  <si>
    <t>Deyna Castellanos</t>
  </si>
  <si>
    <t>ve VEN</t>
  </si>
  <si>
    <t>26-088</t>
  </si>
  <si>
    <t>Grace Chanda</t>
  </si>
  <si>
    <t>28-034</t>
  </si>
  <si>
    <t>Zara Chavosi</t>
  </si>
  <si>
    <t>22-221</t>
  </si>
  <si>
    <t>Temwa Chaŵinga</t>
  </si>
  <si>
    <t>mw MWI</t>
  </si>
  <si>
    <t>26-298</t>
  </si>
  <si>
    <t>Prisca Chilufya</t>
  </si>
  <si>
    <t>26-037</t>
  </si>
  <si>
    <t>Mikayla Cluff</t>
  </si>
  <si>
    <t>Royals</t>
  </si>
  <si>
    <t>26-140</t>
  </si>
  <si>
    <t>Sam Coffey</t>
  </si>
  <si>
    <t>26-196</t>
  </si>
  <si>
    <t>Danielle Colaprico</t>
  </si>
  <si>
    <t>32-070</t>
  </si>
  <si>
    <t>Caroline Conti</t>
  </si>
  <si>
    <t>24-109</t>
  </si>
  <si>
    <t>Alana Cook</t>
  </si>
  <si>
    <t>28-095</t>
  </si>
  <si>
    <t>Ava Cook</t>
  </si>
  <si>
    <t>25-010</t>
  </si>
  <si>
    <t>Sofia Cook</t>
  </si>
  <si>
    <t>20-342</t>
  </si>
  <si>
    <t>Michelle Cooper</t>
  </si>
  <si>
    <t>22-223</t>
  </si>
  <si>
    <t>Gia Corley</t>
  </si>
  <si>
    <t>23-056</t>
  </si>
  <si>
    <t>Brooklyn Courtnall</t>
  </si>
  <si>
    <t>DF,FW</t>
  </si>
  <si>
    <t>22-199</t>
  </si>
  <si>
    <t>Ana-Maria Crnogorčević</t>
  </si>
  <si>
    <t>34-285</t>
  </si>
  <si>
    <t>McKinley Crone</t>
  </si>
  <si>
    <t>Chardonnay Curran</t>
  </si>
  <si>
    <t>25-331</t>
  </si>
  <si>
    <t>Madison Curry</t>
  </si>
  <si>
    <t>24-173</t>
  </si>
  <si>
    <t>Madeline Dahlien</t>
  </si>
  <si>
    <t>20-355</t>
  </si>
  <si>
    <t>Abby Dahlkemper</t>
  </si>
  <si>
    <t>32-063</t>
  </si>
  <si>
    <t>Daiane</t>
  </si>
  <si>
    <t>27-311</t>
  </si>
  <si>
    <t>Kenza Dali</t>
  </si>
  <si>
    <t>33-349</t>
  </si>
  <si>
    <t>Tierna Davidson</t>
  </si>
  <si>
    <t>26-300</t>
  </si>
  <si>
    <t>Debinha</t>
  </si>
  <si>
    <t>33-268</t>
  </si>
  <si>
    <t>Kate Del Fava</t>
  </si>
  <si>
    <t>26-357</t>
  </si>
  <si>
    <t>Savannah Demelo</t>
  </si>
  <si>
    <t>27-111</t>
  </si>
  <si>
    <t>Margie Detrizio</t>
  </si>
  <si>
    <t>Vanessa DiBernardo</t>
  </si>
  <si>
    <t>33-061</t>
  </si>
  <si>
    <t>Claudia Dickey</t>
  </si>
  <si>
    <t>25-190</t>
  </si>
  <si>
    <t>Marisa DiGrande</t>
  </si>
  <si>
    <t>Makenzy Doniak</t>
  </si>
  <si>
    <t>Imani Dorsey</t>
  </si>
  <si>
    <t>29-116</t>
  </si>
  <si>
    <t>Julie Doyle</t>
  </si>
  <si>
    <t>26-319</t>
  </si>
  <si>
    <t>Julie Dufour</t>
  </si>
  <si>
    <t>24-047</t>
  </si>
  <si>
    <t>Kiley Dulaney</t>
  </si>
  <si>
    <t>Evelina Duljan</t>
  </si>
  <si>
    <t>se SWE</t>
  </si>
  <si>
    <t>22-064</t>
  </si>
  <si>
    <t>Caprice Dydasco</t>
  </si>
  <si>
    <t>31-330</t>
  </si>
  <si>
    <t>Cori Dyke</t>
  </si>
  <si>
    <t>24-298</t>
  </si>
  <si>
    <t>Favour Emmanuel</t>
  </si>
  <si>
    <t>22-311</t>
  </si>
  <si>
    <t>Claire Emslie</t>
  </si>
  <si>
    <t>sct SCO</t>
  </si>
  <si>
    <t>31-129</t>
  </si>
  <si>
    <t>Bayley Feist</t>
  </si>
  <si>
    <t>28-123</t>
  </si>
  <si>
    <t>Kayla Fischer</t>
  </si>
  <si>
    <t>25-191</t>
  </si>
  <si>
    <t>Jess Fishlock</t>
  </si>
  <si>
    <t>wls WAL</t>
  </si>
  <si>
    <t>38-182</t>
  </si>
  <si>
    <t>Jessie Fleming</t>
  </si>
  <si>
    <t>27-126</t>
  </si>
  <si>
    <t>Taylor Flint</t>
  </si>
  <si>
    <t>26-235</t>
  </si>
  <si>
    <t>Lauren Flynn</t>
  </si>
  <si>
    <t>23-054</t>
  </si>
  <si>
    <t>Dana Foederer</t>
  </si>
  <si>
    <t>nl NED</t>
  </si>
  <si>
    <t>22-353</t>
  </si>
  <si>
    <t>Bea Franklin</t>
  </si>
  <si>
    <t>MF,DF</t>
  </si>
  <si>
    <t>24-284</t>
  </si>
  <si>
    <t>Macey Fraser</t>
  </si>
  <si>
    <t>nz NZL</t>
  </si>
  <si>
    <t>23-004</t>
  </si>
  <si>
    <t>Mandy Freeman</t>
  </si>
  <si>
    <t>30-114</t>
  </si>
  <si>
    <t>Kennedy Fuller</t>
  </si>
  <si>
    <t>18-128</t>
  </si>
  <si>
    <t>Jordan Fusco</t>
  </si>
  <si>
    <t>21-307</t>
  </si>
  <si>
    <t>Ryan Gareis</t>
  </si>
  <si>
    <t>26-244</t>
  </si>
  <si>
    <t>Morgan Gautrat</t>
  </si>
  <si>
    <t>32-139</t>
  </si>
  <si>
    <t>Justina Gaynor</t>
  </si>
  <si>
    <t>23-206</t>
  </si>
  <si>
    <t>Geyse</t>
  </si>
  <si>
    <t>27-110</t>
  </si>
  <si>
    <t>Hanna Glas</t>
  </si>
  <si>
    <t>32-090</t>
  </si>
  <si>
    <t>Nádia Gomes</t>
  </si>
  <si>
    <t>pt POR</t>
  </si>
  <si>
    <t>28-248</t>
  </si>
  <si>
    <t>Esther González</t>
  </si>
  <si>
    <t>es ESP</t>
  </si>
  <si>
    <t>32-219</t>
  </si>
  <si>
    <t>Sarah Gorden</t>
  </si>
  <si>
    <t>32-305</t>
  </si>
  <si>
    <t>Maggie Graham</t>
  </si>
  <si>
    <t>23-005</t>
  </si>
  <si>
    <t>Shea Groom</t>
  </si>
  <si>
    <t>32-133</t>
  </si>
  <si>
    <t>Julia Grosso</t>
  </si>
  <si>
    <t>24-320</t>
  </si>
  <si>
    <t>Ana María Guzmán</t>
  </si>
  <si>
    <t>co COL</t>
  </si>
  <si>
    <t>20-034</t>
  </si>
  <si>
    <t>Madison Hammond</t>
  </si>
  <si>
    <t>27-242</t>
  </si>
  <si>
    <t>Caiya Hanks</t>
  </si>
  <si>
    <t>20-292</t>
  </si>
  <si>
    <t>Haley Hanson</t>
  </si>
  <si>
    <t>29-163</t>
  </si>
  <si>
    <t>Khyah Harper</t>
  </si>
  <si>
    <t>22-334</t>
  </si>
  <si>
    <t>Josefine Hasbo</t>
  </si>
  <si>
    <t>dk DEN</t>
  </si>
  <si>
    <t>23-237</t>
  </si>
  <si>
    <t>Ella Hase</t>
  </si>
  <si>
    <t>23-003</t>
  </si>
  <si>
    <t>Ashley Hatch</t>
  </si>
  <si>
    <t>30-051</t>
  </si>
  <si>
    <t>Manaka Hayashi</t>
  </si>
  <si>
    <t>jp JPN</t>
  </si>
  <si>
    <t>20-333</t>
  </si>
  <si>
    <t>Oihane Hernández</t>
  </si>
  <si>
    <t>25-072</t>
  </si>
  <si>
    <t>Hal Hershfelt</t>
  </si>
  <si>
    <t>22-285</t>
  </si>
  <si>
    <t>Samantha Hiatt</t>
  </si>
  <si>
    <t>27-190</t>
  </si>
  <si>
    <t>Rachel Hill</t>
  </si>
  <si>
    <t>30-089</t>
  </si>
  <si>
    <t>Sophie Hirst</t>
  </si>
  <si>
    <t>25-140</t>
  </si>
  <si>
    <t>Penelope Hocking</t>
  </si>
  <si>
    <t>25-198</t>
  </si>
  <si>
    <t>Macey Hodge</t>
  </si>
  <si>
    <t>24-072</t>
  </si>
  <si>
    <t>Shae Holmes</t>
  </si>
  <si>
    <t>25-129</t>
  </si>
  <si>
    <t>Haley Hopkins</t>
  </si>
  <si>
    <t>26-206</t>
  </si>
  <si>
    <t>Jaelin Howell</t>
  </si>
  <si>
    <t>25-236</t>
  </si>
  <si>
    <t>Kelli Hubly</t>
  </si>
  <si>
    <t>30-340</t>
  </si>
  <si>
    <t>Taylor Huff</t>
  </si>
  <si>
    <t>22-333</t>
  </si>
  <si>
    <t>Jordyn Huitema</t>
  </si>
  <si>
    <t>24-068</t>
  </si>
  <si>
    <t>Claire Hutton</t>
  </si>
  <si>
    <t>19-185</t>
  </si>
  <si>
    <t>Riley Jackson</t>
  </si>
  <si>
    <t>19-225</t>
  </si>
  <si>
    <t>Simone Jackson</t>
  </si>
  <si>
    <t>22-168</t>
  </si>
  <si>
    <t>Natalie Jacobs</t>
  </si>
  <si>
    <t>27-333</t>
  </si>
  <si>
    <t>Angharad James</t>
  </si>
  <si>
    <t>31-044</t>
  </si>
  <si>
    <t>Ellie Jean</t>
  </si>
  <si>
    <t>28-165</t>
  </si>
  <si>
    <t>Mwanalima Jereko</t>
  </si>
  <si>
    <t>ke KEN</t>
  </si>
  <si>
    <t>27-314</t>
  </si>
  <si>
    <t>Hannah Johnson</t>
  </si>
  <si>
    <t>22-145</t>
  </si>
  <si>
    <t>Micayla Johnson</t>
  </si>
  <si>
    <t>17-178</t>
  </si>
  <si>
    <t>Sydney Jones</t>
  </si>
  <si>
    <t>Jameese Joseph</t>
  </si>
  <si>
    <t>23-073</t>
  </si>
  <si>
    <t>Uchenna Kanu</t>
  </si>
  <si>
    <t>28-025</t>
  </si>
  <si>
    <t>Alanna Kennedy</t>
  </si>
  <si>
    <t>30-175</t>
  </si>
  <si>
    <t>Savannah King</t>
  </si>
  <si>
    <t>20-158</t>
  </si>
  <si>
    <t>Aubrey Kingsbury</t>
  </si>
  <si>
    <t>33-237</t>
  </si>
  <si>
    <t>Cecelia Kizer</t>
  </si>
  <si>
    <t>28-007</t>
  </si>
  <si>
    <t>Rosemonde Kouassi</t>
  </si>
  <si>
    <t>ci CIV</t>
  </si>
  <si>
    <t>23-201</t>
  </si>
  <si>
    <t>Shinomi Koyama</t>
  </si>
  <si>
    <t>20-165</t>
  </si>
  <si>
    <t>Casey Krueger</t>
  </si>
  <si>
    <t>34-326</t>
  </si>
  <si>
    <t>Natalia Kuikka</t>
  </si>
  <si>
    <t>fi FIN</t>
  </si>
  <si>
    <t>29-226</t>
  </si>
  <si>
    <t>Racheal Kundananji</t>
  </si>
  <si>
    <t>25-042</t>
  </si>
  <si>
    <t>Kaleigh Kurtz</t>
  </si>
  <si>
    <t>27-309</t>
  </si>
  <si>
    <t>Lo'eau LaBonta</t>
  </si>
  <si>
    <t>32-119</t>
  </si>
  <si>
    <t>Rose Lavelle</t>
  </si>
  <si>
    <t>30-062</t>
  </si>
  <si>
    <t>Karlie Lema</t>
  </si>
  <si>
    <t>22-016</t>
  </si>
  <si>
    <t>Ally Lemos</t>
  </si>
  <si>
    <t>21-133</t>
  </si>
  <si>
    <t>Adriana Leon</t>
  </si>
  <si>
    <t>32-286</t>
  </si>
  <si>
    <t>Katie Lind</t>
  </si>
  <si>
    <t>31-150</t>
  </si>
  <si>
    <t>Payton Linnehan</t>
  </si>
  <si>
    <t>24-112</t>
  </si>
  <si>
    <t>Alex Loera</t>
  </si>
  <si>
    <t>26-026</t>
  </si>
  <si>
    <t>Mary Long</t>
  </si>
  <si>
    <t>18-172</t>
  </si>
  <si>
    <t>Maitane López Millán</t>
  </si>
  <si>
    <t>30-124</t>
  </si>
  <si>
    <t>Lorena</t>
  </si>
  <si>
    <t>28-070</t>
  </si>
  <si>
    <t>Ludmila</t>
  </si>
  <si>
    <t>30-226</t>
  </si>
  <si>
    <t>Katie Lund</t>
  </si>
  <si>
    <t>28-230</t>
  </si>
  <si>
    <t>Hanna Lundkvist</t>
  </si>
  <si>
    <t>22-363</t>
  </si>
  <si>
    <t>Tyler Lussi</t>
  </si>
  <si>
    <t>30-170</t>
  </si>
  <si>
    <t>Hailie Mace</t>
  </si>
  <si>
    <t>28-113</t>
  </si>
  <si>
    <t>Sandy MacIver</t>
  </si>
  <si>
    <t>27-027</t>
  </si>
  <si>
    <t>Halle Mackiewicz</t>
  </si>
  <si>
    <t>23-294</t>
  </si>
  <si>
    <t>Maiara</t>
  </si>
  <si>
    <t>20-338</t>
  </si>
  <si>
    <t>Taylor Malham</t>
  </si>
  <si>
    <t>26-056</t>
  </si>
  <si>
    <t>Alyssa Malonson</t>
  </si>
  <si>
    <t>26-097</t>
  </si>
  <si>
    <t>Marta</t>
  </si>
  <si>
    <t>39-146</t>
  </si>
  <si>
    <t>Lacho Marta</t>
  </si>
  <si>
    <t>ao ANG</t>
  </si>
  <si>
    <t>26-121</t>
  </si>
  <si>
    <t>Nealy Martin</t>
  </si>
  <si>
    <t>27-084</t>
  </si>
  <si>
    <t>Brianna Martinez</t>
  </si>
  <si>
    <t>25-084</t>
  </si>
  <si>
    <t>Emily Mason</t>
  </si>
  <si>
    <t>22-265</t>
  </si>
  <si>
    <t>Manaka Matsukubo</t>
  </si>
  <si>
    <t>20-352</t>
  </si>
  <si>
    <t>Sophia Mattice</t>
  </si>
  <si>
    <t>23-020</t>
  </si>
  <si>
    <t>Ainsley Mccammon</t>
  </si>
  <si>
    <t>17-333</t>
  </si>
  <si>
    <t>Savannah McCaskill</t>
  </si>
  <si>
    <t>28-349</t>
  </si>
  <si>
    <t>Phoebe McClernon</t>
  </si>
  <si>
    <t>27-214</t>
  </si>
  <si>
    <t>Amanda McGlynn</t>
  </si>
  <si>
    <t>26-254</t>
  </si>
  <si>
    <t>Mallie McKenzie</t>
  </si>
  <si>
    <t>24-244</t>
  </si>
  <si>
    <t>Tara McKeown</t>
  </si>
  <si>
    <t>26-013</t>
  </si>
  <si>
    <t>Quincy McMahon</t>
  </si>
  <si>
    <t>21-292</t>
  </si>
  <si>
    <t>Kristen McNabb</t>
  </si>
  <si>
    <t>31-089</t>
  </si>
  <si>
    <t>Emily Menges</t>
  </si>
  <si>
    <t>32-352</t>
  </si>
  <si>
    <t>Sally Menti</t>
  </si>
  <si>
    <t>23-127</t>
  </si>
  <si>
    <t>Maddie Mercado</t>
  </si>
  <si>
    <t>24-105</t>
  </si>
  <si>
    <t>Samantha Meza</t>
  </si>
  <si>
    <t>23-250</t>
  </si>
  <si>
    <t>Lauren Milliet</t>
  </si>
  <si>
    <t>28-226</t>
  </si>
  <si>
    <t>Narumi Miura</t>
  </si>
  <si>
    <t>28-012</t>
  </si>
  <si>
    <t>Paige Monaghan</t>
  </si>
  <si>
    <t>28-244</t>
  </si>
  <si>
    <t>Gift Monday</t>
  </si>
  <si>
    <t>23-218</t>
  </si>
  <si>
    <t>Nérilia Mondésir</t>
  </si>
  <si>
    <t>ht HAI</t>
  </si>
  <si>
    <t>26-179</t>
  </si>
  <si>
    <t>Anna Moorhouse</t>
  </si>
  <si>
    <t>30-107</t>
  </si>
  <si>
    <t>Madeline Moreau</t>
  </si>
  <si>
    <t>24-222</t>
  </si>
  <si>
    <t>Esme Morgan</t>
  </si>
  <si>
    <t>24-270</t>
  </si>
  <si>
    <t>Miyabi Moriya</t>
  </si>
  <si>
    <t>28-327</t>
  </si>
  <si>
    <t>Makenna Morris</t>
  </si>
  <si>
    <t>FW,DF</t>
  </si>
  <si>
    <t>23-080</t>
  </si>
  <si>
    <t>Perle Morroni</t>
  </si>
  <si>
    <t>27-273</t>
  </si>
  <si>
    <t>Olivia Moultrie</t>
  </si>
  <si>
    <t>19-301</t>
  </si>
  <si>
    <t>Brecken Mozingo</t>
  </si>
  <si>
    <t>24-129</t>
  </si>
  <si>
    <t>Casey Murphy</t>
  </si>
  <si>
    <t>29-081</t>
  </si>
  <si>
    <t>Alyssa Naeher</t>
  </si>
  <si>
    <t>37-086</t>
  </si>
  <si>
    <t>Aria Nagai</t>
  </si>
  <si>
    <t>Leilanni Nesbeth</t>
  </si>
  <si>
    <t>bm BER</t>
  </si>
  <si>
    <t>23-363</t>
  </si>
  <si>
    <t>Paige Nielsen</t>
  </si>
  <si>
    <t>31-274</t>
  </si>
  <si>
    <t>Stella Nyamekye</t>
  </si>
  <si>
    <t>gh GHA</t>
  </si>
  <si>
    <t>19-300</t>
  </si>
  <si>
    <t>Denise O'Sullivan</t>
  </si>
  <si>
    <t>31-161</t>
  </si>
  <si>
    <t>Isabella Obaze</t>
  </si>
  <si>
    <t>22-258</t>
  </si>
  <si>
    <t>Chiamaka Okwuchukwu</t>
  </si>
  <si>
    <t>19-342</t>
  </si>
  <si>
    <t>Bárbara Olivieri</t>
  </si>
  <si>
    <t>23-141</t>
  </si>
  <si>
    <t>Diana Ordoñez</t>
  </si>
  <si>
    <t>23-292</t>
  </si>
  <si>
    <t>Asisat Oshoala</t>
  </si>
  <si>
    <t>30-279</t>
  </si>
  <si>
    <t>Katie O’Kane</t>
  </si>
  <si>
    <t>Avery Patterson</t>
  </si>
  <si>
    <t>23-031</t>
  </si>
  <si>
    <t>Jayden Perry</t>
  </si>
  <si>
    <t>24-145</t>
  </si>
  <si>
    <t>Courtney Petersen</t>
  </si>
  <si>
    <t>27-260</t>
  </si>
  <si>
    <t>Casey Phair</t>
  </si>
  <si>
    <t>kr KOR</t>
  </si>
  <si>
    <t>18-016</t>
  </si>
  <si>
    <t>Carson Pickett</t>
  </si>
  <si>
    <t>31-303</t>
  </si>
  <si>
    <t>Kiki Pickett</t>
  </si>
  <si>
    <t>26-076</t>
  </si>
  <si>
    <t>Elli Pikkujämsä</t>
  </si>
  <si>
    <t>25-264</t>
  </si>
  <si>
    <t>Brianna Pinto</t>
  </si>
  <si>
    <t>25-052</t>
  </si>
  <si>
    <t>Madison Pogarch</t>
  </si>
  <si>
    <t>27-252</t>
  </si>
  <si>
    <t>Gabi Portilho</t>
  </si>
  <si>
    <t>29-362</t>
  </si>
  <si>
    <t>Christen Press</t>
  </si>
  <si>
    <t>36-198</t>
  </si>
  <si>
    <t>Nichelle Prince</t>
  </si>
  <si>
    <t>30-146</t>
  </si>
  <si>
    <t>Sarah Puntigam</t>
  </si>
  <si>
    <t>at AUT</t>
  </si>
  <si>
    <t>32-275</t>
  </si>
  <si>
    <t>Margaret Purce</t>
  </si>
  <si>
    <t>29-300</t>
  </si>
  <si>
    <t>Nuria Rábano</t>
  </si>
  <si>
    <t>26-030</t>
  </si>
  <si>
    <t>Rafaelle</t>
  </si>
  <si>
    <t>34-027</t>
  </si>
  <si>
    <t>Brittany Ratcliffe</t>
  </si>
  <si>
    <t>31-158</t>
  </si>
  <si>
    <t>Felicitas Rauch</t>
  </si>
  <si>
    <t>29-076</t>
  </si>
  <si>
    <t>Lilly Reale</t>
  </si>
  <si>
    <t>21-337</t>
  </si>
  <si>
    <t>KK Ream</t>
  </si>
  <si>
    <t>16-008</t>
  </si>
  <si>
    <t>Megan Reid</t>
  </si>
  <si>
    <t>29-097</t>
  </si>
  <si>
    <t>Reyna Reyes</t>
  </si>
  <si>
    <t>24-149</t>
  </si>
  <si>
    <t>Chloe Ricketts</t>
  </si>
  <si>
    <t>18-053</t>
  </si>
  <si>
    <t>Kaleigh Riehl</t>
  </si>
  <si>
    <t>28-267</t>
  </si>
  <si>
    <t>Cari Roccaro</t>
  </si>
  <si>
    <t>30-362</t>
  </si>
  <si>
    <t>Trinity Rodman</t>
  </si>
  <si>
    <t>Isabel Rodriguez</t>
  </si>
  <si>
    <t>26-093</t>
  </si>
  <si>
    <t>Raquel Rodríguez</t>
  </si>
  <si>
    <t>cr CRC</t>
  </si>
  <si>
    <t>31-260</t>
  </si>
  <si>
    <t>Yazmeen Ryan</t>
  </si>
  <si>
    <t>Emily Sams</t>
  </si>
  <si>
    <t>26-014</t>
  </si>
  <si>
    <t>Ashley Sanchez</t>
  </si>
  <si>
    <t>Maria Sanchez</t>
  </si>
  <si>
    <t>29-145</t>
  </si>
  <si>
    <t>Leicy Santos</t>
  </si>
  <si>
    <t>29-060</t>
  </si>
  <si>
    <t>Ally Schlegel</t>
  </si>
  <si>
    <t>25-158</t>
  </si>
  <si>
    <t>Sophie Schmidt</t>
  </si>
  <si>
    <t>37-017</t>
  </si>
  <si>
    <t>Sarah Schupansky</t>
  </si>
  <si>
    <t>21-324</t>
  </si>
  <si>
    <t>Emma Sears</t>
  </si>
  <si>
    <t>24-142</t>
  </si>
  <si>
    <t>Ally Sentnor</t>
  </si>
  <si>
    <t>21-147</t>
  </si>
  <si>
    <t>Kayla Sharples</t>
  </si>
  <si>
    <t>28-028</t>
  </si>
  <si>
    <t>Jaedyn Shaw</t>
  </si>
  <si>
    <t>20-237</t>
  </si>
  <si>
    <t>Delanie Sheehan</t>
  </si>
  <si>
    <t>26-183</t>
  </si>
  <si>
    <t>Jamie Shepherd</t>
  </si>
  <si>
    <t>24-279</t>
  </si>
  <si>
    <t>Kailen Sheridan</t>
  </si>
  <si>
    <t>29-364</t>
  </si>
  <si>
    <t>Jordan Silkowitz</t>
  </si>
  <si>
    <t>25-110</t>
  </si>
  <si>
    <t>Jéssica Silva</t>
  </si>
  <si>
    <t>30-216</t>
  </si>
  <si>
    <t>Abby Smith</t>
  </si>
  <si>
    <t>31-284</t>
  </si>
  <si>
    <t>Ji So-yun</t>
  </si>
  <si>
    <t>34-144</t>
  </si>
  <si>
    <t>Aisha Solórzano</t>
  </si>
  <si>
    <t>gt GUA</t>
  </si>
  <si>
    <t>27-093</t>
  </si>
  <si>
    <t>Janine Sonis</t>
  </si>
  <si>
    <t>30-329</t>
  </si>
  <si>
    <t>Emily Sonnett</t>
  </si>
  <si>
    <t>31-232</t>
  </si>
  <si>
    <t>Alexa Spaanstra</t>
  </si>
  <si>
    <t>25-164</t>
  </si>
  <si>
    <t>Meredith Speck</t>
  </si>
  <si>
    <t>32-164</t>
  </si>
  <si>
    <t>Bianca St-Georges</t>
  </si>
  <si>
    <t>27-352</t>
  </si>
  <si>
    <t>Samantha Staab</t>
  </si>
  <si>
    <t>28-109</t>
  </si>
  <si>
    <t>Heather Stainbrook</t>
  </si>
  <si>
    <t>Talia Staude</t>
  </si>
  <si>
    <t>24-086</t>
  </si>
  <si>
    <t>Ella Stevens</t>
  </si>
  <si>
    <t>27-216</t>
  </si>
  <si>
    <t>Kylie Strom</t>
  </si>
  <si>
    <t>33-119</t>
  </si>
  <si>
    <t>Hina Sugita</t>
  </si>
  <si>
    <t>Kysha Sylla</t>
  </si>
  <si>
    <t>21-161</t>
  </si>
  <si>
    <t>Mina Tanaka</t>
  </si>
  <si>
    <t>31-078</t>
  </si>
  <si>
    <t>Ana Tejada</t>
  </si>
  <si>
    <t>23-043</t>
  </si>
  <si>
    <t>Alyssa Thompson</t>
  </si>
  <si>
    <t>20-250</t>
  </si>
  <si>
    <t>Gisele Thompson</t>
  </si>
  <si>
    <t>Janni Thomsen</t>
  </si>
  <si>
    <t>25-149</t>
  </si>
  <si>
    <t>Riley Tiernan</t>
  </si>
  <si>
    <t>22-243</t>
  </si>
  <si>
    <t>Pietra Tordin</t>
  </si>
  <si>
    <t>21-107</t>
  </si>
  <si>
    <t>Kaitlyn Torpey</t>
  </si>
  <si>
    <t>25-120</t>
  </si>
  <si>
    <t>Taryn Torres</t>
  </si>
  <si>
    <t>26-083</t>
  </si>
  <si>
    <t>Reilyn Turner</t>
  </si>
  <si>
    <t>22-271</t>
  </si>
  <si>
    <t>Olivia Van der Jagt</t>
  </si>
  <si>
    <t>25-359</t>
  </si>
  <si>
    <t>Kiki Van Zanten</t>
  </si>
  <si>
    <t>jm JAM</t>
  </si>
  <si>
    <t>23-324</t>
  </si>
  <si>
    <t>Mary Vignola</t>
  </si>
  <si>
    <t>27-154</t>
  </si>
  <si>
    <t>Viviana Villacorta</t>
  </si>
  <si>
    <t>26-163</t>
  </si>
  <si>
    <t>Cortnee Vine</t>
  </si>
  <si>
    <t>27-097</t>
  </si>
  <si>
    <t>Ally Watt</t>
  </si>
  <si>
    <t>28-125</t>
  </si>
  <si>
    <t>Dani Weatherholt</t>
  </si>
  <si>
    <t>31-120</t>
  </si>
  <si>
    <t>Sarah Weber</t>
  </si>
  <si>
    <t>22-151</t>
  </si>
  <si>
    <t>Kennedy Wesley</t>
  </si>
  <si>
    <t>Christen Westphal</t>
  </si>
  <si>
    <t>31-316</t>
  </si>
  <si>
    <t>Ellie Wheeler</t>
  </si>
  <si>
    <t>23-213</t>
  </si>
  <si>
    <t>Mak Whitham</t>
  </si>
  <si>
    <t>14-353</t>
  </si>
  <si>
    <t>Kate Wiesner</t>
  </si>
  <si>
    <t>24-154</t>
  </si>
  <si>
    <t>Ryan Williams</t>
  </si>
  <si>
    <t>29-142</t>
  </si>
  <si>
    <t>Arin Wright</t>
  </si>
  <si>
    <t>32-202</t>
  </si>
  <si>
    <t>Summer Yates</t>
  </si>
  <si>
    <t>25-028</t>
  </si>
  <si>
    <t>Katie Zelem</t>
  </si>
  <si>
    <t>29-176</t>
  </si>
  <si>
    <t>Claudia Zornoza</t>
  </si>
  <si>
    <t>34-268</t>
  </si>
  <si>
    <t>GPG</t>
  </si>
  <si>
    <t>APG</t>
  </si>
  <si>
    <t>PTSPG</t>
  </si>
  <si>
    <t>G_REG</t>
  </si>
  <si>
    <t>TOT_CRDS</t>
  </si>
  <si>
    <t>XGPG</t>
  </si>
  <si>
    <t>PCT_STARTS</t>
  </si>
  <si>
    <t>Row Labels</t>
  </si>
  <si>
    <t>Grand Total</t>
  </si>
  <si>
    <t>AVG GPG</t>
  </si>
  <si>
    <t>AVG APG</t>
  </si>
  <si>
    <t>AVG XGPG</t>
  </si>
  <si>
    <t>DIFF</t>
  </si>
  <si>
    <t>PLAYERS</t>
  </si>
  <si>
    <t>POINTS</t>
  </si>
  <si>
    <t>Beatriz Zaneratto</t>
  </si>
  <si>
    <t>Sum of PCT_STARTS</t>
  </si>
  <si>
    <t>PCT STARTS</t>
  </si>
  <si>
    <t>Sum of MP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</si>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</sst>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Tek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</dxf>
    <dxf>
      <numFmt numFmtId="166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eko"/>
        <scheme val="none"/>
      </font>
    </dxf>
    <dxf>
      <numFmt numFmtId="166" formatCode="0.00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12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GPG_XGPG!$C$1</c:f>
              <c:strCache>
                <c:ptCount val="1"/>
                <c:pt idx="0">
                  <c:v>AVG XGPG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>
                  <a:lumMod val="60000"/>
                  <a:lumOff val="40000"/>
                  <a:alpha val="74000"/>
                </a:schemeClr>
              </a:solidFill>
              <a:ln w="9525">
                <a:solidFill>
                  <a:schemeClr val="tx1">
                    <a:lumMod val="50000"/>
                    <a:lumOff val="50000"/>
                    <a:alpha val="87000"/>
                  </a:schemeClr>
                </a:solidFill>
              </a:ln>
              <a:effectLst/>
            </c:spPr>
          </c:marker>
          <c:trendline>
            <c:spPr>
              <a:ln w="28575" cap="rnd">
                <a:solidFill>
                  <a:srgbClr val="C125D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GPG_XGPG!$B$2:$B$311</c:f>
              <c:numCache>
                <c:formatCode>0.000</c:formatCode>
                <c:ptCount val="310"/>
                <c:pt idx="0">
                  <c:v>0.53846153846153844</c:v>
                </c:pt>
                <c:pt idx="1">
                  <c:v>0.76923076923076927</c:v>
                </c:pt>
                <c:pt idx="2">
                  <c:v>0.33333333333333331</c:v>
                </c:pt>
                <c:pt idx="3">
                  <c:v>0.45454545454545453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0.55555555555555558</c:v>
                </c:pt>
                <c:pt idx="7">
                  <c:v>0.5</c:v>
                </c:pt>
                <c:pt idx="8">
                  <c:v>0.46153846153846156</c:v>
                </c:pt>
                <c:pt idx="9">
                  <c:v>0.25</c:v>
                </c:pt>
                <c:pt idx="10">
                  <c:v>0.33333333333333331</c:v>
                </c:pt>
                <c:pt idx="11">
                  <c:v>0.18181818181818182</c:v>
                </c:pt>
                <c:pt idx="12">
                  <c:v>0.23076923076923078</c:v>
                </c:pt>
                <c:pt idx="13">
                  <c:v>0.4</c:v>
                </c:pt>
                <c:pt idx="14">
                  <c:v>0.25</c:v>
                </c:pt>
                <c:pt idx="15">
                  <c:v>0.25</c:v>
                </c:pt>
                <c:pt idx="16">
                  <c:v>0.16666666666666666</c:v>
                </c:pt>
                <c:pt idx="17">
                  <c:v>0.22222222222222221</c:v>
                </c:pt>
                <c:pt idx="18">
                  <c:v>0.14285714285714285</c:v>
                </c:pt>
                <c:pt idx="19">
                  <c:v>0.15384615384615385</c:v>
                </c:pt>
                <c:pt idx="20">
                  <c:v>0.23076923076923078</c:v>
                </c:pt>
                <c:pt idx="21">
                  <c:v>0.2</c:v>
                </c:pt>
                <c:pt idx="22">
                  <c:v>0.18181818181818182</c:v>
                </c:pt>
                <c:pt idx="23">
                  <c:v>0.15384615384615385</c:v>
                </c:pt>
                <c:pt idx="24">
                  <c:v>0.25</c:v>
                </c:pt>
                <c:pt idx="25">
                  <c:v>0.16666666666666666</c:v>
                </c:pt>
                <c:pt idx="26">
                  <c:v>0.36363636363636365</c:v>
                </c:pt>
                <c:pt idx="27">
                  <c:v>9.0909090909090912E-2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0.41666666666666669</c:v>
                </c:pt>
                <c:pt idx="32">
                  <c:v>8.3333333333333329E-2</c:v>
                </c:pt>
                <c:pt idx="33">
                  <c:v>0.16666666666666666</c:v>
                </c:pt>
                <c:pt idx="34">
                  <c:v>0.6</c:v>
                </c:pt>
                <c:pt idx="35">
                  <c:v>0.61538461538461542</c:v>
                </c:pt>
                <c:pt idx="36">
                  <c:v>7.6923076923076927E-2</c:v>
                </c:pt>
                <c:pt idx="37">
                  <c:v>7.6923076923076927E-2</c:v>
                </c:pt>
                <c:pt idx="38">
                  <c:v>0.16666666666666666</c:v>
                </c:pt>
                <c:pt idx="39">
                  <c:v>8.3333333333333329E-2</c:v>
                </c:pt>
                <c:pt idx="40">
                  <c:v>0.375</c:v>
                </c:pt>
                <c:pt idx="41">
                  <c:v>0.23076923076923078</c:v>
                </c:pt>
                <c:pt idx="42">
                  <c:v>0.23076923076923078</c:v>
                </c:pt>
                <c:pt idx="43">
                  <c:v>0.2</c:v>
                </c:pt>
                <c:pt idx="44">
                  <c:v>8.3333333333333329E-2</c:v>
                </c:pt>
                <c:pt idx="45">
                  <c:v>8.3333333333333329E-2</c:v>
                </c:pt>
                <c:pt idx="46">
                  <c:v>0.14285714285714285</c:v>
                </c:pt>
                <c:pt idx="47">
                  <c:v>0.18181818181818182</c:v>
                </c:pt>
                <c:pt idx="48">
                  <c:v>9.0909090909090912E-2</c:v>
                </c:pt>
                <c:pt idx="49">
                  <c:v>7.6923076923076927E-2</c:v>
                </c:pt>
                <c:pt idx="50">
                  <c:v>0.2</c:v>
                </c:pt>
                <c:pt idx="51">
                  <c:v>8.3333333333333329E-2</c:v>
                </c:pt>
                <c:pt idx="52">
                  <c:v>8.3333333333333329E-2</c:v>
                </c:pt>
                <c:pt idx="53">
                  <c:v>0.30769230769230771</c:v>
                </c:pt>
                <c:pt idx="54">
                  <c:v>7.6923076923076927E-2</c:v>
                </c:pt>
                <c:pt idx="55">
                  <c:v>9.0909090909090912E-2</c:v>
                </c:pt>
                <c:pt idx="56">
                  <c:v>9.0909090909090912E-2</c:v>
                </c:pt>
                <c:pt idx="57">
                  <c:v>9.0909090909090912E-2</c:v>
                </c:pt>
                <c:pt idx="58">
                  <c:v>0.1111111111111111</c:v>
                </c:pt>
                <c:pt idx="59">
                  <c:v>0.25</c:v>
                </c:pt>
                <c:pt idx="60">
                  <c:v>0.2</c:v>
                </c:pt>
                <c:pt idx="61">
                  <c:v>7.6923076923076927E-2</c:v>
                </c:pt>
                <c:pt idx="62">
                  <c:v>0.36363636363636365</c:v>
                </c:pt>
                <c:pt idx="63">
                  <c:v>7.6923076923076927E-2</c:v>
                </c:pt>
                <c:pt idx="64">
                  <c:v>7.6923076923076927E-2</c:v>
                </c:pt>
                <c:pt idx="65">
                  <c:v>0.15384615384615385</c:v>
                </c:pt>
                <c:pt idx="66">
                  <c:v>0.1</c:v>
                </c:pt>
                <c:pt idx="67">
                  <c:v>8.3333333333333329E-2</c:v>
                </c:pt>
                <c:pt idx="68">
                  <c:v>7.6923076923076927E-2</c:v>
                </c:pt>
                <c:pt idx="69">
                  <c:v>0.23076923076923078</c:v>
                </c:pt>
                <c:pt idx="70">
                  <c:v>0.15384615384615385</c:v>
                </c:pt>
                <c:pt idx="71">
                  <c:v>0.3</c:v>
                </c:pt>
                <c:pt idx="72">
                  <c:v>0.18181818181818182</c:v>
                </c:pt>
                <c:pt idx="73">
                  <c:v>7.6923076923076927E-2</c:v>
                </c:pt>
                <c:pt idx="74">
                  <c:v>0.1</c:v>
                </c:pt>
                <c:pt idx="75">
                  <c:v>0.25</c:v>
                </c:pt>
                <c:pt idx="76">
                  <c:v>8.3333333333333329E-2</c:v>
                </c:pt>
                <c:pt idx="77">
                  <c:v>7.6923076923076927E-2</c:v>
                </c:pt>
                <c:pt idx="78">
                  <c:v>0.3</c:v>
                </c:pt>
                <c:pt idx="79">
                  <c:v>0.18181818181818182</c:v>
                </c:pt>
                <c:pt idx="80">
                  <c:v>8.3333333333333329E-2</c:v>
                </c:pt>
                <c:pt idx="81">
                  <c:v>7.6923076923076927E-2</c:v>
                </c:pt>
                <c:pt idx="82">
                  <c:v>7.6923076923076927E-2</c:v>
                </c:pt>
                <c:pt idx="83">
                  <c:v>7.6923076923076927E-2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7.328280142796266E-2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</c:v>
                </c:pt>
                <c:pt idx="181">
                  <c:v>0.1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7.6923076923076927E-2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8.3333333333333329E-2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0.16666666666666666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0.1111111111111111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7.6923076923076927E-2</c:v>
                </c:pt>
                <c:pt idx="217">
                  <c:v>7.6923076923076927E-2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8.3333333333333329E-2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0.15384615384615385</c:v>
                </c:pt>
                <c:pt idx="228">
                  <c:v>0.15384615384615385</c:v>
                </c:pt>
                <c:pt idx="229">
                  <c:v>7.6923076923076927E-2</c:v>
                </c:pt>
                <c:pt idx="230">
                  <c:v>7.6923076923076927E-2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8.3333333333333329E-2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0.15384615384615385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8.3333333333333329E-2</c:v>
                </c:pt>
                <c:pt idx="251">
                  <c:v>0</c:v>
                </c:pt>
                <c:pt idx="252">
                  <c:v>0.18181818181818182</c:v>
                </c:pt>
                <c:pt idx="253">
                  <c:v>0.30769230769230771</c:v>
                </c:pt>
                <c:pt idx="254">
                  <c:v>0</c:v>
                </c:pt>
                <c:pt idx="255">
                  <c:v>0</c:v>
                </c:pt>
                <c:pt idx="256">
                  <c:v>0.4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9.0909090909090912E-2</c:v>
                </c:pt>
                <c:pt idx="272">
                  <c:v>8.3333333333333329E-2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7.6923076923076927E-2</c:v>
                </c:pt>
                <c:pt idx="279">
                  <c:v>0</c:v>
                </c:pt>
                <c:pt idx="280">
                  <c:v>0.1</c:v>
                </c:pt>
                <c:pt idx="281">
                  <c:v>9.0909090909090912E-2</c:v>
                </c:pt>
                <c:pt idx="282">
                  <c:v>0</c:v>
                </c:pt>
                <c:pt idx="283">
                  <c:v>7.6923076923076927E-2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0.16666666666666666</c:v>
                </c:pt>
                <c:pt idx="290">
                  <c:v>0</c:v>
                </c:pt>
                <c:pt idx="291">
                  <c:v>0</c:v>
                </c:pt>
                <c:pt idx="292">
                  <c:v>7.6923076923076927E-2</c:v>
                </c:pt>
                <c:pt idx="293">
                  <c:v>0.2</c:v>
                </c:pt>
                <c:pt idx="294">
                  <c:v>0.1111111111111111</c:v>
                </c:pt>
                <c:pt idx="295">
                  <c:v>7.6923076923076927E-2</c:v>
                </c:pt>
                <c:pt idx="296">
                  <c:v>0.33333333333333331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0.61538461538461542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0.1111111111111111</c:v>
                </c:pt>
                <c:pt idx="305">
                  <c:v>7.6923076923076927E-2</c:v>
                </c:pt>
                <c:pt idx="306">
                  <c:v>7.6923076923076927E-2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</c:numCache>
            </c:numRef>
          </c:xVal>
          <c:yVal>
            <c:numRef>
              <c:f>GPG_XGPG!$C$2:$C$311</c:f>
              <c:numCache>
                <c:formatCode>0.000</c:formatCode>
                <c:ptCount val="310"/>
                <c:pt idx="0">
                  <c:v>0.2</c:v>
                </c:pt>
                <c:pt idx="1">
                  <c:v>0.46923076923076923</c:v>
                </c:pt>
                <c:pt idx="2">
                  <c:v>3.3333333333333333E-2</c:v>
                </c:pt>
                <c:pt idx="3">
                  <c:v>0.17272727272727273</c:v>
                </c:pt>
                <c:pt idx="4">
                  <c:v>6.6666666666666666E-2</c:v>
                </c:pt>
                <c:pt idx="5">
                  <c:v>0.1</c:v>
                </c:pt>
                <c:pt idx="6">
                  <c:v>0.34444444444444444</c:v>
                </c:pt>
                <c:pt idx="7">
                  <c:v>0.3</c:v>
                </c:pt>
                <c:pt idx="8">
                  <c:v>0.26153846153846155</c:v>
                </c:pt>
                <c:pt idx="9">
                  <c:v>0.05</c:v>
                </c:pt>
                <c:pt idx="10">
                  <c:v>0.16666666666666666</c:v>
                </c:pt>
                <c:pt idx="11">
                  <c:v>1.8181818181818184E-2</c:v>
                </c:pt>
                <c:pt idx="12">
                  <c:v>7.6923076923076927E-2</c:v>
                </c:pt>
                <c:pt idx="13">
                  <c:v>0.25</c:v>
                </c:pt>
                <c:pt idx="14">
                  <c:v>0.1</c:v>
                </c:pt>
                <c:pt idx="15">
                  <c:v>0.10833333333333334</c:v>
                </c:pt>
                <c:pt idx="16">
                  <c:v>3.3333333333333333E-2</c:v>
                </c:pt>
                <c:pt idx="17">
                  <c:v>8.8888888888888892E-2</c:v>
                </c:pt>
                <c:pt idx="18">
                  <c:v>1.4285714285714287E-2</c:v>
                </c:pt>
                <c:pt idx="19">
                  <c:v>3.0769230769230771E-2</c:v>
                </c:pt>
                <c:pt idx="20">
                  <c:v>0.12307692307692308</c:v>
                </c:pt>
                <c:pt idx="21">
                  <c:v>0.1</c:v>
                </c:pt>
                <c:pt idx="22">
                  <c:v>8.1818181818181818E-2</c:v>
                </c:pt>
                <c:pt idx="23">
                  <c:v>6.1538461538461542E-2</c:v>
                </c:pt>
                <c:pt idx="24">
                  <c:v>0.15833333333333333</c:v>
                </c:pt>
                <c:pt idx="25">
                  <c:v>8.3333333333333329E-2</c:v>
                </c:pt>
                <c:pt idx="26">
                  <c:v>0.2818181818181818</c:v>
                </c:pt>
                <c:pt idx="27">
                  <c:v>9.0909090909090922E-3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0.34166666666666662</c:v>
                </c:pt>
                <c:pt idx="32">
                  <c:v>8.3333333333333332E-3</c:v>
                </c:pt>
                <c:pt idx="33">
                  <c:v>9.1666666666666674E-2</c:v>
                </c:pt>
                <c:pt idx="34">
                  <c:v>0.53</c:v>
                </c:pt>
                <c:pt idx="35">
                  <c:v>0.5461538461538461</c:v>
                </c:pt>
                <c:pt idx="36">
                  <c:v>7.6923076923076927E-3</c:v>
                </c:pt>
                <c:pt idx="37">
                  <c:v>7.6923076923076927E-3</c:v>
                </c:pt>
                <c:pt idx="38">
                  <c:v>9.9999999999999992E-2</c:v>
                </c:pt>
                <c:pt idx="39">
                  <c:v>1.6666666666666666E-2</c:v>
                </c:pt>
                <c:pt idx="40">
                  <c:v>0.3125</c:v>
                </c:pt>
                <c:pt idx="41">
                  <c:v>0.16923076923076924</c:v>
                </c:pt>
                <c:pt idx="42">
                  <c:v>0.16923076923076924</c:v>
                </c:pt>
                <c:pt idx="43">
                  <c:v>0.13999999999999999</c:v>
                </c:pt>
                <c:pt idx="44">
                  <c:v>2.4999999999999998E-2</c:v>
                </c:pt>
                <c:pt idx="45">
                  <c:v>2.4999999999999998E-2</c:v>
                </c:pt>
                <c:pt idx="46">
                  <c:v>8.5714285714285715E-2</c:v>
                </c:pt>
                <c:pt idx="47">
                  <c:v>0.12727272727272726</c:v>
                </c:pt>
                <c:pt idx="48">
                  <c:v>3.6363636363636369E-2</c:v>
                </c:pt>
                <c:pt idx="49">
                  <c:v>2.3076923076923075E-2</c:v>
                </c:pt>
                <c:pt idx="50">
                  <c:v>0.15</c:v>
                </c:pt>
                <c:pt idx="51">
                  <c:v>3.3333333333333333E-2</c:v>
                </c:pt>
                <c:pt idx="52">
                  <c:v>3.3333333333333333E-2</c:v>
                </c:pt>
                <c:pt idx="53">
                  <c:v>0.26153846153846155</c:v>
                </c:pt>
                <c:pt idx="54">
                  <c:v>3.0769230769230771E-2</c:v>
                </c:pt>
                <c:pt idx="55">
                  <c:v>4.5454545454545456E-2</c:v>
                </c:pt>
                <c:pt idx="56">
                  <c:v>4.5454545454545456E-2</c:v>
                </c:pt>
                <c:pt idx="57">
                  <c:v>4.5454545454545456E-2</c:v>
                </c:pt>
                <c:pt idx="58">
                  <c:v>6.6666666666666666E-2</c:v>
                </c:pt>
                <c:pt idx="59">
                  <c:v>0.20833333333333334</c:v>
                </c:pt>
                <c:pt idx="60">
                  <c:v>0.16</c:v>
                </c:pt>
                <c:pt idx="61">
                  <c:v>3.8461538461538464E-2</c:v>
                </c:pt>
                <c:pt idx="62">
                  <c:v>0.32727272727272727</c:v>
                </c:pt>
                <c:pt idx="63">
                  <c:v>4.6153846153846149E-2</c:v>
                </c:pt>
                <c:pt idx="64">
                  <c:v>4.6153846153846149E-2</c:v>
                </c:pt>
                <c:pt idx="65">
                  <c:v>0.12307692307692308</c:v>
                </c:pt>
                <c:pt idx="66">
                  <c:v>6.9999999999999993E-2</c:v>
                </c:pt>
                <c:pt idx="67">
                  <c:v>5.8333333333333327E-2</c:v>
                </c:pt>
                <c:pt idx="68">
                  <c:v>5.3846153846153842E-2</c:v>
                </c:pt>
                <c:pt idx="69">
                  <c:v>0.2076923076923077</c:v>
                </c:pt>
                <c:pt idx="70">
                  <c:v>0.13076923076923078</c:v>
                </c:pt>
                <c:pt idx="71">
                  <c:v>0.27999999999999997</c:v>
                </c:pt>
                <c:pt idx="72">
                  <c:v>0.16363636363636364</c:v>
                </c:pt>
                <c:pt idx="73">
                  <c:v>6.1538461538461542E-2</c:v>
                </c:pt>
                <c:pt idx="74">
                  <c:v>0.09</c:v>
                </c:pt>
                <c:pt idx="75">
                  <c:v>0.24166666666666667</c:v>
                </c:pt>
                <c:pt idx="76">
                  <c:v>7.4999999999999997E-2</c:v>
                </c:pt>
                <c:pt idx="77">
                  <c:v>6.9230769230769235E-2</c:v>
                </c:pt>
                <c:pt idx="78">
                  <c:v>0.3</c:v>
                </c:pt>
                <c:pt idx="79">
                  <c:v>0.18181818181818182</c:v>
                </c:pt>
                <c:pt idx="80">
                  <c:v>8.3333333333333329E-2</c:v>
                </c:pt>
                <c:pt idx="81">
                  <c:v>7.6923076923076927E-2</c:v>
                </c:pt>
                <c:pt idx="82">
                  <c:v>7.6923076923076927E-2</c:v>
                </c:pt>
                <c:pt idx="83">
                  <c:v>7.6923076923076927E-2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7.4320583538325533E-2</c:v>
                </c:pt>
                <c:pt idx="166">
                  <c:v>7.6923076923076927E-3</c:v>
                </c:pt>
                <c:pt idx="167">
                  <c:v>7.6923076923076927E-3</c:v>
                </c:pt>
                <c:pt idx="168">
                  <c:v>7.6923076923076927E-3</c:v>
                </c:pt>
                <c:pt idx="169">
                  <c:v>8.3333333333333332E-3</c:v>
                </c:pt>
                <c:pt idx="170">
                  <c:v>8.3333333333333332E-3</c:v>
                </c:pt>
                <c:pt idx="171">
                  <c:v>8.3333333333333332E-3</c:v>
                </c:pt>
                <c:pt idx="172">
                  <c:v>8.3333333333333332E-3</c:v>
                </c:pt>
                <c:pt idx="173">
                  <c:v>9.0909090909090922E-3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0.11000000000000001</c:v>
                </c:pt>
                <c:pt idx="181">
                  <c:v>0.11000000000000001</c:v>
                </c:pt>
                <c:pt idx="182">
                  <c:v>1.1111111111111112E-2</c:v>
                </c:pt>
                <c:pt idx="183">
                  <c:v>1.1111111111111112E-2</c:v>
                </c:pt>
                <c:pt idx="184">
                  <c:v>1.2500000000000001E-2</c:v>
                </c:pt>
                <c:pt idx="185">
                  <c:v>1.2500000000000001E-2</c:v>
                </c:pt>
                <c:pt idx="186">
                  <c:v>1.4285714285714287E-2</c:v>
                </c:pt>
                <c:pt idx="187">
                  <c:v>1.4285714285714287E-2</c:v>
                </c:pt>
                <c:pt idx="188">
                  <c:v>1.4285714285714287E-2</c:v>
                </c:pt>
                <c:pt idx="189">
                  <c:v>1.4285714285714287E-2</c:v>
                </c:pt>
                <c:pt idx="190">
                  <c:v>1.4285714285714287E-2</c:v>
                </c:pt>
                <c:pt idx="191">
                  <c:v>9.2307692307692299E-2</c:v>
                </c:pt>
                <c:pt idx="192">
                  <c:v>1.5384615384615385E-2</c:v>
                </c:pt>
                <c:pt idx="193">
                  <c:v>1.5384615384615385E-2</c:v>
                </c:pt>
                <c:pt idx="194">
                  <c:v>1.5384615384615385E-2</c:v>
                </c:pt>
                <c:pt idx="195">
                  <c:v>1.5384615384615385E-2</c:v>
                </c:pt>
                <c:pt idx="196">
                  <c:v>1.5384615384615385E-2</c:v>
                </c:pt>
                <c:pt idx="197">
                  <c:v>1.5384615384615385E-2</c:v>
                </c:pt>
                <c:pt idx="198">
                  <c:v>1.5384615384615385E-2</c:v>
                </c:pt>
                <c:pt idx="199">
                  <c:v>9.9999999999999992E-2</c:v>
                </c:pt>
                <c:pt idx="200">
                  <c:v>1.6666666666666666E-2</c:v>
                </c:pt>
                <c:pt idx="201">
                  <c:v>1.6666666666666666E-2</c:v>
                </c:pt>
                <c:pt idx="202">
                  <c:v>1.6666666666666666E-2</c:v>
                </c:pt>
                <c:pt idx="203">
                  <c:v>0.18333333333333335</c:v>
                </c:pt>
                <c:pt idx="204">
                  <c:v>1.8181818181818184E-2</c:v>
                </c:pt>
                <c:pt idx="205">
                  <c:v>1.8181818181818184E-2</c:v>
                </c:pt>
                <c:pt idx="206">
                  <c:v>0.02</c:v>
                </c:pt>
                <c:pt idx="207">
                  <c:v>0.02</c:v>
                </c:pt>
                <c:pt idx="208">
                  <c:v>0.02</c:v>
                </c:pt>
                <c:pt idx="209">
                  <c:v>0.02</c:v>
                </c:pt>
                <c:pt idx="210">
                  <c:v>0.02</c:v>
                </c:pt>
                <c:pt idx="211">
                  <c:v>0.13333333333333333</c:v>
                </c:pt>
                <c:pt idx="212">
                  <c:v>2.3076923076923075E-2</c:v>
                </c:pt>
                <c:pt idx="213">
                  <c:v>2.3076923076923075E-2</c:v>
                </c:pt>
                <c:pt idx="214">
                  <c:v>2.3076923076923075E-2</c:v>
                </c:pt>
                <c:pt idx="215">
                  <c:v>2.3076923076923075E-2</c:v>
                </c:pt>
                <c:pt idx="216">
                  <c:v>0.1</c:v>
                </c:pt>
                <c:pt idx="217">
                  <c:v>0.1</c:v>
                </c:pt>
                <c:pt idx="218">
                  <c:v>2.4999999999999998E-2</c:v>
                </c:pt>
                <c:pt idx="219">
                  <c:v>2.5000000000000001E-2</c:v>
                </c:pt>
                <c:pt idx="220">
                  <c:v>2.5000000000000001E-2</c:v>
                </c:pt>
                <c:pt idx="221">
                  <c:v>0.10833333333333334</c:v>
                </c:pt>
                <c:pt idx="222">
                  <c:v>2.7272727272727271E-2</c:v>
                </c:pt>
                <c:pt idx="223">
                  <c:v>2.8571428571428574E-2</c:v>
                </c:pt>
                <c:pt idx="224">
                  <c:v>0.03</c:v>
                </c:pt>
                <c:pt idx="225">
                  <c:v>0.03</c:v>
                </c:pt>
                <c:pt idx="226">
                  <c:v>0.03</c:v>
                </c:pt>
                <c:pt idx="227">
                  <c:v>0.1846153846153846</c:v>
                </c:pt>
                <c:pt idx="228">
                  <c:v>0.1846153846153846</c:v>
                </c:pt>
                <c:pt idx="229">
                  <c:v>0.10769230769230768</c:v>
                </c:pt>
                <c:pt idx="230">
                  <c:v>0.10769230769230768</c:v>
                </c:pt>
                <c:pt idx="231">
                  <c:v>3.0769230769230771E-2</c:v>
                </c:pt>
                <c:pt idx="232">
                  <c:v>3.0769230769230771E-2</c:v>
                </c:pt>
                <c:pt idx="233">
                  <c:v>3.0769230769230771E-2</c:v>
                </c:pt>
                <c:pt idx="234">
                  <c:v>0.11666666666666665</c:v>
                </c:pt>
                <c:pt idx="235">
                  <c:v>3.3333333333333333E-2</c:v>
                </c:pt>
                <c:pt idx="236">
                  <c:v>3.3333333333333333E-2</c:v>
                </c:pt>
                <c:pt idx="237">
                  <c:v>3.3333333333333333E-2</c:v>
                </c:pt>
                <c:pt idx="238">
                  <c:v>3.3333333333333333E-2</c:v>
                </c:pt>
                <c:pt idx="239">
                  <c:v>3.3333333333333333E-2</c:v>
                </c:pt>
                <c:pt idx="240">
                  <c:v>3.6363636363636369E-2</c:v>
                </c:pt>
                <c:pt idx="241">
                  <c:v>3.6363636363636369E-2</c:v>
                </c:pt>
                <c:pt idx="242">
                  <c:v>3.7499999999999999E-2</c:v>
                </c:pt>
                <c:pt idx="243">
                  <c:v>0.19230769230769232</c:v>
                </c:pt>
                <c:pt idx="244">
                  <c:v>3.8461538461538464E-2</c:v>
                </c:pt>
                <c:pt idx="245">
                  <c:v>3.8461538461538464E-2</c:v>
                </c:pt>
                <c:pt idx="246">
                  <c:v>3.8461538461538464E-2</c:v>
                </c:pt>
                <c:pt idx="247">
                  <c:v>0.04</c:v>
                </c:pt>
                <c:pt idx="248">
                  <c:v>0.04</c:v>
                </c:pt>
                <c:pt idx="249">
                  <c:v>4.1666666666666664E-2</c:v>
                </c:pt>
                <c:pt idx="250">
                  <c:v>0.125</c:v>
                </c:pt>
                <c:pt idx="251">
                  <c:v>4.4444444444444446E-2</c:v>
                </c:pt>
                <c:pt idx="252">
                  <c:v>0.22727272727272727</c:v>
                </c:pt>
                <c:pt idx="253">
                  <c:v>0.35384615384615381</c:v>
                </c:pt>
                <c:pt idx="254">
                  <c:v>4.6153846153846149E-2</c:v>
                </c:pt>
                <c:pt idx="255">
                  <c:v>4.6153846153846149E-2</c:v>
                </c:pt>
                <c:pt idx="256">
                  <c:v>0.45</c:v>
                </c:pt>
                <c:pt idx="257">
                  <c:v>0.05</c:v>
                </c:pt>
                <c:pt idx="258">
                  <c:v>5.3846153846153842E-2</c:v>
                </c:pt>
                <c:pt idx="259">
                  <c:v>5.3846153846153842E-2</c:v>
                </c:pt>
                <c:pt idx="260">
                  <c:v>5.3846153846153842E-2</c:v>
                </c:pt>
                <c:pt idx="261">
                  <c:v>5.7142857142857148E-2</c:v>
                </c:pt>
                <c:pt idx="262">
                  <c:v>5.7142857142857148E-2</c:v>
                </c:pt>
                <c:pt idx="263">
                  <c:v>5.8333333333333327E-2</c:v>
                </c:pt>
                <c:pt idx="264">
                  <c:v>0.16</c:v>
                </c:pt>
                <c:pt idx="265">
                  <c:v>0.06</c:v>
                </c:pt>
                <c:pt idx="266">
                  <c:v>6.1538461538461542E-2</c:v>
                </c:pt>
                <c:pt idx="267">
                  <c:v>6.1538461538461542E-2</c:v>
                </c:pt>
                <c:pt idx="268">
                  <c:v>6.1538461538461542E-2</c:v>
                </c:pt>
                <c:pt idx="269">
                  <c:v>6.25E-2</c:v>
                </c:pt>
                <c:pt idx="270">
                  <c:v>6.25E-2</c:v>
                </c:pt>
                <c:pt idx="271">
                  <c:v>0.15454545454545454</c:v>
                </c:pt>
                <c:pt idx="272">
                  <c:v>0.15</c:v>
                </c:pt>
                <c:pt idx="273">
                  <c:v>6.6666666666666666E-2</c:v>
                </c:pt>
                <c:pt idx="274">
                  <c:v>6.6666666666666666E-2</c:v>
                </c:pt>
                <c:pt idx="275">
                  <c:v>6.6666666666666666E-2</c:v>
                </c:pt>
                <c:pt idx="276">
                  <c:v>6.6666666666666666E-2</c:v>
                </c:pt>
                <c:pt idx="277">
                  <c:v>6.6666666666666666E-2</c:v>
                </c:pt>
                <c:pt idx="278">
                  <c:v>0.14615384615384613</c:v>
                </c:pt>
                <c:pt idx="279">
                  <c:v>7.4999999999999997E-2</c:v>
                </c:pt>
                <c:pt idx="280">
                  <c:v>0.18</c:v>
                </c:pt>
                <c:pt idx="281">
                  <c:v>0.17272727272727273</c:v>
                </c:pt>
                <c:pt idx="282">
                  <c:v>8.1818181818181818E-2</c:v>
                </c:pt>
                <c:pt idx="283">
                  <c:v>0.16153846153846155</c:v>
                </c:pt>
                <c:pt idx="284">
                  <c:v>8.8888888888888892E-2</c:v>
                </c:pt>
                <c:pt idx="285">
                  <c:v>0.09</c:v>
                </c:pt>
                <c:pt idx="286">
                  <c:v>9.0909090909090912E-2</c:v>
                </c:pt>
                <c:pt idx="287">
                  <c:v>9.2307692307692299E-2</c:v>
                </c:pt>
                <c:pt idx="288">
                  <c:v>9.9999999999999992E-2</c:v>
                </c:pt>
                <c:pt idx="289">
                  <c:v>0.26666666666666666</c:v>
                </c:pt>
                <c:pt idx="290">
                  <c:v>0.1</c:v>
                </c:pt>
                <c:pt idx="291">
                  <c:v>0.1</c:v>
                </c:pt>
                <c:pt idx="292">
                  <c:v>0.1846153846153846</c:v>
                </c:pt>
                <c:pt idx="293">
                  <c:v>0.31</c:v>
                </c:pt>
                <c:pt idx="294">
                  <c:v>0.22222222222222221</c:v>
                </c:pt>
                <c:pt idx="295">
                  <c:v>0.19230769230769232</c:v>
                </c:pt>
                <c:pt idx="296">
                  <c:v>0.45833333333333331</c:v>
                </c:pt>
                <c:pt idx="297">
                  <c:v>0.125</c:v>
                </c:pt>
                <c:pt idx="298">
                  <c:v>0.13750000000000001</c:v>
                </c:pt>
                <c:pt idx="299">
                  <c:v>0.14615384615384613</c:v>
                </c:pt>
                <c:pt idx="300">
                  <c:v>0.76153846153846161</c:v>
                </c:pt>
                <c:pt idx="301">
                  <c:v>0.15</c:v>
                </c:pt>
                <c:pt idx="302">
                  <c:v>0.15384615384615385</c:v>
                </c:pt>
                <c:pt idx="303">
                  <c:v>0.16666666666666666</c:v>
                </c:pt>
                <c:pt idx="304">
                  <c:v>0.27777777777777779</c:v>
                </c:pt>
                <c:pt idx="305">
                  <c:v>0.25384615384615383</c:v>
                </c:pt>
                <c:pt idx="306">
                  <c:v>0.26153846153846155</c:v>
                </c:pt>
                <c:pt idx="307">
                  <c:v>0.19230769230769232</c:v>
                </c:pt>
                <c:pt idx="308">
                  <c:v>0.2</c:v>
                </c:pt>
                <c:pt idx="309">
                  <c:v>0.26666666666666666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27-46FA-B4DC-C864AC1B5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208048"/>
        <c:axId val="1557658192"/>
      </c:scatterChart>
      <c:valAx>
        <c:axId val="191520804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557658192"/>
        <c:crosses val="autoZero"/>
        <c:crossBetween val="midCat"/>
      </c:valAx>
      <c:valAx>
        <c:axId val="155765819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9152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</xdr:row>
      <xdr:rowOff>127000</xdr:rowOff>
    </xdr:from>
    <xdr:to>
      <xdr:col>11</xdr:col>
      <xdr:colOff>57150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6392B1-F06B-4645-9C20-AC7728DC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5854.728074074075" createdVersion="8" refreshedVersion="8" minRefreshableVersion="3" recordCount="310" xr:uid="{14CAFEAE-C315-438A-B995-8B6A67FB640F}">
  <cacheSource type="worksheet">
    <worksheetSource name="Table1"/>
  </cacheSource>
  <cacheFields count="33">
    <cacheField name="RANK" numFmtId="0">
      <sharedItems containsSemiMixedTypes="0" containsString="0" containsNumber="1" containsInteger="1" minValue="1" maxValue="310"/>
    </cacheField>
    <cacheField name="PLAYER" numFmtId="0">
      <sharedItems count="309">
        <s v="Esther González"/>
        <s v="Temwa Chaŵinga"/>
        <s v="Barbra Banda"/>
        <s v="Riley Tiernan"/>
        <s v="Manaka Matsukubo"/>
        <s v="Delphine Cascarino"/>
        <s v="Ashley Hatch"/>
        <s v="Alyssa Thompson"/>
        <s v="Emma Sears"/>
        <s v="Debinha"/>
        <s v="Beatriz"/>
        <s v="Michelle Cooper"/>
        <s v="Gift Monday"/>
        <s v="Penelope Hocking"/>
        <s v="Reilyn Turner"/>
        <s v="Adriana Leon"/>
        <s v="Maria Sanchez"/>
        <s v="Madeline Dahlien"/>
        <s v="Kennedy Fuller"/>
        <s v="Gisele Thompson"/>
        <s v="Sarah Schupansky"/>
        <s v="Emeri Adames"/>
        <s v="Ludmila"/>
        <s v="Jayden Perry"/>
        <s v="Taylor Flint"/>
        <s v="Kimmi Ascanio"/>
        <s v="Maggie Graham"/>
        <s v="Marta"/>
        <s v="Kayla Fischer"/>
        <s v="Ji So-yun"/>
        <s v="Caroline Conti"/>
        <s v="Savannah Demelo"/>
        <s v="Gia Corley"/>
        <s v="Kenza Dali"/>
        <s v="Bárbara Olivieri"/>
        <s v="Rosemonde Kouassi"/>
        <s v="Sam Coffey"/>
        <s v="Perle Morroni"/>
        <s v="Janine Sonis"/>
        <s v="Hailie Mace"/>
        <s v="Avery Patterson"/>
        <s v="Lo'eau LaBonta"/>
        <s v="Bianca St-Georges"/>
        <s v="Brecken Mozingo"/>
        <s v="Pietra Tordin"/>
        <s v="Felicitas Rauch"/>
        <s v="Lynn Biyendolo"/>
        <s v="Geyse"/>
        <s v="Caiya Hanks"/>
        <s v="Esme Morgan"/>
        <s v="Haley Hanson"/>
        <s v="Gabi Portilho"/>
        <s v="Casey Krueger"/>
        <s v="Jameese Joseph"/>
        <s v="Joelle Anderson"/>
        <s v="Trinity Armstrong"/>
        <s v="Jessie Fleming"/>
        <s v="Racheal Kundananji"/>
        <s v="Hanna Lundkvist"/>
        <s v="Samantha Staab"/>
        <s v="Arin Wright"/>
        <s v="Ryan Gareis"/>
        <s v="Isabel Rodriguez"/>
        <s v="Karlie Lema"/>
        <s v="Kiki Pickett"/>
        <s v="Brianna Pinto"/>
        <s v="Katie Zelem"/>
        <s v="Jordyn Bugg"/>
        <s v="Ashley Sanchez"/>
        <s v="Kayla Sharples"/>
        <s v="Jess Fishlock"/>
        <s v="Leicy Santos"/>
        <s v="Marie-Yasmine Alidou"/>
        <s v="Jordyn Huitema"/>
        <s v="Brittany Ratcliffe"/>
        <s v="Yazmeen Ryan"/>
        <s v="Claudia Zornoza"/>
        <s v="Melanie Barcenas"/>
        <s v="Haley Hopkins"/>
        <s v="Messiah Bright"/>
        <s v="Alyssa Malonson"/>
        <s v="Olivia Moultrie"/>
        <s v="Lilly Reale"/>
        <s v="Reyna Reyes"/>
        <s v="Ally Sentnor"/>
        <s v="Jaedyn Shaw"/>
        <s v="Delanie Sheehan"/>
        <s v="Mary Vignola"/>
        <s v="Ally Watt"/>
        <s v="Ryan Williams"/>
        <s v="Carson Pickett"/>
        <s v="Maitane López Millán"/>
        <s v="Claire Hutton"/>
        <s v="Tara McKeown"/>
        <s v="Narumi Miura"/>
        <s v="Denise O'Sullivan"/>
        <s v="Courtney Petersen"/>
        <s v="Hina Sugita"/>
        <s v="Meg Boade"/>
        <s v="Julie Doyle"/>
        <s v="Chiamaka Okwuchukwu"/>
        <s v="Sally Menti"/>
        <s v="Uchenna Kanu"/>
        <s v="Aline"/>
        <s v="Cecelia Kizer"/>
        <s v="Cortnee Vine"/>
        <s v="Nádia Gomes"/>
        <s v="Ary Borges"/>
        <s v="Courtney Brown"/>
        <s v="Macey Hodge"/>
        <s v="Ellie Jean"/>
        <s v="Payton Linnehan"/>
        <s v="Mina Tanaka"/>
        <s v="Kennedy Wesley"/>
        <s v="Hannah Betfort"/>
        <s v="Prisca Chilufya"/>
        <s v="Shea Groom"/>
        <s v="Christen Press"/>
        <s v="Deyna Castellanos"/>
        <s v="Cori Dyke"/>
        <s v="Julia Grosso"/>
        <s v="Rachel Hill"/>
        <s v="Shae Holmes"/>
        <s v="Jaelin Howell"/>
        <s v="Kristen McNabb"/>
        <s v="Riley Jackson"/>
        <s v="Kaleigh Kurtz"/>
        <s v="Makenna Morris"/>
        <s v="Paige Nielsen"/>
        <s v="Ally Schlegel"/>
        <s v="Sarah Weber"/>
        <s v="Hannah Bebar"/>
        <s v="Malia Berkely"/>
        <s v="Meredith Speck"/>
        <s v="Claire Emslie"/>
        <s v="Summer Yates"/>
        <s v="Morgan Gautrat"/>
        <s v="Lauren Barnes"/>
        <s v="Oihane Hernández"/>
        <s v="Ella Stevens"/>
        <s v="Camryn Biegalski"/>
        <s v="Bruninha"/>
        <s v="Bea Franklin"/>
        <s v="Maddie Mercado"/>
        <s v="Angelina"/>
        <s v="Kate Del Fava"/>
        <s v="Vanessa DiBernardo"/>
        <s v="Taylor Huff"/>
        <s v="Alanna Kennedy"/>
        <s v="Shinomi Koyama"/>
        <s v="Nealy Martin"/>
        <s v="Amanda McGlynn"/>
        <s v="Samantha Meza"/>
        <s v="Lauren Milliet"/>
        <s v="Katie O’Kane"/>
        <s v="Kerry Abello"/>
        <s v="Emmie Allen"/>
        <s v="Michelle Alozie"/>
        <s v="Angelina Anderson"/>
        <s v="Hannah Anderson"/>
        <s v="Mackenzie Arnold"/>
        <s v="Ramona Bachmann"/>
        <s v="Dorian Bailey"/>
        <s v="Elizabeth Ball"/>
        <s v="Catherine Barry"/>
        <s v="Maycee Bell"/>
        <s v="Ann-Katrin Berger"/>
        <s v="Rebeca Bernal"/>
        <s v="Croix Bethune"/>
        <s v="Jenna Bike"/>
        <s v="Bella Bixby"/>
        <s v="Jordyn Bloomer"/>
        <s v="Tess Boade"/>
        <s v="Jordan Brewster"/>
        <s v="Jane Campbell"/>
        <s v="Ryan Campbell"/>
        <s v="Gabrielle Carle"/>
        <s v="Jess Carter"/>
        <s v="Kyra Carusa"/>
        <s v="Grace Chanda"/>
        <s v="Zara Chavosi"/>
        <s v="Mikayla Cluff"/>
        <s v="Danielle Colaprico"/>
        <s v="Alana Cook"/>
        <s v="Ava Cook"/>
        <s v="Sofia Cook"/>
        <s v="Brooklyn Courtnall"/>
        <s v="Ana-Maria Crnogorčević"/>
        <s v="McKinley Crone"/>
        <s v="Chardonnay Curran"/>
        <s v="Madison Curry"/>
        <s v="Abby Dahlkemper"/>
        <s v="Daiane"/>
        <s v="Tierna Davidson"/>
        <s v="Margie Detrizio"/>
        <s v="Claudia Dickey"/>
        <s v="Marisa DiGrande"/>
        <s v="Makenzy Doniak"/>
        <s v="Imani Dorsey"/>
        <s v="Julie Dufour"/>
        <s v="Kiley Dulaney"/>
        <s v="Evelina Duljan"/>
        <s v="Caprice Dydasco"/>
        <s v="Favour Emmanuel"/>
        <s v="Bayley Feist"/>
        <s v="Lauren Flynn"/>
        <s v="Dana Foederer"/>
        <s v="Macey Fraser"/>
        <s v="Mandy Freeman"/>
        <s v="Jordan Fusco"/>
        <s v="Justina Gaynor"/>
        <s v="Hanna Glas"/>
        <s v="Sarah Gorden"/>
        <s v="Ana María Guzmán"/>
        <s v="Madison Hammond"/>
        <s v="Khyah Harper"/>
        <s v="Josefine Hasbo"/>
        <s v="Ella Hase"/>
        <s v="Manaka Hayashi"/>
        <s v="Hal Hershfelt"/>
        <s v="Samantha Hiatt"/>
        <s v="Sophie Hirst"/>
        <s v="Kelli Hubly"/>
        <s v="Simone Jackson"/>
        <s v="Natalie Jacobs"/>
        <s v="Angharad James"/>
        <s v="Mwanalima Jereko"/>
        <s v="Hannah Johnson"/>
        <s v="Micayla Johnson"/>
        <s v="Sydney Jones"/>
        <s v="Savannah King"/>
        <s v="Aubrey Kingsbury"/>
        <s v="Natalia Kuikka"/>
        <s v="Rose Lavelle"/>
        <s v="Ally Lemos"/>
        <s v="Katie Lind"/>
        <s v="Alex Loera"/>
        <s v="Mary Long"/>
        <s v="Lorena"/>
        <s v="Katie Lund"/>
        <s v="Tyler Lussi"/>
        <s v="Sandy MacIver"/>
        <s v="Halle Mackiewicz"/>
        <s v="Maiara"/>
        <s v="Taylor Malham"/>
        <s v="Lacho Marta"/>
        <s v="Brianna Martinez"/>
        <s v="Emily Mason"/>
        <s v="Sophia Mattice"/>
        <s v="Ainsley Mccammon"/>
        <s v="Savannah McCaskill"/>
        <s v="Phoebe McClernon"/>
        <s v="Mallie McKenzie"/>
        <s v="Quincy McMahon"/>
        <s v="Emily Menges"/>
        <s v="Paige Monaghan"/>
        <s v="Nérilia Mondésir"/>
        <s v="Anna Moorhouse"/>
        <s v="Madeline Moreau"/>
        <s v="Miyabi Moriya"/>
        <s v="Casey Murphy"/>
        <s v="Alyssa Naeher"/>
        <s v="Aria Nagai"/>
        <s v="Leilanni Nesbeth"/>
        <s v="Stella Nyamekye"/>
        <s v="Isabella Obaze"/>
        <s v="Diana Ordoñez"/>
        <s v="Asisat Oshoala"/>
        <s v="Casey Phair"/>
        <s v="Elli Pikkujämsä"/>
        <s v="Madison Pogarch"/>
        <s v="Nichelle Prince"/>
        <s v="Sarah Puntigam"/>
        <s v="Margaret Purce"/>
        <s v="Nuria Rábano"/>
        <s v="Rafaelle"/>
        <s v="KK Ream"/>
        <s v="Megan Reid"/>
        <s v="Chloe Ricketts"/>
        <s v="Kaleigh Riehl"/>
        <s v="Cari Roccaro"/>
        <s v="Trinity Rodman"/>
        <s v="Raquel Rodríguez"/>
        <s v="Emily Sams"/>
        <s v="Sophie Schmidt"/>
        <s v="Jamie Shepherd"/>
        <s v="Kailen Sheridan"/>
        <s v="Jordan Silkowitz"/>
        <s v="Jéssica Silva"/>
        <s v="Abby Smith"/>
        <s v="Aisha Solórzano"/>
        <s v="Emily Sonnett"/>
        <s v="Alexa Spaanstra"/>
        <s v="Heather Stainbrook"/>
        <s v="Talia Staude"/>
        <s v="Kylie Strom"/>
        <s v="Kysha Sylla"/>
        <s v="Ana Tejada"/>
        <s v="Janni Thomsen"/>
        <s v="Kaitlyn Torpey"/>
        <s v="Taryn Torres"/>
        <s v="Olivia Van der Jagt"/>
        <s v="Kiki Van Zanten"/>
        <s v="Viviana Villacorta"/>
        <s v="Dani Weatherholt"/>
        <s v="Christen Westphal"/>
        <s v="Ellie Wheeler"/>
        <s v="Mak Whitham"/>
        <s v="Kate Wiesner"/>
      </sharedItems>
    </cacheField>
    <cacheField name="NATION" numFmtId="0">
      <sharedItems containsBlank="1"/>
    </cacheField>
    <cacheField name="POSITION" numFmtId="0">
      <sharedItems/>
    </cacheField>
    <cacheField name="SQUAD" numFmtId="0">
      <sharedItems/>
    </cacheField>
    <cacheField name="AGE" numFmtId="0">
      <sharedItems containsBlank="1"/>
    </cacheField>
    <cacheField name="YEAR_BORN" numFmtId="0">
      <sharedItems containsString="0" containsBlank="1" containsNumber="1" containsInteger="1" minValue="1986" maxValue="2010"/>
    </cacheField>
    <cacheField name="MP" numFmtId="0">
      <sharedItems containsSemiMixedTypes="0" containsString="0" containsNumber="1" containsInteger="1" minValue="1" maxValue="13"/>
    </cacheField>
    <cacheField name="STARTS" numFmtId="0">
      <sharedItems containsSemiMixedTypes="0" containsString="0" containsNumber="1" containsInteger="1" minValue="0" maxValue="13"/>
    </cacheField>
    <cacheField name="PCT_STARTS" numFmtId="166">
      <sharedItems containsSemiMixedTypes="0" containsString="0" containsNumber="1" minValue="0" maxValue="1"/>
    </cacheField>
    <cacheField name="MINUTES" numFmtId="0">
      <sharedItems containsSemiMixedTypes="0" containsString="0" containsNumber="1" containsInteger="1" minValue="1" maxValue="1170"/>
    </cacheField>
    <cacheField name="90_MINS" numFmtId="0">
      <sharedItems containsSemiMixedTypes="0" containsString="0" containsNumber="1" minValue="0" maxValue="13"/>
    </cacheField>
    <cacheField name="G" numFmtId="0">
      <sharedItems containsSemiMixedTypes="0" containsString="0" containsNumber="1" containsInteger="1" minValue="0" maxValue="10"/>
    </cacheField>
    <cacheField name="GPG" numFmtId="166">
      <sharedItems containsSemiMixedTypes="0" containsString="0" containsNumber="1" minValue="0" maxValue="0.76923076923076927"/>
    </cacheField>
    <cacheField name="A" numFmtId="166">
      <sharedItems containsSemiMixedTypes="0" containsString="0" containsNumber="1" containsInteger="1" minValue="0" maxValue="5"/>
    </cacheField>
    <cacheField name="APG" numFmtId="166">
      <sharedItems containsSemiMixedTypes="0" containsString="0" containsNumber="1" minValue="0" maxValue="0.38461538461538464"/>
    </cacheField>
    <cacheField name="PTS" numFmtId="166">
      <sharedItems containsSemiMixedTypes="0" containsString="0" containsNumber="1" containsInteger="1" minValue="0" maxValue="10"/>
    </cacheField>
    <cacheField name="PTSPG" numFmtId="166">
      <sharedItems containsSemiMixedTypes="0" containsString="0" containsNumber="1" minValue="0" maxValue="0.76923076923076927"/>
    </cacheField>
    <cacheField name="G_PK" numFmtId="0">
      <sharedItems containsSemiMixedTypes="0" containsString="0" containsNumber="1" containsInteger="1" minValue="0" maxValue="8"/>
    </cacheField>
    <cacheField name="G_REG" numFmtId="0">
      <sharedItems containsSemiMixedTypes="0" containsString="0" containsNumber="1" containsInteger="1" minValue="0" maxValue="3"/>
    </cacheField>
    <cacheField name="PK" numFmtId="0">
      <sharedItems containsSemiMixedTypes="0" containsString="0" containsNumber="1" containsInteger="1" minValue="0" maxValue="3"/>
    </cacheField>
    <cacheField name="PK_ATT" numFmtId="0">
      <sharedItems containsSemiMixedTypes="0" containsString="0" containsNumber="1" containsInteger="1" minValue="0" maxValue="3"/>
    </cacheField>
    <cacheField name="CRDY" numFmtId="0">
      <sharedItems containsSemiMixedTypes="0" containsString="0" containsNumber="1" containsInteger="1" minValue="0" maxValue="6"/>
    </cacheField>
    <cacheField name="CRDR" numFmtId="0">
      <sharedItems containsSemiMixedTypes="0" containsString="0" containsNumber="1" containsInteger="1" minValue="0" maxValue="1"/>
    </cacheField>
    <cacheField name="TOT_CRDS" numFmtId="0">
      <sharedItems containsSemiMixedTypes="0" containsString="0" containsNumber="1" containsInteger="1" minValue="0" maxValue="7"/>
    </cacheField>
    <cacheField name="XG" numFmtId="0">
      <sharedItems containsSemiMixedTypes="0" containsString="0" containsNumber="1" minValue="0" maxValue="9.9"/>
    </cacheField>
    <cacheField name="XGPG" numFmtId="166">
      <sharedItems containsSemiMixedTypes="0" containsString="0" containsNumber="1" minValue="0" maxValue="0.76153846153846161"/>
    </cacheField>
    <cacheField name="NPXG" numFmtId="0">
      <sharedItems containsSemiMixedTypes="0" containsString="0" containsNumber="1" minValue="0" maxValue="9.9"/>
    </cacheField>
    <cacheField name="XAG" numFmtId="0">
      <sharedItems containsSemiMixedTypes="0" containsString="0" containsNumber="1" minValue="0" maxValue="3.8"/>
    </cacheField>
    <cacheField name="NPXG_XAG" numFmtId="0">
      <sharedItems containsSemiMixedTypes="0" containsString="0" containsNumber="1" minValue="0" maxValue="11.8"/>
    </cacheField>
    <cacheField name="PRGC" numFmtId="0">
      <sharedItems containsSemiMixedTypes="0" containsString="0" containsNumber="1" containsInteger="1" minValue="0" maxValue="60"/>
    </cacheField>
    <cacheField name="PRGP" numFmtId="0">
      <sharedItems containsSemiMixedTypes="0" containsString="0" containsNumber="1" containsInteger="1" minValue="0" maxValue="83"/>
    </cacheField>
    <cacheField name="PRGR" numFmtId="0">
      <sharedItems containsSemiMixedTypes="0" containsString="0" containsNumber="1" containsInteger="1" minValue="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n v="107"/>
    <x v="0"/>
    <s v="es ESP"/>
    <s v="FW,MF"/>
    <s v="Gotham FC"/>
    <s v="32-219"/>
    <n v="1992"/>
    <n v="13"/>
    <n v="13"/>
    <n v="1"/>
    <n v="1136"/>
    <n v="12.6"/>
    <n v="10"/>
    <n v="0.76923076923076927"/>
    <n v="0"/>
    <n v="0"/>
    <n v="10"/>
    <n v="0.76923076923076927"/>
    <n v="8"/>
    <n v="2"/>
    <n v="2"/>
    <n v="2"/>
    <n v="1"/>
    <n v="0"/>
    <n v="1"/>
    <n v="6.1"/>
    <n v="0.46923076923076923"/>
    <n v="4.5999999999999996"/>
    <n v="1.1000000000000001"/>
    <n v="5.7"/>
    <n v="18"/>
    <n v="37"/>
    <n v="57"/>
  </r>
  <r>
    <n v="51"/>
    <x v="1"/>
    <s v="mw MWI"/>
    <s v="FW,MF"/>
    <s v="Current"/>
    <s v="26-298"/>
    <n v="1998"/>
    <n v="13"/>
    <n v="12"/>
    <n v="0.92307692307692313"/>
    <n v="1034"/>
    <n v="11.5"/>
    <n v="8"/>
    <n v="0.61538461538461542"/>
    <n v="2"/>
    <n v="0.15384615384615385"/>
    <n v="10"/>
    <n v="0.76923076923076927"/>
    <n v="8"/>
    <n v="0"/>
    <n v="0"/>
    <n v="0"/>
    <n v="0"/>
    <n v="0"/>
    <n v="0"/>
    <n v="9.9"/>
    <n v="0.76153846153846161"/>
    <n v="9.9"/>
    <n v="1.8"/>
    <n v="11.8"/>
    <n v="25"/>
    <n v="22"/>
    <n v="88"/>
  </r>
  <r>
    <n v="18"/>
    <x v="2"/>
    <s v="zm ZAM"/>
    <s v="FW"/>
    <s v="Pride"/>
    <s v="25-117"/>
    <n v="2000"/>
    <n v="13"/>
    <n v="12"/>
    <n v="0.92307692307692313"/>
    <n v="1103"/>
    <n v="12.3"/>
    <n v="8"/>
    <n v="0.61538461538461542"/>
    <n v="1"/>
    <n v="7.6923076923076927E-2"/>
    <n v="9"/>
    <n v="0.69230769230769229"/>
    <n v="8"/>
    <n v="0"/>
    <n v="0"/>
    <n v="0"/>
    <n v="2"/>
    <n v="0"/>
    <n v="2"/>
    <n v="7.1"/>
    <n v="0.5461538461538461"/>
    <n v="7.1"/>
    <n v="1.3"/>
    <n v="8.5"/>
    <n v="60"/>
    <n v="14"/>
    <n v="93"/>
  </r>
  <r>
    <n v="288"/>
    <x v="3"/>
    <s v="us USA"/>
    <s v="FW"/>
    <s v="Angel City"/>
    <s v="22-243"/>
    <n v="2002"/>
    <n v="13"/>
    <n v="13"/>
    <n v="1"/>
    <n v="1130"/>
    <n v="12.6"/>
    <n v="7"/>
    <n v="0.53846153846153844"/>
    <n v="1"/>
    <n v="7.6923076923076927E-2"/>
    <n v="8"/>
    <n v="0.61538461538461542"/>
    <n v="7"/>
    <n v="0"/>
    <n v="0"/>
    <n v="0"/>
    <n v="3"/>
    <n v="0"/>
    <n v="3"/>
    <n v="2.6"/>
    <n v="0.2"/>
    <n v="2.6"/>
    <n v="1.4"/>
    <n v="4"/>
    <n v="23"/>
    <n v="19"/>
    <n v="59"/>
  </r>
  <r>
    <n v="183"/>
    <x v="4"/>
    <s v="jp JPN"/>
    <s v="FW,MF"/>
    <s v="Courage"/>
    <s v="20-352"/>
    <n v="2004"/>
    <n v="13"/>
    <n v="11"/>
    <n v="0.84615384615384615"/>
    <n v="971"/>
    <n v="10.8"/>
    <n v="4"/>
    <n v="0.30769230769230771"/>
    <n v="4"/>
    <n v="0.30769230769230771"/>
    <n v="8"/>
    <n v="0.61538461538461542"/>
    <n v="4"/>
    <n v="0"/>
    <n v="0"/>
    <n v="0"/>
    <n v="3"/>
    <n v="0"/>
    <n v="3"/>
    <n v="4.5999999999999996"/>
    <n v="0.35384615384615381"/>
    <n v="4.5999999999999996"/>
    <n v="3.2"/>
    <n v="7.8"/>
    <n v="18"/>
    <n v="49"/>
    <n v="60"/>
  </r>
  <r>
    <n v="47"/>
    <x v="5"/>
    <s v="fr FRA"/>
    <s v="FW"/>
    <s v="Wave"/>
    <s v="28-160"/>
    <n v="1997"/>
    <n v="13"/>
    <n v="13"/>
    <n v="1"/>
    <n v="1109"/>
    <n v="12.3"/>
    <n v="3"/>
    <n v="0.23076923076923078"/>
    <n v="5"/>
    <n v="0.38461538461538464"/>
    <n v="8"/>
    <n v="0.61538461538461542"/>
    <n v="3"/>
    <n v="0"/>
    <n v="0"/>
    <n v="0"/>
    <n v="1"/>
    <n v="0"/>
    <n v="1"/>
    <n v="1"/>
    <n v="7.6923076923076927E-2"/>
    <n v="1"/>
    <n v="2.8"/>
    <n v="3.9"/>
    <n v="47"/>
    <n v="45"/>
    <n v="95"/>
  </r>
  <r>
    <n v="119"/>
    <x v="6"/>
    <s v="us USA"/>
    <s v="FW,MF"/>
    <s v="Spirit"/>
    <s v="30-051"/>
    <n v="1995"/>
    <n v="10"/>
    <n v="9"/>
    <n v="0.9"/>
    <n v="823"/>
    <n v="9.1"/>
    <n v="6"/>
    <n v="0.6"/>
    <n v="1"/>
    <n v="0.1"/>
    <n v="7"/>
    <n v="0.7"/>
    <n v="6"/>
    <n v="0"/>
    <n v="0"/>
    <n v="1"/>
    <n v="1"/>
    <n v="0"/>
    <n v="1"/>
    <n v="5.3"/>
    <n v="0.53"/>
    <n v="4.5999999999999996"/>
    <n v="1.4"/>
    <n v="6"/>
    <n v="14"/>
    <n v="15"/>
    <n v="43"/>
  </r>
  <r>
    <n v="285"/>
    <x v="7"/>
    <s v="us USA"/>
    <s v="FW,MF"/>
    <s v="Angel City"/>
    <s v="20-250"/>
    <n v="2004"/>
    <n v="12"/>
    <n v="12"/>
    <n v="1"/>
    <n v="1033"/>
    <n v="11.5"/>
    <n v="5"/>
    <n v="0.41666666666666669"/>
    <n v="2"/>
    <n v="0.16666666666666666"/>
    <n v="7"/>
    <n v="0.58333333333333337"/>
    <n v="4"/>
    <n v="1"/>
    <n v="1"/>
    <n v="2"/>
    <n v="2"/>
    <n v="0"/>
    <n v="2"/>
    <n v="4.0999999999999996"/>
    <n v="0.34166666666666662"/>
    <n v="2.7"/>
    <n v="2.5"/>
    <n v="5.0999999999999996"/>
    <n v="42"/>
    <n v="29"/>
    <n v="98"/>
  </r>
  <r>
    <n v="259"/>
    <x v="8"/>
    <s v="us USA"/>
    <s v="FW,MF"/>
    <s v="Louisville"/>
    <s v="24-142"/>
    <n v="2001"/>
    <n v="13"/>
    <n v="13"/>
    <n v="1"/>
    <n v="1086"/>
    <n v="12.1"/>
    <n v="6"/>
    <n v="0.46153846153846156"/>
    <n v="0"/>
    <n v="0"/>
    <n v="6"/>
    <n v="0.46153846153846156"/>
    <n v="6"/>
    <n v="0"/>
    <n v="0"/>
    <n v="0"/>
    <n v="1"/>
    <n v="0"/>
    <n v="1"/>
    <n v="3.4"/>
    <n v="0.26153846153846155"/>
    <n v="3.4"/>
    <n v="0.8"/>
    <n v="4.0999999999999996"/>
    <n v="31"/>
    <n v="14"/>
    <n v="81"/>
  </r>
  <r>
    <n v="72"/>
    <x v="9"/>
    <s v="br BRA"/>
    <s v="FW,MF"/>
    <s v="Current"/>
    <s v="33-268"/>
    <n v="1991"/>
    <n v="9"/>
    <n v="8"/>
    <n v="0.88888888888888884"/>
    <n v="705"/>
    <n v="7.8"/>
    <n v="5"/>
    <n v="0.55555555555555558"/>
    <n v="1"/>
    <n v="0.1111111111111111"/>
    <n v="6"/>
    <n v="0.66666666666666663"/>
    <n v="5"/>
    <n v="0"/>
    <n v="0"/>
    <n v="0"/>
    <n v="0"/>
    <n v="0"/>
    <n v="0"/>
    <n v="3.1"/>
    <n v="0.34444444444444444"/>
    <n v="3.1"/>
    <n v="2.6"/>
    <n v="5.7"/>
    <n v="21"/>
    <n v="42"/>
    <n v="70"/>
  </r>
  <r>
    <n v="22"/>
    <x v="10"/>
    <s v="br BRA"/>
    <s v="FW"/>
    <s v="Current"/>
    <s v="31-210"/>
    <n v="1993"/>
    <n v="11"/>
    <n v="9"/>
    <n v="0.81818181818181823"/>
    <n v="750"/>
    <n v="8.3000000000000007"/>
    <n v="5"/>
    <n v="0.45454545454545453"/>
    <n v="1"/>
    <n v="9.0909090909090912E-2"/>
    <n v="6"/>
    <n v="0.54545454545454541"/>
    <n v="5"/>
    <n v="0"/>
    <n v="0"/>
    <n v="0"/>
    <n v="0"/>
    <n v="0"/>
    <n v="0"/>
    <n v="1.9"/>
    <n v="0.17272727272727273"/>
    <n v="1.9"/>
    <n v="1.2"/>
    <n v="3.1"/>
    <n v="19"/>
    <n v="41"/>
    <n v="71"/>
  </r>
  <r>
    <n v="60"/>
    <x v="11"/>
    <s v="us USA"/>
    <s v="FW,MF"/>
    <s v="Current"/>
    <s v="22-223"/>
    <n v="2002"/>
    <n v="8"/>
    <n v="7"/>
    <n v="0.875"/>
    <n v="474"/>
    <n v="5.3"/>
    <n v="4"/>
    <n v="0.5"/>
    <n v="2"/>
    <n v="0.25"/>
    <n v="6"/>
    <n v="0.75"/>
    <n v="4"/>
    <n v="0"/>
    <n v="0"/>
    <n v="0"/>
    <n v="0"/>
    <n v="0"/>
    <n v="0"/>
    <n v="2.4"/>
    <n v="0.3"/>
    <n v="2.4"/>
    <n v="3.8"/>
    <n v="6.2"/>
    <n v="15"/>
    <n v="13"/>
    <n v="42"/>
  </r>
  <r>
    <n v="200"/>
    <x v="12"/>
    <s v="ng NGA"/>
    <s v="FW,MF"/>
    <s v="Spirit"/>
    <s v="23-218"/>
    <n v="2001"/>
    <n v="10"/>
    <n v="8"/>
    <n v="0.8"/>
    <n v="728"/>
    <n v="8.1"/>
    <n v="4"/>
    <n v="0.4"/>
    <n v="1"/>
    <n v="0.1"/>
    <n v="5"/>
    <n v="0.5"/>
    <n v="4"/>
    <n v="0"/>
    <n v="0"/>
    <n v="0"/>
    <n v="1"/>
    <n v="0"/>
    <n v="1"/>
    <n v="4.5"/>
    <n v="0.45"/>
    <n v="4.5"/>
    <n v="1.5"/>
    <n v="6"/>
    <n v="14"/>
    <n v="9"/>
    <n v="40"/>
  </r>
  <r>
    <n v="126"/>
    <x v="13"/>
    <s v="us USA"/>
    <s v="MF,FW"/>
    <s v="Bay FC"/>
    <s v="25-198"/>
    <n v="1999"/>
    <n v="11"/>
    <n v="6"/>
    <n v="0.54545454545454541"/>
    <n v="563"/>
    <n v="6.3"/>
    <n v="4"/>
    <n v="0.36363636363636365"/>
    <n v="1"/>
    <n v="9.0909090909090912E-2"/>
    <n v="5"/>
    <n v="0.45454545454545453"/>
    <n v="4"/>
    <n v="0"/>
    <n v="0"/>
    <n v="0"/>
    <n v="0"/>
    <n v="0"/>
    <n v="0"/>
    <n v="3.6"/>
    <n v="0.32727272727272727"/>
    <n v="3.6"/>
    <n v="0.6"/>
    <n v="4.2"/>
    <n v="12"/>
    <n v="13"/>
    <n v="37"/>
  </r>
  <r>
    <n v="292"/>
    <x v="14"/>
    <s v="us USA"/>
    <s v="FW,MF"/>
    <s v="Thorns"/>
    <s v="22-271"/>
    <n v="2002"/>
    <n v="12"/>
    <n v="10"/>
    <n v="0.83333333333333337"/>
    <n v="795"/>
    <n v="8.8000000000000007"/>
    <n v="4"/>
    <n v="0.33333333333333331"/>
    <n v="1"/>
    <n v="8.3333333333333329E-2"/>
    <n v="5"/>
    <n v="0.41666666666666669"/>
    <n v="4"/>
    <n v="0"/>
    <n v="0"/>
    <n v="0"/>
    <n v="0"/>
    <n v="0"/>
    <n v="0"/>
    <n v="5.5"/>
    <n v="0.45833333333333331"/>
    <n v="5.5"/>
    <n v="0.6"/>
    <n v="6.1"/>
    <n v="5"/>
    <n v="10"/>
    <n v="54"/>
  </r>
  <r>
    <n v="161"/>
    <x v="15"/>
    <s v="ca CAN"/>
    <s v="FW,MF"/>
    <s v="Wave"/>
    <s v="32-286"/>
    <n v="1992"/>
    <n v="13"/>
    <n v="8"/>
    <n v="0.61538461538461542"/>
    <n v="660"/>
    <n v="7.3"/>
    <n v="4"/>
    <n v="0.30769230769230771"/>
    <n v="1"/>
    <n v="7.6923076923076927E-2"/>
    <n v="5"/>
    <n v="0.38461538461538464"/>
    <n v="4"/>
    <n v="0"/>
    <n v="0"/>
    <n v="0"/>
    <n v="1"/>
    <n v="0"/>
    <n v="1"/>
    <n v="3.4"/>
    <n v="0.26153846153846155"/>
    <n v="3.4"/>
    <n v="0.4"/>
    <n v="3.7"/>
    <n v="15"/>
    <n v="9"/>
    <n v="38"/>
  </r>
  <r>
    <n v="254"/>
    <x v="16"/>
    <s v="mx MEX"/>
    <s v="FW,MF"/>
    <s v="Wave"/>
    <s v="29-145"/>
    <n v="1996"/>
    <n v="12"/>
    <n v="7"/>
    <n v="0.58333333333333337"/>
    <n v="571"/>
    <n v="6.3"/>
    <n v="3"/>
    <n v="0.25"/>
    <n v="2"/>
    <n v="0.16666666666666666"/>
    <n v="5"/>
    <n v="0.41666666666666669"/>
    <n v="3"/>
    <n v="0"/>
    <n v="0"/>
    <n v="1"/>
    <n v="1"/>
    <n v="0"/>
    <n v="1"/>
    <n v="2.5"/>
    <n v="0.20833333333333334"/>
    <n v="1.8"/>
    <n v="0.9"/>
    <n v="2.7"/>
    <n v="8"/>
    <n v="17"/>
    <n v="30"/>
  </r>
  <r>
    <n v="67"/>
    <x v="17"/>
    <s v="us USA"/>
    <s v="DF,FW"/>
    <s v="Reign"/>
    <s v="20-355"/>
    <n v="2004"/>
    <n v="13"/>
    <n v="12"/>
    <n v="0.92307692307692313"/>
    <n v="1016"/>
    <n v="11.3"/>
    <n v="3"/>
    <n v="0.23076923076923078"/>
    <n v="2"/>
    <n v="0.15384615384615385"/>
    <n v="5"/>
    <n v="0.38461538461538464"/>
    <n v="3"/>
    <n v="0"/>
    <n v="0"/>
    <n v="0"/>
    <n v="3"/>
    <n v="0"/>
    <n v="3"/>
    <n v="2.2000000000000002"/>
    <n v="0.16923076923076924"/>
    <n v="2.2000000000000002"/>
    <n v="0.7"/>
    <n v="3"/>
    <n v="32"/>
    <n v="17"/>
    <n v="82"/>
  </r>
  <r>
    <n v="99"/>
    <x v="18"/>
    <s v="us USA"/>
    <s v="MF"/>
    <s v="Angel City"/>
    <s v="18-128"/>
    <n v="2007"/>
    <n v="13"/>
    <n v="12"/>
    <n v="0.92307692307692313"/>
    <n v="991"/>
    <n v="11"/>
    <n v="2"/>
    <n v="0.15384615384615385"/>
    <n v="3"/>
    <n v="0.23076923076923078"/>
    <n v="5"/>
    <n v="0.38461538461538464"/>
    <n v="2"/>
    <n v="0"/>
    <n v="0"/>
    <n v="0"/>
    <n v="1"/>
    <n v="0"/>
    <n v="1"/>
    <n v="2.5"/>
    <n v="0.19230769230769232"/>
    <n v="2.5"/>
    <n v="1.1000000000000001"/>
    <n v="3.6"/>
    <n v="15"/>
    <n v="41"/>
    <n v="42"/>
  </r>
  <r>
    <n v="286"/>
    <x v="19"/>
    <s v="us USA"/>
    <s v="DF,FW"/>
    <s v="Angel City"/>
    <s v="19-225"/>
    <n v="2005"/>
    <n v="12"/>
    <n v="12"/>
    <n v="1"/>
    <n v="952"/>
    <n v="10.6"/>
    <n v="1"/>
    <n v="8.3333333333333329E-2"/>
    <n v="4"/>
    <n v="0.33333333333333331"/>
    <n v="5"/>
    <n v="0.41666666666666669"/>
    <n v="1"/>
    <n v="0"/>
    <n v="0"/>
    <n v="0"/>
    <n v="1"/>
    <n v="0"/>
    <n v="1"/>
    <n v="0.9"/>
    <n v="7.4999999999999997E-2"/>
    <n v="0.9"/>
    <n v="0.9"/>
    <n v="1.8"/>
    <n v="40"/>
    <n v="38"/>
    <n v="61"/>
  </r>
  <r>
    <n v="258"/>
    <x v="20"/>
    <s v="us USA"/>
    <s v="MF"/>
    <s v="Gotham FC"/>
    <s v="21-324"/>
    <n v="2003"/>
    <n v="13"/>
    <n v="11"/>
    <n v="0.84615384615384615"/>
    <n v="877"/>
    <n v="9.6999999999999993"/>
    <n v="1"/>
    <n v="7.6923076923076927E-2"/>
    <n v="4"/>
    <n v="0.30769230769230771"/>
    <n v="5"/>
    <n v="0.38461538461538464"/>
    <n v="1"/>
    <n v="0"/>
    <n v="0"/>
    <n v="0"/>
    <n v="2"/>
    <n v="0"/>
    <n v="2"/>
    <n v="0.8"/>
    <n v="6.1538461538461542E-2"/>
    <n v="0.8"/>
    <n v="2.7"/>
    <n v="3.5"/>
    <n v="7"/>
    <n v="24"/>
    <n v="46"/>
  </r>
  <r>
    <n v="2"/>
    <x v="21"/>
    <s v="us USA"/>
    <s v="FW,MF"/>
    <s v="Reign"/>
    <s v="19-103"/>
    <n v="2006"/>
    <n v="10"/>
    <n v="4"/>
    <n v="0.4"/>
    <n v="420"/>
    <n v="4.7"/>
    <n v="4"/>
    <n v="0.4"/>
    <n v="0"/>
    <n v="0"/>
    <n v="4"/>
    <n v="0.4"/>
    <n v="3"/>
    <n v="1"/>
    <n v="1"/>
    <n v="1"/>
    <n v="0"/>
    <n v="0"/>
    <n v="0"/>
    <n v="2.5"/>
    <n v="0.25"/>
    <n v="1.7"/>
    <n v="0.5"/>
    <n v="2.2999999999999998"/>
    <n v="11"/>
    <n v="13"/>
    <n v="31"/>
  </r>
  <r>
    <n v="168"/>
    <x v="22"/>
    <s v="br BRA"/>
    <s v="FW"/>
    <s v="Chicago Stars"/>
    <s v="30-226"/>
    <n v="1994"/>
    <n v="11"/>
    <n v="11"/>
    <n v="1"/>
    <n v="885"/>
    <n v="9.8000000000000007"/>
    <n v="4"/>
    <n v="0.36363636363636365"/>
    <n v="0"/>
    <n v="0"/>
    <n v="4"/>
    <n v="0.36363636363636365"/>
    <n v="4"/>
    <n v="0"/>
    <n v="0"/>
    <n v="0"/>
    <n v="1"/>
    <n v="0"/>
    <n v="1"/>
    <n v="3.1"/>
    <n v="0.2818181818181818"/>
    <n v="3.1"/>
    <n v="0.4"/>
    <n v="3.5"/>
    <n v="22"/>
    <n v="17"/>
    <n v="62"/>
  </r>
  <r>
    <n v="224"/>
    <x v="23"/>
    <s v="us USA"/>
    <s v="DF"/>
    <s v="Thorns"/>
    <s v="24-145"/>
    <n v="2001"/>
    <n v="8"/>
    <n v="8"/>
    <n v="1"/>
    <n v="720"/>
    <n v="8"/>
    <n v="3"/>
    <n v="0.375"/>
    <n v="1"/>
    <n v="0.125"/>
    <n v="4"/>
    <n v="0.5"/>
    <n v="0"/>
    <n v="3"/>
    <n v="3"/>
    <n v="3"/>
    <n v="1"/>
    <n v="0"/>
    <n v="1"/>
    <n v="2.5"/>
    <n v="0.3125"/>
    <n v="0.3"/>
    <n v="0"/>
    <n v="0.4"/>
    <n v="2"/>
    <n v="24"/>
    <n v="2"/>
  </r>
  <r>
    <n v="93"/>
    <x v="24"/>
    <s v="us USA"/>
    <s v="MF"/>
    <s v="Louisville"/>
    <s v="26-235"/>
    <n v="1998"/>
    <n v="12"/>
    <n v="12"/>
    <n v="1"/>
    <n v="1074"/>
    <n v="11.9"/>
    <n v="3"/>
    <n v="0.25"/>
    <n v="1"/>
    <n v="8.3333333333333329E-2"/>
    <n v="4"/>
    <n v="0.33333333333333331"/>
    <n v="1"/>
    <n v="2"/>
    <n v="2"/>
    <n v="2"/>
    <n v="3"/>
    <n v="0"/>
    <n v="3"/>
    <n v="2.9"/>
    <n v="0.24166666666666667"/>
    <n v="1.4"/>
    <n v="0.6"/>
    <n v="2"/>
    <n v="1"/>
    <n v="59"/>
    <n v="8"/>
  </r>
  <r>
    <n v="14"/>
    <x v="25"/>
    <s v="us USA"/>
    <s v="FW,MF"/>
    <s v="Wave"/>
    <s v="17-175"/>
    <n v="2008"/>
    <n v="13"/>
    <n v="7"/>
    <n v="0.53846153846153844"/>
    <n v="663"/>
    <n v="7.4"/>
    <n v="3"/>
    <n v="0.23076923076923078"/>
    <n v="1"/>
    <n v="7.6923076923076927E-2"/>
    <n v="4"/>
    <n v="0.30769230769230771"/>
    <n v="3"/>
    <n v="0"/>
    <n v="0"/>
    <n v="0"/>
    <n v="0"/>
    <n v="0"/>
    <n v="0"/>
    <n v="1.6"/>
    <n v="0.12307692307692308"/>
    <n v="1.6"/>
    <n v="0.1"/>
    <n v="1.7"/>
    <n v="10"/>
    <n v="24"/>
    <n v="28"/>
  </r>
  <r>
    <n v="109"/>
    <x v="26"/>
    <s v="us USA"/>
    <s v="DF,FW"/>
    <s v="Dash"/>
    <s v="23-005"/>
    <n v="2002"/>
    <n v="13"/>
    <n v="9"/>
    <n v="0.69230769230769229"/>
    <n v="901"/>
    <n v="10"/>
    <n v="3"/>
    <n v="0.23076923076923078"/>
    <n v="1"/>
    <n v="7.6923076923076927E-2"/>
    <n v="4"/>
    <n v="0.30769230769230771"/>
    <n v="3"/>
    <n v="0"/>
    <n v="0"/>
    <n v="0"/>
    <n v="2"/>
    <n v="0"/>
    <n v="2"/>
    <n v="2.2000000000000002"/>
    <n v="0.16923076923076924"/>
    <n v="2.2000000000000002"/>
    <n v="0.4"/>
    <n v="2.6"/>
    <n v="9"/>
    <n v="24"/>
    <n v="25"/>
  </r>
  <r>
    <n v="178"/>
    <x v="27"/>
    <s v="br BRA"/>
    <s v="FW"/>
    <s v="Pride"/>
    <s v="39-146"/>
    <n v="1986"/>
    <n v="13"/>
    <n v="11"/>
    <n v="0.84615384615384615"/>
    <n v="927"/>
    <n v="10.3"/>
    <n v="3"/>
    <n v="0.23076923076923078"/>
    <n v="1"/>
    <n v="7.6923076923076927E-2"/>
    <n v="4"/>
    <n v="0.30769230769230771"/>
    <n v="1"/>
    <n v="2"/>
    <n v="2"/>
    <n v="2"/>
    <n v="0"/>
    <n v="0"/>
    <n v="0"/>
    <n v="2.7"/>
    <n v="0.2076923076923077"/>
    <n v="1.3"/>
    <n v="2.2000000000000002"/>
    <n v="3.5"/>
    <n v="25"/>
    <n v="48"/>
    <n v="71"/>
  </r>
  <r>
    <n v="90"/>
    <x v="28"/>
    <s v="us USA"/>
    <s v="FW"/>
    <s v="Louisville"/>
    <s v="25-191"/>
    <n v="2000"/>
    <n v="10"/>
    <n v="10"/>
    <n v="1"/>
    <n v="738"/>
    <n v="8.1999999999999993"/>
    <n v="2"/>
    <n v="0.2"/>
    <n v="2"/>
    <n v="0.2"/>
    <n v="4"/>
    <n v="0.4"/>
    <n v="2"/>
    <n v="0"/>
    <n v="0"/>
    <n v="0"/>
    <n v="3"/>
    <n v="1"/>
    <n v="4"/>
    <n v="3.1"/>
    <n v="0.31"/>
    <n v="3.1"/>
    <n v="1.4"/>
    <n v="4.4000000000000004"/>
    <n v="16"/>
    <n v="15"/>
    <n v="50"/>
  </r>
  <r>
    <n v="269"/>
    <x v="29"/>
    <s v="kr KOR"/>
    <s v="MF,FW"/>
    <s v="Reign"/>
    <s v="34-144"/>
    <n v="1991"/>
    <n v="10"/>
    <n v="7"/>
    <n v="0.7"/>
    <n v="627"/>
    <n v="7"/>
    <n v="2"/>
    <n v="0.2"/>
    <n v="2"/>
    <n v="0.2"/>
    <n v="4"/>
    <n v="0.4"/>
    <n v="1"/>
    <n v="1"/>
    <n v="1"/>
    <n v="1"/>
    <n v="1"/>
    <n v="0"/>
    <n v="1"/>
    <n v="1.4"/>
    <n v="0.13999999999999999"/>
    <n v="0.7"/>
    <n v="1.8"/>
    <n v="2.5"/>
    <n v="10"/>
    <n v="44"/>
    <n v="30"/>
  </r>
  <r>
    <n v="56"/>
    <x v="30"/>
    <s v="us USA"/>
    <s v="MF,FW"/>
    <s v="Bay FC"/>
    <s v="24-109"/>
    <n v="2001"/>
    <n v="11"/>
    <n v="8"/>
    <n v="0.72727272727272729"/>
    <n v="734"/>
    <n v="8.1999999999999993"/>
    <n v="2"/>
    <n v="0.18181818181818182"/>
    <n v="2"/>
    <n v="0.18181818181818182"/>
    <n v="4"/>
    <n v="0.36363636363636365"/>
    <n v="0"/>
    <n v="2"/>
    <n v="2"/>
    <n v="2"/>
    <n v="1"/>
    <n v="0"/>
    <n v="1"/>
    <n v="1.8"/>
    <n v="0.16363636363636364"/>
    <n v="0.4"/>
    <n v="0.9"/>
    <n v="1.3"/>
    <n v="5"/>
    <n v="31"/>
    <n v="26"/>
  </r>
  <r>
    <n v="74"/>
    <x v="31"/>
    <s v="us USA"/>
    <s v="MF"/>
    <s v="Louisville"/>
    <s v="27-111"/>
    <n v="1998"/>
    <n v="11"/>
    <n v="10"/>
    <n v="0.90909090909090906"/>
    <n v="869"/>
    <n v="9.6999999999999993"/>
    <n v="2"/>
    <n v="0.18181818181818182"/>
    <n v="2"/>
    <n v="0.18181818181818182"/>
    <n v="4"/>
    <n v="0.36363636363636365"/>
    <n v="2"/>
    <n v="0"/>
    <n v="0"/>
    <n v="0"/>
    <n v="1"/>
    <n v="0"/>
    <n v="1"/>
    <n v="2.5"/>
    <n v="0.22727272727272727"/>
    <n v="2.5"/>
    <n v="1.6"/>
    <n v="4.0999999999999996"/>
    <n v="16"/>
    <n v="43"/>
    <n v="53"/>
  </r>
  <r>
    <n v="61"/>
    <x v="32"/>
    <s v="de GER"/>
    <s v="MF,FW"/>
    <s v="Wave"/>
    <s v="23-056"/>
    <n v="2002"/>
    <n v="12"/>
    <n v="11"/>
    <n v="0.91666666666666663"/>
    <n v="754"/>
    <n v="8.4"/>
    <n v="2"/>
    <n v="0.16666666666666666"/>
    <n v="2"/>
    <n v="0.16666666666666666"/>
    <n v="4"/>
    <n v="0.33333333333333331"/>
    <n v="2"/>
    <n v="0"/>
    <n v="0"/>
    <n v="0"/>
    <n v="3"/>
    <n v="0"/>
    <n v="3"/>
    <n v="1.1000000000000001"/>
    <n v="9.1666666666666674E-2"/>
    <n v="1.1000000000000001"/>
    <n v="0.6"/>
    <n v="1.7"/>
    <n v="34"/>
    <n v="30"/>
    <n v="45"/>
  </r>
  <r>
    <n v="70"/>
    <x v="33"/>
    <s v="fr FRA"/>
    <s v="MF"/>
    <s v="Wave"/>
    <s v="33-349"/>
    <n v="1991"/>
    <n v="13"/>
    <n v="13"/>
    <n v="1"/>
    <n v="1165"/>
    <n v="12.9"/>
    <n v="2"/>
    <n v="0.15384615384615385"/>
    <n v="2"/>
    <n v="0.15384615384615385"/>
    <n v="4"/>
    <n v="0.30769230769230771"/>
    <n v="2"/>
    <n v="0"/>
    <n v="0"/>
    <n v="0"/>
    <n v="1"/>
    <n v="0"/>
    <n v="1"/>
    <n v="1.6"/>
    <n v="0.12307692307692308"/>
    <n v="1.6"/>
    <n v="1.3"/>
    <n v="2.9"/>
    <n v="40"/>
    <n v="83"/>
    <n v="40"/>
  </r>
  <r>
    <n v="219"/>
    <x v="34"/>
    <s v="ve VEN"/>
    <s v="FW,MF"/>
    <s v="Dash"/>
    <s v="23-141"/>
    <n v="2002"/>
    <n v="13"/>
    <n v="10"/>
    <n v="0.76923076923076927"/>
    <n v="890"/>
    <n v="9.9"/>
    <n v="2"/>
    <n v="0.15384615384615385"/>
    <n v="2"/>
    <n v="0.15384615384615385"/>
    <n v="4"/>
    <n v="0.30769230769230771"/>
    <n v="2"/>
    <n v="0"/>
    <n v="0"/>
    <n v="0"/>
    <n v="3"/>
    <n v="0"/>
    <n v="3"/>
    <n v="2.4"/>
    <n v="0.1846153846153846"/>
    <n v="2.4"/>
    <n v="1.6"/>
    <n v="3.9"/>
    <n v="13"/>
    <n v="41"/>
    <n v="40"/>
  </r>
  <r>
    <n v="151"/>
    <x v="35"/>
    <s v="ci CIV"/>
    <s v="FW,MF"/>
    <s v="Spirit"/>
    <s v="23-201"/>
    <n v="2001"/>
    <n v="9"/>
    <n v="5"/>
    <n v="0.55555555555555558"/>
    <n v="589"/>
    <n v="6.5"/>
    <n v="1"/>
    <n v="0.1111111111111111"/>
    <n v="3"/>
    <n v="0.33333333333333331"/>
    <n v="4"/>
    <n v="0.44444444444444442"/>
    <n v="1"/>
    <n v="0"/>
    <n v="0"/>
    <n v="0"/>
    <n v="1"/>
    <n v="0"/>
    <n v="1"/>
    <n v="2.5"/>
    <n v="0.27777777777777779"/>
    <n v="2.5"/>
    <n v="2.6"/>
    <n v="5.0999999999999996"/>
    <n v="28"/>
    <n v="18"/>
    <n v="49"/>
  </r>
  <r>
    <n v="54"/>
    <x v="36"/>
    <s v="us USA"/>
    <s v="MF"/>
    <s v="Thorns"/>
    <s v="26-196"/>
    <n v="1998"/>
    <n v="12"/>
    <n v="12"/>
    <n v="1"/>
    <n v="1052"/>
    <n v="11.7"/>
    <n v="1"/>
    <n v="8.3333333333333329E-2"/>
    <n v="3"/>
    <n v="0.25"/>
    <n v="4"/>
    <n v="0.33333333333333331"/>
    <n v="0"/>
    <n v="1"/>
    <n v="1"/>
    <n v="1"/>
    <n v="1"/>
    <n v="0"/>
    <n v="1"/>
    <n v="1.2"/>
    <n v="9.9999999999999992E-2"/>
    <n v="0.5"/>
    <n v="1.6"/>
    <n v="2.1"/>
    <n v="15"/>
    <n v="73"/>
    <n v="21"/>
  </r>
  <r>
    <n v="207"/>
    <x v="37"/>
    <s v="fr FRA"/>
    <s v="DF"/>
    <s v="Wave"/>
    <s v="27-273"/>
    <n v="1997"/>
    <n v="13"/>
    <n v="13"/>
    <n v="1"/>
    <n v="1162"/>
    <n v="12.9"/>
    <n v="1"/>
    <n v="7.6923076923076927E-2"/>
    <n v="3"/>
    <n v="0.23076923076923078"/>
    <n v="4"/>
    <n v="0.30769230769230771"/>
    <n v="1"/>
    <n v="0"/>
    <n v="0"/>
    <n v="0"/>
    <n v="1"/>
    <n v="0"/>
    <n v="1"/>
    <n v="0.6"/>
    <n v="4.6153846153846149E-2"/>
    <n v="0.6"/>
    <n v="1"/>
    <n v="1.5"/>
    <n v="24"/>
    <n v="40"/>
    <n v="69"/>
  </r>
  <r>
    <n v="271"/>
    <x v="38"/>
    <s v="ca CAN"/>
    <s v="FW,MF"/>
    <s v="Louisville"/>
    <s v="30-329"/>
    <n v="1994"/>
    <n v="13"/>
    <n v="10"/>
    <n v="0.76923076923076927"/>
    <n v="885"/>
    <n v="9.8000000000000007"/>
    <n v="1"/>
    <n v="7.6923076923076927E-2"/>
    <n v="3"/>
    <n v="0.23076923076923078"/>
    <n v="4"/>
    <n v="0.30769230769230771"/>
    <n v="1"/>
    <n v="0"/>
    <n v="0"/>
    <n v="0"/>
    <n v="0"/>
    <n v="0"/>
    <n v="0"/>
    <n v="1"/>
    <n v="7.6923076923076927E-2"/>
    <n v="1"/>
    <n v="2.2000000000000002"/>
    <n v="3.2"/>
    <n v="8"/>
    <n v="18"/>
    <n v="72"/>
  </r>
  <r>
    <n v="172"/>
    <x v="39"/>
    <s v="us USA"/>
    <s v="DF"/>
    <s v="Current"/>
    <s v="28-113"/>
    <n v="1997"/>
    <n v="12"/>
    <n v="7"/>
    <n v="0.58333333333333337"/>
    <n v="714"/>
    <n v="7.9"/>
    <n v="0"/>
    <n v="0"/>
    <n v="4"/>
    <n v="0.33333333333333331"/>
    <n v="4"/>
    <n v="0.33333333333333331"/>
    <n v="0"/>
    <n v="0"/>
    <n v="0"/>
    <n v="0"/>
    <n v="2"/>
    <n v="0"/>
    <n v="2"/>
    <n v="0.1"/>
    <n v="8.3333333333333332E-3"/>
    <n v="0.1"/>
    <n v="1"/>
    <n v="1.1000000000000001"/>
    <n v="11"/>
    <n v="28"/>
    <n v="8"/>
  </r>
  <r>
    <n v="223"/>
    <x v="40"/>
    <s v="us USA"/>
    <s v="MF,DF"/>
    <s v="Dash"/>
    <s v="23-031"/>
    <n v="2002"/>
    <n v="9"/>
    <n v="9"/>
    <n v="1"/>
    <n v="765"/>
    <n v="8.5"/>
    <n v="3"/>
    <n v="0.33333333333333331"/>
    <n v="0"/>
    <n v="0"/>
    <n v="3"/>
    <n v="0.33333333333333331"/>
    <n v="3"/>
    <n v="0"/>
    <n v="0"/>
    <n v="0"/>
    <n v="0"/>
    <n v="0"/>
    <n v="0"/>
    <n v="0.9"/>
    <n v="0.1"/>
    <n v="0.9"/>
    <n v="1"/>
    <n v="1.8"/>
    <n v="30"/>
    <n v="30"/>
    <n v="36"/>
  </r>
  <r>
    <n v="157"/>
    <x v="41"/>
    <s v="us USA"/>
    <s v="MF"/>
    <s v="Current"/>
    <s v="32-119"/>
    <n v="1993"/>
    <n v="10"/>
    <n v="10"/>
    <n v="1"/>
    <n v="900"/>
    <n v="10"/>
    <n v="3"/>
    <n v="0.3"/>
    <n v="0"/>
    <n v="0"/>
    <n v="3"/>
    <n v="0.3"/>
    <n v="0"/>
    <n v="3"/>
    <n v="3"/>
    <n v="3"/>
    <n v="2"/>
    <n v="0"/>
    <n v="2"/>
    <n v="3"/>
    <n v="0.3"/>
    <n v="0.8"/>
    <n v="0.5"/>
    <n v="1.3"/>
    <n v="6"/>
    <n v="55"/>
    <n v="13"/>
  </r>
  <r>
    <n v="275"/>
    <x v="42"/>
    <s v="ca CAN"/>
    <s v="FW"/>
    <s v="Royals"/>
    <s v="27-352"/>
    <n v="1997"/>
    <n v="10"/>
    <n v="8"/>
    <n v="0.8"/>
    <n v="653"/>
    <n v="7.3"/>
    <n v="3"/>
    <n v="0.3"/>
    <n v="0"/>
    <n v="0"/>
    <n v="3"/>
    <n v="0.3"/>
    <n v="3"/>
    <n v="0"/>
    <n v="0"/>
    <n v="0"/>
    <n v="2"/>
    <n v="0"/>
    <n v="2"/>
    <n v="2.8"/>
    <n v="0.27999999999999997"/>
    <n v="2.8"/>
    <n v="0.9"/>
    <n v="3.7"/>
    <n v="16"/>
    <n v="6"/>
    <n v="55"/>
  </r>
  <r>
    <n v="209"/>
    <x v="43"/>
    <s v="us USA"/>
    <s v="FW,MF"/>
    <s v="Royals"/>
    <s v="24-129"/>
    <n v="2001"/>
    <n v="12"/>
    <n v="9"/>
    <n v="0.75"/>
    <n v="784"/>
    <n v="8.6999999999999993"/>
    <n v="3"/>
    <n v="0.25"/>
    <n v="0"/>
    <n v="0"/>
    <n v="3"/>
    <n v="0.25"/>
    <n v="3"/>
    <n v="0"/>
    <n v="0"/>
    <n v="0"/>
    <n v="0"/>
    <n v="0"/>
    <n v="0"/>
    <n v="1.9"/>
    <n v="0.15833333333333333"/>
    <n v="1.9"/>
    <n v="0.3"/>
    <n v="2.2000000000000002"/>
    <n v="20"/>
    <n v="10"/>
    <n v="54"/>
  </r>
  <r>
    <n v="289"/>
    <x v="44"/>
    <s v="us USA"/>
    <s v="FW"/>
    <s v="Thorns"/>
    <s v="21-107"/>
    <n v="2004"/>
    <n v="12"/>
    <n v="2"/>
    <n v="0.16666666666666666"/>
    <n v="293"/>
    <n v="3.3"/>
    <n v="3"/>
    <n v="0.25"/>
    <n v="0"/>
    <n v="0"/>
    <n v="3"/>
    <n v="0.25"/>
    <n v="3"/>
    <n v="0"/>
    <n v="0"/>
    <n v="0"/>
    <n v="1"/>
    <n v="0"/>
    <n v="1"/>
    <n v="1.3"/>
    <n v="0.10833333333333334"/>
    <n v="1.3"/>
    <n v="0.2"/>
    <n v="1.6"/>
    <n v="1"/>
    <n v="8"/>
    <n v="27"/>
  </r>
  <r>
    <n v="240"/>
    <x v="45"/>
    <s v="de GER"/>
    <s v="DF,MF"/>
    <s v="Courage"/>
    <s v="29-076"/>
    <n v="1996"/>
    <n v="9"/>
    <n v="8"/>
    <n v="0.88888888888888884"/>
    <n v="645"/>
    <n v="7.2"/>
    <n v="2"/>
    <n v="0.22222222222222221"/>
    <n v="1"/>
    <n v="0.1111111111111111"/>
    <n v="3"/>
    <n v="0.33333333333333331"/>
    <n v="2"/>
    <n v="0"/>
    <n v="0"/>
    <n v="0"/>
    <n v="1"/>
    <n v="0"/>
    <n v="1"/>
    <n v="0.8"/>
    <n v="8.8888888888888892E-2"/>
    <n v="0.8"/>
    <n v="2.7"/>
    <n v="3.5"/>
    <n v="6"/>
    <n v="15"/>
    <n v="26"/>
  </r>
  <r>
    <n v="33"/>
    <x v="46"/>
    <s v="us USA"/>
    <s v="FW,MF"/>
    <s v="Reign"/>
    <s v="32-055"/>
    <n v="1993"/>
    <n v="10"/>
    <n v="7"/>
    <n v="0.7"/>
    <n v="711"/>
    <n v="7.9"/>
    <n v="2"/>
    <n v="0.2"/>
    <n v="1"/>
    <n v="0.1"/>
    <n v="3"/>
    <n v="0.3"/>
    <n v="2"/>
    <n v="0"/>
    <n v="0"/>
    <n v="0"/>
    <n v="0"/>
    <n v="0"/>
    <n v="0"/>
    <n v="1.5"/>
    <n v="0.15"/>
    <n v="1.5"/>
    <n v="0.7"/>
    <n v="2.2000000000000002"/>
    <n v="4"/>
    <n v="20"/>
    <n v="40"/>
  </r>
  <r>
    <n v="104"/>
    <x v="47"/>
    <s v="br BRA"/>
    <s v="MF,FW"/>
    <s v="Gotham FC"/>
    <s v="27-110"/>
    <n v="1998"/>
    <n v="10"/>
    <n v="7"/>
    <n v="0.7"/>
    <n v="554"/>
    <n v="6.2"/>
    <n v="2"/>
    <n v="0.2"/>
    <n v="1"/>
    <n v="0.1"/>
    <n v="3"/>
    <n v="0.3"/>
    <n v="2"/>
    <n v="0"/>
    <n v="0"/>
    <n v="0"/>
    <n v="2"/>
    <n v="0"/>
    <n v="2"/>
    <n v="1.6"/>
    <n v="0.16"/>
    <n v="1.6"/>
    <n v="0.8"/>
    <n v="2.4"/>
    <n v="15"/>
    <n v="15"/>
    <n v="38"/>
  </r>
  <r>
    <n v="114"/>
    <x v="48"/>
    <s v="us USA"/>
    <s v="FW,MF"/>
    <s v="Thorns"/>
    <s v="20-292"/>
    <n v="2004"/>
    <n v="11"/>
    <n v="7"/>
    <n v="0.63636363636363635"/>
    <n v="636"/>
    <n v="7.1"/>
    <n v="2"/>
    <n v="0.18181818181818182"/>
    <n v="1"/>
    <n v="9.0909090909090912E-2"/>
    <n v="3"/>
    <n v="0.27272727272727271"/>
    <n v="2"/>
    <n v="0"/>
    <n v="0"/>
    <n v="0"/>
    <n v="1"/>
    <n v="0"/>
    <n v="1"/>
    <n v="2"/>
    <n v="0.18181818181818182"/>
    <n v="2"/>
    <n v="1.1000000000000001"/>
    <n v="3"/>
    <n v="29"/>
    <n v="16"/>
    <n v="62"/>
  </r>
  <r>
    <n v="204"/>
    <x v="49"/>
    <s v="eng ENG"/>
    <s v="DF"/>
    <s v="Spirit"/>
    <s v="24-270"/>
    <n v="2000"/>
    <n v="12"/>
    <n v="11"/>
    <n v="0.91666666666666663"/>
    <n v="936"/>
    <n v="10.4"/>
    <n v="2"/>
    <n v="0.16666666666666666"/>
    <n v="1"/>
    <n v="8.3333333333333329E-2"/>
    <n v="3"/>
    <n v="0.25"/>
    <n v="2"/>
    <n v="0"/>
    <n v="0"/>
    <n v="0"/>
    <n v="0"/>
    <n v="0"/>
    <n v="0"/>
    <n v="1"/>
    <n v="8.3333333333333329E-2"/>
    <n v="1"/>
    <n v="0.1"/>
    <n v="1.1000000000000001"/>
    <n v="5"/>
    <n v="29"/>
    <n v="3"/>
  </r>
  <r>
    <n v="115"/>
    <x v="50"/>
    <s v="us USA"/>
    <s v="MF"/>
    <s v="Pride"/>
    <s v="29-163"/>
    <n v="1996"/>
    <n v="13"/>
    <n v="12"/>
    <n v="0.92307692307692313"/>
    <n v="1055"/>
    <n v="11.7"/>
    <n v="2"/>
    <n v="0.15384615384615385"/>
    <n v="1"/>
    <n v="7.6923076923076927E-2"/>
    <n v="3"/>
    <n v="0.23076923076923078"/>
    <n v="2"/>
    <n v="0"/>
    <n v="0"/>
    <n v="0"/>
    <n v="1"/>
    <n v="0"/>
    <n v="1"/>
    <n v="2.4"/>
    <n v="0.1846153846153846"/>
    <n v="2.4"/>
    <n v="0.2"/>
    <n v="2.7"/>
    <n v="8"/>
    <n v="40"/>
    <n v="27"/>
  </r>
  <r>
    <n v="232"/>
    <x v="51"/>
    <s v="br BRA"/>
    <s v="MF"/>
    <s v="Gotham FC"/>
    <s v="29-362"/>
    <n v="1995"/>
    <n v="7"/>
    <n v="6"/>
    <n v="0.8571428571428571"/>
    <n v="461"/>
    <n v="5.0999999999999996"/>
    <n v="1"/>
    <n v="0.14285714285714285"/>
    <n v="2"/>
    <n v="0.2857142857142857"/>
    <n v="3"/>
    <n v="0.42857142857142855"/>
    <n v="1"/>
    <n v="0"/>
    <n v="0"/>
    <n v="0"/>
    <n v="2"/>
    <n v="0"/>
    <n v="2"/>
    <n v="0.6"/>
    <n v="8.5714285714285715E-2"/>
    <n v="0.6"/>
    <n v="1.4"/>
    <n v="2"/>
    <n v="13"/>
    <n v="13"/>
    <n v="40"/>
  </r>
  <r>
    <n v="153"/>
    <x v="52"/>
    <s v="us USA"/>
    <s v="DF,MF"/>
    <s v="Spirit"/>
    <s v="34-326"/>
    <n v="1990"/>
    <n v="9"/>
    <n v="7"/>
    <n v="0.77777777777777779"/>
    <n v="599"/>
    <n v="6.7"/>
    <n v="1"/>
    <n v="0.1111111111111111"/>
    <n v="2"/>
    <n v="0.22222222222222221"/>
    <n v="3"/>
    <n v="0.33333333333333331"/>
    <n v="1"/>
    <n v="0"/>
    <n v="0"/>
    <n v="0"/>
    <n v="0"/>
    <n v="0"/>
    <n v="0"/>
    <n v="0.6"/>
    <n v="6.6666666666666666E-2"/>
    <n v="0.6"/>
    <n v="0.5"/>
    <n v="1.1000000000000001"/>
    <n v="10"/>
    <n v="28"/>
    <n v="22"/>
  </r>
  <r>
    <n v="144"/>
    <x v="53"/>
    <s v="us USA"/>
    <s v="MF,FW"/>
    <s v="Chicago Stars"/>
    <s v="23-073"/>
    <n v="2002"/>
    <n v="10"/>
    <n v="9"/>
    <n v="0.9"/>
    <n v="717"/>
    <n v="8"/>
    <n v="1"/>
    <n v="0.1"/>
    <n v="2"/>
    <n v="0.2"/>
    <n v="3"/>
    <n v="0.3"/>
    <n v="1"/>
    <n v="0"/>
    <n v="0"/>
    <n v="0"/>
    <n v="0"/>
    <n v="0"/>
    <n v="0"/>
    <n v="1.8"/>
    <n v="0.18"/>
    <n v="1.8"/>
    <n v="1.7"/>
    <n v="3.5"/>
    <n v="22"/>
    <n v="10"/>
    <n v="42"/>
  </r>
  <r>
    <n v="9"/>
    <x v="54"/>
    <s v="us USA"/>
    <s v="DF"/>
    <s v="Bay FC"/>
    <s v="26-282"/>
    <n v="1998"/>
    <n v="11"/>
    <n v="8"/>
    <n v="0.72727272727272729"/>
    <n v="727"/>
    <n v="8.1"/>
    <n v="1"/>
    <n v="9.0909090909090912E-2"/>
    <n v="2"/>
    <n v="0.18181818181818182"/>
    <n v="3"/>
    <n v="0.27272727272727271"/>
    <n v="1"/>
    <n v="0"/>
    <n v="0"/>
    <n v="0"/>
    <n v="1"/>
    <n v="0"/>
    <n v="1"/>
    <n v="0.5"/>
    <n v="4.5454545454545456E-2"/>
    <n v="0.5"/>
    <n v="0.1"/>
    <n v="0.6"/>
    <n v="2"/>
    <n v="32"/>
    <n v="0"/>
  </r>
  <r>
    <n v="11"/>
    <x v="55"/>
    <s v="us USA"/>
    <s v="DF"/>
    <s v="Wave"/>
    <s v="17-355"/>
    <n v="2007"/>
    <n v="12"/>
    <n v="10"/>
    <n v="0.83333333333333337"/>
    <n v="887"/>
    <n v="9.9"/>
    <n v="1"/>
    <n v="8.3333333333333329E-2"/>
    <n v="2"/>
    <n v="0.16666666666666666"/>
    <n v="3"/>
    <n v="0.25"/>
    <n v="1"/>
    <n v="0"/>
    <n v="0"/>
    <n v="0"/>
    <n v="0"/>
    <n v="0"/>
    <n v="0"/>
    <n v="0.2"/>
    <n v="1.6666666666666666E-2"/>
    <n v="0.2"/>
    <n v="0.7"/>
    <n v="0.9"/>
    <n v="7"/>
    <n v="32"/>
    <n v="3"/>
  </r>
  <r>
    <n v="92"/>
    <x v="56"/>
    <s v="ca CAN"/>
    <s v="MF"/>
    <s v="Thorns"/>
    <s v="27-126"/>
    <n v="1998"/>
    <n v="12"/>
    <n v="7"/>
    <n v="0.58333333333333337"/>
    <n v="666"/>
    <n v="7.4"/>
    <n v="1"/>
    <n v="8.3333333333333329E-2"/>
    <n v="2"/>
    <n v="0.16666666666666666"/>
    <n v="3"/>
    <n v="0.25"/>
    <n v="0"/>
    <n v="1"/>
    <n v="1"/>
    <n v="1"/>
    <n v="0"/>
    <n v="0"/>
    <n v="0"/>
    <n v="1.3"/>
    <n v="0.10833333333333334"/>
    <n v="0.6"/>
    <n v="1.5"/>
    <n v="2.1"/>
    <n v="6"/>
    <n v="28"/>
    <n v="29"/>
  </r>
  <r>
    <n v="155"/>
    <x v="57"/>
    <s v="zm ZAM"/>
    <s v="FW,MF"/>
    <s v="Bay FC"/>
    <s v="25-042"/>
    <n v="2000"/>
    <n v="13"/>
    <n v="11"/>
    <n v="0.84615384615384615"/>
    <n v="994"/>
    <n v="11"/>
    <n v="1"/>
    <n v="7.6923076923076927E-2"/>
    <n v="2"/>
    <n v="0.15384615384615385"/>
    <n v="3"/>
    <n v="0.23076923076923078"/>
    <n v="1"/>
    <n v="0"/>
    <n v="0"/>
    <n v="0"/>
    <n v="4"/>
    <n v="0"/>
    <n v="4"/>
    <n v="2.5"/>
    <n v="0.19230769230769232"/>
    <n v="2.5"/>
    <n v="2.6"/>
    <n v="5.0999999999999996"/>
    <n v="40"/>
    <n v="17"/>
    <n v="91"/>
  </r>
  <r>
    <n v="170"/>
    <x v="58"/>
    <s v="se SWE"/>
    <s v="DF"/>
    <s v="Wave"/>
    <s v="22-363"/>
    <n v="2002"/>
    <n v="13"/>
    <n v="12"/>
    <n v="0.92307692307692313"/>
    <n v="1064"/>
    <n v="11.8"/>
    <n v="1"/>
    <n v="7.6923076923076927E-2"/>
    <n v="2"/>
    <n v="0.15384615384615385"/>
    <n v="3"/>
    <n v="0.23076923076923078"/>
    <n v="1"/>
    <n v="0"/>
    <n v="0"/>
    <n v="0"/>
    <n v="0"/>
    <n v="0"/>
    <n v="0"/>
    <n v="0.1"/>
    <n v="7.6923076923076927E-3"/>
    <n v="0.1"/>
    <n v="0.6"/>
    <n v="0.7"/>
    <n v="26"/>
    <n v="46"/>
    <n v="27"/>
  </r>
  <r>
    <n v="276"/>
    <x v="59"/>
    <s v="us USA"/>
    <s v="DF"/>
    <s v="Chicago Stars"/>
    <s v="28-109"/>
    <n v="1997"/>
    <n v="13"/>
    <n v="12"/>
    <n v="0.92307692307692313"/>
    <n v="993"/>
    <n v="11"/>
    <n v="1"/>
    <n v="7.6923076923076927E-2"/>
    <n v="2"/>
    <n v="0.15384615384615385"/>
    <n v="3"/>
    <n v="0.23076923076923078"/>
    <n v="1"/>
    <n v="0"/>
    <n v="0"/>
    <n v="0"/>
    <n v="0"/>
    <n v="0"/>
    <n v="0"/>
    <n v="1.2"/>
    <n v="9.2307692307692299E-2"/>
    <n v="1.2"/>
    <n v="1.4"/>
    <n v="2.6"/>
    <n v="5"/>
    <n v="35"/>
    <n v="4"/>
  </r>
  <r>
    <n v="307"/>
    <x v="60"/>
    <s v="us USA"/>
    <s v="DF"/>
    <s v="Louisville"/>
    <s v="32-202"/>
    <n v="1992"/>
    <n v="13"/>
    <n v="13"/>
    <n v="1"/>
    <n v="1170"/>
    <n v="13"/>
    <n v="1"/>
    <n v="7.6923076923076927E-2"/>
    <n v="2"/>
    <n v="0.15384615384615385"/>
    <n v="3"/>
    <n v="0.23076923076923078"/>
    <n v="1"/>
    <n v="0"/>
    <n v="0"/>
    <n v="0"/>
    <n v="0"/>
    <n v="0"/>
    <n v="0"/>
    <n v="1"/>
    <n v="7.6923076923076927E-2"/>
    <n v="1"/>
    <n v="1"/>
    <n v="2"/>
    <n v="6"/>
    <n v="37"/>
    <n v="0"/>
  </r>
  <r>
    <n v="101"/>
    <x v="61"/>
    <s v="us USA"/>
    <s v="MF,DF"/>
    <s v="Dash"/>
    <s v="26-244"/>
    <n v="1998"/>
    <n v="13"/>
    <n v="11"/>
    <n v="0.84615384615384615"/>
    <n v="910"/>
    <n v="10.1"/>
    <n v="0"/>
    <n v="0"/>
    <n v="3"/>
    <n v="0.23076923076923078"/>
    <n v="3"/>
    <n v="0.23076923076923078"/>
    <n v="0"/>
    <n v="0"/>
    <n v="0"/>
    <n v="0"/>
    <n v="1"/>
    <n v="0"/>
    <n v="1"/>
    <n v="0.2"/>
    <n v="1.5384615384615385E-2"/>
    <n v="0.2"/>
    <n v="1.6"/>
    <n v="1.8"/>
    <n v="18"/>
    <n v="20"/>
    <n v="62"/>
  </r>
  <r>
    <n v="249"/>
    <x v="62"/>
    <s v="us USA"/>
    <s v="DF"/>
    <s v="Current"/>
    <s v="26-093"/>
    <n v="1999"/>
    <n v="13"/>
    <n v="10"/>
    <n v="0.76923076923076927"/>
    <n v="951"/>
    <n v="10.6"/>
    <n v="0"/>
    <n v="0"/>
    <n v="3"/>
    <n v="0.23076923076923078"/>
    <n v="3"/>
    <n v="0.23076923076923078"/>
    <n v="0"/>
    <n v="0"/>
    <n v="0"/>
    <n v="0"/>
    <n v="0"/>
    <n v="0"/>
    <n v="0"/>
    <n v="0.4"/>
    <n v="3.0769230769230771E-2"/>
    <n v="0.4"/>
    <n v="2"/>
    <n v="2.4"/>
    <n v="22"/>
    <n v="44"/>
    <n v="28"/>
  </r>
  <r>
    <n v="159"/>
    <x v="63"/>
    <s v="us USA"/>
    <s v="FW,MF"/>
    <s v="Bay FC"/>
    <s v="22-016"/>
    <n v="2003"/>
    <n v="11"/>
    <n v="7"/>
    <n v="0.63636363636363635"/>
    <n v="593"/>
    <n v="6.6"/>
    <n v="2"/>
    <n v="0.18181818181818182"/>
    <n v="0"/>
    <n v="0"/>
    <n v="2"/>
    <n v="0.18181818181818182"/>
    <n v="2"/>
    <n v="0"/>
    <n v="0"/>
    <n v="0"/>
    <n v="1"/>
    <n v="0"/>
    <n v="1"/>
    <n v="1.4"/>
    <n v="0.12727272727272726"/>
    <n v="1.4"/>
    <n v="0.3"/>
    <n v="1.8"/>
    <n v="19"/>
    <n v="7"/>
    <n v="43"/>
  </r>
  <r>
    <n v="228"/>
    <x v="64"/>
    <s v="us USA"/>
    <s v="MF"/>
    <s v="Bay FC"/>
    <s v="26-076"/>
    <n v="1999"/>
    <n v="11"/>
    <n v="9"/>
    <n v="0.81818181818181823"/>
    <n v="821"/>
    <n v="9.1"/>
    <n v="2"/>
    <n v="0.18181818181818182"/>
    <n v="0"/>
    <n v="0"/>
    <n v="2"/>
    <n v="0.18181818181818182"/>
    <n v="2"/>
    <n v="0"/>
    <n v="0"/>
    <n v="0"/>
    <n v="3"/>
    <n v="0"/>
    <n v="3"/>
    <n v="0.2"/>
    <n v="1.8181818181818184E-2"/>
    <n v="0.2"/>
    <n v="0.3"/>
    <n v="0.4"/>
    <n v="2"/>
    <n v="41"/>
    <n v="8"/>
  </r>
  <r>
    <n v="230"/>
    <x v="65"/>
    <s v="us USA"/>
    <s v="FW,MF"/>
    <s v="Courage"/>
    <s v="25-052"/>
    <n v="2000"/>
    <n v="11"/>
    <n v="1"/>
    <n v="9.0909090909090912E-2"/>
    <n v="159"/>
    <n v="1.8"/>
    <n v="2"/>
    <n v="0.18181818181818182"/>
    <n v="0"/>
    <n v="0"/>
    <n v="2"/>
    <n v="0.18181818181818182"/>
    <n v="2"/>
    <n v="0"/>
    <n v="0"/>
    <n v="0"/>
    <n v="0"/>
    <n v="0"/>
    <n v="0"/>
    <n v="0.9"/>
    <n v="8.1818181818181818E-2"/>
    <n v="0.9"/>
    <n v="0.2"/>
    <n v="1.1000000000000001"/>
    <n v="1"/>
    <n v="3"/>
    <n v="6"/>
  </r>
  <r>
    <n v="309"/>
    <x v="66"/>
    <s v="eng ENG"/>
    <s v="MF"/>
    <s v="Angel City"/>
    <s v="29-176"/>
    <n v="1996"/>
    <n v="12"/>
    <n v="6"/>
    <n v="0.5"/>
    <n v="516"/>
    <n v="5.7"/>
    <n v="2"/>
    <n v="0.16666666666666666"/>
    <n v="0"/>
    <n v="0"/>
    <n v="2"/>
    <n v="0.16666666666666666"/>
    <n v="2"/>
    <n v="0"/>
    <n v="0"/>
    <n v="0"/>
    <n v="2"/>
    <n v="0"/>
    <n v="2"/>
    <n v="1.2"/>
    <n v="9.9999999999999992E-2"/>
    <n v="1.2"/>
    <n v="0.6"/>
    <n v="1.8"/>
    <n v="1"/>
    <n v="33"/>
    <n v="13"/>
  </r>
  <r>
    <n v="41"/>
    <x v="67"/>
    <s v="us USA"/>
    <s v="DF"/>
    <s v="Reign"/>
    <s v="18-338"/>
    <n v="2006"/>
    <n v="13"/>
    <n v="13"/>
    <n v="1"/>
    <n v="1165"/>
    <n v="12.9"/>
    <n v="2"/>
    <n v="0.15384615384615385"/>
    <n v="0"/>
    <n v="0"/>
    <n v="2"/>
    <n v="0.15384615384615385"/>
    <n v="2"/>
    <n v="0"/>
    <n v="0"/>
    <n v="0"/>
    <n v="2"/>
    <n v="0"/>
    <n v="2"/>
    <n v="0.4"/>
    <n v="3.0769230769230771E-2"/>
    <n v="0.4"/>
    <n v="0.1"/>
    <n v="0.5"/>
    <n v="8"/>
    <n v="43"/>
    <n v="5"/>
  </r>
  <r>
    <n v="253"/>
    <x v="68"/>
    <s v="us USA"/>
    <s v="FW,MF"/>
    <s v="Courage"/>
    <s v="26-121"/>
    <n v="1999"/>
    <n v="13"/>
    <n v="10"/>
    <n v="0.76923076923076927"/>
    <n v="806"/>
    <n v="9"/>
    <n v="2"/>
    <n v="0.15384615384615385"/>
    <n v="0"/>
    <n v="0"/>
    <n v="2"/>
    <n v="0.15384615384615385"/>
    <n v="2"/>
    <n v="0"/>
    <n v="0"/>
    <n v="0"/>
    <n v="0"/>
    <n v="0"/>
    <n v="0"/>
    <n v="1.7"/>
    <n v="0.13076923076923078"/>
    <n v="1.7"/>
    <n v="0.6"/>
    <n v="2.2999999999999998"/>
    <n v="18"/>
    <n v="34"/>
    <n v="61"/>
  </r>
  <r>
    <n v="261"/>
    <x v="69"/>
    <s v="us USA"/>
    <s v="DF"/>
    <s v="Current"/>
    <s v="28-028"/>
    <n v="1997"/>
    <n v="13"/>
    <n v="13"/>
    <n v="1"/>
    <n v="1170"/>
    <n v="13"/>
    <n v="2"/>
    <n v="0.15384615384615385"/>
    <n v="0"/>
    <n v="0"/>
    <n v="2"/>
    <n v="0.15384615384615385"/>
    <n v="2"/>
    <n v="0"/>
    <n v="0"/>
    <n v="0"/>
    <n v="1"/>
    <n v="0"/>
    <n v="1"/>
    <n v="0.8"/>
    <n v="6.1538461538461542E-2"/>
    <n v="0.8"/>
    <n v="0.5"/>
    <n v="1.3"/>
    <n v="1"/>
    <n v="37"/>
    <n v="1"/>
  </r>
  <r>
    <n v="91"/>
    <x v="70"/>
    <s v="wls WAL"/>
    <s v="MF,FW"/>
    <s v="Reign"/>
    <s v="38-182"/>
    <n v="1987"/>
    <n v="4"/>
    <n v="2"/>
    <n v="0.5"/>
    <n v="207"/>
    <n v="2.2999999999999998"/>
    <n v="1"/>
    <n v="0.25"/>
    <n v="1"/>
    <n v="0.25"/>
    <n v="2"/>
    <n v="0.5"/>
    <n v="1"/>
    <n v="0"/>
    <n v="0"/>
    <n v="0"/>
    <n v="0"/>
    <n v="0"/>
    <n v="0"/>
    <n v="0.4"/>
    <n v="0.1"/>
    <n v="0.4"/>
    <n v="0.5"/>
    <n v="0.9"/>
    <n v="2"/>
    <n v="11"/>
    <n v="7"/>
  </r>
  <r>
    <n v="255"/>
    <x v="71"/>
    <s v="co COL"/>
    <s v="MF,FW"/>
    <s v="Spirit"/>
    <s v="29-060"/>
    <n v="1996"/>
    <n v="6"/>
    <n v="4"/>
    <n v="0.66666666666666663"/>
    <n v="441"/>
    <n v="4.9000000000000004"/>
    <n v="1"/>
    <n v="0.16666666666666666"/>
    <n v="1"/>
    <n v="0.16666666666666666"/>
    <n v="2"/>
    <n v="0.33333333333333331"/>
    <n v="1"/>
    <n v="0"/>
    <n v="0"/>
    <n v="0"/>
    <n v="1"/>
    <n v="0"/>
    <n v="1"/>
    <n v="1.1000000000000001"/>
    <n v="0.18333333333333335"/>
    <n v="1.1000000000000001"/>
    <n v="0.4"/>
    <n v="1.5"/>
    <n v="7"/>
    <n v="20"/>
    <n v="12"/>
  </r>
  <r>
    <n v="3"/>
    <x v="72"/>
    <s v="ca CAN"/>
    <s v="MF,FW"/>
    <s v="Thorns"/>
    <s v="30-078"/>
    <n v="1995"/>
    <n v="10"/>
    <n v="4"/>
    <n v="0.4"/>
    <n v="405"/>
    <n v="4.5"/>
    <n v="1"/>
    <n v="0.1"/>
    <n v="1"/>
    <n v="0.1"/>
    <n v="2"/>
    <n v="0.2"/>
    <n v="1"/>
    <n v="0"/>
    <n v="0"/>
    <n v="0"/>
    <n v="0"/>
    <n v="0"/>
    <n v="0"/>
    <n v="0.9"/>
    <n v="0.09"/>
    <n v="0.9"/>
    <n v="0.3"/>
    <n v="1.1000000000000001"/>
    <n v="5"/>
    <n v="15"/>
    <n v="19"/>
  </r>
  <r>
    <n v="133"/>
    <x v="73"/>
    <s v="ca CAN"/>
    <s v="FW,MF"/>
    <s v="Reign"/>
    <s v="24-068"/>
    <n v="2001"/>
    <n v="10"/>
    <n v="8"/>
    <n v="0.8"/>
    <n v="667"/>
    <n v="7.4"/>
    <n v="1"/>
    <n v="0.1"/>
    <n v="1"/>
    <n v="0.1"/>
    <n v="2"/>
    <n v="0.2"/>
    <n v="1"/>
    <n v="0"/>
    <n v="0"/>
    <n v="0"/>
    <n v="1"/>
    <n v="0"/>
    <n v="1"/>
    <n v="1.1000000000000001"/>
    <n v="0.11000000000000001"/>
    <n v="1.1000000000000001"/>
    <n v="0.5"/>
    <n v="1.6"/>
    <n v="6"/>
    <n v="23"/>
    <n v="36"/>
  </r>
  <r>
    <n v="239"/>
    <x v="74"/>
    <s v="us USA"/>
    <s v="FW,MF"/>
    <s v="Spirit"/>
    <s v="31-158"/>
    <n v="1994"/>
    <n v="10"/>
    <n v="4"/>
    <n v="0.4"/>
    <n v="367"/>
    <n v="4.0999999999999996"/>
    <n v="1"/>
    <n v="0.1"/>
    <n v="1"/>
    <n v="0.1"/>
    <n v="2"/>
    <n v="0.2"/>
    <n v="1"/>
    <n v="0"/>
    <n v="0"/>
    <n v="0"/>
    <n v="0"/>
    <n v="0"/>
    <n v="0"/>
    <n v="0.2"/>
    <n v="0.02"/>
    <n v="0.2"/>
    <n v="0.6"/>
    <n v="0.8"/>
    <n v="7"/>
    <n v="6"/>
    <n v="34"/>
  </r>
  <r>
    <n v="251"/>
    <x v="75"/>
    <s v="us USA"/>
    <s v="FW,MF"/>
    <s v="Dash"/>
    <s v="26-140"/>
    <n v="1999"/>
    <n v="11"/>
    <n v="11"/>
    <n v="1"/>
    <n v="990"/>
    <n v="11"/>
    <n v="1"/>
    <n v="9.0909090909090912E-2"/>
    <n v="1"/>
    <n v="9.0909090909090912E-2"/>
    <n v="2"/>
    <n v="0.18181818181818182"/>
    <n v="1"/>
    <n v="0"/>
    <n v="0"/>
    <n v="0"/>
    <n v="0"/>
    <n v="0"/>
    <n v="0"/>
    <n v="1.9"/>
    <n v="0.17272727272727273"/>
    <n v="1.9"/>
    <n v="2"/>
    <n v="3.8"/>
    <n v="27"/>
    <n v="32"/>
    <n v="70"/>
  </r>
  <r>
    <n v="310"/>
    <x v="76"/>
    <s v="es ESP"/>
    <s v="MF"/>
    <s v="Royals"/>
    <s v="34-268"/>
    <n v="1990"/>
    <n v="11"/>
    <n v="11"/>
    <n v="1"/>
    <n v="855"/>
    <n v="9.5"/>
    <n v="1"/>
    <n v="9.0909090909090912E-2"/>
    <n v="1"/>
    <n v="9.0909090909090912E-2"/>
    <n v="2"/>
    <n v="0.18181818181818182"/>
    <n v="1"/>
    <n v="0"/>
    <n v="0"/>
    <n v="0"/>
    <n v="0"/>
    <n v="0"/>
    <n v="0"/>
    <n v="0.5"/>
    <n v="4.5454545454545456E-2"/>
    <n v="0.5"/>
    <n v="0.5"/>
    <n v="1"/>
    <n v="8"/>
    <n v="57"/>
    <n v="11"/>
  </r>
  <r>
    <n v="19"/>
    <x v="77"/>
    <s v="us USA"/>
    <s v="FW"/>
    <s v="Wave"/>
    <s v="17-258"/>
    <n v="2007"/>
    <n v="12"/>
    <n v="3"/>
    <n v="0.25"/>
    <n v="393"/>
    <n v="4.4000000000000004"/>
    <n v="1"/>
    <n v="8.3333333333333329E-2"/>
    <n v="1"/>
    <n v="8.3333333333333329E-2"/>
    <n v="2"/>
    <n v="0.16666666666666666"/>
    <n v="1"/>
    <n v="0"/>
    <n v="0"/>
    <n v="0"/>
    <n v="1"/>
    <n v="0"/>
    <n v="1"/>
    <n v="0.3"/>
    <n v="2.4999999999999998E-2"/>
    <n v="0.3"/>
    <n v="0.9"/>
    <n v="1.2"/>
    <n v="7"/>
    <n v="12"/>
    <n v="27"/>
  </r>
  <r>
    <n v="129"/>
    <x v="78"/>
    <s v="us USA"/>
    <s v="FW,MF"/>
    <s v="Current"/>
    <s v="26-206"/>
    <n v="1998"/>
    <n v="12"/>
    <n v="2"/>
    <n v="0.16666666666666666"/>
    <n v="264"/>
    <n v="2.9"/>
    <n v="1"/>
    <n v="8.3333333333333329E-2"/>
    <n v="1"/>
    <n v="8.3333333333333329E-2"/>
    <n v="2"/>
    <n v="0.16666666666666666"/>
    <n v="1"/>
    <n v="0"/>
    <n v="0"/>
    <n v="0"/>
    <n v="0"/>
    <n v="0"/>
    <n v="0"/>
    <n v="0.4"/>
    <n v="3.3333333333333333E-2"/>
    <n v="0.4"/>
    <n v="0.7"/>
    <n v="1.1000000000000001"/>
    <n v="7"/>
    <n v="8"/>
    <n v="25"/>
  </r>
  <r>
    <n v="38"/>
    <x v="79"/>
    <s v="us USA"/>
    <s v="FW"/>
    <s v="Dash"/>
    <s v="25-184"/>
    <n v="2000"/>
    <n v="13"/>
    <n v="7"/>
    <n v="0.53846153846153844"/>
    <n v="623"/>
    <n v="6.9"/>
    <n v="1"/>
    <n v="7.6923076923076927E-2"/>
    <n v="1"/>
    <n v="7.6923076923076927E-2"/>
    <n v="2"/>
    <n v="0.15384615384615385"/>
    <n v="1"/>
    <n v="0"/>
    <n v="0"/>
    <n v="0"/>
    <n v="2"/>
    <n v="0"/>
    <n v="2"/>
    <n v="1.3"/>
    <n v="0.1"/>
    <n v="1.3"/>
    <n v="0.8"/>
    <n v="2.1"/>
    <n v="12"/>
    <n v="10"/>
    <n v="39"/>
  </r>
  <r>
    <n v="177"/>
    <x v="80"/>
    <s v="us USA"/>
    <s v="DF"/>
    <s v="Bay FC"/>
    <s v="26-097"/>
    <n v="1999"/>
    <n v="13"/>
    <n v="11"/>
    <n v="0.84615384615384615"/>
    <n v="975"/>
    <n v="10.8"/>
    <n v="1"/>
    <n v="7.6923076923076927E-2"/>
    <n v="1"/>
    <n v="7.6923076923076927E-2"/>
    <n v="2"/>
    <n v="0.15384615384615385"/>
    <n v="1"/>
    <n v="0"/>
    <n v="0"/>
    <n v="0"/>
    <n v="0"/>
    <n v="0"/>
    <n v="0"/>
    <n v="0.1"/>
    <n v="7.6923076923076927E-3"/>
    <n v="0.1"/>
    <n v="0.7"/>
    <n v="0.8"/>
    <n v="26"/>
    <n v="49"/>
    <n v="41"/>
  </r>
  <r>
    <n v="208"/>
    <x v="81"/>
    <s v="us USA"/>
    <s v="MF,FW"/>
    <s v="Thorns"/>
    <s v="19-301"/>
    <n v="2005"/>
    <n v="13"/>
    <n v="11"/>
    <n v="0.84615384615384615"/>
    <n v="998"/>
    <n v="11.1"/>
    <n v="1"/>
    <n v="7.6923076923076927E-2"/>
    <n v="1"/>
    <n v="7.6923076923076927E-2"/>
    <n v="2"/>
    <n v="0.15384615384615385"/>
    <n v="1"/>
    <n v="0"/>
    <n v="0"/>
    <n v="1"/>
    <n v="0"/>
    <n v="0"/>
    <n v="0"/>
    <n v="2.4"/>
    <n v="0.1846153846153846"/>
    <n v="1.7"/>
    <n v="3.3"/>
    <n v="4.9000000000000004"/>
    <n v="36"/>
    <n v="58"/>
    <n v="48"/>
  </r>
  <r>
    <n v="241"/>
    <x v="82"/>
    <s v="us USA"/>
    <s v="DF"/>
    <s v="Gotham FC"/>
    <s v="21-337"/>
    <n v="2003"/>
    <n v="13"/>
    <n v="12"/>
    <n v="0.92307692307692313"/>
    <n v="1044"/>
    <n v="11.6"/>
    <n v="1"/>
    <n v="7.6923076923076927E-2"/>
    <n v="1"/>
    <n v="7.6923076923076927E-2"/>
    <n v="2"/>
    <n v="0.15384615384615385"/>
    <n v="1"/>
    <n v="0"/>
    <n v="0"/>
    <n v="0"/>
    <n v="1"/>
    <n v="0"/>
    <n v="1"/>
    <n v="0.6"/>
    <n v="4.6153846153846149E-2"/>
    <n v="0.6"/>
    <n v="0.7"/>
    <n v="1.3"/>
    <n v="22"/>
    <n v="56"/>
    <n v="33"/>
  </r>
  <r>
    <n v="244"/>
    <x v="83"/>
    <s v="mx MEX"/>
    <s v="DF"/>
    <s v="Thorns"/>
    <s v="24-149"/>
    <n v="2001"/>
    <n v="13"/>
    <n v="12"/>
    <n v="0.92307692307692313"/>
    <n v="1057"/>
    <n v="11.7"/>
    <n v="1"/>
    <n v="7.6923076923076927E-2"/>
    <n v="1"/>
    <n v="7.6923076923076927E-2"/>
    <n v="2"/>
    <n v="0.15384615384615385"/>
    <n v="1"/>
    <n v="0"/>
    <n v="0"/>
    <n v="0"/>
    <n v="4"/>
    <n v="0"/>
    <n v="4"/>
    <n v="0.3"/>
    <n v="2.3076923076923075E-2"/>
    <n v="0.3"/>
    <n v="0.3"/>
    <n v="0.6"/>
    <n v="13"/>
    <n v="57"/>
    <n v="28"/>
  </r>
  <r>
    <n v="260"/>
    <x v="84"/>
    <s v="us USA"/>
    <s v="FW,MF"/>
    <s v="Royals"/>
    <s v="21-147"/>
    <n v="2004"/>
    <n v="13"/>
    <n v="13"/>
    <n v="1"/>
    <n v="1126"/>
    <n v="12.5"/>
    <n v="1"/>
    <n v="7.6923076923076927E-2"/>
    <n v="1"/>
    <n v="7.6923076923076927E-2"/>
    <n v="2"/>
    <n v="0.15384615384615385"/>
    <n v="0"/>
    <n v="1"/>
    <n v="1"/>
    <n v="1"/>
    <n v="0"/>
    <n v="0"/>
    <n v="0"/>
    <n v="2.1"/>
    <n v="0.16153846153846155"/>
    <n v="1.4"/>
    <n v="1.5"/>
    <n v="2.9"/>
    <n v="23"/>
    <n v="33"/>
    <n v="61"/>
  </r>
  <r>
    <n v="262"/>
    <x v="85"/>
    <s v="us USA"/>
    <s v="FW,MF"/>
    <s v="Courage"/>
    <s v="20-237"/>
    <n v="2004"/>
    <n v="13"/>
    <n v="8"/>
    <n v="0.61538461538461542"/>
    <n v="740"/>
    <n v="8.1999999999999993"/>
    <n v="1"/>
    <n v="7.6923076923076927E-2"/>
    <n v="1"/>
    <n v="7.6923076923076927E-2"/>
    <n v="2"/>
    <n v="0.15384615384615385"/>
    <n v="1"/>
    <n v="0"/>
    <n v="0"/>
    <n v="1"/>
    <n v="1"/>
    <n v="0"/>
    <n v="1"/>
    <n v="3.4"/>
    <n v="0.26153846153846155"/>
    <n v="2.6"/>
    <n v="1.5"/>
    <n v="4.2"/>
    <n v="9"/>
    <n v="32"/>
    <n v="49"/>
  </r>
  <r>
    <n v="263"/>
    <x v="86"/>
    <s v="us USA"/>
    <s v="MF"/>
    <s v="Dash"/>
    <s v="26-183"/>
    <n v="1999"/>
    <n v="13"/>
    <n v="12"/>
    <n v="0.92307692307692313"/>
    <n v="991"/>
    <n v="11"/>
    <n v="1"/>
    <n v="7.6923076923076927E-2"/>
    <n v="1"/>
    <n v="7.6923076923076927E-2"/>
    <n v="2"/>
    <n v="0.15384615384615385"/>
    <n v="1"/>
    <n v="0"/>
    <n v="0"/>
    <n v="0"/>
    <n v="1"/>
    <n v="0"/>
    <n v="1"/>
    <n v="0.5"/>
    <n v="3.8461538461538464E-2"/>
    <n v="0.5"/>
    <n v="1.3"/>
    <n v="1.7"/>
    <n v="12"/>
    <n v="45"/>
    <n v="30"/>
  </r>
  <r>
    <n v="295"/>
    <x v="87"/>
    <s v="us USA"/>
    <s v="DF"/>
    <s v="Angel City"/>
    <s v="27-154"/>
    <n v="1998"/>
    <n v="13"/>
    <n v="13"/>
    <n v="1"/>
    <n v="1056"/>
    <n v="11.7"/>
    <n v="1"/>
    <n v="7.6923076923076927E-2"/>
    <n v="1"/>
    <n v="7.6923076923076927E-2"/>
    <n v="2"/>
    <n v="0.15384615384615385"/>
    <n v="1"/>
    <n v="0"/>
    <n v="0"/>
    <n v="0"/>
    <n v="1"/>
    <n v="0"/>
    <n v="1"/>
    <n v="0.7"/>
    <n v="5.3846153846153842E-2"/>
    <n v="0.7"/>
    <n v="0.4"/>
    <n v="1.1000000000000001"/>
    <n v="21"/>
    <n v="56"/>
    <n v="31"/>
  </r>
  <r>
    <n v="298"/>
    <x v="88"/>
    <s v="us USA"/>
    <s v="MF,FW"/>
    <s v="Pride"/>
    <s v="28-125"/>
    <n v="1997"/>
    <n v="13"/>
    <n v="10"/>
    <n v="0.76923076923076927"/>
    <n v="821"/>
    <n v="9.1"/>
    <n v="1"/>
    <n v="7.6923076923076927E-2"/>
    <n v="1"/>
    <n v="7.6923076923076927E-2"/>
    <n v="2"/>
    <n v="0.15384615384615385"/>
    <n v="1"/>
    <n v="0"/>
    <n v="0"/>
    <n v="0"/>
    <n v="1"/>
    <n v="0"/>
    <n v="1"/>
    <n v="3.3"/>
    <n v="0.25384615384615383"/>
    <n v="3.3"/>
    <n v="0.8"/>
    <n v="4.0999999999999996"/>
    <n v="19"/>
    <n v="13"/>
    <n v="55"/>
  </r>
  <r>
    <n v="306"/>
    <x v="89"/>
    <s v="us USA"/>
    <s v="DF,MF"/>
    <s v="Courage"/>
    <s v="29-142"/>
    <n v="1996"/>
    <n v="13"/>
    <n v="13"/>
    <n v="1"/>
    <n v="1170"/>
    <n v="13"/>
    <n v="1"/>
    <n v="7.6923076923076927E-2"/>
    <n v="1"/>
    <n v="7.6923076923076927E-2"/>
    <n v="2"/>
    <n v="0.15384615384615385"/>
    <n v="1"/>
    <n v="0"/>
    <n v="0"/>
    <n v="0"/>
    <n v="1"/>
    <n v="0"/>
    <n v="1"/>
    <n v="0.9"/>
    <n v="6.9230769230769235E-2"/>
    <n v="0.9"/>
    <n v="2.2000000000000002"/>
    <n v="3.1"/>
    <n v="39"/>
    <n v="63"/>
    <n v="75"/>
  </r>
  <r>
    <n v="227"/>
    <x v="90"/>
    <s v="us USA"/>
    <s v="DF,MF"/>
    <s v="Pride"/>
    <s v="31-303"/>
    <n v="1993"/>
    <n v="10"/>
    <n v="6"/>
    <n v="0.6"/>
    <n v="569"/>
    <n v="6.3"/>
    <n v="0"/>
    <n v="0"/>
    <n v="2"/>
    <n v="0.2"/>
    <n v="2"/>
    <n v="0.2"/>
    <n v="0"/>
    <n v="0"/>
    <n v="0"/>
    <n v="0"/>
    <n v="0"/>
    <n v="0"/>
    <n v="0"/>
    <n v="0.3"/>
    <n v="0.03"/>
    <n v="0.3"/>
    <n v="0.6"/>
    <n v="0.9"/>
    <n v="4"/>
    <n v="25"/>
    <n v="46"/>
  </r>
  <r>
    <n v="166"/>
    <x v="91"/>
    <s v="es ESP"/>
    <s v="MF"/>
    <s v="Chicago Stars"/>
    <s v="30-124"/>
    <n v="1995"/>
    <n v="12"/>
    <n v="10"/>
    <n v="0.83333333333333337"/>
    <n v="915"/>
    <n v="10.199999999999999"/>
    <n v="0"/>
    <n v="0"/>
    <n v="2"/>
    <n v="0.16666666666666666"/>
    <n v="2"/>
    <n v="0.16666666666666666"/>
    <n v="0"/>
    <n v="0"/>
    <n v="0"/>
    <n v="0"/>
    <n v="0"/>
    <n v="0"/>
    <n v="0"/>
    <n v="0.2"/>
    <n v="1.6666666666666666E-2"/>
    <n v="0.2"/>
    <n v="0.3"/>
    <n v="0.5"/>
    <n v="2"/>
    <n v="29"/>
    <n v="5"/>
  </r>
  <r>
    <n v="134"/>
    <x v="92"/>
    <s v="us USA"/>
    <s v="MF"/>
    <s v="Current"/>
    <s v="19-185"/>
    <n v="2006"/>
    <n v="13"/>
    <n v="11"/>
    <n v="0.84615384615384615"/>
    <n v="884"/>
    <n v="9.8000000000000007"/>
    <n v="0"/>
    <n v="0"/>
    <n v="2"/>
    <n v="0.15384615384615385"/>
    <n v="2"/>
    <n v="0.15384615384615385"/>
    <n v="0"/>
    <n v="0"/>
    <n v="0"/>
    <n v="0"/>
    <n v="2"/>
    <n v="0"/>
    <n v="2"/>
    <n v="0.6"/>
    <n v="4.6153846153846149E-2"/>
    <n v="0.6"/>
    <n v="1.3"/>
    <n v="1.9"/>
    <n v="6"/>
    <n v="46"/>
    <n v="16"/>
  </r>
  <r>
    <n v="190"/>
    <x v="93"/>
    <s v="us USA"/>
    <s v="DF"/>
    <s v="Spirit"/>
    <s v="26-013"/>
    <n v="1999"/>
    <n v="13"/>
    <n v="12"/>
    <n v="0.92307692307692313"/>
    <n v="1125"/>
    <n v="12.5"/>
    <n v="0"/>
    <n v="0"/>
    <n v="2"/>
    <n v="0.15384615384615385"/>
    <n v="2"/>
    <n v="0.15384615384615385"/>
    <n v="0"/>
    <n v="0"/>
    <n v="0"/>
    <n v="0"/>
    <n v="2"/>
    <n v="0"/>
    <n v="2"/>
    <n v="0.7"/>
    <n v="5.3846153846153842E-2"/>
    <n v="0.7"/>
    <n v="2.6"/>
    <n v="3.2"/>
    <n v="10"/>
    <n v="51"/>
    <n v="7"/>
  </r>
  <r>
    <n v="198"/>
    <x v="94"/>
    <s v="jp JPN"/>
    <s v="MF"/>
    <s v="Spirit"/>
    <s v="28-012"/>
    <n v="1997"/>
    <n v="13"/>
    <n v="13"/>
    <n v="1"/>
    <n v="1069"/>
    <n v="11.9"/>
    <n v="0"/>
    <n v="0"/>
    <n v="2"/>
    <n v="0.15384615384615385"/>
    <n v="2"/>
    <n v="0.15384615384615385"/>
    <n v="0"/>
    <n v="0"/>
    <n v="0"/>
    <n v="0"/>
    <n v="3"/>
    <n v="0"/>
    <n v="3"/>
    <n v="0.7"/>
    <n v="5.3846153846153842E-2"/>
    <n v="0.7"/>
    <n v="1.3"/>
    <n v="2"/>
    <n v="3"/>
    <n v="43"/>
    <n v="29"/>
  </r>
  <r>
    <n v="216"/>
    <x v="95"/>
    <s v="ie IRL"/>
    <s v="MF"/>
    <s v="Courage"/>
    <s v="31-161"/>
    <n v="1994"/>
    <n v="13"/>
    <n v="13"/>
    <n v="1"/>
    <n v="1170"/>
    <n v="13"/>
    <n v="0"/>
    <n v="0"/>
    <n v="2"/>
    <n v="0.15384615384615385"/>
    <n v="2"/>
    <n v="0.15384615384615385"/>
    <n v="0"/>
    <n v="0"/>
    <n v="0"/>
    <n v="0"/>
    <n v="1"/>
    <n v="0"/>
    <n v="1"/>
    <n v="0.4"/>
    <n v="3.0769230769230771E-2"/>
    <n v="0.4"/>
    <n v="1.1000000000000001"/>
    <n v="1.5"/>
    <n v="15"/>
    <n v="63"/>
    <n v="32"/>
  </r>
  <r>
    <n v="225"/>
    <x v="96"/>
    <s v="us USA"/>
    <s v="DF"/>
    <s v="Louisville"/>
    <s v="27-260"/>
    <n v="1997"/>
    <n v="13"/>
    <n v="12"/>
    <n v="0.92307692307692313"/>
    <n v="1080"/>
    <n v="12"/>
    <n v="0"/>
    <n v="0"/>
    <n v="2"/>
    <n v="0.15384615384615385"/>
    <n v="2"/>
    <n v="0.15384615384615385"/>
    <n v="0"/>
    <n v="0"/>
    <n v="0"/>
    <n v="0"/>
    <n v="1"/>
    <n v="0"/>
    <n v="1"/>
    <n v="0.3"/>
    <n v="2.3076923076923075E-2"/>
    <n v="0.3"/>
    <n v="2.5"/>
    <n v="2.8"/>
    <n v="6"/>
    <n v="41"/>
    <n v="12"/>
  </r>
  <r>
    <n v="281"/>
    <x v="97"/>
    <s v="jp JPN"/>
    <s v="MF"/>
    <s v="Thorns"/>
    <s v="28-165"/>
    <n v="1997"/>
    <n v="13"/>
    <n v="12"/>
    <n v="0.92307692307692313"/>
    <n v="990"/>
    <n v="11"/>
    <n v="0"/>
    <n v="0"/>
    <n v="2"/>
    <n v="0.15384615384615385"/>
    <n v="2"/>
    <n v="0.15384615384615385"/>
    <n v="0"/>
    <n v="0"/>
    <n v="0"/>
    <n v="0"/>
    <n v="1"/>
    <n v="0"/>
    <n v="1"/>
    <n v="2"/>
    <n v="0.15384615384615385"/>
    <n v="2"/>
    <n v="1.8"/>
    <n v="3.8"/>
    <n v="12"/>
    <n v="54"/>
    <n v="47"/>
  </r>
  <r>
    <n v="35"/>
    <x v="98"/>
    <m/>
    <s v="MF"/>
    <s v="Spirit"/>
    <m/>
    <m/>
    <n v="3"/>
    <n v="2"/>
    <n v="0.66666666666666663"/>
    <n v="107"/>
    <n v="1.2"/>
    <n v="1"/>
    <n v="0.33333333333333331"/>
    <n v="0"/>
    <n v="0"/>
    <n v="1"/>
    <n v="0.33333333333333331"/>
    <n v="1"/>
    <n v="0"/>
    <n v="0"/>
    <n v="0"/>
    <n v="0"/>
    <n v="0"/>
    <n v="0"/>
    <n v="0.5"/>
    <n v="0.16666666666666666"/>
    <n v="0.5"/>
    <n v="0.1"/>
    <n v="0.7"/>
    <n v="3"/>
    <n v="3"/>
    <n v="6"/>
  </r>
  <r>
    <n v="81"/>
    <x v="99"/>
    <s v="us USA"/>
    <s v="FW,MF"/>
    <s v="Pride"/>
    <s v="26-319"/>
    <n v="1998"/>
    <n v="3"/>
    <n v="1"/>
    <n v="0.33333333333333331"/>
    <n v="81"/>
    <n v="0.9"/>
    <n v="1"/>
    <n v="0.33333333333333331"/>
    <n v="0"/>
    <n v="0"/>
    <n v="1"/>
    <n v="0.33333333333333331"/>
    <n v="1"/>
    <n v="0"/>
    <n v="0"/>
    <n v="0"/>
    <n v="0"/>
    <n v="0"/>
    <n v="0"/>
    <n v="0.1"/>
    <n v="3.3333333333333333E-2"/>
    <n v="0.1"/>
    <n v="0"/>
    <n v="0.1"/>
    <n v="2"/>
    <n v="1"/>
    <n v="5"/>
  </r>
  <r>
    <n v="218"/>
    <x v="100"/>
    <s v="ng NGA"/>
    <s v="FW"/>
    <s v="Wave"/>
    <s v="19-342"/>
    <n v="2005"/>
    <n v="3"/>
    <n v="1"/>
    <n v="0.33333333333333331"/>
    <n v="144"/>
    <n v="1.6"/>
    <n v="1"/>
    <n v="0.33333333333333331"/>
    <n v="0"/>
    <n v="0"/>
    <n v="1"/>
    <n v="0.33333333333333331"/>
    <n v="1"/>
    <n v="0"/>
    <n v="0"/>
    <n v="0"/>
    <n v="0"/>
    <n v="0"/>
    <n v="0"/>
    <n v="0.2"/>
    <n v="6.6666666666666666E-2"/>
    <n v="0.2"/>
    <n v="0.2"/>
    <n v="0.3"/>
    <n v="2"/>
    <n v="2"/>
    <n v="12"/>
  </r>
  <r>
    <n v="194"/>
    <x v="101"/>
    <s v="us USA"/>
    <s v="MF"/>
    <s v="Reign"/>
    <s v="23-127"/>
    <n v="2002"/>
    <n v="4"/>
    <n v="3"/>
    <n v="0.75"/>
    <n v="271"/>
    <n v="3"/>
    <n v="1"/>
    <n v="0.25"/>
    <n v="0"/>
    <n v="0"/>
    <n v="1"/>
    <n v="0.25"/>
    <n v="1"/>
    <n v="0"/>
    <n v="0"/>
    <n v="0"/>
    <n v="1"/>
    <n v="0"/>
    <n v="1"/>
    <n v="0.2"/>
    <n v="0.05"/>
    <n v="0.2"/>
    <n v="0.2"/>
    <n v="0.4"/>
    <n v="1"/>
    <n v="11"/>
    <n v="2"/>
  </r>
  <r>
    <n v="145"/>
    <x v="102"/>
    <s v="ng NGA"/>
    <s v="FW,MF"/>
    <s v="Louisville"/>
    <s v="28-025"/>
    <n v="1997"/>
    <n v="5"/>
    <n v="0"/>
    <n v="0"/>
    <n v="55"/>
    <n v="0.6"/>
    <n v="1"/>
    <n v="0.2"/>
    <n v="0"/>
    <n v="0"/>
    <n v="1"/>
    <n v="0.2"/>
    <n v="1"/>
    <n v="0"/>
    <n v="0"/>
    <n v="0"/>
    <n v="0"/>
    <n v="0"/>
    <n v="0"/>
    <n v="0.5"/>
    <n v="0.1"/>
    <n v="0.5"/>
    <n v="0.1"/>
    <n v="0.6"/>
    <n v="1"/>
    <n v="2"/>
    <n v="8"/>
  </r>
  <r>
    <n v="4"/>
    <x v="103"/>
    <s v="br BRA"/>
    <s v="FW,MF"/>
    <s v="Courage"/>
    <s v="20-008"/>
    <n v="2005"/>
    <n v="6"/>
    <n v="1"/>
    <n v="0.16666666666666666"/>
    <n v="118"/>
    <n v="1.3"/>
    <n v="1"/>
    <n v="0.16666666666666666"/>
    <n v="0"/>
    <n v="0"/>
    <n v="1"/>
    <n v="0.16666666666666666"/>
    <n v="1"/>
    <n v="0"/>
    <n v="0"/>
    <n v="0"/>
    <n v="0"/>
    <n v="0"/>
    <n v="0"/>
    <n v="0.2"/>
    <n v="3.3333333333333333E-2"/>
    <n v="0.2"/>
    <n v="0.2"/>
    <n v="0.4"/>
    <n v="2"/>
    <n v="2"/>
    <n v="8"/>
  </r>
  <r>
    <n v="150"/>
    <x v="104"/>
    <s v="us USA"/>
    <s v="FW,MF"/>
    <s v="Royals"/>
    <s v="28-007"/>
    <n v="1997"/>
    <n v="6"/>
    <n v="5"/>
    <n v="0.83333333333333337"/>
    <n v="336"/>
    <n v="3.7"/>
    <n v="1"/>
    <n v="0.16666666666666666"/>
    <n v="0"/>
    <n v="0"/>
    <n v="1"/>
    <n v="0.16666666666666666"/>
    <n v="1"/>
    <n v="0"/>
    <n v="0"/>
    <n v="0"/>
    <n v="0"/>
    <n v="0"/>
    <n v="0"/>
    <n v="0.4"/>
    <n v="6.6666666666666666E-2"/>
    <n v="0.4"/>
    <n v="0.4"/>
    <n v="0.8"/>
    <n v="5"/>
    <n v="5"/>
    <n v="13"/>
  </r>
  <r>
    <n v="297"/>
    <x v="105"/>
    <s v="au AUS"/>
    <s v="FW"/>
    <s v="Courage"/>
    <s v="27-097"/>
    <n v="1998"/>
    <n v="6"/>
    <n v="3"/>
    <n v="0.5"/>
    <n v="265"/>
    <n v="2.9"/>
    <n v="1"/>
    <n v="0.16666666666666666"/>
    <n v="0"/>
    <n v="0"/>
    <n v="1"/>
    <n v="0.16666666666666666"/>
    <n v="1"/>
    <n v="0"/>
    <n v="0"/>
    <n v="0"/>
    <n v="0"/>
    <n v="0"/>
    <n v="0"/>
    <n v="1.6"/>
    <n v="0.26666666666666666"/>
    <n v="1.6"/>
    <n v="0.7"/>
    <n v="2.2000000000000002"/>
    <n v="4"/>
    <n v="4"/>
    <n v="18"/>
  </r>
  <r>
    <n v="106"/>
    <x v="106"/>
    <s v="pt POR"/>
    <s v="MF,FW"/>
    <s v="Chicago Stars"/>
    <s v="28-248"/>
    <n v="1996"/>
    <n v="7"/>
    <n v="1"/>
    <n v="0.14285714285714285"/>
    <n v="181"/>
    <n v="2"/>
    <n v="1"/>
    <n v="0.14285714285714285"/>
    <n v="0"/>
    <n v="0"/>
    <n v="1"/>
    <n v="0.14285714285714285"/>
    <n v="1"/>
    <n v="0"/>
    <n v="0"/>
    <n v="0"/>
    <n v="1"/>
    <n v="0"/>
    <n v="1"/>
    <n v="0.1"/>
    <n v="1.4285714285714287E-2"/>
    <n v="0.1"/>
    <n v="0.1"/>
    <n v="0.2"/>
    <n v="3"/>
    <n v="0"/>
    <n v="13"/>
  </r>
  <r>
    <n v="13"/>
    <x v="107"/>
    <s v="br BRA"/>
    <s v="MF"/>
    <s v="Louisville"/>
    <s v="25-199"/>
    <n v="1999"/>
    <n v="9"/>
    <n v="6"/>
    <n v="0.66666666666666663"/>
    <n v="515"/>
    <n v="5.7"/>
    <n v="1"/>
    <n v="0.1111111111111111"/>
    <n v="0"/>
    <n v="0"/>
    <n v="1"/>
    <n v="0.1111111111111111"/>
    <n v="0"/>
    <n v="1"/>
    <n v="1"/>
    <n v="1"/>
    <n v="0"/>
    <n v="0"/>
    <n v="0"/>
    <n v="2"/>
    <n v="0.22222222222222221"/>
    <n v="1.3"/>
    <n v="0.1"/>
    <n v="1.4"/>
    <n v="4"/>
    <n v="18"/>
    <n v="15"/>
  </r>
  <r>
    <n v="39"/>
    <x v="108"/>
    <s v="us USA"/>
    <s v="MF,FW"/>
    <s v="Spirit"/>
    <s v="24-232"/>
    <n v="2000"/>
    <n v="9"/>
    <n v="4"/>
    <n v="0.44444444444444442"/>
    <n v="307"/>
    <n v="3.4"/>
    <n v="1"/>
    <n v="0.1111111111111111"/>
    <n v="0"/>
    <n v="0"/>
    <n v="1"/>
    <n v="0.1111111111111111"/>
    <n v="1"/>
    <n v="0"/>
    <n v="0"/>
    <n v="0"/>
    <n v="0"/>
    <n v="0"/>
    <n v="0"/>
    <n v="1.2"/>
    <n v="0.13333333333333333"/>
    <n v="1.2"/>
    <n v="0.2"/>
    <n v="1.3"/>
    <n v="5"/>
    <n v="9"/>
    <n v="17"/>
  </r>
  <r>
    <n v="127"/>
    <x v="109"/>
    <s v="us USA"/>
    <s v="MF"/>
    <s v="Angel City"/>
    <s v="24-072"/>
    <n v="2001"/>
    <n v="10"/>
    <n v="6"/>
    <n v="0.6"/>
    <n v="498"/>
    <n v="5.5"/>
    <n v="1"/>
    <n v="0.1"/>
    <n v="0"/>
    <n v="0"/>
    <n v="1"/>
    <n v="0.1"/>
    <n v="1"/>
    <n v="0"/>
    <n v="0"/>
    <n v="0"/>
    <n v="4"/>
    <n v="0"/>
    <n v="4"/>
    <n v="0.2"/>
    <n v="0.02"/>
    <n v="0.2"/>
    <n v="0.1"/>
    <n v="0.3"/>
    <n v="1"/>
    <n v="15"/>
    <n v="2"/>
  </r>
  <r>
    <n v="139"/>
    <x v="110"/>
    <s v="us USA"/>
    <s v="DF"/>
    <s v="Louisville"/>
    <s v="28-165"/>
    <n v="1997"/>
    <n v="10"/>
    <n v="10"/>
    <n v="1"/>
    <n v="900"/>
    <n v="10"/>
    <n v="1"/>
    <n v="0.1"/>
    <n v="0"/>
    <n v="0"/>
    <n v="1"/>
    <n v="0.1"/>
    <n v="1"/>
    <n v="0"/>
    <n v="0"/>
    <n v="0"/>
    <n v="0"/>
    <n v="0"/>
    <n v="0"/>
    <n v="0.7"/>
    <n v="6.9999999999999993E-2"/>
    <n v="0.7"/>
    <n v="0.1"/>
    <n v="0.8"/>
    <n v="6"/>
    <n v="19"/>
    <n v="2"/>
  </r>
  <r>
    <n v="163"/>
    <x v="111"/>
    <s v="us USA"/>
    <s v="FW,MF"/>
    <s v="Thorns"/>
    <s v="24-112"/>
    <n v="2001"/>
    <n v="10"/>
    <n v="4"/>
    <n v="0.4"/>
    <n v="362"/>
    <n v="4"/>
    <n v="1"/>
    <n v="0.1"/>
    <n v="0"/>
    <n v="0"/>
    <n v="1"/>
    <n v="0.1"/>
    <n v="1"/>
    <n v="0"/>
    <n v="0"/>
    <n v="0"/>
    <n v="0"/>
    <n v="0"/>
    <n v="0"/>
    <n v="1.1000000000000001"/>
    <n v="0.11000000000000001"/>
    <n v="1.1000000000000001"/>
    <n v="0.4"/>
    <n v="1.5"/>
    <n v="12"/>
    <n v="7"/>
    <n v="52"/>
  </r>
  <r>
    <n v="283"/>
    <x v="112"/>
    <s v="jp JPN"/>
    <s v="MF,FW"/>
    <s v="Royals"/>
    <s v="31-078"/>
    <n v="1994"/>
    <n v="10"/>
    <n v="9"/>
    <n v="0.9"/>
    <n v="831"/>
    <n v="9.1999999999999993"/>
    <n v="1"/>
    <n v="0.1"/>
    <n v="0"/>
    <n v="0"/>
    <n v="1"/>
    <n v="0.1"/>
    <n v="1"/>
    <n v="0"/>
    <n v="0"/>
    <n v="0"/>
    <n v="1"/>
    <n v="0"/>
    <n v="1"/>
    <n v="1.6"/>
    <n v="0.16"/>
    <n v="1.6"/>
    <n v="1.1000000000000001"/>
    <n v="2.7"/>
    <n v="7"/>
    <n v="25"/>
    <n v="37"/>
  </r>
  <r>
    <n v="301"/>
    <x v="113"/>
    <s v="us USA"/>
    <s v="DF"/>
    <s v="Wave"/>
    <s v="24-129"/>
    <n v="2001"/>
    <n v="10"/>
    <n v="8"/>
    <n v="0.8"/>
    <n v="700"/>
    <n v="7.8"/>
    <n v="1"/>
    <n v="0.1"/>
    <n v="0"/>
    <n v="0"/>
    <n v="1"/>
    <n v="0.1"/>
    <n v="1"/>
    <n v="0"/>
    <n v="0"/>
    <n v="0"/>
    <n v="1"/>
    <n v="1"/>
    <n v="2"/>
    <n v="0.2"/>
    <n v="0.02"/>
    <n v="0.2"/>
    <n v="0.1"/>
    <n v="0.2"/>
    <n v="0"/>
    <n v="14"/>
    <n v="1"/>
  </r>
  <r>
    <n v="28"/>
    <x v="114"/>
    <s v="us USA"/>
    <s v="FW"/>
    <s v="Courage"/>
    <s v="26-192"/>
    <n v="1999"/>
    <n v="11"/>
    <n v="3"/>
    <n v="0.27272727272727271"/>
    <n v="406"/>
    <n v="4.5"/>
    <n v="1"/>
    <n v="9.0909090909090912E-2"/>
    <n v="0"/>
    <n v="0"/>
    <n v="1"/>
    <n v="9.0909090909090912E-2"/>
    <n v="1"/>
    <n v="0"/>
    <n v="0"/>
    <n v="0"/>
    <n v="2"/>
    <n v="0"/>
    <n v="2"/>
    <n v="1.7"/>
    <n v="0.15454545454545454"/>
    <n v="1.7"/>
    <n v="0.4"/>
    <n v="2.1"/>
    <n v="10"/>
    <n v="8"/>
    <n v="33"/>
  </r>
  <r>
    <n v="52"/>
    <x v="115"/>
    <s v="zm ZAM"/>
    <s v="MF,FW"/>
    <s v="Pride"/>
    <s v="26-037"/>
    <n v="1999"/>
    <n v="11"/>
    <n v="1"/>
    <n v="9.0909090909090912E-2"/>
    <n v="261"/>
    <n v="2.9"/>
    <n v="1"/>
    <n v="9.0909090909090912E-2"/>
    <n v="0"/>
    <n v="0"/>
    <n v="1"/>
    <n v="9.0909090909090912E-2"/>
    <n v="1"/>
    <n v="0"/>
    <n v="0"/>
    <n v="0"/>
    <n v="2"/>
    <n v="0"/>
    <n v="2"/>
    <n v="0.1"/>
    <n v="9.0909090909090922E-3"/>
    <n v="0.1"/>
    <n v="0.4"/>
    <n v="0.5"/>
    <n v="21"/>
    <n v="6"/>
    <n v="32"/>
  </r>
  <r>
    <n v="110"/>
    <x v="116"/>
    <s v="us USA"/>
    <s v="FW,MF"/>
    <s v="Chicago Stars"/>
    <s v="32-133"/>
    <n v="1993"/>
    <n v="11"/>
    <n v="7"/>
    <n v="0.63636363636363635"/>
    <n v="623"/>
    <n v="6.9"/>
    <n v="1"/>
    <n v="9.0909090909090912E-2"/>
    <n v="0"/>
    <n v="0"/>
    <n v="1"/>
    <n v="9.0909090909090912E-2"/>
    <n v="1"/>
    <n v="0"/>
    <n v="0"/>
    <n v="0"/>
    <n v="1"/>
    <n v="0"/>
    <n v="1"/>
    <n v="0.4"/>
    <n v="3.6363636363636369E-2"/>
    <n v="0.4"/>
    <n v="1.1000000000000001"/>
    <n v="1.5"/>
    <n v="9"/>
    <n v="20"/>
    <n v="23"/>
  </r>
  <r>
    <n v="233"/>
    <x v="117"/>
    <s v="us USA"/>
    <s v="FW,DF"/>
    <s v="Angel City"/>
    <s v="36-198"/>
    <n v="1988"/>
    <n v="11"/>
    <n v="1"/>
    <n v="9.0909090909090912E-2"/>
    <n v="230"/>
    <n v="2.6"/>
    <n v="1"/>
    <n v="9.0909090909090912E-2"/>
    <n v="0"/>
    <n v="0"/>
    <n v="1"/>
    <n v="9.0909090909090912E-2"/>
    <n v="1"/>
    <n v="0"/>
    <n v="0"/>
    <n v="0"/>
    <n v="0"/>
    <n v="0"/>
    <n v="0"/>
    <n v="0.5"/>
    <n v="4.5454545454545456E-2"/>
    <n v="0.5"/>
    <n v="0.2"/>
    <n v="0.7"/>
    <n v="7"/>
    <n v="4"/>
    <n v="19"/>
  </r>
  <r>
    <n v="48"/>
    <x v="118"/>
    <s v="ve VEN"/>
    <s v="FW,MF"/>
    <s v="Thorns"/>
    <s v="26-088"/>
    <n v="1999"/>
    <n v="12"/>
    <n v="8"/>
    <n v="0.66666666666666663"/>
    <n v="695"/>
    <n v="7.7"/>
    <n v="1"/>
    <n v="8.3333333333333329E-2"/>
    <n v="0"/>
    <n v="0"/>
    <n v="1"/>
    <n v="8.3333333333333329E-2"/>
    <n v="1"/>
    <n v="0"/>
    <n v="0"/>
    <n v="0"/>
    <n v="1"/>
    <n v="0"/>
    <n v="1"/>
    <n v="1.5"/>
    <n v="0.125"/>
    <n v="1.5"/>
    <n v="1.2"/>
    <n v="2.7"/>
    <n v="6"/>
    <n v="23"/>
    <n v="32"/>
  </r>
  <r>
    <n v="86"/>
    <x v="119"/>
    <s v="us USA"/>
    <s v="DF"/>
    <s v="Pride"/>
    <s v="24-298"/>
    <n v="2000"/>
    <n v="12"/>
    <n v="6"/>
    <n v="0.5"/>
    <n v="650"/>
    <n v="7.2"/>
    <n v="1"/>
    <n v="8.3333333333333329E-2"/>
    <n v="0"/>
    <n v="0"/>
    <n v="1"/>
    <n v="8.3333333333333329E-2"/>
    <n v="1"/>
    <n v="0"/>
    <n v="0"/>
    <n v="0"/>
    <n v="0"/>
    <n v="0"/>
    <n v="0"/>
    <n v="0.1"/>
    <n v="8.3333333333333332E-3"/>
    <n v="0.1"/>
    <n v="0.2"/>
    <n v="0.3"/>
    <n v="8"/>
    <n v="43"/>
    <n v="15"/>
  </r>
  <r>
    <n v="111"/>
    <x v="120"/>
    <s v="ca CAN"/>
    <s v="MF,FW"/>
    <s v="Chicago Stars"/>
    <s v="24-320"/>
    <n v="2000"/>
    <n v="12"/>
    <n v="12"/>
    <n v="1"/>
    <n v="992"/>
    <n v="11"/>
    <n v="1"/>
    <n v="8.3333333333333329E-2"/>
    <n v="0"/>
    <n v="0"/>
    <n v="1"/>
    <n v="8.3333333333333329E-2"/>
    <n v="1"/>
    <n v="0"/>
    <n v="0"/>
    <n v="0"/>
    <n v="1"/>
    <n v="0"/>
    <n v="1"/>
    <n v="1"/>
    <n v="8.3333333333333329E-2"/>
    <n v="1"/>
    <n v="0.9"/>
    <n v="1.9"/>
    <n v="14"/>
    <n v="39"/>
    <n v="31"/>
  </r>
  <r>
    <n v="124"/>
    <x v="121"/>
    <s v="us USA"/>
    <s v="MF,FW"/>
    <s v="Bay FC"/>
    <s v="30-089"/>
    <n v="1995"/>
    <n v="12"/>
    <n v="5"/>
    <n v="0.41666666666666669"/>
    <n v="556"/>
    <n v="6.2"/>
    <n v="1"/>
    <n v="8.3333333333333329E-2"/>
    <n v="0"/>
    <n v="0"/>
    <n v="1"/>
    <n v="8.3333333333333329E-2"/>
    <n v="1"/>
    <n v="0"/>
    <n v="0"/>
    <n v="0"/>
    <n v="1"/>
    <n v="0"/>
    <n v="1"/>
    <n v="1.4"/>
    <n v="0.11666666666666665"/>
    <n v="1.4"/>
    <n v="0.6"/>
    <n v="2.1"/>
    <n v="12"/>
    <n v="19"/>
    <n v="45"/>
  </r>
  <r>
    <n v="128"/>
    <x v="122"/>
    <s v="us USA"/>
    <s v="DF"/>
    <s v="Reign"/>
    <s v="25-129"/>
    <n v="2000"/>
    <n v="12"/>
    <n v="5"/>
    <n v="0.41666666666666669"/>
    <n v="564"/>
    <n v="6.3"/>
    <n v="1"/>
    <n v="8.3333333333333329E-2"/>
    <n v="0"/>
    <n v="0"/>
    <n v="1"/>
    <n v="8.3333333333333329E-2"/>
    <n v="1"/>
    <n v="0"/>
    <n v="0"/>
    <n v="0"/>
    <n v="1"/>
    <n v="0"/>
    <n v="1"/>
    <n v="0.3"/>
    <n v="2.4999999999999998E-2"/>
    <n v="0.3"/>
    <n v="0"/>
    <n v="0.3"/>
    <n v="2"/>
    <n v="14"/>
    <n v="15"/>
  </r>
  <r>
    <n v="130"/>
    <x v="123"/>
    <s v="us USA"/>
    <s v="MF"/>
    <s v="Gotham FC"/>
    <s v="25-236"/>
    <n v="1999"/>
    <n v="12"/>
    <n v="12"/>
    <n v="1"/>
    <n v="1079"/>
    <n v="12"/>
    <n v="1"/>
    <n v="8.3333333333333329E-2"/>
    <n v="0"/>
    <n v="0"/>
    <n v="1"/>
    <n v="8.3333333333333329E-2"/>
    <n v="1"/>
    <n v="0"/>
    <n v="0"/>
    <n v="0"/>
    <n v="6"/>
    <n v="1"/>
    <n v="7"/>
    <n v="1.8"/>
    <n v="0.15"/>
    <n v="1.8"/>
    <n v="0.4"/>
    <n v="2.1"/>
    <n v="23"/>
    <n v="42"/>
    <n v="41"/>
  </r>
  <r>
    <n v="192"/>
    <x v="124"/>
    <s v="us USA"/>
    <s v="DF"/>
    <s v="Wave"/>
    <s v="31-089"/>
    <n v="1994"/>
    <n v="12"/>
    <n v="9"/>
    <n v="0.75"/>
    <n v="859"/>
    <n v="9.5"/>
    <n v="1"/>
    <n v="8.3333333333333329E-2"/>
    <n v="0"/>
    <n v="0"/>
    <n v="1"/>
    <n v="8.3333333333333329E-2"/>
    <n v="1"/>
    <n v="0"/>
    <n v="0"/>
    <n v="0"/>
    <n v="1"/>
    <n v="0"/>
    <n v="1"/>
    <n v="0.7"/>
    <n v="5.8333333333333327E-2"/>
    <n v="0.7"/>
    <n v="0"/>
    <n v="0.7"/>
    <n v="1"/>
    <n v="22"/>
    <n v="3"/>
  </r>
  <r>
    <n v="135"/>
    <x v="125"/>
    <s v="us USA"/>
    <s v="MF"/>
    <s v="Courage"/>
    <s v="19-225"/>
    <n v="2005"/>
    <n v="13"/>
    <n v="11"/>
    <n v="0.84615384615384615"/>
    <n v="905"/>
    <n v="10.1"/>
    <n v="1"/>
    <n v="7.6923076923076927E-2"/>
    <n v="0"/>
    <n v="0"/>
    <n v="1"/>
    <n v="7.6923076923076927E-2"/>
    <n v="1"/>
    <n v="0"/>
    <n v="0"/>
    <n v="1"/>
    <n v="2"/>
    <n v="0"/>
    <n v="2"/>
    <n v="1.3"/>
    <n v="0.1"/>
    <n v="0.6"/>
    <n v="1.3"/>
    <n v="1.9"/>
    <n v="4"/>
    <n v="54"/>
    <n v="17"/>
  </r>
  <r>
    <n v="156"/>
    <x v="126"/>
    <s v="us USA"/>
    <s v="DF"/>
    <s v="Courage"/>
    <s v="27-309"/>
    <n v="1997"/>
    <n v="13"/>
    <n v="13"/>
    <n v="1"/>
    <n v="1170"/>
    <n v="13"/>
    <n v="1"/>
    <n v="7.6923076923076927E-2"/>
    <n v="0"/>
    <n v="0"/>
    <n v="1"/>
    <n v="7.6923076923076927E-2"/>
    <n v="1"/>
    <n v="0"/>
    <n v="0"/>
    <n v="0"/>
    <n v="0"/>
    <n v="0"/>
    <n v="0"/>
    <n v="0.4"/>
    <n v="3.0769230769230771E-2"/>
    <n v="0.4"/>
    <n v="0.1"/>
    <n v="0.6"/>
    <n v="1"/>
    <n v="40"/>
    <n v="1"/>
  </r>
  <r>
    <n v="206"/>
    <x v="127"/>
    <s v="us USA"/>
    <s v="FW,DF"/>
    <s v="Spirit"/>
    <s v="23-080"/>
    <n v="2002"/>
    <n v="13"/>
    <n v="10"/>
    <n v="0.76923076923076927"/>
    <n v="829"/>
    <n v="9.1999999999999993"/>
    <n v="1"/>
    <n v="7.6923076923076927E-2"/>
    <n v="0"/>
    <n v="0"/>
    <n v="1"/>
    <n v="7.6923076923076927E-2"/>
    <n v="1"/>
    <n v="0"/>
    <n v="0"/>
    <n v="0"/>
    <n v="0"/>
    <n v="0"/>
    <n v="0"/>
    <n v="1.4"/>
    <n v="0.10769230769230768"/>
    <n v="1.4"/>
    <n v="0.8"/>
    <n v="2.2999999999999998"/>
    <n v="11"/>
    <n v="26"/>
    <n v="39"/>
  </r>
  <r>
    <n v="214"/>
    <x v="128"/>
    <s v="us USA"/>
    <s v="DF"/>
    <s v="Dash"/>
    <s v="31-274"/>
    <n v="1993"/>
    <n v="13"/>
    <n v="11"/>
    <n v="0.84615384615384615"/>
    <n v="1047"/>
    <n v="11.6"/>
    <n v="1"/>
    <n v="7.6923076923076927E-2"/>
    <n v="0"/>
    <n v="0"/>
    <n v="1"/>
    <n v="7.6923076923076927E-2"/>
    <n v="1"/>
    <n v="0"/>
    <n v="0"/>
    <n v="0"/>
    <n v="1"/>
    <n v="0"/>
    <n v="1"/>
    <n v="1"/>
    <n v="7.6923076923076927E-2"/>
    <n v="1"/>
    <n v="0.1"/>
    <n v="1.1000000000000001"/>
    <n v="14"/>
    <n v="46"/>
    <n v="4"/>
  </r>
  <r>
    <n v="256"/>
    <x v="129"/>
    <s v="us USA"/>
    <s v="FW,MF"/>
    <s v="Chicago Stars"/>
    <s v="25-158"/>
    <n v="2000"/>
    <n v="13"/>
    <n v="11"/>
    <n v="0.84615384615384615"/>
    <n v="882"/>
    <n v="9.8000000000000007"/>
    <n v="1"/>
    <n v="7.6923076923076927E-2"/>
    <n v="0"/>
    <n v="0"/>
    <n v="1"/>
    <n v="7.6923076923076927E-2"/>
    <n v="1"/>
    <n v="0"/>
    <n v="0"/>
    <n v="0"/>
    <n v="1"/>
    <n v="0"/>
    <n v="1"/>
    <n v="1.4"/>
    <n v="0.10769230769230768"/>
    <n v="1.4"/>
    <n v="0.3"/>
    <n v="1.7"/>
    <n v="10"/>
    <n v="35"/>
    <n v="26"/>
  </r>
  <r>
    <n v="300"/>
    <x v="130"/>
    <s v="us USA"/>
    <s v="FW,MF"/>
    <s v="Louisville"/>
    <s v="22-151"/>
    <n v="2003"/>
    <n v="13"/>
    <n v="6"/>
    <n v="0.46153846153846156"/>
    <n v="641"/>
    <n v="7.1"/>
    <n v="1"/>
    <n v="7.6923076923076927E-2"/>
    <n v="0"/>
    <n v="0"/>
    <n v="1"/>
    <n v="7.6923076923076927E-2"/>
    <n v="1"/>
    <n v="0"/>
    <n v="0"/>
    <n v="0"/>
    <n v="0"/>
    <n v="0"/>
    <n v="0"/>
    <n v="1.9"/>
    <n v="0.14615384615384613"/>
    <n v="1.9"/>
    <n v="0.4"/>
    <n v="2.2999999999999998"/>
    <n v="3"/>
    <n v="11"/>
    <n v="27"/>
  </r>
  <r>
    <n v="23"/>
    <x v="131"/>
    <s v="us USA"/>
    <s v="MF"/>
    <s v="Bay FC"/>
    <s v="23-313"/>
    <n v="2001"/>
    <n v="5"/>
    <n v="4"/>
    <n v="0.8"/>
    <n v="318"/>
    <n v="3.5"/>
    <n v="0"/>
    <n v="0"/>
    <n v="1"/>
    <n v="0.2"/>
    <n v="1"/>
    <n v="0.2"/>
    <n v="0"/>
    <n v="0"/>
    <n v="0"/>
    <n v="0"/>
    <n v="1"/>
    <n v="0"/>
    <n v="1"/>
    <n v="0.1"/>
    <n v="0.02"/>
    <n v="0.1"/>
    <n v="1.1000000000000001"/>
    <n v="1.2"/>
    <n v="4"/>
    <n v="27"/>
    <n v="7"/>
  </r>
  <r>
    <n v="26"/>
    <x v="132"/>
    <s v="us USA"/>
    <s v="DF"/>
    <s v="Courage"/>
    <s v="27-152"/>
    <n v="1998"/>
    <n v="6"/>
    <n v="6"/>
    <n v="1"/>
    <n v="488"/>
    <n v="5.4"/>
    <n v="0"/>
    <n v="0"/>
    <n v="1"/>
    <n v="0.16666666666666666"/>
    <n v="1"/>
    <n v="0.16666666666666666"/>
    <n v="0"/>
    <n v="0"/>
    <n v="0"/>
    <n v="0"/>
    <n v="0"/>
    <n v="0"/>
    <n v="0"/>
    <n v="0.1"/>
    <n v="1.6666666666666666E-2"/>
    <n v="0.1"/>
    <n v="0.3"/>
    <n v="0.4"/>
    <n v="3"/>
    <n v="26"/>
    <n v="2"/>
  </r>
  <r>
    <n v="274"/>
    <x v="133"/>
    <s v="us USA"/>
    <s v="FW"/>
    <s v="Courage"/>
    <s v="32-164"/>
    <n v="1993"/>
    <n v="6"/>
    <n v="2"/>
    <n v="0.33333333333333331"/>
    <n v="195"/>
    <n v="2.2000000000000002"/>
    <n v="0"/>
    <n v="0"/>
    <n v="1"/>
    <n v="0.16666666666666666"/>
    <n v="1"/>
    <n v="0.16666666666666666"/>
    <n v="0"/>
    <n v="0"/>
    <n v="0"/>
    <n v="0"/>
    <n v="0"/>
    <n v="0"/>
    <n v="0"/>
    <n v="0"/>
    <n v="0"/>
    <n v="0"/>
    <n v="0.4"/>
    <n v="0.4"/>
    <n v="3"/>
    <n v="6"/>
    <n v="35"/>
  </r>
  <r>
    <n v="88"/>
    <x v="134"/>
    <s v="sct SCO"/>
    <s v="FW,MF"/>
    <s v="Angel City"/>
    <s v="31-129"/>
    <n v="1994"/>
    <n v="8"/>
    <n v="7"/>
    <n v="0.875"/>
    <n v="519"/>
    <n v="5.8"/>
    <n v="0"/>
    <n v="0"/>
    <n v="1"/>
    <n v="0.125"/>
    <n v="1"/>
    <n v="0.125"/>
    <n v="0"/>
    <n v="0"/>
    <n v="0"/>
    <n v="0"/>
    <n v="0"/>
    <n v="0"/>
    <n v="0"/>
    <n v="1.2"/>
    <n v="0.15"/>
    <n v="1.2"/>
    <n v="1.3"/>
    <n v="2.5"/>
    <n v="14"/>
    <n v="21"/>
    <n v="41"/>
  </r>
  <r>
    <n v="308"/>
    <x v="135"/>
    <s v="us USA"/>
    <s v="MF"/>
    <s v="Pride"/>
    <s v="25-028"/>
    <n v="2000"/>
    <n v="8"/>
    <n v="4"/>
    <n v="0.5"/>
    <n v="356"/>
    <n v="4"/>
    <n v="0"/>
    <n v="0"/>
    <n v="1"/>
    <n v="0.125"/>
    <n v="1"/>
    <n v="0.125"/>
    <n v="0"/>
    <n v="0"/>
    <n v="0"/>
    <n v="0"/>
    <n v="1"/>
    <n v="0"/>
    <n v="1"/>
    <n v="1.1000000000000001"/>
    <n v="0.13750000000000001"/>
    <n v="1.1000000000000001"/>
    <n v="2.1"/>
    <n v="3.1"/>
    <n v="7"/>
    <n v="9"/>
    <n v="16"/>
  </r>
  <r>
    <n v="102"/>
    <x v="136"/>
    <s v="us USA"/>
    <s v="MF"/>
    <s v="Pride"/>
    <s v="32-139"/>
    <n v="1993"/>
    <n v="9"/>
    <n v="8"/>
    <n v="0.88888888888888884"/>
    <n v="534"/>
    <n v="5.9"/>
    <n v="0"/>
    <n v="0"/>
    <n v="1"/>
    <n v="0.1111111111111111"/>
    <n v="1"/>
    <n v="0.1111111111111111"/>
    <n v="0"/>
    <n v="0"/>
    <n v="0"/>
    <n v="0"/>
    <n v="0"/>
    <n v="0"/>
    <n v="0"/>
    <n v="0.8"/>
    <n v="8.8888888888888892E-2"/>
    <n v="0.8"/>
    <n v="1.2"/>
    <n v="2"/>
    <n v="3"/>
    <n v="40"/>
    <n v="14"/>
  </r>
  <r>
    <n v="20"/>
    <x v="137"/>
    <s v="us USA"/>
    <s v="DF"/>
    <s v="Reign"/>
    <s v="36-045"/>
    <n v="1989"/>
    <n v="10"/>
    <n v="9"/>
    <n v="0.9"/>
    <n v="713"/>
    <n v="7.9"/>
    <n v="0"/>
    <n v="0"/>
    <n v="1"/>
    <n v="0.1"/>
    <n v="1"/>
    <n v="0.1"/>
    <n v="0"/>
    <n v="0"/>
    <n v="0"/>
    <n v="0"/>
    <n v="2"/>
    <n v="0"/>
    <n v="2"/>
    <n v="0"/>
    <n v="0"/>
    <n v="0"/>
    <n v="0.6"/>
    <n v="0.6"/>
    <n v="4"/>
    <n v="36"/>
    <n v="1"/>
  </r>
  <r>
    <n v="121"/>
    <x v="138"/>
    <s v="es ESP"/>
    <s v="DF"/>
    <s v="Pride"/>
    <s v="25-072"/>
    <n v="2000"/>
    <n v="10"/>
    <n v="7"/>
    <n v="0.7"/>
    <n v="487"/>
    <n v="5.4"/>
    <n v="0"/>
    <n v="0"/>
    <n v="1"/>
    <n v="0.1"/>
    <n v="1"/>
    <n v="0.1"/>
    <n v="0"/>
    <n v="0"/>
    <n v="0"/>
    <n v="0"/>
    <n v="0"/>
    <n v="0"/>
    <n v="0"/>
    <n v="0.3"/>
    <n v="0.03"/>
    <n v="0.3"/>
    <n v="0.8"/>
    <n v="1.1000000000000001"/>
    <n v="17"/>
    <n v="17"/>
    <n v="28"/>
  </r>
  <r>
    <n v="279"/>
    <x v="139"/>
    <s v="us USA"/>
    <s v="MF"/>
    <s v="Gotham FC"/>
    <s v="27-216"/>
    <n v="1997"/>
    <n v="10"/>
    <n v="7"/>
    <n v="0.7"/>
    <n v="645"/>
    <n v="7.2"/>
    <n v="0"/>
    <n v="0"/>
    <n v="1"/>
    <n v="0.1"/>
    <n v="1"/>
    <n v="0.1"/>
    <n v="0"/>
    <n v="0"/>
    <n v="0"/>
    <n v="0"/>
    <n v="2"/>
    <n v="0"/>
    <n v="2"/>
    <n v="0.9"/>
    <n v="0.09"/>
    <n v="0.9"/>
    <n v="1.6"/>
    <n v="2.5"/>
    <n v="14"/>
    <n v="13"/>
    <n v="40"/>
  </r>
  <r>
    <n v="30"/>
    <x v="140"/>
    <s v="us USA"/>
    <s v="DF"/>
    <s v="Chicago Stars"/>
    <s v="26-338"/>
    <n v="1998"/>
    <n v="11"/>
    <n v="9"/>
    <n v="0.81818181818181823"/>
    <n v="831"/>
    <n v="9.1999999999999993"/>
    <n v="0"/>
    <n v="0"/>
    <n v="1"/>
    <n v="9.0909090909090912E-2"/>
    <n v="1"/>
    <n v="9.0909090909090912E-2"/>
    <n v="0"/>
    <n v="0"/>
    <n v="0"/>
    <n v="0"/>
    <n v="1"/>
    <n v="0"/>
    <n v="1"/>
    <n v="0.1"/>
    <n v="9.0909090909090922E-3"/>
    <n v="0.1"/>
    <n v="0.6"/>
    <n v="0.7"/>
    <n v="12"/>
    <n v="25"/>
    <n v="11"/>
  </r>
  <r>
    <n v="40"/>
    <x v="141"/>
    <s v="br BRA"/>
    <s v="DF,MF"/>
    <s v="Gotham FC"/>
    <s v="23-029"/>
    <n v="2002"/>
    <n v="11"/>
    <n v="7"/>
    <n v="0.63636363636363635"/>
    <n v="633"/>
    <n v="7"/>
    <n v="0"/>
    <n v="0"/>
    <n v="1"/>
    <n v="9.0909090909090912E-2"/>
    <n v="1"/>
    <n v="9.0909090909090912E-2"/>
    <n v="0"/>
    <n v="0"/>
    <n v="0"/>
    <n v="0"/>
    <n v="1"/>
    <n v="0"/>
    <n v="1"/>
    <n v="0"/>
    <n v="0"/>
    <n v="0"/>
    <n v="1.2"/>
    <n v="1.2"/>
    <n v="17"/>
    <n v="43"/>
    <n v="39"/>
  </r>
  <r>
    <n v="96"/>
    <x v="142"/>
    <s v="us USA"/>
    <s v="MF,DF"/>
    <s v="Chicago Stars"/>
    <s v="24-284"/>
    <n v="2000"/>
    <n v="11"/>
    <n v="10"/>
    <n v="0.90909090909090906"/>
    <n v="923"/>
    <n v="10.3"/>
    <n v="0"/>
    <n v="0"/>
    <n v="1"/>
    <n v="9.0909090909090912E-2"/>
    <n v="1"/>
    <n v="9.0909090909090912E-2"/>
    <n v="0"/>
    <n v="0"/>
    <n v="0"/>
    <n v="0"/>
    <n v="0"/>
    <n v="0"/>
    <n v="0"/>
    <n v="0.3"/>
    <n v="2.7272727272727271E-2"/>
    <n v="0.3"/>
    <n v="0.9"/>
    <n v="1.2"/>
    <n v="0"/>
    <n v="22"/>
    <n v="9"/>
  </r>
  <r>
    <n v="195"/>
    <x v="143"/>
    <s v="us USA"/>
    <s v="FW,MF"/>
    <s v="Reign"/>
    <s v="24-105"/>
    <n v="2001"/>
    <n v="11"/>
    <n v="4"/>
    <n v="0.36363636363636365"/>
    <n v="354"/>
    <n v="3.9"/>
    <n v="0"/>
    <n v="0"/>
    <n v="1"/>
    <n v="9.0909090909090912E-2"/>
    <n v="1"/>
    <n v="9.0909090909090912E-2"/>
    <n v="0"/>
    <n v="0"/>
    <n v="0"/>
    <n v="0"/>
    <n v="0"/>
    <n v="0"/>
    <n v="0"/>
    <n v="0.4"/>
    <n v="3.6363636363636369E-2"/>
    <n v="0.4"/>
    <n v="0.5"/>
    <n v="0.9"/>
    <n v="6"/>
    <n v="10"/>
    <n v="21"/>
  </r>
  <r>
    <n v="10"/>
    <x v="144"/>
    <s v="br BRA"/>
    <s v="MF"/>
    <s v="Pride"/>
    <s v="25-170"/>
    <n v="2000"/>
    <n v="12"/>
    <n v="10"/>
    <n v="0.83333333333333337"/>
    <n v="890"/>
    <n v="9.9"/>
    <n v="0"/>
    <n v="0"/>
    <n v="1"/>
    <n v="8.3333333333333329E-2"/>
    <n v="1"/>
    <n v="8.3333333333333329E-2"/>
    <n v="0"/>
    <n v="0"/>
    <n v="0"/>
    <n v="0"/>
    <n v="0"/>
    <n v="0"/>
    <n v="0"/>
    <n v="1.2"/>
    <n v="9.9999999999999992E-2"/>
    <n v="1.2"/>
    <n v="2.2000000000000002"/>
    <n v="3.4"/>
    <n v="7"/>
    <n v="46"/>
    <n v="60"/>
  </r>
  <r>
    <n v="73"/>
    <x v="145"/>
    <s v="us USA"/>
    <s v="DF"/>
    <s v="Royals"/>
    <s v="26-357"/>
    <n v="1998"/>
    <n v="13"/>
    <n v="13"/>
    <n v="1"/>
    <n v="1170"/>
    <n v="13"/>
    <n v="0"/>
    <n v="0"/>
    <n v="1"/>
    <n v="7.6923076923076927E-2"/>
    <n v="1"/>
    <n v="7.6923076923076927E-2"/>
    <n v="0"/>
    <n v="0"/>
    <n v="0"/>
    <n v="0"/>
    <n v="1"/>
    <n v="0"/>
    <n v="1"/>
    <n v="0.3"/>
    <n v="2.3076923076923075E-2"/>
    <n v="0.3"/>
    <n v="0.3"/>
    <n v="0.6"/>
    <n v="6"/>
    <n v="69"/>
    <n v="8"/>
  </r>
  <r>
    <n v="76"/>
    <x v="146"/>
    <s v="us USA"/>
    <s v="MF,FW"/>
    <s v="Current"/>
    <s v="33-061"/>
    <n v="1992"/>
    <n v="13"/>
    <n v="11"/>
    <n v="0.84615384615384615"/>
    <n v="886"/>
    <n v="9.8000000000000007"/>
    <n v="0"/>
    <n v="0"/>
    <n v="1"/>
    <n v="7.6923076923076927E-2"/>
    <n v="1"/>
    <n v="7.6923076923076927E-2"/>
    <n v="0"/>
    <n v="0"/>
    <n v="0"/>
    <n v="0"/>
    <n v="1"/>
    <n v="0"/>
    <n v="1"/>
    <n v="0.7"/>
    <n v="5.3846153846153842E-2"/>
    <n v="0.7"/>
    <n v="1.4"/>
    <n v="2.1"/>
    <n v="19"/>
    <n v="58"/>
    <n v="27"/>
  </r>
  <r>
    <n v="132"/>
    <x v="147"/>
    <s v="us USA"/>
    <s v="MF,FW"/>
    <s v="Bay FC"/>
    <s v="22-333"/>
    <n v="2002"/>
    <n v="13"/>
    <n v="13"/>
    <n v="1"/>
    <n v="1080"/>
    <n v="12"/>
    <n v="0"/>
    <n v="0"/>
    <n v="1"/>
    <n v="7.6923076923076927E-2"/>
    <n v="1"/>
    <n v="7.6923076923076927E-2"/>
    <n v="0"/>
    <n v="0"/>
    <n v="0"/>
    <n v="0"/>
    <n v="1"/>
    <n v="0"/>
    <n v="1"/>
    <n v="1.9"/>
    <n v="0.14615384615384613"/>
    <n v="1.9"/>
    <n v="1.2"/>
    <n v="3.1"/>
    <n v="15"/>
    <n v="52"/>
    <n v="47"/>
  </r>
  <r>
    <n v="146"/>
    <x v="148"/>
    <s v="au AUS"/>
    <s v="MF"/>
    <s v="Angel City"/>
    <s v="30-175"/>
    <n v="1995"/>
    <n v="13"/>
    <n v="13"/>
    <n v="1"/>
    <n v="1077"/>
    <n v="12"/>
    <n v="0"/>
    <n v="0"/>
    <n v="1"/>
    <n v="7.6923076923076927E-2"/>
    <n v="1"/>
    <n v="7.6923076923076927E-2"/>
    <n v="0"/>
    <n v="0"/>
    <n v="0"/>
    <n v="0"/>
    <n v="0"/>
    <n v="0"/>
    <n v="0"/>
    <n v="1.2"/>
    <n v="9.2307692307692299E-2"/>
    <n v="1.2"/>
    <n v="0.7"/>
    <n v="1.9"/>
    <n v="4"/>
    <n v="44"/>
    <n v="12"/>
  </r>
  <r>
    <n v="152"/>
    <x v="149"/>
    <s v="jp JPN"/>
    <s v="MF,FW"/>
    <s v="Courage"/>
    <s v="20-165"/>
    <n v="2005"/>
    <n v="13"/>
    <n v="6"/>
    <n v="0.46153846153846156"/>
    <n v="535"/>
    <n v="5.9"/>
    <n v="0"/>
    <n v="0"/>
    <n v="1"/>
    <n v="7.6923076923076927E-2"/>
    <n v="1"/>
    <n v="7.6923076923076927E-2"/>
    <n v="0"/>
    <n v="0"/>
    <n v="0"/>
    <n v="0"/>
    <n v="1"/>
    <n v="0"/>
    <n v="1"/>
    <n v="2.5"/>
    <n v="0.19230769230769232"/>
    <n v="2.5"/>
    <n v="1.6"/>
    <n v="4.0999999999999996"/>
    <n v="4"/>
    <n v="25"/>
    <n v="26"/>
  </r>
  <r>
    <n v="180"/>
    <x v="150"/>
    <s v="us USA"/>
    <s v="MF,DF"/>
    <s v="Gotham FC"/>
    <s v="27-084"/>
    <n v="1998"/>
    <n v="13"/>
    <n v="11"/>
    <n v="0.84615384615384615"/>
    <n v="979"/>
    <n v="10.9"/>
    <n v="0"/>
    <n v="0"/>
    <n v="1"/>
    <n v="7.6923076923076927E-2"/>
    <n v="1"/>
    <n v="7.6923076923076927E-2"/>
    <n v="0"/>
    <n v="0"/>
    <n v="0"/>
    <n v="0"/>
    <n v="1"/>
    <n v="0"/>
    <n v="1"/>
    <n v="0.3"/>
    <n v="2.3076923076923075E-2"/>
    <n v="0.3"/>
    <n v="0.4"/>
    <n v="0.6"/>
    <n v="3"/>
    <n v="30"/>
    <n v="6"/>
  </r>
  <r>
    <n v="188"/>
    <x v="151"/>
    <s v="us USA"/>
    <s v="GK"/>
    <s v="Royals"/>
    <s v="26-254"/>
    <n v="1998"/>
    <n v="13"/>
    <n v="13"/>
    <n v="1"/>
    <n v="1170"/>
    <n v="13"/>
    <n v="0"/>
    <n v="0"/>
    <n v="1"/>
    <n v="7.6923076923076927E-2"/>
    <n v="1"/>
    <n v="7.6923076923076927E-2"/>
    <n v="0"/>
    <n v="0"/>
    <n v="0"/>
    <n v="0"/>
    <n v="2"/>
    <n v="0"/>
    <n v="2"/>
    <n v="0"/>
    <n v="0"/>
    <n v="0"/>
    <n v="0.8"/>
    <n v="0.8"/>
    <n v="1"/>
    <n v="0"/>
    <n v="0"/>
  </r>
  <r>
    <n v="196"/>
    <x v="152"/>
    <s v="us USA"/>
    <s v="MF"/>
    <s v="Reign"/>
    <s v="23-250"/>
    <n v="2001"/>
    <n v="13"/>
    <n v="9"/>
    <n v="0.69230769230769229"/>
    <n v="877"/>
    <n v="9.6999999999999993"/>
    <n v="0"/>
    <n v="0"/>
    <n v="1"/>
    <n v="7.6923076923076927E-2"/>
    <n v="1"/>
    <n v="7.6923076923076927E-2"/>
    <n v="0"/>
    <n v="0"/>
    <n v="0"/>
    <n v="0"/>
    <n v="0"/>
    <n v="0"/>
    <n v="0"/>
    <n v="0.2"/>
    <n v="1.5384615384615385E-2"/>
    <n v="0.2"/>
    <n v="1.3"/>
    <n v="1.5"/>
    <n v="8"/>
    <n v="28"/>
    <n v="13"/>
  </r>
  <r>
    <n v="197"/>
    <x v="153"/>
    <s v="us USA"/>
    <s v="DF"/>
    <s v="Louisville"/>
    <s v="28-226"/>
    <n v="1996"/>
    <n v="13"/>
    <n v="13"/>
    <n v="1"/>
    <n v="1170"/>
    <n v="13"/>
    <n v="0"/>
    <n v="0"/>
    <n v="1"/>
    <n v="7.6923076923076927E-2"/>
    <n v="1"/>
    <n v="7.6923076923076927E-2"/>
    <n v="0"/>
    <n v="0"/>
    <n v="0"/>
    <n v="0"/>
    <n v="0"/>
    <n v="0"/>
    <n v="0"/>
    <n v="0.2"/>
    <n v="1.5384615384615385E-2"/>
    <n v="0.2"/>
    <n v="1.1000000000000001"/>
    <n v="1.3"/>
    <n v="25"/>
    <n v="62"/>
    <n v="20"/>
  </r>
  <r>
    <n v="222"/>
    <x v="154"/>
    <m/>
    <s v="MF"/>
    <s v="Louisville"/>
    <m/>
    <m/>
    <n v="13"/>
    <n v="8"/>
    <n v="0.61538461538461542"/>
    <n v="654"/>
    <n v="7.3"/>
    <n v="0"/>
    <n v="0"/>
    <n v="1"/>
    <n v="7.6923076923076927E-2"/>
    <n v="1"/>
    <n v="7.6923076923076927E-2"/>
    <n v="0"/>
    <n v="0"/>
    <n v="0"/>
    <n v="0"/>
    <n v="2"/>
    <n v="0"/>
    <n v="2"/>
    <n v="0.6"/>
    <n v="4.6153846153846149E-2"/>
    <n v="0.6"/>
    <n v="0.5"/>
    <n v="1.1000000000000001"/>
    <n v="5"/>
    <n v="28"/>
    <n v="17"/>
  </r>
  <r>
    <n v="1"/>
    <x v="155"/>
    <s v="us USA"/>
    <s v="DF"/>
    <s v="Pride"/>
    <s v="25-301"/>
    <n v="1999"/>
    <n v="13"/>
    <n v="10"/>
    <n v="0.76923076923076927"/>
    <n v="923"/>
    <n v="10.3"/>
    <n v="0"/>
    <n v="0"/>
    <n v="0"/>
    <n v="0"/>
    <n v="0"/>
    <n v="0"/>
    <n v="0"/>
    <n v="0"/>
    <n v="0"/>
    <n v="0"/>
    <n v="1"/>
    <n v="0"/>
    <n v="1"/>
    <n v="0.3"/>
    <n v="2.3076923076923075E-2"/>
    <n v="0.3"/>
    <n v="0.5"/>
    <n v="0.8"/>
    <n v="32"/>
    <n v="62"/>
    <n v="32"/>
  </r>
  <r>
    <n v="5"/>
    <x v="156"/>
    <s v="us USA"/>
    <s v="GK"/>
    <s v="Bay FC"/>
    <s v="22-263"/>
    <n v="2002"/>
    <n v="2"/>
    <n v="2"/>
    <n v="1"/>
    <n v="18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"/>
    <x v="157"/>
    <s v="ng NGA"/>
    <s v="DF,MF"/>
    <s v="Dash"/>
    <s v="28-078"/>
    <n v="1997"/>
    <n v="10"/>
    <n v="1"/>
    <n v="0.1"/>
    <n v="293"/>
    <n v="3.3"/>
    <n v="0"/>
    <n v="0"/>
    <n v="0"/>
    <n v="0"/>
    <n v="0"/>
    <n v="0"/>
    <n v="0"/>
    <n v="0"/>
    <n v="0"/>
    <n v="0"/>
    <n v="0"/>
    <n v="0"/>
    <n v="0"/>
    <n v="0.1"/>
    <n v="0.01"/>
    <n v="0.1"/>
    <n v="0.1"/>
    <n v="0.2"/>
    <n v="8"/>
    <n v="8"/>
    <n v="25"/>
  </r>
  <r>
    <n v="7"/>
    <x v="158"/>
    <s v="us USA"/>
    <s v="GK"/>
    <s v="Angel City"/>
    <s v="24-115"/>
    <n v="2001"/>
    <n v="13"/>
    <n v="13"/>
    <n v="1"/>
    <n v="117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8"/>
    <x v="159"/>
    <s v="us USA"/>
    <s v="DF"/>
    <s v="Chicago Stars"/>
    <s v="24-103"/>
    <n v="2001"/>
    <n v="8"/>
    <n v="3"/>
    <n v="0.375"/>
    <n v="371"/>
    <n v="4.0999999999999996"/>
    <n v="0"/>
    <n v="0"/>
    <n v="0"/>
    <n v="0"/>
    <n v="0"/>
    <n v="0"/>
    <n v="0"/>
    <n v="0"/>
    <n v="0"/>
    <n v="0"/>
    <n v="0"/>
    <n v="0"/>
    <n v="0"/>
    <n v="0.4"/>
    <n v="0.05"/>
    <n v="0.4"/>
    <n v="0"/>
    <n v="0.4"/>
    <n v="0"/>
    <n v="5"/>
    <n v="0"/>
  </r>
  <r>
    <n v="12"/>
    <x v="160"/>
    <s v="au AUS"/>
    <s v="GK"/>
    <s v="Thorns"/>
    <s v="31-140"/>
    <n v="1994"/>
    <n v="6"/>
    <n v="6"/>
    <n v="1"/>
    <n v="54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61"/>
    <s v="ch SUI"/>
    <s v="MF"/>
    <s v="Dash"/>
    <s v="34-202"/>
    <n v="1990"/>
    <n v="2"/>
    <n v="0"/>
    <n v="0"/>
    <n v="37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</r>
  <r>
    <n v="16"/>
    <x v="162"/>
    <s v="us USA"/>
    <s v="MF"/>
    <s v="Bay FC"/>
    <s v="28-168"/>
    <n v="1997"/>
    <n v="11"/>
    <n v="7"/>
    <n v="0.63636363636363635"/>
    <n v="630"/>
    <n v="7"/>
    <n v="0"/>
    <n v="0"/>
    <n v="0"/>
    <n v="0"/>
    <n v="0"/>
    <n v="0"/>
    <n v="0"/>
    <n v="0"/>
    <n v="0"/>
    <n v="0"/>
    <n v="2"/>
    <n v="0"/>
    <n v="2"/>
    <n v="0.4"/>
    <n v="3.6363636363636369E-2"/>
    <n v="0.4"/>
    <n v="1"/>
    <n v="1.4"/>
    <n v="4"/>
    <n v="28"/>
    <n v="18"/>
  </r>
  <r>
    <n v="17"/>
    <x v="163"/>
    <s v="us USA"/>
    <s v="DF"/>
    <s v="Current"/>
    <s v="29-268"/>
    <n v="1995"/>
    <n v="9"/>
    <n v="7"/>
    <n v="0.77777777777777779"/>
    <n v="629"/>
    <n v="7"/>
    <n v="0"/>
    <n v="0"/>
    <n v="0"/>
    <n v="0"/>
    <n v="0"/>
    <n v="0"/>
    <n v="0"/>
    <n v="0"/>
    <n v="0"/>
    <n v="0"/>
    <n v="0"/>
    <n v="0"/>
    <n v="0"/>
    <n v="0.1"/>
    <n v="1.1111111111111112E-2"/>
    <n v="0.1"/>
    <n v="0"/>
    <n v="0.1"/>
    <n v="0"/>
    <n v="4"/>
    <n v="1"/>
  </r>
  <r>
    <n v="21"/>
    <x v="164"/>
    <s v="us USA"/>
    <s v="FW"/>
    <s v="Chicago Stars"/>
    <s v="23-211"/>
    <n v="2001"/>
    <n v="4"/>
    <n v="0"/>
    <n v="0"/>
    <n v="49"/>
    <n v="0.5"/>
    <n v="0"/>
    <n v="0"/>
    <n v="0"/>
    <n v="0"/>
    <n v="0"/>
    <n v="0"/>
    <n v="0"/>
    <n v="0"/>
    <n v="0"/>
    <n v="0"/>
    <n v="0"/>
    <n v="0"/>
    <n v="0"/>
    <n v="0.3"/>
    <n v="7.4999999999999997E-2"/>
    <n v="0.3"/>
    <n v="0"/>
    <n v="0.3"/>
    <n v="0"/>
    <n v="1"/>
    <n v="4"/>
  </r>
  <r>
    <n v="24"/>
    <x v="165"/>
    <s v="us USA"/>
    <s v="DF"/>
    <s v="Courage"/>
    <s v="24-300"/>
    <n v="2000"/>
    <n v="11"/>
    <n v="10"/>
    <n v="0.90909090909090906"/>
    <n v="918"/>
    <n v="10.199999999999999"/>
    <n v="0"/>
    <n v="0"/>
    <n v="0"/>
    <n v="0"/>
    <n v="0"/>
    <n v="0"/>
    <n v="0"/>
    <n v="0"/>
    <n v="0"/>
    <n v="0"/>
    <n v="1"/>
    <n v="0"/>
    <n v="1"/>
    <n v="1"/>
    <n v="9.0909090909090912E-2"/>
    <n v="1"/>
    <n v="0.2"/>
    <n v="1.1000000000000001"/>
    <n v="2"/>
    <n v="22"/>
    <n v="3"/>
  </r>
  <r>
    <n v="25"/>
    <x v="166"/>
    <s v="de GER"/>
    <s v="GK"/>
    <s v="Gotham FC"/>
    <s v="34-279"/>
    <n v="1990"/>
    <n v="13"/>
    <n v="13"/>
    <n v="1"/>
    <n v="1167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</r>
  <r>
    <n v="27"/>
    <x v="167"/>
    <s v="mx MEX"/>
    <s v="DF,MF"/>
    <s v="Spirit"/>
    <s v="27-318"/>
    <n v="1997"/>
    <n v="13"/>
    <n v="12"/>
    <n v="0.92307692307692313"/>
    <n v="1077"/>
    <n v="12"/>
    <n v="0"/>
    <n v="0"/>
    <n v="0"/>
    <n v="0"/>
    <n v="0"/>
    <n v="0"/>
    <n v="0"/>
    <n v="0"/>
    <n v="0"/>
    <n v="0"/>
    <n v="1"/>
    <n v="0"/>
    <n v="1"/>
    <n v="0.8"/>
    <n v="6.1538461538461542E-2"/>
    <n v="0.8"/>
    <n v="0.7"/>
    <n v="1.5"/>
    <n v="5"/>
    <n v="47"/>
    <n v="4"/>
  </r>
  <r>
    <n v="29"/>
    <x v="168"/>
    <s v="us USA"/>
    <s v="MF,FW"/>
    <s v="Spirit"/>
    <s v="24-123"/>
    <n v="2001"/>
    <n v="8"/>
    <n v="5"/>
    <n v="0.625"/>
    <n v="439"/>
    <n v="4.9000000000000004"/>
    <n v="0"/>
    <n v="0"/>
    <n v="0"/>
    <n v="0"/>
    <n v="0"/>
    <n v="0"/>
    <n v="0"/>
    <n v="0"/>
    <n v="0"/>
    <n v="0"/>
    <n v="0"/>
    <n v="0"/>
    <n v="0"/>
    <n v="0.5"/>
    <n v="6.25E-2"/>
    <n v="0.5"/>
    <n v="0.8"/>
    <n v="1.3"/>
    <n v="13"/>
    <n v="18"/>
    <n v="23"/>
  </r>
  <r>
    <n v="31"/>
    <x v="169"/>
    <s v="us USA"/>
    <s v="FW,MF"/>
    <s v="Chicago Stars"/>
    <s v="27-163"/>
    <n v="1998"/>
    <n v="4"/>
    <n v="3"/>
    <n v="0.75"/>
    <n v="222"/>
    <n v="2.5"/>
    <n v="0"/>
    <n v="0"/>
    <n v="0"/>
    <n v="0"/>
    <n v="0"/>
    <n v="0"/>
    <n v="0"/>
    <n v="0"/>
    <n v="0"/>
    <n v="0"/>
    <n v="0"/>
    <n v="0"/>
    <n v="0"/>
    <n v="0"/>
    <n v="0"/>
    <n v="0"/>
    <n v="0.1"/>
    <n v="0.2"/>
    <n v="1"/>
    <n v="3"/>
    <n v="16"/>
  </r>
  <r>
    <n v="32"/>
    <x v="170"/>
    <s v="us USA"/>
    <s v="GK"/>
    <s v="Thorns"/>
    <s v="29-237"/>
    <n v="1995"/>
    <n v="7"/>
    <n v="7"/>
    <n v="1"/>
    <n v="63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"/>
    <x v="171"/>
    <s v="us USA"/>
    <s v="GK"/>
    <s v="Louisville"/>
    <s v="27-274"/>
    <n v="1997"/>
    <n v="7"/>
    <n v="7"/>
    <n v="1"/>
    <n v="63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"/>
    <x v="172"/>
    <s v="us USA"/>
    <s v="MF"/>
    <s v="Bay FC"/>
    <s v="26-162"/>
    <n v="1999"/>
    <n v="7"/>
    <n v="2"/>
    <n v="0.2857142857142857"/>
    <n v="223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7"/>
    <n v="12"/>
  </r>
  <r>
    <n v="37"/>
    <x v="173"/>
    <s v="us USA"/>
    <s v="DF"/>
    <s v="Bay FC"/>
    <s v="25-291"/>
    <n v="1999"/>
    <n v="1"/>
    <n v="1"/>
    <n v="1"/>
    <n v="2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2"/>
    <x v="174"/>
    <s v="us USA"/>
    <s v="GK"/>
    <s v="Dash"/>
    <s v="30-148"/>
    <n v="1995"/>
    <n v="8"/>
    <n v="8"/>
    <n v="1"/>
    <n v="72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3"/>
    <x v="175"/>
    <s v="us USA"/>
    <s v="GK"/>
    <s v="Gotham FC"/>
    <s v="23-119"/>
    <n v="2002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4"/>
    <x v="176"/>
    <s v="ca CAN"/>
    <s v="DF"/>
    <s v="Spirit"/>
    <s v="26-276"/>
    <n v="1998"/>
    <n v="13"/>
    <n v="13"/>
    <n v="1"/>
    <n v="1112"/>
    <n v="12.4"/>
    <n v="0"/>
    <n v="0"/>
    <n v="0"/>
    <n v="0"/>
    <n v="0"/>
    <n v="0"/>
    <n v="0"/>
    <n v="0"/>
    <n v="0"/>
    <n v="0"/>
    <n v="1"/>
    <n v="0"/>
    <n v="1"/>
    <n v="0.5"/>
    <n v="3.8461538461538464E-2"/>
    <n v="0.5"/>
    <n v="0.9"/>
    <n v="1.5"/>
    <n v="19"/>
    <n v="30"/>
    <n v="31"/>
  </r>
  <r>
    <n v="45"/>
    <x v="177"/>
    <s v="eng ENG"/>
    <s v="DF"/>
    <s v="Gotham FC"/>
    <s v="27-261"/>
    <n v="1997"/>
    <n v="10"/>
    <n v="10"/>
    <n v="1"/>
    <n v="775"/>
    <n v="8.6"/>
    <n v="0"/>
    <n v="0"/>
    <n v="0"/>
    <n v="0"/>
    <n v="0"/>
    <n v="0"/>
    <n v="0"/>
    <n v="0"/>
    <n v="0"/>
    <n v="0"/>
    <n v="1"/>
    <n v="1"/>
    <n v="2"/>
    <n v="0.1"/>
    <n v="0.01"/>
    <n v="0.1"/>
    <n v="0.1"/>
    <n v="0.2"/>
    <n v="5"/>
    <n v="31"/>
    <n v="7"/>
  </r>
  <r>
    <n v="46"/>
    <x v="178"/>
    <s v="ie IRL"/>
    <s v="FW"/>
    <s v="Wave"/>
    <s v="29-243"/>
    <n v="1995"/>
    <n v="7"/>
    <n v="1"/>
    <n v="0.14285714285714285"/>
    <n v="184"/>
    <n v="2"/>
    <n v="0"/>
    <n v="0"/>
    <n v="0"/>
    <n v="0"/>
    <n v="0"/>
    <n v="0"/>
    <n v="0"/>
    <n v="0"/>
    <n v="0"/>
    <n v="0"/>
    <n v="0"/>
    <n v="0"/>
    <n v="0"/>
    <n v="0.2"/>
    <n v="2.8571428571428574E-2"/>
    <n v="0.2"/>
    <n v="0.2"/>
    <n v="0.4"/>
    <n v="2"/>
    <n v="4"/>
    <n v="15"/>
  </r>
  <r>
    <n v="49"/>
    <x v="179"/>
    <s v="zm ZAM"/>
    <s v="MF"/>
    <s v="Pride"/>
    <s v="28-034"/>
    <n v="1997"/>
    <n v="3"/>
    <n v="0"/>
    <n v="0"/>
    <n v="33"/>
    <n v="0.4"/>
    <n v="0"/>
    <n v="0"/>
    <n v="0"/>
    <n v="0"/>
    <n v="0"/>
    <n v="0"/>
    <n v="0"/>
    <n v="0"/>
    <n v="0"/>
    <n v="0"/>
    <n v="0"/>
    <n v="0"/>
    <n v="0"/>
    <n v="0.1"/>
    <n v="3.3333333333333333E-2"/>
    <n v="0.1"/>
    <n v="0"/>
    <n v="0.1"/>
    <n v="0"/>
    <n v="2"/>
    <n v="1"/>
  </r>
  <r>
    <n v="50"/>
    <x v="180"/>
    <s v="ca CAN"/>
    <s v="DF"/>
    <s v="Pride"/>
    <s v="22-221"/>
    <n v="2002"/>
    <n v="4"/>
    <n v="2"/>
    <n v="0.5"/>
    <n v="1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0"/>
    <n v="0"/>
  </r>
  <r>
    <n v="53"/>
    <x v="181"/>
    <s v="us USA"/>
    <s v="MF"/>
    <s v="Royals"/>
    <s v="26-140"/>
    <n v="1999"/>
    <n v="7"/>
    <n v="1"/>
    <n v="0.14285714285714285"/>
    <n v="155"/>
    <n v="1.7"/>
    <n v="0"/>
    <n v="0"/>
    <n v="0"/>
    <n v="0"/>
    <n v="0"/>
    <n v="0"/>
    <n v="0"/>
    <n v="0"/>
    <n v="0"/>
    <n v="0"/>
    <n v="1"/>
    <n v="0"/>
    <n v="1"/>
    <n v="0.1"/>
    <n v="1.4285714285714287E-2"/>
    <n v="0.1"/>
    <n v="0"/>
    <n v="0.1"/>
    <n v="0"/>
    <n v="7"/>
    <n v="5"/>
  </r>
  <r>
    <n v="55"/>
    <x v="182"/>
    <s v="us USA"/>
    <s v="MF"/>
    <s v="Dash"/>
    <s v="32-070"/>
    <n v="1993"/>
    <n v="13"/>
    <n v="13"/>
    <n v="1"/>
    <n v="1064"/>
    <n v="11.8"/>
    <n v="0"/>
    <n v="0"/>
    <n v="0"/>
    <n v="0"/>
    <n v="0"/>
    <n v="0"/>
    <n v="0"/>
    <n v="0"/>
    <n v="0"/>
    <n v="0"/>
    <n v="2"/>
    <n v="0"/>
    <n v="2"/>
    <n v="0.4"/>
    <n v="3.0769230769230771E-2"/>
    <n v="0.4"/>
    <n v="0.1"/>
    <n v="0.5"/>
    <n v="2"/>
    <n v="32"/>
    <n v="4"/>
  </r>
  <r>
    <n v="57"/>
    <x v="183"/>
    <s v="us USA"/>
    <s v="DF"/>
    <s v="Current"/>
    <s v="28-095"/>
    <n v="1997"/>
    <n v="7"/>
    <n v="7"/>
    <n v="1"/>
    <n v="586"/>
    <n v="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</r>
  <r>
    <n v="58"/>
    <x v="184"/>
    <s v="us USA"/>
    <s v="FW"/>
    <s v="Chicago Stars"/>
    <s v="25-010"/>
    <n v="2000"/>
    <n v="6"/>
    <n v="0"/>
    <n v="0"/>
    <n v="57"/>
    <n v="0.6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0"/>
    <n v="0"/>
    <n v="5"/>
  </r>
  <r>
    <n v="59"/>
    <x v="185"/>
    <s v="us USA"/>
    <s v="MF,FW"/>
    <s v="Gotham FC"/>
    <s v="20-342"/>
    <n v="2004"/>
    <n v="5"/>
    <n v="0"/>
    <n v="0"/>
    <n v="89"/>
    <n v="1"/>
    <n v="0"/>
    <n v="0"/>
    <n v="0"/>
    <n v="0"/>
    <n v="0"/>
    <n v="0"/>
    <n v="0"/>
    <n v="0"/>
    <n v="0"/>
    <n v="0"/>
    <n v="0"/>
    <n v="0"/>
    <n v="0"/>
    <n v="0.1"/>
    <n v="0.02"/>
    <n v="0.1"/>
    <n v="0"/>
    <n v="0.1"/>
    <n v="4"/>
    <n v="6"/>
    <n v="6"/>
  </r>
  <r>
    <n v="62"/>
    <x v="186"/>
    <s v="ca CAN"/>
    <s v="DF,FW"/>
    <s v="Courage"/>
    <s v="22-199"/>
    <n v="2002"/>
    <n v="2"/>
    <n v="0"/>
    <n v="0"/>
    <n v="29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4"/>
  </r>
  <r>
    <n v="63"/>
    <x v="187"/>
    <s v="ch SUI"/>
    <s v="FW,MF"/>
    <s v="Reign"/>
    <s v="34-285"/>
    <n v="1990"/>
    <n v="9"/>
    <n v="5"/>
    <n v="0.55555555555555558"/>
    <n v="366"/>
    <n v="4.0999999999999996"/>
    <n v="0"/>
    <n v="0"/>
    <n v="0"/>
    <n v="0"/>
    <n v="0"/>
    <n v="0"/>
    <n v="0"/>
    <n v="0"/>
    <n v="0"/>
    <n v="0"/>
    <n v="0"/>
    <n v="0"/>
    <n v="0"/>
    <n v="0.6"/>
    <n v="6.6666666666666666E-2"/>
    <n v="0.6"/>
    <n v="0"/>
    <n v="0.6"/>
    <n v="8"/>
    <n v="10"/>
    <n v="16"/>
  </r>
  <r>
    <n v="64"/>
    <x v="188"/>
    <m/>
    <s v="GK"/>
    <s v="Pride"/>
    <m/>
    <m/>
    <n v="1"/>
    <n v="0"/>
    <n v="0"/>
    <n v="4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5"/>
    <x v="189"/>
    <s v="us USA"/>
    <s v="MF,FW"/>
    <s v="Chicago Stars"/>
    <s v="25-331"/>
    <n v="1999"/>
    <n v="6"/>
    <n v="0"/>
    <n v="0"/>
    <n v="79"/>
    <n v="0.9"/>
    <n v="0"/>
    <n v="0"/>
    <n v="0"/>
    <n v="0"/>
    <n v="0"/>
    <n v="0"/>
    <n v="0"/>
    <n v="0"/>
    <n v="0"/>
    <n v="0"/>
    <n v="1"/>
    <n v="0"/>
    <n v="1"/>
    <n v="0.2"/>
    <n v="3.3333333333333333E-2"/>
    <n v="0.2"/>
    <n v="0"/>
    <n v="0.2"/>
    <n v="3"/>
    <n v="3"/>
    <n v="7"/>
  </r>
  <r>
    <n v="66"/>
    <x v="190"/>
    <s v="us USA"/>
    <s v="DF"/>
    <s v="Reign"/>
    <s v="24-173"/>
    <n v="2001"/>
    <n v="13"/>
    <n v="11"/>
    <n v="0.84615384615384615"/>
    <n v="979"/>
    <n v="10.9"/>
    <n v="0"/>
    <n v="0"/>
    <n v="0"/>
    <n v="0"/>
    <n v="0"/>
    <n v="0"/>
    <n v="0"/>
    <n v="0"/>
    <n v="0"/>
    <n v="0"/>
    <n v="2"/>
    <n v="0"/>
    <n v="2"/>
    <n v="0.1"/>
    <n v="7.6923076923076927E-3"/>
    <n v="0.1"/>
    <n v="0.4"/>
    <n v="0.5"/>
    <n v="16"/>
    <n v="40"/>
    <n v="44"/>
  </r>
  <r>
    <n v="68"/>
    <x v="191"/>
    <s v="us USA"/>
    <s v="DF"/>
    <s v="Bay FC"/>
    <s v="32-063"/>
    <n v="1993"/>
    <n v="13"/>
    <n v="13"/>
    <n v="1"/>
    <n v="1170"/>
    <n v="13"/>
    <n v="0"/>
    <n v="0"/>
    <n v="0"/>
    <n v="0"/>
    <n v="0"/>
    <n v="0"/>
    <n v="0"/>
    <n v="0"/>
    <n v="0"/>
    <n v="0"/>
    <n v="2"/>
    <n v="0"/>
    <n v="2"/>
    <n v="0.8"/>
    <n v="6.1538461538461542E-2"/>
    <n v="0.8"/>
    <n v="0.3"/>
    <n v="1.1000000000000001"/>
    <n v="2"/>
    <n v="38"/>
    <n v="2"/>
  </r>
  <r>
    <n v="69"/>
    <x v="192"/>
    <s v="br BRA"/>
    <s v="DF"/>
    <s v="Thorns"/>
    <s v="27-311"/>
    <n v="1997"/>
    <n v="1"/>
    <n v="0"/>
    <n v="0"/>
    <n v="7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1"/>
    <x v="193"/>
    <s v="us USA"/>
    <s v="DF"/>
    <s v="Gotham FC"/>
    <s v="26-300"/>
    <n v="1998"/>
    <n v="3"/>
    <n v="3"/>
    <n v="1"/>
    <n v="223"/>
    <n v="2.5"/>
    <n v="0"/>
    <n v="0"/>
    <n v="0"/>
    <n v="0"/>
    <n v="0"/>
    <n v="0"/>
    <n v="0"/>
    <n v="0"/>
    <n v="0"/>
    <n v="0"/>
    <n v="0"/>
    <n v="0"/>
    <n v="0"/>
    <n v="0.2"/>
    <n v="6.6666666666666666E-2"/>
    <n v="0.2"/>
    <n v="0"/>
    <n v="0.2"/>
    <n v="3"/>
    <n v="12"/>
    <n v="0"/>
  </r>
  <r>
    <n v="75"/>
    <x v="194"/>
    <m/>
    <s v="MF"/>
    <s v="Spirit"/>
    <m/>
    <m/>
    <n v="2"/>
    <n v="0"/>
    <n v="0"/>
    <n v="9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7"/>
    <x v="195"/>
    <s v="us USA"/>
    <s v="GK"/>
    <s v="Reign"/>
    <s v="25-190"/>
    <n v="2000"/>
    <n v="13"/>
    <n v="13"/>
    <n v="1"/>
    <n v="117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8"/>
    <x v="196"/>
    <s v="us USA"/>
    <s v="MF"/>
    <s v="Louisville"/>
    <s v="28-160"/>
    <n v="1997"/>
    <n v="10"/>
    <n v="3"/>
    <n v="0.3"/>
    <n v="371"/>
    <n v="4.0999999999999996"/>
    <n v="0"/>
    <n v="0"/>
    <n v="0"/>
    <n v="0"/>
    <n v="0"/>
    <n v="0"/>
    <n v="0"/>
    <n v="0"/>
    <n v="0"/>
    <n v="0"/>
    <n v="1"/>
    <n v="0"/>
    <n v="1"/>
    <n v="0.1"/>
    <n v="0.01"/>
    <n v="0.1"/>
    <n v="0.3"/>
    <n v="0.4"/>
    <n v="2"/>
    <n v="17"/>
    <n v="9"/>
  </r>
  <r>
    <n v="79"/>
    <x v="197"/>
    <s v="us USA"/>
    <s v="FW,MF"/>
    <s v="Wave"/>
    <s v="31-140"/>
    <n v="1994"/>
    <n v="8"/>
    <n v="0"/>
    <n v="0"/>
    <n v="90"/>
    <n v="1"/>
    <n v="0"/>
    <n v="0"/>
    <n v="0"/>
    <n v="0"/>
    <n v="0"/>
    <n v="0"/>
    <n v="0"/>
    <n v="0"/>
    <n v="0"/>
    <n v="0"/>
    <n v="0"/>
    <n v="0"/>
    <n v="0"/>
    <n v="0.5"/>
    <n v="6.25E-2"/>
    <n v="0.5"/>
    <n v="0.3"/>
    <n v="0.8"/>
    <n v="7"/>
    <n v="8"/>
    <n v="17"/>
  </r>
  <r>
    <n v="80"/>
    <x v="198"/>
    <s v="us USA"/>
    <s v="DF"/>
    <s v="Royals"/>
    <s v="29-116"/>
    <n v="1996"/>
    <n v="7"/>
    <n v="1"/>
    <n v="0.14285714285714285"/>
    <n v="146"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11"/>
  </r>
  <r>
    <n v="82"/>
    <x v="199"/>
    <s v="fr FRA"/>
    <s v="FW,MF"/>
    <s v="Angel City"/>
    <s v="24-047"/>
    <n v="2001"/>
    <n v="9"/>
    <n v="4"/>
    <n v="0.44444444444444442"/>
    <n v="369"/>
    <n v="4.0999999999999996"/>
    <n v="0"/>
    <n v="0"/>
    <n v="0"/>
    <n v="0"/>
    <n v="0"/>
    <n v="0"/>
    <n v="0"/>
    <n v="0"/>
    <n v="0"/>
    <n v="0"/>
    <n v="1"/>
    <n v="0"/>
    <n v="1"/>
    <n v="0"/>
    <n v="0"/>
    <n v="0"/>
    <n v="0.7"/>
    <n v="0.8"/>
    <n v="9"/>
    <n v="10"/>
    <n v="18"/>
  </r>
  <r>
    <n v="83"/>
    <x v="200"/>
    <m/>
    <s v="DF"/>
    <s v="Spirit"/>
    <m/>
    <m/>
    <n v="1"/>
    <n v="0"/>
    <n v="0"/>
    <n v="1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84"/>
    <x v="201"/>
    <s v="se SWE"/>
    <s v="FW,MF"/>
    <s v="Dash"/>
    <s v="22-064"/>
    <n v="2003"/>
    <n v="7"/>
    <n v="2"/>
    <n v="0.2857142857142857"/>
    <n v="208"/>
    <n v="2.2999999999999998"/>
    <n v="0"/>
    <n v="0"/>
    <n v="0"/>
    <n v="0"/>
    <n v="0"/>
    <n v="0"/>
    <n v="0"/>
    <n v="0"/>
    <n v="0"/>
    <n v="0"/>
    <n v="0"/>
    <n v="0"/>
    <n v="0"/>
    <n v="0.1"/>
    <n v="1.4285714285714287E-2"/>
    <n v="0.1"/>
    <n v="0.1"/>
    <n v="0.2"/>
    <n v="7"/>
    <n v="9"/>
    <n v="18"/>
  </r>
  <r>
    <n v="85"/>
    <x v="202"/>
    <s v="us USA"/>
    <s v="DF"/>
    <s v="Bay FC"/>
    <s v="31-330"/>
    <n v="1993"/>
    <n v="13"/>
    <n v="13"/>
    <n v="1"/>
    <n v="1170"/>
    <n v="13"/>
    <n v="0"/>
    <n v="0"/>
    <n v="0"/>
    <n v="0"/>
    <n v="0"/>
    <n v="0"/>
    <n v="0"/>
    <n v="0"/>
    <n v="0"/>
    <n v="0"/>
    <n v="3"/>
    <n v="0"/>
    <n v="3"/>
    <n v="0.2"/>
    <n v="1.5384615384615385E-2"/>
    <n v="0.2"/>
    <n v="1.1000000000000001"/>
    <n v="1.4"/>
    <n v="22"/>
    <n v="63"/>
    <n v="38"/>
  </r>
  <r>
    <n v="87"/>
    <x v="203"/>
    <s v="ng NGA"/>
    <s v="MF"/>
    <s v="Wave"/>
    <s v="22-311"/>
    <n v="2002"/>
    <n v="2"/>
    <n v="1"/>
    <n v="0.5"/>
    <n v="69"/>
    <n v="0.8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</r>
  <r>
    <n v="89"/>
    <x v="204"/>
    <s v="us USA"/>
    <s v="MF,FW"/>
    <s v="Current"/>
    <s v="28-123"/>
    <n v="1997"/>
    <n v="7"/>
    <n v="0"/>
    <n v="0"/>
    <n v="78"/>
    <n v="0.9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1"/>
    <n v="6"/>
    <n v="4"/>
  </r>
  <r>
    <n v="94"/>
    <x v="205"/>
    <s v="us USA"/>
    <s v="DF"/>
    <s v="Royals"/>
    <s v="23-054"/>
    <n v="2002"/>
    <n v="7"/>
    <n v="6"/>
    <n v="0.8571428571428571"/>
    <n v="581"/>
    <n v="6.5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3"/>
    <n v="0"/>
  </r>
  <r>
    <n v="95"/>
    <x v="206"/>
    <s v="nl NED"/>
    <s v="MF"/>
    <s v="Royals"/>
    <s v="22-353"/>
    <n v="2002"/>
    <n v="13"/>
    <n v="9"/>
    <n v="0.69230769230769229"/>
    <n v="800"/>
    <n v="8.9"/>
    <n v="0"/>
    <n v="0"/>
    <n v="0"/>
    <n v="0"/>
    <n v="0"/>
    <n v="0"/>
    <n v="0"/>
    <n v="0"/>
    <n v="0"/>
    <n v="0"/>
    <n v="1"/>
    <n v="0"/>
    <n v="1"/>
    <n v="0.2"/>
    <n v="1.5384615384615385E-2"/>
    <n v="0.2"/>
    <n v="0.3"/>
    <n v="0.5"/>
    <n v="3"/>
    <n v="25"/>
    <n v="15"/>
  </r>
  <r>
    <n v="97"/>
    <x v="207"/>
    <s v="nz NZL"/>
    <s v="FW"/>
    <s v="Royals"/>
    <s v="23-004"/>
    <n v="2002"/>
    <n v="5"/>
    <n v="2"/>
    <n v="0.4"/>
    <n v="190"/>
    <n v="2.1"/>
    <n v="0"/>
    <n v="0"/>
    <n v="0"/>
    <n v="0"/>
    <n v="0"/>
    <n v="0"/>
    <n v="0"/>
    <n v="0"/>
    <n v="0"/>
    <n v="0"/>
    <n v="0"/>
    <n v="0"/>
    <n v="0"/>
    <n v="0.2"/>
    <n v="0.04"/>
    <n v="0.2"/>
    <n v="0"/>
    <n v="0.2"/>
    <n v="0"/>
    <n v="8"/>
    <n v="7"/>
  </r>
  <r>
    <n v="98"/>
    <x v="208"/>
    <s v="us USA"/>
    <s v="DF"/>
    <s v="Gotham FC"/>
    <s v="30-114"/>
    <n v="1995"/>
    <n v="9"/>
    <n v="6"/>
    <n v="0.66666666666666663"/>
    <n v="611"/>
    <n v="6.8"/>
    <n v="0"/>
    <n v="0"/>
    <n v="0"/>
    <n v="0"/>
    <n v="0"/>
    <n v="0"/>
    <n v="0"/>
    <n v="0"/>
    <n v="0"/>
    <n v="0"/>
    <n v="0"/>
    <n v="1"/>
    <n v="1"/>
    <n v="0"/>
    <n v="0"/>
    <n v="0"/>
    <n v="0.2"/>
    <n v="0.2"/>
    <n v="6"/>
    <n v="28"/>
    <n v="6"/>
  </r>
  <r>
    <n v="100"/>
    <x v="209"/>
    <s v="us USA"/>
    <s v="MF"/>
    <s v="Wave"/>
    <s v="21-307"/>
    <n v="200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3"/>
    <x v="210"/>
    <s v="us USA"/>
    <s v="DF"/>
    <s v="Chicago Stars"/>
    <s v="23-206"/>
    <n v="2001"/>
    <n v="2"/>
    <n v="1"/>
    <n v="0.5"/>
    <n v="72"/>
    <n v="0.8"/>
    <n v="0"/>
    <n v="0"/>
    <n v="0"/>
    <n v="0"/>
    <n v="0"/>
    <n v="0"/>
    <n v="0"/>
    <n v="0"/>
    <n v="0"/>
    <n v="0"/>
    <n v="1"/>
    <n v="0"/>
    <n v="1"/>
    <n v="0"/>
    <n v="0"/>
    <n v="0"/>
    <n v="0.1"/>
    <n v="0.1"/>
    <n v="0"/>
    <n v="2"/>
    <n v="0"/>
  </r>
  <r>
    <n v="105"/>
    <x v="211"/>
    <s v="se SWE"/>
    <s v="FW"/>
    <s v="Reign"/>
    <s v="32-090"/>
    <n v="199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8"/>
    <x v="212"/>
    <s v="us USA"/>
    <s v="DF"/>
    <s v="Angel City"/>
    <s v="32-305"/>
    <n v="1992"/>
    <n v="13"/>
    <n v="13"/>
    <n v="1"/>
    <n v="1154"/>
    <n v="12.8"/>
    <n v="0"/>
    <n v="0"/>
    <n v="0"/>
    <n v="0"/>
    <n v="0"/>
    <n v="0"/>
    <n v="0"/>
    <n v="0"/>
    <n v="0"/>
    <n v="0"/>
    <n v="1"/>
    <n v="0"/>
    <n v="1"/>
    <n v="0"/>
    <n v="0"/>
    <n v="0"/>
    <n v="0"/>
    <n v="0.1"/>
    <n v="11"/>
    <n v="57"/>
    <n v="1"/>
  </r>
  <r>
    <n v="112"/>
    <x v="213"/>
    <s v="co COL"/>
    <s v="DF,FW"/>
    <s v="Royals"/>
    <s v="20-034"/>
    <n v="2005"/>
    <n v="5"/>
    <n v="0"/>
    <n v="0"/>
    <n v="7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</r>
  <r>
    <n v="113"/>
    <x v="214"/>
    <s v="us USA"/>
    <s v="MF"/>
    <s v="Angel City"/>
    <s v="27-242"/>
    <n v="1997"/>
    <n v="12"/>
    <n v="2"/>
    <n v="0.16666666666666666"/>
    <n v="358"/>
    <n v="4"/>
    <n v="0"/>
    <n v="0"/>
    <n v="0"/>
    <n v="0"/>
    <n v="0"/>
    <n v="0"/>
    <n v="0"/>
    <n v="0"/>
    <n v="0"/>
    <n v="0"/>
    <n v="0"/>
    <n v="0"/>
    <n v="0"/>
    <n v="0.3"/>
    <n v="2.4999999999999998E-2"/>
    <n v="0.3"/>
    <n v="0.1"/>
    <n v="0.4"/>
    <n v="2"/>
    <n v="24"/>
    <n v="9"/>
  </r>
  <r>
    <n v="116"/>
    <x v="215"/>
    <s v="us USA"/>
    <s v="MF,FW"/>
    <s v="Gotham FC"/>
    <s v="22-334"/>
    <n v="2002"/>
    <n v="6"/>
    <n v="0"/>
    <n v="0"/>
    <n v="71"/>
    <n v="0.8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2"/>
    <n v="13"/>
  </r>
  <r>
    <n v="117"/>
    <x v="216"/>
    <s v="dk DEN"/>
    <s v="MF"/>
    <s v="Gotham FC"/>
    <s v="23-237"/>
    <n v="2001"/>
    <n v="1"/>
    <n v="0"/>
    <n v="0"/>
    <n v="45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n v="118"/>
    <x v="217"/>
    <s v="us USA"/>
    <s v="DF,FW"/>
    <s v="Louisville"/>
    <s v="23-003"/>
    <n v="2002"/>
    <n v="10"/>
    <n v="4"/>
    <n v="0.4"/>
    <n v="459"/>
    <n v="5.0999999999999996"/>
    <n v="0"/>
    <n v="0"/>
    <n v="0"/>
    <n v="0"/>
    <n v="0"/>
    <n v="0"/>
    <n v="0"/>
    <n v="0"/>
    <n v="0"/>
    <n v="0"/>
    <n v="1"/>
    <n v="0"/>
    <n v="1"/>
    <n v="0.1"/>
    <n v="0.01"/>
    <n v="0.1"/>
    <n v="0.4"/>
    <n v="0.6"/>
    <n v="6"/>
    <n v="13"/>
    <n v="24"/>
  </r>
  <r>
    <n v="120"/>
    <x v="218"/>
    <s v="jp JPN"/>
    <s v="MF"/>
    <s v="Chicago Stars"/>
    <s v="20-333"/>
    <n v="2004"/>
    <n v="6"/>
    <n v="3"/>
    <n v="0.5"/>
    <n v="257"/>
    <n v="2.9"/>
    <n v="0"/>
    <n v="0"/>
    <n v="0"/>
    <n v="0"/>
    <n v="0"/>
    <n v="0"/>
    <n v="0"/>
    <n v="0"/>
    <n v="0"/>
    <n v="0"/>
    <n v="0"/>
    <n v="0"/>
    <n v="0"/>
    <n v="0.1"/>
    <n v="1.6666666666666666E-2"/>
    <n v="0.1"/>
    <n v="0.2"/>
    <n v="0.3"/>
    <n v="3"/>
    <n v="4"/>
    <n v="4"/>
  </r>
  <r>
    <n v="122"/>
    <x v="219"/>
    <s v="us USA"/>
    <s v="MF"/>
    <s v="Spirit"/>
    <s v="22-285"/>
    <n v="2002"/>
    <n v="6"/>
    <n v="4"/>
    <n v="0.66666666666666663"/>
    <n v="374"/>
    <n v="4.2"/>
    <n v="0"/>
    <n v="0"/>
    <n v="0"/>
    <n v="0"/>
    <n v="0"/>
    <n v="0"/>
    <n v="0"/>
    <n v="0"/>
    <n v="0"/>
    <n v="0"/>
    <n v="2"/>
    <n v="0"/>
    <n v="2"/>
    <n v="0.4"/>
    <n v="6.6666666666666666E-2"/>
    <n v="0"/>
    <n v="0.2"/>
    <n v="0.2"/>
    <n v="2"/>
    <n v="21"/>
    <n v="5"/>
  </r>
  <r>
    <n v="123"/>
    <x v="220"/>
    <s v="us USA"/>
    <s v="DF"/>
    <s v="Thorns"/>
    <s v="27-190"/>
    <n v="1998"/>
    <n v="10"/>
    <n v="10"/>
    <n v="1"/>
    <n v="900"/>
    <n v="10"/>
    <n v="0"/>
    <n v="0"/>
    <n v="0"/>
    <n v="0"/>
    <n v="0"/>
    <n v="0"/>
    <n v="0"/>
    <n v="0"/>
    <n v="0"/>
    <n v="0"/>
    <n v="1"/>
    <n v="0"/>
    <n v="1"/>
    <n v="0.3"/>
    <n v="0.03"/>
    <n v="0.3"/>
    <n v="0.2"/>
    <n v="0.5"/>
    <n v="0"/>
    <n v="34"/>
    <n v="2"/>
  </r>
  <r>
    <n v="125"/>
    <x v="221"/>
    <s v="us USA"/>
    <s v="MF,FW"/>
    <s v="Thorns"/>
    <s v="25-140"/>
    <n v="2000"/>
    <n v="3"/>
    <n v="0"/>
    <n v="0"/>
    <n v="3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</r>
  <r>
    <n v="131"/>
    <x v="222"/>
    <s v="us USA"/>
    <s v="DF"/>
    <s v="Bay FC"/>
    <s v="30-340"/>
    <n v="1994"/>
    <n v="3"/>
    <n v="2"/>
    <n v="0.66666666666666663"/>
    <n v="219"/>
    <n v="2.4"/>
    <n v="0"/>
    <n v="0"/>
    <n v="0"/>
    <n v="0"/>
    <n v="0"/>
    <n v="0"/>
    <n v="0"/>
    <n v="0"/>
    <n v="0"/>
    <n v="0"/>
    <n v="0"/>
    <n v="0"/>
    <n v="0"/>
    <n v="0.2"/>
    <n v="6.6666666666666666E-2"/>
    <n v="0.2"/>
    <n v="0"/>
    <n v="0.3"/>
    <n v="0"/>
    <n v="4"/>
    <n v="0"/>
  </r>
  <r>
    <n v="136"/>
    <x v="223"/>
    <s v="us USA"/>
    <s v="MF"/>
    <s v="Pride"/>
    <s v="22-168"/>
    <n v="2003"/>
    <n v="1"/>
    <n v="0"/>
    <n v="0"/>
    <n v="2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3"/>
  </r>
  <r>
    <n v="137"/>
    <x v="224"/>
    <s v="us USA"/>
    <s v="DF"/>
    <s v="Dash"/>
    <s v="27-333"/>
    <n v="1997"/>
    <n v="10"/>
    <n v="9"/>
    <n v="0.9"/>
    <n v="818"/>
    <n v="9.1"/>
    <n v="0"/>
    <n v="0"/>
    <n v="0"/>
    <n v="0"/>
    <n v="0"/>
    <n v="0"/>
    <n v="0"/>
    <n v="0"/>
    <n v="0"/>
    <n v="0"/>
    <n v="0"/>
    <n v="0"/>
    <n v="0"/>
    <n v="0.2"/>
    <n v="0.02"/>
    <n v="0.2"/>
    <n v="0.2"/>
    <n v="0.4"/>
    <n v="5"/>
    <n v="31"/>
    <n v="6"/>
  </r>
  <r>
    <n v="138"/>
    <x v="225"/>
    <s v="wls WAL"/>
    <s v="MF"/>
    <s v="Reign"/>
    <s v="31-044"/>
    <n v="1994"/>
    <n v="10"/>
    <n v="9"/>
    <n v="0.9"/>
    <n v="755"/>
    <n v="8.4"/>
    <n v="0"/>
    <n v="0"/>
    <n v="0"/>
    <n v="0"/>
    <n v="0"/>
    <n v="0"/>
    <n v="0"/>
    <n v="0"/>
    <n v="0"/>
    <n v="0"/>
    <n v="0"/>
    <n v="0"/>
    <n v="0"/>
    <n v="0.1"/>
    <n v="0.01"/>
    <n v="0.1"/>
    <n v="0.6"/>
    <n v="0.7"/>
    <n v="0"/>
    <n v="21"/>
    <n v="12"/>
  </r>
  <r>
    <n v="140"/>
    <x v="226"/>
    <s v="ke KEN"/>
    <s v="MF"/>
    <s v="Current"/>
    <s v="27-314"/>
    <n v="1997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141"/>
    <x v="227"/>
    <s v="us USA"/>
    <s v="DF"/>
    <s v="Angel City"/>
    <s v="22-145"/>
    <n v="2003"/>
    <n v="1"/>
    <n v="0"/>
    <n v="0"/>
    <n v="29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</r>
  <r>
    <n v="142"/>
    <x v="228"/>
    <s v="us USA"/>
    <s v="MF,FW"/>
    <s v="Chicago Stars"/>
    <s v="17-178"/>
    <n v="2008"/>
    <n v="10"/>
    <n v="0"/>
    <n v="0"/>
    <n v="124"/>
    <n v="1.4"/>
    <n v="0"/>
    <n v="0"/>
    <n v="0"/>
    <n v="0"/>
    <n v="0"/>
    <n v="0"/>
    <n v="0"/>
    <n v="0"/>
    <n v="0"/>
    <n v="0"/>
    <n v="0"/>
    <n v="0"/>
    <n v="0"/>
    <n v="0.2"/>
    <n v="0.02"/>
    <n v="0.2"/>
    <n v="0.2"/>
    <n v="0.3"/>
    <n v="5"/>
    <n v="3"/>
    <n v="8"/>
  </r>
  <r>
    <n v="143"/>
    <x v="229"/>
    <m/>
    <s v="FW"/>
    <s v="Royals"/>
    <m/>
    <m/>
    <n v="1"/>
    <n v="0"/>
    <n v="0"/>
    <n v="7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n v="147"/>
    <x v="230"/>
    <s v="us USA"/>
    <s v="DF"/>
    <s v="Angel City"/>
    <s v="20-158"/>
    <n v="2005"/>
    <n v="8"/>
    <n v="8"/>
    <n v="1"/>
    <n v="708"/>
    <n v="7.9"/>
    <n v="0"/>
    <n v="0"/>
    <n v="0"/>
    <n v="0"/>
    <n v="0"/>
    <n v="0"/>
    <n v="0"/>
    <n v="0"/>
    <n v="0"/>
    <n v="0"/>
    <n v="2"/>
    <n v="0"/>
    <n v="2"/>
    <n v="0.1"/>
    <n v="1.2500000000000001E-2"/>
    <n v="0.1"/>
    <n v="0"/>
    <n v="0.1"/>
    <n v="1"/>
    <n v="11"/>
    <n v="0"/>
  </r>
  <r>
    <n v="148"/>
    <x v="231"/>
    <s v="us USA"/>
    <s v="GK"/>
    <s v="Spirit"/>
    <s v="33-237"/>
    <n v="1991"/>
    <n v="12"/>
    <n v="12"/>
    <n v="1"/>
    <n v="108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</r>
  <r>
    <n v="149"/>
    <x v="104"/>
    <s v="us USA"/>
    <s v="MF"/>
    <s v="Gotham FC"/>
    <s v="28-007"/>
    <n v="1997"/>
    <n v="3"/>
    <n v="0"/>
    <n v="0"/>
    <n v="38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4"/>
  </r>
  <r>
    <n v="154"/>
    <x v="232"/>
    <s v="fi FIN"/>
    <s v="DF"/>
    <s v="Chicago Stars"/>
    <s v="29-226"/>
    <n v="1995"/>
    <n v="3"/>
    <n v="2"/>
    <n v="0.66666666666666663"/>
    <n v="155"/>
    <n v="1.7"/>
    <n v="0"/>
    <n v="0"/>
    <n v="0"/>
    <n v="0"/>
    <n v="0"/>
    <n v="0"/>
    <n v="0"/>
    <n v="0"/>
    <n v="0"/>
    <n v="0"/>
    <n v="0"/>
    <n v="0"/>
    <n v="0"/>
    <n v="0.1"/>
    <n v="3.3333333333333333E-2"/>
    <n v="0.1"/>
    <n v="0"/>
    <n v="0.1"/>
    <n v="4"/>
    <n v="9"/>
    <n v="0"/>
  </r>
  <r>
    <n v="158"/>
    <x v="233"/>
    <s v="us USA"/>
    <s v="MF"/>
    <s v="Gotham FC"/>
    <s v="30-062"/>
    <n v="1995"/>
    <n v="3"/>
    <n v="1"/>
    <n v="0.33333333333333331"/>
    <n v="73"/>
    <n v="0.8"/>
    <n v="0"/>
    <n v="0"/>
    <n v="0"/>
    <n v="0"/>
    <n v="0"/>
    <n v="0"/>
    <n v="0"/>
    <n v="0"/>
    <n v="0"/>
    <n v="0"/>
    <n v="0"/>
    <n v="0"/>
    <n v="0"/>
    <n v="0.2"/>
    <n v="6.6666666666666666E-2"/>
    <n v="0.2"/>
    <n v="0"/>
    <n v="0.2"/>
    <n v="1"/>
    <n v="8"/>
    <n v="5"/>
  </r>
  <r>
    <n v="160"/>
    <x v="234"/>
    <s v="us USA"/>
    <s v="MF"/>
    <s v="Pride"/>
    <s v="21-133"/>
    <n v="2004"/>
    <n v="13"/>
    <n v="4"/>
    <n v="0.30769230769230771"/>
    <n v="486"/>
    <n v="5.4"/>
    <n v="0"/>
    <n v="0"/>
    <n v="0"/>
    <n v="0"/>
    <n v="0"/>
    <n v="0"/>
    <n v="0"/>
    <n v="0"/>
    <n v="0"/>
    <n v="0"/>
    <n v="3"/>
    <n v="0"/>
    <n v="3"/>
    <n v="0.5"/>
    <n v="3.8461538461538464E-2"/>
    <n v="0.5"/>
    <n v="0.3"/>
    <n v="0.8"/>
    <n v="3"/>
    <n v="35"/>
    <n v="15"/>
  </r>
  <r>
    <n v="162"/>
    <x v="235"/>
    <s v="us USA"/>
    <s v="DF"/>
    <s v="Dash"/>
    <s v="31-150"/>
    <n v="1994"/>
    <n v="12"/>
    <n v="12"/>
    <n v="1"/>
    <n v="1080"/>
    <n v="12"/>
    <n v="0"/>
    <n v="0"/>
    <n v="0"/>
    <n v="0"/>
    <n v="0"/>
    <n v="0"/>
    <n v="0"/>
    <n v="0"/>
    <n v="0"/>
    <n v="0"/>
    <n v="0"/>
    <n v="0"/>
    <n v="0"/>
    <n v="0.7"/>
    <n v="5.8333333333333327E-2"/>
    <n v="0.7"/>
    <n v="0.6"/>
    <n v="1.3"/>
    <n v="0"/>
    <n v="14"/>
    <n v="0"/>
  </r>
  <r>
    <n v="164"/>
    <x v="236"/>
    <s v="us USA"/>
    <s v="MF"/>
    <s v="Royals"/>
    <s v="26-026"/>
    <n v="1999"/>
    <n v="1"/>
    <n v="0"/>
    <n v="0"/>
    <n v="7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</r>
  <r>
    <n v="165"/>
    <x v="237"/>
    <s v="us USA"/>
    <s v="FW"/>
    <s v="Current"/>
    <s v="18-172"/>
    <n v="2007"/>
    <n v="4"/>
    <n v="0"/>
    <n v="0"/>
    <n v="47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7"/>
  </r>
  <r>
    <n v="167"/>
    <x v="238"/>
    <s v="br BRA"/>
    <s v="GK"/>
    <s v="Current"/>
    <s v="28-070"/>
    <n v="1997"/>
    <n v="13"/>
    <n v="13"/>
    <n v="1"/>
    <n v="117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9"/>
    <x v="239"/>
    <s v="us USA"/>
    <s v="GK"/>
    <s v="Louisville"/>
    <s v="28-230"/>
    <n v="1996"/>
    <n v="6"/>
    <n v="6"/>
    <n v="1"/>
    <n v="54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1"/>
    <x v="240"/>
    <s v="us USA"/>
    <s v="FW,MF"/>
    <s v="Courage"/>
    <s v="30-170"/>
    <n v="1995"/>
    <n v="8"/>
    <n v="4"/>
    <n v="0.5"/>
    <n v="374"/>
    <n v="4.2"/>
    <n v="0"/>
    <n v="0"/>
    <n v="0"/>
    <n v="0"/>
    <n v="0"/>
    <n v="0"/>
    <n v="0"/>
    <n v="0"/>
    <n v="0"/>
    <n v="0"/>
    <n v="1"/>
    <n v="0"/>
    <n v="1"/>
    <n v="1"/>
    <n v="0.125"/>
    <n v="1"/>
    <n v="0.3"/>
    <n v="1.4"/>
    <n v="6"/>
    <n v="13"/>
    <n v="33"/>
  </r>
  <r>
    <n v="173"/>
    <x v="241"/>
    <s v="sct SCO"/>
    <s v="GK"/>
    <s v="Spirit"/>
    <s v="27-027"/>
    <n v="1998"/>
    <n v="1"/>
    <n v="1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4"/>
    <x v="242"/>
    <s v="us USA"/>
    <s v="GK"/>
    <s v="Chicago Stars"/>
    <s v="23-294"/>
    <n v="2001"/>
    <n v="4"/>
    <n v="3"/>
    <n v="0.75"/>
    <n v="27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5"/>
    <x v="243"/>
    <s v="br BRA"/>
    <s v="MF"/>
    <s v="Angel City"/>
    <s v="20-338"/>
    <n v="2004"/>
    <n v="1"/>
    <n v="0"/>
    <n v="0"/>
    <n v="6"/>
    <n v="0.1"/>
    <n v="0"/>
    <n v="0"/>
    <n v="0"/>
    <n v="0"/>
    <n v="0"/>
    <n v="0"/>
    <n v="0"/>
    <n v="0"/>
    <n v="0"/>
    <n v="0"/>
    <n v="0"/>
    <n v="0"/>
    <n v="0"/>
    <n v="0.2"/>
    <n v="0.2"/>
    <n v="0.2"/>
    <n v="0"/>
    <n v="0.2"/>
    <n v="0"/>
    <n v="0"/>
    <n v="0"/>
  </r>
  <r>
    <n v="176"/>
    <x v="244"/>
    <s v="us USA"/>
    <s v="DF"/>
    <s v="Chicago Stars"/>
    <s v="26-056"/>
    <n v="1999"/>
    <n v="13"/>
    <n v="13"/>
    <n v="1"/>
    <n v="1170"/>
    <n v="13"/>
    <n v="0"/>
    <n v="0"/>
    <n v="0"/>
    <n v="0"/>
    <n v="0"/>
    <n v="0"/>
    <n v="0"/>
    <n v="0"/>
    <n v="0"/>
    <n v="0"/>
    <n v="3"/>
    <n v="0"/>
    <n v="3"/>
    <n v="0.1"/>
    <n v="7.6923076923076927E-3"/>
    <n v="0.1"/>
    <n v="0.2"/>
    <n v="0.3"/>
    <n v="11"/>
    <n v="26"/>
    <n v="22"/>
  </r>
  <r>
    <n v="179"/>
    <x v="245"/>
    <s v="ao ANG"/>
    <s v="DF,FW"/>
    <s v="Current"/>
    <s v="26-121"/>
    <n v="1999"/>
    <n v="5"/>
    <n v="1"/>
    <n v="0.2"/>
    <n v="92"/>
    <n v="1"/>
    <n v="0"/>
    <n v="0"/>
    <n v="0"/>
    <n v="0"/>
    <n v="0"/>
    <n v="0"/>
    <n v="0"/>
    <n v="0"/>
    <n v="0"/>
    <n v="0"/>
    <n v="0"/>
    <n v="0"/>
    <n v="0"/>
    <n v="0.1"/>
    <n v="0.02"/>
    <n v="0.1"/>
    <n v="0.1"/>
    <n v="0.2"/>
    <n v="3"/>
    <n v="4"/>
    <n v="8"/>
  </r>
  <r>
    <n v="181"/>
    <x v="246"/>
    <s v="us USA"/>
    <s v="FW"/>
    <s v="Pride"/>
    <s v="25-084"/>
    <n v="200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n v="182"/>
    <x v="247"/>
    <s v="us USA"/>
    <s v="DF"/>
    <s v="Reign"/>
    <s v="22-265"/>
    <n v="2002"/>
    <n v="8"/>
    <n v="2"/>
    <n v="0.25"/>
    <n v="244"/>
    <n v="2.7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3"/>
    <n v="5"/>
    <n v="3"/>
  </r>
  <r>
    <n v="184"/>
    <x v="248"/>
    <s v="us USA"/>
    <s v="DF,MF"/>
    <s v="Angel City"/>
    <s v="23-020"/>
    <n v="2002"/>
    <n v="3"/>
    <n v="0"/>
    <n v="0"/>
    <n v="27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</r>
  <r>
    <n v="185"/>
    <x v="249"/>
    <s v="us USA"/>
    <s v="MF"/>
    <s v="Reign"/>
    <s v="17-333"/>
    <n v="2007"/>
    <n v="7"/>
    <n v="3"/>
    <n v="0.42857142857142855"/>
    <n v="212"/>
    <n v="2.4"/>
    <n v="0"/>
    <n v="0"/>
    <n v="0"/>
    <n v="0"/>
    <n v="0"/>
    <n v="0"/>
    <n v="0"/>
    <n v="0"/>
    <n v="0"/>
    <n v="0"/>
    <n v="0"/>
    <n v="0"/>
    <n v="0"/>
    <n v="0.1"/>
    <n v="1.4285714285714287E-2"/>
    <n v="0.1"/>
    <n v="0"/>
    <n v="0.1"/>
    <n v="0"/>
    <n v="12"/>
    <n v="2"/>
  </r>
  <r>
    <n v="186"/>
    <x v="250"/>
    <s v="us USA"/>
    <s v="MF"/>
    <s v="Wave"/>
    <s v="28-349"/>
    <n v="1996"/>
    <n v="13"/>
    <n v="13"/>
    <n v="1"/>
    <n v="1170"/>
    <n v="13"/>
    <n v="0"/>
    <n v="0"/>
    <n v="0"/>
    <n v="0"/>
    <n v="0"/>
    <n v="0"/>
    <n v="0"/>
    <n v="0"/>
    <n v="0"/>
    <n v="0"/>
    <n v="2"/>
    <n v="0"/>
    <n v="2"/>
    <n v="0.2"/>
    <n v="1.5384615384615385E-2"/>
    <n v="0.2"/>
    <n v="0.3"/>
    <n v="0.4"/>
    <n v="4"/>
    <n v="80"/>
    <n v="13"/>
  </r>
  <r>
    <n v="187"/>
    <x v="251"/>
    <s v="us USA"/>
    <s v="DF"/>
    <s v="Reign"/>
    <s v="27-214"/>
    <n v="1997"/>
    <n v="13"/>
    <n v="13"/>
    <n v="1"/>
    <n v="1159"/>
    <n v="12.9"/>
    <n v="0"/>
    <n v="0"/>
    <n v="0"/>
    <n v="0"/>
    <n v="0"/>
    <n v="0"/>
    <n v="0"/>
    <n v="0"/>
    <n v="0"/>
    <n v="0"/>
    <n v="1"/>
    <n v="0"/>
    <n v="1"/>
    <n v="0.2"/>
    <n v="1.5384615384615385E-2"/>
    <n v="0.2"/>
    <n v="0"/>
    <n v="0.3"/>
    <n v="1"/>
    <n v="21"/>
    <n v="0"/>
  </r>
  <r>
    <n v="189"/>
    <x v="252"/>
    <s v="us USA"/>
    <s v="DF"/>
    <s v="Thorns"/>
    <s v="24-244"/>
    <n v="2000"/>
    <n v="11"/>
    <n v="3"/>
    <n v="0.27272727272727271"/>
    <n v="402"/>
    <n v="4.5"/>
    <n v="0"/>
    <n v="0"/>
    <n v="0"/>
    <n v="0"/>
    <n v="0"/>
    <n v="0"/>
    <n v="0"/>
    <n v="0"/>
    <n v="0"/>
    <n v="0"/>
    <n v="0"/>
    <n v="0"/>
    <n v="0"/>
    <n v="0"/>
    <n v="0"/>
    <n v="0"/>
    <n v="0.2"/>
    <n v="0.2"/>
    <n v="1"/>
    <n v="8"/>
    <n v="4"/>
  </r>
  <r>
    <n v="191"/>
    <x v="253"/>
    <s v="us USA"/>
    <s v="DF"/>
    <s v="Wave"/>
    <s v="21-292"/>
    <n v="2003"/>
    <n v="4"/>
    <n v="0"/>
    <n v="0"/>
    <n v="5"/>
    <n v="0.1"/>
    <n v="0"/>
    <n v="0"/>
    <n v="0"/>
    <n v="0"/>
    <n v="0"/>
    <n v="0"/>
    <n v="0"/>
    <n v="0"/>
    <n v="0"/>
    <n v="0"/>
    <n v="0"/>
    <n v="0"/>
    <n v="0"/>
    <n v="0.1"/>
    <n v="2.5000000000000001E-2"/>
    <n v="0.1"/>
    <n v="0"/>
    <n v="0.1"/>
    <n v="1"/>
    <n v="0"/>
    <n v="1"/>
  </r>
  <r>
    <n v="193"/>
    <x v="254"/>
    <s v="us USA"/>
    <s v="DF"/>
    <s v="Bay FC"/>
    <s v="32-352"/>
    <n v="1992"/>
    <n v="5"/>
    <n v="3"/>
    <n v="0.6"/>
    <n v="260"/>
    <n v="2.9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17"/>
    <n v="0"/>
  </r>
  <r>
    <n v="199"/>
    <x v="255"/>
    <s v="us USA"/>
    <s v="DF,FW"/>
    <s v="Royals"/>
    <s v="28-244"/>
    <n v="1996"/>
    <n v="4"/>
    <n v="2"/>
    <n v="0.5"/>
    <n v="161"/>
    <n v="1.8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3"/>
    <n v="3"/>
  </r>
  <r>
    <n v="201"/>
    <x v="256"/>
    <s v="ht HAI"/>
    <s v="FW,MF"/>
    <s v="Reign"/>
    <s v="26-179"/>
    <n v="1999"/>
    <n v="8"/>
    <n v="4"/>
    <n v="0.5"/>
    <n v="371"/>
    <n v="4.0999999999999996"/>
    <n v="0"/>
    <n v="0"/>
    <n v="0"/>
    <n v="0"/>
    <n v="0"/>
    <n v="0"/>
    <n v="0"/>
    <n v="0"/>
    <n v="0"/>
    <n v="0"/>
    <n v="1"/>
    <n v="0"/>
    <n v="1"/>
    <n v="0.8"/>
    <n v="0.1"/>
    <n v="0.8"/>
    <n v="0.1"/>
    <n v="0.9"/>
    <n v="12"/>
    <n v="10"/>
    <n v="29"/>
  </r>
  <r>
    <n v="202"/>
    <x v="257"/>
    <s v="eng ENG"/>
    <s v="GK"/>
    <s v="Pride"/>
    <s v="30-107"/>
    <n v="1995"/>
    <n v="13"/>
    <n v="13"/>
    <n v="1"/>
    <n v="1130"/>
    <n v="12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n v="203"/>
    <x v="258"/>
    <s v="us USA"/>
    <s v="DF,MF"/>
    <s v="Bay FC"/>
    <s v="24-222"/>
    <n v="2000"/>
    <n v="4"/>
    <n v="2"/>
    <n v="0.5"/>
    <n v="141"/>
    <n v="1.6"/>
    <n v="0"/>
    <n v="0"/>
    <n v="0"/>
    <n v="0"/>
    <n v="0"/>
    <n v="0"/>
    <n v="0"/>
    <n v="0"/>
    <n v="0"/>
    <n v="0"/>
    <n v="0"/>
    <n v="0"/>
    <n v="0"/>
    <n v="0.1"/>
    <n v="2.5000000000000001E-2"/>
    <n v="0.1"/>
    <n v="0.2"/>
    <n v="0.3"/>
    <n v="4"/>
    <n v="1"/>
    <n v="5"/>
  </r>
  <r>
    <n v="205"/>
    <x v="259"/>
    <s v="jp JPN"/>
    <s v="DF"/>
    <s v="Angel City"/>
    <s v="28-327"/>
    <n v="1996"/>
    <n v="12"/>
    <n v="3"/>
    <n v="0.25"/>
    <n v="470"/>
    <n v="5.2"/>
    <n v="0"/>
    <n v="0"/>
    <n v="0"/>
    <n v="0"/>
    <n v="0"/>
    <n v="0"/>
    <n v="0"/>
    <n v="0"/>
    <n v="0"/>
    <n v="0"/>
    <n v="1"/>
    <n v="0"/>
    <n v="1"/>
    <n v="0.1"/>
    <n v="8.3333333333333332E-3"/>
    <n v="0.1"/>
    <n v="0.8"/>
    <n v="0.9"/>
    <n v="1"/>
    <n v="22"/>
    <n v="15"/>
  </r>
  <r>
    <n v="210"/>
    <x v="260"/>
    <s v="us USA"/>
    <s v="GK"/>
    <s v="Courage"/>
    <s v="29-081"/>
    <n v="1996"/>
    <n v="13"/>
    <n v="13"/>
    <n v="1"/>
    <n v="117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11"/>
    <x v="261"/>
    <s v="us USA"/>
    <s v="GK"/>
    <s v="Chicago Stars"/>
    <s v="37-086"/>
    <n v="1988"/>
    <n v="10"/>
    <n v="10"/>
    <n v="1"/>
    <n v="89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2"/>
    <x v="262"/>
    <m/>
    <s v="MF"/>
    <s v="Royals"/>
    <m/>
    <m/>
    <n v="1"/>
    <n v="0"/>
    <n v="0"/>
    <n v="26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</r>
  <r>
    <n v="213"/>
    <x v="263"/>
    <s v="bm BER"/>
    <s v="FW,MF"/>
    <s v="Chicago Stars"/>
    <s v="23-363"/>
    <n v="2001"/>
    <n v="4"/>
    <n v="0"/>
    <n v="0"/>
    <n v="60"/>
    <n v="0.7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1"/>
    <n v="1"/>
    <n v="4"/>
  </r>
  <r>
    <n v="215"/>
    <x v="264"/>
    <s v="gh GHA"/>
    <s v="MF"/>
    <s v="Gotham FC"/>
    <s v="19-300"/>
    <n v="2005"/>
    <n v="2"/>
    <n v="0"/>
    <n v="0"/>
    <n v="24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7"/>
    <x v="265"/>
    <s v="dk DEN"/>
    <s v="DF"/>
    <s v="Thorns"/>
    <s v="22-258"/>
    <n v="2002"/>
    <n v="9"/>
    <n v="9"/>
    <n v="1"/>
    <n v="748"/>
    <n v="8.3000000000000007"/>
    <n v="0"/>
    <n v="0"/>
    <n v="0"/>
    <n v="0"/>
    <n v="0"/>
    <n v="0"/>
    <n v="0"/>
    <n v="0"/>
    <n v="0"/>
    <n v="0"/>
    <n v="0"/>
    <n v="0"/>
    <n v="0"/>
    <n v="0.1"/>
    <n v="1.1111111111111112E-2"/>
    <n v="0.1"/>
    <n v="0.2"/>
    <n v="0.3"/>
    <n v="3"/>
    <n v="18"/>
    <n v="3"/>
  </r>
  <r>
    <n v="220"/>
    <x v="266"/>
    <s v="mx MEX"/>
    <s v="FW"/>
    <s v="Dash"/>
    <s v="23-292"/>
    <n v="2001"/>
    <n v="3"/>
    <n v="1"/>
    <n v="0.33333333333333331"/>
    <n v="72"/>
    <n v="0.8"/>
    <n v="0"/>
    <n v="0"/>
    <n v="0"/>
    <n v="0"/>
    <n v="0"/>
    <n v="0"/>
    <n v="0"/>
    <n v="0"/>
    <n v="0"/>
    <n v="0"/>
    <n v="0"/>
    <n v="0"/>
    <n v="0"/>
    <n v="0.5"/>
    <n v="0.16666666666666666"/>
    <n v="0.5"/>
    <n v="0"/>
    <n v="0.5"/>
    <n v="1"/>
    <n v="1"/>
    <n v="1"/>
  </r>
  <r>
    <n v="221"/>
    <x v="267"/>
    <s v="ng NGA"/>
    <s v="FW"/>
    <s v="Bay FC"/>
    <s v="30-279"/>
    <n v="1994"/>
    <n v="11"/>
    <n v="5"/>
    <n v="0.45454545454545453"/>
    <n v="447"/>
    <n v="5"/>
    <n v="0"/>
    <n v="0"/>
    <n v="0"/>
    <n v="0"/>
    <n v="0"/>
    <n v="0"/>
    <n v="0"/>
    <n v="0"/>
    <n v="0"/>
    <n v="0"/>
    <n v="1"/>
    <n v="0"/>
    <n v="1"/>
    <n v="0.9"/>
    <n v="8.1818181818181818E-2"/>
    <n v="0.9"/>
    <n v="0.3"/>
    <n v="1.2"/>
    <n v="6"/>
    <n v="8"/>
    <n v="30"/>
  </r>
  <r>
    <n v="226"/>
    <x v="268"/>
    <s v="kr KOR"/>
    <s v="FW,MF"/>
    <s v="Angel City"/>
    <s v="18-016"/>
    <n v="2007"/>
    <n v="5"/>
    <n v="0"/>
    <n v="0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.1"/>
    <n v="0.1"/>
    <n v="3"/>
    <n v="1"/>
    <n v="2"/>
  </r>
  <r>
    <n v="229"/>
    <x v="269"/>
    <s v="fi FIN"/>
    <s v="MF"/>
    <s v="Louisville"/>
    <s v="25-264"/>
    <n v="1999"/>
    <n v="1"/>
    <n v="0"/>
    <n v="0"/>
    <n v="9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31"/>
    <x v="270"/>
    <s v="us USA"/>
    <s v="DF"/>
    <s v="Royals"/>
    <s v="27-252"/>
    <n v="1997"/>
    <n v="13"/>
    <n v="4"/>
    <n v="0.30769230769230771"/>
    <n v="579"/>
    <n v="6.4"/>
    <n v="0"/>
    <n v="0"/>
    <n v="0"/>
    <n v="0"/>
    <n v="0"/>
    <n v="0"/>
    <n v="0"/>
    <n v="0"/>
    <n v="0"/>
    <n v="0"/>
    <n v="2"/>
    <n v="0"/>
    <n v="2"/>
    <n v="0.1"/>
    <n v="7.6923076923076927E-3"/>
    <n v="0.1"/>
    <n v="0.2"/>
    <n v="0.3"/>
    <n v="7"/>
    <n v="19"/>
    <n v="10"/>
  </r>
  <r>
    <n v="234"/>
    <x v="271"/>
    <s v="ca CAN"/>
    <s v="FW,MF"/>
    <s v="Current"/>
    <s v="30-146"/>
    <n v="1995"/>
    <n v="9"/>
    <n v="3"/>
    <n v="0.33333333333333331"/>
    <n v="340"/>
    <n v="3.8"/>
    <n v="0"/>
    <n v="0"/>
    <n v="0"/>
    <n v="0"/>
    <n v="0"/>
    <n v="0"/>
    <n v="0"/>
    <n v="0"/>
    <n v="0"/>
    <n v="0"/>
    <n v="1"/>
    <n v="0"/>
    <n v="1"/>
    <n v="0.4"/>
    <n v="4.4444444444444446E-2"/>
    <n v="0.4"/>
    <n v="0.3"/>
    <n v="0.8"/>
    <n v="14"/>
    <n v="2"/>
    <n v="31"/>
  </r>
  <r>
    <n v="235"/>
    <x v="272"/>
    <s v="at AUT"/>
    <s v="MF"/>
    <s v="Dash"/>
    <s v="32-275"/>
    <n v="1992"/>
    <n v="6"/>
    <n v="1"/>
    <n v="0.16666666666666666"/>
    <n v="127"/>
    <n v="1.4"/>
    <n v="0"/>
    <n v="0"/>
    <n v="0"/>
    <n v="0"/>
    <n v="0"/>
    <n v="0"/>
    <n v="0"/>
    <n v="0"/>
    <n v="0"/>
    <n v="0"/>
    <n v="2"/>
    <n v="1"/>
    <n v="3"/>
    <n v="0"/>
    <n v="0"/>
    <n v="0"/>
    <n v="0"/>
    <n v="0"/>
    <n v="0"/>
    <n v="7"/>
    <n v="5"/>
  </r>
  <r>
    <n v="236"/>
    <x v="273"/>
    <s v="us USA"/>
    <s v="MF,FW"/>
    <s v="Gotham FC"/>
    <s v="29-300"/>
    <n v="1995"/>
    <n v="9"/>
    <n v="3"/>
    <n v="0.33333333333333331"/>
    <n v="361"/>
    <n v="4"/>
    <n v="0"/>
    <n v="0"/>
    <n v="0"/>
    <n v="0"/>
    <n v="0"/>
    <n v="0"/>
    <n v="0"/>
    <n v="0"/>
    <n v="0"/>
    <n v="0"/>
    <n v="0"/>
    <n v="0"/>
    <n v="0"/>
    <n v="0.3"/>
    <n v="3.3333333333333333E-2"/>
    <n v="0.3"/>
    <n v="0.3"/>
    <n v="0.7"/>
    <n v="15"/>
    <n v="9"/>
    <n v="32"/>
  </r>
  <r>
    <n v="237"/>
    <x v="274"/>
    <s v="es ESP"/>
    <s v="DF"/>
    <s v="Royals"/>
    <s v="26-030"/>
    <n v="1999"/>
    <n v="10"/>
    <n v="9"/>
    <n v="0.9"/>
    <n v="611"/>
    <n v="6.8"/>
    <n v="0"/>
    <n v="0"/>
    <n v="0"/>
    <n v="0"/>
    <n v="0"/>
    <n v="0"/>
    <n v="0"/>
    <n v="0"/>
    <n v="0"/>
    <n v="0"/>
    <n v="3"/>
    <n v="0"/>
    <n v="3"/>
    <n v="0"/>
    <n v="0"/>
    <n v="0"/>
    <n v="0.3"/>
    <n v="0.3"/>
    <n v="7"/>
    <n v="15"/>
    <n v="4"/>
  </r>
  <r>
    <n v="238"/>
    <x v="275"/>
    <s v="br BRA"/>
    <s v="DF"/>
    <s v="Pride"/>
    <s v="34-027"/>
    <n v="1991"/>
    <n v="2"/>
    <n v="2"/>
    <n v="1"/>
    <n v="107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</r>
  <r>
    <n v="242"/>
    <x v="276"/>
    <s v="us USA"/>
    <s v="FW,MF"/>
    <s v="Royals"/>
    <s v="16-008"/>
    <n v="2009"/>
    <n v="7"/>
    <n v="1"/>
    <n v="0.14285714285714285"/>
    <n v="156"/>
    <n v="1.7"/>
    <n v="0"/>
    <n v="0"/>
    <n v="0"/>
    <n v="0"/>
    <n v="0"/>
    <n v="0"/>
    <n v="0"/>
    <n v="0"/>
    <n v="0"/>
    <n v="0"/>
    <n v="0"/>
    <n v="0"/>
    <n v="0"/>
    <n v="0.4"/>
    <n v="5.7142857142857148E-2"/>
    <n v="0.4"/>
    <n v="0.1"/>
    <n v="0.6"/>
    <n v="2"/>
    <n v="0"/>
    <n v="5"/>
  </r>
  <r>
    <n v="243"/>
    <x v="277"/>
    <s v="us USA"/>
    <s v="DF"/>
    <s v="Angel City"/>
    <s v="29-097"/>
    <n v="1996"/>
    <n v="11"/>
    <n v="5"/>
    <n v="0.45454545454545453"/>
    <n v="487"/>
    <n v="5.4"/>
    <n v="0"/>
    <n v="0"/>
    <n v="0"/>
    <n v="0"/>
    <n v="0"/>
    <n v="0"/>
    <n v="0"/>
    <n v="0"/>
    <n v="0"/>
    <n v="0"/>
    <n v="1"/>
    <n v="0"/>
    <n v="1"/>
    <n v="0.2"/>
    <n v="1.8181818181818184E-2"/>
    <n v="0.2"/>
    <n v="0.1"/>
    <n v="0.3"/>
    <n v="0"/>
    <n v="11"/>
    <n v="1"/>
  </r>
  <r>
    <n v="245"/>
    <x v="278"/>
    <s v="us USA"/>
    <s v="MF,FW"/>
    <s v="Spirit"/>
    <s v="18-053"/>
    <n v="2007"/>
    <n v="7"/>
    <n v="2"/>
    <n v="0.2857142857142857"/>
    <n v="163"/>
    <n v="1.8"/>
    <n v="0"/>
    <n v="0"/>
    <n v="0"/>
    <n v="0"/>
    <n v="0"/>
    <n v="0"/>
    <n v="0"/>
    <n v="0"/>
    <n v="0"/>
    <n v="0"/>
    <n v="0"/>
    <n v="0"/>
    <n v="0"/>
    <n v="0.1"/>
    <n v="1.4285714285714287E-2"/>
    <n v="0.1"/>
    <n v="0"/>
    <n v="0.1"/>
    <n v="0"/>
    <n v="3"/>
    <n v="3"/>
  </r>
  <r>
    <n v="246"/>
    <x v="279"/>
    <s v="us USA"/>
    <s v="DF"/>
    <s v="Royals"/>
    <s v="28-267"/>
    <n v="1996"/>
    <n v="2"/>
    <n v="0"/>
    <n v="0"/>
    <n v="41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0"/>
  </r>
  <r>
    <n v="247"/>
    <x v="280"/>
    <s v="us USA"/>
    <s v="DF,MF"/>
    <s v="Chicago Stars"/>
    <s v="30-362"/>
    <n v="1994"/>
    <n v="13"/>
    <n v="13"/>
    <n v="1"/>
    <n v="1142"/>
    <n v="12.7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15"/>
    <n v="1"/>
  </r>
  <r>
    <n v="248"/>
    <x v="281"/>
    <s v="us USA"/>
    <s v="FW,MF"/>
    <s v="Spirit"/>
    <s v="23-056"/>
    <n v="2002"/>
    <n v="4"/>
    <n v="1"/>
    <n v="0.25"/>
    <n v="166"/>
    <n v="1.8"/>
    <n v="0"/>
    <n v="0"/>
    <n v="0"/>
    <n v="0"/>
    <n v="0"/>
    <n v="0"/>
    <n v="0"/>
    <n v="0"/>
    <n v="0"/>
    <n v="0"/>
    <n v="0"/>
    <n v="0"/>
    <n v="0"/>
    <n v="0.4"/>
    <n v="0.1"/>
    <n v="0.4"/>
    <n v="0.1"/>
    <n v="0.5"/>
    <n v="8"/>
    <n v="1"/>
    <n v="19"/>
  </r>
  <r>
    <n v="250"/>
    <x v="282"/>
    <s v="cr CRC"/>
    <s v="MF"/>
    <s v="Current"/>
    <s v="31-260"/>
    <n v="1993"/>
    <n v="10"/>
    <n v="4"/>
    <n v="0.4"/>
    <n v="456"/>
    <n v="5.0999999999999996"/>
    <n v="0"/>
    <n v="0"/>
    <n v="0"/>
    <n v="0"/>
    <n v="0"/>
    <n v="0"/>
    <n v="0"/>
    <n v="0"/>
    <n v="0"/>
    <n v="0"/>
    <n v="3"/>
    <n v="0"/>
    <n v="3"/>
    <n v="0.1"/>
    <n v="0.01"/>
    <n v="0.1"/>
    <n v="0.2"/>
    <n v="0.3"/>
    <n v="2"/>
    <n v="28"/>
    <n v="4"/>
  </r>
  <r>
    <n v="252"/>
    <x v="283"/>
    <s v="us USA"/>
    <s v="DF"/>
    <s v="Pride"/>
    <s v="26-014"/>
    <n v="1999"/>
    <n v="13"/>
    <n v="12"/>
    <n v="0.92307692307692313"/>
    <n v="1103"/>
    <n v="12.3"/>
    <n v="0"/>
    <n v="0"/>
    <n v="0"/>
    <n v="0"/>
    <n v="0"/>
    <n v="0"/>
    <n v="0"/>
    <n v="0"/>
    <n v="0"/>
    <n v="0"/>
    <n v="0"/>
    <n v="0"/>
    <n v="0"/>
    <n v="0"/>
    <n v="0"/>
    <n v="0"/>
    <n v="0.3"/>
    <n v="0.3"/>
    <n v="17"/>
    <n v="68"/>
    <n v="9"/>
  </r>
  <r>
    <n v="257"/>
    <x v="284"/>
    <s v="ca CAN"/>
    <s v="MF"/>
    <s v="Dash"/>
    <s v="37-017"/>
    <n v="1988"/>
    <n v="5"/>
    <n v="3"/>
    <n v="0.6"/>
    <n v="190"/>
    <n v="2.1"/>
    <n v="0"/>
    <n v="0"/>
    <n v="0"/>
    <n v="0"/>
    <n v="0"/>
    <n v="0"/>
    <n v="0"/>
    <n v="0"/>
    <n v="0"/>
    <n v="0"/>
    <n v="0"/>
    <n v="0"/>
    <n v="0"/>
    <n v="0.2"/>
    <n v="0.04"/>
    <n v="0.2"/>
    <n v="0.4"/>
    <n v="0.6"/>
    <n v="0"/>
    <n v="7"/>
    <n v="2"/>
  </r>
  <r>
    <n v="264"/>
    <x v="285"/>
    <s v="us USA"/>
    <s v="MF"/>
    <s v="Bay FC"/>
    <s v="24-279"/>
    <n v="2000"/>
    <n v="6"/>
    <n v="0"/>
    <n v="0"/>
    <n v="54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</r>
  <r>
    <n v="265"/>
    <x v="286"/>
    <s v="ca CAN"/>
    <s v="GK"/>
    <s v="Wave"/>
    <s v="29-364"/>
    <n v="1995"/>
    <n v="13"/>
    <n v="13"/>
    <n v="1"/>
    <n v="117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</r>
  <r>
    <n v="266"/>
    <x v="287"/>
    <s v="us USA"/>
    <s v="GK"/>
    <s v="Bay FC"/>
    <s v="25-110"/>
    <n v="2000"/>
    <n v="11"/>
    <n v="11"/>
    <n v="1"/>
    <n v="990"/>
    <n v="1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</r>
  <r>
    <n v="267"/>
    <x v="288"/>
    <s v="pt POR"/>
    <s v="MF,DF"/>
    <s v="Gotham FC"/>
    <s v="30-216"/>
    <n v="1994"/>
    <n v="3"/>
    <n v="1"/>
    <n v="0.33333333333333331"/>
    <n v="90"/>
    <n v="1"/>
    <n v="0"/>
    <n v="0"/>
    <n v="0"/>
    <n v="0"/>
    <n v="0"/>
    <n v="0"/>
    <n v="0"/>
    <n v="0"/>
    <n v="0"/>
    <n v="0"/>
    <n v="0"/>
    <n v="0"/>
    <n v="0"/>
    <n v="0.8"/>
    <n v="0.26666666666666666"/>
    <n v="0.8"/>
    <n v="0"/>
    <n v="0.8"/>
    <n v="3"/>
    <n v="3"/>
    <n v="4"/>
  </r>
  <r>
    <n v="268"/>
    <x v="289"/>
    <s v="us USA"/>
    <s v="GK"/>
    <s v="Dash"/>
    <s v="31-284"/>
    <n v="1993"/>
    <n v="5"/>
    <n v="5"/>
    <n v="1"/>
    <n v="45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0"/>
    <x v="290"/>
    <s v="gt GUA"/>
    <s v="FW"/>
    <s v="Royals"/>
    <s v="27-093"/>
    <n v="1998"/>
    <n v="8"/>
    <n v="4"/>
    <n v="0.5"/>
    <n v="380"/>
    <n v="4.2"/>
    <n v="0"/>
    <n v="0"/>
    <n v="0"/>
    <n v="0"/>
    <n v="0"/>
    <n v="0"/>
    <n v="0"/>
    <n v="0"/>
    <n v="0"/>
    <n v="0"/>
    <n v="0"/>
    <n v="0"/>
    <n v="0"/>
    <n v="0.1"/>
    <n v="1.2500000000000001E-2"/>
    <n v="0.1"/>
    <n v="0.7"/>
    <n v="0.9"/>
    <n v="2"/>
    <n v="10"/>
    <n v="16"/>
  </r>
  <r>
    <n v="272"/>
    <x v="291"/>
    <s v="us USA"/>
    <s v="DF"/>
    <s v="Gotham FC"/>
    <s v="31-232"/>
    <n v="1993"/>
    <n v="13"/>
    <n v="13"/>
    <n v="1"/>
    <n v="1170"/>
    <n v="13"/>
    <n v="0"/>
    <n v="0"/>
    <n v="0"/>
    <n v="0"/>
    <n v="0"/>
    <n v="0"/>
    <n v="0"/>
    <n v="0"/>
    <n v="0"/>
    <n v="0"/>
    <n v="1"/>
    <n v="0"/>
    <n v="1"/>
    <n v="0.5"/>
    <n v="3.8461538461538464E-2"/>
    <n v="0.5"/>
    <n v="0.2"/>
    <n v="0.7"/>
    <n v="7"/>
    <n v="40"/>
    <n v="6"/>
  </r>
  <r>
    <n v="273"/>
    <x v="292"/>
    <s v="us USA"/>
    <s v="FW,MF"/>
    <s v="Thorns"/>
    <s v="25-164"/>
    <n v="2000"/>
    <n v="8"/>
    <n v="1"/>
    <n v="0.125"/>
    <n v="163"/>
    <n v="1.8"/>
    <n v="0"/>
    <n v="0"/>
    <n v="0"/>
    <n v="0"/>
    <n v="0"/>
    <n v="0"/>
    <n v="0"/>
    <n v="0"/>
    <n v="0"/>
    <n v="0"/>
    <n v="0"/>
    <n v="0"/>
    <n v="0"/>
    <n v="0.3"/>
    <n v="3.7499999999999999E-2"/>
    <n v="0.3"/>
    <n v="0"/>
    <n v="0.3"/>
    <n v="3"/>
    <n v="8"/>
    <n v="14"/>
  </r>
  <r>
    <n v="277"/>
    <x v="293"/>
    <s v="us USA"/>
    <s v="MF"/>
    <s v="Spirit"/>
    <s v="24-123"/>
    <n v="2001"/>
    <n v="7"/>
    <n v="4"/>
    <n v="0.5714285714285714"/>
    <n v="282"/>
    <n v="3.1"/>
    <n v="0"/>
    <n v="0"/>
    <n v="0"/>
    <n v="0"/>
    <n v="0"/>
    <n v="0"/>
    <n v="0"/>
    <n v="0"/>
    <n v="0"/>
    <n v="0"/>
    <n v="0"/>
    <n v="0"/>
    <n v="0"/>
    <n v="0.1"/>
    <n v="1.4285714285714287E-2"/>
    <n v="0.1"/>
    <n v="0"/>
    <n v="0.1"/>
    <n v="1"/>
    <n v="6"/>
    <n v="1"/>
  </r>
  <r>
    <n v="278"/>
    <x v="294"/>
    <s v="us USA"/>
    <s v="DF"/>
    <s v="Courage"/>
    <s v="24-086"/>
    <n v="2001"/>
    <n v="7"/>
    <n v="7"/>
    <n v="1"/>
    <n v="616"/>
    <n v="6.8"/>
    <n v="0"/>
    <n v="0"/>
    <n v="0"/>
    <n v="0"/>
    <n v="0"/>
    <n v="0"/>
    <n v="0"/>
    <n v="0"/>
    <n v="0"/>
    <n v="0"/>
    <n v="0"/>
    <n v="0"/>
    <n v="0"/>
    <n v="0.4"/>
    <n v="5.7142857142857148E-2"/>
    <n v="0.4"/>
    <n v="0.1"/>
    <n v="0.4"/>
    <n v="5"/>
    <n v="34"/>
    <n v="5"/>
  </r>
  <r>
    <n v="280"/>
    <x v="295"/>
    <s v="us USA"/>
    <s v="DF"/>
    <s v="Pride"/>
    <s v="33-119"/>
    <n v="1992"/>
    <n v="12"/>
    <n v="12"/>
    <n v="1"/>
    <n v="1062"/>
    <n v="11.8"/>
    <n v="0"/>
    <n v="0"/>
    <n v="0"/>
    <n v="0"/>
    <n v="0"/>
    <n v="0"/>
    <n v="0"/>
    <n v="0"/>
    <n v="0"/>
    <n v="0"/>
    <n v="0"/>
    <n v="0"/>
    <n v="0"/>
    <n v="0.1"/>
    <n v="8.3333333333333332E-3"/>
    <n v="0.1"/>
    <n v="0.2"/>
    <n v="0.3"/>
    <n v="7"/>
    <n v="48"/>
    <n v="3"/>
  </r>
  <r>
    <n v="282"/>
    <x v="296"/>
    <s v="fr FRA"/>
    <s v="DF,MF"/>
    <s v="Spirit"/>
    <s v="21-161"/>
    <n v="2004"/>
    <n v="9"/>
    <n v="0"/>
    <n v="0"/>
    <n v="141"/>
    <n v="1.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4"/>
    <n v="0"/>
  </r>
  <r>
    <n v="284"/>
    <x v="297"/>
    <s v="es ESP"/>
    <s v="DF,MF"/>
    <s v="Royals"/>
    <s v="23-043"/>
    <n v="2002"/>
    <n v="12"/>
    <n v="12"/>
    <n v="1"/>
    <n v="1036"/>
    <n v="11.5"/>
    <n v="0"/>
    <n v="0"/>
    <n v="0"/>
    <n v="0"/>
    <n v="0"/>
    <n v="0"/>
    <n v="0"/>
    <n v="0"/>
    <n v="0"/>
    <n v="0"/>
    <n v="5"/>
    <n v="1"/>
    <n v="6"/>
    <n v="0.1"/>
    <n v="8.3333333333333332E-3"/>
    <n v="0.1"/>
    <n v="0.3"/>
    <n v="0.4"/>
    <n v="3"/>
    <n v="31"/>
    <n v="6"/>
  </r>
  <r>
    <n v="287"/>
    <x v="298"/>
    <s v="dk DEN"/>
    <s v="DF"/>
    <s v="Royals"/>
    <s v="25-149"/>
    <n v="2000"/>
    <n v="13"/>
    <n v="11"/>
    <n v="0.84615384615384615"/>
    <n v="973"/>
    <n v="10.8"/>
    <n v="0"/>
    <n v="0"/>
    <n v="0"/>
    <n v="0"/>
    <n v="0"/>
    <n v="0"/>
    <n v="0"/>
    <n v="0"/>
    <n v="0"/>
    <n v="0"/>
    <n v="1"/>
    <n v="0"/>
    <n v="1"/>
    <n v="0.8"/>
    <n v="6.1538461538461542E-2"/>
    <n v="0.8"/>
    <n v="0.3"/>
    <n v="1.2"/>
    <n v="30"/>
    <n v="24"/>
    <n v="36"/>
  </r>
  <r>
    <n v="290"/>
    <x v="299"/>
    <s v="au AUS"/>
    <s v="DF"/>
    <s v="Thorns"/>
    <s v="25-120"/>
    <n v="2000"/>
    <n v="10"/>
    <n v="10"/>
    <n v="1"/>
    <n v="772"/>
    <n v="8.6"/>
    <n v="0"/>
    <n v="0"/>
    <n v="0"/>
    <n v="0"/>
    <n v="0"/>
    <n v="0"/>
    <n v="0"/>
    <n v="0"/>
    <n v="0"/>
    <n v="0"/>
    <n v="2"/>
    <n v="0"/>
    <n v="2"/>
    <n v="0"/>
    <n v="0"/>
    <n v="0"/>
    <n v="0.6"/>
    <n v="0.7"/>
    <n v="8"/>
    <n v="27"/>
    <n v="19"/>
  </r>
  <r>
    <n v="291"/>
    <x v="300"/>
    <s v="us USA"/>
    <s v="MF"/>
    <s v="Gotham FC"/>
    <s v="26-083"/>
    <n v="1999"/>
    <n v="11"/>
    <n v="7"/>
    <n v="0.63636363636363635"/>
    <n v="643"/>
    <n v="7.1"/>
    <n v="0"/>
    <n v="0"/>
    <n v="0"/>
    <n v="0"/>
    <n v="0"/>
    <n v="0"/>
    <n v="0"/>
    <n v="0"/>
    <n v="0"/>
    <n v="0"/>
    <n v="3"/>
    <n v="0"/>
    <n v="3"/>
    <n v="0.2"/>
    <n v="1.8181818181818184E-2"/>
    <n v="0.2"/>
    <n v="0.1"/>
    <n v="0.4"/>
    <n v="5"/>
    <n v="24"/>
    <n v="4"/>
  </r>
  <r>
    <n v="293"/>
    <x v="301"/>
    <s v="us USA"/>
    <s v="MF"/>
    <s v="Reign"/>
    <s v="25-359"/>
    <n v="1999"/>
    <n v="3"/>
    <n v="0"/>
    <n v="0"/>
    <n v="21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</r>
  <r>
    <n v="294"/>
    <x v="302"/>
    <s v="jm JAM"/>
    <s v="MF"/>
    <s v="Dash"/>
    <s v="23-324"/>
    <n v="2001"/>
    <n v="5"/>
    <n v="1"/>
    <n v="0.2"/>
    <n v="143"/>
    <n v="1.6"/>
    <n v="0"/>
    <n v="0"/>
    <n v="0"/>
    <n v="0"/>
    <n v="0"/>
    <n v="0"/>
    <n v="0"/>
    <n v="0"/>
    <n v="0"/>
    <n v="0"/>
    <n v="0"/>
    <n v="0"/>
    <n v="0"/>
    <n v="0.3"/>
    <n v="0.06"/>
    <n v="0.3"/>
    <n v="0.2"/>
    <n v="0.5"/>
    <n v="1"/>
    <n v="6"/>
    <n v="7"/>
  </r>
  <r>
    <n v="296"/>
    <x v="303"/>
    <s v="us USA"/>
    <s v="MF,DF"/>
    <s v="Pride"/>
    <s v="26-163"/>
    <n v="1999"/>
    <n v="4"/>
    <n v="0"/>
    <n v="0"/>
    <n v="54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4"/>
  </r>
  <r>
    <n v="299"/>
    <x v="304"/>
    <s v="us USA"/>
    <s v="DF,MF"/>
    <s v="Courage"/>
    <s v="31-120"/>
    <n v="1994"/>
    <n v="3"/>
    <n v="0"/>
    <n v="0"/>
    <n v="2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</r>
  <r>
    <n v="302"/>
    <x v="305"/>
    <s v="us USA"/>
    <s v="DF"/>
    <s v="Dash"/>
    <s v="31-316"/>
    <n v="1993"/>
    <n v="8"/>
    <n v="7"/>
    <n v="0.875"/>
    <n v="529"/>
    <n v="5.9"/>
    <n v="0"/>
    <n v="0"/>
    <n v="0"/>
    <n v="0"/>
    <n v="0"/>
    <n v="0"/>
    <n v="0"/>
    <n v="0"/>
    <n v="0"/>
    <n v="0"/>
    <n v="2"/>
    <n v="0"/>
    <n v="2"/>
    <n v="0"/>
    <n v="0"/>
    <n v="0"/>
    <n v="0.1"/>
    <n v="0.1"/>
    <n v="6"/>
    <n v="28"/>
    <n v="7"/>
  </r>
  <r>
    <n v="303"/>
    <x v="306"/>
    <s v="us USA"/>
    <s v="DF,MF"/>
    <s v="Current"/>
    <s v="23-213"/>
    <n v="2001"/>
    <n v="12"/>
    <n v="8"/>
    <n v="0.66666666666666663"/>
    <n v="739"/>
    <n v="8.1999999999999993"/>
    <n v="0"/>
    <n v="0"/>
    <n v="0"/>
    <n v="0"/>
    <n v="0"/>
    <n v="0"/>
    <n v="0"/>
    <n v="0"/>
    <n v="0"/>
    <n v="0"/>
    <n v="0"/>
    <n v="0"/>
    <n v="0"/>
    <n v="0.5"/>
    <n v="4.1666666666666664E-2"/>
    <n v="0.5"/>
    <n v="0"/>
    <n v="0.5"/>
    <n v="9"/>
    <n v="16"/>
    <n v="14"/>
  </r>
  <r>
    <n v="304"/>
    <x v="307"/>
    <s v="us USA"/>
    <s v="MF,FW"/>
    <s v="Gotham FC"/>
    <s v="14-353"/>
    <n v="2010"/>
    <n v="6"/>
    <n v="0"/>
    <n v="0"/>
    <n v="59"/>
    <n v="0.7"/>
    <n v="0"/>
    <n v="0"/>
    <n v="0"/>
    <n v="0"/>
    <n v="0"/>
    <n v="0"/>
    <n v="0"/>
    <n v="0"/>
    <n v="0"/>
    <n v="0"/>
    <n v="0"/>
    <n v="0"/>
    <n v="0"/>
    <n v="0.2"/>
    <n v="3.3333333333333333E-2"/>
    <n v="0.2"/>
    <n v="0"/>
    <n v="0.2"/>
    <n v="1"/>
    <n v="1"/>
    <n v="7"/>
  </r>
  <r>
    <n v="305"/>
    <x v="308"/>
    <s v="us USA"/>
    <s v="MF"/>
    <s v="Spirit"/>
    <s v="24-154"/>
    <n v="2001"/>
    <n v="1"/>
    <n v="0"/>
    <n v="0"/>
    <n v="7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41028-2875-4CE7-8CEA-E2D4E437C470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13" firstHeaderRow="0" firstDataRow="1" firstDataCol="1"/>
  <pivotFields count="33">
    <pivotField showAll="0"/>
    <pivotField axis="axisRow" showAll="0">
      <items count="310">
        <item x="191"/>
        <item x="289"/>
        <item x="15"/>
        <item x="249"/>
        <item x="290"/>
        <item x="183"/>
        <item x="148"/>
        <item x="236"/>
        <item x="292"/>
        <item x="103"/>
        <item x="234"/>
        <item x="129"/>
        <item x="84"/>
        <item x="88"/>
        <item x="80"/>
        <item x="261"/>
        <item x="7"/>
        <item x="151"/>
        <item x="213"/>
        <item x="297"/>
        <item x="187"/>
        <item x="144"/>
        <item x="158"/>
        <item x="225"/>
        <item x="257"/>
        <item x="166"/>
        <item x="262"/>
        <item x="60"/>
        <item x="107"/>
        <item x="6"/>
        <item x="68"/>
        <item x="267"/>
        <item x="231"/>
        <item x="184"/>
        <item x="40"/>
        <item x="34"/>
        <item x="2"/>
        <item x="204"/>
        <item x="142"/>
        <item x="10"/>
        <item x="170"/>
        <item x="42"/>
        <item x="43"/>
        <item x="246"/>
        <item x="65"/>
        <item x="74"/>
        <item x="186"/>
        <item x="141"/>
        <item x="48"/>
        <item x="140"/>
        <item x="202"/>
        <item x="280"/>
        <item x="30"/>
        <item x="90"/>
        <item x="52"/>
        <item x="260"/>
        <item x="268"/>
        <item x="164"/>
        <item x="104"/>
        <item x="189"/>
        <item x="100"/>
        <item x="278"/>
        <item x="117"/>
        <item x="305"/>
        <item x="134"/>
        <item x="92"/>
        <item x="195"/>
        <item x="76"/>
        <item x="119"/>
        <item x="105"/>
        <item x="108"/>
        <item x="96"/>
        <item x="168"/>
        <item x="192"/>
        <item x="206"/>
        <item x="304"/>
        <item x="182"/>
        <item x="9"/>
        <item x="86"/>
        <item x="5"/>
        <item x="95"/>
        <item x="118"/>
        <item x="266"/>
        <item x="162"/>
        <item x="163"/>
        <item x="217"/>
        <item x="139"/>
        <item x="269"/>
        <item x="110"/>
        <item x="306"/>
        <item x="21"/>
        <item x="247"/>
        <item x="254"/>
        <item x="283"/>
        <item x="291"/>
        <item x="8"/>
        <item x="156"/>
        <item x="49"/>
        <item x="0"/>
        <item x="201"/>
        <item x="203"/>
        <item x="45"/>
        <item x="51"/>
        <item x="176"/>
        <item x="47"/>
        <item x="32"/>
        <item x="12"/>
        <item x="19"/>
        <item x="179"/>
        <item x="39"/>
        <item x="219"/>
        <item x="50"/>
        <item x="78"/>
        <item x="242"/>
        <item x="211"/>
        <item x="58"/>
        <item x="159"/>
        <item x="131"/>
        <item x="114"/>
        <item x="227"/>
        <item x="293"/>
        <item x="97"/>
        <item x="198"/>
        <item x="62"/>
        <item x="265"/>
        <item x="85"/>
        <item x="123"/>
        <item x="53"/>
        <item x="285"/>
        <item x="174"/>
        <item x="38"/>
        <item x="298"/>
        <item x="23"/>
        <item x="169"/>
        <item x="177"/>
        <item x="70"/>
        <item x="288"/>
        <item x="56"/>
        <item x="29"/>
        <item x="54"/>
        <item x="173"/>
        <item x="209"/>
        <item x="287"/>
        <item x="171"/>
        <item x="67"/>
        <item x="73"/>
        <item x="216"/>
        <item x="120"/>
        <item x="99"/>
        <item x="199"/>
        <item x="210"/>
        <item x="286"/>
        <item x="299"/>
        <item x="126"/>
        <item x="279"/>
        <item x="63"/>
        <item x="145"/>
        <item x="308"/>
        <item x="235"/>
        <item x="239"/>
        <item x="154"/>
        <item x="66"/>
        <item x="28"/>
        <item x="69"/>
        <item x="222"/>
        <item x="18"/>
        <item x="113"/>
        <item x="33"/>
        <item x="155"/>
        <item x="215"/>
        <item x="64"/>
        <item x="302"/>
        <item x="200"/>
        <item x="25"/>
        <item x="276"/>
        <item x="124"/>
        <item x="295"/>
        <item x="178"/>
        <item x="296"/>
        <item x="245"/>
        <item x="137"/>
        <item x="205"/>
        <item x="153"/>
        <item x="71"/>
        <item x="263"/>
        <item x="82"/>
        <item x="41"/>
        <item x="238"/>
        <item x="22"/>
        <item x="46"/>
        <item x="207"/>
        <item x="109"/>
        <item x="160"/>
        <item x="143"/>
        <item x="17"/>
        <item x="258"/>
        <item x="190"/>
        <item x="214"/>
        <item x="270"/>
        <item x="26"/>
        <item x="243"/>
        <item x="91"/>
        <item x="307"/>
        <item x="127"/>
        <item x="197"/>
        <item x="132"/>
        <item x="252"/>
        <item x="218"/>
        <item x="4"/>
        <item x="208"/>
        <item x="273"/>
        <item x="194"/>
        <item x="16"/>
        <item x="72"/>
        <item x="196"/>
        <item x="27"/>
        <item x="237"/>
        <item x="87"/>
        <item x="165"/>
        <item x="188"/>
        <item x="98"/>
        <item x="277"/>
        <item x="77"/>
        <item x="133"/>
        <item x="79"/>
        <item x="228"/>
        <item x="157"/>
        <item x="11"/>
        <item x="181"/>
        <item x="112"/>
        <item x="259"/>
        <item x="136"/>
        <item x="226"/>
        <item x="106"/>
        <item x="94"/>
        <item x="232"/>
        <item x="224"/>
        <item x="150"/>
        <item x="256"/>
        <item x="271"/>
        <item x="274"/>
        <item x="138"/>
        <item x="81"/>
        <item x="301"/>
        <item x="255"/>
        <item x="128"/>
        <item x="111"/>
        <item x="13"/>
        <item x="37"/>
        <item x="251"/>
        <item x="44"/>
        <item x="115"/>
        <item x="253"/>
        <item x="57"/>
        <item x="121"/>
        <item x="275"/>
        <item x="161"/>
        <item x="282"/>
        <item x="167"/>
        <item x="14"/>
        <item x="83"/>
        <item x="125"/>
        <item x="3"/>
        <item x="233"/>
        <item x="35"/>
        <item x="175"/>
        <item x="61"/>
        <item x="89"/>
        <item x="101"/>
        <item x="36"/>
        <item x="220"/>
        <item x="152"/>
        <item x="59"/>
        <item x="241"/>
        <item x="212"/>
        <item x="272"/>
        <item x="20"/>
        <item x="130"/>
        <item x="31"/>
        <item x="230"/>
        <item x="250"/>
        <item x="122"/>
        <item x="116"/>
        <item x="149"/>
        <item x="223"/>
        <item x="185"/>
        <item x="248"/>
        <item x="221"/>
        <item x="284"/>
        <item x="264"/>
        <item x="135"/>
        <item x="229"/>
        <item x="294"/>
        <item x="93"/>
        <item x="300"/>
        <item x="24"/>
        <item x="147"/>
        <item x="244"/>
        <item x="1"/>
        <item x="172"/>
        <item x="193"/>
        <item x="55"/>
        <item x="281"/>
        <item x="240"/>
        <item x="102"/>
        <item x="146"/>
        <item x="303"/>
        <item x="75"/>
        <item x="18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numFmtId="166"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P" fld="7" baseField="0" baseItem="0"/>
    <dataField name="Sum of PCT_STARTS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B04F7-BBD0-41C2-93E4-12D8DA29B5D8}" name="Table1" displayName="Table1" ref="A1:AG311" totalsRowShown="0">
  <autoFilter ref="A1:AG311" xr:uid="{3AFB04F7-BBD0-41C2-93E4-12D8DA29B5D8}"/>
  <sortState xmlns:xlrd2="http://schemas.microsoft.com/office/spreadsheetml/2017/richdata2" ref="A2:AG311">
    <sortCondition descending="1" ref="Q1:Q311"/>
  </sortState>
  <tableColumns count="33">
    <tableColumn id="1" xr3:uid="{6143CBE2-6204-49E5-AAA9-6EE4FC3E26ED}" name="RANK"/>
    <tableColumn id="2" xr3:uid="{833E24AB-1C31-4DCE-A9B4-D1B0290FE815}" name="PLAYER"/>
    <tableColumn id="3" xr3:uid="{1793423E-4F48-4E7F-90E8-E2B4B011A3EE}" name="NATION"/>
    <tableColumn id="4" xr3:uid="{D8C12337-5108-4B44-9C5B-B5E57659FF20}" name="POSITION"/>
    <tableColumn id="5" xr3:uid="{22830DA1-2103-4A5D-AF95-24831DDAE6A3}" name="SQUAD"/>
    <tableColumn id="6" xr3:uid="{B37E6996-7436-4668-A07D-CEFA4361D89F}" name="AGE"/>
    <tableColumn id="7" xr3:uid="{956E1B8D-5EC0-4864-8B65-5749947C7C6C}" name="YEAR_BORN" dataDxfId="41"/>
    <tableColumn id="8" xr3:uid="{F5DDFA40-B678-4B6E-9FB5-42687C4A8151}" name="MP" dataDxfId="40"/>
    <tableColumn id="9" xr3:uid="{DBB494FE-86D4-4271-B28B-6D02A5251D77}" name="STARTS" dataDxfId="17"/>
    <tableColumn id="33" xr3:uid="{236F796B-A175-4F4F-B0C2-78E9B7637400}" name="PCT_STARTS" dataDxfId="15">
      <calculatedColumnFormula>Table1[[#This Row],[STARTS]]/Table1[[#This Row],[MP]]</calculatedColumnFormula>
    </tableColumn>
    <tableColumn id="10" xr3:uid="{CE815021-BE7D-4C75-81DF-7461185B3D4A}" name="MINUTES" dataDxfId="16"/>
    <tableColumn id="11" xr3:uid="{77A8657D-5230-47EF-A24F-54C362EBCDBC}" name="90_MINS" dataDxfId="39"/>
    <tableColumn id="12" xr3:uid="{2EA63E14-90C6-4B99-9694-F4EFC5E9BE69}" name="G" dataDxfId="28"/>
    <tableColumn id="27" xr3:uid="{C2CDF977-AE59-488F-B390-EDEBFCD22232}" name="GPG" dataDxfId="27">
      <calculatedColumnFormula>Table1[[#This Row],[G]]/Table1[[#This Row],[MP]]</calculatedColumnFormula>
    </tableColumn>
    <tableColumn id="13" xr3:uid="{DACC44C4-F825-4C4F-B161-3B246A8CF3FB}" name="A" dataDxfId="26"/>
    <tableColumn id="28" xr3:uid="{D6BE1736-9993-4AC3-9E79-53683C0EF350}" name="APG" dataDxfId="25">
      <calculatedColumnFormula>Table1[[#This Row],[A]]/Table1[[#This Row],[MP]]</calculatedColumnFormula>
    </tableColumn>
    <tableColumn id="14" xr3:uid="{D2B0F895-FA5F-40A6-B2A3-81B0E06D6633}" name="PTS" dataDxfId="24"/>
    <tableColumn id="29" xr3:uid="{9A0EA0AA-DF21-44BB-8817-FEA82FC20D12}" name="PTSPG" dataDxfId="22">
      <calculatedColumnFormula>Table1[[#This Row],[PTS]]/Table1[[#This Row],[MP]]</calculatedColumnFormula>
    </tableColumn>
    <tableColumn id="15" xr3:uid="{A4EABB5C-012A-40AB-8B23-F4B2CD16B3A3}" name="G_PK" dataDxfId="23"/>
    <tableColumn id="30" xr3:uid="{6A9C20DE-82A3-494C-AF37-B4319DEB92F1}" name="G_REG" dataDxfId="29">
      <calculatedColumnFormula>Table1[[#This Row],[G]]-Table1[[#This Row],[G_PK]]</calculatedColumnFormula>
    </tableColumn>
    <tableColumn id="16" xr3:uid="{2401A0F8-D49B-4B21-AC76-00CE60D95E13}" name="PK" dataDxfId="38"/>
    <tableColumn id="17" xr3:uid="{D8B727CF-6052-4CA9-938D-E78A59D298F8}" name="PK_ATT" dataDxfId="37"/>
    <tableColumn id="18" xr3:uid="{2D2AC61A-4CF0-4A03-9CF7-8EB4C9C1B30F}" name="CRDY" dataDxfId="36"/>
    <tableColumn id="19" xr3:uid="{58E96280-A0C9-42F0-9857-A1B04FE50FE7}" name="CRDR" dataDxfId="35"/>
    <tableColumn id="31" xr3:uid="{48F03411-5199-4AD9-A457-97F11448D558}" name="TOT_CRDS" dataDxfId="21">
      <calculatedColumnFormula>Table1[[#This Row],[CRDY]]+Table1[[#This Row],[CRDR]]</calculatedColumnFormula>
    </tableColumn>
    <tableColumn id="20" xr3:uid="{7A11E72D-1892-4137-B984-482A8E6FD9B2}" name="XG" dataDxfId="20"/>
    <tableColumn id="32" xr3:uid="{4FB65A86-E1A0-4511-8BBD-8E5700EA5BB0}" name="XGPG" dataDxfId="18">
      <calculatedColumnFormula>Table1[[#This Row],[XG]]/Table1[[#This Row],[MP]]</calculatedColumnFormula>
    </tableColumn>
    <tableColumn id="21" xr3:uid="{8FAB7140-FAA3-4D6F-9B0E-2C13B02C69F6}" name="NPXG" dataDxfId="19"/>
    <tableColumn id="22" xr3:uid="{3B590251-DAC9-49A4-B085-5DFBC476B724}" name="XAG" dataDxfId="34"/>
    <tableColumn id="23" xr3:uid="{DB934F99-0EBF-404F-BAC8-8FCE1D1EFC02}" name="NPXG_XAG" dataDxfId="33"/>
    <tableColumn id="24" xr3:uid="{70938F30-B880-49F9-B047-E993A5B0104D}" name="PRGC" dataDxfId="32"/>
    <tableColumn id="25" xr3:uid="{492E23E9-604F-4B2A-9A3A-9A72D1D0ABDA}" name="PRGP" dataDxfId="31"/>
    <tableColumn id="26" xr3:uid="{0F9A3540-98D3-4E8E-86DB-5C558AD4022E}" name="PRGR" dataDxfId="3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1D805E-AD57-44FE-9438-1237A40C80AD}" name="Table4" displayName="Table4" ref="A1:B311" totalsRowShown="0" headerRowDxfId="10" dataDxfId="9">
  <autoFilter ref="A1:B311" xr:uid="{CB1D805E-AD57-44FE-9438-1237A40C80AD}"/>
  <sortState xmlns:xlrd2="http://schemas.microsoft.com/office/spreadsheetml/2017/richdata2" ref="A2:B311">
    <sortCondition descending="1" ref="B1:B311"/>
  </sortState>
  <tableColumns count="2">
    <tableColumn id="1" xr3:uid="{C681D9B4-E9E0-42C6-8849-2AAC540224D4}" name="PLAYERS" dataDxfId="12"/>
    <tableColumn id="2" xr3:uid="{6C43CC70-BB84-40F4-B5C1-2B27C397A357}" name="POINTS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E7975C-1A7E-45DF-8A6F-E8F61EFCD2DA}" name="Table3" displayName="Table3" ref="A1:D311" totalsRowShown="0" headerRowDxfId="2" dataDxfId="1">
  <autoFilter ref="A1:D311" xr:uid="{9FE7975C-1A7E-45DF-8A6F-E8F61EFCD2DA}"/>
  <sortState xmlns:xlrd2="http://schemas.microsoft.com/office/spreadsheetml/2017/richdata2" ref="A2:D311">
    <sortCondition descending="1" ref="D1:D311"/>
  </sortState>
  <tableColumns count="4">
    <tableColumn id="1" xr3:uid="{AAEC41F2-BB7F-490D-A74B-3AE81A679D01}" name="PLAYER" dataDxfId="6"/>
    <tableColumn id="2" xr3:uid="{793CE116-B065-43DC-B54C-D607D3548B93}" name="AVG GPG" dataDxfId="5"/>
    <tableColumn id="3" xr3:uid="{8596EEB9-0C85-49E8-8B2D-22D2848C5F82}" name="AVG XGPG" dataDxfId="4"/>
    <tableColumn id="4" xr3:uid="{A58BE483-A389-47DD-9EE7-F03563446EED}" name="DIFF" dataDxfId="3">
      <calculatedColumnFormula>Table3[[#This Row],[AVG GPG]]-Table3[[#This Row],[AVG XGPG]]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FE05B1-8E8B-4EF5-BA33-5E4EB8B46C36}" name="Table2" displayName="Table2" ref="A1:D310" totalsRowShown="0">
  <autoFilter ref="A1:D310" xr:uid="{41FE05B1-8E8B-4EF5-BA33-5E4EB8B46C36}">
    <filterColumn colId="1">
      <customFilters>
        <customFilter operator="greaterThan" val="0"/>
      </customFilters>
    </filterColumn>
  </autoFilter>
  <sortState xmlns:xlrd2="http://schemas.microsoft.com/office/spreadsheetml/2017/richdata2" ref="A2:D121">
    <sortCondition descending="1" ref="D1:D310"/>
  </sortState>
  <tableColumns count="4">
    <tableColumn id="1" xr3:uid="{63A1BFB9-2925-4DD5-B07E-C3AF935235E9}" name="PLAYER"/>
    <tableColumn id="2" xr3:uid="{609BA630-5F0B-4B18-92A4-89179BC73B2A}" name="AVG GPG" dataDxfId="14"/>
    <tableColumn id="3" xr3:uid="{61F75BAF-E5BA-4A99-B563-5D44366D9FCE}" name="AVG APG" dataDxfId="13"/>
    <tableColumn id="4" xr3:uid="{1A115C44-432F-4C40-BC8F-C4658091C825}" name="BALANCE" dataDxfId="0">
      <calculatedColumnFormula>SQRT(Table2[[#This Row],[AVG GPG]]*Table2[[#This Row],[AVG APG]])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BFA708-A94A-46FC-B271-E1ECDCC1DF34}" name="Table6" displayName="Table6" ref="A1:C310" totalsRowShown="0">
  <autoFilter ref="A1:C310" xr:uid="{DABFA708-A94A-46FC-B271-E1ECDCC1DF34}"/>
  <sortState xmlns:xlrd2="http://schemas.microsoft.com/office/spreadsheetml/2017/richdata2" ref="A2:C310">
    <sortCondition descending="1" ref="B2:B310"/>
    <sortCondition descending="1" ref="C2:C310"/>
  </sortState>
  <tableColumns count="3">
    <tableColumn id="1" xr3:uid="{0169D4E2-6CD9-4170-81C7-BA8072E81545}" name="PLAYERS"/>
    <tableColumn id="2" xr3:uid="{35F40229-E644-49F4-B45B-E0D51A2919E6}" name="MP" dataDxfId="8"/>
    <tableColumn id="3" xr3:uid="{921C3EF0-8559-46C4-9D81-2C0E337F3821}" name="PCT STARTS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E2C5-732C-40BE-BB03-0978A8C3F107}">
  <dimension ref="A1:AG311"/>
  <sheetViews>
    <sheetView tabSelected="1" workbookViewId="0">
      <selection activeCell="H6" sqref="H6"/>
    </sheetView>
  </sheetViews>
  <sheetFormatPr defaultRowHeight="14.5" x14ac:dyDescent="0.35"/>
  <cols>
    <col min="2" max="2" width="20.36328125" bestFit="1" customWidth="1"/>
    <col min="3" max="3" width="9.1796875" customWidth="1"/>
    <col min="4" max="4" width="10.7265625" customWidth="1"/>
    <col min="5" max="5" width="12" bestFit="1" customWidth="1"/>
    <col min="7" max="7" width="12.6328125" style="1" customWidth="1"/>
    <col min="8" max="8" width="8.7265625" style="1"/>
    <col min="9" max="9" width="8.81640625" style="1" customWidth="1"/>
    <col min="10" max="10" width="15.7265625" style="1" bestFit="1" customWidth="1"/>
    <col min="11" max="11" width="10.1796875" style="1" customWidth="1"/>
    <col min="12" max="12" width="9.81640625" style="1" customWidth="1"/>
    <col min="13" max="18" width="8.7265625" style="1"/>
    <col min="19" max="19" width="9.6328125" style="1" bestFit="1" customWidth="1"/>
    <col min="20" max="20" width="10.90625" style="1" bestFit="1" customWidth="1"/>
    <col min="21" max="21" width="8.7265625" style="1"/>
    <col min="22" max="22" width="11.54296875" style="1" customWidth="1"/>
    <col min="23" max="23" width="10.1796875" style="1" bestFit="1" customWidth="1"/>
    <col min="24" max="24" width="10.26953125" style="1" bestFit="1" customWidth="1"/>
    <col min="25" max="25" width="10.26953125" style="1" customWidth="1"/>
    <col min="26" max="26" width="8.7265625" style="1"/>
    <col min="27" max="28" width="10.08984375" style="1" bestFit="1" customWidth="1"/>
    <col min="29" max="29" width="8.81640625" style="1" bestFit="1" customWidth="1"/>
    <col min="30" max="30" width="11.6328125" style="1" customWidth="1"/>
    <col min="31" max="31" width="10.1796875" style="1" bestFit="1" customWidth="1"/>
    <col min="32" max="32" width="10" style="1" bestFit="1" customWidth="1"/>
    <col min="33" max="33" width="10.08984375" style="1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694</v>
      </c>
      <c r="K1" s="1" t="s">
        <v>9</v>
      </c>
      <c r="L1" s="1" t="s">
        <v>10</v>
      </c>
      <c r="M1" s="1" t="s">
        <v>11</v>
      </c>
      <c r="N1" s="1" t="s">
        <v>688</v>
      </c>
      <c r="O1" s="1" t="s">
        <v>12</v>
      </c>
      <c r="P1" s="1" t="s">
        <v>689</v>
      </c>
      <c r="Q1" s="1" t="s">
        <v>25</v>
      </c>
      <c r="R1" s="1" t="s">
        <v>690</v>
      </c>
      <c r="S1" s="1" t="s">
        <v>13</v>
      </c>
      <c r="T1" s="1" t="s">
        <v>691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692</v>
      </c>
      <c r="Z1" s="1" t="s">
        <v>18</v>
      </c>
      <c r="AA1" s="1" t="s">
        <v>693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</row>
    <row r="2" spans="1:33" x14ac:dyDescent="0.35">
      <c r="A2">
        <v>107</v>
      </c>
      <c r="B2" t="s">
        <v>275</v>
      </c>
      <c r="C2" t="s">
        <v>276</v>
      </c>
      <c r="D2" t="s">
        <v>32</v>
      </c>
      <c r="E2" t="s">
        <v>101</v>
      </c>
      <c r="F2" t="s">
        <v>277</v>
      </c>
      <c r="G2" s="1">
        <v>1992</v>
      </c>
      <c r="H2" s="1">
        <v>13</v>
      </c>
      <c r="I2" s="1">
        <v>13</v>
      </c>
      <c r="J2" s="2">
        <f>Table1[[#This Row],[STARTS]]/Table1[[#This Row],[MP]]</f>
        <v>1</v>
      </c>
      <c r="K2" s="1">
        <v>1136</v>
      </c>
      <c r="L2" s="1">
        <v>12.6</v>
      </c>
      <c r="M2" s="1">
        <v>10</v>
      </c>
      <c r="N2" s="2">
        <f>Table1[[#This Row],[G]]/Table1[[#This Row],[MP]]</f>
        <v>0.76923076923076927</v>
      </c>
      <c r="O2" s="2">
        <v>0</v>
      </c>
      <c r="P2" s="2">
        <f>Table1[[#This Row],[A]]/Table1[[#This Row],[MP]]</f>
        <v>0</v>
      </c>
      <c r="Q2" s="2">
        <v>10</v>
      </c>
      <c r="R2" s="2">
        <f>Table1[[#This Row],[PTS]]/Table1[[#This Row],[MP]]</f>
        <v>0.76923076923076927</v>
      </c>
      <c r="S2" s="1">
        <v>8</v>
      </c>
      <c r="T2" s="1">
        <f>Table1[[#This Row],[G]]-Table1[[#This Row],[G_PK]]</f>
        <v>2</v>
      </c>
      <c r="U2" s="1">
        <v>2</v>
      </c>
      <c r="V2" s="1">
        <v>2</v>
      </c>
      <c r="W2" s="1">
        <v>1</v>
      </c>
      <c r="X2" s="1">
        <v>0</v>
      </c>
      <c r="Y2" s="1">
        <f>Table1[[#This Row],[CRDY]]+Table1[[#This Row],[CRDR]]</f>
        <v>1</v>
      </c>
      <c r="Z2" s="1">
        <v>6.1</v>
      </c>
      <c r="AA2" s="2">
        <f>Table1[[#This Row],[XG]]/Table1[[#This Row],[MP]]</f>
        <v>0.46923076923076923</v>
      </c>
      <c r="AB2" s="1">
        <v>4.5999999999999996</v>
      </c>
      <c r="AC2" s="1">
        <v>1.1000000000000001</v>
      </c>
      <c r="AD2" s="1">
        <v>5.7</v>
      </c>
      <c r="AE2" s="1">
        <v>18</v>
      </c>
      <c r="AF2" s="1">
        <v>37</v>
      </c>
      <c r="AG2" s="1">
        <v>57</v>
      </c>
    </row>
    <row r="3" spans="1:33" x14ac:dyDescent="0.35">
      <c r="A3">
        <v>51</v>
      </c>
      <c r="B3" t="s">
        <v>158</v>
      </c>
      <c r="C3" t="s">
        <v>159</v>
      </c>
      <c r="D3" t="s">
        <v>32</v>
      </c>
      <c r="E3" t="s">
        <v>81</v>
      </c>
      <c r="F3" t="s">
        <v>160</v>
      </c>
      <c r="G3" s="1">
        <v>1998</v>
      </c>
      <c r="H3" s="1">
        <v>13</v>
      </c>
      <c r="I3" s="1">
        <v>12</v>
      </c>
      <c r="J3" s="2">
        <f>Table1[[#This Row],[STARTS]]/Table1[[#This Row],[MP]]</f>
        <v>0.92307692307692313</v>
      </c>
      <c r="K3" s="1">
        <v>1034</v>
      </c>
      <c r="L3" s="1">
        <v>11.5</v>
      </c>
      <c r="M3" s="1">
        <v>8</v>
      </c>
      <c r="N3" s="2">
        <f>Table1[[#This Row],[G]]/Table1[[#This Row],[MP]]</f>
        <v>0.61538461538461542</v>
      </c>
      <c r="O3" s="2">
        <v>2</v>
      </c>
      <c r="P3" s="2">
        <f>Table1[[#This Row],[A]]/Table1[[#This Row],[MP]]</f>
        <v>0.15384615384615385</v>
      </c>
      <c r="Q3" s="2">
        <v>10</v>
      </c>
      <c r="R3" s="2">
        <f>Table1[[#This Row],[PTS]]/Table1[[#This Row],[MP]]</f>
        <v>0.76923076923076927</v>
      </c>
      <c r="S3" s="1">
        <v>8</v>
      </c>
      <c r="T3" s="1">
        <f>Table1[[#This Row],[G]]-Table1[[#This Row],[G_PK]]</f>
        <v>0</v>
      </c>
      <c r="U3" s="1">
        <v>0</v>
      </c>
      <c r="V3" s="1">
        <v>0</v>
      </c>
      <c r="W3" s="1">
        <v>0</v>
      </c>
      <c r="X3" s="1">
        <v>0</v>
      </c>
      <c r="Y3" s="1">
        <f>Table1[[#This Row],[CRDY]]+Table1[[#This Row],[CRDR]]</f>
        <v>0</v>
      </c>
      <c r="Z3" s="1">
        <v>9.9</v>
      </c>
      <c r="AA3" s="2">
        <f>Table1[[#This Row],[XG]]/Table1[[#This Row],[MP]]</f>
        <v>0.76153846153846161</v>
      </c>
      <c r="AB3" s="1">
        <v>9.9</v>
      </c>
      <c r="AC3" s="1">
        <v>1.8</v>
      </c>
      <c r="AD3" s="1">
        <v>11.8</v>
      </c>
      <c r="AE3" s="1">
        <v>25</v>
      </c>
      <c r="AF3" s="1">
        <v>22</v>
      </c>
      <c r="AG3" s="1">
        <v>88</v>
      </c>
    </row>
    <row r="4" spans="1:33" x14ac:dyDescent="0.35">
      <c r="A4">
        <v>18</v>
      </c>
      <c r="B4" t="s">
        <v>83</v>
      </c>
      <c r="C4" t="s">
        <v>84</v>
      </c>
      <c r="D4" t="s">
        <v>85</v>
      </c>
      <c r="E4" t="s">
        <v>29</v>
      </c>
      <c r="F4" t="s">
        <v>86</v>
      </c>
      <c r="G4" s="1">
        <v>2000</v>
      </c>
      <c r="H4" s="1">
        <v>13</v>
      </c>
      <c r="I4" s="1">
        <v>12</v>
      </c>
      <c r="J4" s="2">
        <f>Table1[[#This Row],[STARTS]]/Table1[[#This Row],[MP]]</f>
        <v>0.92307692307692313</v>
      </c>
      <c r="K4" s="1">
        <v>1103</v>
      </c>
      <c r="L4" s="1">
        <v>12.3</v>
      </c>
      <c r="M4" s="1">
        <v>8</v>
      </c>
      <c r="N4" s="2">
        <f>Table1[[#This Row],[G]]/Table1[[#This Row],[MP]]</f>
        <v>0.61538461538461542</v>
      </c>
      <c r="O4" s="2">
        <v>1</v>
      </c>
      <c r="P4" s="2">
        <f>Table1[[#This Row],[A]]/Table1[[#This Row],[MP]]</f>
        <v>7.6923076923076927E-2</v>
      </c>
      <c r="Q4" s="2">
        <v>9</v>
      </c>
      <c r="R4" s="2">
        <f>Table1[[#This Row],[PTS]]/Table1[[#This Row],[MP]]</f>
        <v>0.69230769230769229</v>
      </c>
      <c r="S4" s="1">
        <v>8</v>
      </c>
      <c r="T4" s="1">
        <f>Table1[[#This Row],[G]]-Table1[[#This Row],[G_PK]]</f>
        <v>0</v>
      </c>
      <c r="U4" s="1">
        <v>0</v>
      </c>
      <c r="V4" s="1">
        <v>0</v>
      </c>
      <c r="W4" s="1">
        <v>2</v>
      </c>
      <c r="X4" s="1">
        <v>0</v>
      </c>
      <c r="Y4" s="1">
        <f>Table1[[#This Row],[CRDY]]+Table1[[#This Row],[CRDR]]</f>
        <v>2</v>
      </c>
      <c r="Z4" s="1">
        <v>7.1</v>
      </c>
      <c r="AA4" s="2">
        <f>Table1[[#This Row],[XG]]/Table1[[#This Row],[MP]]</f>
        <v>0.5461538461538461</v>
      </c>
      <c r="AB4" s="1">
        <v>7.1</v>
      </c>
      <c r="AC4" s="1">
        <v>1.3</v>
      </c>
      <c r="AD4" s="1">
        <v>8.5</v>
      </c>
      <c r="AE4" s="1">
        <v>60</v>
      </c>
      <c r="AF4" s="1">
        <v>14</v>
      </c>
      <c r="AG4" s="1">
        <v>93</v>
      </c>
    </row>
    <row r="5" spans="1:33" x14ac:dyDescent="0.35">
      <c r="A5">
        <v>288</v>
      </c>
      <c r="B5" t="s">
        <v>642</v>
      </c>
      <c r="C5" t="s">
        <v>27</v>
      </c>
      <c r="D5" t="s">
        <v>85</v>
      </c>
      <c r="E5" t="s">
        <v>54</v>
      </c>
      <c r="F5" t="s">
        <v>643</v>
      </c>
      <c r="G5" s="1">
        <v>2002</v>
      </c>
      <c r="H5" s="1">
        <v>13</v>
      </c>
      <c r="I5" s="1">
        <v>13</v>
      </c>
      <c r="J5" s="2">
        <f>Table1[[#This Row],[STARTS]]/Table1[[#This Row],[MP]]</f>
        <v>1</v>
      </c>
      <c r="K5" s="1">
        <v>1130</v>
      </c>
      <c r="L5" s="1">
        <v>12.6</v>
      </c>
      <c r="M5" s="1">
        <v>7</v>
      </c>
      <c r="N5" s="2">
        <f>Table1[[#This Row],[G]]/Table1[[#This Row],[MP]]</f>
        <v>0.53846153846153844</v>
      </c>
      <c r="O5" s="2">
        <v>1</v>
      </c>
      <c r="P5" s="2">
        <f>Table1[[#This Row],[A]]/Table1[[#This Row],[MP]]</f>
        <v>7.6923076923076927E-2</v>
      </c>
      <c r="Q5" s="2">
        <v>8</v>
      </c>
      <c r="R5" s="2">
        <f>Table1[[#This Row],[PTS]]/Table1[[#This Row],[MP]]</f>
        <v>0.61538461538461542</v>
      </c>
      <c r="S5" s="1">
        <v>7</v>
      </c>
      <c r="T5" s="1">
        <f>Table1[[#This Row],[G]]-Table1[[#This Row],[G_PK]]</f>
        <v>0</v>
      </c>
      <c r="U5" s="1">
        <v>0</v>
      </c>
      <c r="V5" s="1">
        <v>0</v>
      </c>
      <c r="W5" s="1">
        <v>3</v>
      </c>
      <c r="X5" s="1">
        <v>0</v>
      </c>
      <c r="Y5" s="1">
        <f>Table1[[#This Row],[CRDY]]+Table1[[#This Row],[CRDR]]</f>
        <v>3</v>
      </c>
      <c r="Z5" s="1">
        <v>2.6</v>
      </c>
      <c r="AA5" s="2">
        <f>Table1[[#This Row],[XG]]/Table1[[#This Row],[MP]]</f>
        <v>0.2</v>
      </c>
      <c r="AB5" s="1">
        <v>2.6</v>
      </c>
      <c r="AC5" s="1">
        <v>1.4</v>
      </c>
      <c r="AD5" s="1">
        <v>4</v>
      </c>
      <c r="AE5" s="1">
        <v>23</v>
      </c>
      <c r="AF5" s="1">
        <v>19</v>
      </c>
      <c r="AG5" s="1">
        <v>59</v>
      </c>
    </row>
    <row r="6" spans="1:33" x14ac:dyDescent="0.35">
      <c r="A6">
        <v>183</v>
      </c>
      <c r="B6" t="s">
        <v>432</v>
      </c>
      <c r="C6" t="s">
        <v>305</v>
      </c>
      <c r="D6" t="s">
        <v>32</v>
      </c>
      <c r="E6" t="s">
        <v>42</v>
      </c>
      <c r="F6" t="s">
        <v>433</v>
      </c>
      <c r="G6" s="1">
        <v>2004</v>
      </c>
      <c r="H6" s="1">
        <v>13</v>
      </c>
      <c r="I6" s="1">
        <v>11</v>
      </c>
      <c r="J6" s="2">
        <f>Table1[[#This Row],[STARTS]]/Table1[[#This Row],[MP]]</f>
        <v>0.84615384615384615</v>
      </c>
      <c r="K6" s="1">
        <v>971</v>
      </c>
      <c r="L6" s="1">
        <v>10.8</v>
      </c>
      <c r="M6" s="1">
        <v>4</v>
      </c>
      <c r="N6" s="2">
        <f>Table1[[#This Row],[G]]/Table1[[#This Row],[MP]]</f>
        <v>0.30769230769230771</v>
      </c>
      <c r="O6" s="2">
        <v>4</v>
      </c>
      <c r="P6" s="2">
        <f>Table1[[#This Row],[A]]/Table1[[#This Row],[MP]]</f>
        <v>0.30769230769230771</v>
      </c>
      <c r="Q6" s="2">
        <v>8</v>
      </c>
      <c r="R6" s="2">
        <f>Table1[[#This Row],[PTS]]/Table1[[#This Row],[MP]]</f>
        <v>0.61538461538461542</v>
      </c>
      <c r="S6" s="1">
        <v>4</v>
      </c>
      <c r="T6" s="1">
        <f>Table1[[#This Row],[G]]-Table1[[#This Row],[G_PK]]</f>
        <v>0</v>
      </c>
      <c r="U6" s="1">
        <v>0</v>
      </c>
      <c r="V6" s="1">
        <v>0</v>
      </c>
      <c r="W6" s="1">
        <v>3</v>
      </c>
      <c r="X6" s="1">
        <v>0</v>
      </c>
      <c r="Y6" s="1">
        <f>Table1[[#This Row],[CRDY]]+Table1[[#This Row],[CRDR]]</f>
        <v>3</v>
      </c>
      <c r="Z6" s="1">
        <v>4.5999999999999996</v>
      </c>
      <c r="AA6" s="2">
        <f>Table1[[#This Row],[XG]]/Table1[[#This Row],[MP]]</f>
        <v>0.35384615384615381</v>
      </c>
      <c r="AB6" s="1">
        <v>4.5999999999999996</v>
      </c>
      <c r="AC6" s="1">
        <v>3.2</v>
      </c>
      <c r="AD6" s="1">
        <v>7.8</v>
      </c>
      <c r="AE6" s="1">
        <v>18</v>
      </c>
      <c r="AF6" s="1">
        <v>49</v>
      </c>
      <c r="AG6" s="1">
        <v>60</v>
      </c>
    </row>
    <row r="7" spans="1:33" x14ac:dyDescent="0.35">
      <c r="A7">
        <v>47</v>
      </c>
      <c r="B7" t="s">
        <v>148</v>
      </c>
      <c r="C7" t="s">
        <v>149</v>
      </c>
      <c r="D7" t="s">
        <v>85</v>
      </c>
      <c r="E7" t="s">
        <v>65</v>
      </c>
      <c r="F7" t="s">
        <v>150</v>
      </c>
      <c r="G7" s="1">
        <v>1997</v>
      </c>
      <c r="H7" s="1">
        <v>13</v>
      </c>
      <c r="I7" s="1">
        <v>13</v>
      </c>
      <c r="J7" s="2">
        <f>Table1[[#This Row],[STARTS]]/Table1[[#This Row],[MP]]</f>
        <v>1</v>
      </c>
      <c r="K7" s="1">
        <v>1109</v>
      </c>
      <c r="L7" s="1">
        <v>12.3</v>
      </c>
      <c r="M7" s="1">
        <v>3</v>
      </c>
      <c r="N7" s="2">
        <f>Table1[[#This Row],[G]]/Table1[[#This Row],[MP]]</f>
        <v>0.23076923076923078</v>
      </c>
      <c r="O7" s="2">
        <v>5</v>
      </c>
      <c r="P7" s="2">
        <f>Table1[[#This Row],[A]]/Table1[[#This Row],[MP]]</f>
        <v>0.38461538461538464</v>
      </c>
      <c r="Q7" s="2">
        <v>8</v>
      </c>
      <c r="R7" s="2">
        <f>Table1[[#This Row],[PTS]]/Table1[[#This Row],[MP]]</f>
        <v>0.61538461538461542</v>
      </c>
      <c r="S7" s="1">
        <v>3</v>
      </c>
      <c r="T7" s="1">
        <f>Table1[[#This Row],[G]]-Table1[[#This Row],[G_PK]]</f>
        <v>0</v>
      </c>
      <c r="U7" s="1">
        <v>0</v>
      </c>
      <c r="V7" s="1">
        <v>0</v>
      </c>
      <c r="W7" s="1">
        <v>1</v>
      </c>
      <c r="X7" s="1">
        <v>0</v>
      </c>
      <c r="Y7" s="1">
        <f>Table1[[#This Row],[CRDY]]+Table1[[#This Row],[CRDR]]</f>
        <v>1</v>
      </c>
      <c r="Z7" s="1">
        <v>1</v>
      </c>
      <c r="AA7" s="2">
        <f>Table1[[#This Row],[XG]]/Table1[[#This Row],[MP]]</f>
        <v>7.6923076923076927E-2</v>
      </c>
      <c r="AB7" s="1">
        <v>1</v>
      </c>
      <c r="AC7" s="1">
        <v>2.8</v>
      </c>
      <c r="AD7" s="1">
        <v>3.9</v>
      </c>
      <c r="AE7" s="1">
        <v>47</v>
      </c>
      <c r="AF7" s="1">
        <v>45</v>
      </c>
      <c r="AG7" s="1">
        <v>95</v>
      </c>
    </row>
    <row r="8" spans="1:33" x14ac:dyDescent="0.35">
      <c r="A8">
        <v>119</v>
      </c>
      <c r="B8" t="s">
        <v>302</v>
      </c>
      <c r="C8" t="s">
        <v>27</v>
      </c>
      <c r="D8" t="s">
        <v>32</v>
      </c>
      <c r="E8" t="s">
        <v>107</v>
      </c>
      <c r="F8" t="s">
        <v>303</v>
      </c>
      <c r="G8" s="1">
        <v>1995</v>
      </c>
      <c r="H8" s="1">
        <v>10</v>
      </c>
      <c r="I8" s="1">
        <v>9</v>
      </c>
      <c r="J8" s="2">
        <f>Table1[[#This Row],[STARTS]]/Table1[[#This Row],[MP]]</f>
        <v>0.9</v>
      </c>
      <c r="K8" s="1">
        <v>823</v>
      </c>
      <c r="L8" s="1">
        <v>9.1</v>
      </c>
      <c r="M8" s="1">
        <v>6</v>
      </c>
      <c r="N8" s="2">
        <f>Table1[[#This Row],[G]]/Table1[[#This Row],[MP]]</f>
        <v>0.6</v>
      </c>
      <c r="O8" s="2">
        <v>1</v>
      </c>
      <c r="P8" s="2">
        <f>Table1[[#This Row],[A]]/Table1[[#This Row],[MP]]</f>
        <v>0.1</v>
      </c>
      <c r="Q8" s="2">
        <v>7</v>
      </c>
      <c r="R8" s="2">
        <f>Table1[[#This Row],[PTS]]/Table1[[#This Row],[MP]]</f>
        <v>0.7</v>
      </c>
      <c r="S8" s="1">
        <v>6</v>
      </c>
      <c r="T8" s="1">
        <f>Table1[[#This Row],[G]]-Table1[[#This Row],[G_PK]]</f>
        <v>0</v>
      </c>
      <c r="U8" s="1">
        <v>0</v>
      </c>
      <c r="V8" s="1">
        <v>1</v>
      </c>
      <c r="W8" s="1">
        <v>1</v>
      </c>
      <c r="X8" s="1">
        <v>0</v>
      </c>
      <c r="Y8" s="1">
        <f>Table1[[#This Row],[CRDY]]+Table1[[#This Row],[CRDR]]</f>
        <v>1</v>
      </c>
      <c r="Z8" s="1">
        <v>5.3</v>
      </c>
      <c r="AA8" s="2">
        <f>Table1[[#This Row],[XG]]/Table1[[#This Row],[MP]]</f>
        <v>0.53</v>
      </c>
      <c r="AB8" s="1">
        <v>4.5999999999999996</v>
      </c>
      <c r="AC8" s="1">
        <v>1.4</v>
      </c>
      <c r="AD8" s="1">
        <v>6</v>
      </c>
      <c r="AE8" s="1">
        <v>14</v>
      </c>
      <c r="AF8" s="1">
        <v>15</v>
      </c>
      <c r="AG8" s="1">
        <v>43</v>
      </c>
    </row>
    <row r="9" spans="1:33" x14ac:dyDescent="0.35">
      <c r="A9">
        <v>285</v>
      </c>
      <c r="B9" t="s">
        <v>637</v>
      </c>
      <c r="C9" t="s">
        <v>27</v>
      </c>
      <c r="D9" t="s">
        <v>32</v>
      </c>
      <c r="E9" t="s">
        <v>54</v>
      </c>
      <c r="F9" t="s">
        <v>638</v>
      </c>
      <c r="G9" s="1">
        <v>2004</v>
      </c>
      <c r="H9" s="1">
        <v>12</v>
      </c>
      <c r="I9" s="1">
        <v>12</v>
      </c>
      <c r="J9" s="2">
        <f>Table1[[#This Row],[STARTS]]/Table1[[#This Row],[MP]]</f>
        <v>1</v>
      </c>
      <c r="K9" s="1">
        <v>1033</v>
      </c>
      <c r="L9" s="1">
        <v>11.5</v>
      </c>
      <c r="M9" s="1">
        <v>5</v>
      </c>
      <c r="N9" s="2">
        <f>Table1[[#This Row],[G]]/Table1[[#This Row],[MP]]</f>
        <v>0.41666666666666669</v>
      </c>
      <c r="O9" s="2">
        <v>2</v>
      </c>
      <c r="P9" s="2">
        <f>Table1[[#This Row],[A]]/Table1[[#This Row],[MP]]</f>
        <v>0.16666666666666666</v>
      </c>
      <c r="Q9" s="2">
        <v>7</v>
      </c>
      <c r="R9" s="2">
        <f>Table1[[#This Row],[PTS]]/Table1[[#This Row],[MP]]</f>
        <v>0.58333333333333337</v>
      </c>
      <c r="S9" s="1">
        <v>4</v>
      </c>
      <c r="T9" s="1">
        <f>Table1[[#This Row],[G]]-Table1[[#This Row],[G_PK]]</f>
        <v>1</v>
      </c>
      <c r="U9" s="1">
        <v>1</v>
      </c>
      <c r="V9" s="1">
        <v>2</v>
      </c>
      <c r="W9" s="1">
        <v>2</v>
      </c>
      <c r="X9" s="1">
        <v>0</v>
      </c>
      <c r="Y9" s="1">
        <f>Table1[[#This Row],[CRDY]]+Table1[[#This Row],[CRDR]]</f>
        <v>2</v>
      </c>
      <c r="Z9" s="1">
        <v>4.0999999999999996</v>
      </c>
      <c r="AA9" s="2">
        <f>Table1[[#This Row],[XG]]/Table1[[#This Row],[MP]]</f>
        <v>0.34166666666666662</v>
      </c>
      <c r="AB9" s="1">
        <v>2.7</v>
      </c>
      <c r="AC9" s="1">
        <v>2.5</v>
      </c>
      <c r="AD9" s="1">
        <v>5.0999999999999996</v>
      </c>
      <c r="AE9" s="1">
        <v>42</v>
      </c>
      <c r="AF9" s="1">
        <v>29</v>
      </c>
      <c r="AG9" s="1">
        <v>98</v>
      </c>
    </row>
    <row r="10" spans="1:33" x14ac:dyDescent="0.35">
      <c r="A10">
        <v>259</v>
      </c>
      <c r="B10" t="s">
        <v>586</v>
      </c>
      <c r="C10" t="s">
        <v>27</v>
      </c>
      <c r="D10" t="s">
        <v>32</v>
      </c>
      <c r="E10" t="s">
        <v>71</v>
      </c>
      <c r="F10" t="s">
        <v>587</v>
      </c>
      <c r="G10" s="1">
        <v>2001</v>
      </c>
      <c r="H10" s="1">
        <v>13</v>
      </c>
      <c r="I10" s="1">
        <v>13</v>
      </c>
      <c r="J10" s="2">
        <f>Table1[[#This Row],[STARTS]]/Table1[[#This Row],[MP]]</f>
        <v>1</v>
      </c>
      <c r="K10" s="1">
        <v>1086</v>
      </c>
      <c r="L10" s="1">
        <v>12.1</v>
      </c>
      <c r="M10" s="1">
        <v>6</v>
      </c>
      <c r="N10" s="2">
        <f>Table1[[#This Row],[G]]/Table1[[#This Row],[MP]]</f>
        <v>0.46153846153846156</v>
      </c>
      <c r="O10" s="2">
        <v>0</v>
      </c>
      <c r="P10" s="2">
        <f>Table1[[#This Row],[A]]/Table1[[#This Row],[MP]]</f>
        <v>0</v>
      </c>
      <c r="Q10" s="2">
        <v>6</v>
      </c>
      <c r="R10" s="2">
        <f>Table1[[#This Row],[PTS]]/Table1[[#This Row],[MP]]</f>
        <v>0.46153846153846156</v>
      </c>
      <c r="S10" s="1">
        <v>6</v>
      </c>
      <c r="T10" s="1">
        <f>Table1[[#This Row],[G]]-Table1[[#This Row],[G_PK]]</f>
        <v>0</v>
      </c>
      <c r="U10" s="1">
        <v>0</v>
      </c>
      <c r="V10" s="1">
        <v>0</v>
      </c>
      <c r="W10" s="1">
        <v>1</v>
      </c>
      <c r="X10" s="1">
        <v>0</v>
      </c>
      <c r="Y10" s="1">
        <f>Table1[[#This Row],[CRDY]]+Table1[[#This Row],[CRDR]]</f>
        <v>1</v>
      </c>
      <c r="Z10" s="1">
        <v>3.4</v>
      </c>
      <c r="AA10" s="2">
        <f>Table1[[#This Row],[XG]]/Table1[[#This Row],[MP]]</f>
        <v>0.26153846153846155</v>
      </c>
      <c r="AB10" s="1">
        <v>3.4</v>
      </c>
      <c r="AC10" s="1">
        <v>0.8</v>
      </c>
      <c r="AD10" s="1">
        <v>4.0999999999999996</v>
      </c>
      <c r="AE10" s="1">
        <v>31</v>
      </c>
      <c r="AF10" s="1">
        <v>14</v>
      </c>
      <c r="AG10" s="1">
        <v>81</v>
      </c>
    </row>
    <row r="11" spans="1:33" x14ac:dyDescent="0.35">
      <c r="A11">
        <v>72</v>
      </c>
      <c r="B11" t="s">
        <v>202</v>
      </c>
      <c r="C11" t="s">
        <v>41</v>
      </c>
      <c r="D11" t="s">
        <v>32</v>
      </c>
      <c r="E11" t="s">
        <v>81</v>
      </c>
      <c r="F11" t="s">
        <v>203</v>
      </c>
      <c r="G11" s="1">
        <v>1991</v>
      </c>
      <c r="H11" s="1">
        <v>9</v>
      </c>
      <c r="I11" s="1">
        <v>8</v>
      </c>
      <c r="J11" s="2">
        <f>Table1[[#This Row],[STARTS]]/Table1[[#This Row],[MP]]</f>
        <v>0.88888888888888884</v>
      </c>
      <c r="K11" s="1">
        <v>705</v>
      </c>
      <c r="L11" s="1">
        <v>7.8</v>
      </c>
      <c r="M11" s="1">
        <v>5</v>
      </c>
      <c r="N11" s="2">
        <f>Table1[[#This Row],[G]]/Table1[[#This Row],[MP]]</f>
        <v>0.55555555555555558</v>
      </c>
      <c r="O11" s="2">
        <v>1</v>
      </c>
      <c r="P11" s="2">
        <f>Table1[[#This Row],[A]]/Table1[[#This Row],[MP]]</f>
        <v>0.1111111111111111</v>
      </c>
      <c r="Q11" s="2">
        <v>6</v>
      </c>
      <c r="R11" s="2">
        <f>Table1[[#This Row],[PTS]]/Table1[[#This Row],[MP]]</f>
        <v>0.66666666666666663</v>
      </c>
      <c r="S11" s="1">
        <v>5</v>
      </c>
      <c r="T11" s="1">
        <f>Table1[[#This Row],[G]]-Table1[[#This Row],[G_PK]]</f>
        <v>0</v>
      </c>
      <c r="U11" s="1">
        <v>0</v>
      </c>
      <c r="V11" s="1">
        <v>0</v>
      </c>
      <c r="W11" s="1">
        <v>0</v>
      </c>
      <c r="X11" s="1">
        <v>0</v>
      </c>
      <c r="Y11" s="1">
        <f>Table1[[#This Row],[CRDY]]+Table1[[#This Row],[CRDR]]</f>
        <v>0</v>
      </c>
      <c r="Z11" s="1">
        <v>3.1</v>
      </c>
      <c r="AA11" s="2">
        <f>Table1[[#This Row],[XG]]/Table1[[#This Row],[MP]]</f>
        <v>0.34444444444444444</v>
      </c>
      <c r="AB11" s="1">
        <v>3.1</v>
      </c>
      <c r="AC11" s="1">
        <v>2.6</v>
      </c>
      <c r="AD11" s="1">
        <v>5.7</v>
      </c>
      <c r="AE11" s="1">
        <v>21</v>
      </c>
      <c r="AF11" s="1">
        <v>42</v>
      </c>
      <c r="AG11" s="1">
        <v>70</v>
      </c>
    </row>
    <row r="12" spans="1:33" x14ac:dyDescent="0.35">
      <c r="A12">
        <v>22</v>
      </c>
      <c r="B12" t="s">
        <v>93</v>
      </c>
      <c r="C12" t="s">
        <v>41</v>
      </c>
      <c r="D12" t="s">
        <v>85</v>
      </c>
      <c r="E12" t="s">
        <v>81</v>
      </c>
      <c r="F12" t="s">
        <v>94</v>
      </c>
      <c r="G12" s="1">
        <v>1993</v>
      </c>
      <c r="H12" s="1">
        <v>11</v>
      </c>
      <c r="I12" s="1">
        <v>9</v>
      </c>
      <c r="J12" s="2">
        <f>Table1[[#This Row],[STARTS]]/Table1[[#This Row],[MP]]</f>
        <v>0.81818181818181823</v>
      </c>
      <c r="K12" s="1">
        <v>750</v>
      </c>
      <c r="L12" s="1">
        <v>8.3000000000000007</v>
      </c>
      <c r="M12" s="1">
        <v>5</v>
      </c>
      <c r="N12" s="2">
        <f>Table1[[#This Row],[G]]/Table1[[#This Row],[MP]]</f>
        <v>0.45454545454545453</v>
      </c>
      <c r="O12" s="2">
        <v>1</v>
      </c>
      <c r="P12" s="2">
        <f>Table1[[#This Row],[A]]/Table1[[#This Row],[MP]]</f>
        <v>9.0909090909090912E-2</v>
      </c>
      <c r="Q12" s="2">
        <v>6</v>
      </c>
      <c r="R12" s="2">
        <f>Table1[[#This Row],[PTS]]/Table1[[#This Row],[MP]]</f>
        <v>0.54545454545454541</v>
      </c>
      <c r="S12" s="1">
        <v>5</v>
      </c>
      <c r="T12" s="1">
        <f>Table1[[#This Row],[G]]-Table1[[#This Row],[G_PK]]</f>
        <v>0</v>
      </c>
      <c r="U12" s="1">
        <v>0</v>
      </c>
      <c r="V12" s="1">
        <v>0</v>
      </c>
      <c r="W12" s="1">
        <v>0</v>
      </c>
      <c r="X12" s="1">
        <v>0</v>
      </c>
      <c r="Y12" s="1">
        <f>Table1[[#This Row],[CRDY]]+Table1[[#This Row],[CRDR]]</f>
        <v>0</v>
      </c>
      <c r="Z12" s="1">
        <v>1.9</v>
      </c>
      <c r="AA12" s="2">
        <f>Table1[[#This Row],[XG]]/Table1[[#This Row],[MP]]</f>
        <v>0.17272727272727273</v>
      </c>
      <c r="AB12" s="1">
        <v>1.9</v>
      </c>
      <c r="AC12" s="1">
        <v>1.2</v>
      </c>
      <c r="AD12" s="1">
        <v>3.1</v>
      </c>
      <c r="AE12" s="1">
        <v>19</v>
      </c>
      <c r="AF12" s="1">
        <v>41</v>
      </c>
      <c r="AG12" s="1">
        <v>71</v>
      </c>
    </row>
    <row r="13" spans="1:33" x14ac:dyDescent="0.35">
      <c r="A13">
        <v>60</v>
      </c>
      <c r="B13" t="s">
        <v>178</v>
      </c>
      <c r="C13" t="s">
        <v>27</v>
      </c>
      <c r="D13" t="s">
        <v>32</v>
      </c>
      <c r="E13" t="s">
        <v>81</v>
      </c>
      <c r="F13" t="s">
        <v>179</v>
      </c>
      <c r="G13" s="1">
        <v>2002</v>
      </c>
      <c r="H13" s="1">
        <v>8</v>
      </c>
      <c r="I13" s="1">
        <v>7</v>
      </c>
      <c r="J13" s="2">
        <f>Table1[[#This Row],[STARTS]]/Table1[[#This Row],[MP]]</f>
        <v>0.875</v>
      </c>
      <c r="K13" s="1">
        <v>474</v>
      </c>
      <c r="L13" s="1">
        <v>5.3</v>
      </c>
      <c r="M13" s="1">
        <v>4</v>
      </c>
      <c r="N13" s="2">
        <f>Table1[[#This Row],[G]]/Table1[[#This Row],[MP]]</f>
        <v>0.5</v>
      </c>
      <c r="O13" s="2">
        <v>2</v>
      </c>
      <c r="P13" s="2">
        <f>Table1[[#This Row],[A]]/Table1[[#This Row],[MP]]</f>
        <v>0.25</v>
      </c>
      <c r="Q13" s="2">
        <v>6</v>
      </c>
      <c r="R13" s="2">
        <f>Table1[[#This Row],[PTS]]/Table1[[#This Row],[MP]]</f>
        <v>0.75</v>
      </c>
      <c r="S13" s="1">
        <v>4</v>
      </c>
      <c r="T13" s="1">
        <f>Table1[[#This Row],[G]]-Table1[[#This Row],[G_PK]]</f>
        <v>0</v>
      </c>
      <c r="U13" s="1">
        <v>0</v>
      </c>
      <c r="V13" s="1">
        <v>0</v>
      </c>
      <c r="W13" s="1">
        <v>0</v>
      </c>
      <c r="X13" s="1">
        <v>0</v>
      </c>
      <c r="Y13" s="1">
        <f>Table1[[#This Row],[CRDY]]+Table1[[#This Row],[CRDR]]</f>
        <v>0</v>
      </c>
      <c r="Z13" s="1">
        <v>2.4</v>
      </c>
      <c r="AA13" s="2">
        <f>Table1[[#This Row],[XG]]/Table1[[#This Row],[MP]]</f>
        <v>0.3</v>
      </c>
      <c r="AB13" s="1">
        <v>2.4</v>
      </c>
      <c r="AC13" s="1">
        <v>3.8</v>
      </c>
      <c r="AD13" s="1">
        <v>6.2</v>
      </c>
      <c r="AE13" s="1">
        <v>15</v>
      </c>
      <c r="AF13" s="1">
        <v>13</v>
      </c>
      <c r="AG13" s="1">
        <v>42</v>
      </c>
    </row>
    <row r="14" spans="1:33" x14ac:dyDescent="0.35">
      <c r="A14">
        <v>200</v>
      </c>
      <c r="B14" t="s">
        <v>466</v>
      </c>
      <c r="C14" t="s">
        <v>49</v>
      </c>
      <c r="D14" t="s">
        <v>32</v>
      </c>
      <c r="E14" t="s">
        <v>107</v>
      </c>
      <c r="F14" t="s">
        <v>467</v>
      </c>
      <c r="G14" s="1">
        <v>2001</v>
      </c>
      <c r="H14" s="1">
        <v>10</v>
      </c>
      <c r="I14" s="1">
        <v>8</v>
      </c>
      <c r="J14" s="2">
        <f>Table1[[#This Row],[STARTS]]/Table1[[#This Row],[MP]]</f>
        <v>0.8</v>
      </c>
      <c r="K14" s="1">
        <v>728</v>
      </c>
      <c r="L14" s="1">
        <v>8.1</v>
      </c>
      <c r="M14" s="1">
        <v>4</v>
      </c>
      <c r="N14" s="2">
        <f>Table1[[#This Row],[G]]/Table1[[#This Row],[MP]]</f>
        <v>0.4</v>
      </c>
      <c r="O14" s="2">
        <v>1</v>
      </c>
      <c r="P14" s="2">
        <f>Table1[[#This Row],[A]]/Table1[[#This Row],[MP]]</f>
        <v>0.1</v>
      </c>
      <c r="Q14" s="2">
        <v>5</v>
      </c>
      <c r="R14" s="2">
        <f>Table1[[#This Row],[PTS]]/Table1[[#This Row],[MP]]</f>
        <v>0.5</v>
      </c>
      <c r="S14" s="1">
        <v>4</v>
      </c>
      <c r="T14" s="1">
        <f>Table1[[#This Row],[G]]-Table1[[#This Row],[G_PK]]</f>
        <v>0</v>
      </c>
      <c r="U14" s="1">
        <v>0</v>
      </c>
      <c r="V14" s="1">
        <v>0</v>
      </c>
      <c r="W14" s="1">
        <v>1</v>
      </c>
      <c r="X14" s="1">
        <v>0</v>
      </c>
      <c r="Y14" s="1">
        <f>Table1[[#This Row],[CRDY]]+Table1[[#This Row],[CRDR]]</f>
        <v>1</v>
      </c>
      <c r="Z14" s="1">
        <v>4.5</v>
      </c>
      <c r="AA14" s="2">
        <f>Table1[[#This Row],[XG]]/Table1[[#This Row],[MP]]</f>
        <v>0.45</v>
      </c>
      <c r="AB14" s="1">
        <v>4.5</v>
      </c>
      <c r="AC14" s="1">
        <v>1.5</v>
      </c>
      <c r="AD14" s="1">
        <v>6</v>
      </c>
      <c r="AE14" s="1">
        <v>14</v>
      </c>
      <c r="AF14" s="1">
        <v>9</v>
      </c>
      <c r="AG14" s="1">
        <v>40</v>
      </c>
    </row>
    <row r="15" spans="1:33" x14ac:dyDescent="0.35">
      <c r="A15">
        <v>126</v>
      </c>
      <c r="B15" t="s">
        <v>317</v>
      </c>
      <c r="C15" t="s">
        <v>27</v>
      </c>
      <c r="D15" t="s">
        <v>37</v>
      </c>
      <c r="E15" t="s">
        <v>46</v>
      </c>
      <c r="F15" t="s">
        <v>318</v>
      </c>
      <c r="G15" s="1">
        <v>1999</v>
      </c>
      <c r="H15" s="1">
        <v>11</v>
      </c>
      <c r="I15" s="1">
        <v>6</v>
      </c>
      <c r="J15" s="2">
        <f>Table1[[#This Row],[STARTS]]/Table1[[#This Row],[MP]]</f>
        <v>0.54545454545454541</v>
      </c>
      <c r="K15" s="1">
        <v>563</v>
      </c>
      <c r="L15" s="1">
        <v>6.3</v>
      </c>
      <c r="M15" s="1">
        <v>4</v>
      </c>
      <c r="N15" s="2">
        <f>Table1[[#This Row],[G]]/Table1[[#This Row],[MP]]</f>
        <v>0.36363636363636365</v>
      </c>
      <c r="O15" s="2">
        <v>1</v>
      </c>
      <c r="P15" s="2">
        <f>Table1[[#This Row],[A]]/Table1[[#This Row],[MP]]</f>
        <v>9.0909090909090912E-2</v>
      </c>
      <c r="Q15" s="2">
        <v>5</v>
      </c>
      <c r="R15" s="2">
        <f>Table1[[#This Row],[PTS]]/Table1[[#This Row],[MP]]</f>
        <v>0.45454545454545453</v>
      </c>
      <c r="S15" s="1">
        <v>4</v>
      </c>
      <c r="T15" s="1">
        <f>Table1[[#This Row],[G]]-Table1[[#This Row],[G_PK]]</f>
        <v>0</v>
      </c>
      <c r="U15" s="1">
        <v>0</v>
      </c>
      <c r="V15" s="1">
        <v>0</v>
      </c>
      <c r="W15" s="1">
        <v>0</v>
      </c>
      <c r="X15" s="1">
        <v>0</v>
      </c>
      <c r="Y15" s="1">
        <f>Table1[[#This Row],[CRDY]]+Table1[[#This Row],[CRDR]]</f>
        <v>0</v>
      </c>
      <c r="Z15" s="1">
        <v>3.6</v>
      </c>
      <c r="AA15" s="2">
        <f>Table1[[#This Row],[XG]]/Table1[[#This Row],[MP]]</f>
        <v>0.32727272727272727</v>
      </c>
      <c r="AB15" s="1">
        <v>3.6</v>
      </c>
      <c r="AC15" s="1">
        <v>0.6</v>
      </c>
      <c r="AD15" s="1">
        <v>4.2</v>
      </c>
      <c r="AE15" s="1">
        <v>12</v>
      </c>
      <c r="AF15" s="1">
        <v>13</v>
      </c>
      <c r="AG15" s="1">
        <v>37</v>
      </c>
    </row>
    <row r="16" spans="1:33" x14ac:dyDescent="0.35">
      <c r="A16">
        <v>292</v>
      </c>
      <c r="B16" t="s">
        <v>650</v>
      </c>
      <c r="C16" t="s">
        <v>27</v>
      </c>
      <c r="D16" t="s">
        <v>32</v>
      </c>
      <c r="E16" t="s">
        <v>38</v>
      </c>
      <c r="F16" t="s">
        <v>651</v>
      </c>
      <c r="G16" s="1">
        <v>2002</v>
      </c>
      <c r="H16" s="1">
        <v>12</v>
      </c>
      <c r="I16" s="1">
        <v>10</v>
      </c>
      <c r="J16" s="2">
        <f>Table1[[#This Row],[STARTS]]/Table1[[#This Row],[MP]]</f>
        <v>0.83333333333333337</v>
      </c>
      <c r="K16" s="1">
        <v>795</v>
      </c>
      <c r="L16" s="1">
        <v>8.8000000000000007</v>
      </c>
      <c r="M16" s="1">
        <v>4</v>
      </c>
      <c r="N16" s="2">
        <f>Table1[[#This Row],[G]]/Table1[[#This Row],[MP]]</f>
        <v>0.33333333333333331</v>
      </c>
      <c r="O16" s="2">
        <v>1</v>
      </c>
      <c r="P16" s="2">
        <f>Table1[[#This Row],[A]]/Table1[[#This Row],[MP]]</f>
        <v>8.3333333333333329E-2</v>
      </c>
      <c r="Q16" s="2">
        <v>5</v>
      </c>
      <c r="R16" s="2">
        <f>Table1[[#This Row],[PTS]]/Table1[[#This Row],[MP]]</f>
        <v>0.41666666666666669</v>
      </c>
      <c r="S16" s="1">
        <v>4</v>
      </c>
      <c r="T16" s="1">
        <f>Table1[[#This Row],[G]]-Table1[[#This Row],[G_PK]]</f>
        <v>0</v>
      </c>
      <c r="U16" s="1">
        <v>0</v>
      </c>
      <c r="V16" s="1">
        <v>0</v>
      </c>
      <c r="W16" s="1">
        <v>0</v>
      </c>
      <c r="X16" s="1">
        <v>0</v>
      </c>
      <c r="Y16" s="1">
        <f>Table1[[#This Row],[CRDY]]+Table1[[#This Row],[CRDR]]</f>
        <v>0</v>
      </c>
      <c r="Z16" s="1">
        <v>5.5</v>
      </c>
      <c r="AA16" s="2">
        <f>Table1[[#This Row],[XG]]/Table1[[#This Row],[MP]]</f>
        <v>0.45833333333333331</v>
      </c>
      <c r="AB16" s="1">
        <v>5.5</v>
      </c>
      <c r="AC16" s="1">
        <v>0.6</v>
      </c>
      <c r="AD16" s="1">
        <v>6.1</v>
      </c>
      <c r="AE16" s="1">
        <v>5</v>
      </c>
      <c r="AF16" s="1">
        <v>10</v>
      </c>
      <c r="AG16" s="1">
        <v>54</v>
      </c>
    </row>
    <row r="17" spans="1:33" x14ac:dyDescent="0.35">
      <c r="A17">
        <v>161</v>
      </c>
      <c r="B17" t="s">
        <v>387</v>
      </c>
      <c r="C17" t="s">
        <v>36</v>
      </c>
      <c r="D17" t="s">
        <v>32</v>
      </c>
      <c r="E17" t="s">
        <v>65</v>
      </c>
      <c r="F17" t="s">
        <v>388</v>
      </c>
      <c r="G17" s="1">
        <v>1992</v>
      </c>
      <c r="H17" s="1">
        <v>13</v>
      </c>
      <c r="I17" s="1">
        <v>8</v>
      </c>
      <c r="J17" s="2">
        <f>Table1[[#This Row],[STARTS]]/Table1[[#This Row],[MP]]</f>
        <v>0.61538461538461542</v>
      </c>
      <c r="K17" s="1">
        <v>660</v>
      </c>
      <c r="L17" s="1">
        <v>7.3</v>
      </c>
      <c r="M17" s="1">
        <v>4</v>
      </c>
      <c r="N17" s="2">
        <f>Table1[[#This Row],[G]]/Table1[[#This Row],[MP]]</f>
        <v>0.30769230769230771</v>
      </c>
      <c r="O17" s="2">
        <v>1</v>
      </c>
      <c r="P17" s="2">
        <f>Table1[[#This Row],[A]]/Table1[[#This Row],[MP]]</f>
        <v>7.6923076923076927E-2</v>
      </c>
      <c r="Q17" s="2">
        <v>5</v>
      </c>
      <c r="R17" s="2">
        <f>Table1[[#This Row],[PTS]]/Table1[[#This Row],[MP]]</f>
        <v>0.38461538461538464</v>
      </c>
      <c r="S17" s="1">
        <v>4</v>
      </c>
      <c r="T17" s="1">
        <f>Table1[[#This Row],[G]]-Table1[[#This Row],[G_PK]]</f>
        <v>0</v>
      </c>
      <c r="U17" s="1">
        <v>0</v>
      </c>
      <c r="V17" s="1">
        <v>0</v>
      </c>
      <c r="W17" s="1">
        <v>1</v>
      </c>
      <c r="X17" s="1">
        <v>0</v>
      </c>
      <c r="Y17" s="1">
        <f>Table1[[#This Row],[CRDY]]+Table1[[#This Row],[CRDR]]</f>
        <v>1</v>
      </c>
      <c r="Z17" s="1">
        <v>3.4</v>
      </c>
      <c r="AA17" s="2">
        <f>Table1[[#This Row],[XG]]/Table1[[#This Row],[MP]]</f>
        <v>0.26153846153846155</v>
      </c>
      <c r="AB17" s="1">
        <v>3.4</v>
      </c>
      <c r="AC17" s="1">
        <v>0.4</v>
      </c>
      <c r="AD17" s="1">
        <v>3.7</v>
      </c>
      <c r="AE17" s="1">
        <v>15</v>
      </c>
      <c r="AF17" s="1">
        <v>9</v>
      </c>
      <c r="AG17" s="1">
        <v>38</v>
      </c>
    </row>
    <row r="18" spans="1:33" x14ac:dyDescent="0.35">
      <c r="A18">
        <v>254</v>
      </c>
      <c r="B18" t="s">
        <v>576</v>
      </c>
      <c r="C18" t="s">
        <v>106</v>
      </c>
      <c r="D18" t="s">
        <v>32</v>
      </c>
      <c r="E18" t="s">
        <v>65</v>
      </c>
      <c r="F18" t="s">
        <v>577</v>
      </c>
      <c r="G18" s="1">
        <v>1996</v>
      </c>
      <c r="H18" s="1">
        <v>12</v>
      </c>
      <c r="I18" s="1">
        <v>7</v>
      </c>
      <c r="J18" s="2">
        <f>Table1[[#This Row],[STARTS]]/Table1[[#This Row],[MP]]</f>
        <v>0.58333333333333337</v>
      </c>
      <c r="K18" s="1">
        <v>571</v>
      </c>
      <c r="L18" s="1">
        <v>6.3</v>
      </c>
      <c r="M18" s="1">
        <v>3</v>
      </c>
      <c r="N18" s="2">
        <f>Table1[[#This Row],[G]]/Table1[[#This Row],[MP]]</f>
        <v>0.25</v>
      </c>
      <c r="O18" s="2">
        <v>2</v>
      </c>
      <c r="P18" s="2">
        <f>Table1[[#This Row],[A]]/Table1[[#This Row],[MP]]</f>
        <v>0.16666666666666666</v>
      </c>
      <c r="Q18" s="2">
        <v>5</v>
      </c>
      <c r="R18" s="2">
        <f>Table1[[#This Row],[PTS]]/Table1[[#This Row],[MP]]</f>
        <v>0.41666666666666669</v>
      </c>
      <c r="S18" s="1">
        <v>3</v>
      </c>
      <c r="T18" s="1">
        <f>Table1[[#This Row],[G]]-Table1[[#This Row],[G_PK]]</f>
        <v>0</v>
      </c>
      <c r="U18" s="1">
        <v>0</v>
      </c>
      <c r="V18" s="1">
        <v>1</v>
      </c>
      <c r="W18" s="1">
        <v>1</v>
      </c>
      <c r="X18" s="1">
        <v>0</v>
      </c>
      <c r="Y18" s="1">
        <f>Table1[[#This Row],[CRDY]]+Table1[[#This Row],[CRDR]]</f>
        <v>1</v>
      </c>
      <c r="Z18" s="1">
        <v>2.5</v>
      </c>
      <c r="AA18" s="2">
        <f>Table1[[#This Row],[XG]]/Table1[[#This Row],[MP]]</f>
        <v>0.20833333333333334</v>
      </c>
      <c r="AB18" s="1">
        <v>1.8</v>
      </c>
      <c r="AC18" s="1">
        <v>0.9</v>
      </c>
      <c r="AD18" s="1">
        <v>2.7</v>
      </c>
      <c r="AE18" s="1">
        <v>8</v>
      </c>
      <c r="AF18" s="1">
        <v>17</v>
      </c>
      <c r="AG18" s="1">
        <v>30</v>
      </c>
    </row>
    <row r="19" spans="1:33" x14ac:dyDescent="0.35">
      <c r="A19">
        <v>67</v>
      </c>
      <c r="B19" t="s">
        <v>192</v>
      </c>
      <c r="C19" t="s">
        <v>27</v>
      </c>
      <c r="D19" t="s">
        <v>183</v>
      </c>
      <c r="E19" t="s">
        <v>33</v>
      </c>
      <c r="F19" t="s">
        <v>193</v>
      </c>
      <c r="G19" s="1">
        <v>2004</v>
      </c>
      <c r="H19" s="1">
        <v>13</v>
      </c>
      <c r="I19" s="1">
        <v>12</v>
      </c>
      <c r="J19" s="2">
        <f>Table1[[#This Row],[STARTS]]/Table1[[#This Row],[MP]]</f>
        <v>0.92307692307692313</v>
      </c>
      <c r="K19" s="1">
        <v>1016</v>
      </c>
      <c r="L19" s="1">
        <v>11.3</v>
      </c>
      <c r="M19" s="1">
        <v>3</v>
      </c>
      <c r="N19" s="2">
        <f>Table1[[#This Row],[G]]/Table1[[#This Row],[MP]]</f>
        <v>0.23076923076923078</v>
      </c>
      <c r="O19" s="2">
        <v>2</v>
      </c>
      <c r="P19" s="2">
        <f>Table1[[#This Row],[A]]/Table1[[#This Row],[MP]]</f>
        <v>0.15384615384615385</v>
      </c>
      <c r="Q19" s="2">
        <v>5</v>
      </c>
      <c r="R19" s="2">
        <f>Table1[[#This Row],[PTS]]/Table1[[#This Row],[MP]]</f>
        <v>0.38461538461538464</v>
      </c>
      <c r="S19" s="1">
        <v>3</v>
      </c>
      <c r="T19" s="1">
        <f>Table1[[#This Row],[G]]-Table1[[#This Row],[G_PK]]</f>
        <v>0</v>
      </c>
      <c r="U19" s="1">
        <v>0</v>
      </c>
      <c r="V19" s="1">
        <v>0</v>
      </c>
      <c r="W19" s="1">
        <v>3</v>
      </c>
      <c r="X19" s="1">
        <v>0</v>
      </c>
      <c r="Y19" s="1">
        <f>Table1[[#This Row],[CRDY]]+Table1[[#This Row],[CRDR]]</f>
        <v>3</v>
      </c>
      <c r="Z19" s="1">
        <v>2.2000000000000002</v>
      </c>
      <c r="AA19" s="2">
        <f>Table1[[#This Row],[XG]]/Table1[[#This Row],[MP]]</f>
        <v>0.16923076923076924</v>
      </c>
      <c r="AB19" s="1">
        <v>2.2000000000000002</v>
      </c>
      <c r="AC19" s="1">
        <v>0.7</v>
      </c>
      <c r="AD19" s="1">
        <v>3</v>
      </c>
      <c r="AE19" s="1">
        <v>32</v>
      </c>
      <c r="AF19" s="1">
        <v>17</v>
      </c>
      <c r="AG19" s="1">
        <v>82</v>
      </c>
    </row>
    <row r="20" spans="1:33" x14ac:dyDescent="0.35">
      <c r="A20">
        <v>99</v>
      </c>
      <c r="B20" t="s">
        <v>258</v>
      </c>
      <c r="C20" t="s">
        <v>27</v>
      </c>
      <c r="D20" t="s">
        <v>62</v>
      </c>
      <c r="E20" t="s">
        <v>54</v>
      </c>
      <c r="F20" t="s">
        <v>259</v>
      </c>
      <c r="G20" s="1">
        <v>2007</v>
      </c>
      <c r="H20" s="1">
        <v>13</v>
      </c>
      <c r="I20" s="1">
        <v>12</v>
      </c>
      <c r="J20" s="2">
        <f>Table1[[#This Row],[STARTS]]/Table1[[#This Row],[MP]]</f>
        <v>0.92307692307692313</v>
      </c>
      <c r="K20" s="1">
        <v>991</v>
      </c>
      <c r="L20" s="1">
        <v>11</v>
      </c>
      <c r="M20" s="1">
        <v>2</v>
      </c>
      <c r="N20" s="2">
        <f>Table1[[#This Row],[G]]/Table1[[#This Row],[MP]]</f>
        <v>0.15384615384615385</v>
      </c>
      <c r="O20" s="2">
        <v>3</v>
      </c>
      <c r="P20" s="2">
        <f>Table1[[#This Row],[A]]/Table1[[#This Row],[MP]]</f>
        <v>0.23076923076923078</v>
      </c>
      <c r="Q20" s="2">
        <v>5</v>
      </c>
      <c r="R20" s="2">
        <f>Table1[[#This Row],[PTS]]/Table1[[#This Row],[MP]]</f>
        <v>0.38461538461538464</v>
      </c>
      <c r="S20" s="1">
        <v>2</v>
      </c>
      <c r="T20" s="1">
        <f>Table1[[#This Row],[G]]-Table1[[#This Row],[G_PK]]</f>
        <v>0</v>
      </c>
      <c r="U20" s="1">
        <v>0</v>
      </c>
      <c r="V20" s="1">
        <v>0</v>
      </c>
      <c r="W20" s="1">
        <v>1</v>
      </c>
      <c r="X20" s="1">
        <v>0</v>
      </c>
      <c r="Y20" s="1">
        <f>Table1[[#This Row],[CRDY]]+Table1[[#This Row],[CRDR]]</f>
        <v>1</v>
      </c>
      <c r="Z20" s="1">
        <v>2.5</v>
      </c>
      <c r="AA20" s="2">
        <f>Table1[[#This Row],[XG]]/Table1[[#This Row],[MP]]</f>
        <v>0.19230769230769232</v>
      </c>
      <c r="AB20" s="1">
        <v>2.5</v>
      </c>
      <c r="AC20" s="1">
        <v>1.1000000000000001</v>
      </c>
      <c r="AD20" s="1">
        <v>3.6</v>
      </c>
      <c r="AE20" s="1">
        <v>15</v>
      </c>
      <c r="AF20" s="1">
        <v>41</v>
      </c>
      <c r="AG20" s="1">
        <v>42</v>
      </c>
    </row>
    <row r="21" spans="1:33" x14ac:dyDescent="0.35">
      <c r="A21">
        <v>286</v>
      </c>
      <c r="B21" t="s">
        <v>639</v>
      </c>
      <c r="C21" t="s">
        <v>27</v>
      </c>
      <c r="D21" t="s">
        <v>183</v>
      </c>
      <c r="E21" t="s">
        <v>54</v>
      </c>
      <c r="F21" t="s">
        <v>336</v>
      </c>
      <c r="G21" s="1">
        <v>2005</v>
      </c>
      <c r="H21" s="1">
        <v>12</v>
      </c>
      <c r="I21" s="1">
        <v>12</v>
      </c>
      <c r="J21" s="2">
        <f>Table1[[#This Row],[STARTS]]/Table1[[#This Row],[MP]]</f>
        <v>1</v>
      </c>
      <c r="K21" s="1">
        <v>952</v>
      </c>
      <c r="L21" s="1">
        <v>10.6</v>
      </c>
      <c r="M21" s="1">
        <v>1</v>
      </c>
      <c r="N21" s="2">
        <f>Table1[[#This Row],[G]]/Table1[[#This Row],[MP]]</f>
        <v>8.3333333333333329E-2</v>
      </c>
      <c r="O21" s="2">
        <v>4</v>
      </c>
      <c r="P21" s="2">
        <f>Table1[[#This Row],[A]]/Table1[[#This Row],[MP]]</f>
        <v>0.33333333333333331</v>
      </c>
      <c r="Q21" s="2">
        <v>5</v>
      </c>
      <c r="R21" s="2">
        <f>Table1[[#This Row],[PTS]]/Table1[[#This Row],[MP]]</f>
        <v>0.41666666666666669</v>
      </c>
      <c r="S21" s="1">
        <v>1</v>
      </c>
      <c r="T21" s="1">
        <f>Table1[[#This Row],[G]]-Table1[[#This Row],[G_PK]]</f>
        <v>0</v>
      </c>
      <c r="U21" s="1">
        <v>0</v>
      </c>
      <c r="V21" s="1">
        <v>0</v>
      </c>
      <c r="W21" s="1">
        <v>1</v>
      </c>
      <c r="X21" s="1">
        <v>0</v>
      </c>
      <c r="Y21" s="1">
        <f>Table1[[#This Row],[CRDY]]+Table1[[#This Row],[CRDR]]</f>
        <v>1</v>
      </c>
      <c r="Z21" s="1">
        <v>0.9</v>
      </c>
      <c r="AA21" s="2">
        <f>Table1[[#This Row],[XG]]/Table1[[#This Row],[MP]]</f>
        <v>7.4999999999999997E-2</v>
      </c>
      <c r="AB21" s="1">
        <v>0.9</v>
      </c>
      <c r="AC21" s="1">
        <v>0.9</v>
      </c>
      <c r="AD21" s="1">
        <v>1.8</v>
      </c>
      <c r="AE21" s="1">
        <v>40</v>
      </c>
      <c r="AF21" s="1">
        <v>38</v>
      </c>
      <c r="AG21" s="1">
        <v>61</v>
      </c>
    </row>
    <row r="22" spans="1:33" x14ac:dyDescent="0.35">
      <c r="A22">
        <v>258</v>
      </c>
      <c r="B22" t="s">
        <v>584</v>
      </c>
      <c r="C22" t="s">
        <v>27</v>
      </c>
      <c r="D22" t="s">
        <v>62</v>
      </c>
      <c r="E22" t="s">
        <v>101</v>
      </c>
      <c r="F22" t="s">
        <v>585</v>
      </c>
      <c r="G22" s="1">
        <v>2003</v>
      </c>
      <c r="H22" s="1">
        <v>13</v>
      </c>
      <c r="I22" s="1">
        <v>11</v>
      </c>
      <c r="J22" s="2">
        <f>Table1[[#This Row],[STARTS]]/Table1[[#This Row],[MP]]</f>
        <v>0.84615384615384615</v>
      </c>
      <c r="K22" s="1">
        <v>877</v>
      </c>
      <c r="L22" s="1">
        <v>9.6999999999999993</v>
      </c>
      <c r="M22" s="1">
        <v>1</v>
      </c>
      <c r="N22" s="2">
        <f>Table1[[#This Row],[G]]/Table1[[#This Row],[MP]]</f>
        <v>7.6923076923076927E-2</v>
      </c>
      <c r="O22" s="2">
        <v>4</v>
      </c>
      <c r="P22" s="2">
        <f>Table1[[#This Row],[A]]/Table1[[#This Row],[MP]]</f>
        <v>0.30769230769230771</v>
      </c>
      <c r="Q22" s="2">
        <v>5</v>
      </c>
      <c r="R22" s="2">
        <f>Table1[[#This Row],[PTS]]/Table1[[#This Row],[MP]]</f>
        <v>0.38461538461538464</v>
      </c>
      <c r="S22" s="1">
        <v>1</v>
      </c>
      <c r="T22" s="1">
        <f>Table1[[#This Row],[G]]-Table1[[#This Row],[G_PK]]</f>
        <v>0</v>
      </c>
      <c r="U22" s="1">
        <v>0</v>
      </c>
      <c r="V22" s="1">
        <v>0</v>
      </c>
      <c r="W22" s="1">
        <v>2</v>
      </c>
      <c r="X22" s="1">
        <v>0</v>
      </c>
      <c r="Y22" s="1">
        <f>Table1[[#This Row],[CRDY]]+Table1[[#This Row],[CRDR]]</f>
        <v>2</v>
      </c>
      <c r="Z22" s="1">
        <v>0.8</v>
      </c>
      <c r="AA22" s="2">
        <f>Table1[[#This Row],[XG]]/Table1[[#This Row],[MP]]</f>
        <v>6.1538461538461542E-2</v>
      </c>
      <c r="AB22" s="1">
        <v>0.8</v>
      </c>
      <c r="AC22" s="1">
        <v>2.7</v>
      </c>
      <c r="AD22" s="1">
        <v>3.5</v>
      </c>
      <c r="AE22" s="1">
        <v>7</v>
      </c>
      <c r="AF22" s="1">
        <v>24</v>
      </c>
      <c r="AG22" s="1">
        <v>46</v>
      </c>
    </row>
    <row r="23" spans="1:33" x14ac:dyDescent="0.35">
      <c r="A23">
        <v>2</v>
      </c>
      <c r="B23" t="s">
        <v>31</v>
      </c>
      <c r="C23" t="s">
        <v>27</v>
      </c>
      <c r="D23" t="s">
        <v>32</v>
      </c>
      <c r="E23" t="s">
        <v>33</v>
      </c>
      <c r="F23" t="s">
        <v>34</v>
      </c>
      <c r="G23" s="1">
        <v>2006</v>
      </c>
      <c r="H23" s="1">
        <v>10</v>
      </c>
      <c r="I23" s="1">
        <v>4</v>
      </c>
      <c r="J23" s="2">
        <f>Table1[[#This Row],[STARTS]]/Table1[[#This Row],[MP]]</f>
        <v>0.4</v>
      </c>
      <c r="K23" s="1">
        <v>420</v>
      </c>
      <c r="L23" s="1">
        <v>4.7</v>
      </c>
      <c r="M23" s="1">
        <v>4</v>
      </c>
      <c r="N23" s="2">
        <f>Table1[[#This Row],[G]]/Table1[[#This Row],[MP]]</f>
        <v>0.4</v>
      </c>
      <c r="O23" s="2">
        <v>0</v>
      </c>
      <c r="P23" s="2">
        <f>Table1[[#This Row],[A]]/Table1[[#This Row],[MP]]</f>
        <v>0</v>
      </c>
      <c r="Q23" s="2">
        <v>4</v>
      </c>
      <c r="R23" s="2">
        <f>Table1[[#This Row],[PTS]]/Table1[[#This Row],[MP]]</f>
        <v>0.4</v>
      </c>
      <c r="S23" s="1">
        <v>3</v>
      </c>
      <c r="T23" s="1">
        <f>Table1[[#This Row],[G]]-Table1[[#This Row],[G_PK]]</f>
        <v>1</v>
      </c>
      <c r="U23" s="1">
        <v>1</v>
      </c>
      <c r="V23" s="1">
        <v>1</v>
      </c>
      <c r="W23" s="1">
        <v>0</v>
      </c>
      <c r="X23" s="1">
        <v>0</v>
      </c>
      <c r="Y23" s="1">
        <f>Table1[[#This Row],[CRDY]]+Table1[[#This Row],[CRDR]]</f>
        <v>0</v>
      </c>
      <c r="Z23" s="1">
        <v>2.5</v>
      </c>
      <c r="AA23" s="2">
        <f>Table1[[#This Row],[XG]]/Table1[[#This Row],[MP]]</f>
        <v>0.25</v>
      </c>
      <c r="AB23" s="1">
        <v>1.7</v>
      </c>
      <c r="AC23" s="1">
        <v>0.5</v>
      </c>
      <c r="AD23" s="1">
        <v>2.2999999999999998</v>
      </c>
      <c r="AE23" s="1">
        <v>11</v>
      </c>
      <c r="AF23" s="1">
        <v>13</v>
      </c>
      <c r="AG23" s="1">
        <v>31</v>
      </c>
    </row>
    <row r="24" spans="1:33" x14ac:dyDescent="0.35">
      <c r="A24">
        <v>168</v>
      </c>
      <c r="B24" t="s">
        <v>401</v>
      </c>
      <c r="C24" t="s">
        <v>41</v>
      </c>
      <c r="D24" t="s">
        <v>85</v>
      </c>
      <c r="E24" t="s">
        <v>57</v>
      </c>
      <c r="F24" t="s">
        <v>402</v>
      </c>
      <c r="G24" s="1">
        <v>1994</v>
      </c>
      <c r="H24" s="1">
        <v>11</v>
      </c>
      <c r="I24" s="1">
        <v>11</v>
      </c>
      <c r="J24" s="2">
        <f>Table1[[#This Row],[STARTS]]/Table1[[#This Row],[MP]]</f>
        <v>1</v>
      </c>
      <c r="K24" s="1">
        <v>885</v>
      </c>
      <c r="L24" s="1">
        <v>9.8000000000000007</v>
      </c>
      <c r="M24" s="1">
        <v>4</v>
      </c>
      <c r="N24" s="2">
        <f>Table1[[#This Row],[G]]/Table1[[#This Row],[MP]]</f>
        <v>0.36363636363636365</v>
      </c>
      <c r="O24" s="2">
        <v>0</v>
      </c>
      <c r="P24" s="2">
        <f>Table1[[#This Row],[A]]/Table1[[#This Row],[MP]]</f>
        <v>0</v>
      </c>
      <c r="Q24" s="2">
        <v>4</v>
      </c>
      <c r="R24" s="2">
        <f>Table1[[#This Row],[PTS]]/Table1[[#This Row],[MP]]</f>
        <v>0.36363636363636365</v>
      </c>
      <c r="S24" s="1">
        <v>4</v>
      </c>
      <c r="T24" s="1">
        <f>Table1[[#This Row],[G]]-Table1[[#This Row],[G_PK]]</f>
        <v>0</v>
      </c>
      <c r="U24" s="1">
        <v>0</v>
      </c>
      <c r="V24" s="1">
        <v>0</v>
      </c>
      <c r="W24" s="1">
        <v>1</v>
      </c>
      <c r="X24" s="1">
        <v>0</v>
      </c>
      <c r="Y24" s="1">
        <f>Table1[[#This Row],[CRDY]]+Table1[[#This Row],[CRDR]]</f>
        <v>1</v>
      </c>
      <c r="Z24" s="1">
        <v>3.1</v>
      </c>
      <c r="AA24" s="2">
        <f>Table1[[#This Row],[XG]]/Table1[[#This Row],[MP]]</f>
        <v>0.2818181818181818</v>
      </c>
      <c r="AB24" s="1">
        <v>3.1</v>
      </c>
      <c r="AC24" s="1">
        <v>0.4</v>
      </c>
      <c r="AD24" s="1">
        <v>3.5</v>
      </c>
      <c r="AE24" s="1">
        <v>22</v>
      </c>
      <c r="AF24" s="1">
        <v>17</v>
      </c>
      <c r="AG24" s="1">
        <v>62</v>
      </c>
    </row>
    <row r="25" spans="1:33" x14ac:dyDescent="0.35">
      <c r="A25">
        <v>224</v>
      </c>
      <c r="B25" t="s">
        <v>516</v>
      </c>
      <c r="C25" t="s">
        <v>27</v>
      </c>
      <c r="D25" t="s">
        <v>28</v>
      </c>
      <c r="E25" t="s">
        <v>38</v>
      </c>
      <c r="F25" t="s">
        <v>517</v>
      </c>
      <c r="G25" s="1">
        <v>2001</v>
      </c>
      <c r="H25" s="1">
        <v>8</v>
      </c>
      <c r="I25" s="1">
        <v>8</v>
      </c>
      <c r="J25" s="2">
        <f>Table1[[#This Row],[STARTS]]/Table1[[#This Row],[MP]]</f>
        <v>1</v>
      </c>
      <c r="K25" s="1">
        <v>720</v>
      </c>
      <c r="L25" s="1">
        <v>8</v>
      </c>
      <c r="M25" s="1">
        <v>3</v>
      </c>
      <c r="N25" s="2">
        <f>Table1[[#This Row],[G]]/Table1[[#This Row],[MP]]</f>
        <v>0.375</v>
      </c>
      <c r="O25" s="2">
        <v>1</v>
      </c>
      <c r="P25" s="2">
        <f>Table1[[#This Row],[A]]/Table1[[#This Row],[MP]]</f>
        <v>0.125</v>
      </c>
      <c r="Q25" s="2">
        <v>4</v>
      </c>
      <c r="R25" s="2">
        <f>Table1[[#This Row],[PTS]]/Table1[[#This Row],[MP]]</f>
        <v>0.5</v>
      </c>
      <c r="S25" s="1">
        <v>0</v>
      </c>
      <c r="T25" s="1">
        <f>Table1[[#This Row],[G]]-Table1[[#This Row],[G_PK]]</f>
        <v>3</v>
      </c>
      <c r="U25" s="1">
        <v>3</v>
      </c>
      <c r="V25" s="1">
        <v>3</v>
      </c>
      <c r="W25" s="1">
        <v>1</v>
      </c>
      <c r="X25" s="1">
        <v>0</v>
      </c>
      <c r="Y25" s="1">
        <f>Table1[[#This Row],[CRDY]]+Table1[[#This Row],[CRDR]]</f>
        <v>1</v>
      </c>
      <c r="Z25" s="1">
        <v>2.5</v>
      </c>
      <c r="AA25" s="2">
        <f>Table1[[#This Row],[XG]]/Table1[[#This Row],[MP]]</f>
        <v>0.3125</v>
      </c>
      <c r="AB25" s="1">
        <v>0.3</v>
      </c>
      <c r="AC25" s="1">
        <v>0</v>
      </c>
      <c r="AD25" s="1">
        <v>0.4</v>
      </c>
      <c r="AE25" s="1">
        <v>2</v>
      </c>
      <c r="AF25" s="1">
        <v>24</v>
      </c>
      <c r="AG25" s="1">
        <v>2</v>
      </c>
    </row>
    <row r="26" spans="1:33" x14ac:dyDescent="0.35">
      <c r="A26">
        <v>93</v>
      </c>
      <c r="B26" t="s">
        <v>243</v>
      </c>
      <c r="C26" t="s">
        <v>27</v>
      </c>
      <c r="D26" t="s">
        <v>62</v>
      </c>
      <c r="E26" t="s">
        <v>71</v>
      </c>
      <c r="F26" t="s">
        <v>244</v>
      </c>
      <c r="G26" s="1">
        <v>1998</v>
      </c>
      <c r="H26" s="1">
        <v>12</v>
      </c>
      <c r="I26" s="1">
        <v>12</v>
      </c>
      <c r="J26" s="2">
        <f>Table1[[#This Row],[STARTS]]/Table1[[#This Row],[MP]]</f>
        <v>1</v>
      </c>
      <c r="K26" s="1">
        <v>1074</v>
      </c>
      <c r="L26" s="1">
        <v>11.9</v>
      </c>
      <c r="M26" s="1">
        <v>3</v>
      </c>
      <c r="N26" s="2">
        <f>Table1[[#This Row],[G]]/Table1[[#This Row],[MP]]</f>
        <v>0.25</v>
      </c>
      <c r="O26" s="2">
        <v>1</v>
      </c>
      <c r="P26" s="2">
        <f>Table1[[#This Row],[A]]/Table1[[#This Row],[MP]]</f>
        <v>8.3333333333333329E-2</v>
      </c>
      <c r="Q26" s="2">
        <v>4</v>
      </c>
      <c r="R26" s="2">
        <f>Table1[[#This Row],[PTS]]/Table1[[#This Row],[MP]]</f>
        <v>0.33333333333333331</v>
      </c>
      <c r="S26" s="1">
        <v>1</v>
      </c>
      <c r="T26" s="1">
        <f>Table1[[#This Row],[G]]-Table1[[#This Row],[G_PK]]</f>
        <v>2</v>
      </c>
      <c r="U26" s="1">
        <v>2</v>
      </c>
      <c r="V26" s="1">
        <v>2</v>
      </c>
      <c r="W26" s="1">
        <v>3</v>
      </c>
      <c r="X26" s="1">
        <v>0</v>
      </c>
      <c r="Y26" s="1">
        <f>Table1[[#This Row],[CRDY]]+Table1[[#This Row],[CRDR]]</f>
        <v>3</v>
      </c>
      <c r="Z26" s="1">
        <v>2.9</v>
      </c>
      <c r="AA26" s="2">
        <f>Table1[[#This Row],[XG]]/Table1[[#This Row],[MP]]</f>
        <v>0.24166666666666667</v>
      </c>
      <c r="AB26" s="1">
        <v>1.4</v>
      </c>
      <c r="AC26" s="1">
        <v>0.6</v>
      </c>
      <c r="AD26" s="1">
        <v>2</v>
      </c>
      <c r="AE26" s="1">
        <v>1</v>
      </c>
      <c r="AF26" s="1">
        <v>59</v>
      </c>
      <c r="AG26" s="1">
        <v>8</v>
      </c>
    </row>
    <row r="27" spans="1:33" x14ac:dyDescent="0.35">
      <c r="A27">
        <v>14</v>
      </c>
      <c r="B27" t="s">
        <v>73</v>
      </c>
      <c r="C27" t="s">
        <v>27</v>
      </c>
      <c r="D27" t="s">
        <v>32</v>
      </c>
      <c r="E27" t="s">
        <v>65</v>
      </c>
      <c r="F27" t="s">
        <v>74</v>
      </c>
      <c r="G27" s="1">
        <v>2008</v>
      </c>
      <c r="H27" s="1">
        <v>13</v>
      </c>
      <c r="I27" s="1">
        <v>7</v>
      </c>
      <c r="J27" s="2">
        <f>Table1[[#This Row],[STARTS]]/Table1[[#This Row],[MP]]</f>
        <v>0.53846153846153844</v>
      </c>
      <c r="K27" s="1">
        <v>663</v>
      </c>
      <c r="L27" s="1">
        <v>7.4</v>
      </c>
      <c r="M27" s="1">
        <v>3</v>
      </c>
      <c r="N27" s="2">
        <f>Table1[[#This Row],[G]]/Table1[[#This Row],[MP]]</f>
        <v>0.23076923076923078</v>
      </c>
      <c r="O27" s="2">
        <v>1</v>
      </c>
      <c r="P27" s="2">
        <f>Table1[[#This Row],[A]]/Table1[[#This Row],[MP]]</f>
        <v>7.6923076923076927E-2</v>
      </c>
      <c r="Q27" s="2">
        <v>4</v>
      </c>
      <c r="R27" s="2">
        <f>Table1[[#This Row],[PTS]]/Table1[[#This Row],[MP]]</f>
        <v>0.30769230769230771</v>
      </c>
      <c r="S27" s="1">
        <v>3</v>
      </c>
      <c r="T27" s="1">
        <f>Table1[[#This Row],[G]]-Table1[[#This Row],[G_PK]]</f>
        <v>0</v>
      </c>
      <c r="U27" s="1">
        <v>0</v>
      </c>
      <c r="V27" s="1">
        <v>0</v>
      </c>
      <c r="W27" s="1">
        <v>0</v>
      </c>
      <c r="X27" s="1">
        <v>0</v>
      </c>
      <c r="Y27" s="1">
        <f>Table1[[#This Row],[CRDY]]+Table1[[#This Row],[CRDR]]</f>
        <v>0</v>
      </c>
      <c r="Z27" s="1">
        <v>1.6</v>
      </c>
      <c r="AA27" s="2">
        <f>Table1[[#This Row],[XG]]/Table1[[#This Row],[MP]]</f>
        <v>0.12307692307692308</v>
      </c>
      <c r="AB27" s="1">
        <v>1.6</v>
      </c>
      <c r="AC27" s="1">
        <v>0.1</v>
      </c>
      <c r="AD27" s="1">
        <v>1.7</v>
      </c>
      <c r="AE27" s="1">
        <v>10</v>
      </c>
      <c r="AF27" s="1">
        <v>24</v>
      </c>
      <c r="AG27" s="1">
        <v>28</v>
      </c>
    </row>
    <row r="28" spans="1:33" x14ac:dyDescent="0.35">
      <c r="A28">
        <v>109</v>
      </c>
      <c r="B28" t="s">
        <v>280</v>
      </c>
      <c r="C28" t="s">
        <v>27</v>
      </c>
      <c r="D28" t="s">
        <v>183</v>
      </c>
      <c r="E28" t="s">
        <v>51</v>
      </c>
      <c r="F28" t="s">
        <v>281</v>
      </c>
      <c r="G28" s="1">
        <v>2002</v>
      </c>
      <c r="H28" s="1">
        <v>13</v>
      </c>
      <c r="I28" s="1">
        <v>9</v>
      </c>
      <c r="J28" s="2">
        <f>Table1[[#This Row],[STARTS]]/Table1[[#This Row],[MP]]</f>
        <v>0.69230769230769229</v>
      </c>
      <c r="K28" s="1">
        <v>901</v>
      </c>
      <c r="L28" s="1">
        <v>10</v>
      </c>
      <c r="M28" s="1">
        <v>3</v>
      </c>
      <c r="N28" s="2">
        <f>Table1[[#This Row],[G]]/Table1[[#This Row],[MP]]</f>
        <v>0.23076923076923078</v>
      </c>
      <c r="O28" s="2">
        <v>1</v>
      </c>
      <c r="P28" s="2">
        <f>Table1[[#This Row],[A]]/Table1[[#This Row],[MP]]</f>
        <v>7.6923076923076927E-2</v>
      </c>
      <c r="Q28" s="2">
        <v>4</v>
      </c>
      <c r="R28" s="2">
        <f>Table1[[#This Row],[PTS]]/Table1[[#This Row],[MP]]</f>
        <v>0.30769230769230771</v>
      </c>
      <c r="S28" s="1">
        <v>3</v>
      </c>
      <c r="T28" s="1">
        <f>Table1[[#This Row],[G]]-Table1[[#This Row],[G_PK]]</f>
        <v>0</v>
      </c>
      <c r="U28" s="1">
        <v>0</v>
      </c>
      <c r="V28" s="1">
        <v>0</v>
      </c>
      <c r="W28" s="1">
        <v>2</v>
      </c>
      <c r="X28" s="1">
        <v>0</v>
      </c>
      <c r="Y28" s="1">
        <f>Table1[[#This Row],[CRDY]]+Table1[[#This Row],[CRDR]]</f>
        <v>2</v>
      </c>
      <c r="Z28" s="1">
        <v>2.2000000000000002</v>
      </c>
      <c r="AA28" s="2">
        <f>Table1[[#This Row],[XG]]/Table1[[#This Row],[MP]]</f>
        <v>0.16923076923076924</v>
      </c>
      <c r="AB28" s="1">
        <v>2.2000000000000002</v>
      </c>
      <c r="AC28" s="1">
        <v>0.4</v>
      </c>
      <c r="AD28" s="1">
        <v>2.6</v>
      </c>
      <c r="AE28" s="1">
        <v>9</v>
      </c>
      <c r="AF28" s="1">
        <v>24</v>
      </c>
      <c r="AG28" s="1">
        <v>25</v>
      </c>
    </row>
    <row r="29" spans="1:33" x14ac:dyDescent="0.35">
      <c r="A29">
        <v>178</v>
      </c>
      <c r="B29" t="s">
        <v>421</v>
      </c>
      <c r="C29" t="s">
        <v>41</v>
      </c>
      <c r="D29" t="s">
        <v>85</v>
      </c>
      <c r="E29" t="s">
        <v>29</v>
      </c>
      <c r="F29" t="s">
        <v>422</v>
      </c>
      <c r="G29" s="1">
        <v>1986</v>
      </c>
      <c r="H29" s="1">
        <v>13</v>
      </c>
      <c r="I29" s="1">
        <v>11</v>
      </c>
      <c r="J29" s="2">
        <f>Table1[[#This Row],[STARTS]]/Table1[[#This Row],[MP]]</f>
        <v>0.84615384615384615</v>
      </c>
      <c r="K29" s="1">
        <v>927</v>
      </c>
      <c r="L29" s="1">
        <v>10.3</v>
      </c>
      <c r="M29" s="1">
        <v>3</v>
      </c>
      <c r="N29" s="2">
        <f>Table1[[#This Row],[G]]/Table1[[#This Row],[MP]]</f>
        <v>0.23076923076923078</v>
      </c>
      <c r="O29" s="2">
        <v>1</v>
      </c>
      <c r="P29" s="2">
        <f>Table1[[#This Row],[A]]/Table1[[#This Row],[MP]]</f>
        <v>7.6923076923076927E-2</v>
      </c>
      <c r="Q29" s="2">
        <v>4</v>
      </c>
      <c r="R29" s="2">
        <f>Table1[[#This Row],[PTS]]/Table1[[#This Row],[MP]]</f>
        <v>0.30769230769230771</v>
      </c>
      <c r="S29" s="1">
        <v>1</v>
      </c>
      <c r="T29" s="1">
        <f>Table1[[#This Row],[G]]-Table1[[#This Row],[G_PK]]</f>
        <v>2</v>
      </c>
      <c r="U29" s="1">
        <v>2</v>
      </c>
      <c r="V29" s="1">
        <v>2</v>
      </c>
      <c r="W29" s="1">
        <v>0</v>
      </c>
      <c r="X29" s="1">
        <v>0</v>
      </c>
      <c r="Y29" s="1">
        <f>Table1[[#This Row],[CRDY]]+Table1[[#This Row],[CRDR]]</f>
        <v>0</v>
      </c>
      <c r="Z29" s="1">
        <v>2.7</v>
      </c>
      <c r="AA29" s="2">
        <f>Table1[[#This Row],[XG]]/Table1[[#This Row],[MP]]</f>
        <v>0.2076923076923077</v>
      </c>
      <c r="AB29" s="1">
        <v>1.3</v>
      </c>
      <c r="AC29" s="1">
        <v>2.2000000000000002</v>
      </c>
      <c r="AD29" s="1">
        <v>3.5</v>
      </c>
      <c r="AE29" s="1">
        <v>25</v>
      </c>
      <c r="AF29" s="1">
        <v>48</v>
      </c>
      <c r="AG29" s="1">
        <v>71</v>
      </c>
    </row>
    <row r="30" spans="1:33" x14ac:dyDescent="0.35">
      <c r="A30">
        <v>90</v>
      </c>
      <c r="B30" t="s">
        <v>236</v>
      </c>
      <c r="C30" t="s">
        <v>27</v>
      </c>
      <c r="D30" t="s">
        <v>85</v>
      </c>
      <c r="E30" t="s">
        <v>71</v>
      </c>
      <c r="F30" t="s">
        <v>237</v>
      </c>
      <c r="G30" s="1">
        <v>2000</v>
      </c>
      <c r="H30" s="1">
        <v>10</v>
      </c>
      <c r="I30" s="1">
        <v>10</v>
      </c>
      <c r="J30" s="2">
        <f>Table1[[#This Row],[STARTS]]/Table1[[#This Row],[MP]]</f>
        <v>1</v>
      </c>
      <c r="K30" s="1">
        <v>738</v>
      </c>
      <c r="L30" s="1">
        <v>8.1999999999999993</v>
      </c>
      <c r="M30" s="1">
        <v>2</v>
      </c>
      <c r="N30" s="2">
        <f>Table1[[#This Row],[G]]/Table1[[#This Row],[MP]]</f>
        <v>0.2</v>
      </c>
      <c r="O30" s="2">
        <v>2</v>
      </c>
      <c r="P30" s="2">
        <f>Table1[[#This Row],[A]]/Table1[[#This Row],[MP]]</f>
        <v>0.2</v>
      </c>
      <c r="Q30" s="2">
        <v>4</v>
      </c>
      <c r="R30" s="2">
        <f>Table1[[#This Row],[PTS]]/Table1[[#This Row],[MP]]</f>
        <v>0.4</v>
      </c>
      <c r="S30" s="1">
        <v>2</v>
      </c>
      <c r="T30" s="1">
        <f>Table1[[#This Row],[G]]-Table1[[#This Row],[G_PK]]</f>
        <v>0</v>
      </c>
      <c r="U30" s="1">
        <v>0</v>
      </c>
      <c r="V30" s="1">
        <v>0</v>
      </c>
      <c r="W30" s="1">
        <v>3</v>
      </c>
      <c r="X30" s="1">
        <v>1</v>
      </c>
      <c r="Y30" s="1">
        <f>Table1[[#This Row],[CRDY]]+Table1[[#This Row],[CRDR]]</f>
        <v>4</v>
      </c>
      <c r="Z30" s="1">
        <v>3.1</v>
      </c>
      <c r="AA30" s="2">
        <f>Table1[[#This Row],[XG]]/Table1[[#This Row],[MP]]</f>
        <v>0.31</v>
      </c>
      <c r="AB30" s="1">
        <v>3.1</v>
      </c>
      <c r="AC30" s="1">
        <v>1.4</v>
      </c>
      <c r="AD30" s="1">
        <v>4.4000000000000004</v>
      </c>
      <c r="AE30" s="1">
        <v>16</v>
      </c>
      <c r="AF30" s="1">
        <v>15</v>
      </c>
      <c r="AG30" s="1">
        <v>50</v>
      </c>
    </row>
    <row r="31" spans="1:33" x14ac:dyDescent="0.35">
      <c r="A31">
        <v>269</v>
      </c>
      <c r="B31" t="s">
        <v>606</v>
      </c>
      <c r="C31" t="s">
        <v>521</v>
      </c>
      <c r="D31" t="s">
        <v>37</v>
      </c>
      <c r="E31" t="s">
        <v>33</v>
      </c>
      <c r="F31" t="s">
        <v>607</v>
      </c>
      <c r="G31" s="1">
        <v>1991</v>
      </c>
      <c r="H31" s="1">
        <v>10</v>
      </c>
      <c r="I31" s="1">
        <v>7</v>
      </c>
      <c r="J31" s="2">
        <f>Table1[[#This Row],[STARTS]]/Table1[[#This Row],[MP]]</f>
        <v>0.7</v>
      </c>
      <c r="K31" s="1">
        <v>627</v>
      </c>
      <c r="L31" s="1">
        <v>7</v>
      </c>
      <c r="M31" s="1">
        <v>2</v>
      </c>
      <c r="N31" s="2">
        <f>Table1[[#This Row],[G]]/Table1[[#This Row],[MP]]</f>
        <v>0.2</v>
      </c>
      <c r="O31" s="2">
        <v>2</v>
      </c>
      <c r="P31" s="2">
        <f>Table1[[#This Row],[A]]/Table1[[#This Row],[MP]]</f>
        <v>0.2</v>
      </c>
      <c r="Q31" s="2">
        <v>4</v>
      </c>
      <c r="R31" s="2">
        <f>Table1[[#This Row],[PTS]]/Table1[[#This Row],[MP]]</f>
        <v>0.4</v>
      </c>
      <c r="S31" s="1">
        <v>1</v>
      </c>
      <c r="T31" s="1">
        <f>Table1[[#This Row],[G]]-Table1[[#This Row],[G_PK]]</f>
        <v>1</v>
      </c>
      <c r="U31" s="1">
        <v>1</v>
      </c>
      <c r="V31" s="1">
        <v>1</v>
      </c>
      <c r="W31" s="1">
        <v>1</v>
      </c>
      <c r="X31" s="1">
        <v>0</v>
      </c>
      <c r="Y31" s="1">
        <f>Table1[[#This Row],[CRDY]]+Table1[[#This Row],[CRDR]]</f>
        <v>1</v>
      </c>
      <c r="Z31" s="1">
        <v>1.4</v>
      </c>
      <c r="AA31" s="2">
        <f>Table1[[#This Row],[XG]]/Table1[[#This Row],[MP]]</f>
        <v>0.13999999999999999</v>
      </c>
      <c r="AB31" s="1">
        <v>0.7</v>
      </c>
      <c r="AC31" s="1">
        <v>1.8</v>
      </c>
      <c r="AD31" s="1">
        <v>2.5</v>
      </c>
      <c r="AE31" s="1">
        <v>10</v>
      </c>
      <c r="AF31" s="1">
        <v>44</v>
      </c>
      <c r="AG31" s="1">
        <v>30</v>
      </c>
    </row>
    <row r="32" spans="1:33" x14ac:dyDescent="0.35">
      <c r="A32">
        <v>56</v>
      </c>
      <c r="B32" t="s">
        <v>170</v>
      </c>
      <c r="C32" t="s">
        <v>27</v>
      </c>
      <c r="D32" t="s">
        <v>37</v>
      </c>
      <c r="E32" t="s">
        <v>46</v>
      </c>
      <c r="F32" t="s">
        <v>171</v>
      </c>
      <c r="G32" s="1">
        <v>2001</v>
      </c>
      <c r="H32" s="1">
        <v>11</v>
      </c>
      <c r="I32" s="1">
        <v>8</v>
      </c>
      <c r="J32" s="2">
        <f>Table1[[#This Row],[STARTS]]/Table1[[#This Row],[MP]]</f>
        <v>0.72727272727272729</v>
      </c>
      <c r="K32" s="1">
        <v>734</v>
      </c>
      <c r="L32" s="1">
        <v>8.1999999999999993</v>
      </c>
      <c r="M32" s="1">
        <v>2</v>
      </c>
      <c r="N32" s="2">
        <f>Table1[[#This Row],[G]]/Table1[[#This Row],[MP]]</f>
        <v>0.18181818181818182</v>
      </c>
      <c r="O32" s="2">
        <v>2</v>
      </c>
      <c r="P32" s="2">
        <f>Table1[[#This Row],[A]]/Table1[[#This Row],[MP]]</f>
        <v>0.18181818181818182</v>
      </c>
      <c r="Q32" s="2">
        <v>4</v>
      </c>
      <c r="R32" s="2">
        <f>Table1[[#This Row],[PTS]]/Table1[[#This Row],[MP]]</f>
        <v>0.36363636363636365</v>
      </c>
      <c r="S32" s="1">
        <v>0</v>
      </c>
      <c r="T32" s="1">
        <f>Table1[[#This Row],[G]]-Table1[[#This Row],[G_PK]]</f>
        <v>2</v>
      </c>
      <c r="U32" s="1">
        <v>2</v>
      </c>
      <c r="V32" s="1">
        <v>2</v>
      </c>
      <c r="W32" s="1">
        <v>1</v>
      </c>
      <c r="X32" s="1">
        <v>0</v>
      </c>
      <c r="Y32" s="1">
        <f>Table1[[#This Row],[CRDY]]+Table1[[#This Row],[CRDR]]</f>
        <v>1</v>
      </c>
      <c r="Z32" s="1">
        <v>1.8</v>
      </c>
      <c r="AA32" s="2">
        <f>Table1[[#This Row],[XG]]/Table1[[#This Row],[MP]]</f>
        <v>0.16363636363636364</v>
      </c>
      <c r="AB32" s="1">
        <v>0.4</v>
      </c>
      <c r="AC32" s="1">
        <v>0.9</v>
      </c>
      <c r="AD32" s="1">
        <v>1.3</v>
      </c>
      <c r="AE32" s="1">
        <v>5</v>
      </c>
      <c r="AF32" s="1">
        <v>31</v>
      </c>
      <c r="AG32" s="1">
        <v>26</v>
      </c>
    </row>
    <row r="33" spans="1:33" x14ac:dyDescent="0.35">
      <c r="A33">
        <v>74</v>
      </c>
      <c r="B33" t="s">
        <v>206</v>
      </c>
      <c r="C33" t="s">
        <v>27</v>
      </c>
      <c r="D33" t="s">
        <v>62</v>
      </c>
      <c r="E33" t="s">
        <v>71</v>
      </c>
      <c r="F33" t="s">
        <v>207</v>
      </c>
      <c r="G33" s="1">
        <v>1998</v>
      </c>
      <c r="H33" s="1">
        <v>11</v>
      </c>
      <c r="I33" s="1">
        <v>10</v>
      </c>
      <c r="J33" s="2">
        <f>Table1[[#This Row],[STARTS]]/Table1[[#This Row],[MP]]</f>
        <v>0.90909090909090906</v>
      </c>
      <c r="K33" s="1">
        <v>869</v>
      </c>
      <c r="L33" s="1">
        <v>9.6999999999999993</v>
      </c>
      <c r="M33" s="1">
        <v>2</v>
      </c>
      <c r="N33" s="2">
        <f>Table1[[#This Row],[G]]/Table1[[#This Row],[MP]]</f>
        <v>0.18181818181818182</v>
      </c>
      <c r="O33" s="2">
        <v>2</v>
      </c>
      <c r="P33" s="2">
        <f>Table1[[#This Row],[A]]/Table1[[#This Row],[MP]]</f>
        <v>0.18181818181818182</v>
      </c>
      <c r="Q33" s="2">
        <v>4</v>
      </c>
      <c r="R33" s="2">
        <f>Table1[[#This Row],[PTS]]/Table1[[#This Row],[MP]]</f>
        <v>0.36363636363636365</v>
      </c>
      <c r="S33" s="1">
        <v>2</v>
      </c>
      <c r="T33" s="1">
        <f>Table1[[#This Row],[G]]-Table1[[#This Row],[G_PK]]</f>
        <v>0</v>
      </c>
      <c r="U33" s="1">
        <v>0</v>
      </c>
      <c r="V33" s="1">
        <v>0</v>
      </c>
      <c r="W33" s="1">
        <v>1</v>
      </c>
      <c r="X33" s="1">
        <v>0</v>
      </c>
      <c r="Y33" s="1">
        <f>Table1[[#This Row],[CRDY]]+Table1[[#This Row],[CRDR]]</f>
        <v>1</v>
      </c>
      <c r="Z33" s="1">
        <v>2.5</v>
      </c>
      <c r="AA33" s="2">
        <f>Table1[[#This Row],[XG]]/Table1[[#This Row],[MP]]</f>
        <v>0.22727272727272727</v>
      </c>
      <c r="AB33" s="1">
        <v>2.5</v>
      </c>
      <c r="AC33" s="1">
        <v>1.6</v>
      </c>
      <c r="AD33" s="1">
        <v>4.0999999999999996</v>
      </c>
      <c r="AE33" s="1">
        <v>16</v>
      </c>
      <c r="AF33" s="1">
        <v>43</v>
      </c>
      <c r="AG33" s="1">
        <v>53</v>
      </c>
    </row>
    <row r="34" spans="1:33" x14ac:dyDescent="0.35">
      <c r="A34">
        <v>61</v>
      </c>
      <c r="B34" t="s">
        <v>180</v>
      </c>
      <c r="C34" t="s">
        <v>100</v>
      </c>
      <c r="D34" t="s">
        <v>37</v>
      </c>
      <c r="E34" t="s">
        <v>65</v>
      </c>
      <c r="F34" t="s">
        <v>181</v>
      </c>
      <c r="G34" s="1">
        <v>2002</v>
      </c>
      <c r="H34" s="1">
        <v>12</v>
      </c>
      <c r="I34" s="1">
        <v>11</v>
      </c>
      <c r="J34" s="2">
        <f>Table1[[#This Row],[STARTS]]/Table1[[#This Row],[MP]]</f>
        <v>0.91666666666666663</v>
      </c>
      <c r="K34" s="1">
        <v>754</v>
      </c>
      <c r="L34" s="1">
        <v>8.4</v>
      </c>
      <c r="M34" s="1">
        <v>2</v>
      </c>
      <c r="N34" s="2">
        <f>Table1[[#This Row],[G]]/Table1[[#This Row],[MP]]</f>
        <v>0.16666666666666666</v>
      </c>
      <c r="O34" s="2">
        <v>2</v>
      </c>
      <c r="P34" s="2">
        <f>Table1[[#This Row],[A]]/Table1[[#This Row],[MP]]</f>
        <v>0.16666666666666666</v>
      </c>
      <c r="Q34" s="2">
        <v>4</v>
      </c>
      <c r="R34" s="2">
        <f>Table1[[#This Row],[PTS]]/Table1[[#This Row],[MP]]</f>
        <v>0.33333333333333331</v>
      </c>
      <c r="S34" s="1">
        <v>2</v>
      </c>
      <c r="T34" s="1">
        <f>Table1[[#This Row],[G]]-Table1[[#This Row],[G_PK]]</f>
        <v>0</v>
      </c>
      <c r="U34" s="1">
        <v>0</v>
      </c>
      <c r="V34" s="1">
        <v>0</v>
      </c>
      <c r="W34" s="1">
        <v>3</v>
      </c>
      <c r="X34" s="1">
        <v>0</v>
      </c>
      <c r="Y34" s="1">
        <f>Table1[[#This Row],[CRDY]]+Table1[[#This Row],[CRDR]]</f>
        <v>3</v>
      </c>
      <c r="Z34" s="1">
        <v>1.1000000000000001</v>
      </c>
      <c r="AA34" s="2">
        <f>Table1[[#This Row],[XG]]/Table1[[#This Row],[MP]]</f>
        <v>9.1666666666666674E-2</v>
      </c>
      <c r="AB34" s="1">
        <v>1.1000000000000001</v>
      </c>
      <c r="AC34" s="1">
        <v>0.6</v>
      </c>
      <c r="AD34" s="1">
        <v>1.7</v>
      </c>
      <c r="AE34" s="1">
        <v>34</v>
      </c>
      <c r="AF34" s="1">
        <v>30</v>
      </c>
      <c r="AG34" s="1">
        <v>45</v>
      </c>
    </row>
    <row r="35" spans="1:33" x14ac:dyDescent="0.35">
      <c r="A35">
        <v>70</v>
      </c>
      <c r="B35" t="s">
        <v>198</v>
      </c>
      <c r="C35" t="s">
        <v>149</v>
      </c>
      <c r="D35" t="s">
        <v>62</v>
      </c>
      <c r="E35" t="s">
        <v>65</v>
      </c>
      <c r="F35" t="s">
        <v>199</v>
      </c>
      <c r="G35" s="1">
        <v>1991</v>
      </c>
      <c r="H35" s="1">
        <v>13</v>
      </c>
      <c r="I35" s="1">
        <v>13</v>
      </c>
      <c r="J35" s="2">
        <f>Table1[[#This Row],[STARTS]]/Table1[[#This Row],[MP]]</f>
        <v>1</v>
      </c>
      <c r="K35" s="1">
        <v>1165</v>
      </c>
      <c r="L35" s="1">
        <v>12.9</v>
      </c>
      <c r="M35" s="1">
        <v>2</v>
      </c>
      <c r="N35" s="2">
        <f>Table1[[#This Row],[G]]/Table1[[#This Row],[MP]]</f>
        <v>0.15384615384615385</v>
      </c>
      <c r="O35" s="2">
        <v>2</v>
      </c>
      <c r="P35" s="2">
        <f>Table1[[#This Row],[A]]/Table1[[#This Row],[MP]]</f>
        <v>0.15384615384615385</v>
      </c>
      <c r="Q35" s="2">
        <v>4</v>
      </c>
      <c r="R35" s="2">
        <f>Table1[[#This Row],[PTS]]/Table1[[#This Row],[MP]]</f>
        <v>0.30769230769230771</v>
      </c>
      <c r="S35" s="1">
        <v>2</v>
      </c>
      <c r="T35" s="1">
        <f>Table1[[#This Row],[G]]-Table1[[#This Row],[G_PK]]</f>
        <v>0</v>
      </c>
      <c r="U35" s="1">
        <v>0</v>
      </c>
      <c r="V35" s="1">
        <v>0</v>
      </c>
      <c r="W35" s="1">
        <v>1</v>
      </c>
      <c r="X35" s="1">
        <v>0</v>
      </c>
      <c r="Y35" s="1">
        <f>Table1[[#This Row],[CRDY]]+Table1[[#This Row],[CRDR]]</f>
        <v>1</v>
      </c>
      <c r="Z35" s="1">
        <v>1.6</v>
      </c>
      <c r="AA35" s="2">
        <f>Table1[[#This Row],[XG]]/Table1[[#This Row],[MP]]</f>
        <v>0.12307692307692308</v>
      </c>
      <c r="AB35" s="1">
        <v>1.6</v>
      </c>
      <c r="AC35" s="1">
        <v>1.3</v>
      </c>
      <c r="AD35" s="1">
        <v>2.9</v>
      </c>
      <c r="AE35" s="1">
        <v>40</v>
      </c>
      <c r="AF35" s="1">
        <v>83</v>
      </c>
      <c r="AG35" s="1">
        <v>40</v>
      </c>
    </row>
    <row r="36" spans="1:33" x14ac:dyDescent="0.35">
      <c r="A36">
        <v>219</v>
      </c>
      <c r="B36" t="s">
        <v>507</v>
      </c>
      <c r="C36" t="s">
        <v>152</v>
      </c>
      <c r="D36" t="s">
        <v>32</v>
      </c>
      <c r="E36" t="s">
        <v>51</v>
      </c>
      <c r="F36" t="s">
        <v>508</v>
      </c>
      <c r="G36" s="1">
        <v>2002</v>
      </c>
      <c r="H36" s="1">
        <v>13</v>
      </c>
      <c r="I36" s="1">
        <v>10</v>
      </c>
      <c r="J36" s="2">
        <f>Table1[[#This Row],[STARTS]]/Table1[[#This Row],[MP]]</f>
        <v>0.76923076923076927</v>
      </c>
      <c r="K36" s="1">
        <v>890</v>
      </c>
      <c r="L36" s="1">
        <v>9.9</v>
      </c>
      <c r="M36" s="1">
        <v>2</v>
      </c>
      <c r="N36" s="2">
        <f>Table1[[#This Row],[G]]/Table1[[#This Row],[MP]]</f>
        <v>0.15384615384615385</v>
      </c>
      <c r="O36" s="2">
        <v>2</v>
      </c>
      <c r="P36" s="2">
        <f>Table1[[#This Row],[A]]/Table1[[#This Row],[MP]]</f>
        <v>0.15384615384615385</v>
      </c>
      <c r="Q36" s="2">
        <v>4</v>
      </c>
      <c r="R36" s="2">
        <f>Table1[[#This Row],[PTS]]/Table1[[#This Row],[MP]]</f>
        <v>0.30769230769230771</v>
      </c>
      <c r="S36" s="1">
        <v>2</v>
      </c>
      <c r="T36" s="1">
        <f>Table1[[#This Row],[G]]-Table1[[#This Row],[G_PK]]</f>
        <v>0</v>
      </c>
      <c r="U36" s="1">
        <v>0</v>
      </c>
      <c r="V36" s="1">
        <v>0</v>
      </c>
      <c r="W36" s="1">
        <v>3</v>
      </c>
      <c r="X36" s="1">
        <v>0</v>
      </c>
      <c r="Y36" s="1">
        <f>Table1[[#This Row],[CRDY]]+Table1[[#This Row],[CRDR]]</f>
        <v>3</v>
      </c>
      <c r="Z36" s="1">
        <v>2.4</v>
      </c>
      <c r="AA36" s="2">
        <f>Table1[[#This Row],[XG]]/Table1[[#This Row],[MP]]</f>
        <v>0.1846153846153846</v>
      </c>
      <c r="AB36" s="1">
        <v>2.4</v>
      </c>
      <c r="AC36" s="1">
        <v>1.6</v>
      </c>
      <c r="AD36" s="1">
        <v>3.9</v>
      </c>
      <c r="AE36" s="1">
        <v>13</v>
      </c>
      <c r="AF36" s="1">
        <v>41</v>
      </c>
      <c r="AG36" s="1">
        <v>40</v>
      </c>
    </row>
    <row r="37" spans="1:33" x14ac:dyDescent="0.35">
      <c r="A37">
        <v>151</v>
      </c>
      <c r="B37" t="s">
        <v>365</v>
      </c>
      <c r="C37" t="s">
        <v>366</v>
      </c>
      <c r="D37" t="s">
        <v>32</v>
      </c>
      <c r="E37" t="s">
        <v>107</v>
      </c>
      <c r="F37" t="s">
        <v>367</v>
      </c>
      <c r="G37" s="1">
        <v>2001</v>
      </c>
      <c r="H37" s="1">
        <v>9</v>
      </c>
      <c r="I37" s="1">
        <v>5</v>
      </c>
      <c r="J37" s="2">
        <f>Table1[[#This Row],[STARTS]]/Table1[[#This Row],[MP]]</f>
        <v>0.55555555555555558</v>
      </c>
      <c r="K37" s="1">
        <v>589</v>
      </c>
      <c r="L37" s="1">
        <v>6.5</v>
      </c>
      <c r="M37" s="1">
        <v>1</v>
      </c>
      <c r="N37" s="2">
        <f>Table1[[#This Row],[G]]/Table1[[#This Row],[MP]]</f>
        <v>0.1111111111111111</v>
      </c>
      <c r="O37" s="2">
        <v>3</v>
      </c>
      <c r="P37" s="2">
        <f>Table1[[#This Row],[A]]/Table1[[#This Row],[MP]]</f>
        <v>0.33333333333333331</v>
      </c>
      <c r="Q37" s="2">
        <v>4</v>
      </c>
      <c r="R37" s="2">
        <f>Table1[[#This Row],[PTS]]/Table1[[#This Row],[MP]]</f>
        <v>0.44444444444444442</v>
      </c>
      <c r="S37" s="1">
        <v>1</v>
      </c>
      <c r="T37" s="1">
        <f>Table1[[#This Row],[G]]-Table1[[#This Row],[G_PK]]</f>
        <v>0</v>
      </c>
      <c r="U37" s="1">
        <v>0</v>
      </c>
      <c r="V37" s="1">
        <v>0</v>
      </c>
      <c r="W37" s="1">
        <v>1</v>
      </c>
      <c r="X37" s="1">
        <v>0</v>
      </c>
      <c r="Y37" s="1">
        <f>Table1[[#This Row],[CRDY]]+Table1[[#This Row],[CRDR]]</f>
        <v>1</v>
      </c>
      <c r="Z37" s="1">
        <v>2.5</v>
      </c>
      <c r="AA37" s="2">
        <f>Table1[[#This Row],[XG]]/Table1[[#This Row],[MP]]</f>
        <v>0.27777777777777779</v>
      </c>
      <c r="AB37" s="1">
        <v>2.5</v>
      </c>
      <c r="AC37" s="1">
        <v>2.6</v>
      </c>
      <c r="AD37" s="1">
        <v>5.0999999999999996</v>
      </c>
      <c r="AE37" s="1">
        <v>28</v>
      </c>
      <c r="AF37" s="1">
        <v>18</v>
      </c>
      <c r="AG37" s="1">
        <v>49</v>
      </c>
    </row>
    <row r="38" spans="1:33" x14ac:dyDescent="0.35">
      <c r="A38">
        <v>54</v>
      </c>
      <c r="B38" t="s">
        <v>166</v>
      </c>
      <c r="C38" t="s">
        <v>27</v>
      </c>
      <c r="D38" t="s">
        <v>62</v>
      </c>
      <c r="E38" t="s">
        <v>38</v>
      </c>
      <c r="F38" t="s">
        <v>167</v>
      </c>
      <c r="G38" s="1">
        <v>1998</v>
      </c>
      <c r="H38" s="1">
        <v>12</v>
      </c>
      <c r="I38" s="1">
        <v>12</v>
      </c>
      <c r="J38" s="2">
        <f>Table1[[#This Row],[STARTS]]/Table1[[#This Row],[MP]]</f>
        <v>1</v>
      </c>
      <c r="K38" s="1">
        <v>1052</v>
      </c>
      <c r="L38" s="1">
        <v>11.7</v>
      </c>
      <c r="M38" s="1">
        <v>1</v>
      </c>
      <c r="N38" s="2">
        <f>Table1[[#This Row],[G]]/Table1[[#This Row],[MP]]</f>
        <v>8.3333333333333329E-2</v>
      </c>
      <c r="O38" s="2">
        <v>3</v>
      </c>
      <c r="P38" s="2">
        <f>Table1[[#This Row],[A]]/Table1[[#This Row],[MP]]</f>
        <v>0.25</v>
      </c>
      <c r="Q38" s="2">
        <v>4</v>
      </c>
      <c r="R38" s="2">
        <f>Table1[[#This Row],[PTS]]/Table1[[#This Row],[MP]]</f>
        <v>0.33333333333333331</v>
      </c>
      <c r="S38" s="1">
        <v>0</v>
      </c>
      <c r="T38" s="1">
        <f>Table1[[#This Row],[G]]-Table1[[#This Row],[G_PK]]</f>
        <v>1</v>
      </c>
      <c r="U38" s="1">
        <v>1</v>
      </c>
      <c r="V38" s="1">
        <v>1</v>
      </c>
      <c r="W38" s="1">
        <v>1</v>
      </c>
      <c r="X38" s="1">
        <v>0</v>
      </c>
      <c r="Y38" s="1">
        <f>Table1[[#This Row],[CRDY]]+Table1[[#This Row],[CRDR]]</f>
        <v>1</v>
      </c>
      <c r="Z38" s="1">
        <v>1.2</v>
      </c>
      <c r="AA38" s="2">
        <f>Table1[[#This Row],[XG]]/Table1[[#This Row],[MP]]</f>
        <v>9.9999999999999992E-2</v>
      </c>
      <c r="AB38" s="1">
        <v>0.5</v>
      </c>
      <c r="AC38" s="1">
        <v>1.6</v>
      </c>
      <c r="AD38" s="1">
        <v>2.1</v>
      </c>
      <c r="AE38" s="1">
        <v>15</v>
      </c>
      <c r="AF38" s="1">
        <v>73</v>
      </c>
      <c r="AG38" s="1">
        <v>21</v>
      </c>
    </row>
    <row r="39" spans="1:33" x14ac:dyDescent="0.35">
      <c r="A39">
        <v>207</v>
      </c>
      <c r="B39" t="s">
        <v>482</v>
      </c>
      <c r="C39" t="s">
        <v>149</v>
      </c>
      <c r="D39" t="s">
        <v>28</v>
      </c>
      <c r="E39" t="s">
        <v>65</v>
      </c>
      <c r="F39" t="s">
        <v>483</v>
      </c>
      <c r="G39" s="1">
        <v>1997</v>
      </c>
      <c r="H39" s="1">
        <v>13</v>
      </c>
      <c r="I39" s="1">
        <v>13</v>
      </c>
      <c r="J39" s="2">
        <f>Table1[[#This Row],[STARTS]]/Table1[[#This Row],[MP]]</f>
        <v>1</v>
      </c>
      <c r="K39" s="1">
        <v>1162</v>
      </c>
      <c r="L39" s="1">
        <v>12.9</v>
      </c>
      <c r="M39" s="1">
        <v>1</v>
      </c>
      <c r="N39" s="2">
        <f>Table1[[#This Row],[G]]/Table1[[#This Row],[MP]]</f>
        <v>7.6923076923076927E-2</v>
      </c>
      <c r="O39" s="2">
        <v>3</v>
      </c>
      <c r="P39" s="2">
        <f>Table1[[#This Row],[A]]/Table1[[#This Row],[MP]]</f>
        <v>0.23076923076923078</v>
      </c>
      <c r="Q39" s="2">
        <v>4</v>
      </c>
      <c r="R39" s="2">
        <f>Table1[[#This Row],[PTS]]/Table1[[#This Row],[MP]]</f>
        <v>0.30769230769230771</v>
      </c>
      <c r="S39" s="1">
        <v>1</v>
      </c>
      <c r="T39" s="1">
        <f>Table1[[#This Row],[G]]-Table1[[#This Row],[G_PK]]</f>
        <v>0</v>
      </c>
      <c r="U39" s="1">
        <v>0</v>
      </c>
      <c r="V39" s="1">
        <v>0</v>
      </c>
      <c r="W39" s="1">
        <v>1</v>
      </c>
      <c r="X39" s="1">
        <v>0</v>
      </c>
      <c r="Y39" s="1">
        <f>Table1[[#This Row],[CRDY]]+Table1[[#This Row],[CRDR]]</f>
        <v>1</v>
      </c>
      <c r="Z39" s="1">
        <v>0.6</v>
      </c>
      <c r="AA39" s="2">
        <f>Table1[[#This Row],[XG]]/Table1[[#This Row],[MP]]</f>
        <v>4.6153846153846149E-2</v>
      </c>
      <c r="AB39" s="1">
        <v>0.6</v>
      </c>
      <c r="AC39" s="1">
        <v>1</v>
      </c>
      <c r="AD39" s="1">
        <v>1.5</v>
      </c>
      <c r="AE39" s="1">
        <v>24</v>
      </c>
      <c r="AF39" s="1">
        <v>40</v>
      </c>
      <c r="AG39" s="1">
        <v>69</v>
      </c>
    </row>
    <row r="40" spans="1:33" x14ac:dyDescent="0.35">
      <c r="A40">
        <v>271</v>
      </c>
      <c r="B40" t="s">
        <v>611</v>
      </c>
      <c r="C40" t="s">
        <v>36</v>
      </c>
      <c r="D40" t="s">
        <v>32</v>
      </c>
      <c r="E40" t="s">
        <v>71</v>
      </c>
      <c r="F40" t="s">
        <v>612</v>
      </c>
      <c r="G40" s="1">
        <v>1994</v>
      </c>
      <c r="H40" s="1">
        <v>13</v>
      </c>
      <c r="I40" s="1">
        <v>10</v>
      </c>
      <c r="J40" s="2">
        <f>Table1[[#This Row],[STARTS]]/Table1[[#This Row],[MP]]</f>
        <v>0.76923076923076927</v>
      </c>
      <c r="K40" s="1">
        <v>885</v>
      </c>
      <c r="L40" s="1">
        <v>9.8000000000000007</v>
      </c>
      <c r="M40" s="1">
        <v>1</v>
      </c>
      <c r="N40" s="2">
        <f>Table1[[#This Row],[G]]/Table1[[#This Row],[MP]]</f>
        <v>7.6923076923076927E-2</v>
      </c>
      <c r="O40" s="2">
        <v>3</v>
      </c>
      <c r="P40" s="2">
        <f>Table1[[#This Row],[A]]/Table1[[#This Row],[MP]]</f>
        <v>0.23076923076923078</v>
      </c>
      <c r="Q40" s="2">
        <v>4</v>
      </c>
      <c r="R40" s="2">
        <f>Table1[[#This Row],[PTS]]/Table1[[#This Row],[MP]]</f>
        <v>0.30769230769230771</v>
      </c>
      <c r="S40" s="1">
        <v>1</v>
      </c>
      <c r="T40" s="1">
        <f>Table1[[#This Row],[G]]-Table1[[#This Row],[G_PK]]</f>
        <v>0</v>
      </c>
      <c r="U40" s="1">
        <v>0</v>
      </c>
      <c r="V40" s="1">
        <v>0</v>
      </c>
      <c r="W40" s="1">
        <v>0</v>
      </c>
      <c r="X40" s="1">
        <v>0</v>
      </c>
      <c r="Y40" s="1">
        <f>Table1[[#This Row],[CRDY]]+Table1[[#This Row],[CRDR]]</f>
        <v>0</v>
      </c>
      <c r="Z40" s="1">
        <v>1</v>
      </c>
      <c r="AA40" s="2">
        <f>Table1[[#This Row],[XG]]/Table1[[#This Row],[MP]]</f>
        <v>7.6923076923076927E-2</v>
      </c>
      <c r="AB40" s="1">
        <v>1</v>
      </c>
      <c r="AC40" s="1">
        <v>2.2000000000000002</v>
      </c>
      <c r="AD40" s="1">
        <v>3.2</v>
      </c>
      <c r="AE40" s="1">
        <v>8</v>
      </c>
      <c r="AF40" s="1">
        <v>18</v>
      </c>
      <c r="AG40" s="1">
        <v>72</v>
      </c>
    </row>
    <row r="41" spans="1:33" x14ac:dyDescent="0.35">
      <c r="A41">
        <v>172</v>
      </c>
      <c r="B41" t="s">
        <v>409</v>
      </c>
      <c r="C41" t="s">
        <v>27</v>
      </c>
      <c r="D41" t="s">
        <v>28</v>
      </c>
      <c r="E41" t="s">
        <v>81</v>
      </c>
      <c r="F41" t="s">
        <v>410</v>
      </c>
      <c r="G41" s="1">
        <v>1997</v>
      </c>
      <c r="H41" s="1">
        <v>12</v>
      </c>
      <c r="I41" s="1">
        <v>7</v>
      </c>
      <c r="J41" s="2">
        <f>Table1[[#This Row],[STARTS]]/Table1[[#This Row],[MP]]</f>
        <v>0.58333333333333337</v>
      </c>
      <c r="K41" s="1">
        <v>714</v>
      </c>
      <c r="L41" s="1">
        <v>7.9</v>
      </c>
      <c r="M41" s="1">
        <v>0</v>
      </c>
      <c r="N41" s="2">
        <f>Table1[[#This Row],[G]]/Table1[[#This Row],[MP]]</f>
        <v>0</v>
      </c>
      <c r="O41" s="2">
        <v>4</v>
      </c>
      <c r="P41" s="2">
        <f>Table1[[#This Row],[A]]/Table1[[#This Row],[MP]]</f>
        <v>0.33333333333333331</v>
      </c>
      <c r="Q41" s="2">
        <v>4</v>
      </c>
      <c r="R41" s="2">
        <f>Table1[[#This Row],[PTS]]/Table1[[#This Row],[MP]]</f>
        <v>0.33333333333333331</v>
      </c>
      <c r="S41" s="1">
        <v>0</v>
      </c>
      <c r="T41" s="1">
        <f>Table1[[#This Row],[G]]-Table1[[#This Row],[G_PK]]</f>
        <v>0</v>
      </c>
      <c r="U41" s="1">
        <v>0</v>
      </c>
      <c r="V41" s="1">
        <v>0</v>
      </c>
      <c r="W41" s="1">
        <v>2</v>
      </c>
      <c r="X41" s="1">
        <v>0</v>
      </c>
      <c r="Y41" s="1">
        <f>Table1[[#This Row],[CRDY]]+Table1[[#This Row],[CRDR]]</f>
        <v>2</v>
      </c>
      <c r="Z41" s="1">
        <v>0.1</v>
      </c>
      <c r="AA41" s="2">
        <f>Table1[[#This Row],[XG]]/Table1[[#This Row],[MP]]</f>
        <v>8.3333333333333332E-3</v>
      </c>
      <c r="AB41" s="1">
        <v>0.1</v>
      </c>
      <c r="AC41" s="1">
        <v>1</v>
      </c>
      <c r="AD41" s="1">
        <v>1.1000000000000001</v>
      </c>
      <c r="AE41" s="1">
        <v>11</v>
      </c>
      <c r="AF41" s="1">
        <v>28</v>
      </c>
      <c r="AG41" s="1">
        <v>8</v>
      </c>
    </row>
    <row r="42" spans="1:33" x14ac:dyDescent="0.35">
      <c r="A42">
        <v>223</v>
      </c>
      <c r="B42" t="s">
        <v>514</v>
      </c>
      <c r="C42" t="s">
        <v>27</v>
      </c>
      <c r="D42" t="s">
        <v>251</v>
      </c>
      <c r="E42" t="s">
        <v>51</v>
      </c>
      <c r="F42" t="s">
        <v>515</v>
      </c>
      <c r="G42" s="1">
        <v>2002</v>
      </c>
      <c r="H42" s="1">
        <v>9</v>
      </c>
      <c r="I42" s="1">
        <v>9</v>
      </c>
      <c r="J42" s="2">
        <f>Table1[[#This Row],[STARTS]]/Table1[[#This Row],[MP]]</f>
        <v>1</v>
      </c>
      <c r="K42" s="1">
        <v>765</v>
      </c>
      <c r="L42" s="1">
        <v>8.5</v>
      </c>
      <c r="M42" s="1">
        <v>3</v>
      </c>
      <c r="N42" s="2">
        <f>Table1[[#This Row],[G]]/Table1[[#This Row],[MP]]</f>
        <v>0.33333333333333331</v>
      </c>
      <c r="O42" s="2">
        <v>0</v>
      </c>
      <c r="P42" s="2">
        <f>Table1[[#This Row],[A]]/Table1[[#This Row],[MP]]</f>
        <v>0</v>
      </c>
      <c r="Q42" s="2">
        <v>3</v>
      </c>
      <c r="R42" s="2">
        <f>Table1[[#This Row],[PTS]]/Table1[[#This Row],[MP]]</f>
        <v>0.33333333333333331</v>
      </c>
      <c r="S42" s="1">
        <v>3</v>
      </c>
      <c r="T42" s="1">
        <f>Table1[[#This Row],[G]]-Table1[[#This Row],[G_PK]]</f>
        <v>0</v>
      </c>
      <c r="U42" s="1">
        <v>0</v>
      </c>
      <c r="V42" s="1">
        <v>0</v>
      </c>
      <c r="W42" s="1">
        <v>0</v>
      </c>
      <c r="X42" s="1">
        <v>0</v>
      </c>
      <c r="Y42" s="1">
        <f>Table1[[#This Row],[CRDY]]+Table1[[#This Row],[CRDR]]</f>
        <v>0</v>
      </c>
      <c r="Z42" s="1">
        <v>0.9</v>
      </c>
      <c r="AA42" s="2">
        <f>Table1[[#This Row],[XG]]/Table1[[#This Row],[MP]]</f>
        <v>0.1</v>
      </c>
      <c r="AB42" s="1">
        <v>0.9</v>
      </c>
      <c r="AC42" s="1">
        <v>1</v>
      </c>
      <c r="AD42" s="1">
        <v>1.8</v>
      </c>
      <c r="AE42" s="1">
        <v>30</v>
      </c>
      <c r="AF42" s="1">
        <v>30</v>
      </c>
      <c r="AG42" s="1">
        <v>36</v>
      </c>
    </row>
    <row r="43" spans="1:33" x14ac:dyDescent="0.35">
      <c r="A43">
        <v>157</v>
      </c>
      <c r="B43" t="s">
        <v>379</v>
      </c>
      <c r="C43" t="s">
        <v>27</v>
      </c>
      <c r="D43" t="s">
        <v>62</v>
      </c>
      <c r="E43" t="s">
        <v>81</v>
      </c>
      <c r="F43" t="s">
        <v>380</v>
      </c>
      <c r="G43" s="1">
        <v>1993</v>
      </c>
      <c r="H43" s="1">
        <v>10</v>
      </c>
      <c r="I43" s="1">
        <v>10</v>
      </c>
      <c r="J43" s="2">
        <f>Table1[[#This Row],[STARTS]]/Table1[[#This Row],[MP]]</f>
        <v>1</v>
      </c>
      <c r="K43" s="1">
        <v>900</v>
      </c>
      <c r="L43" s="1">
        <v>10</v>
      </c>
      <c r="M43" s="1">
        <v>3</v>
      </c>
      <c r="N43" s="2">
        <f>Table1[[#This Row],[G]]/Table1[[#This Row],[MP]]</f>
        <v>0.3</v>
      </c>
      <c r="O43" s="2">
        <v>0</v>
      </c>
      <c r="P43" s="2">
        <f>Table1[[#This Row],[A]]/Table1[[#This Row],[MP]]</f>
        <v>0</v>
      </c>
      <c r="Q43" s="2">
        <v>3</v>
      </c>
      <c r="R43" s="2">
        <f>Table1[[#This Row],[PTS]]/Table1[[#This Row],[MP]]</f>
        <v>0.3</v>
      </c>
      <c r="S43" s="1">
        <v>0</v>
      </c>
      <c r="T43" s="1">
        <f>Table1[[#This Row],[G]]-Table1[[#This Row],[G_PK]]</f>
        <v>3</v>
      </c>
      <c r="U43" s="1">
        <v>3</v>
      </c>
      <c r="V43" s="1">
        <v>3</v>
      </c>
      <c r="W43" s="1">
        <v>2</v>
      </c>
      <c r="X43" s="1">
        <v>0</v>
      </c>
      <c r="Y43" s="1">
        <f>Table1[[#This Row],[CRDY]]+Table1[[#This Row],[CRDR]]</f>
        <v>2</v>
      </c>
      <c r="Z43" s="1">
        <v>3</v>
      </c>
      <c r="AA43" s="2">
        <f>Table1[[#This Row],[XG]]/Table1[[#This Row],[MP]]</f>
        <v>0.3</v>
      </c>
      <c r="AB43" s="1">
        <v>0.8</v>
      </c>
      <c r="AC43" s="1">
        <v>0.5</v>
      </c>
      <c r="AD43" s="1">
        <v>1.3</v>
      </c>
      <c r="AE43" s="1">
        <v>6</v>
      </c>
      <c r="AF43" s="1">
        <v>55</v>
      </c>
      <c r="AG43" s="1">
        <v>13</v>
      </c>
    </row>
    <row r="44" spans="1:33" x14ac:dyDescent="0.35">
      <c r="A44">
        <v>275</v>
      </c>
      <c r="B44" t="s">
        <v>619</v>
      </c>
      <c r="C44" t="s">
        <v>36</v>
      </c>
      <c r="D44" t="s">
        <v>85</v>
      </c>
      <c r="E44" t="s">
        <v>164</v>
      </c>
      <c r="F44" t="s">
        <v>620</v>
      </c>
      <c r="G44" s="1">
        <v>1997</v>
      </c>
      <c r="H44" s="1">
        <v>10</v>
      </c>
      <c r="I44" s="1">
        <v>8</v>
      </c>
      <c r="J44" s="2">
        <f>Table1[[#This Row],[STARTS]]/Table1[[#This Row],[MP]]</f>
        <v>0.8</v>
      </c>
      <c r="K44" s="1">
        <v>653</v>
      </c>
      <c r="L44" s="1">
        <v>7.3</v>
      </c>
      <c r="M44" s="1">
        <v>3</v>
      </c>
      <c r="N44" s="2">
        <f>Table1[[#This Row],[G]]/Table1[[#This Row],[MP]]</f>
        <v>0.3</v>
      </c>
      <c r="O44" s="2">
        <v>0</v>
      </c>
      <c r="P44" s="2">
        <f>Table1[[#This Row],[A]]/Table1[[#This Row],[MP]]</f>
        <v>0</v>
      </c>
      <c r="Q44" s="2">
        <v>3</v>
      </c>
      <c r="R44" s="2">
        <f>Table1[[#This Row],[PTS]]/Table1[[#This Row],[MP]]</f>
        <v>0.3</v>
      </c>
      <c r="S44" s="1">
        <v>3</v>
      </c>
      <c r="T44" s="1">
        <f>Table1[[#This Row],[G]]-Table1[[#This Row],[G_PK]]</f>
        <v>0</v>
      </c>
      <c r="U44" s="1">
        <v>0</v>
      </c>
      <c r="V44" s="1">
        <v>0</v>
      </c>
      <c r="W44" s="1">
        <v>2</v>
      </c>
      <c r="X44" s="1">
        <v>0</v>
      </c>
      <c r="Y44" s="1">
        <f>Table1[[#This Row],[CRDY]]+Table1[[#This Row],[CRDR]]</f>
        <v>2</v>
      </c>
      <c r="Z44" s="1">
        <v>2.8</v>
      </c>
      <c r="AA44" s="2">
        <f>Table1[[#This Row],[XG]]/Table1[[#This Row],[MP]]</f>
        <v>0.27999999999999997</v>
      </c>
      <c r="AB44" s="1">
        <v>2.8</v>
      </c>
      <c r="AC44" s="1">
        <v>0.9</v>
      </c>
      <c r="AD44" s="1">
        <v>3.7</v>
      </c>
      <c r="AE44" s="1">
        <v>16</v>
      </c>
      <c r="AF44" s="1">
        <v>6</v>
      </c>
      <c r="AG44" s="1">
        <v>55</v>
      </c>
    </row>
    <row r="45" spans="1:33" x14ac:dyDescent="0.35">
      <c r="A45">
        <v>209</v>
      </c>
      <c r="B45" t="s">
        <v>486</v>
      </c>
      <c r="C45" t="s">
        <v>27</v>
      </c>
      <c r="D45" t="s">
        <v>32</v>
      </c>
      <c r="E45" t="s">
        <v>164</v>
      </c>
      <c r="F45" t="s">
        <v>487</v>
      </c>
      <c r="G45" s="1">
        <v>2001</v>
      </c>
      <c r="H45" s="1">
        <v>12</v>
      </c>
      <c r="I45" s="1">
        <v>9</v>
      </c>
      <c r="J45" s="2">
        <f>Table1[[#This Row],[STARTS]]/Table1[[#This Row],[MP]]</f>
        <v>0.75</v>
      </c>
      <c r="K45" s="1">
        <v>784</v>
      </c>
      <c r="L45" s="1">
        <v>8.6999999999999993</v>
      </c>
      <c r="M45" s="1">
        <v>3</v>
      </c>
      <c r="N45" s="2">
        <f>Table1[[#This Row],[G]]/Table1[[#This Row],[MP]]</f>
        <v>0.25</v>
      </c>
      <c r="O45" s="2">
        <v>0</v>
      </c>
      <c r="P45" s="2">
        <f>Table1[[#This Row],[A]]/Table1[[#This Row],[MP]]</f>
        <v>0</v>
      </c>
      <c r="Q45" s="2">
        <v>3</v>
      </c>
      <c r="R45" s="2">
        <f>Table1[[#This Row],[PTS]]/Table1[[#This Row],[MP]]</f>
        <v>0.25</v>
      </c>
      <c r="S45" s="1">
        <v>3</v>
      </c>
      <c r="T45" s="1">
        <f>Table1[[#This Row],[G]]-Table1[[#This Row],[G_PK]]</f>
        <v>0</v>
      </c>
      <c r="U45" s="1">
        <v>0</v>
      </c>
      <c r="V45" s="1">
        <v>0</v>
      </c>
      <c r="W45" s="1">
        <v>0</v>
      </c>
      <c r="X45" s="1">
        <v>0</v>
      </c>
      <c r="Y45" s="1">
        <f>Table1[[#This Row],[CRDY]]+Table1[[#This Row],[CRDR]]</f>
        <v>0</v>
      </c>
      <c r="Z45" s="1">
        <v>1.9</v>
      </c>
      <c r="AA45" s="2">
        <f>Table1[[#This Row],[XG]]/Table1[[#This Row],[MP]]</f>
        <v>0.15833333333333333</v>
      </c>
      <c r="AB45" s="1">
        <v>1.9</v>
      </c>
      <c r="AC45" s="1">
        <v>0.3</v>
      </c>
      <c r="AD45" s="1">
        <v>2.2000000000000002</v>
      </c>
      <c r="AE45" s="1">
        <v>20</v>
      </c>
      <c r="AF45" s="1">
        <v>10</v>
      </c>
      <c r="AG45" s="1">
        <v>54</v>
      </c>
    </row>
    <row r="46" spans="1:33" x14ac:dyDescent="0.35">
      <c r="A46">
        <v>289</v>
      </c>
      <c r="B46" t="s">
        <v>644</v>
      </c>
      <c r="C46" t="s">
        <v>27</v>
      </c>
      <c r="D46" t="s">
        <v>85</v>
      </c>
      <c r="E46" t="s">
        <v>38</v>
      </c>
      <c r="F46" t="s">
        <v>645</v>
      </c>
      <c r="G46" s="1">
        <v>2004</v>
      </c>
      <c r="H46" s="1">
        <v>12</v>
      </c>
      <c r="I46" s="1">
        <v>2</v>
      </c>
      <c r="J46" s="2">
        <f>Table1[[#This Row],[STARTS]]/Table1[[#This Row],[MP]]</f>
        <v>0.16666666666666666</v>
      </c>
      <c r="K46" s="1">
        <v>293</v>
      </c>
      <c r="L46" s="1">
        <v>3.3</v>
      </c>
      <c r="M46" s="1">
        <v>3</v>
      </c>
      <c r="N46" s="2">
        <f>Table1[[#This Row],[G]]/Table1[[#This Row],[MP]]</f>
        <v>0.25</v>
      </c>
      <c r="O46" s="2">
        <v>0</v>
      </c>
      <c r="P46" s="2">
        <f>Table1[[#This Row],[A]]/Table1[[#This Row],[MP]]</f>
        <v>0</v>
      </c>
      <c r="Q46" s="2">
        <v>3</v>
      </c>
      <c r="R46" s="2">
        <f>Table1[[#This Row],[PTS]]/Table1[[#This Row],[MP]]</f>
        <v>0.25</v>
      </c>
      <c r="S46" s="1">
        <v>3</v>
      </c>
      <c r="T46" s="1">
        <f>Table1[[#This Row],[G]]-Table1[[#This Row],[G_PK]]</f>
        <v>0</v>
      </c>
      <c r="U46" s="1">
        <v>0</v>
      </c>
      <c r="V46" s="1">
        <v>0</v>
      </c>
      <c r="W46" s="1">
        <v>1</v>
      </c>
      <c r="X46" s="1">
        <v>0</v>
      </c>
      <c r="Y46" s="1">
        <f>Table1[[#This Row],[CRDY]]+Table1[[#This Row],[CRDR]]</f>
        <v>1</v>
      </c>
      <c r="Z46" s="1">
        <v>1.3</v>
      </c>
      <c r="AA46" s="2">
        <f>Table1[[#This Row],[XG]]/Table1[[#This Row],[MP]]</f>
        <v>0.10833333333333334</v>
      </c>
      <c r="AB46" s="1">
        <v>1.3</v>
      </c>
      <c r="AC46" s="1">
        <v>0.2</v>
      </c>
      <c r="AD46" s="1">
        <v>1.6</v>
      </c>
      <c r="AE46" s="1">
        <v>1</v>
      </c>
      <c r="AF46" s="1">
        <v>8</v>
      </c>
      <c r="AG46" s="1">
        <v>27</v>
      </c>
    </row>
    <row r="47" spans="1:33" x14ac:dyDescent="0.35">
      <c r="A47">
        <v>240</v>
      </c>
      <c r="B47" t="s">
        <v>550</v>
      </c>
      <c r="C47" t="s">
        <v>100</v>
      </c>
      <c r="D47" t="s">
        <v>50</v>
      </c>
      <c r="E47" t="s">
        <v>42</v>
      </c>
      <c r="F47" t="s">
        <v>551</v>
      </c>
      <c r="G47" s="1">
        <v>1996</v>
      </c>
      <c r="H47" s="1">
        <v>9</v>
      </c>
      <c r="I47" s="1">
        <v>8</v>
      </c>
      <c r="J47" s="2">
        <f>Table1[[#This Row],[STARTS]]/Table1[[#This Row],[MP]]</f>
        <v>0.88888888888888884</v>
      </c>
      <c r="K47" s="1">
        <v>645</v>
      </c>
      <c r="L47" s="1">
        <v>7.2</v>
      </c>
      <c r="M47" s="1">
        <v>2</v>
      </c>
      <c r="N47" s="2">
        <f>Table1[[#This Row],[G]]/Table1[[#This Row],[MP]]</f>
        <v>0.22222222222222221</v>
      </c>
      <c r="O47" s="2">
        <v>1</v>
      </c>
      <c r="P47" s="2">
        <f>Table1[[#This Row],[A]]/Table1[[#This Row],[MP]]</f>
        <v>0.1111111111111111</v>
      </c>
      <c r="Q47" s="2">
        <v>3</v>
      </c>
      <c r="R47" s="2">
        <f>Table1[[#This Row],[PTS]]/Table1[[#This Row],[MP]]</f>
        <v>0.33333333333333331</v>
      </c>
      <c r="S47" s="1">
        <v>2</v>
      </c>
      <c r="T47" s="1">
        <f>Table1[[#This Row],[G]]-Table1[[#This Row],[G_PK]]</f>
        <v>0</v>
      </c>
      <c r="U47" s="1">
        <v>0</v>
      </c>
      <c r="V47" s="1">
        <v>0</v>
      </c>
      <c r="W47" s="1">
        <v>1</v>
      </c>
      <c r="X47" s="1">
        <v>0</v>
      </c>
      <c r="Y47" s="1">
        <f>Table1[[#This Row],[CRDY]]+Table1[[#This Row],[CRDR]]</f>
        <v>1</v>
      </c>
      <c r="Z47" s="1">
        <v>0.8</v>
      </c>
      <c r="AA47" s="2">
        <f>Table1[[#This Row],[XG]]/Table1[[#This Row],[MP]]</f>
        <v>8.8888888888888892E-2</v>
      </c>
      <c r="AB47" s="1">
        <v>0.8</v>
      </c>
      <c r="AC47" s="1">
        <v>2.7</v>
      </c>
      <c r="AD47" s="1">
        <v>3.5</v>
      </c>
      <c r="AE47" s="1">
        <v>6</v>
      </c>
      <c r="AF47" s="1">
        <v>15</v>
      </c>
      <c r="AG47" s="1">
        <v>26</v>
      </c>
    </row>
    <row r="48" spans="1:33" x14ac:dyDescent="0.35">
      <c r="A48">
        <v>33</v>
      </c>
      <c r="B48" t="s">
        <v>119</v>
      </c>
      <c r="C48" t="s">
        <v>27</v>
      </c>
      <c r="D48" t="s">
        <v>32</v>
      </c>
      <c r="E48" t="s">
        <v>33</v>
      </c>
      <c r="F48" t="s">
        <v>120</v>
      </c>
      <c r="G48" s="1">
        <v>1993</v>
      </c>
      <c r="H48" s="1">
        <v>10</v>
      </c>
      <c r="I48" s="1">
        <v>7</v>
      </c>
      <c r="J48" s="2">
        <f>Table1[[#This Row],[STARTS]]/Table1[[#This Row],[MP]]</f>
        <v>0.7</v>
      </c>
      <c r="K48" s="1">
        <v>711</v>
      </c>
      <c r="L48" s="1">
        <v>7.9</v>
      </c>
      <c r="M48" s="1">
        <v>2</v>
      </c>
      <c r="N48" s="2">
        <f>Table1[[#This Row],[G]]/Table1[[#This Row],[MP]]</f>
        <v>0.2</v>
      </c>
      <c r="O48" s="2">
        <v>1</v>
      </c>
      <c r="P48" s="2">
        <f>Table1[[#This Row],[A]]/Table1[[#This Row],[MP]]</f>
        <v>0.1</v>
      </c>
      <c r="Q48" s="2">
        <v>3</v>
      </c>
      <c r="R48" s="2">
        <f>Table1[[#This Row],[PTS]]/Table1[[#This Row],[MP]]</f>
        <v>0.3</v>
      </c>
      <c r="S48" s="1">
        <v>2</v>
      </c>
      <c r="T48" s="1">
        <f>Table1[[#This Row],[G]]-Table1[[#This Row],[G_PK]]</f>
        <v>0</v>
      </c>
      <c r="U48" s="1">
        <v>0</v>
      </c>
      <c r="V48" s="1">
        <v>0</v>
      </c>
      <c r="W48" s="1">
        <v>0</v>
      </c>
      <c r="X48" s="1">
        <v>0</v>
      </c>
      <c r="Y48" s="1">
        <f>Table1[[#This Row],[CRDY]]+Table1[[#This Row],[CRDR]]</f>
        <v>0</v>
      </c>
      <c r="Z48" s="1">
        <v>1.5</v>
      </c>
      <c r="AA48" s="2">
        <f>Table1[[#This Row],[XG]]/Table1[[#This Row],[MP]]</f>
        <v>0.15</v>
      </c>
      <c r="AB48" s="1">
        <v>1.5</v>
      </c>
      <c r="AC48" s="1">
        <v>0.7</v>
      </c>
      <c r="AD48" s="1">
        <v>2.2000000000000002</v>
      </c>
      <c r="AE48" s="1">
        <v>4</v>
      </c>
      <c r="AF48" s="1">
        <v>20</v>
      </c>
      <c r="AG48" s="1">
        <v>40</v>
      </c>
    </row>
    <row r="49" spans="1:33" x14ac:dyDescent="0.35">
      <c r="A49">
        <v>104</v>
      </c>
      <c r="B49" t="s">
        <v>268</v>
      </c>
      <c r="C49" t="s">
        <v>41</v>
      </c>
      <c r="D49" t="s">
        <v>37</v>
      </c>
      <c r="E49" t="s">
        <v>101</v>
      </c>
      <c r="F49" t="s">
        <v>269</v>
      </c>
      <c r="G49" s="1">
        <v>1998</v>
      </c>
      <c r="H49" s="1">
        <v>10</v>
      </c>
      <c r="I49" s="1">
        <v>7</v>
      </c>
      <c r="J49" s="2">
        <f>Table1[[#This Row],[STARTS]]/Table1[[#This Row],[MP]]</f>
        <v>0.7</v>
      </c>
      <c r="K49" s="1">
        <v>554</v>
      </c>
      <c r="L49" s="1">
        <v>6.2</v>
      </c>
      <c r="M49" s="1">
        <v>2</v>
      </c>
      <c r="N49" s="2">
        <f>Table1[[#This Row],[G]]/Table1[[#This Row],[MP]]</f>
        <v>0.2</v>
      </c>
      <c r="O49" s="2">
        <v>1</v>
      </c>
      <c r="P49" s="2">
        <f>Table1[[#This Row],[A]]/Table1[[#This Row],[MP]]</f>
        <v>0.1</v>
      </c>
      <c r="Q49" s="2">
        <v>3</v>
      </c>
      <c r="R49" s="2">
        <f>Table1[[#This Row],[PTS]]/Table1[[#This Row],[MP]]</f>
        <v>0.3</v>
      </c>
      <c r="S49" s="1">
        <v>2</v>
      </c>
      <c r="T49" s="1">
        <f>Table1[[#This Row],[G]]-Table1[[#This Row],[G_PK]]</f>
        <v>0</v>
      </c>
      <c r="U49" s="1">
        <v>0</v>
      </c>
      <c r="V49" s="1">
        <v>0</v>
      </c>
      <c r="W49" s="1">
        <v>2</v>
      </c>
      <c r="X49" s="1">
        <v>0</v>
      </c>
      <c r="Y49" s="1">
        <f>Table1[[#This Row],[CRDY]]+Table1[[#This Row],[CRDR]]</f>
        <v>2</v>
      </c>
      <c r="Z49" s="1">
        <v>1.6</v>
      </c>
      <c r="AA49" s="2">
        <f>Table1[[#This Row],[XG]]/Table1[[#This Row],[MP]]</f>
        <v>0.16</v>
      </c>
      <c r="AB49" s="1">
        <v>1.6</v>
      </c>
      <c r="AC49" s="1">
        <v>0.8</v>
      </c>
      <c r="AD49" s="1">
        <v>2.4</v>
      </c>
      <c r="AE49" s="1">
        <v>15</v>
      </c>
      <c r="AF49" s="1">
        <v>15</v>
      </c>
      <c r="AG49" s="1">
        <v>38</v>
      </c>
    </row>
    <row r="50" spans="1:33" x14ac:dyDescent="0.35">
      <c r="A50">
        <v>114</v>
      </c>
      <c r="B50" t="s">
        <v>291</v>
      </c>
      <c r="C50" t="s">
        <v>27</v>
      </c>
      <c r="D50" t="s">
        <v>32</v>
      </c>
      <c r="E50" t="s">
        <v>38</v>
      </c>
      <c r="F50" t="s">
        <v>292</v>
      </c>
      <c r="G50" s="1">
        <v>2004</v>
      </c>
      <c r="H50" s="1">
        <v>11</v>
      </c>
      <c r="I50" s="1">
        <v>7</v>
      </c>
      <c r="J50" s="2">
        <f>Table1[[#This Row],[STARTS]]/Table1[[#This Row],[MP]]</f>
        <v>0.63636363636363635</v>
      </c>
      <c r="K50" s="1">
        <v>636</v>
      </c>
      <c r="L50" s="1">
        <v>7.1</v>
      </c>
      <c r="M50" s="1">
        <v>2</v>
      </c>
      <c r="N50" s="2">
        <f>Table1[[#This Row],[G]]/Table1[[#This Row],[MP]]</f>
        <v>0.18181818181818182</v>
      </c>
      <c r="O50" s="2">
        <v>1</v>
      </c>
      <c r="P50" s="2">
        <f>Table1[[#This Row],[A]]/Table1[[#This Row],[MP]]</f>
        <v>9.0909090909090912E-2</v>
      </c>
      <c r="Q50" s="2">
        <v>3</v>
      </c>
      <c r="R50" s="2">
        <f>Table1[[#This Row],[PTS]]/Table1[[#This Row],[MP]]</f>
        <v>0.27272727272727271</v>
      </c>
      <c r="S50" s="1">
        <v>2</v>
      </c>
      <c r="T50" s="1">
        <f>Table1[[#This Row],[G]]-Table1[[#This Row],[G_PK]]</f>
        <v>0</v>
      </c>
      <c r="U50" s="1">
        <v>0</v>
      </c>
      <c r="V50" s="1">
        <v>0</v>
      </c>
      <c r="W50" s="1">
        <v>1</v>
      </c>
      <c r="X50" s="1">
        <v>0</v>
      </c>
      <c r="Y50" s="1">
        <f>Table1[[#This Row],[CRDY]]+Table1[[#This Row],[CRDR]]</f>
        <v>1</v>
      </c>
      <c r="Z50" s="1">
        <v>2</v>
      </c>
      <c r="AA50" s="2">
        <f>Table1[[#This Row],[XG]]/Table1[[#This Row],[MP]]</f>
        <v>0.18181818181818182</v>
      </c>
      <c r="AB50" s="1">
        <v>2</v>
      </c>
      <c r="AC50" s="1">
        <v>1.1000000000000001</v>
      </c>
      <c r="AD50" s="1">
        <v>3</v>
      </c>
      <c r="AE50" s="1">
        <v>29</v>
      </c>
      <c r="AF50" s="1">
        <v>16</v>
      </c>
      <c r="AG50" s="1">
        <v>62</v>
      </c>
    </row>
    <row r="51" spans="1:33" x14ac:dyDescent="0.35">
      <c r="A51">
        <v>204</v>
      </c>
      <c r="B51" t="s">
        <v>475</v>
      </c>
      <c r="C51" t="s">
        <v>143</v>
      </c>
      <c r="D51" t="s">
        <v>28</v>
      </c>
      <c r="E51" t="s">
        <v>107</v>
      </c>
      <c r="F51" t="s">
        <v>476</v>
      </c>
      <c r="G51" s="1">
        <v>2000</v>
      </c>
      <c r="H51" s="1">
        <v>12</v>
      </c>
      <c r="I51" s="1">
        <v>11</v>
      </c>
      <c r="J51" s="2">
        <f>Table1[[#This Row],[STARTS]]/Table1[[#This Row],[MP]]</f>
        <v>0.91666666666666663</v>
      </c>
      <c r="K51" s="1">
        <v>936</v>
      </c>
      <c r="L51" s="1">
        <v>10.4</v>
      </c>
      <c r="M51" s="1">
        <v>2</v>
      </c>
      <c r="N51" s="2">
        <f>Table1[[#This Row],[G]]/Table1[[#This Row],[MP]]</f>
        <v>0.16666666666666666</v>
      </c>
      <c r="O51" s="2">
        <v>1</v>
      </c>
      <c r="P51" s="2">
        <f>Table1[[#This Row],[A]]/Table1[[#This Row],[MP]]</f>
        <v>8.3333333333333329E-2</v>
      </c>
      <c r="Q51" s="2">
        <v>3</v>
      </c>
      <c r="R51" s="2">
        <f>Table1[[#This Row],[PTS]]/Table1[[#This Row],[MP]]</f>
        <v>0.25</v>
      </c>
      <c r="S51" s="1">
        <v>2</v>
      </c>
      <c r="T51" s="1">
        <f>Table1[[#This Row],[G]]-Table1[[#This Row],[G_PK]]</f>
        <v>0</v>
      </c>
      <c r="U51" s="1">
        <v>0</v>
      </c>
      <c r="V51" s="1">
        <v>0</v>
      </c>
      <c r="W51" s="1">
        <v>0</v>
      </c>
      <c r="X51" s="1">
        <v>0</v>
      </c>
      <c r="Y51" s="1">
        <f>Table1[[#This Row],[CRDY]]+Table1[[#This Row],[CRDR]]</f>
        <v>0</v>
      </c>
      <c r="Z51" s="1">
        <v>1</v>
      </c>
      <c r="AA51" s="2">
        <f>Table1[[#This Row],[XG]]/Table1[[#This Row],[MP]]</f>
        <v>8.3333333333333329E-2</v>
      </c>
      <c r="AB51" s="1">
        <v>1</v>
      </c>
      <c r="AC51" s="1">
        <v>0.1</v>
      </c>
      <c r="AD51" s="1">
        <v>1.1000000000000001</v>
      </c>
      <c r="AE51" s="1">
        <v>5</v>
      </c>
      <c r="AF51" s="1">
        <v>29</v>
      </c>
      <c r="AG51" s="1">
        <v>3</v>
      </c>
    </row>
    <row r="52" spans="1:33" x14ac:dyDescent="0.35">
      <c r="A52">
        <v>115</v>
      </c>
      <c r="B52" t="s">
        <v>293</v>
      </c>
      <c r="C52" t="s">
        <v>27</v>
      </c>
      <c r="D52" t="s">
        <v>62</v>
      </c>
      <c r="E52" t="s">
        <v>29</v>
      </c>
      <c r="F52" t="s">
        <v>294</v>
      </c>
      <c r="G52" s="1">
        <v>1996</v>
      </c>
      <c r="H52" s="1">
        <v>13</v>
      </c>
      <c r="I52" s="1">
        <v>12</v>
      </c>
      <c r="J52" s="2">
        <f>Table1[[#This Row],[STARTS]]/Table1[[#This Row],[MP]]</f>
        <v>0.92307692307692313</v>
      </c>
      <c r="K52" s="1">
        <v>1055</v>
      </c>
      <c r="L52" s="1">
        <v>11.7</v>
      </c>
      <c r="M52" s="1">
        <v>2</v>
      </c>
      <c r="N52" s="2">
        <f>Table1[[#This Row],[G]]/Table1[[#This Row],[MP]]</f>
        <v>0.15384615384615385</v>
      </c>
      <c r="O52" s="2">
        <v>1</v>
      </c>
      <c r="P52" s="2">
        <f>Table1[[#This Row],[A]]/Table1[[#This Row],[MP]]</f>
        <v>7.6923076923076927E-2</v>
      </c>
      <c r="Q52" s="2">
        <v>3</v>
      </c>
      <c r="R52" s="2">
        <f>Table1[[#This Row],[PTS]]/Table1[[#This Row],[MP]]</f>
        <v>0.23076923076923078</v>
      </c>
      <c r="S52" s="1">
        <v>2</v>
      </c>
      <c r="T52" s="1">
        <f>Table1[[#This Row],[G]]-Table1[[#This Row],[G_PK]]</f>
        <v>0</v>
      </c>
      <c r="U52" s="1">
        <v>0</v>
      </c>
      <c r="V52" s="1">
        <v>0</v>
      </c>
      <c r="W52" s="1">
        <v>1</v>
      </c>
      <c r="X52" s="1">
        <v>0</v>
      </c>
      <c r="Y52" s="1">
        <f>Table1[[#This Row],[CRDY]]+Table1[[#This Row],[CRDR]]</f>
        <v>1</v>
      </c>
      <c r="Z52" s="1">
        <v>2.4</v>
      </c>
      <c r="AA52" s="2">
        <f>Table1[[#This Row],[XG]]/Table1[[#This Row],[MP]]</f>
        <v>0.1846153846153846</v>
      </c>
      <c r="AB52" s="1">
        <v>2.4</v>
      </c>
      <c r="AC52" s="1">
        <v>0.2</v>
      </c>
      <c r="AD52" s="1">
        <v>2.7</v>
      </c>
      <c r="AE52" s="1">
        <v>8</v>
      </c>
      <c r="AF52" s="1">
        <v>40</v>
      </c>
      <c r="AG52" s="1">
        <v>27</v>
      </c>
    </row>
    <row r="53" spans="1:33" x14ac:dyDescent="0.35">
      <c r="A53">
        <v>232</v>
      </c>
      <c r="B53" t="s">
        <v>533</v>
      </c>
      <c r="C53" t="s">
        <v>41</v>
      </c>
      <c r="D53" t="s">
        <v>62</v>
      </c>
      <c r="E53" t="s">
        <v>101</v>
      </c>
      <c r="F53" t="s">
        <v>534</v>
      </c>
      <c r="G53" s="1">
        <v>1995</v>
      </c>
      <c r="H53" s="1">
        <v>7</v>
      </c>
      <c r="I53" s="1">
        <v>6</v>
      </c>
      <c r="J53" s="2">
        <f>Table1[[#This Row],[STARTS]]/Table1[[#This Row],[MP]]</f>
        <v>0.8571428571428571</v>
      </c>
      <c r="K53" s="1">
        <v>461</v>
      </c>
      <c r="L53" s="1">
        <v>5.0999999999999996</v>
      </c>
      <c r="M53" s="1">
        <v>1</v>
      </c>
      <c r="N53" s="2">
        <f>Table1[[#This Row],[G]]/Table1[[#This Row],[MP]]</f>
        <v>0.14285714285714285</v>
      </c>
      <c r="O53" s="2">
        <v>2</v>
      </c>
      <c r="P53" s="2">
        <f>Table1[[#This Row],[A]]/Table1[[#This Row],[MP]]</f>
        <v>0.2857142857142857</v>
      </c>
      <c r="Q53" s="2">
        <v>3</v>
      </c>
      <c r="R53" s="2">
        <f>Table1[[#This Row],[PTS]]/Table1[[#This Row],[MP]]</f>
        <v>0.42857142857142855</v>
      </c>
      <c r="S53" s="1">
        <v>1</v>
      </c>
      <c r="T53" s="1">
        <f>Table1[[#This Row],[G]]-Table1[[#This Row],[G_PK]]</f>
        <v>0</v>
      </c>
      <c r="U53" s="1">
        <v>0</v>
      </c>
      <c r="V53" s="1">
        <v>0</v>
      </c>
      <c r="W53" s="1">
        <v>2</v>
      </c>
      <c r="X53" s="1">
        <v>0</v>
      </c>
      <c r="Y53" s="1">
        <f>Table1[[#This Row],[CRDY]]+Table1[[#This Row],[CRDR]]</f>
        <v>2</v>
      </c>
      <c r="Z53" s="1">
        <v>0.6</v>
      </c>
      <c r="AA53" s="2">
        <f>Table1[[#This Row],[XG]]/Table1[[#This Row],[MP]]</f>
        <v>8.5714285714285715E-2</v>
      </c>
      <c r="AB53" s="1">
        <v>0.6</v>
      </c>
      <c r="AC53" s="1">
        <v>1.4</v>
      </c>
      <c r="AD53" s="1">
        <v>2</v>
      </c>
      <c r="AE53" s="1">
        <v>13</v>
      </c>
      <c r="AF53" s="1">
        <v>13</v>
      </c>
      <c r="AG53" s="1">
        <v>40</v>
      </c>
    </row>
    <row r="54" spans="1:33" x14ac:dyDescent="0.35">
      <c r="A54">
        <v>153</v>
      </c>
      <c r="B54" t="s">
        <v>370</v>
      </c>
      <c r="C54" t="s">
        <v>27</v>
      </c>
      <c r="D54" t="s">
        <v>50</v>
      </c>
      <c r="E54" t="s">
        <v>107</v>
      </c>
      <c r="F54" t="s">
        <v>371</v>
      </c>
      <c r="G54" s="1">
        <v>1990</v>
      </c>
      <c r="H54" s="1">
        <v>9</v>
      </c>
      <c r="I54" s="1">
        <v>7</v>
      </c>
      <c r="J54" s="2">
        <f>Table1[[#This Row],[STARTS]]/Table1[[#This Row],[MP]]</f>
        <v>0.77777777777777779</v>
      </c>
      <c r="K54" s="1">
        <v>599</v>
      </c>
      <c r="L54" s="1">
        <v>6.7</v>
      </c>
      <c r="M54" s="1">
        <v>1</v>
      </c>
      <c r="N54" s="2">
        <f>Table1[[#This Row],[G]]/Table1[[#This Row],[MP]]</f>
        <v>0.1111111111111111</v>
      </c>
      <c r="O54" s="2">
        <v>2</v>
      </c>
      <c r="P54" s="2">
        <f>Table1[[#This Row],[A]]/Table1[[#This Row],[MP]]</f>
        <v>0.22222222222222221</v>
      </c>
      <c r="Q54" s="2">
        <v>3</v>
      </c>
      <c r="R54" s="2">
        <f>Table1[[#This Row],[PTS]]/Table1[[#This Row],[MP]]</f>
        <v>0.33333333333333331</v>
      </c>
      <c r="S54" s="1">
        <v>1</v>
      </c>
      <c r="T54" s="1">
        <f>Table1[[#This Row],[G]]-Table1[[#This Row],[G_PK]]</f>
        <v>0</v>
      </c>
      <c r="U54" s="1">
        <v>0</v>
      </c>
      <c r="V54" s="1">
        <v>0</v>
      </c>
      <c r="W54" s="1">
        <v>0</v>
      </c>
      <c r="X54" s="1">
        <v>0</v>
      </c>
      <c r="Y54" s="1">
        <f>Table1[[#This Row],[CRDY]]+Table1[[#This Row],[CRDR]]</f>
        <v>0</v>
      </c>
      <c r="Z54" s="1">
        <v>0.6</v>
      </c>
      <c r="AA54" s="2">
        <f>Table1[[#This Row],[XG]]/Table1[[#This Row],[MP]]</f>
        <v>6.6666666666666666E-2</v>
      </c>
      <c r="AB54" s="1">
        <v>0.6</v>
      </c>
      <c r="AC54" s="1">
        <v>0.5</v>
      </c>
      <c r="AD54" s="1">
        <v>1.1000000000000001</v>
      </c>
      <c r="AE54" s="1">
        <v>10</v>
      </c>
      <c r="AF54" s="1">
        <v>28</v>
      </c>
      <c r="AG54" s="1">
        <v>22</v>
      </c>
    </row>
    <row r="55" spans="1:33" x14ac:dyDescent="0.35">
      <c r="A55">
        <v>144</v>
      </c>
      <c r="B55" t="s">
        <v>353</v>
      </c>
      <c r="C55" t="s">
        <v>27</v>
      </c>
      <c r="D55" t="s">
        <v>37</v>
      </c>
      <c r="E55" t="s">
        <v>57</v>
      </c>
      <c r="F55" t="s">
        <v>354</v>
      </c>
      <c r="G55" s="1">
        <v>2002</v>
      </c>
      <c r="H55" s="1">
        <v>10</v>
      </c>
      <c r="I55" s="1">
        <v>9</v>
      </c>
      <c r="J55" s="2">
        <f>Table1[[#This Row],[STARTS]]/Table1[[#This Row],[MP]]</f>
        <v>0.9</v>
      </c>
      <c r="K55" s="1">
        <v>717</v>
      </c>
      <c r="L55" s="1">
        <v>8</v>
      </c>
      <c r="M55" s="1">
        <v>1</v>
      </c>
      <c r="N55" s="2">
        <f>Table1[[#This Row],[G]]/Table1[[#This Row],[MP]]</f>
        <v>0.1</v>
      </c>
      <c r="O55" s="2">
        <v>2</v>
      </c>
      <c r="P55" s="2">
        <f>Table1[[#This Row],[A]]/Table1[[#This Row],[MP]]</f>
        <v>0.2</v>
      </c>
      <c r="Q55" s="2">
        <v>3</v>
      </c>
      <c r="R55" s="2">
        <f>Table1[[#This Row],[PTS]]/Table1[[#This Row],[MP]]</f>
        <v>0.3</v>
      </c>
      <c r="S55" s="1">
        <v>1</v>
      </c>
      <c r="T55" s="1">
        <f>Table1[[#This Row],[G]]-Table1[[#This Row],[G_PK]]</f>
        <v>0</v>
      </c>
      <c r="U55" s="1">
        <v>0</v>
      </c>
      <c r="V55" s="1">
        <v>0</v>
      </c>
      <c r="W55" s="1">
        <v>0</v>
      </c>
      <c r="X55" s="1">
        <v>0</v>
      </c>
      <c r="Y55" s="1">
        <f>Table1[[#This Row],[CRDY]]+Table1[[#This Row],[CRDR]]</f>
        <v>0</v>
      </c>
      <c r="Z55" s="1">
        <v>1.8</v>
      </c>
      <c r="AA55" s="2">
        <f>Table1[[#This Row],[XG]]/Table1[[#This Row],[MP]]</f>
        <v>0.18</v>
      </c>
      <c r="AB55" s="1">
        <v>1.8</v>
      </c>
      <c r="AC55" s="1">
        <v>1.7</v>
      </c>
      <c r="AD55" s="1">
        <v>3.5</v>
      </c>
      <c r="AE55" s="1">
        <v>22</v>
      </c>
      <c r="AF55" s="1">
        <v>10</v>
      </c>
      <c r="AG55" s="1">
        <v>42</v>
      </c>
    </row>
    <row r="56" spans="1:33" x14ac:dyDescent="0.35">
      <c r="A56">
        <v>9</v>
      </c>
      <c r="B56" t="s">
        <v>59</v>
      </c>
      <c r="C56" t="s">
        <v>27</v>
      </c>
      <c r="D56" t="s">
        <v>28</v>
      </c>
      <c r="E56" t="s">
        <v>46</v>
      </c>
      <c r="F56" t="s">
        <v>60</v>
      </c>
      <c r="G56" s="1">
        <v>1998</v>
      </c>
      <c r="H56" s="1">
        <v>11</v>
      </c>
      <c r="I56" s="1">
        <v>8</v>
      </c>
      <c r="J56" s="2">
        <f>Table1[[#This Row],[STARTS]]/Table1[[#This Row],[MP]]</f>
        <v>0.72727272727272729</v>
      </c>
      <c r="K56" s="1">
        <v>727</v>
      </c>
      <c r="L56" s="1">
        <v>8.1</v>
      </c>
      <c r="M56" s="1">
        <v>1</v>
      </c>
      <c r="N56" s="2">
        <f>Table1[[#This Row],[G]]/Table1[[#This Row],[MP]]</f>
        <v>9.0909090909090912E-2</v>
      </c>
      <c r="O56" s="2">
        <v>2</v>
      </c>
      <c r="P56" s="2">
        <f>Table1[[#This Row],[A]]/Table1[[#This Row],[MP]]</f>
        <v>0.18181818181818182</v>
      </c>
      <c r="Q56" s="2">
        <v>3</v>
      </c>
      <c r="R56" s="2">
        <f>Table1[[#This Row],[PTS]]/Table1[[#This Row],[MP]]</f>
        <v>0.27272727272727271</v>
      </c>
      <c r="S56" s="1">
        <v>1</v>
      </c>
      <c r="T56" s="1">
        <f>Table1[[#This Row],[G]]-Table1[[#This Row],[G_PK]]</f>
        <v>0</v>
      </c>
      <c r="U56" s="1">
        <v>0</v>
      </c>
      <c r="V56" s="1">
        <v>0</v>
      </c>
      <c r="W56" s="1">
        <v>1</v>
      </c>
      <c r="X56" s="1">
        <v>0</v>
      </c>
      <c r="Y56" s="1">
        <f>Table1[[#This Row],[CRDY]]+Table1[[#This Row],[CRDR]]</f>
        <v>1</v>
      </c>
      <c r="Z56" s="1">
        <v>0.5</v>
      </c>
      <c r="AA56" s="2">
        <f>Table1[[#This Row],[XG]]/Table1[[#This Row],[MP]]</f>
        <v>4.5454545454545456E-2</v>
      </c>
      <c r="AB56" s="1">
        <v>0.5</v>
      </c>
      <c r="AC56" s="1">
        <v>0.1</v>
      </c>
      <c r="AD56" s="1">
        <v>0.6</v>
      </c>
      <c r="AE56" s="1">
        <v>2</v>
      </c>
      <c r="AF56" s="1">
        <v>32</v>
      </c>
      <c r="AG56" s="1">
        <v>0</v>
      </c>
    </row>
    <row r="57" spans="1:33" x14ac:dyDescent="0.35">
      <c r="A57">
        <v>11</v>
      </c>
      <c r="B57" t="s">
        <v>64</v>
      </c>
      <c r="C57" t="s">
        <v>27</v>
      </c>
      <c r="D57" t="s">
        <v>28</v>
      </c>
      <c r="E57" t="s">
        <v>65</v>
      </c>
      <c r="F57" t="s">
        <v>66</v>
      </c>
      <c r="G57" s="1">
        <v>2007</v>
      </c>
      <c r="H57" s="1">
        <v>12</v>
      </c>
      <c r="I57" s="1">
        <v>10</v>
      </c>
      <c r="J57" s="2">
        <f>Table1[[#This Row],[STARTS]]/Table1[[#This Row],[MP]]</f>
        <v>0.83333333333333337</v>
      </c>
      <c r="K57" s="1">
        <v>887</v>
      </c>
      <c r="L57" s="1">
        <v>9.9</v>
      </c>
      <c r="M57" s="1">
        <v>1</v>
      </c>
      <c r="N57" s="2">
        <f>Table1[[#This Row],[G]]/Table1[[#This Row],[MP]]</f>
        <v>8.3333333333333329E-2</v>
      </c>
      <c r="O57" s="2">
        <v>2</v>
      </c>
      <c r="P57" s="2">
        <f>Table1[[#This Row],[A]]/Table1[[#This Row],[MP]]</f>
        <v>0.16666666666666666</v>
      </c>
      <c r="Q57" s="2">
        <v>3</v>
      </c>
      <c r="R57" s="2">
        <f>Table1[[#This Row],[PTS]]/Table1[[#This Row],[MP]]</f>
        <v>0.25</v>
      </c>
      <c r="S57" s="1">
        <v>1</v>
      </c>
      <c r="T57" s="1">
        <f>Table1[[#This Row],[G]]-Table1[[#This Row],[G_PK]]</f>
        <v>0</v>
      </c>
      <c r="U57" s="1">
        <v>0</v>
      </c>
      <c r="V57" s="1">
        <v>0</v>
      </c>
      <c r="W57" s="1">
        <v>0</v>
      </c>
      <c r="X57" s="1">
        <v>0</v>
      </c>
      <c r="Y57" s="1">
        <f>Table1[[#This Row],[CRDY]]+Table1[[#This Row],[CRDR]]</f>
        <v>0</v>
      </c>
      <c r="Z57" s="1">
        <v>0.2</v>
      </c>
      <c r="AA57" s="2">
        <f>Table1[[#This Row],[XG]]/Table1[[#This Row],[MP]]</f>
        <v>1.6666666666666666E-2</v>
      </c>
      <c r="AB57" s="1">
        <v>0.2</v>
      </c>
      <c r="AC57" s="1">
        <v>0.7</v>
      </c>
      <c r="AD57" s="1">
        <v>0.9</v>
      </c>
      <c r="AE57" s="1">
        <v>7</v>
      </c>
      <c r="AF57" s="1">
        <v>32</v>
      </c>
      <c r="AG57" s="1">
        <v>3</v>
      </c>
    </row>
    <row r="58" spans="1:33" x14ac:dyDescent="0.35">
      <c r="A58">
        <v>92</v>
      </c>
      <c r="B58" t="s">
        <v>241</v>
      </c>
      <c r="C58" t="s">
        <v>36</v>
      </c>
      <c r="D58" t="s">
        <v>62</v>
      </c>
      <c r="E58" t="s">
        <v>38</v>
      </c>
      <c r="F58" t="s">
        <v>242</v>
      </c>
      <c r="G58" s="1">
        <v>1998</v>
      </c>
      <c r="H58" s="1">
        <v>12</v>
      </c>
      <c r="I58" s="1">
        <v>7</v>
      </c>
      <c r="J58" s="2">
        <f>Table1[[#This Row],[STARTS]]/Table1[[#This Row],[MP]]</f>
        <v>0.58333333333333337</v>
      </c>
      <c r="K58" s="1">
        <v>666</v>
      </c>
      <c r="L58" s="1">
        <v>7.4</v>
      </c>
      <c r="M58" s="1">
        <v>1</v>
      </c>
      <c r="N58" s="2">
        <f>Table1[[#This Row],[G]]/Table1[[#This Row],[MP]]</f>
        <v>8.3333333333333329E-2</v>
      </c>
      <c r="O58" s="2">
        <v>2</v>
      </c>
      <c r="P58" s="2">
        <f>Table1[[#This Row],[A]]/Table1[[#This Row],[MP]]</f>
        <v>0.16666666666666666</v>
      </c>
      <c r="Q58" s="2">
        <v>3</v>
      </c>
      <c r="R58" s="2">
        <f>Table1[[#This Row],[PTS]]/Table1[[#This Row],[MP]]</f>
        <v>0.25</v>
      </c>
      <c r="S58" s="1">
        <v>0</v>
      </c>
      <c r="T58" s="1">
        <f>Table1[[#This Row],[G]]-Table1[[#This Row],[G_PK]]</f>
        <v>1</v>
      </c>
      <c r="U58" s="1">
        <v>1</v>
      </c>
      <c r="V58" s="1">
        <v>1</v>
      </c>
      <c r="W58" s="1">
        <v>0</v>
      </c>
      <c r="X58" s="1">
        <v>0</v>
      </c>
      <c r="Y58" s="1">
        <f>Table1[[#This Row],[CRDY]]+Table1[[#This Row],[CRDR]]</f>
        <v>0</v>
      </c>
      <c r="Z58" s="1">
        <v>1.3</v>
      </c>
      <c r="AA58" s="2">
        <f>Table1[[#This Row],[XG]]/Table1[[#This Row],[MP]]</f>
        <v>0.10833333333333334</v>
      </c>
      <c r="AB58" s="1">
        <v>0.6</v>
      </c>
      <c r="AC58" s="1">
        <v>1.5</v>
      </c>
      <c r="AD58" s="1">
        <v>2.1</v>
      </c>
      <c r="AE58" s="1">
        <v>6</v>
      </c>
      <c r="AF58" s="1">
        <v>28</v>
      </c>
      <c r="AG58" s="1">
        <v>29</v>
      </c>
    </row>
    <row r="59" spans="1:33" x14ac:dyDescent="0.35">
      <c r="A59">
        <v>155</v>
      </c>
      <c r="B59" t="s">
        <v>375</v>
      </c>
      <c r="C59" t="s">
        <v>84</v>
      </c>
      <c r="D59" t="s">
        <v>32</v>
      </c>
      <c r="E59" t="s">
        <v>46</v>
      </c>
      <c r="F59" t="s">
        <v>376</v>
      </c>
      <c r="G59" s="1">
        <v>2000</v>
      </c>
      <c r="H59" s="1">
        <v>13</v>
      </c>
      <c r="I59" s="1">
        <v>11</v>
      </c>
      <c r="J59" s="2">
        <f>Table1[[#This Row],[STARTS]]/Table1[[#This Row],[MP]]</f>
        <v>0.84615384615384615</v>
      </c>
      <c r="K59" s="1">
        <v>994</v>
      </c>
      <c r="L59" s="1">
        <v>11</v>
      </c>
      <c r="M59" s="1">
        <v>1</v>
      </c>
      <c r="N59" s="2">
        <f>Table1[[#This Row],[G]]/Table1[[#This Row],[MP]]</f>
        <v>7.6923076923076927E-2</v>
      </c>
      <c r="O59" s="2">
        <v>2</v>
      </c>
      <c r="P59" s="2">
        <f>Table1[[#This Row],[A]]/Table1[[#This Row],[MP]]</f>
        <v>0.15384615384615385</v>
      </c>
      <c r="Q59" s="2">
        <v>3</v>
      </c>
      <c r="R59" s="2">
        <f>Table1[[#This Row],[PTS]]/Table1[[#This Row],[MP]]</f>
        <v>0.23076923076923078</v>
      </c>
      <c r="S59" s="1">
        <v>1</v>
      </c>
      <c r="T59" s="1">
        <f>Table1[[#This Row],[G]]-Table1[[#This Row],[G_PK]]</f>
        <v>0</v>
      </c>
      <c r="U59" s="1">
        <v>0</v>
      </c>
      <c r="V59" s="1">
        <v>0</v>
      </c>
      <c r="W59" s="1">
        <v>4</v>
      </c>
      <c r="X59" s="1">
        <v>0</v>
      </c>
      <c r="Y59" s="1">
        <f>Table1[[#This Row],[CRDY]]+Table1[[#This Row],[CRDR]]</f>
        <v>4</v>
      </c>
      <c r="Z59" s="1">
        <v>2.5</v>
      </c>
      <c r="AA59" s="2">
        <f>Table1[[#This Row],[XG]]/Table1[[#This Row],[MP]]</f>
        <v>0.19230769230769232</v>
      </c>
      <c r="AB59" s="1">
        <v>2.5</v>
      </c>
      <c r="AC59" s="1">
        <v>2.6</v>
      </c>
      <c r="AD59" s="1">
        <v>5.0999999999999996</v>
      </c>
      <c r="AE59" s="1">
        <v>40</v>
      </c>
      <c r="AF59" s="1">
        <v>17</v>
      </c>
      <c r="AG59" s="1">
        <v>91</v>
      </c>
    </row>
    <row r="60" spans="1:33" x14ac:dyDescent="0.35">
      <c r="A60">
        <v>170</v>
      </c>
      <c r="B60" t="s">
        <v>405</v>
      </c>
      <c r="C60" t="s">
        <v>223</v>
      </c>
      <c r="D60" t="s">
        <v>28</v>
      </c>
      <c r="E60" t="s">
        <v>65</v>
      </c>
      <c r="F60" t="s">
        <v>406</v>
      </c>
      <c r="G60" s="1">
        <v>2002</v>
      </c>
      <c r="H60" s="1">
        <v>13</v>
      </c>
      <c r="I60" s="1">
        <v>12</v>
      </c>
      <c r="J60" s="2">
        <f>Table1[[#This Row],[STARTS]]/Table1[[#This Row],[MP]]</f>
        <v>0.92307692307692313</v>
      </c>
      <c r="K60" s="1">
        <v>1064</v>
      </c>
      <c r="L60" s="1">
        <v>11.8</v>
      </c>
      <c r="M60" s="1">
        <v>1</v>
      </c>
      <c r="N60" s="2">
        <f>Table1[[#This Row],[G]]/Table1[[#This Row],[MP]]</f>
        <v>7.6923076923076927E-2</v>
      </c>
      <c r="O60" s="2">
        <v>2</v>
      </c>
      <c r="P60" s="2">
        <f>Table1[[#This Row],[A]]/Table1[[#This Row],[MP]]</f>
        <v>0.15384615384615385</v>
      </c>
      <c r="Q60" s="2">
        <v>3</v>
      </c>
      <c r="R60" s="2">
        <f>Table1[[#This Row],[PTS]]/Table1[[#This Row],[MP]]</f>
        <v>0.23076923076923078</v>
      </c>
      <c r="S60" s="1">
        <v>1</v>
      </c>
      <c r="T60" s="1">
        <f>Table1[[#This Row],[G]]-Table1[[#This Row],[G_PK]]</f>
        <v>0</v>
      </c>
      <c r="U60" s="1">
        <v>0</v>
      </c>
      <c r="V60" s="1">
        <v>0</v>
      </c>
      <c r="W60" s="1">
        <v>0</v>
      </c>
      <c r="X60" s="1">
        <v>0</v>
      </c>
      <c r="Y60" s="1">
        <f>Table1[[#This Row],[CRDY]]+Table1[[#This Row],[CRDR]]</f>
        <v>0</v>
      </c>
      <c r="Z60" s="1">
        <v>0.1</v>
      </c>
      <c r="AA60" s="2">
        <f>Table1[[#This Row],[XG]]/Table1[[#This Row],[MP]]</f>
        <v>7.6923076923076927E-3</v>
      </c>
      <c r="AB60" s="1">
        <v>0.1</v>
      </c>
      <c r="AC60" s="1">
        <v>0.6</v>
      </c>
      <c r="AD60" s="1">
        <v>0.7</v>
      </c>
      <c r="AE60" s="1">
        <v>26</v>
      </c>
      <c r="AF60" s="1">
        <v>46</v>
      </c>
      <c r="AG60" s="1">
        <v>27</v>
      </c>
    </row>
    <row r="61" spans="1:33" x14ac:dyDescent="0.35">
      <c r="A61">
        <v>276</v>
      </c>
      <c r="B61" t="s">
        <v>621</v>
      </c>
      <c r="C61" t="s">
        <v>27</v>
      </c>
      <c r="D61" t="s">
        <v>28</v>
      </c>
      <c r="E61" t="s">
        <v>57</v>
      </c>
      <c r="F61" t="s">
        <v>622</v>
      </c>
      <c r="G61" s="1">
        <v>1997</v>
      </c>
      <c r="H61" s="1">
        <v>13</v>
      </c>
      <c r="I61" s="1">
        <v>12</v>
      </c>
      <c r="J61" s="2">
        <f>Table1[[#This Row],[STARTS]]/Table1[[#This Row],[MP]]</f>
        <v>0.92307692307692313</v>
      </c>
      <c r="K61" s="1">
        <v>993</v>
      </c>
      <c r="L61" s="1">
        <v>11</v>
      </c>
      <c r="M61" s="1">
        <v>1</v>
      </c>
      <c r="N61" s="2">
        <f>Table1[[#This Row],[G]]/Table1[[#This Row],[MP]]</f>
        <v>7.6923076923076927E-2</v>
      </c>
      <c r="O61" s="2">
        <v>2</v>
      </c>
      <c r="P61" s="2">
        <f>Table1[[#This Row],[A]]/Table1[[#This Row],[MP]]</f>
        <v>0.15384615384615385</v>
      </c>
      <c r="Q61" s="2">
        <v>3</v>
      </c>
      <c r="R61" s="2">
        <f>Table1[[#This Row],[PTS]]/Table1[[#This Row],[MP]]</f>
        <v>0.23076923076923078</v>
      </c>
      <c r="S61" s="1">
        <v>1</v>
      </c>
      <c r="T61" s="1">
        <f>Table1[[#This Row],[G]]-Table1[[#This Row],[G_PK]]</f>
        <v>0</v>
      </c>
      <c r="U61" s="1">
        <v>0</v>
      </c>
      <c r="V61" s="1">
        <v>0</v>
      </c>
      <c r="W61" s="1">
        <v>0</v>
      </c>
      <c r="X61" s="1">
        <v>0</v>
      </c>
      <c r="Y61" s="1">
        <f>Table1[[#This Row],[CRDY]]+Table1[[#This Row],[CRDR]]</f>
        <v>0</v>
      </c>
      <c r="Z61" s="1">
        <v>1.2</v>
      </c>
      <c r="AA61" s="2">
        <f>Table1[[#This Row],[XG]]/Table1[[#This Row],[MP]]</f>
        <v>9.2307692307692299E-2</v>
      </c>
      <c r="AB61" s="1">
        <v>1.2</v>
      </c>
      <c r="AC61" s="1">
        <v>1.4</v>
      </c>
      <c r="AD61" s="1">
        <v>2.6</v>
      </c>
      <c r="AE61" s="1">
        <v>5</v>
      </c>
      <c r="AF61" s="1">
        <v>35</v>
      </c>
      <c r="AG61" s="1">
        <v>4</v>
      </c>
    </row>
    <row r="62" spans="1:33" x14ac:dyDescent="0.35">
      <c r="A62">
        <v>307</v>
      </c>
      <c r="B62" t="s">
        <v>680</v>
      </c>
      <c r="C62" t="s">
        <v>27</v>
      </c>
      <c r="D62" t="s">
        <v>28</v>
      </c>
      <c r="E62" t="s">
        <v>71</v>
      </c>
      <c r="F62" t="s">
        <v>681</v>
      </c>
      <c r="G62" s="1">
        <v>1992</v>
      </c>
      <c r="H62" s="1">
        <v>13</v>
      </c>
      <c r="I62" s="1">
        <v>13</v>
      </c>
      <c r="J62" s="2">
        <f>Table1[[#This Row],[STARTS]]/Table1[[#This Row],[MP]]</f>
        <v>1</v>
      </c>
      <c r="K62" s="1">
        <v>1170</v>
      </c>
      <c r="L62" s="1">
        <v>13</v>
      </c>
      <c r="M62" s="1">
        <v>1</v>
      </c>
      <c r="N62" s="2">
        <f>Table1[[#This Row],[G]]/Table1[[#This Row],[MP]]</f>
        <v>7.6923076923076927E-2</v>
      </c>
      <c r="O62" s="2">
        <v>2</v>
      </c>
      <c r="P62" s="2">
        <f>Table1[[#This Row],[A]]/Table1[[#This Row],[MP]]</f>
        <v>0.15384615384615385</v>
      </c>
      <c r="Q62" s="2">
        <v>3</v>
      </c>
      <c r="R62" s="2">
        <f>Table1[[#This Row],[PTS]]/Table1[[#This Row],[MP]]</f>
        <v>0.23076923076923078</v>
      </c>
      <c r="S62" s="1">
        <v>1</v>
      </c>
      <c r="T62" s="1">
        <f>Table1[[#This Row],[G]]-Table1[[#This Row],[G_PK]]</f>
        <v>0</v>
      </c>
      <c r="U62" s="1">
        <v>0</v>
      </c>
      <c r="V62" s="1">
        <v>0</v>
      </c>
      <c r="W62" s="1">
        <v>0</v>
      </c>
      <c r="X62" s="1">
        <v>0</v>
      </c>
      <c r="Y62" s="1">
        <f>Table1[[#This Row],[CRDY]]+Table1[[#This Row],[CRDR]]</f>
        <v>0</v>
      </c>
      <c r="Z62" s="1">
        <v>1</v>
      </c>
      <c r="AA62" s="2">
        <f>Table1[[#This Row],[XG]]/Table1[[#This Row],[MP]]</f>
        <v>7.6923076923076927E-2</v>
      </c>
      <c r="AB62" s="1">
        <v>1</v>
      </c>
      <c r="AC62" s="1">
        <v>1</v>
      </c>
      <c r="AD62" s="1">
        <v>2</v>
      </c>
      <c r="AE62" s="1">
        <v>6</v>
      </c>
      <c r="AF62" s="1">
        <v>37</v>
      </c>
      <c r="AG62" s="1">
        <v>0</v>
      </c>
    </row>
    <row r="63" spans="1:33" x14ac:dyDescent="0.35">
      <c r="A63">
        <v>101</v>
      </c>
      <c r="B63" t="s">
        <v>262</v>
      </c>
      <c r="C63" t="s">
        <v>27</v>
      </c>
      <c r="D63" t="s">
        <v>251</v>
      </c>
      <c r="E63" t="s">
        <v>51</v>
      </c>
      <c r="F63" t="s">
        <v>263</v>
      </c>
      <c r="G63" s="1">
        <v>1998</v>
      </c>
      <c r="H63" s="1">
        <v>13</v>
      </c>
      <c r="I63" s="1">
        <v>11</v>
      </c>
      <c r="J63" s="2">
        <f>Table1[[#This Row],[STARTS]]/Table1[[#This Row],[MP]]</f>
        <v>0.84615384615384615</v>
      </c>
      <c r="K63" s="1">
        <v>910</v>
      </c>
      <c r="L63" s="1">
        <v>10.1</v>
      </c>
      <c r="M63" s="1">
        <v>0</v>
      </c>
      <c r="N63" s="2">
        <f>Table1[[#This Row],[G]]/Table1[[#This Row],[MP]]</f>
        <v>0</v>
      </c>
      <c r="O63" s="2">
        <v>3</v>
      </c>
      <c r="P63" s="2">
        <f>Table1[[#This Row],[A]]/Table1[[#This Row],[MP]]</f>
        <v>0.23076923076923078</v>
      </c>
      <c r="Q63" s="2">
        <v>3</v>
      </c>
      <c r="R63" s="2">
        <f>Table1[[#This Row],[PTS]]/Table1[[#This Row],[MP]]</f>
        <v>0.23076923076923078</v>
      </c>
      <c r="S63" s="1">
        <v>0</v>
      </c>
      <c r="T63" s="1">
        <f>Table1[[#This Row],[G]]-Table1[[#This Row],[G_PK]]</f>
        <v>0</v>
      </c>
      <c r="U63" s="1">
        <v>0</v>
      </c>
      <c r="V63" s="1">
        <v>0</v>
      </c>
      <c r="W63" s="1">
        <v>1</v>
      </c>
      <c r="X63" s="1">
        <v>0</v>
      </c>
      <c r="Y63" s="1">
        <f>Table1[[#This Row],[CRDY]]+Table1[[#This Row],[CRDR]]</f>
        <v>1</v>
      </c>
      <c r="Z63" s="1">
        <v>0.2</v>
      </c>
      <c r="AA63" s="2">
        <f>Table1[[#This Row],[XG]]/Table1[[#This Row],[MP]]</f>
        <v>1.5384615384615385E-2</v>
      </c>
      <c r="AB63" s="1">
        <v>0.2</v>
      </c>
      <c r="AC63" s="1">
        <v>1.6</v>
      </c>
      <c r="AD63" s="1">
        <v>1.8</v>
      </c>
      <c r="AE63" s="1">
        <v>18</v>
      </c>
      <c r="AF63" s="1">
        <v>20</v>
      </c>
      <c r="AG63" s="1">
        <v>62</v>
      </c>
    </row>
    <row r="64" spans="1:33" x14ac:dyDescent="0.35">
      <c r="A64">
        <v>249</v>
      </c>
      <c r="B64" t="s">
        <v>567</v>
      </c>
      <c r="C64" t="s">
        <v>27</v>
      </c>
      <c r="D64" t="s">
        <v>28</v>
      </c>
      <c r="E64" t="s">
        <v>81</v>
      </c>
      <c r="F64" t="s">
        <v>568</v>
      </c>
      <c r="G64" s="1">
        <v>1999</v>
      </c>
      <c r="H64" s="1">
        <v>13</v>
      </c>
      <c r="I64" s="1">
        <v>10</v>
      </c>
      <c r="J64" s="2">
        <f>Table1[[#This Row],[STARTS]]/Table1[[#This Row],[MP]]</f>
        <v>0.76923076923076927</v>
      </c>
      <c r="K64" s="1">
        <v>951</v>
      </c>
      <c r="L64" s="1">
        <v>10.6</v>
      </c>
      <c r="M64" s="1">
        <v>0</v>
      </c>
      <c r="N64" s="2">
        <f>Table1[[#This Row],[G]]/Table1[[#This Row],[MP]]</f>
        <v>0</v>
      </c>
      <c r="O64" s="2">
        <v>3</v>
      </c>
      <c r="P64" s="2">
        <f>Table1[[#This Row],[A]]/Table1[[#This Row],[MP]]</f>
        <v>0.23076923076923078</v>
      </c>
      <c r="Q64" s="2">
        <v>3</v>
      </c>
      <c r="R64" s="2">
        <f>Table1[[#This Row],[PTS]]/Table1[[#This Row],[MP]]</f>
        <v>0.23076923076923078</v>
      </c>
      <c r="S64" s="1">
        <v>0</v>
      </c>
      <c r="T64" s="1">
        <f>Table1[[#This Row],[G]]-Table1[[#This Row],[G_PK]]</f>
        <v>0</v>
      </c>
      <c r="U64" s="1">
        <v>0</v>
      </c>
      <c r="V64" s="1">
        <v>0</v>
      </c>
      <c r="W64" s="1">
        <v>0</v>
      </c>
      <c r="X64" s="1">
        <v>0</v>
      </c>
      <c r="Y64" s="1">
        <f>Table1[[#This Row],[CRDY]]+Table1[[#This Row],[CRDR]]</f>
        <v>0</v>
      </c>
      <c r="Z64" s="1">
        <v>0.4</v>
      </c>
      <c r="AA64" s="2">
        <f>Table1[[#This Row],[XG]]/Table1[[#This Row],[MP]]</f>
        <v>3.0769230769230771E-2</v>
      </c>
      <c r="AB64" s="1">
        <v>0.4</v>
      </c>
      <c r="AC64" s="1">
        <v>2</v>
      </c>
      <c r="AD64" s="1">
        <v>2.4</v>
      </c>
      <c r="AE64" s="1">
        <v>22</v>
      </c>
      <c r="AF64" s="1">
        <v>44</v>
      </c>
      <c r="AG64" s="1">
        <v>28</v>
      </c>
    </row>
    <row r="65" spans="1:33" x14ac:dyDescent="0.35">
      <c r="A65">
        <v>159</v>
      </c>
      <c r="B65" t="s">
        <v>383</v>
      </c>
      <c r="C65" t="s">
        <v>27</v>
      </c>
      <c r="D65" t="s">
        <v>32</v>
      </c>
      <c r="E65" t="s">
        <v>46</v>
      </c>
      <c r="F65" t="s">
        <v>384</v>
      </c>
      <c r="G65" s="1">
        <v>2003</v>
      </c>
      <c r="H65" s="1">
        <v>11</v>
      </c>
      <c r="I65" s="1">
        <v>7</v>
      </c>
      <c r="J65" s="2">
        <f>Table1[[#This Row],[STARTS]]/Table1[[#This Row],[MP]]</f>
        <v>0.63636363636363635</v>
      </c>
      <c r="K65" s="1">
        <v>593</v>
      </c>
      <c r="L65" s="1">
        <v>6.6</v>
      </c>
      <c r="M65" s="1">
        <v>2</v>
      </c>
      <c r="N65" s="2">
        <f>Table1[[#This Row],[G]]/Table1[[#This Row],[MP]]</f>
        <v>0.18181818181818182</v>
      </c>
      <c r="O65" s="2">
        <v>0</v>
      </c>
      <c r="P65" s="2">
        <f>Table1[[#This Row],[A]]/Table1[[#This Row],[MP]]</f>
        <v>0</v>
      </c>
      <c r="Q65" s="2">
        <v>2</v>
      </c>
      <c r="R65" s="2">
        <f>Table1[[#This Row],[PTS]]/Table1[[#This Row],[MP]]</f>
        <v>0.18181818181818182</v>
      </c>
      <c r="S65" s="1">
        <v>2</v>
      </c>
      <c r="T65" s="1">
        <f>Table1[[#This Row],[G]]-Table1[[#This Row],[G_PK]]</f>
        <v>0</v>
      </c>
      <c r="U65" s="1">
        <v>0</v>
      </c>
      <c r="V65" s="1">
        <v>0</v>
      </c>
      <c r="W65" s="1">
        <v>1</v>
      </c>
      <c r="X65" s="1">
        <v>0</v>
      </c>
      <c r="Y65" s="1">
        <f>Table1[[#This Row],[CRDY]]+Table1[[#This Row],[CRDR]]</f>
        <v>1</v>
      </c>
      <c r="Z65" s="1">
        <v>1.4</v>
      </c>
      <c r="AA65" s="2">
        <f>Table1[[#This Row],[XG]]/Table1[[#This Row],[MP]]</f>
        <v>0.12727272727272726</v>
      </c>
      <c r="AB65" s="1">
        <v>1.4</v>
      </c>
      <c r="AC65" s="1">
        <v>0.3</v>
      </c>
      <c r="AD65" s="1">
        <v>1.8</v>
      </c>
      <c r="AE65" s="1">
        <v>19</v>
      </c>
      <c r="AF65" s="1">
        <v>7</v>
      </c>
      <c r="AG65" s="1">
        <v>43</v>
      </c>
    </row>
    <row r="66" spans="1:33" x14ac:dyDescent="0.35">
      <c r="A66">
        <v>228</v>
      </c>
      <c r="B66" t="s">
        <v>525</v>
      </c>
      <c r="C66" t="s">
        <v>27</v>
      </c>
      <c r="D66" t="s">
        <v>62</v>
      </c>
      <c r="E66" t="s">
        <v>46</v>
      </c>
      <c r="F66" t="s">
        <v>526</v>
      </c>
      <c r="G66" s="1">
        <v>1999</v>
      </c>
      <c r="H66" s="1">
        <v>11</v>
      </c>
      <c r="I66" s="1">
        <v>9</v>
      </c>
      <c r="J66" s="2">
        <f>Table1[[#This Row],[STARTS]]/Table1[[#This Row],[MP]]</f>
        <v>0.81818181818181823</v>
      </c>
      <c r="K66" s="1">
        <v>821</v>
      </c>
      <c r="L66" s="1">
        <v>9.1</v>
      </c>
      <c r="M66" s="1">
        <v>2</v>
      </c>
      <c r="N66" s="2">
        <f>Table1[[#This Row],[G]]/Table1[[#This Row],[MP]]</f>
        <v>0.18181818181818182</v>
      </c>
      <c r="O66" s="2">
        <v>0</v>
      </c>
      <c r="P66" s="2">
        <f>Table1[[#This Row],[A]]/Table1[[#This Row],[MP]]</f>
        <v>0</v>
      </c>
      <c r="Q66" s="2">
        <v>2</v>
      </c>
      <c r="R66" s="2">
        <f>Table1[[#This Row],[PTS]]/Table1[[#This Row],[MP]]</f>
        <v>0.18181818181818182</v>
      </c>
      <c r="S66" s="1">
        <v>2</v>
      </c>
      <c r="T66" s="1">
        <f>Table1[[#This Row],[G]]-Table1[[#This Row],[G_PK]]</f>
        <v>0</v>
      </c>
      <c r="U66" s="1">
        <v>0</v>
      </c>
      <c r="V66" s="1">
        <v>0</v>
      </c>
      <c r="W66" s="1">
        <v>3</v>
      </c>
      <c r="X66" s="1">
        <v>0</v>
      </c>
      <c r="Y66" s="1">
        <f>Table1[[#This Row],[CRDY]]+Table1[[#This Row],[CRDR]]</f>
        <v>3</v>
      </c>
      <c r="Z66" s="1">
        <v>0.2</v>
      </c>
      <c r="AA66" s="2">
        <f>Table1[[#This Row],[XG]]/Table1[[#This Row],[MP]]</f>
        <v>1.8181818181818184E-2</v>
      </c>
      <c r="AB66" s="1">
        <v>0.2</v>
      </c>
      <c r="AC66" s="1">
        <v>0.3</v>
      </c>
      <c r="AD66" s="1">
        <v>0.4</v>
      </c>
      <c r="AE66" s="1">
        <v>2</v>
      </c>
      <c r="AF66" s="1">
        <v>41</v>
      </c>
      <c r="AG66" s="1">
        <v>8</v>
      </c>
    </row>
    <row r="67" spans="1:33" x14ac:dyDescent="0.35">
      <c r="A67">
        <v>230</v>
      </c>
      <c r="B67" t="s">
        <v>529</v>
      </c>
      <c r="C67" t="s">
        <v>27</v>
      </c>
      <c r="D67" t="s">
        <v>32</v>
      </c>
      <c r="E67" t="s">
        <v>42</v>
      </c>
      <c r="F67" t="s">
        <v>530</v>
      </c>
      <c r="G67" s="1">
        <v>2000</v>
      </c>
      <c r="H67" s="1">
        <v>11</v>
      </c>
      <c r="I67" s="1">
        <v>1</v>
      </c>
      <c r="J67" s="2">
        <f>Table1[[#This Row],[STARTS]]/Table1[[#This Row],[MP]]</f>
        <v>9.0909090909090912E-2</v>
      </c>
      <c r="K67" s="1">
        <v>159</v>
      </c>
      <c r="L67" s="1">
        <v>1.8</v>
      </c>
      <c r="M67" s="1">
        <v>2</v>
      </c>
      <c r="N67" s="2">
        <f>Table1[[#This Row],[G]]/Table1[[#This Row],[MP]]</f>
        <v>0.18181818181818182</v>
      </c>
      <c r="O67" s="2">
        <v>0</v>
      </c>
      <c r="P67" s="2">
        <f>Table1[[#This Row],[A]]/Table1[[#This Row],[MP]]</f>
        <v>0</v>
      </c>
      <c r="Q67" s="2">
        <v>2</v>
      </c>
      <c r="R67" s="2">
        <f>Table1[[#This Row],[PTS]]/Table1[[#This Row],[MP]]</f>
        <v>0.18181818181818182</v>
      </c>
      <c r="S67" s="1">
        <v>2</v>
      </c>
      <c r="T67" s="1">
        <f>Table1[[#This Row],[G]]-Table1[[#This Row],[G_PK]]</f>
        <v>0</v>
      </c>
      <c r="U67" s="1">
        <v>0</v>
      </c>
      <c r="V67" s="1">
        <v>0</v>
      </c>
      <c r="W67" s="1">
        <v>0</v>
      </c>
      <c r="X67" s="1">
        <v>0</v>
      </c>
      <c r="Y67" s="1">
        <f>Table1[[#This Row],[CRDY]]+Table1[[#This Row],[CRDR]]</f>
        <v>0</v>
      </c>
      <c r="Z67" s="1">
        <v>0.9</v>
      </c>
      <c r="AA67" s="2">
        <f>Table1[[#This Row],[XG]]/Table1[[#This Row],[MP]]</f>
        <v>8.1818181818181818E-2</v>
      </c>
      <c r="AB67" s="1">
        <v>0.9</v>
      </c>
      <c r="AC67" s="1">
        <v>0.2</v>
      </c>
      <c r="AD67" s="1">
        <v>1.1000000000000001</v>
      </c>
      <c r="AE67" s="1">
        <v>1</v>
      </c>
      <c r="AF67" s="1">
        <v>3</v>
      </c>
      <c r="AG67" s="1">
        <v>6</v>
      </c>
    </row>
    <row r="68" spans="1:33" x14ac:dyDescent="0.35">
      <c r="A68">
        <v>309</v>
      </c>
      <c r="B68" t="s">
        <v>684</v>
      </c>
      <c r="C68" t="s">
        <v>143</v>
      </c>
      <c r="D68" t="s">
        <v>62</v>
      </c>
      <c r="E68" t="s">
        <v>54</v>
      </c>
      <c r="F68" t="s">
        <v>685</v>
      </c>
      <c r="G68" s="1">
        <v>1996</v>
      </c>
      <c r="H68" s="1">
        <v>12</v>
      </c>
      <c r="I68" s="1">
        <v>6</v>
      </c>
      <c r="J68" s="2">
        <f>Table1[[#This Row],[STARTS]]/Table1[[#This Row],[MP]]</f>
        <v>0.5</v>
      </c>
      <c r="K68" s="1">
        <v>516</v>
      </c>
      <c r="L68" s="1">
        <v>5.7</v>
      </c>
      <c r="M68" s="1">
        <v>2</v>
      </c>
      <c r="N68" s="2">
        <f>Table1[[#This Row],[G]]/Table1[[#This Row],[MP]]</f>
        <v>0.16666666666666666</v>
      </c>
      <c r="O68" s="2">
        <v>0</v>
      </c>
      <c r="P68" s="2">
        <f>Table1[[#This Row],[A]]/Table1[[#This Row],[MP]]</f>
        <v>0</v>
      </c>
      <c r="Q68" s="2">
        <v>2</v>
      </c>
      <c r="R68" s="2">
        <f>Table1[[#This Row],[PTS]]/Table1[[#This Row],[MP]]</f>
        <v>0.16666666666666666</v>
      </c>
      <c r="S68" s="1">
        <v>2</v>
      </c>
      <c r="T68" s="1">
        <f>Table1[[#This Row],[G]]-Table1[[#This Row],[G_PK]]</f>
        <v>0</v>
      </c>
      <c r="U68" s="1">
        <v>0</v>
      </c>
      <c r="V68" s="1">
        <v>0</v>
      </c>
      <c r="W68" s="1">
        <v>2</v>
      </c>
      <c r="X68" s="1">
        <v>0</v>
      </c>
      <c r="Y68" s="1">
        <f>Table1[[#This Row],[CRDY]]+Table1[[#This Row],[CRDR]]</f>
        <v>2</v>
      </c>
      <c r="Z68" s="1">
        <v>1.2</v>
      </c>
      <c r="AA68" s="2">
        <f>Table1[[#This Row],[XG]]/Table1[[#This Row],[MP]]</f>
        <v>9.9999999999999992E-2</v>
      </c>
      <c r="AB68" s="1">
        <v>1.2</v>
      </c>
      <c r="AC68" s="1">
        <v>0.6</v>
      </c>
      <c r="AD68" s="1">
        <v>1.8</v>
      </c>
      <c r="AE68" s="1">
        <v>1</v>
      </c>
      <c r="AF68" s="1">
        <v>33</v>
      </c>
      <c r="AG68" s="1">
        <v>13</v>
      </c>
    </row>
    <row r="69" spans="1:33" x14ac:dyDescent="0.35">
      <c r="A69">
        <v>41</v>
      </c>
      <c r="B69" t="s">
        <v>134</v>
      </c>
      <c r="C69" t="s">
        <v>27</v>
      </c>
      <c r="D69" t="s">
        <v>28</v>
      </c>
      <c r="E69" t="s">
        <v>33</v>
      </c>
      <c r="F69" t="s">
        <v>135</v>
      </c>
      <c r="G69" s="1">
        <v>2006</v>
      </c>
      <c r="H69" s="1">
        <v>13</v>
      </c>
      <c r="I69" s="1">
        <v>13</v>
      </c>
      <c r="J69" s="2">
        <f>Table1[[#This Row],[STARTS]]/Table1[[#This Row],[MP]]</f>
        <v>1</v>
      </c>
      <c r="K69" s="1">
        <v>1165</v>
      </c>
      <c r="L69" s="1">
        <v>12.9</v>
      </c>
      <c r="M69" s="1">
        <v>2</v>
      </c>
      <c r="N69" s="2">
        <f>Table1[[#This Row],[G]]/Table1[[#This Row],[MP]]</f>
        <v>0.15384615384615385</v>
      </c>
      <c r="O69" s="2">
        <v>0</v>
      </c>
      <c r="P69" s="2">
        <f>Table1[[#This Row],[A]]/Table1[[#This Row],[MP]]</f>
        <v>0</v>
      </c>
      <c r="Q69" s="2">
        <v>2</v>
      </c>
      <c r="R69" s="2">
        <f>Table1[[#This Row],[PTS]]/Table1[[#This Row],[MP]]</f>
        <v>0.15384615384615385</v>
      </c>
      <c r="S69" s="1">
        <v>2</v>
      </c>
      <c r="T69" s="1">
        <f>Table1[[#This Row],[G]]-Table1[[#This Row],[G_PK]]</f>
        <v>0</v>
      </c>
      <c r="U69" s="1">
        <v>0</v>
      </c>
      <c r="V69" s="1">
        <v>0</v>
      </c>
      <c r="W69" s="1">
        <v>2</v>
      </c>
      <c r="X69" s="1">
        <v>0</v>
      </c>
      <c r="Y69" s="1">
        <f>Table1[[#This Row],[CRDY]]+Table1[[#This Row],[CRDR]]</f>
        <v>2</v>
      </c>
      <c r="Z69" s="1">
        <v>0.4</v>
      </c>
      <c r="AA69" s="2">
        <f>Table1[[#This Row],[XG]]/Table1[[#This Row],[MP]]</f>
        <v>3.0769230769230771E-2</v>
      </c>
      <c r="AB69" s="1">
        <v>0.4</v>
      </c>
      <c r="AC69" s="1">
        <v>0.1</v>
      </c>
      <c r="AD69" s="1">
        <v>0.5</v>
      </c>
      <c r="AE69" s="1">
        <v>8</v>
      </c>
      <c r="AF69" s="1">
        <v>43</v>
      </c>
      <c r="AG69" s="1">
        <v>5</v>
      </c>
    </row>
    <row r="70" spans="1:33" x14ac:dyDescent="0.35">
      <c r="A70">
        <v>253</v>
      </c>
      <c r="B70" t="s">
        <v>575</v>
      </c>
      <c r="C70" t="s">
        <v>27</v>
      </c>
      <c r="D70" t="s">
        <v>32</v>
      </c>
      <c r="E70" t="s">
        <v>42</v>
      </c>
      <c r="F70" t="s">
        <v>425</v>
      </c>
      <c r="G70" s="1">
        <v>1999</v>
      </c>
      <c r="H70" s="1">
        <v>13</v>
      </c>
      <c r="I70" s="1">
        <v>10</v>
      </c>
      <c r="J70" s="2">
        <f>Table1[[#This Row],[STARTS]]/Table1[[#This Row],[MP]]</f>
        <v>0.76923076923076927</v>
      </c>
      <c r="K70" s="1">
        <v>806</v>
      </c>
      <c r="L70" s="1">
        <v>9</v>
      </c>
      <c r="M70" s="1">
        <v>2</v>
      </c>
      <c r="N70" s="2">
        <f>Table1[[#This Row],[G]]/Table1[[#This Row],[MP]]</f>
        <v>0.15384615384615385</v>
      </c>
      <c r="O70" s="2">
        <v>0</v>
      </c>
      <c r="P70" s="2">
        <f>Table1[[#This Row],[A]]/Table1[[#This Row],[MP]]</f>
        <v>0</v>
      </c>
      <c r="Q70" s="2">
        <v>2</v>
      </c>
      <c r="R70" s="2">
        <f>Table1[[#This Row],[PTS]]/Table1[[#This Row],[MP]]</f>
        <v>0.15384615384615385</v>
      </c>
      <c r="S70" s="1">
        <v>2</v>
      </c>
      <c r="T70" s="1">
        <f>Table1[[#This Row],[G]]-Table1[[#This Row],[G_PK]]</f>
        <v>0</v>
      </c>
      <c r="U70" s="1">
        <v>0</v>
      </c>
      <c r="V70" s="1">
        <v>0</v>
      </c>
      <c r="W70" s="1">
        <v>0</v>
      </c>
      <c r="X70" s="1">
        <v>0</v>
      </c>
      <c r="Y70" s="1">
        <f>Table1[[#This Row],[CRDY]]+Table1[[#This Row],[CRDR]]</f>
        <v>0</v>
      </c>
      <c r="Z70" s="1">
        <v>1.7</v>
      </c>
      <c r="AA70" s="2">
        <f>Table1[[#This Row],[XG]]/Table1[[#This Row],[MP]]</f>
        <v>0.13076923076923078</v>
      </c>
      <c r="AB70" s="1">
        <v>1.7</v>
      </c>
      <c r="AC70" s="1">
        <v>0.6</v>
      </c>
      <c r="AD70" s="1">
        <v>2.2999999999999998</v>
      </c>
      <c r="AE70" s="1">
        <v>18</v>
      </c>
      <c r="AF70" s="1">
        <v>34</v>
      </c>
      <c r="AG70" s="1">
        <v>61</v>
      </c>
    </row>
    <row r="71" spans="1:33" x14ac:dyDescent="0.35">
      <c r="A71">
        <v>261</v>
      </c>
      <c r="B71" t="s">
        <v>590</v>
      </c>
      <c r="C71" t="s">
        <v>27</v>
      </c>
      <c r="D71" t="s">
        <v>28</v>
      </c>
      <c r="E71" t="s">
        <v>81</v>
      </c>
      <c r="F71" t="s">
        <v>591</v>
      </c>
      <c r="G71" s="1">
        <v>1997</v>
      </c>
      <c r="H71" s="1">
        <v>13</v>
      </c>
      <c r="I71" s="1">
        <v>13</v>
      </c>
      <c r="J71" s="2">
        <f>Table1[[#This Row],[STARTS]]/Table1[[#This Row],[MP]]</f>
        <v>1</v>
      </c>
      <c r="K71" s="1">
        <v>1170</v>
      </c>
      <c r="L71" s="1">
        <v>13</v>
      </c>
      <c r="M71" s="1">
        <v>2</v>
      </c>
      <c r="N71" s="2">
        <f>Table1[[#This Row],[G]]/Table1[[#This Row],[MP]]</f>
        <v>0.15384615384615385</v>
      </c>
      <c r="O71" s="2">
        <v>0</v>
      </c>
      <c r="P71" s="2">
        <f>Table1[[#This Row],[A]]/Table1[[#This Row],[MP]]</f>
        <v>0</v>
      </c>
      <c r="Q71" s="2">
        <v>2</v>
      </c>
      <c r="R71" s="2">
        <f>Table1[[#This Row],[PTS]]/Table1[[#This Row],[MP]]</f>
        <v>0.15384615384615385</v>
      </c>
      <c r="S71" s="1">
        <v>2</v>
      </c>
      <c r="T71" s="1">
        <f>Table1[[#This Row],[G]]-Table1[[#This Row],[G_PK]]</f>
        <v>0</v>
      </c>
      <c r="U71" s="1">
        <v>0</v>
      </c>
      <c r="V71" s="1">
        <v>0</v>
      </c>
      <c r="W71" s="1">
        <v>1</v>
      </c>
      <c r="X71" s="1">
        <v>0</v>
      </c>
      <c r="Y71" s="1">
        <f>Table1[[#This Row],[CRDY]]+Table1[[#This Row],[CRDR]]</f>
        <v>1</v>
      </c>
      <c r="Z71" s="1">
        <v>0.8</v>
      </c>
      <c r="AA71" s="2">
        <f>Table1[[#This Row],[XG]]/Table1[[#This Row],[MP]]</f>
        <v>6.1538461538461542E-2</v>
      </c>
      <c r="AB71" s="1">
        <v>0.8</v>
      </c>
      <c r="AC71" s="1">
        <v>0.5</v>
      </c>
      <c r="AD71" s="1">
        <v>1.3</v>
      </c>
      <c r="AE71" s="1">
        <v>1</v>
      </c>
      <c r="AF71" s="1">
        <v>37</v>
      </c>
      <c r="AG71" s="1">
        <v>1</v>
      </c>
    </row>
    <row r="72" spans="1:33" x14ac:dyDescent="0.35">
      <c r="A72">
        <v>91</v>
      </c>
      <c r="B72" t="s">
        <v>238</v>
      </c>
      <c r="C72" t="s">
        <v>239</v>
      </c>
      <c r="D72" t="s">
        <v>37</v>
      </c>
      <c r="E72" t="s">
        <v>33</v>
      </c>
      <c r="F72" t="s">
        <v>240</v>
      </c>
      <c r="G72" s="1">
        <v>1987</v>
      </c>
      <c r="H72" s="1">
        <v>4</v>
      </c>
      <c r="I72" s="1">
        <v>2</v>
      </c>
      <c r="J72" s="2">
        <f>Table1[[#This Row],[STARTS]]/Table1[[#This Row],[MP]]</f>
        <v>0.5</v>
      </c>
      <c r="K72" s="1">
        <v>207</v>
      </c>
      <c r="L72" s="1">
        <v>2.2999999999999998</v>
      </c>
      <c r="M72" s="1">
        <v>1</v>
      </c>
      <c r="N72" s="2">
        <f>Table1[[#This Row],[G]]/Table1[[#This Row],[MP]]</f>
        <v>0.25</v>
      </c>
      <c r="O72" s="2">
        <v>1</v>
      </c>
      <c r="P72" s="2">
        <f>Table1[[#This Row],[A]]/Table1[[#This Row],[MP]]</f>
        <v>0.25</v>
      </c>
      <c r="Q72" s="2">
        <v>2</v>
      </c>
      <c r="R72" s="2">
        <f>Table1[[#This Row],[PTS]]/Table1[[#This Row],[MP]]</f>
        <v>0.5</v>
      </c>
      <c r="S72" s="1">
        <v>1</v>
      </c>
      <c r="T72" s="1">
        <f>Table1[[#This Row],[G]]-Table1[[#This Row],[G_PK]]</f>
        <v>0</v>
      </c>
      <c r="U72" s="1">
        <v>0</v>
      </c>
      <c r="V72" s="1">
        <v>0</v>
      </c>
      <c r="W72" s="1">
        <v>0</v>
      </c>
      <c r="X72" s="1">
        <v>0</v>
      </c>
      <c r="Y72" s="1">
        <f>Table1[[#This Row],[CRDY]]+Table1[[#This Row],[CRDR]]</f>
        <v>0</v>
      </c>
      <c r="Z72" s="1">
        <v>0.4</v>
      </c>
      <c r="AA72" s="2">
        <f>Table1[[#This Row],[XG]]/Table1[[#This Row],[MP]]</f>
        <v>0.1</v>
      </c>
      <c r="AB72" s="1">
        <v>0.4</v>
      </c>
      <c r="AC72" s="1">
        <v>0.5</v>
      </c>
      <c r="AD72" s="1">
        <v>0.9</v>
      </c>
      <c r="AE72" s="1">
        <v>2</v>
      </c>
      <c r="AF72" s="1">
        <v>11</v>
      </c>
      <c r="AG72" s="1">
        <v>7</v>
      </c>
    </row>
    <row r="73" spans="1:33" x14ac:dyDescent="0.35">
      <c r="A73">
        <v>255</v>
      </c>
      <c r="B73" t="s">
        <v>578</v>
      </c>
      <c r="C73" t="s">
        <v>287</v>
      </c>
      <c r="D73" t="s">
        <v>37</v>
      </c>
      <c r="E73" t="s">
        <v>107</v>
      </c>
      <c r="F73" t="s">
        <v>579</v>
      </c>
      <c r="G73" s="1">
        <v>1996</v>
      </c>
      <c r="H73" s="1">
        <v>6</v>
      </c>
      <c r="I73" s="1">
        <v>4</v>
      </c>
      <c r="J73" s="2">
        <f>Table1[[#This Row],[STARTS]]/Table1[[#This Row],[MP]]</f>
        <v>0.66666666666666663</v>
      </c>
      <c r="K73" s="1">
        <v>441</v>
      </c>
      <c r="L73" s="1">
        <v>4.9000000000000004</v>
      </c>
      <c r="M73" s="1">
        <v>1</v>
      </c>
      <c r="N73" s="2">
        <f>Table1[[#This Row],[G]]/Table1[[#This Row],[MP]]</f>
        <v>0.16666666666666666</v>
      </c>
      <c r="O73" s="2">
        <v>1</v>
      </c>
      <c r="P73" s="2">
        <f>Table1[[#This Row],[A]]/Table1[[#This Row],[MP]]</f>
        <v>0.16666666666666666</v>
      </c>
      <c r="Q73" s="2">
        <v>2</v>
      </c>
      <c r="R73" s="2">
        <f>Table1[[#This Row],[PTS]]/Table1[[#This Row],[MP]]</f>
        <v>0.33333333333333331</v>
      </c>
      <c r="S73" s="1">
        <v>1</v>
      </c>
      <c r="T73" s="1">
        <f>Table1[[#This Row],[G]]-Table1[[#This Row],[G_PK]]</f>
        <v>0</v>
      </c>
      <c r="U73" s="1">
        <v>0</v>
      </c>
      <c r="V73" s="1">
        <v>0</v>
      </c>
      <c r="W73" s="1">
        <v>1</v>
      </c>
      <c r="X73" s="1">
        <v>0</v>
      </c>
      <c r="Y73" s="1">
        <f>Table1[[#This Row],[CRDY]]+Table1[[#This Row],[CRDR]]</f>
        <v>1</v>
      </c>
      <c r="Z73" s="1">
        <v>1.1000000000000001</v>
      </c>
      <c r="AA73" s="2">
        <f>Table1[[#This Row],[XG]]/Table1[[#This Row],[MP]]</f>
        <v>0.18333333333333335</v>
      </c>
      <c r="AB73" s="1">
        <v>1.1000000000000001</v>
      </c>
      <c r="AC73" s="1">
        <v>0.4</v>
      </c>
      <c r="AD73" s="1">
        <v>1.5</v>
      </c>
      <c r="AE73" s="1">
        <v>7</v>
      </c>
      <c r="AF73" s="1">
        <v>20</v>
      </c>
      <c r="AG73" s="1">
        <v>12</v>
      </c>
    </row>
    <row r="74" spans="1:33" x14ac:dyDescent="0.35">
      <c r="A74">
        <v>3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s="1">
        <v>1995</v>
      </c>
      <c r="H74" s="1">
        <v>10</v>
      </c>
      <c r="I74" s="1">
        <v>4</v>
      </c>
      <c r="J74" s="2">
        <f>Table1[[#This Row],[STARTS]]/Table1[[#This Row],[MP]]</f>
        <v>0.4</v>
      </c>
      <c r="K74" s="1">
        <v>405</v>
      </c>
      <c r="L74" s="1">
        <v>4.5</v>
      </c>
      <c r="M74" s="1">
        <v>1</v>
      </c>
      <c r="N74" s="2">
        <f>Table1[[#This Row],[G]]/Table1[[#This Row],[MP]]</f>
        <v>0.1</v>
      </c>
      <c r="O74" s="2">
        <v>1</v>
      </c>
      <c r="P74" s="2">
        <f>Table1[[#This Row],[A]]/Table1[[#This Row],[MP]]</f>
        <v>0.1</v>
      </c>
      <c r="Q74" s="2">
        <v>2</v>
      </c>
      <c r="R74" s="2">
        <f>Table1[[#This Row],[PTS]]/Table1[[#This Row],[MP]]</f>
        <v>0.2</v>
      </c>
      <c r="S74" s="1">
        <v>1</v>
      </c>
      <c r="T74" s="1">
        <f>Table1[[#This Row],[G]]-Table1[[#This Row],[G_PK]]</f>
        <v>0</v>
      </c>
      <c r="U74" s="1">
        <v>0</v>
      </c>
      <c r="V74" s="1">
        <v>0</v>
      </c>
      <c r="W74" s="1">
        <v>0</v>
      </c>
      <c r="X74" s="1">
        <v>0</v>
      </c>
      <c r="Y74" s="1">
        <f>Table1[[#This Row],[CRDY]]+Table1[[#This Row],[CRDR]]</f>
        <v>0</v>
      </c>
      <c r="Z74" s="1">
        <v>0.9</v>
      </c>
      <c r="AA74" s="2">
        <f>Table1[[#This Row],[XG]]/Table1[[#This Row],[MP]]</f>
        <v>0.09</v>
      </c>
      <c r="AB74" s="1">
        <v>0.9</v>
      </c>
      <c r="AC74" s="1">
        <v>0.3</v>
      </c>
      <c r="AD74" s="1">
        <v>1.1000000000000001</v>
      </c>
      <c r="AE74" s="1">
        <v>5</v>
      </c>
      <c r="AF74" s="1">
        <v>15</v>
      </c>
      <c r="AG74" s="1">
        <v>19</v>
      </c>
    </row>
    <row r="75" spans="1:33" x14ac:dyDescent="0.35">
      <c r="A75">
        <v>133</v>
      </c>
      <c r="B75" t="s">
        <v>331</v>
      </c>
      <c r="C75" t="s">
        <v>36</v>
      </c>
      <c r="D75" t="s">
        <v>32</v>
      </c>
      <c r="E75" t="s">
        <v>33</v>
      </c>
      <c r="F75" t="s">
        <v>332</v>
      </c>
      <c r="G75" s="1">
        <v>2001</v>
      </c>
      <c r="H75" s="1">
        <v>10</v>
      </c>
      <c r="I75" s="1">
        <v>8</v>
      </c>
      <c r="J75" s="2">
        <f>Table1[[#This Row],[STARTS]]/Table1[[#This Row],[MP]]</f>
        <v>0.8</v>
      </c>
      <c r="K75" s="1">
        <v>667</v>
      </c>
      <c r="L75" s="1">
        <v>7.4</v>
      </c>
      <c r="M75" s="1">
        <v>1</v>
      </c>
      <c r="N75" s="2">
        <f>Table1[[#This Row],[G]]/Table1[[#This Row],[MP]]</f>
        <v>0.1</v>
      </c>
      <c r="O75" s="2">
        <v>1</v>
      </c>
      <c r="P75" s="2">
        <f>Table1[[#This Row],[A]]/Table1[[#This Row],[MP]]</f>
        <v>0.1</v>
      </c>
      <c r="Q75" s="2">
        <v>2</v>
      </c>
      <c r="R75" s="2">
        <f>Table1[[#This Row],[PTS]]/Table1[[#This Row],[MP]]</f>
        <v>0.2</v>
      </c>
      <c r="S75" s="1">
        <v>1</v>
      </c>
      <c r="T75" s="1">
        <f>Table1[[#This Row],[G]]-Table1[[#This Row],[G_PK]]</f>
        <v>0</v>
      </c>
      <c r="U75" s="1">
        <v>0</v>
      </c>
      <c r="V75" s="1">
        <v>0</v>
      </c>
      <c r="W75" s="1">
        <v>1</v>
      </c>
      <c r="X75" s="1">
        <v>0</v>
      </c>
      <c r="Y75" s="1">
        <f>Table1[[#This Row],[CRDY]]+Table1[[#This Row],[CRDR]]</f>
        <v>1</v>
      </c>
      <c r="Z75" s="1">
        <v>1.1000000000000001</v>
      </c>
      <c r="AA75" s="2">
        <f>Table1[[#This Row],[XG]]/Table1[[#This Row],[MP]]</f>
        <v>0.11000000000000001</v>
      </c>
      <c r="AB75" s="1">
        <v>1.1000000000000001</v>
      </c>
      <c r="AC75" s="1">
        <v>0.5</v>
      </c>
      <c r="AD75" s="1">
        <v>1.6</v>
      </c>
      <c r="AE75" s="1">
        <v>6</v>
      </c>
      <c r="AF75" s="1">
        <v>23</v>
      </c>
      <c r="AG75" s="1">
        <v>36</v>
      </c>
    </row>
    <row r="76" spans="1:33" x14ac:dyDescent="0.35">
      <c r="A76">
        <v>239</v>
      </c>
      <c r="B76" t="s">
        <v>548</v>
      </c>
      <c r="C76" t="s">
        <v>27</v>
      </c>
      <c r="D76" t="s">
        <v>32</v>
      </c>
      <c r="E76" t="s">
        <v>107</v>
      </c>
      <c r="F76" t="s">
        <v>549</v>
      </c>
      <c r="G76" s="1">
        <v>1994</v>
      </c>
      <c r="H76" s="1">
        <v>10</v>
      </c>
      <c r="I76" s="1">
        <v>4</v>
      </c>
      <c r="J76" s="2">
        <f>Table1[[#This Row],[STARTS]]/Table1[[#This Row],[MP]]</f>
        <v>0.4</v>
      </c>
      <c r="K76" s="1">
        <v>367</v>
      </c>
      <c r="L76" s="1">
        <v>4.0999999999999996</v>
      </c>
      <c r="M76" s="1">
        <v>1</v>
      </c>
      <c r="N76" s="2">
        <f>Table1[[#This Row],[G]]/Table1[[#This Row],[MP]]</f>
        <v>0.1</v>
      </c>
      <c r="O76" s="2">
        <v>1</v>
      </c>
      <c r="P76" s="2">
        <f>Table1[[#This Row],[A]]/Table1[[#This Row],[MP]]</f>
        <v>0.1</v>
      </c>
      <c r="Q76" s="2">
        <v>2</v>
      </c>
      <c r="R76" s="2">
        <f>Table1[[#This Row],[PTS]]/Table1[[#This Row],[MP]]</f>
        <v>0.2</v>
      </c>
      <c r="S76" s="1">
        <v>1</v>
      </c>
      <c r="T76" s="1">
        <f>Table1[[#This Row],[G]]-Table1[[#This Row],[G_PK]]</f>
        <v>0</v>
      </c>
      <c r="U76" s="1">
        <v>0</v>
      </c>
      <c r="V76" s="1">
        <v>0</v>
      </c>
      <c r="W76" s="1">
        <v>0</v>
      </c>
      <c r="X76" s="1">
        <v>0</v>
      </c>
      <c r="Y76" s="1">
        <f>Table1[[#This Row],[CRDY]]+Table1[[#This Row],[CRDR]]</f>
        <v>0</v>
      </c>
      <c r="Z76" s="1">
        <v>0.2</v>
      </c>
      <c r="AA76" s="2">
        <f>Table1[[#This Row],[XG]]/Table1[[#This Row],[MP]]</f>
        <v>0.02</v>
      </c>
      <c r="AB76" s="1">
        <v>0.2</v>
      </c>
      <c r="AC76" s="1">
        <v>0.6</v>
      </c>
      <c r="AD76" s="1">
        <v>0.8</v>
      </c>
      <c r="AE76" s="1">
        <v>7</v>
      </c>
      <c r="AF76" s="1">
        <v>6</v>
      </c>
      <c r="AG76" s="1">
        <v>34</v>
      </c>
    </row>
    <row r="77" spans="1:33" x14ac:dyDescent="0.35">
      <c r="A77">
        <v>251</v>
      </c>
      <c r="B77" t="s">
        <v>572</v>
      </c>
      <c r="C77" t="s">
        <v>27</v>
      </c>
      <c r="D77" t="s">
        <v>32</v>
      </c>
      <c r="E77" t="s">
        <v>51</v>
      </c>
      <c r="F77" t="s">
        <v>165</v>
      </c>
      <c r="G77" s="1">
        <v>1999</v>
      </c>
      <c r="H77" s="1">
        <v>11</v>
      </c>
      <c r="I77" s="1">
        <v>11</v>
      </c>
      <c r="J77" s="2">
        <f>Table1[[#This Row],[STARTS]]/Table1[[#This Row],[MP]]</f>
        <v>1</v>
      </c>
      <c r="K77" s="1">
        <v>990</v>
      </c>
      <c r="L77" s="1">
        <v>11</v>
      </c>
      <c r="M77" s="1">
        <v>1</v>
      </c>
      <c r="N77" s="2">
        <f>Table1[[#This Row],[G]]/Table1[[#This Row],[MP]]</f>
        <v>9.0909090909090912E-2</v>
      </c>
      <c r="O77" s="2">
        <v>1</v>
      </c>
      <c r="P77" s="2">
        <f>Table1[[#This Row],[A]]/Table1[[#This Row],[MP]]</f>
        <v>9.0909090909090912E-2</v>
      </c>
      <c r="Q77" s="2">
        <v>2</v>
      </c>
      <c r="R77" s="2">
        <f>Table1[[#This Row],[PTS]]/Table1[[#This Row],[MP]]</f>
        <v>0.18181818181818182</v>
      </c>
      <c r="S77" s="1">
        <v>1</v>
      </c>
      <c r="T77" s="1">
        <f>Table1[[#This Row],[G]]-Table1[[#This Row],[G_PK]]</f>
        <v>0</v>
      </c>
      <c r="U77" s="1">
        <v>0</v>
      </c>
      <c r="V77" s="1">
        <v>0</v>
      </c>
      <c r="W77" s="1">
        <v>0</v>
      </c>
      <c r="X77" s="1">
        <v>0</v>
      </c>
      <c r="Y77" s="1">
        <f>Table1[[#This Row],[CRDY]]+Table1[[#This Row],[CRDR]]</f>
        <v>0</v>
      </c>
      <c r="Z77" s="1">
        <v>1.9</v>
      </c>
      <c r="AA77" s="2">
        <f>Table1[[#This Row],[XG]]/Table1[[#This Row],[MP]]</f>
        <v>0.17272727272727273</v>
      </c>
      <c r="AB77" s="1">
        <v>1.9</v>
      </c>
      <c r="AC77" s="1">
        <v>2</v>
      </c>
      <c r="AD77" s="1">
        <v>3.8</v>
      </c>
      <c r="AE77" s="1">
        <v>27</v>
      </c>
      <c r="AF77" s="1">
        <v>32</v>
      </c>
      <c r="AG77" s="1">
        <v>70</v>
      </c>
    </row>
    <row r="78" spans="1:33" x14ac:dyDescent="0.35">
      <c r="A78">
        <v>310</v>
      </c>
      <c r="B78" t="s">
        <v>686</v>
      </c>
      <c r="C78" t="s">
        <v>276</v>
      </c>
      <c r="D78" t="s">
        <v>62</v>
      </c>
      <c r="E78" t="s">
        <v>164</v>
      </c>
      <c r="F78" t="s">
        <v>687</v>
      </c>
      <c r="G78" s="1">
        <v>1990</v>
      </c>
      <c r="H78" s="1">
        <v>11</v>
      </c>
      <c r="I78" s="1">
        <v>11</v>
      </c>
      <c r="J78" s="2">
        <f>Table1[[#This Row],[STARTS]]/Table1[[#This Row],[MP]]</f>
        <v>1</v>
      </c>
      <c r="K78" s="1">
        <v>855</v>
      </c>
      <c r="L78" s="1">
        <v>9.5</v>
      </c>
      <c r="M78" s="1">
        <v>1</v>
      </c>
      <c r="N78" s="2">
        <f>Table1[[#This Row],[G]]/Table1[[#This Row],[MP]]</f>
        <v>9.0909090909090912E-2</v>
      </c>
      <c r="O78" s="2">
        <v>1</v>
      </c>
      <c r="P78" s="2">
        <f>Table1[[#This Row],[A]]/Table1[[#This Row],[MP]]</f>
        <v>9.0909090909090912E-2</v>
      </c>
      <c r="Q78" s="2">
        <v>2</v>
      </c>
      <c r="R78" s="2">
        <f>Table1[[#This Row],[PTS]]/Table1[[#This Row],[MP]]</f>
        <v>0.18181818181818182</v>
      </c>
      <c r="S78" s="1">
        <v>1</v>
      </c>
      <c r="T78" s="1">
        <f>Table1[[#This Row],[G]]-Table1[[#This Row],[G_PK]]</f>
        <v>0</v>
      </c>
      <c r="U78" s="1">
        <v>0</v>
      </c>
      <c r="V78" s="1">
        <v>0</v>
      </c>
      <c r="W78" s="1">
        <v>0</v>
      </c>
      <c r="X78" s="1">
        <v>0</v>
      </c>
      <c r="Y78" s="1">
        <f>Table1[[#This Row],[CRDY]]+Table1[[#This Row],[CRDR]]</f>
        <v>0</v>
      </c>
      <c r="Z78" s="1">
        <v>0.5</v>
      </c>
      <c r="AA78" s="2">
        <f>Table1[[#This Row],[XG]]/Table1[[#This Row],[MP]]</f>
        <v>4.5454545454545456E-2</v>
      </c>
      <c r="AB78" s="1">
        <v>0.5</v>
      </c>
      <c r="AC78" s="1">
        <v>0.5</v>
      </c>
      <c r="AD78" s="1">
        <v>1</v>
      </c>
      <c r="AE78" s="1">
        <v>8</v>
      </c>
      <c r="AF78" s="1">
        <v>57</v>
      </c>
      <c r="AG78" s="1">
        <v>11</v>
      </c>
    </row>
    <row r="79" spans="1:33" x14ac:dyDescent="0.35">
      <c r="A79">
        <v>19</v>
      </c>
      <c r="B79" t="s">
        <v>87</v>
      </c>
      <c r="C79" t="s">
        <v>27</v>
      </c>
      <c r="D79" t="s">
        <v>85</v>
      </c>
      <c r="E79" t="s">
        <v>65</v>
      </c>
      <c r="F79" t="s">
        <v>88</v>
      </c>
      <c r="G79" s="1">
        <v>2007</v>
      </c>
      <c r="H79" s="1">
        <v>12</v>
      </c>
      <c r="I79" s="1">
        <v>3</v>
      </c>
      <c r="J79" s="2">
        <f>Table1[[#This Row],[STARTS]]/Table1[[#This Row],[MP]]</f>
        <v>0.25</v>
      </c>
      <c r="K79" s="1">
        <v>393</v>
      </c>
      <c r="L79" s="1">
        <v>4.4000000000000004</v>
      </c>
      <c r="M79" s="1">
        <v>1</v>
      </c>
      <c r="N79" s="2">
        <f>Table1[[#This Row],[G]]/Table1[[#This Row],[MP]]</f>
        <v>8.3333333333333329E-2</v>
      </c>
      <c r="O79" s="2">
        <v>1</v>
      </c>
      <c r="P79" s="2">
        <f>Table1[[#This Row],[A]]/Table1[[#This Row],[MP]]</f>
        <v>8.3333333333333329E-2</v>
      </c>
      <c r="Q79" s="2">
        <v>2</v>
      </c>
      <c r="R79" s="2">
        <f>Table1[[#This Row],[PTS]]/Table1[[#This Row],[MP]]</f>
        <v>0.16666666666666666</v>
      </c>
      <c r="S79" s="1">
        <v>1</v>
      </c>
      <c r="T79" s="1">
        <f>Table1[[#This Row],[G]]-Table1[[#This Row],[G_PK]]</f>
        <v>0</v>
      </c>
      <c r="U79" s="1">
        <v>0</v>
      </c>
      <c r="V79" s="1">
        <v>0</v>
      </c>
      <c r="W79" s="1">
        <v>1</v>
      </c>
      <c r="X79" s="1">
        <v>0</v>
      </c>
      <c r="Y79" s="1">
        <f>Table1[[#This Row],[CRDY]]+Table1[[#This Row],[CRDR]]</f>
        <v>1</v>
      </c>
      <c r="Z79" s="1">
        <v>0.3</v>
      </c>
      <c r="AA79" s="2">
        <f>Table1[[#This Row],[XG]]/Table1[[#This Row],[MP]]</f>
        <v>2.4999999999999998E-2</v>
      </c>
      <c r="AB79" s="1">
        <v>0.3</v>
      </c>
      <c r="AC79" s="1">
        <v>0.9</v>
      </c>
      <c r="AD79" s="1">
        <v>1.2</v>
      </c>
      <c r="AE79" s="1">
        <v>7</v>
      </c>
      <c r="AF79" s="1">
        <v>12</v>
      </c>
      <c r="AG79" s="1">
        <v>27</v>
      </c>
    </row>
    <row r="80" spans="1:33" x14ac:dyDescent="0.35">
      <c r="A80">
        <v>129</v>
      </c>
      <c r="B80" t="s">
        <v>323</v>
      </c>
      <c r="C80" t="s">
        <v>27</v>
      </c>
      <c r="D80" t="s">
        <v>32</v>
      </c>
      <c r="E80" t="s">
        <v>81</v>
      </c>
      <c r="F80" t="s">
        <v>324</v>
      </c>
      <c r="G80" s="1">
        <v>1998</v>
      </c>
      <c r="H80" s="1">
        <v>12</v>
      </c>
      <c r="I80" s="1">
        <v>2</v>
      </c>
      <c r="J80" s="2">
        <f>Table1[[#This Row],[STARTS]]/Table1[[#This Row],[MP]]</f>
        <v>0.16666666666666666</v>
      </c>
      <c r="K80" s="1">
        <v>264</v>
      </c>
      <c r="L80" s="1">
        <v>2.9</v>
      </c>
      <c r="M80" s="1">
        <v>1</v>
      </c>
      <c r="N80" s="2">
        <f>Table1[[#This Row],[G]]/Table1[[#This Row],[MP]]</f>
        <v>8.3333333333333329E-2</v>
      </c>
      <c r="O80" s="2">
        <v>1</v>
      </c>
      <c r="P80" s="2">
        <f>Table1[[#This Row],[A]]/Table1[[#This Row],[MP]]</f>
        <v>8.3333333333333329E-2</v>
      </c>
      <c r="Q80" s="2">
        <v>2</v>
      </c>
      <c r="R80" s="2">
        <f>Table1[[#This Row],[PTS]]/Table1[[#This Row],[MP]]</f>
        <v>0.16666666666666666</v>
      </c>
      <c r="S80" s="1">
        <v>1</v>
      </c>
      <c r="T80" s="1">
        <f>Table1[[#This Row],[G]]-Table1[[#This Row],[G_PK]]</f>
        <v>0</v>
      </c>
      <c r="U80" s="1">
        <v>0</v>
      </c>
      <c r="V80" s="1">
        <v>0</v>
      </c>
      <c r="W80" s="1">
        <v>0</v>
      </c>
      <c r="X80" s="1">
        <v>0</v>
      </c>
      <c r="Y80" s="1">
        <f>Table1[[#This Row],[CRDY]]+Table1[[#This Row],[CRDR]]</f>
        <v>0</v>
      </c>
      <c r="Z80" s="1">
        <v>0.4</v>
      </c>
      <c r="AA80" s="2">
        <f>Table1[[#This Row],[XG]]/Table1[[#This Row],[MP]]</f>
        <v>3.3333333333333333E-2</v>
      </c>
      <c r="AB80" s="1">
        <v>0.4</v>
      </c>
      <c r="AC80" s="1">
        <v>0.7</v>
      </c>
      <c r="AD80" s="1">
        <v>1.1000000000000001</v>
      </c>
      <c r="AE80" s="1">
        <v>7</v>
      </c>
      <c r="AF80" s="1">
        <v>8</v>
      </c>
      <c r="AG80" s="1">
        <v>25</v>
      </c>
    </row>
    <row r="81" spans="1:33" x14ac:dyDescent="0.35">
      <c r="A81">
        <v>38</v>
      </c>
      <c r="B81" t="s">
        <v>128</v>
      </c>
      <c r="C81" t="s">
        <v>27</v>
      </c>
      <c r="D81" t="s">
        <v>85</v>
      </c>
      <c r="E81" t="s">
        <v>51</v>
      </c>
      <c r="F81" t="s">
        <v>129</v>
      </c>
      <c r="G81" s="1">
        <v>2000</v>
      </c>
      <c r="H81" s="1">
        <v>13</v>
      </c>
      <c r="I81" s="1">
        <v>7</v>
      </c>
      <c r="J81" s="2">
        <f>Table1[[#This Row],[STARTS]]/Table1[[#This Row],[MP]]</f>
        <v>0.53846153846153844</v>
      </c>
      <c r="K81" s="1">
        <v>623</v>
      </c>
      <c r="L81" s="1">
        <v>6.9</v>
      </c>
      <c r="M81" s="1">
        <v>1</v>
      </c>
      <c r="N81" s="2">
        <f>Table1[[#This Row],[G]]/Table1[[#This Row],[MP]]</f>
        <v>7.6923076923076927E-2</v>
      </c>
      <c r="O81" s="2">
        <v>1</v>
      </c>
      <c r="P81" s="2">
        <f>Table1[[#This Row],[A]]/Table1[[#This Row],[MP]]</f>
        <v>7.6923076923076927E-2</v>
      </c>
      <c r="Q81" s="2">
        <v>2</v>
      </c>
      <c r="R81" s="2">
        <f>Table1[[#This Row],[PTS]]/Table1[[#This Row],[MP]]</f>
        <v>0.15384615384615385</v>
      </c>
      <c r="S81" s="1">
        <v>1</v>
      </c>
      <c r="T81" s="1">
        <f>Table1[[#This Row],[G]]-Table1[[#This Row],[G_PK]]</f>
        <v>0</v>
      </c>
      <c r="U81" s="1">
        <v>0</v>
      </c>
      <c r="V81" s="1">
        <v>0</v>
      </c>
      <c r="W81" s="1">
        <v>2</v>
      </c>
      <c r="X81" s="1">
        <v>0</v>
      </c>
      <c r="Y81" s="1">
        <f>Table1[[#This Row],[CRDY]]+Table1[[#This Row],[CRDR]]</f>
        <v>2</v>
      </c>
      <c r="Z81" s="1">
        <v>1.3</v>
      </c>
      <c r="AA81" s="2">
        <f>Table1[[#This Row],[XG]]/Table1[[#This Row],[MP]]</f>
        <v>0.1</v>
      </c>
      <c r="AB81" s="1">
        <v>1.3</v>
      </c>
      <c r="AC81" s="1">
        <v>0.8</v>
      </c>
      <c r="AD81" s="1">
        <v>2.1</v>
      </c>
      <c r="AE81" s="1">
        <v>12</v>
      </c>
      <c r="AF81" s="1">
        <v>10</v>
      </c>
      <c r="AG81" s="1">
        <v>39</v>
      </c>
    </row>
    <row r="82" spans="1:33" x14ac:dyDescent="0.35">
      <c r="A82">
        <v>177</v>
      </c>
      <c r="B82" t="s">
        <v>419</v>
      </c>
      <c r="C82" t="s">
        <v>27</v>
      </c>
      <c r="D82" t="s">
        <v>28</v>
      </c>
      <c r="E82" t="s">
        <v>46</v>
      </c>
      <c r="F82" t="s">
        <v>420</v>
      </c>
      <c r="G82" s="1">
        <v>1999</v>
      </c>
      <c r="H82" s="1">
        <v>13</v>
      </c>
      <c r="I82" s="1">
        <v>11</v>
      </c>
      <c r="J82" s="2">
        <f>Table1[[#This Row],[STARTS]]/Table1[[#This Row],[MP]]</f>
        <v>0.84615384615384615</v>
      </c>
      <c r="K82" s="1">
        <v>975</v>
      </c>
      <c r="L82" s="1">
        <v>10.8</v>
      </c>
      <c r="M82" s="1">
        <v>1</v>
      </c>
      <c r="N82" s="2">
        <f>Table1[[#This Row],[G]]/Table1[[#This Row],[MP]]</f>
        <v>7.6923076923076927E-2</v>
      </c>
      <c r="O82" s="2">
        <v>1</v>
      </c>
      <c r="P82" s="2">
        <f>Table1[[#This Row],[A]]/Table1[[#This Row],[MP]]</f>
        <v>7.6923076923076927E-2</v>
      </c>
      <c r="Q82" s="2">
        <v>2</v>
      </c>
      <c r="R82" s="2">
        <f>Table1[[#This Row],[PTS]]/Table1[[#This Row],[MP]]</f>
        <v>0.15384615384615385</v>
      </c>
      <c r="S82" s="1">
        <v>1</v>
      </c>
      <c r="T82" s="1">
        <f>Table1[[#This Row],[G]]-Table1[[#This Row],[G_PK]]</f>
        <v>0</v>
      </c>
      <c r="U82" s="1">
        <v>0</v>
      </c>
      <c r="V82" s="1">
        <v>0</v>
      </c>
      <c r="W82" s="1">
        <v>0</v>
      </c>
      <c r="X82" s="1">
        <v>0</v>
      </c>
      <c r="Y82" s="1">
        <f>Table1[[#This Row],[CRDY]]+Table1[[#This Row],[CRDR]]</f>
        <v>0</v>
      </c>
      <c r="Z82" s="1">
        <v>0.1</v>
      </c>
      <c r="AA82" s="2">
        <f>Table1[[#This Row],[XG]]/Table1[[#This Row],[MP]]</f>
        <v>7.6923076923076927E-3</v>
      </c>
      <c r="AB82" s="1">
        <v>0.1</v>
      </c>
      <c r="AC82" s="1">
        <v>0.7</v>
      </c>
      <c r="AD82" s="1">
        <v>0.8</v>
      </c>
      <c r="AE82" s="1">
        <v>26</v>
      </c>
      <c r="AF82" s="1">
        <v>49</v>
      </c>
      <c r="AG82" s="1">
        <v>41</v>
      </c>
    </row>
    <row r="83" spans="1:33" x14ac:dyDescent="0.35">
      <c r="A83">
        <v>208</v>
      </c>
      <c r="B83" t="s">
        <v>484</v>
      </c>
      <c r="C83" t="s">
        <v>27</v>
      </c>
      <c r="D83" t="s">
        <v>37</v>
      </c>
      <c r="E83" t="s">
        <v>38</v>
      </c>
      <c r="F83" t="s">
        <v>485</v>
      </c>
      <c r="G83" s="1">
        <v>2005</v>
      </c>
      <c r="H83" s="1">
        <v>13</v>
      </c>
      <c r="I83" s="1">
        <v>11</v>
      </c>
      <c r="J83" s="2">
        <f>Table1[[#This Row],[STARTS]]/Table1[[#This Row],[MP]]</f>
        <v>0.84615384615384615</v>
      </c>
      <c r="K83" s="1">
        <v>998</v>
      </c>
      <c r="L83" s="1">
        <v>11.1</v>
      </c>
      <c r="M83" s="1">
        <v>1</v>
      </c>
      <c r="N83" s="2">
        <f>Table1[[#This Row],[G]]/Table1[[#This Row],[MP]]</f>
        <v>7.6923076923076927E-2</v>
      </c>
      <c r="O83" s="2">
        <v>1</v>
      </c>
      <c r="P83" s="2">
        <f>Table1[[#This Row],[A]]/Table1[[#This Row],[MP]]</f>
        <v>7.6923076923076927E-2</v>
      </c>
      <c r="Q83" s="2">
        <v>2</v>
      </c>
      <c r="R83" s="2">
        <f>Table1[[#This Row],[PTS]]/Table1[[#This Row],[MP]]</f>
        <v>0.15384615384615385</v>
      </c>
      <c r="S83" s="1">
        <v>1</v>
      </c>
      <c r="T83" s="1">
        <f>Table1[[#This Row],[G]]-Table1[[#This Row],[G_PK]]</f>
        <v>0</v>
      </c>
      <c r="U83" s="1">
        <v>0</v>
      </c>
      <c r="V83" s="1">
        <v>1</v>
      </c>
      <c r="W83" s="1">
        <v>0</v>
      </c>
      <c r="X83" s="1">
        <v>0</v>
      </c>
      <c r="Y83" s="1">
        <f>Table1[[#This Row],[CRDY]]+Table1[[#This Row],[CRDR]]</f>
        <v>0</v>
      </c>
      <c r="Z83" s="1">
        <v>2.4</v>
      </c>
      <c r="AA83" s="2">
        <f>Table1[[#This Row],[XG]]/Table1[[#This Row],[MP]]</f>
        <v>0.1846153846153846</v>
      </c>
      <c r="AB83" s="1">
        <v>1.7</v>
      </c>
      <c r="AC83" s="1">
        <v>3.3</v>
      </c>
      <c r="AD83" s="1">
        <v>4.9000000000000004</v>
      </c>
      <c r="AE83" s="1">
        <v>36</v>
      </c>
      <c r="AF83" s="1">
        <v>58</v>
      </c>
      <c r="AG83" s="1">
        <v>48</v>
      </c>
    </row>
    <row r="84" spans="1:33" x14ac:dyDescent="0.35">
      <c r="A84">
        <v>241</v>
      </c>
      <c r="B84" t="s">
        <v>552</v>
      </c>
      <c r="C84" t="s">
        <v>27</v>
      </c>
      <c r="D84" t="s">
        <v>28</v>
      </c>
      <c r="E84" t="s">
        <v>101</v>
      </c>
      <c r="F84" t="s">
        <v>553</v>
      </c>
      <c r="G84" s="1">
        <v>2003</v>
      </c>
      <c r="H84" s="1">
        <v>13</v>
      </c>
      <c r="I84" s="1">
        <v>12</v>
      </c>
      <c r="J84" s="2">
        <f>Table1[[#This Row],[STARTS]]/Table1[[#This Row],[MP]]</f>
        <v>0.92307692307692313</v>
      </c>
      <c r="K84" s="1">
        <v>1044</v>
      </c>
      <c r="L84" s="1">
        <v>11.6</v>
      </c>
      <c r="M84" s="1">
        <v>1</v>
      </c>
      <c r="N84" s="2">
        <f>Table1[[#This Row],[G]]/Table1[[#This Row],[MP]]</f>
        <v>7.6923076923076927E-2</v>
      </c>
      <c r="O84" s="2">
        <v>1</v>
      </c>
      <c r="P84" s="2">
        <f>Table1[[#This Row],[A]]/Table1[[#This Row],[MP]]</f>
        <v>7.6923076923076927E-2</v>
      </c>
      <c r="Q84" s="2">
        <v>2</v>
      </c>
      <c r="R84" s="2">
        <f>Table1[[#This Row],[PTS]]/Table1[[#This Row],[MP]]</f>
        <v>0.15384615384615385</v>
      </c>
      <c r="S84" s="1">
        <v>1</v>
      </c>
      <c r="T84" s="1">
        <f>Table1[[#This Row],[G]]-Table1[[#This Row],[G_PK]]</f>
        <v>0</v>
      </c>
      <c r="U84" s="1">
        <v>0</v>
      </c>
      <c r="V84" s="1">
        <v>0</v>
      </c>
      <c r="W84" s="1">
        <v>1</v>
      </c>
      <c r="X84" s="1">
        <v>0</v>
      </c>
      <c r="Y84" s="1">
        <f>Table1[[#This Row],[CRDY]]+Table1[[#This Row],[CRDR]]</f>
        <v>1</v>
      </c>
      <c r="Z84" s="1">
        <v>0.6</v>
      </c>
      <c r="AA84" s="2">
        <f>Table1[[#This Row],[XG]]/Table1[[#This Row],[MP]]</f>
        <v>4.6153846153846149E-2</v>
      </c>
      <c r="AB84" s="1">
        <v>0.6</v>
      </c>
      <c r="AC84" s="1">
        <v>0.7</v>
      </c>
      <c r="AD84" s="1">
        <v>1.3</v>
      </c>
      <c r="AE84" s="1">
        <v>22</v>
      </c>
      <c r="AF84" s="1">
        <v>56</v>
      </c>
      <c r="AG84" s="1">
        <v>33</v>
      </c>
    </row>
    <row r="85" spans="1:33" x14ac:dyDescent="0.35">
      <c r="A85">
        <v>244</v>
      </c>
      <c r="B85" t="s">
        <v>558</v>
      </c>
      <c r="C85" t="s">
        <v>106</v>
      </c>
      <c r="D85" t="s">
        <v>28</v>
      </c>
      <c r="E85" t="s">
        <v>38</v>
      </c>
      <c r="F85" t="s">
        <v>559</v>
      </c>
      <c r="G85" s="1">
        <v>2001</v>
      </c>
      <c r="H85" s="1">
        <v>13</v>
      </c>
      <c r="I85" s="1">
        <v>12</v>
      </c>
      <c r="J85" s="2">
        <f>Table1[[#This Row],[STARTS]]/Table1[[#This Row],[MP]]</f>
        <v>0.92307692307692313</v>
      </c>
      <c r="K85" s="1">
        <v>1057</v>
      </c>
      <c r="L85" s="1">
        <v>11.7</v>
      </c>
      <c r="M85" s="1">
        <v>1</v>
      </c>
      <c r="N85" s="2">
        <f>Table1[[#This Row],[G]]/Table1[[#This Row],[MP]]</f>
        <v>7.6923076923076927E-2</v>
      </c>
      <c r="O85" s="2">
        <v>1</v>
      </c>
      <c r="P85" s="2">
        <f>Table1[[#This Row],[A]]/Table1[[#This Row],[MP]]</f>
        <v>7.6923076923076927E-2</v>
      </c>
      <c r="Q85" s="2">
        <v>2</v>
      </c>
      <c r="R85" s="2">
        <f>Table1[[#This Row],[PTS]]/Table1[[#This Row],[MP]]</f>
        <v>0.15384615384615385</v>
      </c>
      <c r="S85" s="1">
        <v>1</v>
      </c>
      <c r="T85" s="1">
        <f>Table1[[#This Row],[G]]-Table1[[#This Row],[G_PK]]</f>
        <v>0</v>
      </c>
      <c r="U85" s="1">
        <v>0</v>
      </c>
      <c r="V85" s="1">
        <v>0</v>
      </c>
      <c r="W85" s="1">
        <v>4</v>
      </c>
      <c r="X85" s="1">
        <v>0</v>
      </c>
      <c r="Y85" s="1">
        <f>Table1[[#This Row],[CRDY]]+Table1[[#This Row],[CRDR]]</f>
        <v>4</v>
      </c>
      <c r="Z85" s="1">
        <v>0.3</v>
      </c>
      <c r="AA85" s="2">
        <f>Table1[[#This Row],[XG]]/Table1[[#This Row],[MP]]</f>
        <v>2.3076923076923075E-2</v>
      </c>
      <c r="AB85" s="1">
        <v>0.3</v>
      </c>
      <c r="AC85" s="1">
        <v>0.3</v>
      </c>
      <c r="AD85" s="1">
        <v>0.6</v>
      </c>
      <c r="AE85" s="1">
        <v>13</v>
      </c>
      <c r="AF85" s="1">
        <v>57</v>
      </c>
      <c r="AG85" s="1">
        <v>28</v>
      </c>
    </row>
    <row r="86" spans="1:33" x14ac:dyDescent="0.35">
      <c r="A86">
        <v>260</v>
      </c>
      <c r="B86" t="s">
        <v>588</v>
      </c>
      <c r="C86" t="s">
        <v>27</v>
      </c>
      <c r="D86" t="s">
        <v>32</v>
      </c>
      <c r="E86" t="s">
        <v>164</v>
      </c>
      <c r="F86" t="s">
        <v>589</v>
      </c>
      <c r="G86" s="1">
        <v>2004</v>
      </c>
      <c r="H86" s="1">
        <v>13</v>
      </c>
      <c r="I86" s="1">
        <v>13</v>
      </c>
      <c r="J86" s="2">
        <f>Table1[[#This Row],[STARTS]]/Table1[[#This Row],[MP]]</f>
        <v>1</v>
      </c>
      <c r="K86" s="1">
        <v>1126</v>
      </c>
      <c r="L86" s="1">
        <v>12.5</v>
      </c>
      <c r="M86" s="1">
        <v>1</v>
      </c>
      <c r="N86" s="2">
        <f>Table1[[#This Row],[G]]/Table1[[#This Row],[MP]]</f>
        <v>7.6923076923076927E-2</v>
      </c>
      <c r="O86" s="2">
        <v>1</v>
      </c>
      <c r="P86" s="2">
        <f>Table1[[#This Row],[A]]/Table1[[#This Row],[MP]]</f>
        <v>7.6923076923076927E-2</v>
      </c>
      <c r="Q86" s="2">
        <v>2</v>
      </c>
      <c r="R86" s="2">
        <f>Table1[[#This Row],[PTS]]/Table1[[#This Row],[MP]]</f>
        <v>0.15384615384615385</v>
      </c>
      <c r="S86" s="1">
        <v>0</v>
      </c>
      <c r="T86" s="1">
        <f>Table1[[#This Row],[G]]-Table1[[#This Row],[G_PK]]</f>
        <v>1</v>
      </c>
      <c r="U86" s="1">
        <v>1</v>
      </c>
      <c r="V86" s="1">
        <v>1</v>
      </c>
      <c r="W86" s="1">
        <v>0</v>
      </c>
      <c r="X86" s="1">
        <v>0</v>
      </c>
      <c r="Y86" s="1">
        <f>Table1[[#This Row],[CRDY]]+Table1[[#This Row],[CRDR]]</f>
        <v>0</v>
      </c>
      <c r="Z86" s="1">
        <v>2.1</v>
      </c>
      <c r="AA86" s="2">
        <f>Table1[[#This Row],[XG]]/Table1[[#This Row],[MP]]</f>
        <v>0.16153846153846155</v>
      </c>
      <c r="AB86" s="1">
        <v>1.4</v>
      </c>
      <c r="AC86" s="1">
        <v>1.5</v>
      </c>
      <c r="AD86" s="1">
        <v>2.9</v>
      </c>
      <c r="AE86" s="1">
        <v>23</v>
      </c>
      <c r="AF86" s="1">
        <v>33</v>
      </c>
      <c r="AG86" s="1">
        <v>61</v>
      </c>
    </row>
    <row r="87" spans="1:33" x14ac:dyDescent="0.35">
      <c r="A87">
        <v>262</v>
      </c>
      <c r="B87" t="s">
        <v>592</v>
      </c>
      <c r="C87" t="s">
        <v>27</v>
      </c>
      <c r="D87" t="s">
        <v>32</v>
      </c>
      <c r="E87" t="s">
        <v>42</v>
      </c>
      <c r="F87" t="s">
        <v>593</v>
      </c>
      <c r="G87" s="1">
        <v>2004</v>
      </c>
      <c r="H87" s="1">
        <v>13</v>
      </c>
      <c r="I87" s="1">
        <v>8</v>
      </c>
      <c r="J87" s="2">
        <f>Table1[[#This Row],[STARTS]]/Table1[[#This Row],[MP]]</f>
        <v>0.61538461538461542</v>
      </c>
      <c r="K87" s="1">
        <v>740</v>
      </c>
      <c r="L87" s="1">
        <v>8.1999999999999993</v>
      </c>
      <c r="M87" s="1">
        <v>1</v>
      </c>
      <c r="N87" s="2">
        <f>Table1[[#This Row],[G]]/Table1[[#This Row],[MP]]</f>
        <v>7.6923076923076927E-2</v>
      </c>
      <c r="O87" s="2">
        <v>1</v>
      </c>
      <c r="P87" s="2">
        <f>Table1[[#This Row],[A]]/Table1[[#This Row],[MP]]</f>
        <v>7.6923076923076927E-2</v>
      </c>
      <c r="Q87" s="2">
        <v>2</v>
      </c>
      <c r="R87" s="2">
        <f>Table1[[#This Row],[PTS]]/Table1[[#This Row],[MP]]</f>
        <v>0.15384615384615385</v>
      </c>
      <c r="S87" s="1">
        <v>1</v>
      </c>
      <c r="T87" s="1">
        <f>Table1[[#This Row],[G]]-Table1[[#This Row],[G_PK]]</f>
        <v>0</v>
      </c>
      <c r="U87" s="1">
        <v>0</v>
      </c>
      <c r="V87" s="1">
        <v>1</v>
      </c>
      <c r="W87" s="1">
        <v>1</v>
      </c>
      <c r="X87" s="1">
        <v>0</v>
      </c>
      <c r="Y87" s="1">
        <f>Table1[[#This Row],[CRDY]]+Table1[[#This Row],[CRDR]]</f>
        <v>1</v>
      </c>
      <c r="Z87" s="1">
        <v>3.4</v>
      </c>
      <c r="AA87" s="2">
        <f>Table1[[#This Row],[XG]]/Table1[[#This Row],[MP]]</f>
        <v>0.26153846153846155</v>
      </c>
      <c r="AB87" s="1">
        <v>2.6</v>
      </c>
      <c r="AC87" s="1">
        <v>1.5</v>
      </c>
      <c r="AD87" s="1">
        <v>4.2</v>
      </c>
      <c r="AE87" s="1">
        <v>9</v>
      </c>
      <c r="AF87" s="1">
        <v>32</v>
      </c>
      <c r="AG87" s="1">
        <v>49</v>
      </c>
    </row>
    <row r="88" spans="1:33" x14ac:dyDescent="0.35">
      <c r="A88">
        <v>263</v>
      </c>
      <c r="B88" t="s">
        <v>594</v>
      </c>
      <c r="C88" t="s">
        <v>27</v>
      </c>
      <c r="D88" t="s">
        <v>62</v>
      </c>
      <c r="E88" t="s">
        <v>51</v>
      </c>
      <c r="F88" t="s">
        <v>595</v>
      </c>
      <c r="G88" s="1">
        <v>1999</v>
      </c>
      <c r="H88" s="1">
        <v>13</v>
      </c>
      <c r="I88" s="1">
        <v>12</v>
      </c>
      <c r="J88" s="2">
        <f>Table1[[#This Row],[STARTS]]/Table1[[#This Row],[MP]]</f>
        <v>0.92307692307692313</v>
      </c>
      <c r="K88" s="1">
        <v>991</v>
      </c>
      <c r="L88" s="1">
        <v>11</v>
      </c>
      <c r="M88" s="1">
        <v>1</v>
      </c>
      <c r="N88" s="2">
        <f>Table1[[#This Row],[G]]/Table1[[#This Row],[MP]]</f>
        <v>7.6923076923076927E-2</v>
      </c>
      <c r="O88" s="2">
        <v>1</v>
      </c>
      <c r="P88" s="2">
        <f>Table1[[#This Row],[A]]/Table1[[#This Row],[MP]]</f>
        <v>7.6923076923076927E-2</v>
      </c>
      <c r="Q88" s="2">
        <v>2</v>
      </c>
      <c r="R88" s="2">
        <f>Table1[[#This Row],[PTS]]/Table1[[#This Row],[MP]]</f>
        <v>0.15384615384615385</v>
      </c>
      <c r="S88" s="1">
        <v>1</v>
      </c>
      <c r="T88" s="1">
        <f>Table1[[#This Row],[G]]-Table1[[#This Row],[G_PK]]</f>
        <v>0</v>
      </c>
      <c r="U88" s="1">
        <v>0</v>
      </c>
      <c r="V88" s="1">
        <v>0</v>
      </c>
      <c r="W88" s="1">
        <v>1</v>
      </c>
      <c r="X88" s="1">
        <v>0</v>
      </c>
      <c r="Y88" s="1">
        <f>Table1[[#This Row],[CRDY]]+Table1[[#This Row],[CRDR]]</f>
        <v>1</v>
      </c>
      <c r="Z88" s="1">
        <v>0.5</v>
      </c>
      <c r="AA88" s="2">
        <f>Table1[[#This Row],[XG]]/Table1[[#This Row],[MP]]</f>
        <v>3.8461538461538464E-2</v>
      </c>
      <c r="AB88" s="1">
        <v>0.5</v>
      </c>
      <c r="AC88" s="1">
        <v>1.3</v>
      </c>
      <c r="AD88" s="1">
        <v>1.7</v>
      </c>
      <c r="AE88" s="1">
        <v>12</v>
      </c>
      <c r="AF88" s="1">
        <v>45</v>
      </c>
      <c r="AG88" s="1">
        <v>30</v>
      </c>
    </row>
    <row r="89" spans="1:33" x14ac:dyDescent="0.35">
      <c r="A89">
        <v>295</v>
      </c>
      <c r="B89" t="s">
        <v>657</v>
      </c>
      <c r="C89" t="s">
        <v>27</v>
      </c>
      <c r="D89" t="s">
        <v>28</v>
      </c>
      <c r="E89" t="s">
        <v>54</v>
      </c>
      <c r="F89" t="s">
        <v>658</v>
      </c>
      <c r="G89" s="1">
        <v>1998</v>
      </c>
      <c r="H89" s="1">
        <v>13</v>
      </c>
      <c r="I89" s="1">
        <v>13</v>
      </c>
      <c r="J89" s="2">
        <f>Table1[[#This Row],[STARTS]]/Table1[[#This Row],[MP]]</f>
        <v>1</v>
      </c>
      <c r="K89" s="1">
        <v>1056</v>
      </c>
      <c r="L89" s="1">
        <v>11.7</v>
      </c>
      <c r="M89" s="1">
        <v>1</v>
      </c>
      <c r="N89" s="2">
        <f>Table1[[#This Row],[G]]/Table1[[#This Row],[MP]]</f>
        <v>7.6923076923076927E-2</v>
      </c>
      <c r="O89" s="2">
        <v>1</v>
      </c>
      <c r="P89" s="2">
        <f>Table1[[#This Row],[A]]/Table1[[#This Row],[MP]]</f>
        <v>7.6923076923076927E-2</v>
      </c>
      <c r="Q89" s="2">
        <v>2</v>
      </c>
      <c r="R89" s="2">
        <f>Table1[[#This Row],[PTS]]/Table1[[#This Row],[MP]]</f>
        <v>0.15384615384615385</v>
      </c>
      <c r="S89" s="1">
        <v>1</v>
      </c>
      <c r="T89" s="1">
        <f>Table1[[#This Row],[G]]-Table1[[#This Row],[G_PK]]</f>
        <v>0</v>
      </c>
      <c r="U89" s="1">
        <v>0</v>
      </c>
      <c r="V89" s="1">
        <v>0</v>
      </c>
      <c r="W89" s="1">
        <v>1</v>
      </c>
      <c r="X89" s="1">
        <v>0</v>
      </c>
      <c r="Y89" s="1">
        <f>Table1[[#This Row],[CRDY]]+Table1[[#This Row],[CRDR]]</f>
        <v>1</v>
      </c>
      <c r="Z89" s="1">
        <v>0.7</v>
      </c>
      <c r="AA89" s="2">
        <f>Table1[[#This Row],[XG]]/Table1[[#This Row],[MP]]</f>
        <v>5.3846153846153842E-2</v>
      </c>
      <c r="AB89" s="1">
        <v>0.7</v>
      </c>
      <c r="AC89" s="1">
        <v>0.4</v>
      </c>
      <c r="AD89" s="1">
        <v>1.1000000000000001</v>
      </c>
      <c r="AE89" s="1">
        <v>21</v>
      </c>
      <c r="AF89" s="1">
        <v>56</v>
      </c>
      <c r="AG89" s="1">
        <v>31</v>
      </c>
    </row>
    <row r="90" spans="1:33" x14ac:dyDescent="0.35">
      <c r="A90">
        <v>298</v>
      </c>
      <c r="B90" t="s">
        <v>663</v>
      </c>
      <c r="C90" t="s">
        <v>27</v>
      </c>
      <c r="D90" t="s">
        <v>37</v>
      </c>
      <c r="E90" t="s">
        <v>29</v>
      </c>
      <c r="F90" t="s">
        <v>664</v>
      </c>
      <c r="G90" s="1">
        <v>1997</v>
      </c>
      <c r="H90" s="1">
        <v>13</v>
      </c>
      <c r="I90" s="1">
        <v>10</v>
      </c>
      <c r="J90" s="2">
        <f>Table1[[#This Row],[STARTS]]/Table1[[#This Row],[MP]]</f>
        <v>0.76923076923076927</v>
      </c>
      <c r="K90" s="1">
        <v>821</v>
      </c>
      <c r="L90" s="1">
        <v>9.1</v>
      </c>
      <c r="M90" s="1">
        <v>1</v>
      </c>
      <c r="N90" s="2">
        <f>Table1[[#This Row],[G]]/Table1[[#This Row],[MP]]</f>
        <v>7.6923076923076927E-2</v>
      </c>
      <c r="O90" s="2">
        <v>1</v>
      </c>
      <c r="P90" s="2">
        <f>Table1[[#This Row],[A]]/Table1[[#This Row],[MP]]</f>
        <v>7.6923076923076927E-2</v>
      </c>
      <c r="Q90" s="2">
        <v>2</v>
      </c>
      <c r="R90" s="2">
        <f>Table1[[#This Row],[PTS]]/Table1[[#This Row],[MP]]</f>
        <v>0.15384615384615385</v>
      </c>
      <c r="S90" s="1">
        <v>1</v>
      </c>
      <c r="T90" s="1">
        <f>Table1[[#This Row],[G]]-Table1[[#This Row],[G_PK]]</f>
        <v>0</v>
      </c>
      <c r="U90" s="1">
        <v>0</v>
      </c>
      <c r="V90" s="1">
        <v>0</v>
      </c>
      <c r="W90" s="1">
        <v>1</v>
      </c>
      <c r="X90" s="1">
        <v>0</v>
      </c>
      <c r="Y90" s="1">
        <f>Table1[[#This Row],[CRDY]]+Table1[[#This Row],[CRDR]]</f>
        <v>1</v>
      </c>
      <c r="Z90" s="1">
        <v>3.3</v>
      </c>
      <c r="AA90" s="2">
        <f>Table1[[#This Row],[XG]]/Table1[[#This Row],[MP]]</f>
        <v>0.25384615384615383</v>
      </c>
      <c r="AB90" s="1">
        <v>3.3</v>
      </c>
      <c r="AC90" s="1">
        <v>0.8</v>
      </c>
      <c r="AD90" s="1">
        <v>4.0999999999999996</v>
      </c>
      <c r="AE90" s="1">
        <v>19</v>
      </c>
      <c r="AF90" s="1">
        <v>13</v>
      </c>
      <c r="AG90" s="1">
        <v>55</v>
      </c>
    </row>
    <row r="91" spans="1:33" x14ac:dyDescent="0.35">
      <c r="A91">
        <v>306</v>
      </c>
      <c r="B91" t="s">
        <v>678</v>
      </c>
      <c r="C91" t="s">
        <v>27</v>
      </c>
      <c r="D91" t="s">
        <v>50</v>
      </c>
      <c r="E91" t="s">
        <v>42</v>
      </c>
      <c r="F91" t="s">
        <v>679</v>
      </c>
      <c r="G91" s="1">
        <v>1996</v>
      </c>
      <c r="H91" s="1">
        <v>13</v>
      </c>
      <c r="I91" s="1">
        <v>13</v>
      </c>
      <c r="J91" s="2">
        <f>Table1[[#This Row],[STARTS]]/Table1[[#This Row],[MP]]</f>
        <v>1</v>
      </c>
      <c r="K91" s="1">
        <v>1170</v>
      </c>
      <c r="L91" s="1">
        <v>13</v>
      </c>
      <c r="M91" s="1">
        <v>1</v>
      </c>
      <c r="N91" s="2">
        <f>Table1[[#This Row],[G]]/Table1[[#This Row],[MP]]</f>
        <v>7.6923076923076927E-2</v>
      </c>
      <c r="O91" s="2">
        <v>1</v>
      </c>
      <c r="P91" s="2">
        <f>Table1[[#This Row],[A]]/Table1[[#This Row],[MP]]</f>
        <v>7.6923076923076927E-2</v>
      </c>
      <c r="Q91" s="2">
        <v>2</v>
      </c>
      <c r="R91" s="2">
        <f>Table1[[#This Row],[PTS]]/Table1[[#This Row],[MP]]</f>
        <v>0.15384615384615385</v>
      </c>
      <c r="S91" s="1">
        <v>1</v>
      </c>
      <c r="T91" s="1">
        <f>Table1[[#This Row],[G]]-Table1[[#This Row],[G_PK]]</f>
        <v>0</v>
      </c>
      <c r="U91" s="1">
        <v>0</v>
      </c>
      <c r="V91" s="1">
        <v>0</v>
      </c>
      <c r="W91" s="1">
        <v>1</v>
      </c>
      <c r="X91" s="1">
        <v>0</v>
      </c>
      <c r="Y91" s="1">
        <f>Table1[[#This Row],[CRDY]]+Table1[[#This Row],[CRDR]]</f>
        <v>1</v>
      </c>
      <c r="Z91" s="1">
        <v>0.9</v>
      </c>
      <c r="AA91" s="2">
        <f>Table1[[#This Row],[XG]]/Table1[[#This Row],[MP]]</f>
        <v>6.9230769230769235E-2</v>
      </c>
      <c r="AB91" s="1">
        <v>0.9</v>
      </c>
      <c r="AC91" s="1">
        <v>2.2000000000000002</v>
      </c>
      <c r="AD91" s="1">
        <v>3.1</v>
      </c>
      <c r="AE91" s="1">
        <v>39</v>
      </c>
      <c r="AF91" s="1">
        <v>63</v>
      </c>
      <c r="AG91" s="1">
        <v>75</v>
      </c>
    </row>
    <row r="92" spans="1:33" x14ac:dyDescent="0.35">
      <c r="A92">
        <v>227</v>
      </c>
      <c r="B92" t="s">
        <v>523</v>
      </c>
      <c r="C92" t="s">
        <v>27</v>
      </c>
      <c r="D92" t="s">
        <v>50</v>
      </c>
      <c r="E92" t="s">
        <v>29</v>
      </c>
      <c r="F92" t="s">
        <v>524</v>
      </c>
      <c r="G92" s="1">
        <v>1993</v>
      </c>
      <c r="H92" s="1">
        <v>10</v>
      </c>
      <c r="I92" s="1">
        <v>6</v>
      </c>
      <c r="J92" s="2">
        <f>Table1[[#This Row],[STARTS]]/Table1[[#This Row],[MP]]</f>
        <v>0.6</v>
      </c>
      <c r="K92" s="1">
        <v>569</v>
      </c>
      <c r="L92" s="1">
        <v>6.3</v>
      </c>
      <c r="M92" s="1">
        <v>0</v>
      </c>
      <c r="N92" s="2">
        <f>Table1[[#This Row],[G]]/Table1[[#This Row],[MP]]</f>
        <v>0</v>
      </c>
      <c r="O92" s="2">
        <v>2</v>
      </c>
      <c r="P92" s="2">
        <f>Table1[[#This Row],[A]]/Table1[[#This Row],[MP]]</f>
        <v>0.2</v>
      </c>
      <c r="Q92" s="2">
        <v>2</v>
      </c>
      <c r="R92" s="2">
        <f>Table1[[#This Row],[PTS]]/Table1[[#This Row],[MP]]</f>
        <v>0.2</v>
      </c>
      <c r="S92" s="1">
        <v>0</v>
      </c>
      <c r="T92" s="1">
        <f>Table1[[#This Row],[G]]-Table1[[#This Row],[G_PK]]</f>
        <v>0</v>
      </c>
      <c r="U92" s="1">
        <v>0</v>
      </c>
      <c r="V92" s="1">
        <v>0</v>
      </c>
      <c r="W92" s="1">
        <v>0</v>
      </c>
      <c r="X92" s="1">
        <v>0</v>
      </c>
      <c r="Y92" s="1">
        <f>Table1[[#This Row],[CRDY]]+Table1[[#This Row],[CRDR]]</f>
        <v>0</v>
      </c>
      <c r="Z92" s="1">
        <v>0.3</v>
      </c>
      <c r="AA92" s="2">
        <f>Table1[[#This Row],[XG]]/Table1[[#This Row],[MP]]</f>
        <v>0.03</v>
      </c>
      <c r="AB92" s="1">
        <v>0.3</v>
      </c>
      <c r="AC92" s="1">
        <v>0.6</v>
      </c>
      <c r="AD92" s="1">
        <v>0.9</v>
      </c>
      <c r="AE92" s="1">
        <v>4</v>
      </c>
      <c r="AF92" s="1">
        <v>25</v>
      </c>
      <c r="AG92" s="1">
        <v>46</v>
      </c>
    </row>
    <row r="93" spans="1:33" x14ac:dyDescent="0.35">
      <c r="A93">
        <v>166</v>
      </c>
      <c r="B93" t="s">
        <v>397</v>
      </c>
      <c r="C93" t="s">
        <v>276</v>
      </c>
      <c r="D93" t="s">
        <v>62</v>
      </c>
      <c r="E93" t="s">
        <v>57</v>
      </c>
      <c r="F93" t="s">
        <v>398</v>
      </c>
      <c r="G93" s="1">
        <v>1995</v>
      </c>
      <c r="H93" s="1">
        <v>12</v>
      </c>
      <c r="I93" s="1">
        <v>10</v>
      </c>
      <c r="J93" s="2">
        <f>Table1[[#This Row],[STARTS]]/Table1[[#This Row],[MP]]</f>
        <v>0.83333333333333337</v>
      </c>
      <c r="K93" s="1">
        <v>915</v>
      </c>
      <c r="L93" s="1">
        <v>10.199999999999999</v>
      </c>
      <c r="M93" s="1">
        <v>0</v>
      </c>
      <c r="N93" s="2">
        <f>Table1[[#This Row],[G]]/Table1[[#This Row],[MP]]</f>
        <v>0</v>
      </c>
      <c r="O93" s="2">
        <v>2</v>
      </c>
      <c r="P93" s="2">
        <f>Table1[[#This Row],[A]]/Table1[[#This Row],[MP]]</f>
        <v>0.16666666666666666</v>
      </c>
      <c r="Q93" s="2">
        <v>2</v>
      </c>
      <c r="R93" s="2">
        <f>Table1[[#This Row],[PTS]]/Table1[[#This Row],[MP]]</f>
        <v>0.16666666666666666</v>
      </c>
      <c r="S93" s="1">
        <v>0</v>
      </c>
      <c r="T93" s="1">
        <f>Table1[[#This Row],[G]]-Table1[[#This Row],[G_PK]]</f>
        <v>0</v>
      </c>
      <c r="U93" s="1">
        <v>0</v>
      </c>
      <c r="V93" s="1">
        <v>0</v>
      </c>
      <c r="W93" s="1">
        <v>0</v>
      </c>
      <c r="X93" s="1">
        <v>0</v>
      </c>
      <c r="Y93" s="1">
        <f>Table1[[#This Row],[CRDY]]+Table1[[#This Row],[CRDR]]</f>
        <v>0</v>
      </c>
      <c r="Z93" s="1">
        <v>0.2</v>
      </c>
      <c r="AA93" s="2">
        <f>Table1[[#This Row],[XG]]/Table1[[#This Row],[MP]]</f>
        <v>1.6666666666666666E-2</v>
      </c>
      <c r="AB93" s="1">
        <v>0.2</v>
      </c>
      <c r="AC93" s="1">
        <v>0.3</v>
      </c>
      <c r="AD93" s="1">
        <v>0.5</v>
      </c>
      <c r="AE93" s="1">
        <v>2</v>
      </c>
      <c r="AF93" s="1">
        <v>29</v>
      </c>
      <c r="AG93" s="1">
        <v>5</v>
      </c>
    </row>
    <row r="94" spans="1:33" x14ac:dyDescent="0.35">
      <c r="A94">
        <v>134</v>
      </c>
      <c r="B94" t="s">
        <v>333</v>
      </c>
      <c r="C94" t="s">
        <v>27</v>
      </c>
      <c r="D94" t="s">
        <v>62</v>
      </c>
      <c r="E94" t="s">
        <v>81</v>
      </c>
      <c r="F94" t="s">
        <v>334</v>
      </c>
      <c r="G94" s="1">
        <v>2006</v>
      </c>
      <c r="H94" s="1">
        <v>13</v>
      </c>
      <c r="I94" s="1">
        <v>11</v>
      </c>
      <c r="J94" s="2">
        <f>Table1[[#This Row],[STARTS]]/Table1[[#This Row],[MP]]</f>
        <v>0.84615384615384615</v>
      </c>
      <c r="K94" s="1">
        <v>884</v>
      </c>
      <c r="L94" s="1">
        <v>9.8000000000000007</v>
      </c>
      <c r="M94" s="1">
        <v>0</v>
      </c>
      <c r="N94" s="2">
        <f>Table1[[#This Row],[G]]/Table1[[#This Row],[MP]]</f>
        <v>0</v>
      </c>
      <c r="O94" s="2">
        <v>2</v>
      </c>
      <c r="P94" s="2">
        <f>Table1[[#This Row],[A]]/Table1[[#This Row],[MP]]</f>
        <v>0.15384615384615385</v>
      </c>
      <c r="Q94" s="2">
        <v>2</v>
      </c>
      <c r="R94" s="2">
        <f>Table1[[#This Row],[PTS]]/Table1[[#This Row],[MP]]</f>
        <v>0.15384615384615385</v>
      </c>
      <c r="S94" s="1">
        <v>0</v>
      </c>
      <c r="T94" s="1">
        <f>Table1[[#This Row],[G]]-Table1[[#This Row],[G_PK]]</f>
        <v>0</v>
      </c>
      <c r="U94" s="1">
        <v>0</v>
      </c>
      <c r="V94" s="1">
        <v>0</v>
      </c>
      <c r="W94" s="1">
        <v>2</v>
      </c>
      <c r="X94" s="1">
        <v>0</v>
      </c>
      <c r="Y94" s="1">
        <f>Table1[[#This Row],[CRDY]]+Table1[[#This Row],[CRDR]]</f>
        <v>2</v>
      </c>
      <c r="Z94" s="1">
        <v>0.6</v>
      </c>
      <c r="AA94" s="2">
        <f>Table1[[#This Row],[XG]]/Table1[[#This Row],[MP]]</f>
        <v>4.6153846153846149E-2</v>
      </c>
      <c r="AB94" s="1">
        <v>0.6</v>
      </c>
      <c r="AC94" s="1">
        <v>1.3</v>
      </c>
      <c r="AD94" s="1">
        <v>1.9</v>
      </c>
      <c r="AE94" s="1">
        <v>6</v>
      </c>
      <c r="AF94" s="1">
        <v>46</v>
      </c>
      <c r="AG94" s="1">
        <v>16</v>
      </c>
    </row>
    <row r="95" spans="1:33" x14ac:dyDescent="0.35">
      <c r="A95">
        <v>190</v>
      </c>
      <c r="B95" t="s">
        <v>446</v>
      </c>
      <c r="C95" t="s">
        <v>27</v>
      </c>
      <c r="D95" t="s">
        <v>28</v>
      </c>
      <c r="E95" t="s">
        <v>107</v>
      </c>
      <c r="F95" t="s">
        <v>447</v>
      </c>
      <c r="G95" s="1">
        <v>1999</v>
      </c>
      <c r="H95" s="1">
        <v>13</v>
      </c>
      <c r="I95" s="1">
        <v>12</v>
      </c>
      <c r="J95" s="2">
        <f>Table1[[#This Row],[STARTS]]/Table1[[#This Row],[MP]]</f>
        <v>0.92307692307692313</v>
      </c>
      <c r="K95" s="1">
        <v>1125</v>
      </c>
      <c r="L95" s="1">
        <v>12.5</v>
      </c>
      <c r="M95" s="1">
        <v>0</v>
      </c>
      <c r="N95" s="2">
        <f>Table1[[#This Row],[G]]/Table1[[#This Row],[MP]]</f>
        <v>0</v>
      </c>
      <c r="O95" s="2">
        <v>2</v>
      </c>
      <c r="P95" s="2">
        <f>Table1[[#This Row],[A]]/Table1[[#This Row],[MP]]</f>
        <v>0.15384615384615385</v>
      </c>
      <c r="Q95" s="2">
        <v>2</v>
      </c>
      <c r="R95" s="2">
        <f>Table1[[#This Row],[PTS]]/Table1[[#This Row],[MP]]</f>
        <v>0.15384615384615385</v>
      </c>
      <c r="S95" s="1">
        <v>0</v>
      </c>
      <c r="T95" s="1">
        <f>Table1[[#This Row],[G]]-Table1[[#This Row],[G_PK]]</f>
        <v>0</v>
      </c>
      <c r="U95" s="1">
        <v>0</v>
      </c>
      <c r="V95" s="1">
        <v>0</v>
      </c>
      <c r="W95" s="1">
        <v>2</v>
      </c>
      <c r="X95" s="1">
        <v>0</v>
      </c>
      <c r="Y95" s="1">
        <f>Table1[[#This Row],[CRDY]]+Table1[[#This Row],[CRDR]]</f>
        <v>2</v>
      </c>
      <c r="Z95" s="1">
        <v>0.7</v>
      </c>
      <c r="AA95" s="2">
        <f>Table1[[#This Row],[XG]]/Table1[[#This Row],[MP]]</f>
        <v>5.3846153846153842E-2</v>
      </c>
      <c r="AB95" s="1">
        <v>0.7</v>
      </c>
      <c r="AC95" s="1">
        <v>2.6</v>
      </c>
      <c r="AD95" s="1">
        <v>3.2</v>
      </c>
      <c r="AE95" s="1">
        <v>10</v>
      </c>
      <c r="AF95" s="1">
        <v>51</v>
      </c>
      <c r="AG95" s="1">
        <v>7</v>
      </c>
    </row>
    <row r="96" spans="1:33" x14ac:dyDescent="0.35">
      <c r="A96">
        <v>198</v>
      </c>
      <c r="B96" t="s">
        <v>462</v>
      </c>
      <c r="C96" t="s">
        <v>305</v>
      </c>
      <c r="D96" t="s">
        <v>62</v>
      </c>
      <c r="E96" t="s">
        <v>107</v>
      </c>
      <c r="F96" t="s">
        <v>463</v>
      </c>
      <c r="G96" s="1">
        <v>1997</v>
      </c>
      <c r="H96" s="1">
        <v>13</v>
      </c>
      <c r="I96" s="1">
        <v>13</v>
      </c>
      <c r="J96" s="2">
        <f>Table1[[#This Row],[STARTS]]/Table1[[#This Row],[MP]]</f>
        <v>1</v>
      </c>
      <c r="K96" s="1">
        <v>1069</v>
      </c>
      <c r="L96" s="1">
        <v>11.9</v>
      </c>
      <c r="M96" s="1">
        <v>0</v>
      </c>
      <c r="N96" s="2">
        <f>Table1[[#This Row],[G]]/Table1[[#This Row],[MP]]</f>
        <v>0</v>
      </c>
      <c r="O96" s="2">
        <v>2</v>
      </c>
      <c r="P96" s="2">
        <f>Table1[[#This Row],[A]]/Table1[[#This Row],[MP]]</f>
        <v>0.15384615384615385</v>
      </c>
      <c r="Q96" s="2">
        <v>2</v>
      </c>
      <c r="R96" s="2">
        <f>Table1[[#This Row],[PTS]]/Table1[[#This Row],[MP]]</f>
        <v>0.15384615384615385</v>
      </c>
      <c r="S96" s="1">
        <v>0</v>
      </c>
      <c r="T96" s="1">
        <f>Table1[[#This Row],[G]]-Table1[[#This Row],[G_PK]]</f>
        <v>0</v>
      </c>
      <c r="U96" s="1">
        <v>0</v>
      </c>
      <c r="V96" s="1">
        <v>0</v>
      </c>
      <c r="W96" s="1">
        <v>3</v>
      </c>
      <c r="X96" s="1">
        <v>0</v>
      </c>
      <c r="Y96" s="1">
        <f>Table1[[#This Row],[CRDY]]+Table1[[#This Row],[CRDR]]</f>
        <v>3</v>
      </c>
      <c r="Z96" s="1">
        <v>0.7</v>
      </c>
      <c r="AA96" s="2">
        <f>Table1[[#This Row],[XG]]/Table1[[#This Row],[MP]]</f>
        <v>5.3846153846153842E-2</v>
      </c>
      <c r="AB96" s="1">
        <v>0.7</v>
      </c>
      <c r="AC96" s="1">
        <v>1.3</v>
      </c>
      <c r="AD96" s="1">
        <v>2</v>
      </c>
      <c r="AE96" s="1">
        <v>3</v>
      </c>
      <c r="AF96" s="1">
        <v>43</v>
      </c>
      <c r="AG96" s="1">
        <v>29</v>
      </c>
    </row>
    <row r="97" spans="1:33" x14ac:dyDescent="0.35">
      <c r="A97">
        <v>216</v>
      </c>
      <c r="B97" t="s">
        <v>501</v>
      </c>
      <c r="C97" t="s">
        <v>146</v>
      </c>
      <c r="D97" t="s">
        <v>62</v>
      </c>
      <c r="E97" t="s">
        <v>42</v>
      </c>
      <c r="F97" t="s">
        <v>502</v>
      </c>
      <c r="G97" s="1">
        <v>1994</v>
      </c>
      <c r="H97" s="1">
        <v>13</v>
      </c>
      <c r="I97" s="1">
        <v>13</v>
      </c>
      <c r="J97" s="2">
        <f>Table1[[#This Row],[STARTS]]/Table1[[#This Row],[MP]]</f>
        <v>1</v>
      </c>
      <c r="K97" s="1">
        <v>1170</v>
      </c>
      <c r="L97" s="1">
        <v>13</v>
      </c>
      <c r="M97" s="1">
        <v>0</v>
      </c>
      <c r="N97" s="2">
        <f>Table1[[#This Row],[G]]/Table1[[#This Row],[MP]]</f>
        <v>0</v>
      </c>
      <c r="O97" s="2">
        <v>2</v>
      </c>
      <c r="P97" s="2">
        <f>Table1[[#This Row],[A]]/Table1[[#This Row],[MP]]</f>
        <v>0.15384615384615385</v>
      </c>
      <c r="Q97" s="2">
        <v>2</v>
      </c>
      <c r="R97" s="2">
        <f>Table1[[#This Row],[PTS]]/Table1[[#This Row],[MP]]</f>
        <v>0.15384615384615385</v>
      </c>
      <c r="S97" s="1">
        <v>0</v>
      </c>
      <c r="T97" s="1">
        <f>Table1[[#This Row],[G]]-Table1[[#This Row],[G_PK]]</f>
        <v>0</v>
      </c>
      <c r="U97" s="1">
        <v>0</v>
      </c>
      <c r="V97" s="1">
        <v>0</v>
      </c>
      <c r="W97" s="1">
        <v>1</v>
      </c>
      <c r="X97" s="1">
        <v>0</v>
      </c>
      <c r="Y97" s="1">
        <f>Table1[[#This Row],[CRDY]]+Table1[[#This Row],[CRDR]]</f>
        <v>1</v>
      </c>
      <c r="Z97" s="1">
        <v>0.4</v>
      </c>
      <c r="AA97" s="2">
        <f>Table1[[#This Row],[XG]]/Table1[[#This Row],[MP]]</f>
        <v>3.0769230769230771E-2</v>
      </c>
      <c r="AB97" s="1">
        <v>0.4</v>
      </c>
      <c r="AC97" s="1">
        <v>1.1000000000000001</v>
      </c>
      <c r="AD97" s="1">
        <v>1.5</v>
      </c>
      <c r="AE97" s="1">
        <v>15</v>
      </c>
      <c r="AF97" s="1">
        <v>63</v>
      </c>
      <c r="AG97" s="1">
        <v>32</v>
      </c>
    </row>
    <row r="98" spans="1:33" x14ac:dyDescent="0.35">
      <c r="A98">
        <v>225</v>
      </c>
      <c r="B98" t="s">
        <v>518</v>
      </c>
      <c r="C98" t="s">
        <v>27</v>
      </c>
      <c r="D98" t="s">
        <v>28</v>
      </c>
      <c r="E98" t="s">
        <v>71</v>
      </c>
      <c r="F98" t="s">
        <v>519</v>
      </c>
      <c r="G98" s="1">
        <v>1997</v>
      </c>
      <c r="H98" s="1">
        <v>13</v>
      </c>
      <c r="I98" s="1">
        <v>12</v>
      </c>
      <c r="J98" s="2">
        <f>Table1[[#This Row],[STARTS]]/Table1[[#This Row],[MP]]</f>
        <v>0.92307692307692313</v>
      </c>
      <c r="K98" s="1">
        <v>1080</v>
      </c>
      <c r="L98" s="1">
        <v>12</v>
      </c>
      <c r="M98" s="1">
        <v>0</v>
      </c>
      <c r="N98" s="2">
        <f>Table1[[#This Row],[G]]/Table1[[#This Row],[MP]]</f>
        <v>0</v>
      </c>
      <c r="O98" s="2">
        <v>2</v>
      </c>
      <c r="P98" s="2">
        <f>Table1[[#This Row],[A]]/Table1[[#This Row],[MP]]</f>
        <v>0.15384615384615385</v>
      </c>
      <c r="Q98" s="2">
        <v>2</v>
      </c>
      <c r="R98" s="2">
        <f>Table1[[#This Row],[PTS]]/Table1[[#This Row],[MP]]</f>
        <v>0.15384615384615385</v>
      </c>
      <c r="S98" s="1">
        <v>0</v>
      </c>
      <c r="T98" s="1">
        <f>Table1[[#This Row],[G]]-Table1[[#This Row],[G_PK]]</f>
        <v>0</v>
      </c>
      <c r="U98" s="1">
        <v>0</v>
      </c>
      <c r="V98" s="1">
        <v>0</v>
      </c>
      <c r="W98" s="1">
        <v>1</v>
      </c>
      <c r="X98" s="1">
        <v>0</v>
      </c>
      <c r="Y98" s="1">
        <f>Table1[[#This Row],[CRDY]]+Table1[[#This Row],[CRDR]]</f>
        <v>1</v>
      </c>
      <c r="Z98" s="1">
        <v>0.3</v>
      </c>
      <c r="AA98" s="2">
        <f>Table1[[#This Row],[XG]]/Table1[[#This Row],[MP]]</f>
        <v>2.3076923076923075E-2</v>
      </c>
      <c r="AB98" s="1">
        <v>0.3</v>
      </c>
      <c r="AC98" s="1">
        <v>2.5</v>
      </c>
      <c r="AD98" s="1">
        <v>2.8</v>
      </c>
      <c r="AE98" s="1">
        <v>6</v>
      </c>
      <c r="AF98" s="1">
        <v>41</v>
      </c>
      <c r="AG98" s="1">
        <v>12</v>
      </c>
    </row>
    <row r="99" spans="1:33" x14ac:dyDescent="0.35">
      <c r="A99">
        <v>281</v>
      </c>
      <c r="B99" t="s">
        <v>630</v>
      </c>
      <c r="C99" t="s">
        <v>305</v>
      </c>
      <c r="D99" t="s">
        <v>62</v>
      </c>
      <c r="E99" t="s">
        <v>38</v>
      </c>
      <c r="F99" t="s">
        <v>344</v>
      </c>
      <c r="G99" s="1">
        <v>1997</v>
      </c>
      <c r="H99" s="1">
        <v>13</v>
      </c>
      <c r="I99" s="1">
        <v>12</v>
      </c>
      <c r="J99" s="2">
        <f>Table1[[#This Row],[STARTS]]/Table1[[#This Row],[MP]]</f>
        <v>0.92307692307692313</v>
      </c>
      <c r="K99" s="1">
        <v>990</v>
      </c>
      <c r="L99" s="1">
        <v>11</v>
      </c>
      <c r="M99" s="1">
        <v>0</v>
      </c>
      <c r="N99" s="2">
        <f>Table1[[#This Row],[G]]/Table1[[#This Row],[MP]]</f>
        <v>0</v>
      </c>
      <c r="O99" s="2">
        <v>2</v>
      </c>
      <c r="P99" s="2">
        <f>Table1[[#This Row],[A]]/Table1[[#This Row],[MP]]</f>
        <v>0.15384615384615385</v>
      </c>
      <c r="Q99" s="2">
        <v>2</v>
      </c>
      <c r="R99" s="2">
        <f>Table1[[#This Row],[PTS]]/Table1[[#This Row],[MP]]</f>
        <v>0.15384615384615385</v>
      </c>
      <c r="S99" s="1">
        <v>0</v>
      </c>
      <c r="T99" s="1">
        <f>Table1[[#This Row],[G]]-Table1[[#This Row],[G_PK]]</f>
        <v>0</v>
      </c>
      <c r="U99" s="1">
        <v>0</v>
      </c>
      <c r="V99" s="1">
        <v>0</v>
      </c>
      <c r="W99" s="1">
        <v>1</v>
      </c>
      <c r="X99" s="1">
        <v>0</v>
      </c>
      <c r="Y99" s="1">
        <f>Table1[[#This Row],[CRDY]]+Table1[[#This Row],[CRDR]]</f>
        <v>1</v>
      </c>
      <c r="Z99" s="1">
        <v>2</v>
      </c>
      <c r="AA99" s="2">
        <f>Table1[[#This Row],[XG]]/Table1[[#This Row],[MP]]</f>
        <v>0.15384615384615385</v>
      </c>
      <c r="AB99" s="1">
        <v>2</v>
      </c>
      <c r="AC99" s="1">
        <v>1.8</v>
      </c>
      <c r="AD99" s="1">
        <v>3.8</v>
      </c>
      <c r="AE99" s="1">
        <v>12</v>
      </c>
      <c r="AF99" s="1">
        <v>54</v>
      </c>
      <c r="AG99" s="1">
        <v>47</v>
      </c>
    </row>
    <row r="100" spans="1:33" x14ac:dyDescent="0.35">
      <c r="A100">
        <v>35</v>
      </c>
      <c r="B100" t="s">
        <v>123</v>
      </c>
      <c r="D100" t="s">
        <v>62</v>
      </c>
      <c r="E100" t="s">
        <v>107</v>
      </c>
      <c r="H100" s="1">
        <v>3</v>
      </c>
      <c r="I100" s="1">
        <v>2</v>
      </c>
      <c r="J100" s="2">
        <f>Table1[[#This Row],[STARTS]]/Table1[[#This Row],[MP]]</f>
        <v>0.66666666666666663</v>
      </c>
      <c r="K100" s="1">
        <v>107</v>
      </c>
      <c r="L100" s="1">
        <v>1.2</v>
      </c>
      <c r="M100" s="1">
        <v>1</v>
      </c>
      <c r="N100" s="2">
        <f>Table1[[#This Row],[G]]/Table1[[#This Row],[MP]]</f>
        <v>0.33333333333333331</v>
      </c>
      <c r="O100" s="2">
        <v>0</v>
      </c>
      <c r="P100" s="2">
        <f>Table1[[#This Row],[A]]/Table1[[#This Row],[MP]]</f>
        <v>0</v>
      </c>
      <c r="Q100" s="2">
        <v>1</v>
      </c>
      <c r="R100" s="2">
        <f>Table1[[#This Row],[PTS]]/Table1[[#This Row],[MP]]</f>
        <v>0.33333333333333331</v>
      </c>
      <c r="S100" s="1">
        <v>1</v>
      </c>
      <c r="T100" s="1">
        <f>Table1[[#This Row],[G]]-Table1[[#This Row],[G_PK]]</f>
        <v>0</v>
      </c>
      <c r="U100" s="1">
        <v>0</v>
      </c>
      <c r="V100" s="1">
        <v>0</v>
      </c>
      <c r="W100" s="1">
        <v>0</v>
      </c>
      <c r="X100" s="1">
        <v>0</v>
      </c>
      <c r="Y100" s="1">
        <f>Table1[[#This Row],[CRDY]]+Table1[[#This Row],[CRDR]]</f>
        <v>0</v>
      </c>
      <c r="Z100" s="1">
        <v>0.5</v>
      </c>
      <c r="AA100" s="2">
        <f>Table1[[#This Row],[XG]]/Table1[[#This Row],[MP]]</f>
        <v>0.16666666666666666</v>
      </c>
      <c r="AB100" s="1">
        <v>0.5</v>
      </c>
      <c r="AC100" s="1">
        <v>0.1</v>
      </c>
      <c r="AD100" s="1">
        <v>0.7</v>
      </c>
      <c r="AE100" s="1">
        <v>3</v>
      </c>
      <c r="AF100" s="1">
        <v>3</v>
      </c>
      <c r="AG100" s="1">
        <v>6</v>
      </c>
    </row>
    <row r="101" spans="1:33" x14ac:dyDescent="0.35">
      <c r="A101">
        <v>81</v>
      </c>
      <c r="B101" t="s">
        <v>217</v>
      </c>
      <c r="C101" t="s">
        <v>27</v>
      </c>
      <c r="D101" t="s">
        <v>32</v>
      </c>
      <c r="E101" t="s">
        <v>29</v>
      </c>
      <c r="F101" t="s">
        <v>218</v>
      </c>
      <c r="G101" s="1">
        <v>1998</v>
      </c>
      <c r="H101" s="1">
        <v>3</v>
      </c>
      <c r="I101" s="1">
        <v>1</v>
      </c>
      <c r="J101" s="2">
        <f>Table1[[#This Row],[STARTS]]/Table1[[#This Row],[MP]]</f>
        <v>0.33333333333333331</v>
      </c>
      <c r="K101" s="1">
        <v>81</v>
      </c>
      <c r="L101" s="1">
        <v>0.9</v>
      </c>
      <c r="M101" s="1">
        <v>1</v>
      </c>
      <c r="N101" s="2">
        <f>Table1[[#This Row],[G]]/Table1[[#This Row],[MP]]</f>
        <v>0.33333333333333331</v>
      </c>
      <c r="O101" s="2">
        <v>0</v>
      </c>
      <c r="P101" s="2">
        <f>Table1[[#This Row],[A]]/Table1[[#This Row],[MP]]</f>
        <v>0</v>
      </c>
      <c r="Q101" s="2">
        <v>1</v>
      </c>
      <c r="R101" s="2">
        <f>Table1[[#This Row],[PTS]]/Table1[[#This Row],[MP]]</f>
        <v>0.33333333333333331</v>
      </c>
      <c r="S101" s="1">
        <v>1</v>
      </c>
      <c r="T101" s="1">
        <f>Table1[[#This Row],[G]]-Table1[[#This Row],[G_PK]]</f>
        <v>0</v>
      </c>
      <c r="U101" s="1">
        <v>0</v>
      </c>
      <c r="V101" s="1">
        <v>0</v>
      </c>
      <c r="W101" s="1">
        <v>0</v>
      </c>
      <c r="X101" s="1">
        <v>0</v>
      </c>
      <c r="Y101" s="1">
        <f>Table1[[#This Row],[CRDY]]+Table1[[#This Row],[CRDR]]</f>
        <v>0</v>
      </c>
      <c r="Z101" s="1">
        <v>0.1</v>
      </c>
      <c r="AA101" s="2">
        <f>Table1[[#This Row],[XG]]/Table1[[#This Row],[MP]]</f>
        <v>3.3333333333333333E-2</v>
      </c>
      <c r="AB101" s="1">
        <v>0.1</v>
      </c>
      <c r="AC101" s="1">
        <v>0</v>
      </c>
      <c r="AD101" s="1">
        <v>0.1</v>
      </c>
      <c r="AE101" s="1">
        <v>2</v>
      </c>
      <c r="AF101" s="1">
        <v>1</v>
      </c>
      <c r="AG101" s="1">
        <v>5</v>
      </c>
    </row>
    <row r="102" spans="1:33" x14ac:dyDescent="0.35">
      <c r="A102">
        <v>218</v>
      </c>
      <c r="B102" t="s">
        <v>505</v>
      </c>
      <c r="C102" t="s">
        <v>49</v>
      </c>
      <c r="D102" t="s">
        <v>85</v>
      </c>
      <c r="E102" t="s">
        <v>65</v>
      </c>
      <c r="F102" t="s">
        <v>506</v>
      </c>
      <c r="G102" s="1">
        <v>2005</v>
      </c>
      <c r="H102" s="1">
        <v>3</v>
      </c>
      <c r="I102" s="1">
        <v>1</v>
      </c>
      <c r="J102" s="2">
        <f>Table1[[#This Row],[STARTS]]/Table1[[#This Row],[MP]]</f>
        <v>0.33333333333333331</v>
      </c>
      <c r="K102" s="1">
        <v>144</v>
      </c>
      <c r="L102" s="1">
        <v>1.6</v>
      </c>
      <c r="M102" s="1">
        <v>1</v>
      </c>
      <c r="N102" s="2">
        <f>Table1[[#This Row],[G]]/Table1[[#This Row],[MP]]</f>
        <v>0.33333333333333331</v>
      </c>
      <c r="O102" s="2">
        <v>0</v>
      </c>
      <c r="P102" s="2">
        <f>Table1[[#This Row],[A]]/Table1[[#This Row],[MP]]</f>
        <v>0</v>
      </c>
      <c r="Q102" s="2">
        <v>1</v>
      </c>
      <c r="R102" s="2">
        <f>Table1[[#This Row],[PTS]]/Table1[[#This Row],[MP]]</f>
        <v>0.33333333333333331</v>
      </c>
      <c r="S102" s="1">
        <v>1</v>
      </c>
      <c r="T102" s="1">
        <f>Table1[[#This Row],[G]]-Table1[[#This Row],[G_PK]]</f>
        <v>0</v>
      </c>
      <c r="U102" s="1">
        <v>0</v>
      </c>
      <c r="V102" s="1">
        <v>0</v>
      </c>
      <c r="W102" s="1">
        <v>0</v>
      </c>
      <c r="X102" s="1">
        <v>0</v>
      </c>
      <c r="Y102" s="1">
        <f>Table1[[#This Row],[CRDY]]+Table1[[#This Row],[CRDR]]</f>
        <v>0</v>
      </c>
      <c r="Z102" s="1">
        <v>0.2</v>
      </c>
      <c r="AA102" s="2">
        <f>Table1[[#This Row],[XG]]/Table1[[#This Row],[MP]]</f>
        <v>6.6666666666666666E-2</v>
      </c>
      <c r="AB102" s="1">
        <v>0.2</v>
      </c>
      <c r="AC102" s="1">
        <v>0.2</v>
      </c>
      <c r="AD102" s="1">
        <v>0.3</v>
      </c>
      <c r="AE102" s="1">
        <v>2</v>
      </c>
      <c r="AF102" s="1">
        <v>2</v>
      </c>
      <c r="AG102" s="1">
        <v>12</v>
      </c>
    </row>
    <row r="103" spans="1:33" x14ac:dyDescent="0.35">
      <c r="A103">
        <v>194</v>
      </c>
      <c r="B103" t="s">
        <v>454</v>
      </c>
      <c r="C103" t="s">
        <v>27</v>
      </c>
      <c r="D103" t="s">
        <v>62</v>
      </c>
      <c r="E103" t="s">
        <v>33</v>
      </c>
      <c r="F103" t="s">
        <v>455</v>
      </c>
      <c r="G103" s="1">
        <v>2002</v>
      </c>
      <c r="H103" s="1">
        <v>4</v>
      </c>
      <c r="I103" s="1">
        <v>3</v>
      </c>
      <c r="J103" s="2">
        <f>Table1[[#This Row],[STARTS]]/Table1[[#This Row],[MP]]</f>
        <v>0.75</v>
      </c>
      <c r="K103" s="1">
        <v>271</v>
      </c>
      <c r="L103" s="1">
        <v>3</v>
      </c>
      <c r="M103" s="1">
        <v>1</v>
      </c>
      <c r="N103" s="2">
        <f>Table1[[#This Row],[G]]/Table1[[#This Row],[MP]]</f>
        <v>0.25</v>
      </c>
      <c r="O103" s="2">
        <v>0</v>
      </c>
      <c r="P103" s="2">
        <f>Table1[[#This Row],[A]]/Table1[[#This Row],[MP]]</f>
        <v>0</v>
      </c>
      <c r="Q103" s="2">
        <v>1</v>
      </c>
      <c r="R103" s="2">
        <f>Table1[[#This Row],[PTS]]/Table1[[#This Row],[MP]]</f>
        <v>0.25</v>
      </c>
      <c r="S103" s="1">
        <v>1</v>
      </c>
      <c r="T103" s="1">
        <f>Table1[[#This Row],[G]]-Table1[[#This Row],[G_PK]]</f>
        <v>0</v>
      </c>
      <c r="U103" s="1">
        <v>0</v>
      </c>
      <c r="V103" s="1">
        <v>0</v>
      </c>
      <c r="W103" s="1">
        <v>1</v>
      </c>
      <c r="X103" s="1">
        <v>0</v>
      </c>
      <c r="Y103" s="1">
        <f>Table1[[#This Row],[CRDY]]+Table1[[#This Row],[CRDR]]</f>
        <v>1</v>
      </c>
      <c r="Z103" s="1">
        <v>0.2</v>
      </c>
      <c r="AA103" s="2">
        <f>Table1[[#This Row],[XG]]/Table1[[#This Row],[MP]]</f>
        <v>0.05</v>
      </c>
      <c r="AB103" s="1">
        <v>0.2</v>
      </c>
      <c r="AC103" s="1">
        <v>0.2</v>
      </c>
      <c r="AD103" s="1">
        <v>0.4</v>
      </c>
      <c r="AE103" s="1">
        <v>1</v>
      </c>
      <c r="AF103" s="1">
        <v>11</v>
      </c>
      <c r="AG103" s="1">
        <v>2</v>
      </c>
    </row>
    <row r="104" spans="1:33" x14ac:dyDescent="0.35">
      <c r="A104">
        <v>145</v>
      </c>
      <c r="B104" t="s">
        <v>355</v>
      </c>
      <c r="C104" t="s">
        <v>49</v>
      </c>
      <c r="D104" t="s">
        <v>32</v>
      </c>
      <c r="E104" t="s">
        <v>71</v>
      </c>
      <c r="F104" t="s">
        <v>356</v>
      </c>
      <c r="G104" s="1">
        <v>1997</v>
      </c>
      <c r="H104" s="1">
        <v>5</v>
      </c>
      <c r="I104" s="1">
        <v>0</v>
      </c>
      <c r="J104" s="2">
        <f>Table1[[#This Row],[STARTS]]/Table1[[#This Row],[MP]]</f>
        <v>0</v>
      </c>
      <c r="K104" s="1">
        <v>55</v>
      </c>
      <c r="L104" s="1">
        <v>0.6</v>
      </c>
      <c r="M104" s="1">
        <v>1</v>
      </c>
      <c r="N104" s="2">
        <f>Table1[[#This Row],[G]]/Table1[[#This Row],[MP]]</f>
        <v>0.2</v>
      </c>
      <c r="O104" s="2">
        <v>0</v>
      </c>
      <c r="P104" s="2">
        <f>Table1[[#This Row],[A]]/Table1[[#This Row],[MP]]</f>
        <v>0</v>
      </c>
      <c r="Q104" s="2">
        <v>1</v>
      </c>
      <c r="R104" s="2">
        <f>Table1[[#This Row],[PTS]]/Table1[[#This Row],[MP]]</f>
        <v>0.2</v>
      </c>
      <c r="S104" s="1">
        <v>1</v>
      </c>
      <c r="T104" s="1">
        <f>Table1[[#This Row],[G]]-Table1[[#This Row],[G_PK]]</f>
        <v>0</v>
      </c>
      <c r="U104" s="1">
        <v>0</v>
      </c>
      <c r="V104" s="1">
        <v>0</v>
      </c>
      <c r="W104" s="1">
        <v>0</v>
      </c>
      <c r="X104" s="1">
        <v>0</v>
      </c>
      <c r="Y104" s="1">
        <f>Table1[[#This Row],[CRDY]]+Table1[[#This Row],[CRDR]]</f>
        <v>0</v>
      </c>
      <c r="Z104" s="1">
        <v>0.5</v>
      </c>
      <c r="AA104" s="2">
        <f>Table1[[#This Row],[XG]]/Table1[[#This Row],[MP]]</f>
        <v>0.1</v>
      </c>
      <c r="AB104" s="1">
        <v>0.5</v>
      </c>
      <c r="AC104" s="1">
        <v>0.1</v>
      </c>
      <c r="AD104" s="1">
        <v>0.6</v>
      </c>
      <c r="AE104" s="1">
        <v>1</v>
      </c>
      <c r="AF104" s="1">
        <v>2</v>
      </c>
      <c r="AG104" s="1">
        <v>8</v>
      </c>
    </row>
    <row r="105" spans="1:33" x14ac:dyDescent="0.35">
      <c r="A105">
        <v>4</v>
      </c>
      <c r="B105" t="s">
        <v>40</v>
      </c>
      <c r="C105" t="s">
        <v>41</v>
      </c>
      <c r="D105" t="s">
        <v>32</v>
      </c>
      <c r="E105" t="s">
        <v>42</v>
      </c>
      <c r="F105" t="s">
        <v>43</v>
      </c>
      <c r="G105" s="1">
        <v>2005</v>
      </c>
      <c r="H105" s="1">
        <v>6</v>
      </c>
      <c r="I105" s="1">
        <v>1</v>
      </c>
      <c r="J105" s="2">
        <f>Table1[[#This Row],[STARTS]]/Table1[[#This Row],[MP]]</f>
        <v>0.16666666666666666</v>
      </c>
      <c r="K105" s="1">
        <v>118</v>
      </c>
      <c r="L105" s="1">
        <v>1.3</v>
      </c>
      <c r="M105" s="1">
        <v>1</v>
      </c>
      <c r="N105" s="2">
        <f>Table1[[#This Row],[G]]/Table1[[#This Row],[MP]]</f>
        <v>0.16666666666666666</v>
      </c>
      <c r="O105" s="2">
        <v>0</v>
      </c>
      <c r="P105" s="2">
        <f>Table1[[#This Row],[A]]/Table1[[#This Row],[MP]]</f>
        <v>0</v>
      </c>
      <c r="Q105" s="2">
        <v>1</v>
      </c>
      <c r="R105" s="2">
        <f>Table1[[#This Row],[PTS]]/Table1[[#This Row],[MP]]</f>
        <v>0.16666666666666666</v>
      </c>
      <c r="S105" s="1">
        <v>1</v>
      </c>
      <c r="T105" s="1">
        <f>Table1[[#This Row],[G]]-Table1[[#This Row],[G_PK]]</f>
        <v>0</v>
      </c>
      <c r="U105" s="1">
        <v>0</v>
      </c>
      <c r="V105" s="1">
        <v>0</v>
      </c>
      <c r="W105" s="1">
        <v>0</v>
      </c>
      <c r="X105" s="1">
        <v>0</v>
      </c>
      <c r="Y105" s="1">
        <f>Table1[[#This Row],[CRDY]]+Table1[[#This Row],[CRDR]]</f>
        <v>0</v>
      </c>
      <c r="Z105" s="1">
        <v>0.2</v>
      </c>
      <c r="AA105" s="2">
        <f>Table1[[#This Row],[XG]]/Table1[[#This Row],[MP]]</f>
        <v>3.3333333333333333E-2</v>
      </c>
      <c r="AB105" s="1">
        <v>0.2</v>
      </c>
      <c r="AC105" s="1">
        <v>0.2</v>
      </c>
      <c r="AD105" s="1">
        <v>0.4</v>
      </c>
      <c r="AE105" s="1">
        <v>2</v>
      </c>
      <c r="AF105" s="1">
        <v>2</v>
      </c>
      <c r="AG105" s="1">
        <v>8</v>
      </c>
    </row>
    <row r="106" spans="1:33" x14ac:dyDescent="0.35">
      <c r="A106">
        <v>150</v>
      </c>
      <c r="B106" t="s">
        <v>363</v>
      </c>
      <c r="C106" t="s">
        <v>27</v>
      </c>
      <c r="D106" t="s">
        <v>32</v>
      </c>
      <c r="E106" t="s">
        <v>164</v>
      </c>
      <c r="F106" t="s">
        <v>364</v>
      </c>
      <c r="G106" s="1">
        <v>1997</v>
      </c>
      <c r="H106" s="1">
        <v>6</v>
      </c>
      <c r="I106" s="1">
        <v>5</v>
      </c>
      <c r="J106" s="2">
        <f>Table1[[#This Row],[STARTS]]/Table1[[#This Row],[MP]]</f>
        <v>0.83333333333333337</v>
      </c>
      <c r="K106" s="1">
        <v>336</v>
      </c>
      <c r="L106" s="1">
        <v>3.7</v>
      </c>
      <c r="M106" s="1">
        <v>1</v>
      </c>
      <c r="N106" s="2">
        <f>Table1[[#This Row],[G]]/Table1[[#This Row],[MP]]</f>
        <v>0.16666666666666666</v>
      </c>
      <c r="O106" s="2">
        <v>0</v>
      </c>
      <c r="P106" s="2">
        <f>Table1[[#This Row],[A]]/Table1[[#This Row],[MP]]</f>
        <v>0</v>
      </c>
      <c r="Q106" s="2">
        <v>1</v>
      </c>
      <c r="R106" s="2">
        <f>Table1[[#This Row],[PTS]]/Table1[[#This Row],[MP]]</f>
        <v>0.16666666666666666</v>
      </c>
      <c r="S106" s="1">
        <v>1</v>
      </c>
      <c r="T106" s="1">
        <f>Table1[[#This Row],[G]]-Table1[[#This Row],[G_PK]]</f>
        <v>0</v>
      </c>
      <c r="U106" s="1">
        <v>0</v>
      </c>
      <c r="V106" s="1">
        <v>0</v>
      </c>
      <c r="W106" s="1">
        <v>0</v>
      </c>
      <c r="X106" s="1">
        <v>0</v>
      </c>
      <c r="Y106" s="1">
        <f>Table1[[#This Row],[CRDY]]+Table1[[#This Row],[CRDR]]</f>
        <v>0</v>
      </c>
      <c r="Z106" s="1">
        <v>0.4</v>
      </c>
      <c r="AA106" s="2">
        <f>Table1[[#This Row],[XG]]/Table1[[#This Row],[MP]]</f>
        <v>6.6666666666666666E-2</v>
      </c>
      <c r="AB106" s="1">
        <v>0.4</v>
      </c>
      <c r="AC106" s="1">
        <v>0.4</v>
      </c>
      <c r="AD106" s="1">
        <v>0.8</v>
      </c>
      <c r="AE106" s="1">
        <v>5</v>
      </c>
      <c r="AF106" s="1">
        <v>5</v>
      </c>
      <c r="AG106" s="1">
        <v>13</v>
      </c>
    </row>
    <row r="107" spans="1:33" x14ac:dyDescent="0.35">
      <c r="A107">
        <v>297</v>
      </c>
      <c r="B107" t="s">
        <v>661</v>
      </c>
      <c r="C107" t="s">
        <v>68</v>
      </c>
      <c r="D107" t="s">
        <v>85</v>
      </c>
      <c r="E107" t="s">
        <v>42</v>
      </c>
      <c r="F107" t="s">
        <v>662</v>
      </c>
      <c r="G107" s="1">
        <v>1998</v>
      </c>
      <c r="H107" s="1">
        <v>6</v>
      </c>
      <c r="I107" s="1">
        <v>3</v>
      </c>
      <c r="J107" s="2">
        <f>Table1[[#This Row],[STARTS]]/Table1[[#This Row],[MP]]</f>
        <v>0.5</v>
      </c>
      <c r="K107" s="1">
        <v>265</v>
      </c>
      <c r="L107" s="1">
        <v>2.9</v>
      </c>
      <c r="M107" s="1">
        <v>1</v>
      </c>
      <c r="N107" s="2">
        <f>Table1[[#This Row],[G]]/Table1[[#This Row],[MP]]</f>
        <v>0.16666666666666666</v>
      </c>
      <c r="O107" s="2">
        <v>0</v>
      </c>
      <c r="P107" s="2">
        <f>Table1[[#This Row],[A]]/Table1[[#This Row],[MP]]</f>
        <v>0</v>
      </c>
      <c r="Q107" s="2">
        <v>1</v>
      </c>
      <c r="R107" s="2">
        <f>Table1[[#This Row],[PTS]]/Table1[[#This Row],[MP]]</f>
        <v>0.16666666666666666</v>
      </c>
      <c r="S107" s="1">
        <v>1</v>
      </c>
      <c r="T107" s="1">
        <f>Table1[[#This Row],[G]]-Table1[[#This Row],[G_PK]]</f>
        <v>0</v>
      </c>
      <c r="U107" s="1">
        <v>0</v>
      </c>
      <c r="V107" s="1">
        <v>0</v>
      </c>
      <c r="W107" s="1">
        <v>0</v>
      </c>
      <c r="X107" s="1">
        <v>0</v>
      </c>
      <c r="Y107" s="1">
        <f>Table1[[#This Row],[CRDY]]+Table1[[#This Row],[CRDR]]</f>
        <v>0</v>
      </c>
      <c r="Z107" s="1">
        <v>1.6</v>
      </c>
      <c r="AA107" s="2">
        <f>Table1[[#This Row],[XG]]/Table1[[#This Row],[MP]]</f>
        <v>0.26666666666666666</v>
      </c>
      <c r="AB107" s="1">
        <v>1.6</v>
      </c>
      <c r="AC107" s="1">
        <v>0.7</v>
      </c>
      <c r="AD107" s="1">
        <v>2.2000000000000002</v>
      </c>
      <c r="AE107" s="1">
        <v>4</v>
      </c>
      <c r="AF107" s="1">
        <v>4</v>
      </c>
      <c r="AG107" s="1">
        <v>18</v>
      </c>
    </row>
    <row r="108" spans="1:33" x14ac:dyDescent="0.35">
      <c r="A108">
        <v>106</v>
      </c>
      <c r="B108" t="s">
        <v>272</v>
      </c>
      <c r="C108" t="s">
        <v>273</v>
      </c>
      <c r="D108" t="s">
        <v>37</v>
      </c>
      <c r="E108" t="s">
        <v>57</v>
      </c>
      <c r="F108" t="s">
        <v>274</v>
      </c>
      <c r="G108" s="1">
        <v>1996</v>
      </c>
      <c r="H108" s="1">
        <v>7</v>
      </c>
      <c r="I108" s="1">
        <v>1</v>
      </c>
      <c r="J108" s="2">
        <f>Table1[[#This Row],[STARTS]]/Table1[[#This Row],[MP]]</f>
        <v>0.14285714285714285</v>
      </c>
      <c r="K108" s="1">
        <v>181</v>
      </c>
      <c r="L108" s="1">
        <v>2</v>
      </c>
      <c r="M108" s="1">
        <v>1</v>
      </c>
      <c r="N108" s="2">
        <f>Table1[[#This Row],[G]]/Table1[[#This Row],[MP]]</f>
        <v>0.14285714285714285</v>
      </c>
      <c r="O108" s="2">
        <v>0</v>
      </c>
      <c r="P108" s="2">
        <f>Table1[[#This Row],[A]]/Table1[[#This Row],[MP]]</f>
        <v>0</v>
      </c>
      <c r="Q108" s="2">
        <v>1</v>
      </c>
      <c r="R108" s="2">
        <f>Table1[[#This Row],[PTS]]/Table1[[#This Row],[MP]]</f>
        <v>0.14285714285714285</v>
      </c>
      <c r="S108" s="1">
        <v>1</v>
      </c>
      <c r="T108" s="1">
        <f>Table1[[#This Row],[G]]-Table1[[#This Row],[G_PK]]</f>
        <v>0</v>
      </c>
      <c r="U108" s="1">
        <v>0</v>
      </c>
      <c r="V108" s="1">
        <v>0</v>
      </c>
      <c r="W108" s="1">
        <v>1</v>
      </c>
      <c r="X108" s="1">
        <v>0</v>
      </c>
      <c r="Y108" s="1">
        <f>Table1[[#This Row],[CRDY]]+Table1[[#This Row],[CRDR]]</f>
        <v>1</v>
      </c>
      <c r="Z108" s="1">
        <v>0.1</v>
      </c>
      <c r="AA108" s="2">
        <f>Table1[[#This Row],[XG]]/Table1[[#This Row],[MP]]</f>
        <v>1.4285714285714287E-2</v>
      </c>
      <c r="AB108" s="1">
        <v>0.1</v>
      </c>
      <c r="AC108" s="1">
        <v>0.1</v>
      </c>
      <c r="AD108" s="1">
        <v>0.2</v>
      </c>
      <c r="AE108" s="1">
        <v>3</v>
      </c>
      <c r="AF108" s="1">
        <v>0</v>
      </c>
      <c r="AG108" s="1">
        <v>13</v>
      </c>
    </row>
    <row r="109" spans="1:33" x14ac:dyDescent="0.35">
      <c r="A109">
        <v>13</v>
      </c>
      <c r="B109" t="s">
        <v>70</v>
      </c>
      <c r="C109" t="s">
        <v>41</v>
      </c>
      <c r="D109" t="s">
        <v>62</v>
      </c>
      <c r="E109" t="s">
        <v>71</v>
      </c>
      <c r="F109" t="s">
        <v>72</v>
      </c>
      <c r="G109" s="1">
        <v>1999</v>
      </c>
      <c r="H109" s="1">
        <v>9</v>
      </c>
      <c r="I109" s="1">
        <v>6</v>
      </c>
      <c r="J109" s="2">
        <f>Table1[[#This Row],[STARTS]]/Table1[[#This Row],[MP]]</f>
        <v>0.66666666666666663</v>
      </c>
      <c r="K109" s="1">
        <v>515</v>
      </c>
      <c r="L109" s="1">
        <v>5.7</v>
      </c>
      <c r="M109" s="1">
        <v>1</v>
      </c>
      <c r="N109" s="2">
        <f>Table1[[#This Row],[G]]/Table1[[#This Row],[MP]]</f>
        <v>0.1111111111111111</v>
      </c>
      <c r="O109" s="2">
        <v>0</v>
      </c>
      <c r="P109" s="2">
        <f>Table1[[#This Row],[A]]/Table1[[#This Row],[MP]]</f>
        <v>0</v>
      </c>
      <c r="Q109" s="2">
        <v>1</v>
      </c>
      <c r="R109" s="2">
        <f>Table1[[#This Row],[PTS]]/Table1[[#This Row],[MP]]</f>
        <v>0.1111111111111111</v>
      </c>
      <c r="S109" s="1">
        <v>0</v>
      </c>
      <c r="T109" s="1">
        <f>Table1[[#This Row],[G]]-Table1[[#This Row],[G_PK]]</f>
        <v>1</v>
      </c>
      <c r="U109" s="1">
        <v>1</v>
      </c>
      <c r="V109" s="1">
        <v>1</v>
      </c>
      <c r="W109" s="1">
        <v>0</v>
      </c>
      <c r="X109" s="1">
        <v>0</v>
      </c>
      <c r="Y109" s="1">
        <f>Table1[[#This Row],[CRDY]]+Table1[[#This Row],[CRDR]]</f>
        <v>0</v>
      </c>
      <c r="Z109" s="1">
        <v>2</v>
      </c>
      <c r="AA109" s="2">
        <f>Table1[[#This Row],[XG]]/Table1[[#This Row],[MP]]</f>
        <v>0.22222222222222221</v>
      </c>
      <c r="AB109" s="1">
        <v>1.3</v>
      </c>
      <c r="AC109" s="1">
        <v>0.1</v>
      </c>
      <c r="AD109" s="1">
        <v>1.4</v>
      </c>
      <c r="AE109" s="1">
        <v>4</v>
      </c>
      <c r="AF109" s="1">
        <v>18</v>
      </c>
      <c r="AG109" s="1">
        <v>15</v>
      </c>
    </row>
    <row r="110" spans="1:33" x14ac:dyDescent="0.35">
      <c r="A110">
        <v>39</v>
      </c>
      <c r="B110" t="s">
        <v>130</v>
      </c>
      <c r="C110" t="s">
        <v>27</v>
      </c>
      <c r="D110" t="s">
        <v>37</v>
      </c>
      <c r="E110" t="s">
        <v>107</v>
      </c>
      <c r="F110" t="s">
        <v>131</v>
      </c>
      <c r="G110" s="1">
        <v>2000</v>
      </c>
      <c r="H110" s="1">
        <v>9</v>
      </c>
      <c r="I110" s="1">
        <v>4</v>
      </c>
      <c r="J110" s="2">
        <f>Table1[[#This Row],[STARTS]]/Table1[[#This Row],[MP]]</f>
        <v>0.44444444444444442</v>
      </c>
      <c r="K110" s="1">
        <v>307</v>
      </c>
      <c r="L110" s="1">
        <v>3.4</v>
      </c>
      <c r="M110" s="1">
        <v>1</v>
      </c>
      <c r="N110" s="2">
        <f>Table1[[#This Row],[G]]/Table1[[#This Row],[MP]]</f>
        <v>0.1111111111111111</v>
      </c>
      <c r="O110" s="2">
        <v>0</v>
      </c>
      <c r="P110" s="2">
        <f>Table1[[#This Row],[A]]/Table1[[#This Row],[MP]]</f>
        <v>0</v>
      </c>
      <c r="Q110" s="2">
        <v>1</v>
      </c>
      <c r="R110" s="2">
        <f>Table1[[#This Row],[PTS]]/Table1[[#This Row],[MP]]</f>
        <v>0.1111111111111111</v>
      </c>
      <c r="S110" s="1">
        <v>1</v>
      </c>
      <c r="T110" s="1">
        <f>Table1[[#This Row],[G]]-Table1[[#This Row],[G_PK]]</f>
        <v>0</v>
      </c>
      <c r="U110" s="1">
        <v>0</v>
      </c>
      <c r="V110" s="1">
        <v>0</v>
      </c>
      <c r="W110" s="1">
        <v>0</v>
      </c>
      <c r="X110" s="1">
        <v>0</v>
      </c>
      <c r="Y110" s="1">
        <f>Table1[[#This Row],[CRDY]]+Table1[[#This Row],[CRDR]]</f>
        <v>0</v>
      </c>
      <c r="Z110" s="1">
        <v>1.2</v>
      </c>
      <c r="AA110" s="2">
        <f>Table1[[#This Row],[XG]]/Table1[[#This Row],[MP]]</f>
        <v>0.13333333333333333</v>
      </c>
      <c r="AB110" s="1">
        <v>1.2</v>
      </c>
      <c r="AC110" s="1">
        <v>0.2</v>
      </c>
      <c r="AD110" s="1">
        <v>1.3</v>
      </c>
      <c r="AE110" s="1">
        <v>5</v>
      </c>
      <c r="AF110" s="1">
        <v>9</v>
      </c>
      <c r="AG110" s="1">
        <v>17</v>
      </c>
    </row>
    <row r="111" spans="1:33" x14ac:dyDescent="0.35">
      <c r="A111">
        <v>127</v>
      </c>
      <c r="B111" t="s">
        <v>319</v>
      </c>
      <c r="C111" t="s">
        <v>27</v>
      </c>
      <c r="D111" t="s">
        <v>62</v>
      </c>
      <c r="E111" t="s">
        <v>54</v>
      </c>
      <c r="F111" t="s">
        <v>320</v>
      </c>
      <c r="G111" s="1">
        <v>2001</v>
      </c>
      <c r="H111" s="1">
        <v>10</v>
      </c>
      <c r="I111" s="1">
        <v>6</v>
      </c>
      <c r="J111" s="2">
        <f>Table1[[#This Row],[STARTS]]/Table1[[#This Row],[MP]]</f>
        <v>0.6</v>
      </c>
      <c r="K111" s="1">
        <v>498</v>
      </c>
      <c r="L111" s="1">
        <v>5.5</v>
      </c>
      <c r="M111" s="1">
        <v>1</v>
      </c>
      <c r="N111" s="2">
        <f>Table1[[#This Row],[G]]/Table1[[#This Row],[MP]]</f>
        <v>0.1</v>
      </c>
      <c r="O111" s="2">
        <v>0</v>
      </c>
      <c r="P111" s="2">
        <f>Table1[[#This Row],[A]]/Table1[[#This Row],[MP]]</f>
        <v>0</v>
      </c>
      <c r="Q111" s="2">
        <v>1</v>
      </c>
      <c r="R111" s="2">
        <f>Table1[[#This Row],[PTS]]/Table1[[#This Row],[MP]]</f>
        <v>0.1</v>
      </c>
      <c r="S111" s="1">
        <v>1</v>
      </c>
      <c r="T111" s="1">
        <f>Table1[[#This Row],[G]]-Table1[[#This Row],[G_PK]]</f>
        <v>0</v>
      </c>
      <c r="U111" s="1">
        <v>0</v>
      </c>
      <c r="V111" s="1">
        <v>0</v>
      </c>
      <c r="W111" s="1">
        <v>4</v>
      </c>
      <c r="X111" s="1">
        <v>0</v>
      </c>
      <c r="Y111" s="1">
        <f>Table1[[#This Row],[CRDY]]+Table1[[#This Row],[CRDR]]</f>
        <v>4</v>
      </c>
      <c r="Z111" s="1">
        <v>0.2</v>
      </c>
      <c r="AA111" s="2">
        <f>Table1[[#This Row],[XG]]/Table1[[#This Row],[MP]]</f>
        <v>0.02</v>
      </c>
      <c r="AB111" s="1">
        <v>0.2</v>
      </c>
      <c r="AC111" s="1">
        <v>0.1</v>
      </c>
      <c r="AD111" s="1">
        <v>0.3</v>
      </c>
      <c r="AE111" s="1">
        <v>1</v>
      </c>
      <c r="AF111" s="1">
        <v>15</v>
      </c>
      <c r="AG111" s="1">
        <v>2</v>
      </c>
    </row>
    <row r="112" spans="1:33" x14ac:dyDescent="0.35">
      <c r="A112">
        <v>139</v>
      </c>
      <c r="B112" t="s">
        <v>343</v>
      </c>
      <c r="C112" t="s">
        <v>27</v>
      </c>
      <c r="D112" t="s">
        <v>28</v>
      </c>
      <c r="E112" t="s">
        <v>71</v>
      </c>
      <c r="F112" t="s">
        <v>344</v>
      </c>
      <c r="G112" s="1">
        <v>1997</v>
      </c>
      <c r="H112" s="1">
        <v>10</v>
      </c>
      <c r="I112" s="1">
        <v>10</v>
      </c>
      <c r="J112" s="2">
        <f>Table1[[#This Row],[STARTS]]/Table1[[#This Row],[MP]]</f>
        <v>1</v>
      </c>
      <c r="K112" s="1">
        <v>900</v>
      </c>
      <c r="L112" s="1">
        <v>10</v>
      </c>
      <c r="M112" s="1">
        <v>1</v>
      </c>
      <c r="N112" s="2">
        <f>Table1[[#This Row],[G]]/Table1[[#This Row],[MP]]</f>
        <v>0.1</v>
      </c>
      <c r="O112" s="2">
        <v>0</v>
      </c>
      <c r="P112" s="2">
        <f>Table1[[#This Row],[A]]/Table1[[#This Row],[MP]]</f>
        <v>0</v>
      </c>
      <c r="Q112" s="2">
        <v>1</v>
      </c>
      <c r="R112" s="2">
        <f>Table1[[#This Row],[PTS]]/Table1[[#This Row],[MP]]</f>
        <v>0.1</v>
      </c>
      <c r="S112" s="1">
        <v>1</v>
      </c>
      <c r="T112" s="1">
        <f>Table1[[#This Row],[G]]-Table1[[#This Row],[G_PK]]</f>
        <v>0</v>
      </c>
      <c r="U112" s="1">
        <v>0</v>
      </c>
      <c r="V112" s="1">
        <v>0</v>
      </c>
      <c r="W112" s="1">
        <v>0</v>
      </c>
      <c r="X112" s="1">
        <v>0</v>
      </c>
      <c r="Y112" s="1">
        <f>Table1[[#This Row],[CRDY]]+Table1[[#This Row],[CRDR]]</f>
        <v>0</v>
      </c>
      <c r="Z112" s="1">
        <v>0.7</v>
      </c>
      <c r="AA112" s="2">
        <f>Table1[[#This Row],[XG]]/Table1[[#This Row],[MP]]</f>
        <v>6.9999999999999993E-2</v>
      </c>
      <c r="AB112" s="1">
        <v>0.7</v>
      </c>
      <c r="AC112" s="1">
        <v>0.1</v>
      </c>
      <c r="AD112" s="1">
        <v>0.8</v>
      </c>
      <c r="AE112" s="1">
        <v>6</v>
      </c>
      <c r="AF112" s="1">
        <v>19</v>
      </c>
      <c r="AG112" s="1">
        <v>2</v>
      </c>
    </row>
    <row r="113" spans="1:33" x14ac:dyDescent="0.35">
      <c r="A113">
        <v>163</v>
      </c>
      <c r="B113" t="s">
        <v>391</v>
      </c>
      <c r="C113" t="s">
        <v>27</v>
      </c>
      <c r="D113" t="s">
        <v>32</v>
      </c>
      <c r="E113" t="s">
        <v>38</v>
      </c>
      <c r="F113" t="s">
        <v>392</v>
      </c>
      <c r="G113" s="1">
        <v>2001</v>
      </c>
      <c r="H113" s="1">
        <v>10</v>
      </c>
      <c r="I113" s="1">
        <v>4</v>
      </c>
      <c r="J113" s="2">
        <f>Table1[[#This Row],[STARTS]]/Table1[[#This Row],[MP]]</f>
        <v>0.4</v>
      </c>
      <c r="K113" s="1">
        <v>362</v>
      </c>
      <c r="L113" s="1">
        <v>4</v>
      </c>
      <c r="M113" s="1">
        <v>1</v>
      </c>
      <c r="N113" s="2">
        <f>Table1[[#This Row],[G]]/Table1[[#This Row],[MP]]</f>
        <v>0.1</v>
      </c>
      <c r="O113" s="2">
        <v>0</v>
      </c>
      <c r="P113" s="2">
        <f>Table1[[#This Row],[A]]/Table1[[#This Row],[MP]]</f>
        <v>0</v>
      </c>
      <c r="Q113" s="2">
        <v>1</v>
      </c>
      <c r="R113" s="2">
        <f>Table1[[#This Row],[PTS]]/Table1[[#This Row],[MP]]</f>
        <v>0.1</v>
      </c>
      <c r="S113" s="1">
        <v>1</v>
      </c>
      <c r="T113" s="1">
        <f>Table1[[#This Row],[G]]-Table1[[#This Row],[G_PK]]</f>
        <v>0</v>
      </c>
      <c r="U113" s="1">
        <v>0</v>
      </c>
      <c r="V113" s="1">
        <v>0</v>
      </c>
      <c r="W113" s="1">
        <v>0</v>
      </c>
      <c r="X113" s="1">
        <v>0</v>
      </c>
      <c r="Y113" s="1">
        <f>Table1[[#This Row],[CRDY]]+Table1[[#This Row],[CRDR]]</f>
        <v>0</v>
      </c>
      <c r="Z113" s="1">
        <v>1.1000000000000001</v>
      </c>
      <c r="AA113" s="2">
        <f>Table1[[#This Row],[XG]]/Table1[[#This Row],[MP]]</f>
        <v>0.11000000000000001</v>
      </c>
      <c r="AB113" s="1">
        <v>1.1000000000000001</v>
      </c>
      <c r="AC113" s="1">
        <v>0.4</v>
      </c>
      <c r="AD113" s="1">
        <v>1.5</v>
      </c>
      <c r="AE113" s="1">
        <v>12</v>
      </c>
      <c r="AF113" s="1">
        <v>7</v>
      </c>
      <c r="AG113" s="1">
        <v>52</v>
      </c>
    </row>
    <row r="114" spans="1:33" x14ac:dyDescent="0.35">
      <c r="A114">
        <v>283</v>
      </c>
      <c r="B114" t="s">
        <v>633</v>
      </c>
      <c r="C114" t="s">
        <v>305</v>
      </c>
      <c r="D114" t="s">
        <v>37</v>
      </c>
      <c r="E114" t="s">
        <v>164</v>
      </c>
      <c r="F114" t="s">
        <v>634</v>
      </c>
      <c r="G114" s="1">
        <v>1994</v>
      </c>
      <c r="H114" s="1">
        <v>10</v>
      </c>
      <c r="I114" s="1">
        <v>9</v>
      </c>
      <c r="J114" s="2">
        <f>Table1[[#This Row],[STARTS]]/Table1[[#This Row],[MP]]</f>
        <v>0.9</v>
      </c>
      <c r="K114" s="1">
        <v>831</v>
      </c>
      <c r="L114" s="1">
        <v>9.1999999999999993</v>
      </c>
      <c r="M114" s="1">
        <v>1</v>
      </c>
      <c r="N114" s="2">
        <f>Table1[[#This Row],[G]]/Table1[[#This Row],[MP]]</f>
        <v>0.1</v>
      </c>
      <c r="O114" s="2">
        <v>0</v>
      </c>
      <c r="P114" s="2">
        <f>Table1[[#This Row],[A]]/Table1[[#This Row],[MP]]</f>
        <v>0</v>
      </c>
      <c r="Q114" s="2">
        <v>1</v>
      </c>
      <c r="R114" s="2">
        <f>Table1[[#This Row],[PTS]]/Table1[[#This Row],[MP]]</f>
        <v>0.1</v>
      </c>
      <c r="S114" s="1">
        <v>1</v>
      </c>
      <c r="T114" s="1">
        <f>Table1[[#This Row],[G]]-Table1[[#This Row],[G_PK]]</f>
        <v>0</v>
      </c>
      <c r="U114" s="1">
        <v>0</v>
      </c>
      <c r="V114" s="1">
        <v>0</v>
      </c>
      <c r="W114" s="1">
        <v>1</v>
      </c>
      <c r="X114" s="1">
        <v>0</v>
      </c>
      <c r="Y114" s="1">
        <f>Table1[[#This Row],[CRDY]]+Table1[[#This Row],[CRDR]]</f>
        <v>1</v>
      </c>
      <c r="Z114" s="1">
        <v>1.6</v>
      </c>
      <c r="AA114" s="2">
        <f>Table1[[#This Row],[XG]]/Table1[[#This Row],[MP]]</f>
        <v>0.16</v>
      </c>
      <c r="AB114" s="1">
        <v>1.6</v>
      </c>
      <c r="AC114" s="1">
        <v>1.1000000000000001</v>
      </c>
      <c r="AD114" s="1">
        <v>2.7</v>
      </c>
      <c r="AE114" s="1">
        <v>7</v>
      </c>
      <c r="AF114" s="1">
        <v>25</v>
      </c>
      <c r="AG114" s="1">
        <v>37</v>
      </c>
    </row>
    <row r="115" spans="1:33" x14ac:dyDescent="0.35">
      <c r="A115">
        <v>301</v>
      </c>
      <c r="B115" t="s">
        <v>669</v>
      </c>
      <c r="C115" t="s">
        <v>27</v>
      </c>
      <c r="D115" t="s">
        <v>28</v>
      </c>
      <c r="E115" t="s">
        <v>65</v>
      </c>
      <c r="F115" t="s">
        <v>487</v>
      </c>
      <c r="G115" s="1">
        <v>2001</v>
      </c>
      <c r="H115" s="1">
        <v>10</v>
      </c>
      <c r="I115" s="1">
        <v>8</v>
      </c>
      <c r="J115" s="2">
        <f>Table1[[#This Row],[STARTS]]/Table1[[#This Row],[MP]]</f>
        <v>0.8</v>
      </c>
      <c r="K115" s="1">
        <v>700</v>
      </c>
      <c r="L115" s="1">
        <v>7.8</v>
      </c>
      <c r="M115" s="1">
        <v>1</v>
      </c>
      <c r="N115" s="2">
        <f>Table1[[#This Row],[G]]/Table1[[#This Row],[MP]]</f>
        <v>0.1</v>
      </c>
      <c r="O115" s="2">
        <v>0</v>
      </c>
      <c r="P115" s="2">
        <f>Table1[[#This Row],[A]]/Table1[[#This Row],[MP]]</f>
        <v>0</v>
      </c>
      <c r="Q115" s="2">
        <v>1</v>
      </c>
      <c r="R115" s="2">
        <f>Table1[[#This Row],[PTS]]/Table1[[#This Row],[MP]]</f>
        <v>0.1</v>
      </c>
      <c r="S115" s="1">
        <v>1</v>
      </c>
      <c r="T115" s="1">
        <f>Table1[[#This Row],[G]]-Table1[[#This Row],[G_PK]]</f>
        <v>0</v>
      </c>
      <c r="U115" s="1">
        <v>0</v>
      </c>
      <c r="V115" s="1">
        <v>0</v>
      </c>
      <c r="W115" s="1">
        <v>1</v>
      </c>
      <c r="X115" s="1">
        <v>1</v>
      </c>
      <c r="Y115" s="1">
        <f>Table1[[#This Row],[CRDY]]+Table1[[#This Row],[CRDR]]</f>
        <v>2</v>
      </c>
      <c r="Z115" s="1">
        <v>0.2</v>
      </c>
      <c r="AA115" s="2">
        <f>Table1[[#This Row],[XG]]/Table1[[#This Row],[MP]]</f>
        <v>0.02</v>
      </c>
      <c r="AB115" s="1">
        <v>0.2</v>
      </c>
      <c r="AC115" s="1">
        <v>0.1</v>
      </c>
      <c r="AD115" s="1">
        <v>0.2</v>
      </c>
      <c r="AE115" s="1">
        <v>0</v>
      </c>
      <c r="AF115" s="1">
        <v>14</v>
      </c>
      <c r="AG115" s="1">
        <v>1</v>
      </c>
    </row>
    <row r="116" spans="1:33" x14ac:dyDescent="0.35">
      <c r="A116">
        <v>28</v>
      </c>
      <c r="B116" t="s">
        <v>109</v>
      </c>
      <c r="C116" t="s">
        <v>27</v>
      </c>
      <c r="D116" t="s">
        <v>85</v>
      </c>
      <c r="E116" t="s">
        <v>42</v>
      </c>
      <c r="F116" t="s">
        <v>110</v>
      </c>
      <c r="G116" s="1">
        <v>1999</v>
      </c>
      <c r="H116" s="1">
        <v>11</v>
      </c>
      <c r="I116" s="1">
        <v>3</v>
      </c>
      <c r="J116" s="2">
        <f>Table1[[#This Row],[STARTS]]/Table1[[#This Row],[MP]]</f>
        <v>0.27272727272727271</v>
      </c>
      <c r="K116" s="1">
        <v>406</v>
      </c>
      <c r="L116" s="1">
        <v>4.5</v>
      </c>
      <c r="M116" s="1">
        <v>1</v>
      </c>
      <c r="N116" s="2">
        <f>Table1[[#This Row],[G]]/Table1[[#This Row],[MP]]</f>
        <v>9.0909090909090912E-2</v>
      </c>
      <c r="O116" s="2">
        <v>0</v>
      </c>
      <c r="P116" s="2">
        <f>Table1[[#This Row],[A]]/Table1[[#This Row],[MP]]</f>
        <v>0</v>
      </c>
      <c r="Q116" s="2">
        <v>1</v>
      </c>
      <c r="R116" s="2">
        <f>Table1[[#This Row],[PTS]]/Table1[[#This Row],[MP]]</f>
        <v>9.0909090909090912E-2</v>
      </c>
      <c r="S116" s="1">
        <v>1</v>
      </c>
      <c r="T116" s="1">
        <f>Table1[[#This Row],[G]]-Table1[[#This Row],[G_PK]]</f>
        <v>0</v>
      </c>
      <c r="U116" s="1">
        <v>0</v>
      </c>
      <c r="V116" s="1">
        <v>0</v>
      </c>
      <c r="W116" s="1">
        <v>2</v>
      </c>
      <c r="X116" s="1">
        <v>0</v>
      </c>
      <c r="Y116" s="1">
        <f>Table1[[#This Row],[CRDY]]+Table1[[#This Row],[CRDR]]</f>
        <v>2</v>
      </c>
      <c r="Z116" s="1">
        <v>1.7</v>
      </c>
      <c r="AA116" s="2">
        <f>Table1[[#This Row],[XG]]/Table1[[#This Row],[MP]]</f>
        <v>0.15454545454545454</v>
      </c>
      <c r="AB116" s="1">
        <v>1.7</v>
      </c>
      <c r="AC116" s="1">
        <v>0.4</v>
      </c>
      <c r="AD116" s="1">
        <v>2.1</v>
      </c>
      <c r="AE116" s="1">
        <v>10</v>
      </c>
      <c r="AF116" s="1">
        <v>8</v>
      </c>
      <c r="AG116" s="1">
        <v>33</v>
      </c>
    </row>
    <row r="117" spans="1:33" x14ac:dyDescent="0.35">
      <c r="A117">
        <v>52</v>
      </c>
      <c r="B117" t="s">
        <v>161</v>
      </c>
      <c r="C117" t="s">
        <v>84</v>
      </c>
      <c r="D117" t="s">
        <v>37</v>
      </c>
      <c r="E117" t="s">
        <v>29</v>
      </c>
      <c r="F117" t="s">
        <v>162</v>
      </c>
      <c r="G117" s="1">
        <v>1999</v>
      </c>
      <c r="H117" s="1">
        <v>11</v>
      </c>
      <c r="I117" s="1">
        <v>1</v>
      </c>
      <c r="J117" s="2">
        <f>Table1[[#This Row],[STARTS]]/Table1[[#This Row],[MP]]</f>
        <v>9.0909090909090912E-2</v>
      </c>
      <c r="K117" s="1">
        <v>261</v>
      </c>
      <c r="L117" s="1">
        <v>2.9</v>
      </c>
      <c r="M117" s="1">
        <v>1</v>
      </c>
      <c r="N117" s="2">
        <f>Table1[[#This Row],[G]]/Table1[[#This Row],[MP]]</f>
        <v>9.0909090909090912E-2</v>
      </c>
      <c r="O117" s="2">
        <v>0</v>
      </c>
      <c r="P117" s="2">
        <f>Table1[[#This Row],[A]]/Table1[[#This Row],[MP]]</f>
        <v>0</v>
      </c>
      <c r="Q117" s="2">
        <v>1</v>
      </c>
      <c r="R117" s="2">
        <f>Table1[[#This Row],[PTS]]/Table1[[#This Row],[MP]]</f>
        <v>9.0909090909090912E-2</v>
      </c>
      <c r="S117" s="1">
        <v>1</v>
      </c>
      <c r="T117" s="1">
        <f>Table1[[#This Row],[G]]-Table1[[#This Row],[G_PK]]</f>
        <v>0</v>
      </c>
      <c r="U117" s="1">
        <v>0</v>
      </c>
      <c r="V117" s="1">
        <v>0</v>
      </c>
      <c r="W117" s="1">
        <v>2</v>
      </c>
      <c r="X117" s="1">
        <v>0</v>
      </c>
      <c r="Y117" s="1">
        <f>Table1[[#This Row],[CRDY]]+Table1[[#This Row],[CRDR]]</f>
        <v>2</v>
      </c>
      <c r="Z117" s="1">
        <v>0.1</v>
      </c>
      <c r="AA117" s="2">
        <f>Table1[[#This Row],[XG]]/Table1[[#This Row],[MP]]</f>
        <v>9.0909090909090922E-3</v>
      </c>
      <c r="AB117" s="1">
        <v>0.1</v>
      </c>
      <c r="AC117" s="1">
        <v>0.4</v>
      </c>
      <c r="AD117" s="1">
        <v>0.5</v>
      </c>
      <c r="AE117" s="1">
        <v>21</v>
      </c>
      <c r="AF117" s="1">
        <v>6</v>
      </c>
      <c r="AG117" s="1">
        <v>32</v>
      </c>
    </row>
    <row r="118" spans="1:33" x14ac:dyDescent="0.35">
      <c r="A118">
        <v>110</v>
      </c>
      <c r="B118" t="s">
        <v>282</v>
      </c>
      <c r="C118" t="s">
        <v>27</v>
      </c>
      <c r="D118" t="s">
        <v>32</v>
      </c>
      <c r="E118" t="s">
        <v>57</v>
      </c>
      <c r="F118" t="s">
        <v>283</v>
      </c>
      <c r="G118" s="1">
        <v>1993</v>
      </c>
      <c r="H118" s="1">
        <v>11</v>
      </c>
      <c r="I118" s="1">
        <v>7</v>
      </c>
      <c r="J118" s="2">
        <f>Table1[[#This Row],[STARTS]]/Table1[[#This Row],[MP]]</f>
        <v>0.63636363636363635</v>
      </c>
      <c r="K118" s="1">
        <v>623</v>
      </c>
      <c r="L118" s="1">
        <v>6.9</v>
      </c>
      <c r="M118" s="1">
        <v>1</v>
      </c>
      <c r="N118" s="2">
        <f>Table1[[#This Row],[G]]/Table1[[#This Row],[MP]]</f>
        <v>9.0909090909090912E-2</v>
      </c>
      <c r="O118" s="2">
        <v>0</v>
      </c>
      <c r="P118" s="2">
        <f>Table1[[#This Row],[A]]/Table1[[#This Row],[MP]]</f>
        <v>0</v>
      </c>
      <c r="Q118" s="2">
        <v>1</v>
      </c>
      <c r="R118" s="2">
        <f>Table1[[#This Row],[PTS]]/Table1[[#This Row],[MP]]</f>
        <v>9.0909090909090912E-2</v>
      </c>
      <c r="S118" s="1">
        <v>1</v>
      </c>
      <c r="T118" s="1">
        <f>Table1[[#This Row],[G]]-Table1[[#This Row],[G_PK]]</f>
        <v>0</v>
      </c>
      <c r="U118" s="1">
        <v>0</v>
      </c>
      <c r="V118" s="1">
        <v>0</v>
      </c>
      <c r="W118" s="1">
        <v>1</v>
      </c>
      <c r="X118" s="1">
        <v>0</v>
      </c>
      <c r="Y118" s="1">
        <f>Table1[[#This Row],[CRDY]]+Table1[[#This Row],[CRDR]]</f>
        <v>1</v>
      </c>
      <c r="Z118" s="1">
        <v>0.4</v>
      </c>
      <c r="AA118" s="2">
        <f>Table1[[#This Row],[XG]]/Table1[[#This Row],[MP]]</f>
        <v>3.6363636363636369E-2</v>
      </c>
      <c r="AB118" s="1">
        <v>0.4</v>
      </c>
      <c r="AC118" s="1">
        <v>1.1000000000000001</v>
      </c>
      <c r="AD118" s="1">
        <v>1.5</v>
      </c>
      <c r="AE118" s="1">
        <v>9</v>
      </c>
      <c r="AF118" s="1">
        <v>20</v>
      </c>
      <c r="AG118" s="1">
        <v>23</v>
      </c>
    </row>
    <row r="119" spans="1:33" x14ac:dyDescent="0.35">
      <c r="A119">
        <v>233</v>
      </c>
      <c r="B119" t="s">
        <v>535</v>
      </c>
      <c r="C119" t="s">
        <v>27</v>
      </c>
      <c r="D119" t="s">
        <v>480</v>
      </c>
      <c r="E119" t="s">
        <v>54</v>
      </c>
      <c r="F119" t="s">
        <v>536</v>
      </c>
      <c r="G119" s="1">
        <v>1988</v>
      </c>
      <c r="H119" s="1">
        <v>11</v>
      </c>
      <c r="I119" s="1">
        <v>1</v>
      </c>
      <c r="J119" s="2">
        <f>Table1[[#This Row],[STARTS]]/Table1[[#This Row],[MP]]</f>
        <v>9.0909090909090912E-2</v>
      </c>
      <c r="K119" s="1">
        <v>230</v>
      </c>
      <c r="L119" s="1">
        <v>2.6</v>
      </c>
      <c r="M119" s="1">
        <v>1</v>
      </c>
      <c r="N119" s="2">
        <f>Table1[[#This Row],[G]]/Table1[[#This Row],[MP]]</f>
        <v>9.0909090909090912E-2</v>
      </c>
      <c r="O119" s="2">
        <v>0</v>
      </c>
      <c r="P119" s="2">
        <f>Table1[[#This Row],[A]]/Table1[[#This Row],[MP]]</f>
        <v>0</v>
      </c>
      <c r="Q119" s="2">
        <v>1</v>
      </c>
      <c r="R119" s="2">
        <f>Table1[[#This Row],[PTS]]/Table1[[#This Row],[MP]]</f>
        <v>9.0909090909090912E-2</v>
      </c>
      <c r="S119" s="1">
        <v>1</v>
      </c>
      <c r="T119" s="1">
        <f>Table1[[#This Row],[G]]-Table1[[#This Row],[G_PK]]</f>
        <v>0</v>
      </c>
      <c r="U119" s="1">
        <v>0</v>
      </c>
      <c r="V119" s="1">
        <v>0</v>
      </c>
      <c r="W119" s="1">
        <v>0</v>
      </c>
      <c r="X119" s="1">
        <v>0</v>
      </c>
      <c r="Y119" s="1">
        <f>Table1[[#This Row],[CRDY]]+Table1[[#This Row],[CRDR]]</f>
        <v>0</v>
      </c>
      <c r="Z119" s="1">
        <v>0.5</v>
      </c>
      <c r="AA119" s="2">
        <f>Table1[[#This Row],[XG]]/Table1[[#This Row],[MP]]</f>
        <v>4.5454545454545456E-2</v>
      </c>
      <c r="AB119" s="1">
        <v>0.5</v>
      </c>
      <c r="AC119" s="1">
        <v>0.2</v>
      </c>
      <c r="AD119" s="1">
        <v>0.7</v>
      </c>
      <c r="AE119" s="1">
        <v>7</v>
      </c>
      <c r="AF119" s="1">
        <v>4</v>
      </c>
      <c r="AG119" s="1">
        <v>19</v>
      </c>
    </row>
    <row r="120" spans="1:33" x14ac:dyDescent="0.35">
      <c r="A120">
        <v>48</v>
      </c>
      <c r="B120" t="s">
        <v>151</v>
      </c>
      <c r="C120" t="s">
        <v>152</v>
      </c>
      <c r="D120" t="s">
        <v>32</v>
      </c>
      <c r="E120" t="s">
        <v>38</v>
      </c>
      <c r="F120" t="s">
        <v>153</v>
      </c>
      <c r="G120" s="1">
        <v>1999</v>
      </c>
      <c r="H120" s="1">
        <v>12</v>
      </c>
      <c r="I120" s="1">
        <v>8</v>
      </c>
      <c r="J120" s="2">
        <f>Table1[[#This Row],[STARTS]]/Table1[[#This Row],[MP]]</f>
        <v>0.66666666666666663</v>
      </c>
      <c r="K120" s="1">
        <v>695</v>
      </c>
      <c r="L120" s="1">
        <v>7.7</v>
      </c>
      <c r="M120" s="1">
        <v>1</v>
      </c>
      <c r="N120" s="2">
        <f>Table1[[#This Row],[G]]/Table1[[#This Row],[MP]]</f>
        <v>8.3333333333333329E-2</v>
      </c>
      <c r="O120" s="2">
        <v>0</v>
      </c>
      <c r="P120" s="2">
        <f>Table1[[#This Row],[A]]/Table1[[#This Row],[MP]]</f>
        <v>0</v>
      </c>
      <c r="Q120" s="2">
        <v>1</v>
      </c>
      <c r="R120" s="2">
        <f>Table1[[#This Row],[PTS]]/Table1[[#This Row],[MP]]</f>
        <v>8.3333333333333329E-2</v>
      </c>
      <c r="S120" s="1">
        <v>1</v>
      </c>
      <c r="T120" s="1">
        <f>Table1[[#This Row],[G]]-Table1[[#This Row],[G_PK]]</f>
        <v>0</v>
      </c>
      <c r="U120" s="1">
        <v>0</v>
      </c>
      <c r="V120" s="1">
        <v>0</v>
      </c>
      <c r="W120" s="1">
        <v>1</v>
      </c>
      <c r="X120" s="1">
        <v>0</v>
      </c>
      <c r="Y120" s="1">
        <f>Table1[[#This Row],[CRDY]]+Table1[[#This Row],[CRDR]]</f>
        <v>1</v>
      </c>
      <c r="Z120" s="1">
        <v>1.5</v>
      </c>
      <c r="AA120" s="2">
        <f>Table1[[#This Row],[XG]]/Table1[[#This Row],[MP]]</f>
        <v>0.125</v>
      </c>
      <c r="AB120" s="1">
        <v>1.5</v>
      </c>
      <c r="AC120" s="1">
        <v>1.2</v>
      </c>
      <c r="AD120" s="1">
        <v>2.7</v>
      </c>
      <c r="AE120" s="1">
        <v>6</v>
      </c>
      <c r="AF120" s="1">
        <v>23</v>
      </c>
      <c r="AG120" s="1">
        <v>32</v>
      </c>
    </row>
    <row r="121" spans="1:33" x14ac:dyDescent="0.35">
      <c r="A121">
        <v>86</v>
      </c>
      <c r="B121" t="s">
        <v>227</v>
      </c>
      <c r="C121" t="s">
        <v>27</v>
      </c>
      <c r="D121" t="s">
        <v>28</v>
      </c>
      <c r="E121" t="s">
        <v>29</v>
      </c>
      <c r="F121" t="s">
        <v>228</v>
      </c>
      <c r="G121" s="1">
        <v>2000</v>
      </c>
      <c r="H121" s="1">
        <v>12</v>
      </c>
      <c r="I121" s="1">
        <v>6</v>
      </c>
      <c r="J121" s="2">
        <f>Table1[[#This Row],[STARTS]]/Table1[[#This Row],[MP]]</f>
        <v>0.5</v>
      </c>
      <c r="K121" s="1">
        <v>650</v>
      </c>
      <c r="L121" s="1">
        <v>7.2</v>
      </c>
      <c r="M121" s="1">
        <v>1</v>
      </c>
      <c r="N121" s="2">
        <f>Table1[[#This Row],[G]]/Table1[[#This Row],[MP]]</f>
        <v>8.3333333333333329E-2</v>
      </c>
      <c r="O121" s="2">
        <v>0</v>
      </c>
      <c r="P121" s="2">
        <f>Table1[[#This Row],[A]]/Table1[[#This Row],[MP]]</f>
        <v>0</v>
      </c>
      <c r="Q121" s="2">
        <v>1</v>
      </c>
      <c r="R121" s="2">
        <f>Table1[[#This Row],[PTS]]/Table1[[#This Row],[MP]]</f>
        <v>8.3333333333333329E-2</v>
      </c>
      <c r="S121" s="1">
        <v>1</v>
      </c>
      <c r="T121" s="1">
        <f>Table1[[#This Row],[G]]-Table1[[#This Row],[G_PK]]</f>
        <v>0</v>
      </c>
      <c r="U121" s="1">
        <v>0</v>
      </c>
      <c r="V121" s="1">
        <v>0</v>
      </c>
      <c r="W121" s="1">
        <v>0</v>
      </c>
      <c r="X121" s="1">
        <v>0</v>
      </c>
      <c r="Y121" s="1">
        <f>Table1[[#This Row],[CRDY]]+Table1[[#This Row],[CRDR]]</f>
        <v>0</v>
      </c>
      <c r="Z121" s="1">
        <v>0.1</v>
      </c>
      <c r="AA121" s="2">
        <f>Table1[[#This Row],[XG]]/Table1[[#This Row],[MP]]</f>
        <v>8.3333333333333332E-3</v>
      </c>
      <c r="AB121" s="1">
        <v>0.1</v>
      </c>
      <c r="AC121" s="1">
        <v>0.2</v>
      </c>
      <c r="AD121" s="1">
        <v>0.3</v>
      </c>
      <c r="AE121" s="1">
        <v>8</v>
      </c>
      <c r="AF121" s="1">
        <v>43</v>
      </c>
      <c r="AG121" s="1">
        <v>15</v>
      </c>
    </row>
    <row r="122" spans="1:33" x14ac:dyDescent="0.35">
      <c r="A122">
        <v>111</v>
      </c>
      <c r="B122" t="s">
        <v>284</v>
      </c>
      <c r="C122" t="s">
        <v>36</v>
      </c>
      <c r="D122" t="s">
        <v>37</v>
      </c>
      <c r="E122" t="s">
        <v>57</v>
      </c>
      <c r="F122" t="s">
        <v>285</v>
      </c>
      <c r="G122" s="1">
        <v>2000</v>
      </c>
      <c r="H122" s="1">
        <v>12</v>
      </c>
      <c r="I122" s="1">
        <v>12</v>
      </c>
      <c r="J122" s="2">
        <f>Table1[[#This Row],[STARTS]]/Table1[[#This Row],[MP]]</f>
        <v>1</v>
      </c>
      <c r="K122" s="1">
        <v>992</v>
      </c>
      <c r="L122" s="1">
        <v>11</v>
      </c>
      <c r="M122" s="1">
        <v>1</v>
      </c>
      <c r="N122" s="2">
        <f>Table1[[#This Row],[G]]/Table1[[#This Row],[MP]]</f>
        <v>8.3333333333333329E-2</v>
      </c>
      <c r="O122" s="2">
        <v>0</v>
      </c>
      <c r="P122" s="2">
        <f>Table1[[#This Row],[A]]/Table1[[#This Row],[MP]]</f>
        <v>0</v>
      </c>
      <c r="Q122" s="2">
        <v>1</v>
      </c>
      <c r="R122" s="2">
        <f>Table1[[#This Row],[PTS]]/Table1[[#This Row],[MP]]</f>
        <v>8.3333333333333329E-2</v>
      </c>
      <c r="S122" s="1">
        <v>1</v>
      </c>
      <c r="T122" s="1">
        <f>Table1[[#This Row],[G]]-Table1[[#This Row],[G_PK]]</f>
        <v>0</v>
      </c>
      <c r="U122" s="1">
        <v>0</v>
      </c>
      <c r="V122" s="1">
        <v>0</v>
      </c>
      <c r="W122" s="1">
        <v>1</v>
      </c>
      <c r="X122" s="1">
        <v>0</v>
      </c>
      <c r="Y122" s="1">
        <f>Table1[[#This Row],[CRDY]]+Table1[[#This Row],[CRDR]]</f>
        <v>1</v>
      </c>
      <c r="Z122" s="1">
        <v>1</v>
      </c>
      <c r="AA122" s="2">
        <f>Table1[[#This Row],[XG]]/Table1[[#This Row],[MP]]</f>
        <v>8.3333333333333329E-2</v>
      </c>
      <c r="AB122" s="1">
        <v>1</v>
      </c>
      <c r="AC122" s="1">
        <v>0.9</v>
      </c>
      <c r="AD122" s="1">
        <v>1.9</v>
      </c>
      <c r="AE122" s="1">
        <v>14</v>
      </c>
      <c r="AF122" s="1">
        <v>39</v>
      </c>
      <c r="AG122" s="1">
        <v>31</v>
      </c>
    </row>
    <row r="123" spans="1:33" x14ac:dyDescent="0.35">
      <c r="A123">
        <v>124</v>
      </c>
      <c r="B123" t="s">
        <v>313</v>
      </c>
      <c r="C123" t="s">
        <v>27</v>
      </c>
      <c r="D123" t="s">
        <v>37</v>
      </c>
      <c r="E123" t="s">
        <v>46</v>
      </c>
      <c r="F123" t="s">
        <v>314</v>
      </c>
      <c r="G123" s="1">
        <v>1995</v>
      </c>
      <c r="H123" s="1">
        <v>12</v>
      </c>
      <c r="I123" s="1">
        <v>5</v>
      </c>
      <c r="J123" s="2">
        <f>Table1[[#This Row],[STARTS]]/Table1[[#This Row],[MP]]</f>
        <v>0.41666666666666669</v>
      </c>
      <c r="K123" s="1">
        <v>556</v>
      </c>
      <c r="L123" s="1">
        <v>6.2</v>
      </c>
      <c r="M123" s="1">
        <v>1</v>
      </c>
      <c r="N123" s="2">
        <f>Table1[[#This Row],[G]]/Table1[[#This Row],[MP]]</f>
        <v>8.3333333333333329E-2</v>
      </c>
      <c r="O123" s="2">
        <v>0</v>
      </c>
      <c r="P123" s="2">
        <f>Table1[[#This Row],[A]]/Table1[[#This Row],[MP]]</f>
        <v>0</v>
      </c>
      <c r="Q123" s="2">
        <v>1</v>
      </c>
      <c r="R123" s="2">
        <f>Table1[[#This Row],[PTS]]/Table1[[#This Row],[MP]]</f>
        <v>8.3333333333333329E-2</v>
      </c>
      <c r="S123" s="1">
        <v>1</v>
      </c>
      <c r="T123" s="1">
        <f>Table1[[#This Row],[G]]-Table1[[#This Row],[G_PK]]</f>
        <v>0</v>
      </c>
      <c r="U123" s="1">
        <v>0</v>
      </c>
      <c r="V123" s="1">
        <v>0</v>
      </c>
      <c r="W123" s="1">
        <v>1</v>
      </c>
      <c r="X123" s="1">
        <v>0</v>
      </c>
      <c r="Y123" s="1">
        <f>Table1[[#This Row],[CRDY]]+Table1[[#This Row],[CRDR]]</f>
        <v>1</v>
      </c>
      <c r="Z123" s="1">
        <v>1.4</v>
      </c>
      <c r="AA123" s="2">
        <f>Table1[[#This Row],[XG]]/Table1[[#This Row],[MP]]</f>
        <v>0.11666666666666665</v>
      </c>
      <c r="AB123" s="1">
        <v>1.4</v>
      </c>
      <c r="AC123" s="1">
        <v>0.6</v>
      </c>
      <c r="AD123" s="1">
        <v>2.1</v>
      </c>
      <c r="AE123" s="1">
        <v>12</v>
      </c>
      <c r="AF123" s="1">
        <v>19</v>
      </c>
      <c r="AG123" s="1">
        <v>45</v>
      </c>
    </row>
    <row r="124" spans="1:33" x14ac:dyDescent="0.35">
      <c r="A124">
        <v>128</v>
      </c>
      <c r="B124" t="s">
        <v>321</v>
      </c>
      <c r="C124" t="s">
        <v>27</v>
      </c>
      <c r="D124" t="s">
        <v>28</v>
      </c>
      <c r="E124" t="s">
        <v>33</v>
      </c>
      <c r="F124" t="s">
        <v>322</v>
      </c>
      <c r="G124" s="1">
        <v>2000</v>
      </c>
      <c r="H124" s="1">
        <v>12</v>
      </c>
      <c r="I124" s="1">
        <v>5</v>
      </c>
      <c r="J124" s="2">
        <f>Table1[[#This Row],[STARTS]]/Table1[[#This Row],[MP]]</f>
        <v>0.41666666666666669</v>
      </c>
      <c r="K124" s="1">
        <v>564</v>
      </c>
      <c r="L124" s="1">
        <v>6.3</v>
      </c>
      <c r="M124" s="1">
        <v>1</v>
      </c>
      <c r="N124" s="2">
        <f>Table1[[#This Row],[G]]/Table1[[#This Row],[MP]]</f>
        <v>8.3333333333333329E-2</v>
      </c>
      <c r="O124" s="2">
        <v>0</v>
      </c>
      <c r="P124" s="2">
        <f>Table1[[#This Row],[A]]/Table1[[#This Row],[MP]]</f>
        <v>0</v>
      </c>
      <c r="Q124" s="2">
        <v>1</v>
      </c>
      <c r="R124" s="2">
        <f>Table1[[#This Row],[PTS]]/Table1[[#This Row],[MP]]</f>
        <v>8.3333333333333329E-2</v>
      </c>
      <c r="S124" s="1">
        <v>1</v>
      </c>
      <c r="T124" s="1">
        <f>Table1[[#This Row],[G]]-Table1[[#This Row],[G_PK]]</f>
        <v>0</v>
      </c>
      <c r="U124" s="1">
        <v>0</v>
      </c>
      <c r="V124" s="1">
        <v>0</v>
      </c>
      <c r="W124" s="1">
        <v>1</v>
      </c>
      <c r="X124" s="1">
        <v>0</v>
      </c>
      <c r="Y124" s="1">
        <f>Table1[[#This Row],[CRDY]]+Table1[[#This Row],[CRDR]]</f>
        <v>1</v>
      </c>
      <c r="Z124" s="1">
        <v>0.3</v>
      </c>
      <c r="AA124" s="2">
        <f>Table1[[#This Row],[XG]]/Table1[[#This Row],[MP]]</f>
        <v>2.4999999999999998E-2</v>
      </c>
      <c r="AB124" s="1">
        <v>0.3</v>
      </c>
      <c r="AC124" s="1">
        <v>0</v>
      </c>
      <c r="AD124" s="1">
        <v>0.3</v>
      </c>
      <c r="AE124" s="1">
        <v>2</v>
      </c>
      <c r="AF124" s="1">
        <v>14</v>
      </c>
      <c r="AG124" s="1">
        <v>15</v>
      </c>
    </row>
    <row r="125" spans="1:33" x14ac:dyDescent="0.35">
      <c r="A125">
        <v>130</v>
      </c>
      <c r="B125" t="s">
        <v>325</v>
      </c>
      <c r="C125" t="s">
        <v>27</v>
      </c>
      <c r="D125" t="s">
        <v>62</v>
      </c>
      <c r="E125" t="s">
        <v>101</v>
      </c>
      <c r="F125" t="s">
        <v>326</v>
      </c>
      <c r="G125" s="1">
        <v>1999</v>
      </c>
      <c r="H125" s="1">
        <v>12</v>
      </c>
      <c r="I125" s="1">
        <v>12</v>
      </c>
      <c r="J125" s="2">
        <f>Table1[[#This Row],[STARTS]]/Table1[[#This Row],[MP]]</f>
        <v>1</v>
      </c>
      <c r="K125" s="1">
        <v>1079</v>
      </c>
      <c r="L125" s="1">
        <v>12</v>
      </c>
      <c r="M125" s="1">
        <v>1</v>
      </c>
      <c r="N125" s="2">
        <f>Table1[[#This Row],[G]]/Table1[[#This Row],[MP]]</f>
        <v>8.3333333333333329E-2</v>
      </c>
      <c r="O125" s="2">
        <v>0</v>
      </c>
      <c r="P125" s="2">
        <f>Table1[[#This Row],[A]]/Table1[[#This Row],[MP]]</f>
        <v>0</v>
      </c>
      <c r="Q125" s="2">
        <v>1</v>
      </c>
      <c r="R125" s="2">
        <f>Table1[[#This Row],[PTS]]/Table1[[#This Row],[MP]]</f>
        <v>8.3333333333333329E-2</v>
      </c>
      <c r="S125" s="1">
        <v>1</v>
      </c>
      <c r="T125" s="1">
        <f>Table1[[#This Row],[G]]-Table1[[#This Row],[G_PK]]</f>
        <v>0</v>
      </c>
      <c r="U125" s="1">
        <v>0</v>
      </c>
      <c r="V125" s="1">
        <v>0</v>
      </c>
      <c r="W125" s="1">
        <v>6</v>
      </c>
      <c r="X125" s="1">
        <v>1</v>
      </c>
      <c r="Y125" s="1">
        <f>Table1[[#This Row],[CRDY]]+Table1[[#This Row],[CRDR]]</f>
        <v>7</v>
      </c>
      <c r="Z125" s="1">
        <v>1.8</v>
      </c>
      <c r="AA125" s="2">
        <f>Table1[[#This Row],[XG]]/Table1[[#This Row],[MP]]</f>
        <v>0.15</v>
      </c>
      <c r="AB125" s="1">
        <v>1.8</v>
      </c>
      <c r="AC125" s="1">
        <v>0.4</v>
      </c>
      <c r="AD125" s="1">
        <v>2.1</v>
      </c>
      <c r="AE125" s="1">
        <v>23</v>
      </c>
      <c r="AF125" s="1">
        <v>42</v>
      </c>
      <c r="AG125" s="1">
        <v>41</v>
      </c>
    </row>
    <row r="126" spans="1:33" x14ac:dyDescent="0.35">
      <c r="A126">
        <v>192</v>
      </c>
      <c r="B126" t="s">
        <v>450</v>
      </c>
      <c r="C126" t="s">
        <v>27</v>
      </c>
      <c r="D126" t="s">
        <v>28</v>
      </c>
      <c r="E126" t="s">
        <v>65</v>
      </c>
      <c r="F126" t="s">
        <v>451</v>
      </c>
      <c r="G126" s="1">
        <v>1994</v>
      </c>
      <c r="H126" s="1">
        <v>12</v>
      </c>
      <c r="I126" s="1">
        <v>9</v>
      </c>
      <c r="J126" s="2">
        <f>Table1[[#This Row],[STARTS]]/Table1[[#This Row],[MP]]</f>
        <v>0.75</v>
      </c>
      <c r="K126" s="1">
        <v>859</v>
      </c>
      <c r="L126" s="1">
        <v>9.5</v>
      </c>
      <c r="M126" s="1">
        <v>1</v>
      </c>
      <c r="N126" s="2">
        <f>Table1[[#This Row],[G]]/Table1[[#This Row],[MP]]</f>
        <v>8.3333333333333329E-2</v>
      </c>
      <c r="O126" s="2">
        <v>0</v>
      </c>
      <c r="P126" s="2">
        <f>Table1[[#This Row],[A]]/Table1[[#This Row],[MP]]</f>
        <v>0</v>
      </c>
      <c r="Q126" s="2">
        <v>1</v>
      </c>
      <c r="R126" s="2">
        <f>Table1[[#This Row],[PTS]]/Table1[[#This Row],[MP]]</f>
        <v>8.3333333333333329E-2</v>
      </c>
      <c r="S126" s="1">
        <v>1</v>
      </c>
      <c r="T126" s="1">
        <f>Table1[[#This Row],[G]]-Table1[[#This Row],[G_PK]]</f>
        <v>0</v>
      </c>
      <c r="U126" s="1">
        <v>0</v>
      </c>
      <c r="V126" s="1">
        <v>0</v>
      </c>
      <c r="W126" s="1">
        <v>1</v>
      </c>
      <c r="X126" s="1">
        <v>0</v>
      </c>
      <c r="Y126" s="1">
        <f>Table1[[#This Row],[CRDY]]+Table1[[#This Row],[CRDR]]</f>
        <v>1</v>
      </c>
      <c r="Z126" s="1">
        <v>0.7</v>
      </c>
      <c r="AA126" s="2">
        <f>Table1[[#This Row],[XG]]/Table1[[#This Row],[MP]]</f>
        <v>5.8333333333333327E-2</v>
      </c>
      <c r="AB126" s="1">
        <v>0.7</v>
      </c>
      <c r="AC126" s="1">
        <v>0</v>
      </c>
      <c r="AD126" s="1">
        <v>0.7</v>
      </c>
      <c r="AE126" s="1">
        <v>1</v>
      </c>
      <c r="AF126" s="1">
        <v>22</v>
      </c>
      <c r="AG126" s="1">
        <v>3</v>
      </c>
    </row>
    <row r="127" spans="1:33" x14ac:dyDescent="0.35">
      <c r="A127">
        <v>135</v>
      </c>
      <c r="B127" t="s">
        <v>335</v>
      </c>
      <c r="C127" t="s">
        <v>27</v>
      </c>
      <c r="D127" t="s">
        <v>62</v>
      </c>
      <c r="E127" t="s">
        <v>42</v>
      </c>
      <c r="F127" t="s">
        <v>336</v>
      </c>
      <c r="G127" s="1">
        <v>2005</v>
      </c>
      <c r="H127" s="1">
        <v>13</v>
      </c>
      <c r="I127" s="1">
        <v>11</v>
      </c>
      <c r="J127" s="2">
        <f>Table1[[#This Row],[STARTS]]/Table1[[#This Row],[MP]]</f>
        <v>0.84615384615384615</v>
      </c>
      <c r="K127" s="1">
        <v>905</v>
      </c>
      <c r="L127" s="1">
        <v>10.1</v>
      </c>
      <c r="M127" s="1">
        <v>1</v>
      </c>
      <c r="N127" s="2">
        <f>Table1[[#This Row],[G]]/Table1[[#This Row],[MP]]</f>
        <v>7.6923076923076927E-2</v>
      </c>
      <c r="O127" s="2">
        <v>0</v>
      </c>
      <c r="P127" s="2">
        <f>Table1[[#This Row],[A]]/Table1[[#This Row],[MP]]</f>
        <v>0</v>
      </c>
      <c r="Q127" s="2">
        <v>1</v>
      </c>
      <c r="R127" s="2">
        <f>Table1[[#This Row],[PTS]]/Table1[[#This Row],[MP]]</f>
        <v>7.6923076923076927E-2</v>
      </c>
      <c r="S127" s="1">
        <v>1</v>
      </c>
      <c r="T127" s="1">
        <f>Table1[[#This Row],[G]]-Table1[[#This Row],[G_PK]]</f>
        <v>0</v>
      </c>
      <c r="U127" s="1">
        <v>0</v>
      </c>
      <c r="V127" s="1">
        <v>1</v>
      </c>
      <c r="W127" s="1">
        <v>2</v>
      </c>
      <c r="X127" s="1">
        <v>0</v>
      </c>
      <c r="Y127" s="1">
        <f>Table1[[#This Row],[CRDY]]+Table1[[#This Row],[CRDR]]</f>
        <v>2</v>
      </c>
      <c r="Z127" s="1">
        <v>1.3</v>
      </c>
      <c r="AA127" s="2">
        <f>Table1[[#This Row],[XG]]/Table1[[#This Row],[MP]]</f>
        <v>0.1</v>
      </c>
      <c r="AB127" s="1">
        <v>0.6</v>
      </c>
      <c r="AC127" s="1">
        <v>1.3</v>
      </c>
      <c r="AD127" s="1">
        <v>1.9</v>
      </c>
      <c r="AE127" s="1">
        <v>4</v>
      </c>
      <c r="AF127" s="1">
        <v>54</v>
      </c>
      <c r="AG127" s="1">
        <v>17</v>
      </c>
    </row>
    <row r="128" spans="1:33" x14ac:dyDescent="0.35">
      <c r="A128">
        <v>156</v>
      </c>
      <c r="B128" t="s">
        <v>377</v>
      </c>
      <c r="C128" t="s">
        <v>27</v>
      </c>
      <c r="D128" t="s">
        <v>28</v>
      </c>
      <c r="E128" t="s">
        <v>42</v>
      </c>
      <c r="F128" t="s">
        <v>378</v>
      </c>
      <c r="G128" s="1">
        <v>1997</v>
      </c>
      <c r="H128" s="1">
        <v>13</v>
      </c>
      <c r="I128" s="1">
        <v>13</v>
      </c>
      <c r="J128" s="2">
        <f>Table1[[#This Row],[STARTS]]/Table1[[#This Row],[MP]]</f>
        <v>1</v>
      </c>
      <c r="K128" s="1">
        <v>1170</v>
      </c>
      <c r="L128" s="1">
        <v>13</v>
      </c>
      <c r="M128" s="1">
        <v>1</v>
      </c>
      <c r="N128" s="2">
        <f>Table1[[#This Row],[G]]/Table1[[#This Row],[MP]]</f>
        <v>7.6923076923076927E-2</v>
      </c>
      <c r="O128" s="2">
        <v>0</v>
      </c>
      <c r="P128" s="2">
        <f>Table1[[#This Row],[A]]/Table1[[#This Row],[MP]]</f>
        <v>0</v>
      </c>
      <c r="Q128" s="2">
        <v>1</v>
      </c>
      <c r="R128" s="2">
        <f>Table1[[#This Row],[PTS]]/Table1[[#This Row],[MP]]</f>
        <v>7.6923076923076927E-2</v>
      </c>
      <c r="S128" s="1">
        <v>1</v>
      </c>
      <c r="T128" s="1">
        <f>Table1[[#This Row],[G]]-Table1[[#This Row],[G_PK]]</f>
        <v>0</v>
      </c>
      <c r="U128" s="1">
        <v>0</v>
      </c>
      <c r="V128" s="1">
        <v>0</v>
      </c>
      <c r="W128" s="1">
        <v>0</v>
      </c>
      <c r="X128" s="1">
        <v>0</v>
      </c>
      <c r="Y128" s="1">
        <f>Table1[[#This Row],[CRDY]]+Table1[[#This Row],[CRDR]]</f>
        <v>0</v>
      </c>
      <c r="Z128" s="1">
        <v>0.4</v>
      </c>
      <c r="AA128" s="2">
        <f>Table1[[#This Row],[XG]]/Table1[[#This Row],[MP]]</f>
        <v>3.0769230769230771E-2</v>
      </c>
      <c r="AB128" s="1">
        <v>0.4</v>
      </c>
      <c r="AC128" s="1">
        <v>0.1</v>
      </c>
      <c r="AD128" s="1">
        <v>0.6</v>
      </c>
      <c r="AE128" s="1">
        <v>1</v>
      </c>
      <c r="AF128" s="1">
        <v>40</v>
      </c>
      <c r="AG128" s="1">
        <v>1</v>
      </c>
    </row>
    <row r="129" spans="1:33" x14ac:dyDescent="0.35">
      <c r="A129">
        <v>206</v>
      </c>
      <c r="B129" t="s">
        <v>479</v>
      </c>
      <c r="C129" t="s">
        <v>27</v>
      </c>
      <c r="D129" t="s">
        <v>480</v>
      </c>
      <c r="E129" t="s">
        <v>107</v>
      </c>
      <c r="F129" t="s">
        <v>481</v>
      </c>
      <c r="G129" s="1">
        <v>2002</v>
      </c>
      <c r="H129" s="1">
        <v>13</v>
      </c>
      <c r="I129" s="1">
        <v>10</v>
      </c>
      <c r="J129" s="2">
        <f>Table1[[#This Row],[STARTS]]/Table1[[#This Row],[MP]]</f>
        <v>0.76923076923076927</v>
      </c>
      <c r="K129" s="1">
        <v>829</v>
      </c>
      <c r="L129" s="1">
        <v>9.1999999999999993</v>
      </c>
      <c r="M129" s="1">
        <v>1</v>
      </c>
      <c r="N129" s="2">
        <f>Table1[[#This Row],[G]]/Table1[[#This Row],[MP]]</f>
        <v>7.6923076923076927E-2</v>
      </c>
      <c r="O129" s="2">
        <v>0</v>
      </c>
      <c r="P129" s="2">
        <f>Table1[[#This Row],[A]]/Table1[[#This Row],[MP]]</f>
        <v>0</v>
      </c>
      <c r="Q129" s="2">
        <v>1</v>
      </c>
      <c r="R129" s="2">
        <f>Table1[[#This Row],[PTS]]/Table1[[#This Row],[MP]]</f>
        <v>7.6923076923076927E-2</v>
      </c>
      <c r="S129" s="1">
        <v>1</v>
      </c>
      <c r="T129" s="1">
        <f>Table1[[#This Row],[G]]-Table1[[#This Row],[G_PK]]</f>
        <v>0</v>
      </c>
      <c r="U129" s="1">
        <v>0</v>
      </c>
      <c r="V129" s="1">
        <v>0</v>
      </c>
      <c r="W129" s="1">
        <v>0</v>
      </c>
      <c r="X129" s="1">
        <v>0</v>
      </c>
      <c r="Y129" s="1">
        <f>Table1[[#This Row],[CRDY]]+Table1[[#This Row],[CRDR]]</f>
        <v>0</v>
      </c>
      <c r="Z129" s="1">
        <v>1.4</v>
      </c>
      <c r="AA129" s="2">
        <f>Table1[[#This Row],[XG]]/Table1[[#This Row],[MP]]</f>
        <v>0.10769230769230768</v>
      </c>
      <c r="AB129" s="1">
        <v>1.4</v>
      </c>
      <c r="AC129" s="1">
        <v>0.8</v>
      </c>
      <c r="AD129" s="1">
        <v>2.2999999999999998</v>
      </c>
      <c r="AE129" s="1">
        <v>11</v>
      </c>
      <c r="AF129" s="1">
        <v>26</v>
      </c>
      <c r="AG129" s="1">
        <v>39</v>
      </c>
    </row>
    <row r="130" spans="1:33" x14ac:dyDescent="0.35">
      <c r="A130">
        <v>214</v>
      </c>
      <c r="B130" t="s">
        <v>496</v>
      </c>
      <c r="C130" t="s">
        <v>27</v>
      </c>
      <c r="D130" t="s">
        <v>28</v>
      </c>
      <c r="E130" t="s">
        <v>51</v>
      </c>
      <c r="F130" t="s">
        <v>497</v>
      </c>
      <c r="G130" s="1">
        <v>1993</v>
      </c>
      <c r="H130" s="1">
        <v>13</v>
      </c>
      <c r="I130" s="1">
        <v>11</v>
      </c>
      <c r="J130" s="2">
        <f>Table1[[#This Row],[STARTS]]/Table1[[#This Row],[MP]]</f>
        <v>0.84615384615384615</v>
      </c>
      <c r="K130" s="1">
        <v>1047</v>
      </c>
      <c r="L130" s="1">
        <v>11.6</v>
      </c>
      <c r="M130" s="1">
        <v>1</v>
      </c>
      <c r="N130" s="2">
        <f>Table1[[#This Row],[G]]/Table1[[#This Row],[MP]]</f>
        <v>7.6923076923076927E-2</v>
      </c>
      <c r="O130" s="2">
        <v>0</v>
      </c>
      <c r="P130" s="2">
        <f>Table1[[#This Row],[A]]/Table1[[#This Row],[MP]]</f>
        <v>0</v>
      </c>
      <c r="Q130" s="2">
        <v>1</v>
      </c>
      <c r="R130" s="2">
        <f>Table1[[#This Row],[PTS]]/Table1[[#This Row],[MP]]</f>
        <v>7.6923076923076927E-2</v>
      </c>
      <c r="S130" s="1">
        <v>1</v>
      </c>
      <c r="T130" s="1">
        <f>Table1[[#This Row],[G]]-Table1[[#This Row],[G_PK]]</f>
        <v>0</v>
      </c>
      <c r="U130" s="1">
        <v>0</v>
      </c>
      <c r="V130" s="1">
        <v>0</v>
      </c>
      <c r="W130" s="1">
        <v>1</v>
      </c>
      <c r="X130" s="1">
        <v>0</v>
      </c>
      <c r="Y130" s="1">
        <f>Table1[[#This Row],[CRDY]]+Table1[[#This Row],[CRDR]]</f>
        <v>1</v>
      </c>
      <c r="Z130" s="1">
        <v>1</v>
      </c>
      <c r="AA130" s="2">
        <f>Table1[[#This Row],[XG]]/Table1[[#This Row],[MP]]</f>
        <v>7.6923076923076927E-2</v>
      </c>
      <c r="AB130" s="1">
        <v>1</v>
      </c>
      <c r="AC130" s="1">
        <v>0.1</v>
      </c>
      <c r="AD130" s="1">
        <v>1.1000000000000001</v>
      </c>
      <c r="AE130" s="1">
        <v>14</v>
      </c>
      <c r="AF130" s="1">
        <v>46</v>
      </c>
      <c r="AG130" s="1">
        <v>4</v>
      </c>
    </row>
    <row r="131" spans="1:33" x14ac:dyDescent="0.35">
      <c r="A131">
        <v>256</v>
      </c>
      <c r="B131" t="s">
        <v>580</v>
      </c>
      <c r="C131" t="s">
        <v>27</v>
      </c>
      <c r="D131" t="s">
        <v>32</v>
      </c>
      <c r="E131" t="s">
        <v>57</v>
      </c>
      <c r="F131" t="s">
        <v>581</v>
      </c>
      <c r="G131" s="1">
        <v>2000</v>
      </c>
      <c r="H131" s="1">
        <v>13</v>
      </c>
      <c r="I131" s="1">
        <v>11</v>
      </c>
      <c r="J131" s="2">
        <f>Table1[[#This Row],[STARTS]]/Table1[[#This Row],[MP]]</f>
        <v>0.84615384615384615</v>
      </c>
      <c r="K131" s="1">
        <v>882</v>
      </c>
      <c r="L131" s="1">
        <v>9.8000000000000007</v>
      </c>
      <c r="M131" s="1">
        <v>1</v>
      </c>
      <c r="N131" s="2">
        <f>Table1[[#This Row],[G]]/Table1[[#This Row],[MP]]</f>
        <v>7.6923076923076927E-2</v>
      </c>
      <c r="O131" s="2">
        <v>0</v>
      </c>
      <c r="P131" s="2">
        <f>Table1[[#This Row],[A]]/Table1[[#This Row],[MP]]</f>
        <v>0</v>
      </c>
      <c r="Q131" s="2">
        <v>1</v>
      </c>
      <c r="R131" s="2">
        <f>Table1[[#This Row],[PTS]]/Table1[[#This Row],[MP]]</f>
        <v>7.6923076923076927E-2</v>
      </c>
      <c r="S131" s="1">
        <v>1</v>
      </c>
      <c r="T131" s="1">
        <f>Table1[[#This Row],[G]]-Table1[[#This Row],[G_PK]]</f>
        <v>0</v>
      </c>
      <c r="U131" s="1">
        <v>0</v>
      </c>
      <c r="V131" s="1">
        <v>0</v>
      </c>
      <c r="W131" s="1">
        <v>1</v>
      </c>
      <c r="X131" s="1">
        <v>0</v>
      </c>
      <c r="Y131" s="1">
        <f>Table1[[#This Row],[CRDY]]+Table1[[#This Row],[CRDR]]</f>
        <v>1</v>
      </c>
      <c r="Z131" s="1">
        <v>1.4</v>
      </c>
      <c r="AA131" s="2">
        <f>Table1[[#This Row],[XG]]/Table1[[#This Row],[MP]]</f>
        <v>0.10769230769230768</v>
      </c>
      <c r="AB131" s="1">
        <v>1.4</v>
      </c>
      <c r="AC131" s="1">
        <v>0.3</v>
      </c>
      <c r="AD131" s="1">
        <v>1.7</v>
      </c>
      <c r="AE131" s="1">
        <v>10</v>
      </c>
      <c r="AF131" s="1">
        <v>35</v>
      </c>
      <c r="AG131" s="1">
        <v>26</v>
      </c>
    </row>
    <row r="132" spans="1:33" x14ac:dyDescent="0.35">
      <c r="A132">
        <v>300</v>
      </c>
      <c r="B132" t="s">
        <v>667</v>
      </c>
      <c r="C132" t="s">
        <v>27</v>
      </c>
      <c r="D132" t="s">
        <v>32</v>
      </c>
      <c r="E132" t="s">
        <v>71</v>
      </c>
      <c r="F132" t="s">
        <v>668</v>
      </c>
      <c r="G132" s="1">
        <v>2003</v>
      </c>
      <c r="H132" s="1">
        <v>13</v>
      </c>
      <c r="I132" s="1">
        <v>6</v>
      </c>
      <c r="J132" s="2">
        <f>Table1[[#This Row],[STARTS]]/Table1[[#This Row],[MP]]</f>
        <v>0.46153846153846156</v>
      </c>
      <c r="K132" s="1">
        <v>641</v>
      </c>
      <c r="L132" s="1">
        <v>7.1</v>
      </c>
      <c r="M132" s="1">
        <v>1</v>
      </c>
      <c r="N132" s="2">
        <f>Table1[[#This Row],[G]]/Table1[[#This Row],[MP]]</f>
        <v>7.6923076923076927E-2</v>
      </c>
      <c r="O132" s="2">
        <v>0</v>
      </c>
      <c r="P132" s="2">
        <f>Table1[[#This Row],[A]]/Table1[[#This Row],[MP]]</f>
        <v>0</v>
      </c>
      <c r="Q132" s="2">
        <v>1</v>
      </c>
      <c r="R132" s="2">
        <f>Table1[[#This Row],[PTS]]/Table1[[#This Row],[MP]]</f>
        <v>7.6923076923076927E-2</v>
      </c>
      <c r="S132" s="1">
        <v>1</v>
      </c>
      <c r="T132" s="1">
        <f>Table1[[#This Row],[G]]-Table1[[#This Row],[G_PK]]</f>
        <v>0</v>
      </c>
      <c r="U132" s="1">
        <v>0</v>
      </c>
      <c r="V132" s="1">
        <v>0</v>
      </c>
      <c r="W132" s="1">
        <v>0</v>
      </c>
      <c r="X132" s="1">
        <v>0</v>
      </c>
      <c r="Y132" s="1">
        <f>Table1[[#This Row],[CRDY]]+Table1[[#This Row],[CRDR]]</f>
        <v>0</v>
      </c>
      <c r="Z132" s="1">
        <v>1.9</v>
      </c>
      <c r="AA132" s="2">
        <f>Table1[[#This Row],[XG]]/Table1[[#This Row],[MP]]</f>
        <v>0.14615384615384613</v>
      </c>
      <c r="AB132" s="1">
        <v>1.9</v>
      </c>
      <c r="AC132" s="1">
        <v>0.4</v>
      </c>
      <c r="AD132" s="1">
        <v>2.2999999999999998</v>
      </c>
      <c r="AE132" s="1">
        <v>3</v>
      </c>
      <c r="AF132" s="1">
        <v>11</v>
      </c>
      <c r="AG132" s="1">
        <v>27</v>
      </c>
    </row>
    <row r="133" spans="1:33" x14ac:dyDescent="0.35">
      <c r="A133">
        <v>23</v>
      </c>
      <c r="B133" t="s">
        <v>95</v>
      </c>
      <c r="C133" t="s">
        <v>27</v>
      </c>
      <c r="D133" t="s">
        <v>62</v>
      </c>
      <c r="E133" t="s">
        <v>46</v>
      </c>
      <c r="F133" t="s">
        <v>96</v>
      </c>
      <c r="G133" s="1">
        <v>2001</v>
      </c>
      <c r="H133" s="1">
        <v>5</v>
      </c>
      <c r="I133" s="1">
        <v>4</v>
      </c>
      <c r="J133" s="2">
        <f>Table1[[#This Row],[STARTS]]/Table1[[#This Row],[MP]]</f>
        <v>0.8</v>
      </c>
      <c r="K133" s="1">
        <v>318</v>
      </c>
      <c r="L133" s="1">
        <v>3.5</v>
      </c>
      <c r="M133" s="1">
        <v>0</v>
      </c>
      <c r="N133" s="2">
        <f>Table1[[#This Row],[G]]/Table1[[#This Row],[MP]]</f>
        <v>0</v>
      </c>
      <c r="O133" s="2">
        <v>1</v>
      </c>
      <c r="P133" s="2">
        <f>Table1[[#This Row],[A]]/Table1[[#This Row],[MP]]</f>
        <v>0.2</v>
      </c>
      <c r="Q133" s="2">
        <v>1</v>
      </c>
      <c r="R133" s="2">
        <f>Table1[[#This Row],[PTS]]/Table1[[#This Row],[MP]]</f>
        <v>0.2</v>
      </c>
      <c r="S133" s="1">
        <v>0</v>
      </c>
      <c r="T133" s="1">
        <f>Table1[[#This Row],[G]]-Table1[[#This Row],[G_PK]]</f>
        <v>0</v>
      </c>
      <c r="U133" s="1">
        <v>0</v>
      </c>
      <c r="V133" s="1">
        <v>0</v>
      </c>
      <c r="W133" s="1">
        <v>1</v>
      </c>
      <c r="X133" s="1">
        <v>0</v>
      </c>
      <c r="Y133" s="1">
        <f>Table1[[#This Row],[CRDY]]+Table1[[#This Row],[CRDR]]</f>
        <v>1</v>
      </c>
      <c r="Z133" s="1">
        <v>0.1</v>
      </c>
      <c r="AA133" s="2">
        <f>Table1[[#This Row],[XG]]/Table1[[#This Row],[MP]]</f>
        <v>0.02</v>
      </c>
      <c r="AB133" s="1">
        <v>0.1</v>
      </c>
      <c r="AC133" s="1">
        <v>1.1000000000000001</v>
      </c>
      <c r="AD133" s="1">
        <v>1.2</v>
      </c>
      <c r="AE133" s="1">
        <v>4</v>
      </c>
      <c r="AF133" s="1">
        <v>27</v>
      </c>
      <c r="AG133" s="1">
        <v>7</v>
      </c>
    </row>
    <row r="134" spans="1:33" x14ac:dyDescent="0.35">
      <c r="A134">
        <v>26</v>
      </c>
      <c r="B134" t="s">
        <v>103</v>
      </c>
      <c r="C134" t="s">
        <v>27</v>
      </c>
      <c r="D134" t="s">
        <v>28</v>
      </c>
      <c r="E134" t="s">
        <v>42</v>
      </c>
      <c r="F134" t="s">
        <v>104</v>
      </c>
      <c r="G134" s="1">
        <v>1998</v>
      </c>
      <c r="H134" s="1">
        <v>6</v>
      </c>
      <c r="I134" s="1">
        <v>6</v>
      </c>
      <c r="J134" s="2">
        <f>Table1[[#This Row],[STARTS]]/Table1[[#This Row],[MP]]</f>
        <v>1</v>
      </c>
      <c r="K134" s="1">
        <v>488</v>
      </c>
      <c r="L134" s="1">
        <v>5.4</v>
      </c>
      <c r="M134" s="1">
        <v>0</v>
      </c>
      <c r="N134" s="2">
        <f>Table1[[#This Row],[G]]/Table1[[#This Row],[MP]]</f>
        <v>0</v>
      </c>
      <c r="O134" s="2">
        <v>1</v>
      </c>
      <c r="P134" s="2">
        <f>Table1[[#This Row],[A]]/Table1[[#This Row],[MP]]</f>
        <v>0.16666666666666666</v>
      </c>
      <c r="Q134" s="2">
        <v>1</v>
      </c>
      <c r="R134" s="2">
        <f>Table1[[#This Row],[PTS]]/Table1[[#This Row],[MP]]</f>
        <v>0.16666666666666666</v>
      </c>
      <c r="S134" s="1">
        <v>0</v>
      </c>
      <c r="T134" s="1">
        <f>Table1[[#This Row],[G]]-Table1[[#This Row],[G_PK]]</f>
        <v>0</v>
      </c>
      <c r="U134" s="1">
        <v>0</v>
      </c>
      <c r="V134" s="1">
        <v>0</v>
      </c>
      <c r="W134" s="1">
        <v>0</v>
      </c>
      <c r="X134" s="1">
        <v>0</v>
      </c>
      <c r="Y134" s="1">
        <f>Table1[[#This Row],[CRDY]]+Table1[[#This Row],[CRDR]]</f>
        <v>0</v>
      </c>
      <c r="Z134" s="1">
        <v>0.1</v>
      </c>
      <c r="AA134" s="2">
        <f>Table1[[#This Row],[XG]]/Table1[[#This Row],[MP]]</f>
        <v>1.6666666666666666E-2</v>
      </c>
      <c r="AB134" s="1">
        <v>0.1</v>
      </c>
      <c r="AC134" s="1">
        <v>0.3</v>
      </c>
      <c r="AD134" s="1">
        <v>0.4</v>
      </c>
      <c r="AE134" s="1">
        <v>3</v>
      </c>
      <c r="AF134" s="1">
        <v>26</v>
      </c>
      <c r="AG134" s="1">
        <v>2</v>
      </c>
    </row>
    <row r="135" spans="1:33" x14ac:dyDescent="0.35">
      <c r="A135">
        <v>274</v>
      </c>
      <c r="B135" t="s">
        <v>617</v>
      </c>
      <c r="C135" t="s">
        <v>27</v>
      </c>
      <c r="D135" t="s">
        <v>85</v>
      </c>
      <c r="E135" t="s">
        <v>42</v>
      </c>
      <c r="F135" t="s">
        <v>618</v>
      </c>
      <c r="G135" s="1">
        <v>1993</v>
      </c>
      <c r="H135" s="1">
        <v>6</v>
      </c>
      <c r="I135" s="1">
        <v>2</v>
      </c>
      <c r="J135" s="2">
        <f>Table1[[#This Row],[STARTS]]/Table1[[#This Row],[MP]]</f>
        <v>0.33333333333333331</v>
      </c>
      <c r="K135" s="1">
        <v>195</v>
      </c>
      <c r="L135" s="1">
        <v>2.2000000000000002</v>
      </c>
      <c r="M135" s="1">
        <v>0</v>
      </c>
      <c r="N135" s="2">
        <f>Table1[[#This Row],[G]]/Table1[[#This Row],[MP]]</f>
        <v>0</v>
      </c>
      <c r="O135" s="2">
        <v>1</v>
      </c>
      <c r="P135" s="2">
        <f>Table1[[#This Row],[A]]/Table1[[#This Row],[MP]]</f>
        <v>0.16666666666666666</v>
      </c>
      <c r="Q135" s="2">
        <v>1</v>
      </c>
      <c r="R135" s="2">
        <f>Table1[[#This Row],[PTS]]/Table1[[#This Row],[MP]]</f>
        <v>0.16666666666666666</v>
      </c>
      <c r="S135" s="1">
        <v>0</v>
      </c>
      <c r="T135" s="1">
        <f>Table1[[#This Row],[G]]-Table1[[#This Row],[G_PK]]</f>
        <v>0</v>
      </c>
      <c r="U135" s="1">
        <v>0</v>
      </c>
      <c r="V135" s="1">
        <v>0</v>
      </c>
      <c r="W135" s="1">
        <v>0</v>
      </c>
      <c r="X135" s="1">
        <v>0</v>
      </c>
      <c r="Y135" s="1">
        <f>Table1[[#This Row],[CRDY]]+Table1[[#This Row],[CRDR]]</f>
        <v>0</v>
      </c>
      <c r="Z135" s="1">
        <v>0</v>
      </c>
      <c r="AA135" s="2">
        <f>Table1[[#This Row],[XG]]/Table1[[#This Row],[MP]]</f>
        <v>0</v>
      </c>
      <c r="AB135" s="1">
        <v>0</v>
      </c>
      <c r="AC135" s="1">
        <v>0.4</v>
      </c>
      <c r="AD135" s="1">
        <v>0.4</v>
      </c>
      <c r="AE135" s="1">
        <v>3</v>
      </c>
      <c r="AF135" s="1">
        <v>6</v>
      </c>
      <c r="AG135" s="1">
        <v>35</v>
      </c>
    </row>
    <row r="136" spans="1:33" x14ac:dyDescent="0.35">
      <c r="A136">
        <v>88</v>
      </c>
      <c r="B136" t="s">
        <v>231</v>
      </c>
      <c r="C136" t="s">
        <v>232</v>
      </c>
      <c r="D136" t="s">
        <v>32</v>
      </c>
      <c r="E136" t="s">
        <v>54</v>
      </c>
      <c r="F136" t="s">
        <v>233</v>
      </c>
      <c r="G136" s="1">
        <v>1994</v>
      </c>
      <c r="H136" s="1">
        <v>8</v>
      </c>
      <c r="I136" s="1">
        <v>7</v>
      </c>
      <c r="J136" s="2">
        <f>Table1[[#This Row],[STARTS]]/Table1[[#This Row],[MP]]</f>
        <v>0.875</v>
      </c>
      <c r="K136" s="1">
        <v>519</v>
      </c>
      <c r="L136" s="1">
        <v>5.8</v>
      </c>
      <c r="M136" s="1">
        <v>0</v>
      </c>
      <c r="N136" s="2">
        <f>Table1[[#This Row],[G]]/Table1[[#This Row],[MP]]</f>
        <v>0</v>
      </c>
      <c r="O136" s="2">
        <v>1</v>
      </c>
      <c r="P136" s="2">
        <f>Table1[[#This Row],[A]]/Table1[[#This Row],[MP]]</f>
        <v>0.125</v>
      </c>
      <c r="Q136" s="2">
        <v>1</v>
      </c>
      <c r="R136" s="2">
        <f>Table1[[#This Row],[PTS]]/Table1[[#This Row],[MP]]</f>
        <v>0.125</v>
      </c>
      <c r="S136" s="1">
        <v>0</v>
      </c>
      <c r="T136" s="1">
        <f>Table1[[#This Row],[G]]-Table1[[#This Row],[G_PK]]</f>
        <v>0</v>
      </c>
      <c r="U136" s="1">
        <v>0</v>
      </c>
      <c r="V136" s="1">
        <v>0</v>
      </c>
      <c r="W136" s="1">
        <v>0</v>
      </c>
      <c r="X136" s="1">
        <v>0</v>
      </c>
      <c r="Y136" s="1">
        <f>Table1[[#This Row],[CRDY]]+Table1[[#This Row],[CRDR]]</f>
        <v>0</v>
      </c>
      <c r="Z136" s="1">
        <v>1.2</v>
      </c>
      <c r="AA136" s="2">
        <f>Table1[[#This Row],[XG]]/Table1[[#This Row],[MP]]</f>
        <v>0.15</v>
      </c>
      <c r="AB136" s="1">
        <v>1.2</v>
      </c>
      <c r="AC136" s="1">
        <v>1.3</v>
      </c>
      <c r="AD136" s="1">
        <v>2.5</v>
      </c>
      <c r="AE136" s="1">
        <v>14</v>
      </c>
      <c r="AF136" s="1">
        <v>21</v>
      </c>
      <c r="AG136" s="1">
        <v>41</v>
      </c>
    </row>
    <row r="137" spans="1:33" x14ac:dyDescent="0.35">
      <c r="A137">
        <v>308</v>
      </c>
      <c r="B137" t="s">
        <v>682</v>
      </c>
      <c r="C137" t="s">
        <v>27</v>
      </c>
      <c r="D137" t="s">
        <v>62</v>
      </c>
      <c r="E137" t="s">
        <v>29</v>
      </c>
      <c r="F137" t="s">
        <v>683</v>
      </c>
      <c r="G137" s="1">
        <v>2000</v>
      </c>
      <c r="H137" s="1">
        <v>8</v>
      </c>
      <c r="I137" s="1">
        <v>4</v>
      </c>
      <c r="J137" s="2">
        <f>Table1[[#This Row],[STARTS]]/Table1[[#This Row],[MP]]</f>
        <v>0.5</v>
      </c>
      <c r="K137" s="1">
        <v>356</v>
      </c>
      <c r="L137" s="1">
        <v>4</v>
      </c>
      <c r="M137" s="1">
        <v>0</v>
      </c>
      <c r="N137" s="2">
        <f>Table1[[#This Row],[G]]/Table1[[#This Row],[MP]]</f>
        <v>0</v>
      </c>
      <c r="O137" s="2">
        <v>1</v>
      </c>
      <c r="P137" s="2">
        <f>Table1[[#This Row],[A]]/Table1[[#This Row],[MP]]</f>
        <v>0.125</v>
      </c>
      <c r="Q137" s="2">
        <v>1</v>
      </c>
      <c r="R137" s="2">
        <f>Table1[[#This Row],[PTS]]/Table1[[#This Row],[MP]]</f>
        <v>0.125</v>
      </c>
      <c r="S137" s="1">
        <v>0</v>
      </c>
      <c r="T137" s="1">
        <f>Table1[[#This Row],[G]]-Table1[[#This Row],[G_PK]]</f>
        <v>0</v>
      </c>
      <c r="U137" s="1">
        <v>0</v>
      </c>
      <c r="V137" s="1">
        <v>0</v>
      </c>
      <c r="W137" s="1">
        <v>1</v>
      </c>
      <c r="X137" s="1">
        <v>0</v>
      </c>
      <c r="Y137" s="1">
        <f>Table1[[#This Row],[CRDY]]+Table1[[#This Row],[CRDR]]</f>
        <v>1</v>
      </c>
      <c r="Z137" s="1">
        <v>1.1000000000000001</v>
      </c>
      <c r="AA137" s="2">
        <f>Table1[[#This Row],[XG]]/Table1[[#This Row],[MP]]</f>
        <v>0.13750000000000001</v>
      </c>
      <c r="AB137" s="1">
        <v>1.1000000000000001</v>
      </c>
      <c r="AC137" s="1">
        <v>2.1</v>
      </c>
      <c r="AD137" s="1">
        <v>3.1</v>
      </c>
      <c r="AE137" s="1">
        <v>7</v>
      </c>
      <c r="AF137" s="1">
        <v>9</v>
      </c>
      <c r="AG137" s="1">
        <v>16</v>
      </c>
    </row>
    <row r="138" spans="1:33" x14ac:dyDescent="0.35">
      <c r="A138">
        <v>102</v>
      </c>
      <c r="B138" t="s">
        <v>264</v>
      </c>
      <c r="C138" t="s">
        <v>27</v>
      </c>
      <c r="D138" t="s">
        <v>62</v>
      </c>
      <c r="E138" t="s">
        <v>29</v>
      </c>
      <c r="F138" t="s">
        <v>265</v>
      </c>
      <c r="G138" s="1">
        <v>1993</v>
      </c>
      <c r="H138" s="1">
        <v>9</v>
      </c>
      <c r="I138" s="1">
        <v>8</v>
      </c>
      <c r="J138" s="2">
        <f>Table1[[#This Row],[STARTS]]/Table1[[#This Row],[MP]]</f>
        <v>0.88888888888888884</v>
      </c>
      <c r="K138" s="1">
        <v>534</v>
      </c>
      <c r="L138" s="1">
        <v>5.9</v>
      </c>
      <c r="M138" s="1">
        <v>0</v>
      </c>
      <c r="N138" s="2">
        <f>Table1[[#This Row],[G]]/Table1[[#This Row],[MP]]</f>
        <v>0</v>
      </c>
      <c r="O138" s="2">
        <v>1</v>
      </c>
      <c r="P138" s="2">
        <f>Table1[[#This Row],[A]]/Table1[[#This Row],[MP]]</f>
        <v>0.1111111111111111</v>
      </c>
      <c r="Q138" s="2">
        <v>1</v>
      </c>
      <c r="R138" s="2">
        <f>Table1[[#This Row],[PTS]]/Table1[[#This Row],[MP]]</f>
        <v>0.1111111111111111</v>
      </c>
      <c r="S138" s="1">
        <v>0</v>
      </c>
      <c r="T138" s="1">
        <f>Table1[[#This Row],[G]]-Table1[[#This Row],[G_PK]]</f>
        <v>0</v>
      </c>
      <c r="U138" s="1">
        <v>0</v>
      </c>
      <c r="V138" s="1">
        <v>0</v>
      </c>
      <c r="W138" s="1">
        <v>0</v>
      </c>
      <c r="X138" s="1">
        <v>0</v>
      </c>
      <c r="Y138" s="1">
        <f>Table1[[#This Row],[CRDY]]+Table1[[#This Row],[CRDR]]</f>
        <v>0</v>
      </c>
      <c r="Z138" s="1">
        <v>0.8</v>
      </c>
      <c r="AA138" s="2">
        <f>Table1[[#This Row],[XG]]/Table1[[#This Row],[MP]]</f>
        <v>8.8888888888888892E-2</v>
      </c>
      <c r="AB138" s="1">
        <v>0.8</v>
      </c>
      <c r="AC138" s="1">
        <v>1.2</v>
      </c>
      <c r="AD138" s="1">
        <v>2</v>
      </c>
      <c r="AE138" s="1">
        <v>3</v>
      </c>
      <c r="AF138" s="1">
        <v>40</v>
      </c>
      <c r="AG138" s="1">
        <v>14</v>
      </c>
    </row>
    <row r="139" spans="1:33" x14ac:dyDescent="0.35">
      <c r="A139">
        <v>20</v>
      </c>
      <c r="B139" t="s">
        <v>89</v>
      </c>
      <c r="C139" t="s">
        <v>27</v>
      </c>
      <c r="D139" t="s">
        <v>28</v>
      </c>
      <c r="E139" t="s">
        <v>33</v>
      </c>
      <c r="F139" t="s">
        <v>90</v>
      </c>
      <c r="G139" s="1">
        <v>1989</v>
      </c>
      <c r="H139" s="1">
        <v>10</v>
      </c>
      <c r="I139" s="1">
        <v>9</v>
      </c>
      <c r="J139" s="2">
        <f>Table1[[#This Row],[STARTS]]/Table1[[#This Row],[MP]]</f>
        <v>0.9</v>
      </c>
      <c r="K139" s="1">
        <v>713</v>
      </c>
      <c r="L139" s="1">
        <v>7.9</v>
      </c>
      <c r="M139" s="1">
        <v>0</v>
      </c>
      <c r="N139" s="2">
        <f>Table1[[#This Row],[G]]/Table1[[#This Row],[MP]]</f>
        <v>0</v>
      </c>
      <c r="O139" s="2">
        <v>1</v>
      </c>
      <c r="P139" s="2">
        <f>Table1[[#This Row],[A]]/Table1[[#This Row],[MP]]</f>
        <v>0.1</v>
      </c>
      <c r="Q139" s="2">
        <v>1</v>
      </c>
      <c r="R139" s="2">
        <f>Table1[[#This Row],[PTS]]/Table1[[#This Row],[MP]]</f>
        <v>0.1</v>
      </c>
      <c r="S139" s="1">
        <v>0</v>
      </c>
      <c r="T139" s="1">
        <f>Table1[[#This Row],[G]]-Table1[[#This Row],[G_PK]]</f>
        <v>0</v>
      </c>
      <c r="U139" s="1">
        <v>0</v>
      </c>
      <c r="V139" s="1">
        <v>0</v>
      </c>
      <c r="W139" s="1">
        <v>2</v>
      </c>
      <c r="X139" s="1">
        <v>0</v>
      </c>
      <c r="Y139" s="1">
        <f>Table1[[#This Row],[CRDY]]+Table1[[#This Row],[CRDR]]</f>
        <v>2</v>
      </c>
      <c r="Z139" s="1">
        <v>0</v>
      </c>
      <c r="AA139" s="2">
        <f>Table1[[#This Row],[XG]]/Table1[[#This Row],[MP]]</f>
        <v>0</v>
      </c>
      <c r="AB139" s="1">
        <v>0</v>
      </c>
      <c r="AC139" s="1">
        <v>0.6</v>
      </c>
      <c r="AD139" s="1">
        <v>0.6</v>
      </c>
      <c r="AE139" s="1">
        <v>4</v>
      </c>
      <c r="AF139" s="1">
        <v>36</v>
      </c>
      <c r="AG139" s="1">
        <v>1</v>
      </c>
    </row>
    <row r="140" spans="1:33" x14ac:dyDescent="0.35">
      <c r="A140">
        <v>121</v>
      </c>
      <c r="B140" t="s">
        <v>307</v>
      </c>
      <c r="C140" t="s">
        <v>276</v>
      </c>
      <c r="D140" t="s">
        <v>28</v>
      </c>
      <c r="E140" t="s">
        <v>29</v>
      </c>
      <c r="F140" t="s">
        <v>308</v>
      </c>
      <c r="G140" s="1">
        <v>2000</v>
      </c>
      <c r="H140" s="1">
        <v>10</v>
      </c>
      <c r="I140" s="1">
        <v>7</v>
      </c>
      <c r="J140" s="2">
        <f>Table1[[#This Row],[STARTS]]/Table1[[#This Row],[MP]]</f>
        <v>0.7</v>
      </c>
      <c r="K140" s="1">
        <v>487</v>
      </c>
      <c r="L140" s="1">
        <v>5.4</v>
      </c>
      <c r="M140" s="1">
        <v>0</v>
      </c>
      <c r="N140" s="2">
        <f>Table1[[#This Row],[G]]/Table1[[#This Row],[MP]]</f>
        <v>0</v>
      </c>
      <c r="O140" s="2">
        <v>1</v>
      </c>
      <c r="P140" s="2">
        <f>Table1[[#This Row],[A]]/Table1[[#This Row],[MP]]</f>
        <v>0.1</v>
      </c>
      <c r="Q140" s="2">
        <v>1</v>
      </c>
      <c r="R140" s="2">
        <f>Table1[[#This Row],[PTS]]/Table1[[#This Row],[MP]]</f>
        <v>0.1</v>
      </c>
      <c r="S140" s="1">
        <v>0</v>
      </c>
      <c r="T140" s="1">
        <f>Table1[[#This Row],[G]]-Table1[[#This Row],[G_PK]]</f>
        <v>0</v>
      </c>
      <c r="U140" s="1">
        <v>0</v>
      </c>
      <c r="V140" s="1">
        <v>0</v>
      </c>
      <c r="W140" s="1">
        <v>0</v>
      </c>
      <c r="X140" s="1">
        <v>0</v>
      </c>
      <c r="Y140" s="1">
        <f>Table1[[#This Row],[CRDY]]+Table1[[#This Row],[CRDR]]</f>
        <v>0</v>
      </c>
      <c r="Z140" s="1">
        <v>0.3</v>
      </c>
      <c r="AA140" s="2">
        <f>Table1[[#This Row],[XG]]/Table1[[#This Row],[MP]]</f>
        <v>0.03</v>
      </c>
      <c r="AB140" s="1">
        <v>0.3</v>
      </c>
      <c r="AC140" s="1">
        <v>0.8</v>
      </c>
      <c r="AD140" s="1">
        <v>1.1000000000000001</v>
      </c>
      <c r="AE140" s="1">
        <v>17</v>
      </c>
      <c r="AF140" s="1">
        <v>17</v>
      </c>
      <c r="AG140" s="1">
        <v>28</v>
      </c>
    </row>
    <row r="141" spans="1:33" x14ac:dyDescent="0.35">
      <c r="A141">
        <v>279</v>
      </c>
      <c r="B141" t="s">
        <v>626</v>
      </c>
      <c r="C141" t="s">
        <v>27</v>
      </c>
      <c r="D141" t="s">
        <v>62</v>
      </c>
      <c r="E141" t="s">
        <v>101</v>
      </c>
      <c r="F141" t="s">
        <v>627</v>
      </c>
      <c r="G141" s="1">
        <v>1997</v>
      </c>
      <c r="H141" s="1">
        <v>10</v>
      </c>
      <c r="I141" s="1">
        <v>7</v>
      </c>
      <c r="J141" s="2">
        <f>Table1[[#This Row],[STARTS]]/Table1[[#This Row],[MP]]</f>
        <v>0.7</v>
      </c>
      <c r="K141" s="1">
        <v>645</v>
      </c>
      <c r="L141" s="1">
        <v>7.2</v>
      </c>
      <c r="M141" s="1">
        <v>0</v>
      </c>
      <c r="N141" s="2">
        <f>Table1[[#This Row],[G]]/Table1[[#This Row],[MP]]</f>
        <v>0</v>
      </c>
      <c r="O141" s="2">
        <v>1</v>
      </c>
      <c r="P141" s="2">
        <f>Table1[[#This Row],[A]]/Table1[[#This Row],[MP]]</f>
        <v>0.1</v>
      </c>
      <c r="Q141" s="2">
        <v>1</v>
      </c>
      <c r="R141" s="2">
        <f>Table1[[#This Row],[PTS]]/Table1[[#This Row],[MP]]</f>
        <v>0.1</v>
      </c>
      <c r="S141" s="1">
        <v>0</v>
      </c>
      <c r="T141" s="1">
        <f>Table1[[#This Row],[G]]-Table1[[#This Row],[G_PK]]</f>
        <v>0</v>
      </c>
      <c r="U141" s="1">
        <v>0</v>
      </c>
      <c r="V141" s="1">
        <v>0</v>
      </c>
      <c r="W141" s="1">
        <v>2</v>
      </c>
      <c r="X141" s="1">
        <v>0</v>
      </c>
      <c r="Y141" s="1">
        <f>Table1[[#This Row],[CRDY]]+Table1[[#This Row],[CRDR]]</f>
        <v>2</v>
      </c>
      <c r="Z141" s="1">
        <v>0.9</v>
      </c>
      <c r="AA141" s="2">
        <f>Table1[[#This Row],[XG]]/Table1[[#This Row],[MP]]</f>
        <v>0.09</v>
      </c>
      <c r="AB141" s="1">
        <v>0.9</v>
      </c>
      <c r="AC141" s="1">
        <v>1.6</v>
      </c>
      <c r="AD141" s="1">
        <v>2.5</v>
      </c>
      <c r="AE141" s="1">
        <v>14</v>
      </c>
      <c r="AF141" s="1">
        <v>13</v>
      </c>
      <c r="AG141" s="1">
        <v>40</v>
      </c>
    </row>
    <row r="142" spans="1:33" x14ac:dyDescent="0.35">
      <c r="A142">
        <v>30</v>
      </c>
      <c r="B142" t="s">
        <v>113</v>
      </c>
      <c r="C142" t="s">
        <v>27</v>
      </c>
      <c r="D142" t="s">
        <v>28</v>
      </c>
      <c r="E142" t="s">
        <v>57</v>
      </c>
      <c r="F142" t="s">
        <v>114</v>
      </c>
      <c r="G142" s="1">
        <v>1998</v>
      </c>
      <c r="H142" s="1">
        <v>11</v>
      </c>
      <c r="I142" s="1">
        <v>9</v>
      </c>
      <c r="J142" s="2">
        <f>Table1[[#This Row],[STARTS]]/Table1[[#This Row],[MP]]</f>
        <v>0.81818181818181823</v>
      </c>
      <c r="K142" s="1">
        <v>831</v>
      </c>
      <c r="L142" s="1">
        <v>9.1999999999999993</v>
      </c>
      <c r="M142" s="1">
        <v>0</v>
      </c>
      <c r="N142" s="2">
        <f>Table1[[#This Row],[G]]/Table1[[#This Row],[MP]]</f>
        <v>0</v>
      </c>
      <c r="O142" s="2">
        <v>1</v>
      </c>
      <c r="P142" s="2">
        <f>Table1[[#This Row],[A]]/Table1[[#This Row],[MP]]</f>
        <v>9.0909090909090912E-2</v>
      </c>
      <c r="Q142" s="2">
        <v>1</v>
      </c>
      <c r="R142" s="2">
        <f>Table1[[#This Row],[PTS]]/Table1[[#This Row],[MP]]</f>
        <v>9.0909090909090912E-2</v>
      </c>
      <c r="S142" s="1">
        <v>0</v>
      </c>
      <c r="T142" s="1">
        <f>Table1[[#This Row],[G]]-Table1[[#This Row],[G_PK]]</f>
        <v>0</v>
      </c>
      <c r="U142" s="1">
        <v>0</v>
      </c>
      <c r="V142" s="1">
        <v>0</v>
      </c>
      <c r="W142" s="1">
        <v>1</v>
      </c>
      <c r="X142" s="1">
        <v>0</v>
      </c>
      <c r="Y142" s="1">
        <f>Table1[[#This Row],[CRDY]]+Table1[[#This Row],[CRDR]]</f>
        <v>1</v>
      </c>
      <c r="Z142" s="1">
        <v>0.1</v>
      </c>
      <c r="AA142" s="2">
        <f>Table1[[#This Row],[XG]]/Table1[[#This Row],[MP]]</f>
        <v>9.0909090909090922E-3</v>
      </c>
      <c r="AB142" s="1">
        <v>0.1</v>
      </c>
      <c r="AC142" s="1">
        <v>0.6</v>
      </c>
      <c r="AD142" s="1">
        <v>0.7</v>
      </c>
      <c r="AE142" s="1">
        <v>12</v>
      </c>
      <c r="AF142" s="1">
        <v>25</v>
      </c>
      <c r="AG142" s="1">
        <v>11</v>
      </c>
    </row>
    <row r="143" spans="1:33" x14ac:dyDescent="0.35">
      <c r="A143">
        <v>40</v>
      </c>
      <c r="B143" t="s">
        <v>132</v>
      </c>
      <c r="C143" t="s">
        <v>41</v>
      </c>
      <c r="D143" t="s">
        <v>50</v>
      </c>
      <c r="E143" t="s">
        <v>101</v>
      </c>
      <c r="F143" t="s">
        <v>133</v>
      </c>
      <c r="G143" s="1">
        <v>2002</v>
      </c>
      <c r="H143" s="1">
        <v>11</v>
      </c>
      <c r="I143" s="1">
        <v>7</v>
      </c>
      <c r="J143" s="2">
        <f>Table1[[#This Row],[STARTS]]/Table1[[#This Row],[MP]]</f>
        <v>0.63636363636363635</v>
      </c>
      <c r="K143" s="1">
        <v>633</v>
      </c>
      <c r="L143" s="1">
        <v>7</v>
      </c>
      <c r="M143" s="1">
        <v>0</v>
      </c>
      <c r="N143" s="2">
        <f>Table1[[#This Row],[G]]/Table1[[#This Row],[MP]]</f>
        <v>0</v>
      </c>
      <c r="O143" s="2">
        <v>1</v>
      </c>
      <c r="P143" s="2">
        <f>Table1[[#This Row],[A]]/Table1[[#This Row],[MP]]</f>
        <v>9.0909090909090912E-2</v>
      </c>
      <c r="Q143" s="2">
        <v>1</v>
      </c>
      <c r="R143" s="2">
        <f>Table1[[#This Row],[PTS]]/Table1[[#This Row],[MP]]</f>
        <v>9.0909090909090912E-2</v>
      </c>
      <c r="S143" s="1">
        <v>0</v>
      </c>
      <c r="T143" s="1">
        <f>Table1[[#This Row],[G]]-Table1[[#This Row],[G_PK]]</f>
        <v>0</v>
      </c>
      <c r="U143" s="1">
        <v>0</v>
      </c>
      <c r="V143" s="1">
        <v>0</v>
      </c>
      <c r="W143" s="1">
        <v>1</v>
      </c>
      <c r="X143" s="1">
        <v>0</v>
      </c>
      <c r="Y143" s="1">
        <f>Table1[[#This Row],[CRDY]]+Table1[[#This Row],[CRDR]]</f>
        <v>1</v>
      </c>
      <c r="Z143" s="1">
        <v>0</v>
      </c>
      <c r="AA143" s="2">
        <f>Table1[[#This Row],[XG]]/Table1[[#This Row],[MP]]</f>
        <v>0</v>
      </c>
      <c r="AB143" s="1">
        <v>0</v>
      </c>
      <c r="AC143" s="1">
        <v>1.2</v>
      </c>
      <c r="AD143" s="1">
        <v>1.2</v>
      </c>
      <c r="AE143" s="1">
        <v>17</v>
      </c>
      <c r="AF143" s="1">
        <v>43</v>
      </c>
      <c r="AG143" s="1">
        <v>39</v>
      </c>
    </row>
    <row r="144" spans="1:33" x14ac:dyDescent="0.35">
      <c r="A144">
        <v>96</v>
      </c>
      <c r="B144" t="s">
        <v>250</v>
      </c>
      <c r="C144" t="s">
        <v>27</v>
      </c>
      <c r="D144" t="s">
        <v>251</v>
      </c>
      <c r="E144" t="s">
        <v>57</v>
      </c>
      <c r="F144" t="s">
        <v>252</v>
      </c>
      <c r="G144" s="1">
        <v>2000</v>
      </c>
      <c r="H144" s="1">
        <v>11</v>
      </c>
      <c r="I144" s="1">
        <v>10</v>
      </c>
      <c r="J144" s="2">
        <f>Table1[[#This Row],[STARTS]]/Table1[[#This Row],[MP]]</f>
        <v>0.90909090909090906</v>
      </c>
      <c r="K144" s="1">
        <v>923</v>
      </c>
      <c r="L144" s="1">
        <v>10.3</v>
      </c>
      <c r="M144" s="1">
        <v>0</v>
      </c>
      <c r="N144" s="2">
        <f>Table1[[#This Row],[G]]/Table1[[#This Row],[MP]]</f>
        <v>0</v>
      </c>
      <c r="O144" s="2">
        <v>1</v>
      </c>
      <c r="P144" s="2">
        <f>Table1[[#This Row],[A]]/Table1[[#This Row],[MP]]</f>
        <v>9.0909090909090912E-2</v>
      </c>
      <c r="Q144" s="2">
        <v>1</v>
      </c>
      <c r="R144" s="2">
        <f>Table1[[#This Row],[PTS]]/Table1[[#This Row],[MP]]</f>
        <v>9.0909090909090912E-2</v>
      </c>
      <c r="S144" s="1">
        <v>0</v>
      </c>
      <c r="T144" s="1">
        <f>Table1[[#This Row],[G]]-Table1[[#This Row],[G_PK]]</f>
        <v>0</v>
      </c>
      <c r="U144" s="1">
        <v>0</v>
      </c>
      <c r="V144" s="1">
        <v>0</v>
      </c>
      <c r="W144" s="1">
        <v>0</v>
      </c>
      <c r="X144" s="1">
        <v>0</v>
      </c>
      <c r="Y144" s="1">
        <f>Table1[[#This Row],[CRDY]]+Table1[[#This Row],[CRDR]]</f>
        <v>0</v>
      </c>
      <c r="Z144" s="1">
        <v>0.3</v>
      </c>
      <c r="AA144" s="2">
        <f>Table1[[#This Row],[XG]]/Table1[[#This Row],[MP]]</f>
        <v>2.7272727272727271E-2</v>
      </c>
      <c r="AB144" s="1">
        <v>0.3</v>
      </c>
      <c r="AC144" s="1">
        <v>0.9</v>
      </c>
      <c r="AD144" s="1">
        <v>1.2</v>
      </c>
      <c r="AE144" s="1">
        <v>0</v>
      </c>
      <c r="AF144" s="1">
        <v>22</v>
      </c>
      <c r="AG144" s="1">
        <v>9</v>
      </c>
    </row>
    <row r="145" spans="1:33" x14ac:dyDescent="0.35">
      <c r="A145">
        <v>195</v>
      </c>
      <c r="B145" t="s">
        <v>456</v>
      </c>
      <c r="C145" t="s">
        <v>27</v>
      </c>
      <c r="D145" t="s">
        <v>32</v>
      </c>
      <c r="E145" t="s">
        <v>33</v>
      </c>
      <c r="F145" t="s">
        <v>457</v>
      </c>
      <c r="G145" s="1">
        <v>2001</v>
      </c>
      <c r="H145" s="1">
        <v>11</v>
      </c>
      <c r="I145" s="1">
        <v>4</v>
      </c>
      <c r="J145" s="2">
        <f>Table1[[#This Row],[STARTS]]/Table1[[#This Row],[MP]]</f>
        <v>0.36363636363636365</v>
      </c>
      <c r="K145" s="1">
        <v>354</v>
      </c>
      <c r="L145" s="1">
        <v>3.9</v>
      </c>
      <c r="M145" s="1">
        <v>0</v>
      </c>
      <c r="N145" s="2">
        <f>Table1[[#This Row],[G]]/Table1[[#This Row],[MP]]</f>
        <v>0</v>
      </c>
      <c r="O145" s="2">
        <v>1</v>
      </c>
      <c r="P145" s="2">
        <f>Table1[[#This Row],[A]]/Table1[[#This Row],[MP]]</f>
        <v>9.0909090909090912E-2</v>
      </c>
      <c r="Q145" s="2">
        <v>1</v>
      </c>
      <c r="R145" s="2">
        <f>Table1[[#This Row],[PTS]]/Table1[[#This Row],[MP]]</f>
        <v>9.0909090909090912E-2</v>
      </c>
      <c r="S145" s="1">
        <v>0</v>
      </c>
      <c r="T145" s="1">
        <f>Table1[[#This Row],[G]]-Table1[[#This Row],[G_PK]]</f>
        <v>0</v>
      </c>
      <c r="U145" s="1">
        <v>0</v>
      </c>
      <c r="V145" s="1">
        <v>0</v>
      </c>
      <c r="W145" s="1">
        <v>0</v>
      </c>
      <c r="X145" s="1">
        <v>0</v>
      </c>
      <c r="Y145" s="1">
        <f>Table1[[#This Row],[CRDY]]+Table1[[#This Row],[CRDR]]</f>
        <v>0</v>
      </c>
      <c r="Z145" s="1">
        <v>0.4</v>
      </c>
      <c r="AA145" s="2">
        <f>Table1[[#This Row],[XG]]/Table1[[#This Row],[MP]]</f>
        <v>3.6363636363636369E-2</v>
      </c>
      <c r="AB145" s="1">
        <v>0.4</v>
      </c>
      <c r="AC145" s="1">
        <v>0.5</v>
      </c>
      <c r="AD145" s="1">
        <v>0.9</v>
      </c>
      <c r="AE145" s="1">
        <v>6</v>
      </c>
      <c r="AF145" s="1">
        <v>10</v>
      </c>
      <c r="AG145" s="1">
        <v>21</v>
      </c>
    </row>
    <row r="146" spans="1:33" x14ac:dyDescent="0.35">
      <c r="A146">
        <v>10</v>
      </c>
      <c r="B146" t="s">
        <v>61</v>
      </c>
      <c r="C146" t="s">
        <v>41</v>
      </c>
      <c r="D146" t="s">
        <v>62</v>
      </c>
      <c r="E146" t="s">
        <v>29</v>
      </c>
      <c r="F146" t="s">
        <v>63</v>
      </c>
      <c r="G146" s="1">
        <v>2000</v>
      </c>
      <c r="H146" s="1">
        <v>12</v>
      </c>
      <c r="I146" s="1">
        <v>10</v>
      </c>
      <c r="J146" s="2">
        <f>Table1[[#This Row],[STARTS]]/Table1[[#This Row],[MP]]</f>
        <v>0.83333333333333337</v>
      </c>
      <c r="K146" s="1">
        <v>890</v>
      </c>
      <c r="L146" s="1">
        <v>9.9</v>
      </c>
      <c r="M146" s="1">
        <v>0</v>
      </c>
      <c r="N146" s="2">
        <f>Table1[[#This Row],[G]]/Table1[[#This Row],[MP]]</f>
        <v>0</v>
      </c>
      <c r="O146" s="2">
        <v>1</v>
      </c>
      <c r="P146" s="2">
        <f>Table1[[#This Row],[A]]/Table1[[#This Row],[MP]]</f>
        <v>8.3333333333333329E-2</v>
      </c>
      <c r="Q146" s="2">
        <v>1</v>
      </c>
      <c r="R146" s="2">
        <f>Table1[[#This Row],[PTS]]/Table1[[#This Row],[MP]]</f>
        <v>8.3333333333333329E-2</v>
      </c>
      <c r="S146" s="1">
        <v>0</v>
      </c>
      <c r="T146" s="1">
        <f>Table1[[#This Row],[G]]-Table1[[#This Row],[G_PK]]</f>
        <v>0</v>
      </c>
      <c r="U146" s="1">
        <v>0</v>
      </c>
      <c r="V146" s="1">
        <v>0</v>
      </c>
      <c r="W146" s="1">
        <v>0</v>
      </c>
      <c r="X146" s="1">
        <v>0</v>
      </c>
      <c r="Y146" s="1">
        <f>Table1[[#This Row],[CRDY]]+Table1[[#This Row],[CRDR]]</f>
        <v>0</v>
      </c>
      <c r="Z146" s="1">
        <v>1.2</v>
      </c>
      <c r="AA146" s="2">
        <f>Table1[[#This Row],[XG]]/Table1[[#This Row],[MP]]</f>
        <v>9.9999999999999992E-2</v>
      </c>
      <c r="AB146" s="1">
        <v>1.2</v>
      </c>
      <c r="AC146" s="1">
        <v>2.2000000000000002</v>
      </c>
      <c r="AD146" s="1">
        <v>3.4</v>
      </c>
      <c r="AE146" s="1">
        <v>7</v>
      </c>
      <c r="AF146" s="1">
        <v>46</v>
      </c>
      <c r="AG146" s="1">
        <v>60</v>
      </c>
    </row>
    <row r="147" spans="1:33" x14ac:dyDescent="0.35">
      <c r="A147">
        <v>73</v>
      </c>
      <c r="B147" t="s">
        <v>204</v>
      </c>
      <c r="C147" t="s">
        <v>27</v>
      </c>
      <c r="D147" t="s">
        <v>28</v>
      </c>
      <c r="E147" t="s">
        <v>164</v>
      </c>
      <c r="F147" t="s">
        <v>205</v>
      </c>
      <c r="G147" s="1">
        <v>1998</v>
      </c>
      <c r="H147" s="1">
        <v>13</v>
      </c>
      <c r="I147" s="1">
        <v>13</v>
      </c>
      <c r="J147" s="2">
        <f>Table1[[#This Row],[STARTS]]/Table1[[#This Row],[MP]]</f>
        <v>1</v>
      </c>
      <c r="K147" s="1">
        <v>1170</v>
      </c>
      <c r="L147" s="1">
        <v>13</v>
      </c>
      <c r="M147" s="1">
        <v>0</v>
      </c>
      <c r="N147" s="2">
        <f>Table1[[#This Row],[G]]/Table1[[#This Row],[MP]]</f>
        <v>0</v>
      </c>
      <c r="O147" s="2">
        <v>1</v>
      </c>
      <c r="P147" s="2">
        <f>Table1[[#This Row],[A]]/Table1[[#This Row],[MP]]</f>
        <v>7.6923076923076927E-2</v>
      </c>
      <c r="Q147" s="2">
        <v>1</v>
      </c>
      <c r="R147" s="2">
        <f>Table1[[#This Row],[PTS]]/Table1[[#This Row],[MP]]</f>
        <v>7.6923076923076927E-2</v>
      </c>
      <c r="S147" s="1">
        <v>0</v>
      </c>
      <c r="T147" s="1">
        <f>Table1[[#This Row],[G]]-Table1[[#This Row],[G_PK]]</f>
        <v>0</v>
      </c>
      <c r="U147" s="1">
        <v>0</v>
      </c>
      <c r="V147" s="1">
        <v>0</v>
      </c>
      <c r="W147" s="1">
        <v>1</v>
      </c>
      <c r="X147" s="1">
        <v>0</v>
      </c>
      <c r="Y147" s="1">
        <f>Table1[[#This Row],[CRDY]]+Table1[[#This Row],[CRDR]]</f>
        <v>1</v>
      </c>
      <c r="Z147" s="1">
        <v>0.3</v>
      </c>
      <c r="AA147" s="2">
        <f>Table1[[#This Row],[XG]]/Table1[[#This Row],[MP]]</f>
        <v>2.3076923076923075E-2</v>
      </c>
      <c r="AB147" s="1">
        <v>0.3</v>
      </c>
      <c r="AC147" s="1">
        <v>0.3</v>
      </c>
      <c r="AD147" s="1">
        <v>0.6</v>
      </c>
      <c r="AE147" s="1">
        <v>6</v>
      </c>
      <c r="AF147" s="1">
        <v>69</v>
      </c>
      <c r="AG147" s="1">
        <v>8</v>
      </c>
    </row>
    <row r="148" spans="1:33" x14ac:dyDescent="0.35">
      <c r="A148">
        <v>76</v>
      </c>
      <c r="B148" t="s">
        <v>209</v>
      </c>
      <c r="C148" t="s">
        <v>27</v>
      </c>
      <c r="D148" t="s">
        <v>37</v>
      </c>
      <c r="E148" t="s">
        <v>81</v>
      </c>
      <c r="F148" t="s">
        <v>210</v>
      </c>
      <c r="G148" s="1">
        <v>1992</v>
      </c>
      <c r="H148" s="1">
        <v>13</v>
      </c>
      <c r="I148" s="1">
        <v>11</v>
      </c>
      <c r="J148" s="2">
        <f>Table1[[#This Row],[STARTS]]/Table1[[#This Row],[MP]]</f>
        <v>0.84615384615384615</v>
      </c>
      <c r="K148" s="1">
        <v>886</v>
      </c>
      <c r="L148" s="1">
        <v>9.8000000000000007</v>
      </c>
      <c r="M148" s="1">
        <v>0</v>
      </c>
      <c r="N148" s="2">
        <f>Table1[[#This Row],[G]]/Table1[[#This Row],[MP]]</f>
        <v>0</v>
      </c>
      <c r="O148" s="2">
        <v>1</v>
      </c>
      <c r="P148" s="2">
        <f>Table1[[#This Row],[A]]/Table1[[#This Row],[MP]]</f>
        <v>7.6923076923076927E-2</v>
      </c>
      <c r="Q148" s="2">
        <v>1</v>
      </c>
      <c r="R148" s="2">
        <f>Table1[[#This Row],[PTS]]/Table1[[#This Row],[MP]]</f>
        <v>7.6923076923076927E-2</v>
      </c>
      <c r="S148" s="1">
        <v>0</v>
      </c>
      <c r="T148" s="1">
        <f>Table1[[#This Row],[G]]-Table1[[#This Row],[G_PK]]</f>
        <v>0</v>
      </c>
      <c r="U148" s="1">
        <v>0</v>
      </c>
      <c r="V148" s="1">
        <v>0</v>
      </c>
      <c r="W148" s="1">
        <v>1</v>
      </c>
      <c r="X148" s="1">
        <v>0</v>
      </c>
      <c r="Y148" s="1">
        <f>Table1[[#This Row],[CRDY]]+Table1[[#This Row],[CRDR]]</f>
        <v>1</v>
      </c>
      <c r="Z148" s="1">
        <v>0.7</v>
      </c>
      <c r="AA148" s="2">
        <f>Table1[[#This Row],[XG]]/Table1[[#This Row],[MP]]</f>
        <v>5.3846153846153842E-2</v>
      </c>
      <c r="AB148" s="1">
        <v>0.7</v>
      </c>
      <c r="AC148" s="1">
        <v>1.4</v>
      </c>
      <c r="AD148" s="1">
        <v>2.1</v>
      </c>
      <c r="AE148" s="1">
        <v>19</v>
      </c>
      <c r="AF148" s="1">
        <v>58</v>
      </c>
      <c r="AG148" s="1">
        <v>27</v>
      </c>
    </row>
    <row r="149" spans="1:33" x14ac:dyDescent="0.35">
      <c r="A149">
        <v>132</v>
      </c>
      <c r="B149" t="s">
        <v>329</v>
      </c>
      <c r="C149" t="s">
        <v>27</v>
      </c>
      <c r="D149" t="s">
        <v>37</v>
      </c>
      <c r="E149" t="s">
        <v>46</v>
      </c>
      <c r="F149" t="s">
        <v>330</v>
      </c>
      <c r="G149" s="1">
        <v>2002</v>
      </c>
      <c r="H149" s="1">
        <v>13</v>
      </c>
      <c r="I149" s="1">
        <v>13</v>
      </c>
      <c r="J149" s="2">
        <f>Table1[[#This Row],[STARTS]]/Table1[[#This Row],[MP]]</f>
        <v>1</v>
      </c>
      <c r="K149" s="1">
        <v>1080</v>
      </c>
      <c r="L149" s="1">
        <v>12</v>
      </c>
      <c r="M149" s="1">
        <v>0</v>
      </c>
      <c r="N149" s="2">
        <f>Table1[[#This Row],[G]]/Table1[[#This Row],[MP]]</f>
        <v>0</v>
      </c>
      <c r="O149" s="2">
        <v>1</v>
      </c>
      <c r="P149" s="2">
        <f>Table1[[#This Row],[A]]/Table1[[#This Row],[MP]]</f>
        <v>7.6923076923076927E-2</v>
      </c>
      <c r="Q149" s="2">
        <v>1</v>
      </c>
      <c r="R149" s="2">
        <f>Table1[[#This Row],[PTS]]/Table1[[#This Row],[MP]]</f>
        <v>7.6923076923076927E-2</v>
      </c>
      <c r="S149" s="1">
        <v>0</v>
      </c>
      <c r="T149" s="1">
        <f>Table1[[#This Row],[G]]-Table1[[#This Row],[G_PK]]</f>
        <v>0</v>
      </c>
      <c r="U149" s="1">
        <v>0</v>
      </c>
      <c r="V149" s="1">
        <v>0</v>
      </c>
      <c r="W149" s="1">
        <v>1</v>
      </c>
      <c r="X149" s="1">
        <v>0</v>
      </c>
      <c r="Y149" s="1">
        <f>Table1[[#This Row],[CRDY]]+Table1[[#This Row],[CRDR]]</f>
        <v>1</v>
      </c>
      <c r="Z149" s="1">
        <v>1.9</v>
      </c>
      <c r="AA149" s="2">
        <f>Table1[[#This Row],[XG]]/Table1[[#This Row],[MP]]</f>
        <v>0.14615384615384613</v>
      </c>
      <c r="AB149" s="1">
        <v>1.9</v>
      </c>
      <c r="AC149" s="1">
        <v>1.2</v>
      </c>
      <c r="AD149" s="1">
        <v>3.1</v>
      </c>
      <c r="AE149" s="1">
        <v>15</v>
      </c>
      <c r="AF149" s="1">
        <v>52</v>
      </c>
      <c r="AG149" s="1">
        <v>47</v>
      </c>
    </row>
    <row r="150" spans="1:33" x14ac:dyDescent="0.35">
      <c r="A150">
        <v>146</v>
      </c>
      <c r="B150" t="s">
        <v>357</v>
      </c>
      <c r="C150" t="s">
        <v>68</v>
      </c>
      <c r="D150" t="s">
        <v>62</v>
      </c>
      <c r="E150" t="s">
        <v>54</v>
      </c>
      <c r="F150" t="s">
        <v>358</v>
      </c>
      <c r="G150" s="1">
        <v>1995</v>
      </c>
      <c r="H150" s="1">
        <v>13</v>
      </c>
      <c r="I150" s="1">
        <v>13</v>
      </c>
      <c r="J150" s="2">
        <f>Table1[[#This Row],[STARTS]]/Table1[[#This Row],[MP]]</f>
        <v>1</v>
      </c>
      <c r="K150" s="1">
        <v>1077</v>
      </c>
      <c r="L150" s="1">
        <v>12</v>
      </c>
      <c r="M150" s="1">
        <v>0</v>
      </c>
      <c r="N150" s="2">
        <f>Table1[[#This Row],[G]]/Table1[[#This Row],[MP]]</f>
        <v>0</v>
      </c>
      <c r="O150" s="2">
        <v>1</v>
      </c>
      <c r="P150" s="2">
        <f>Table1[[#This Row],[A]]/Table1[[#This Row],[MP]]</f>
        <v>7.6923076923076927E-2</v>
      </c>
      <c r="Q150" s="2">
        <v>1</v>
      </c>
      <c r="R150" s="2">
        <f>Table1[[#This Row],[PTS]]/Table1[[#This Row],[MP]]</f>
        <v>7.6923076923076927E-2</v>
      </c>
      <c r="S150" s="1">
        <v>0</v>
      </c>
      <c r="T150" s="1">
        <f>Table1[[#This Row],[G]]-Table1[[#This Row],[G_PK]]</f>
        <v>0</v>
      </c>
      <c r="U150" s="1">
        <v>0</v>
      </c>
      <c r="V150" s="1">
        <v>0</v>
      </c>
      <c r="W150" s="1">
        <v>0</v>
      </c>
      <c r="X150" s="1">
        <v>0</v>
      </c>
      <c r="Y150" s="1">
        <f>Table1[[#This Row],[CRDY]]+Table1[[#This Row],[CRDR]]</f>
        <v>0</v>
      </c>
      <c r="Z150" s="1">
        <v>1.2</v>
      </c>
      <c r="AA150" s="2">
        <f>Table1[[#This Row],[XG]]/Table1[[#This Row],[MP]]</f>
        <v>9.2307692307692299E-2</v>
      </c>
      <c r="AB150" s="1">
        <v>1.2</v>
      </c>
      <c r="AC150" s="1">
        <v>0.7</v>
      </c>
      <c r="AD150" s="1">
        <v>1.9</v>
      </c>
      <c r="AE150" s="1">
        <v>4</v>
      </c>
      <c r="AF150" s="1">
        <v>44</v>
      </c>
      <c r="AG150" s="1">
        <v>12</v>
      </c>
    </row>
    <row r="151" spans="1:33" x14ac:dyDescent="0.35">
      <c r="A151">
        <v>152</v>
      </c>
      <c r="B151" t="s">
        <v>368</v>
      </c>
      <c r="C151" t="s">
        <v>305</v>
      </c>
      <c r="D151" t="s">
        <v>37</v>
      </c>
      <c r="E151" t="s">
        <v>42</v>
      </c>
      <c r="F151" t="s">
        <v>369</v>
      </c>
      <c r="G151" s="1">
        <v>2005</v>
      </c>
      <c r="H151" s="1">
        <v>13</v>
      </c>
      <c r="I151" s="1">
        <v>6</v>
      </c>
      <c r="J151" s="2">
        <f>Table1[[#This Row],[STARTS]]/Table1[[#This Row],[MP]]</f>
        <v>0.46153846153846156</v>
      </c>
      <c r="K151" s="1">
        <v>535</v>
      </c>
      <c r="L151" s="1">
        <v>5.9</v>
      </c>
      <c r="M151" s="1">
        <v>0</v>
      </c>
      <c r="N151" s="2">
        <f>Table1[[#This Row],[G]]/Table1[[#This Row],[MP]]</f>
        <v>0</v>
      </c>
      <c r="O151" s="2">
        <v>1</v>
      </c>
      <c r="P151" s="2">
        <f>Table1[[#This Row],[A]]/Table1[[#This Row],[MP]]</f>
        <v>7.6923076923076927E-2</v>
      </c>
      <c r="Q151" s="2">
        <v>1</v>
      </c>
      <c r="R151" s="2">
        <f>Table1[[#This Row],[PTS]]/Table1[[#This Row],[MP]]</f>
        <v>7.6923076923076927E-2</v>
      </c>
      <c r="S151" s="1">
        <v>0</v>
      </c>
      <c r="T151" s="1">
        <f>Table1[[#This Row],[G]]-Table1[[#This Row],[G_PK]]</f>
        <v>0</v>
      </c>
      <c r="U151" s="1">
        <v>0</v>
      </c>
      <c r="V151" s="1">
        <v>0</v>
      </c>
      <c r="W151" s="1">
        <v>1</v>
      </c>
      <c r="X151" s="1">
        <v>0</v>
      </c>
      <c r="Y151" s="1">
        <f>Table1[[#This Row],[CRDY]]+Table1[[#This Row],[CRDR]]</f>
        <v>1</v>
      </c>
      <c r="Z151" s="1">
        <v>2.5</v>
      </c>
      <c r="AA151" s="2">
        <f>Table1[[#This Row],[XG]]/Table1[[#This Row],[MP]]</f>
        <v>0.19230769230769232</v>
      </c>
      <c r="AB151" s="1">
        <v>2.5</v>
      </c>
      <c r="AC151" s="1">
        <v>1.6</v>
      </c>
      <c r="AD151" s="1">
        <v>4.0999999999999996</v>
      </c>
      <c r="AE151" s="1">
        <v>4</v>
      </c>
      <c r="AF151" s="1">
        <v>25</v>
      </c>
      <c r="AG151" s="1">
        <v>26</v>
      </c>
    </row>
    <row r="152" spans="1:33" x14ac:dyDescent="0.35">
      <c r="A152">
        <v>180</v>
      </c>
      <c r="B152" t="s">
        <v>426</v>
      </c>
      <c r="C152" t="s">
        <v>27</v>
      </c>
      <c r="D152" t="s">
        <v>251</v>
      </c>
      <c r="E152" t="s">
        <v>101</v>
      </c>
      <c r="F152" t="s">
        <v>427</v>
      </c>
      <c r="G152" s="1">
        <v>1998</v>
      </c>
      <c r="H152" s="1">
        <v>13</v>
      </c>
      <c r="I152" s="1">
        <v>11</v>
      </c>
      <c r="J152" s="2">
        <f>Table1[[#This Row],[STARTS]]/Table1[[#This Row],[MP]]</f>
        <v>0.84615384615384615</v>
      </c>
      <c r="K152" s="1">
        <v>979</v>
      </c>
      <c r="L152" s="1">
        <v>10.9</v>
      </c>
      <c r="M152" s="1">
        <v>0</v>
      </c>
      <c r="N152" s="2">
        <f>Table1[[#This Row],[G]]/Table1[[#This Row],[MP]]</f>
        <v>0</v>
      </c>
      <c r="O152" s="2">
        <v>1</v>
      </c>
      <c r="P152" s="2">
        <f>Table1[[#This Row],[A]]/Table1[[#This Row],[MP]]</f>
        <v>7.6923076923076927E-2</v>
      </c>
      <c r="Q152" s="2">
        <v>1</v>
      </c>
      <c r="R152" s="2">
        <f>Table1[[#This Row],[PTS]]/Table1[[#This Row],[MP]]</f>
        <v>7.6923076923076927E-2</v>
      </c>
      <c r="S152" s="1">
        <v>0</v>
      </c>
      <c r="T152" s="1">
        <f>Table1[[#This Row],[G]]-Table1[[#This Row],[G_PK]]</f>
        <v>0</v>
      </c>
      <c r="U152" s="1">
        <v>0</v>
      </c>
      <c r="V152" s="1">
        <v>0</v>
      </c>
      <c r="W152" s="1">
        <v>1</v>
      </c>
      <c r="X152" s="1">
        <v>0</v>
      </c>
      <c r="Y152" s="1">
        <f>Table1[[#This Row],[CRDY]]+Table1[[#This Row],[CRDR]]</f>
        <v>1</v>
      </c>
      <c r="Z152" s="1">
        <v>0.3</v>
      </c>
      <c r="AA152" s="2">
        <f>Table1[[#This Row],[XG]]/Table1[[#This Row],[MP]]</f>
        <v>2.3076923076923075E-2</v>
      </c>
      <c r="AB152" s="1">
        <v>0.3</v>
      </c>
      <c r="AC152" s="1">
        <v>0.4</v>
      </c>
      <c r="AD152" s="1">
        <v>0.6</v>
      </c>
      <c r="AE152" s="1">
        <v>3</v>
      </c>
      <c r="AF152" s="1">
        <v>30</v>
      </c>
      <c r="AG152" s="1">
        <v>6</v>
      </c>
    </row>
    <row r="153" spans="1:33" x14ac:dyDescent="0.35">
      <c r="A153">
        <v>188</v>
      </c>
      <c r="B153" t="s">
        <v>442</v>
      </c>
      <c r="C153" t="s">
        <v>27</v>
      </c>
      <c r="D153" t="s">
        <v>45</v>
      </c>
      <c r="E153" t="s">
        <v>164</v>
      </c>
      <c r="F153" t="s">
        <v>443</v>
      </c>
      <c r="G153" s="1">
        <v>1998</v>
      </c>
      <c r="H153" s="1">
        <v>13</v>
      </c>
      <c r="I153" s="1">
        <v>13</v>
      </c>
      <c r="J153" s="2">
        <f>Table1[[#This Row],[STARTS]]/Table1[[#This Row],[MP]]</f>
        <v>1</v>
      </c>
      <c r="K153" s="1">
        <v>1170</v>
      </c>
      <c r="L153" s="1">
        <v>13</v>
      </c>
      <c r="M153" s="1">
        <v>0</v>
      </c>
      <c r="N153" s="2">
        <f>Table1[[#This Row],[G]]/Table1[[#This Row],[MP]]</f>
        <v>0</v>
      </c>
      <c r="O153" s="2">
        <v>1</v>
      </c>
      <c r="P153" s="2">
        <f>Table1[[#This Row],[A]]/Table1[[#This Row],[MP]]</f>
        <v>7.6923076923076927E-2</v>
      </c>
      <c r="Q153" s="2">
        <v>1</v>
      </c>
      <c r="R153" s="2">
        <f>Table1[[#This Row],[PTS]]/Table1[[#This Row],[MP]]</f>
        <v>7.6923076923076927E-2</v>
      </c>
      <c r="S153" s="1">
        <v>0</v>
      </c>
      <c r="T153" s="1">
        <f>Table1[[#This Row],[G]]-Table1[[#This Row],[G_PK]]</f>
        <v>0</v>
      </c>
      <c r="U153" s="1">
        <v>0</v>
      </c>
      <c r="V153" s="1">
        <v>0</v>
      </c>
      <c r="W153" s="1">
        <v>2</v>
      </c>
      <c r="X153" s="1">
        <v>0</v>
      </c>
      <c r="Y153" s="1">
        <f>Table1[[#This Row],[CRDY]]+Table1[[#This Row],[CRDR]]</f>
        <v>2</v>
      </c>
      <c r="Z153" s="1">
        <v>0</v>
      </c>
      <c r="AA153" s="2">
        <f>Table1[[#This Row],[XG]]/Table1[[#This Row],[MP]]</f>
        <v>0</v>
      </c>
      <c r="AB153" s="1">
        <v>0</v>
      </c>
      <c r="AC153" s="1">
        <v>0.8</v>
      </c>
      <c r="AD153" s="1">
        <v>0.8</v>
      </c>
      <c r="AE153" s="1">
        <v>1</v>
      </c>
      <c r="AF153" s="1">
        <v>0</v>
      </c>
      <c r="AG153" s="1">
        <v>0</v>
      </c>
    </row>
    <row r="154" spans="1:33" x14ac:dyDescent="0.35">
      <c r="A154">
        <v>196</v>
      </c>
      <c r="B154" t="s">
        <v>458</v>
      </c>
      <c r="C154" t="s">
        <v>27</v>
      </c>
      <c r="D154" t="s">
        <v>62</v>
      </c>
      <c r="E154" t="s">
        <v>33</v>
      </c>
      <c r="F154" t="s">
        <v>459</v>
      </c>
      <c r="G154" s="1">
        <v>2001</v>
      </c>
      <c r="H154" s="1">
        <v>13</v>
      </c>
      <c r="I154" s="1">
        <v>9</v>
      </c>
      <c r="J154" s="2">
        <f>Table1[[#This Row],[STARTS]]/Table1[[#This Row],[MP]]</f>
        <v>0.69230769230769229</v>
      </c>
      <c r="K154" s="1">
        <v>877</v>
      </c>
      <c r="L154" s="1">
        <v>9.6999999999999993</v>
      </c>
      <c r="M154" s="1">
        <v>0</v>
      </c>
      <c r="N154" s="2">
        <f>Table1[[#This Row],[G]]/Table1[[#This Row],[MP]]</f>
        <v>0</v>
      </c>
      <c r="O154" s="2">
        <v>1</v>
      </c>
      <c r="P154" s="2">
        <f>Table1[[#This Row],[A]]/Table1[[#This Row],[MP]]</f>
        <v>7.6923076923076927E-2</v>
      </c>
      <c r="Q154" s="2">
        <v>1</v>
      </c>
      <c r="R154" s="2">
        <f>Table1[[#This Row],[PTS]]/Table1[[#This Row],[MP]]</f>
        <v>7.6923076923076927E-2</v>
      </c>
      <c r="S154" s="1">
        <v>0</v>
      </c>
      <c r="T154" s="1">
        <f>Table1[[#This Row],[G]]-Table1[[#This Row],[G_PK]]</f>
        <v>0</v>
      </c>
      <c r="U154" s="1">
        <v>0</v>
      </c>
      <c r="V154" s="1">
        <v>0</v>
      </c>
      <c r="W154" s="1">
        <v>0</v>
      </c>
      <c r="X154" s="1">
        <v>0</v>
      </c>
      <c r="Y154" s="1">
        <f>Table1[[#This Row],[CRDY]]+Table1[[#This Row],[CRDR]]</f>
        <v>0</v>
      </c>
      <c r="Z154" s="1">
        <v>0.2</v>
      </c>
      <c r="AA154" s="2">
        <f>Table1[[#This Row],[XG]]/Table1[[#This Row],[MP]]</f>
        <v>1.5384615384615385E-2</v>
      </c>
      <c r="AB154" s="1">
        <v>0.2</v>
      </c>
      <c r="AC154" s="1">
        <v>1.3</v>
      </c>
      <c r="AD154" s="1">
        <v>1.5</v>
      </c>
      <c r="AE154" s="1">
        <v>8</v>
      </c>
      <c r="AF154" s="1">
        <v>28</v>
      </c>
      <c r="AG154" s="1">
        <v>13</v>
      </c>
    </row>
    <row r="155" spans="1:33" x14ac:dyDescent="0.35">
      <c r="A155">
        <v>197</v>
      </c>
      <c r="B155" t="s">
        <v>460</v>
      </c>
      <c r="C155" t="s">
        <v>27</v>
      </c>
      <c r="D155" t="s">
        <v>28</v>
      </c>
      <c r="E155" t="s">
        <v>71</v>
      </c>
      <c r="F155" t="s">
        <v>461</v>
      </c>
      <c r="G155" s="1">
        <v>1996</v>
      </c>
      <c r="H155" s="1">
        <v>13</v>
      </c>
      <c r="I155" s="1">
        <v>13</v>
      </c>
      <c r="J155" s="2">
        <f>Table1[[#This Row],[STARTS]]/Table1[[#This Row],[MP]]</f>
        <v>1</v>
      </c>
      <c r="K155" s="1">
        <v>1170</v>
      </c>
      <c r="L155" s="1">
        <v>13</v>
      </c>
      <c r="M155" s="1">
        <v>0</v>
      </c>
      <c r="N155" s="2">
        <f>Table1[[#This Row],[G]]/Table1[[#This Row],[MP]]</f>
        <v>0</v>
      </c>
      <c r="O155" s="2">
        <v>1</v>
      </c>
      <c r="P155" s="2">
        <f>Table1[[#This Row],[A]]/Table1[[#This Row],[MP]]</f>
        <v>7.6923076923076927E-2</v>
      </c>
      <c r="Q155" s="2">
        <v>1</v>
      </c>
      <c r="R155" s="2">
        <f>Table1[[#This Row],[PTS]]/Table1[[#This Row],[MP]]</f>
        <v>7.6923076923076927E-2</v>
      </c>
      <c r="S155" s="1">
        <v>0</v>
      </c>
      <c r="T155" s="1">
        <f>Table1[[#This Row],[G]]-Table1[[#This Row],[G_PK]]</f>
        <v>0</v>
      </c>
      <c r="U155" s="1">
        <v>0</v>
      </c>
      <c r="V155" s="1">
        <v>0</v>
      </c>
      <c r="W155" s="1">
        <v>0</v>
      </c>
      <c r="X155" s="1">
        <v>0</v>
      </c>
      <c r="Y155" s="1">
        <f>Table1[[#This Row],[CRDY]]+Table1[[#This Row],[CRDR]]</f>
        <v>0</v>
      </c>
      <c r="Z155" s="1">
        <v>0.2</v>
      </c>
      <c r="AA155" s="2">
        <f>Table1[[#This Row],[XG]]/Table1[[#This Row],[MP]]</f>
        <v>1.5384615384615385E-2</v>
      </c>
      <c r="AB155" s="1">
        <v>0.2</v>
      </c>
      <c r="AC155" s="1">
        <v>1.1000000000000001</v>
      </c>
      <c r="AD155" s="1">
        <v>1.3</v>
      </c>
      <c r="AE155" s="1">
        <v>25</v>
      </c>
      <c r="AF155" s="1">
        <v>62</v>
      </c>
      <c r="AG155" s="1">
        <v>20</v>
      </c>
    </row>
    <row r="156" spans="1:33" x14ac:dyDescent="0.35">
      <c r="A156">
        <v>222</v>
      </c>
      <c r="B156" t="s">
        <v>513</v>
      </c>
      <c r="D156" t="s">
        <v>62</v>
      </c>
      <c r="E156" t="s">
        <v>71</v>
      </c>
      <c r="H156" s="1">
        <v>13</v>
      </c>
      <c r="I156" s="1">
        <v>8</v>
      </c>
      <c r="J156" s="2">
        <f>Table1[[#This Row],[STARTS]]/Table1[[#This Row],[MP]]</f>
        <v>0.61538461538461542</v>
      </c>
      <c r="K156" s="1">
        <v>654</v>
      </c>
      <c r="L156" s="1">
        <v>7.3</v>
      </c>
      <c r="M156" s="1">
        <v>0</v>
      </c>
      <c r="N156" s="2">
        <f>Table1[[#This Row],[G]]/Table1[[#This Row],[MP]]</f>
        <v>0</v>
      </c>
      <c r="O156" s="2">
        <v>1</v>
      </c>
      <c r="P156" s="2">
        <f>Table1[[#This Row],[A]]/Table1[[#This Row],[MP]]</f>
        <v>7.6923076923076927E-2</v>
      </c>
      <c r="Q156" s="2">
        <v>1</v>
      </c>
      <c r="R156" s="2">
        <f>Table1[[#This Row],[PTS]]/Table1[[#This Row],[MP]]</f>
        <v>7.6923076923076927E-2</v>
      </c>
      <c r="S156" s="1">
        <v>0</v>
      </c>
      <c r="T156" s="1">
        <f>Table1[[#This Row],[G]]-Table1[[#This Row],[G_PK]]</f>
        <v>0</v>
      </c>
      <c r="U156" s="1">
        <v>0</v>
      </c>
      <c r="V156" s="1">
        <v>0</v>
      </c>
      <c r="W156" s="1">
        <v>2</v>
      </c>
      <c r="X156" s="1">
        <v>0</v>
      </c>
      <c r="Y156" s="1">
        <f>Table1[[#This Row],[CRDY]]+Table1[[#This Row],[CRDR]]</f>
        <v>2</v>
      </c>
      <c r="Z156" s="1">
        <v>0.6</v>
      </c>
      <c r="AA156" s="2">
        <f>Table1[[#This Row],[XG]]/Table1[[#This Row],[MP]]</f>
        <v>4.6153846153846149E-2</v>
      </c>
      <c r="AB156" s="1">
        <v>0.6</v>
      </c>
      <c r="AC156" s="1">
        <v>0.5</v>
      </c>
      <c r="AD156" s="1">
        <v>1.1000000000000001</v>
      </c>
      <c r="AE156" s="1">
        <v>5</v>
      </c>
      <c r="AF156" s="1">
        <v>28</v>
      </c>
      <c r="AG156" s="1">
        <v>17</v>
      </c>
    </row>
    <row r="157" spans="1:33" x14ac:dyDescent="0.35">
      <c r="A157">
        <v>1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s="1">
        <v>1999</v>
      </c>
      <c r="H157" s="1">
        <v>13</v>
      </c>
      <c r="I157" s="1">
        <v>10</v>
      </c>
      <c r="J157" s="2">
        <f>Table1[[#This Row],[STARTS]]/Table1[[#This Row],[MP]]</f>
        <v>0.76923076923076927</v>
      </c>
      <c r="K157" s="1">
        <v>923</v>
      </c>
      <c r="L157" s="1">
        <v>10.3</v>
      </c>
      <c r="M157" s="1">
        <v>0</v>
      </c>
      <c r="N157" s="2">
        <f>Table1[[#This Row],[G]]/Table1[[#This Row],[MP]]</f>
        <v>0</v>
      </c>
      <c r="O157" s="2">
        <v>0</v>
      </c>
      <c r="P157" s="2">
        <f>Table1[[#This Row],[A]]/Table1[[#This Row],[MP]]</f>
        <v>0</v>
      </c>
      <c r="Q157" s="2">
        <v>0</v>
      </c>
      <c r="R157" s="2">
        <f>Table1[[#This Row],[PTS]]/Table1[[#This Row],[MP]]</f>
        <v>0</v>
      </c>
      <c r="S157" s="1">
        <v>0</v>
      </c>
      <c r="T157" s="1">
        <f>Table1[[#This Row],[G]]-Table1[[#This Row],[G_PK]]</f>
        <v>0</v>
      </c>
      <c r="U157" s="1">
        <v>0</v>
      </c>
      <c r="V157" s="1">
        <v>0</v>
      </c>
      <c r="W157" s="1">
        <v>1</v>
      </c>
      <c r="X157" s="1">
        <v>0</v>
      </c>
      <c r="Y157" s="1">
        <f>Table1[[#This Row],[CRDY]]+Table1[[#This Row],[CRDR]]</f>
        <v>1</v>
      </c>
      <c r="Z157" s="1">
        <v>0.3</v>
      </c>
      <c r="AA157" s="2">
        <f>Table1[[#This Row],[XG]]/Table1[[#This Row],[MP]]</f>
        <v>2.3076923076923075E-2</v>
      </c>
      <c r="AB157" s="1">
        <v>0.3</v>
      </c>
      <c r="AC157" s="1">
        <v>0.5</v>
      </c>
      <c r="AD157" s="1">
        <v>0.8</v>
      </c>
      <c r="AE157" s="1">
        <v>32</v>
      </c>
      <c r="AF157" s="1">
        <v>62</v>
      </c>
      <c r="AG157" s="1">
        <v>32</v>
      </c>
    </row>
    <row r="158" spans="1:33" x14ac:dyDescent="0.35">
      <c r="A158">
        <v>5</v>
      </c>
      <c r="B158" t="s">
        <v>44</v>
      </c>
      <c r="C158" t="s">
        <v>27</v>
      </c>
      <c r="D158" t="s">
        <v>45</v>
      </c>
      <c r="E158" t="s">
        <v>46</v>
      </c>
      <c r="F158" t="s">
        <v>47</v>
      </c>
      <c r="G158" s="1">
        <v>2002</v>
      </c>
      <c r="H158" s="1">
        <v>2</v>
      </c>
      <c r="I158" s="1">
        <v>2</v>
      </c>
      <c r="J158" s="2">
        <f>Table1[[#This Row],[STARTS]]/Table1[[#This Row],[MP]]</f>
        <v>1</v>
      </c>
      <c r="K158" s="1">
        <v>180</v>
      </c>
      <c r="L158" s="1">
        <v>2</v>
      </c>
      <c r="M158" s="1">
        <v>0</v>
      </c>
      <c r="N158" s="2">
        <f>Table1[[#This Row],[G]]/Table1[[#This Row],[MP]]</f>
        <v>0</v>
      </c>
      <c r="O158" s="2">
        <v>0</v>
      </c>
      <c r="P158" s="2">
        <f>Table1[[#This Row],[A]]/Table1[[#This Row],[MP]]</f>
        <v>0</v>
      </c>
      <c r="Q158" s="2">
        <v>0</v>
      </c>
      <c r="R158" s="2">
        <f>Table1[[#This Row],[PTS]]/Table1[[#This Row],[MP]]</f>
        <v>0</v>
      </c>
      <c r="S158" s="1">
        <v>0</v>
      </c>
      <c r="T158" s="1">
        <f>Table1[[#This Row],[G]]-Table1[[#This Row],[G_PK]]</f>
        <v>0</v>
      </c>
      <c r="U158" s="1">
        <v>0</v>
      </c>
      <c r="V158" s="1">
        <v>0</v>
      </c>
      <c r="W158" s="1">
        <v>0</v>
      </c>
      <c r="X158" s="1">
        <v>0</v>
      </c>
      <c r="Y158" s="1">
        <f>Table1[[#This Row],[CRDY]]+Table1[[#This Row],[CRDR]]</f>
        <v>0</v>
      </c>
      <c r="Z158" s="1">
        <v>0</v>
      </c>
      <c r="AA158" s="2">
        <f>Table1[[#This Row],[XG]]/Table1[[#This Row],[MP]]</f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</row>
    <row r="159" spans="1:33" x14ac:dyDescent="0.35">
      <c r="A159">
        <v>6</v>
      </c>
      <c r="B159" t="s">
        <v>48</v>
      </c>
      <c r="C159" t="s">
        <v>49</v>
      </c>
      <c r="D159" t="s">
        <v>50</v>
      </c>
      <c r="E159" t="s">
        <v>51</v>
      </c>
      <c r="F159" t="s">
        <v>52</v>
      </c>
      <c r="G159" s="1">
        <v>1997</v>
      </c>
      <c r="H159" s="1">
        <v>10</v>
      </c>
      <c r="I159" s="1">
        <v>1</v>
      </c>
      <c r="J159" s="2">
        <f>Table1[[#This Row],[STARTS]]/Table1[[#This Row],[MP]]</f>
        <v>0.1</v>
      </c>
      <c r="K159" s="1">
        <v>293</v>
      </c>
      <c r="L159" s="1">
        <v>3.3</v>
      </c>
      <c r="M159" s="1">
        <v>0</v>
      </c>
      <c r="N159" s="2">
        <f>Table1[[#This Row],[G]]/Table1[[#This Row],[MP]]</f>
        <v>0</v>
      </c>
      <c r="O159" s="2">
        <v>0</v>
      </c>
      <c r="P159" s="2">
        <f>Table1[[#This Row],[A]]/Table1[[#This Row],[MP]]</f>
        <v>0</v>
      </c>
      <c r="Q159" s="2">
        <v>0</v>
      </c>
      <c r="R159" s="2">
        <f>Table1[[#This Row],[PTS]]/Table1[[#This Row],[MP]]</f>
        <v>0</v>
      </c>
      <c r="S159" s="1">
        <v>0</v>
      </c>
      <c r="T159" s="1">
        <f>Table1[[#This Row],[G]]-Table1[[#This Row],[G_PK]]</f>
        <v>0</v>
      </c>
      <c r="U159" s="1">
        <v>0</v>
      </c>
      <c r="V159" s="1">
        <v>0</v>
      </c>
      <c r="W159" s="1">
        <v>0</v>
      </c>
      <c r="X159" s="1">
        <v>0</v>
      </c>
      <c r="Y159" s="1">
        <f>Table1[[#This Row],[CRDY]]+Table1[[#This Row],[CRDR]]</f>
        <v>0</v>
      </c>
      <c r="Z159" s="1">
        <v>0.1</v>
      </c>
      <c r="AA159" s="2">
        <f>Table1[[#This Row],[XG]]/Table1[[#This Row],[MP]]</f>
        <v>0.01</v>
      </c>
      <c r="AB159" s="1">
        <v>0.1</v>
      </c>
      <c r="AC159" s="1">
        <v>0.1</v>
      </c>
      <c r="AD159" s="1">
        <v>0.2</v>
      </c>
      <c r="AE159" s="1">
        <v>8</v>
      </c>
      <c r="AF159" s="1">
        <v>8</v>
      </c>
      <c r="AG159" s="1">
        <v>25</v>
      </c>
    </row>
    <row r="160" spans="1:33" x14ac:dyDescent="0.35">
      <c r="A160">
        <v>7</v>
      </c>
      <c r="B160" t="s">
        <v>53</v>
      </c>
      <c r="C160" t="s">
        <v>27</v>
      </c>
      <c r="D160" t="s">
        <v>45</v>
      </c>
      <c r="E160" t="s">
        <v>54</v>
      </c>
      <c r="F160" t="s">
        <v>55</v>
      </c>
      <c r="G160" s="1">
        <v>2001</v>
      </c>
      <c r="H160" s="1">
        <v>13</v>
      </c>
      <c r="I160" s="1">
        <v>13</v>
      </c>
      <c r="J160" s="2">
        <f>Table1[[#This Row],[STARTS]]/Table1[[#This Row],[MP]]</f>
        <v>1</v>
      </c>
      <c r="K160" s="1">
        <v>1170</v>
      </c>
      <c r="L160" s="1">
        <v>13</v>
      </c>
      <c r="M160" s="1">
        <v>0</v>
      </c>
      <c r="N160" s="2">
        <f>Table1[[#This Row],[G]]/Table1[[#This Row],[MP]]</f>
        <v>0</v>
      </c>
      <c r="O160" s="2">
        <v>0</v>
      </c>
      <c r="P160" s="2">
        <f>Table1[[#This Row],[A]]/Table1[[#This Row],[MP]]</f>
        <v>0</v>
      </c>
      <c r="Q160" s="2">
        <v>0</v>
      </c>
      <c r="R160" s="2">
        <f>Table1[[#This Row],[PTS]]/Table1[[#This Row],[MP]]</f>
        <v>0</v>
      </c>
      <c r="S160" s="1">
        <v>0</v>
      </c>
      <c r="T160" s="1">
        <f>Table1[[#This Row],[G]]-Table1[[#This Row],[G_PK]]</f>
        <v>0</v>
      </c>
      <c r="U160" s="1">
        <v>0</v>
      </c>
      <c r="V160" s="1">
        <v>0</v>
      </c>
      <c r="W160" s="1">
        <v>0</v>
      </c>
      <c r="X160" s="1">
        <v>0</v>
      </c>
      <c r="Y160" s="1">
        <f>Table1[[#This Row],[CRDY]]+Table1[[#This Row],[CRDR]]</f>
        <v>0</v>
      </c>
      <c r="Z160" s="1">
        <v>0</v>
      </c>
      <c r="AA160" s="2">
        <f>Table1[[#This Row],[XG]]/Table1[[#This Row],[MP]]</f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</row>
    <row r="161" spans="1:33" x14ac:dyDescent="0.35">
      <c r="A161">
        <v>8</v>
      </c>
      <c r="B161" t="s">
        <v>56</v>
      </c>
      <c r="C161" t="s">
        <v>27</v>
      </c>
      <c r="D161" t="s">
        <v>28</v>
      </c>
      <c r="E161" t="s">
        <v>57</v>
      </c>
      <c r="F161" t="s">
        <v>58</v>
      </c>
      <c r="G161" s="1">
        <v>2001</v>
      </c>
      <c r="H161" s="1">
        <v>8</v>
      </c>
      <c r="I161" s="1">
        <v>3</v>
      </c>
      <c r="J161" s="2">
        <f>Table1[[#This Row],[STARTS]]/Table1[[#This Row],[MP]]</f>
        <v>0.375</v>
      </c>
      <c r="K161" s="1">
        <v>371</v>
      </c>
      <c r="L161" s="1">
        <v>4.0999999999999996</v>
      </c>
      <c r="M161" s="1">
        <v>0</v>
      </c>
      <c r="N161" s="2">
        <f>Table1[[#This Row],[G]]/Table1[[#This Row],[MP]]</f>
        <v>0</v>
      </c>
      <c r="O161" s="2">
        <v>0</v>
      </c>
      <c r="P161" s="2">
        <f>Table1[[#This Row],[A]]/Table1[[#This Row],[MP]]</f>
        <v>0</v>
      </c>
      <c r="Q161" s="2">
        <v>0</v>
      </c>
      <c r="R161" s="2">
        <f>Table1[[#This Row],[PTS]]/Table1[[#This Row],[MP]]</f>
        <v>0</v>
      </c>
      <c r="S161" s="1">
        <v>0</v>
      </c>
      <c r="T161" s="1">
        <f>Table1[[#This Row],[G]]-Table1[[#This Row],[G_PK]]</f>
        <v>0</v>
      </c>
      <c r="U161" s="1">
        <v>0</v>
      </c>
      <c r="V161" s="1">
        <v>0</v>
      </c>
      <c r="W161" s="1">
        <v>0</v>
      </c>
      <c r="X161" s="1">
        <v>0</v>
      </c>
      <c r="Y161" s="1">
        <f>Table1[[#This Row],[CRDY]]+Table1[[#This Row],[CRDR]]</f>
        <v>0</v>
      </c>
      <c r="Z161" s="1">
        <v>0.4</v>
      </c>
      <c r="AA161" s="2">
        <f>Table1[[#This Row],[XG]]/Table1[[#This Row],[MP]]</f>
        <v>0.05</v>
      </c>
      <c r="AB161" s="1">
        <v>0.4</v>
      </c>
      <c r="AC161" s="1">
        <v>0</v>
      </c>
      <c r="AD161" s="1">
        <v>0.4</v>
      </c>
      <c r="AE161" s="1">
        <v>0</v>
      </c>
      <c r="AF161" s="1">
        <v>5</v>
      </c>
      <c r="AG161" s="1">
        <v>0</v>
      </c>
    </row>
    <row r="162" spans="1:33" x14ac:dyDescent="0.35">
      <c r="A162">
        <v>12</v>
      </c>
      <c r="B162" t="s">
        <v>67</v>
      </c>
      <c r="C162" t="s">
        <v>68</v>
      </c>
      <c r="D162" t="s">
        <v>45</v>
      </c>
      <c r="E162" t="s">
        <v>38</v>
      </c>
      <c r="F162" t="s">
        <v>69</v>
      </c>
      <c r="G162" s="1">
        <v>1994</v>
      </c>
      <c r="H162" s="1">
        <v>6</v>
      </c>
      <c r="I162" s="1">
        <v>6</v>
      </c>
      <c r="J162" s="2">
        <f>Table1[[#This Row],[STARTS]]/Table1[[#This Row],[MP]]</f>
        <v>1</v>
      </c>
      <c r="K162" s="1">
        <v>540</v>
      </c>
      <c r="L162" s="1">
        <v>6</v>
      </c>
      <c r="M162" s="1">
        <v>0</v>
      </c>
      <c r="N162" s="2">
        <f>Table1[[#This Row],[G]]/Table1[[#This Row],[MP]]</f>
        <v>0</v>
      </c>
      <c r="O162" s="2">
        <v>0</v>
      </c>
      <c r="P162" s="2">
        <f>Table1[[#This Row],[A]]/Table1[[#This Row],[MP]]</f>
        <v>0</v>
      </c>
      <c r="Q162" s="2">
        <v>0</v>
      </c>
      <c r="R162" s="2">
        <f>Table1[[#This Row],[PTS]]/Table1[[#This Row],[MP]]</f>
        <v>0</v>
      </c>
      <c r="S162" s="1">
        <v>0</v>
      </c>
      <c r="T162" s="1">
        <f>Table1[[#This Row],[G]]-Table1[[#This Row],[G_PK]]</f>
        <v>0</v>
      </c>
      <c r="U162" s="1">
        <v>0</v>
      </c>
      <c r="V162" s="1">
        <v>0</v>
      </c>
      <c r="W162" s="1">
        <v>0</v>
      </c>
      <c r="X162" s="1">
        <v>0</v>
      </c>
      <c r="Y162" s="1">
        <f>Table1[[#This Row],[CRDY]]+Table1[[#This Row],[CRDR]]</f>
        <v>0</v>
      </c>
      <c r="Z162" s="1">
        <v>0</v>
      </c>
      <c r="AA162" s="2">
        <f>Table1[[#This Row],[XG]]/Table1[[#This Row],[MP]]</f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</row>
    <row r="163" spans="1:33" x14ac:dyDescent="0.35">
      <c r="A163">
        <v>15</v>
      </c>
      <c r="B163" t="s">
        <v>75</v>
      </c>
      <c r="C163" t="s">
        <v>76</v>
      </c>
      <c r="D163" t="s">
        <v>62</v>
      </c>
      <c r="E163" t="s">
        <v>51</v>
      </c>
      <c r="F163" t="s">
        <v>77</v>
      </c>
      <c r="G163" s="1">
        <v>1990</v>
      </c>
      <c r="H163" s="1">
        <v>2</v>
      </c>
      <c r="I163" s="1">
        <v>0</v>
      </c>
      <c r="J163" s="2">
        <f>Table1[[#This Row],[STARTS]]/Table1[[#This Row],[MP]]</f>
        <v>0</v>
      </c>
      <c r="K163" s="1">
        <v>37</v>
      </c>
      <c r="L163" s="1">
        <v>0.4</v>
      </c>
      <c r="M163" s="1">
        <v>0</v>
      </c>
      <c r="N163" s="2">
        <f>Table1[[#This Row],[G]]/Table1[[#This Row],[MP]]</f>
        <v>0</v>
      </c>
      <c r="O163" s="2">
        <v>0</v>
      </c>
      <c r="P163" s="2">
        <f>Table1[[#This Row],[A]]/Table1[[#This Row],[MP]]</f>
        <v>0</v>
      </c>
      <c r="Q163" s="2">
        <v>0</v>
      </c>
      <c r="R163" s="2">
        <f>Table1[[#This Row],[PTS]]/Table1[[#This Row],[MP]]</f>
        <v>0</v>
      </c>
      <c r="S163" s="1">
        <v>0</v>
      </c>
      <c r="T163" s="1">
        <f>Table1[[#This Row],[G]]-Table1[[#This Row],[G_PK]]</f>
        <v>0</v>
      </c>
      <c r="U163" s="1">
        <v>0</v>
      </c>
      <c r="V163" s="1">
        <v>0</v>
      </c>
      <c r="W163" s="1">
        <v>0</v>
      </c>
      <c r="X163" s="1">
        <v>0</v>
      </c>
      <c r="Y163" s="1">
        <f>Table1[[#This Row],[CRDY]]+Table1[[#This Row],[CRDR]]</f>
        <v>0</v>
      </c>
      <c r="Z163" s="1">
        <v>0</v>
      </c>
      <c r="AA163" s="2">
        <f>Table1[[#This Row],[XG]]/Table1[[#This Row],[MP]]</f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2</v>
      </c>
    </row>
    <row r="164" spans="1:33" x14ac:dyDescent="0.35">
      <c r="A164">
        <v>16</v>
      </c>
      <c r="B164" t="s">
        <v>78</v>
      </c>
      <c r="C164" t="s">
        <v>27</v>
      </c>
      <c r="D164" t="s">
        <v>62</v>
      </c>
      <c r="E164" t="s">
        <v>46</v>
      </c>
      <c r="F164" t="s">
        <v>79</v>
      </c>
      <c r="G164" s="1">
        <v>1997</v>
      </c>
      <c r="H164" s="1">
        <v>11</v>
      </c>
      <c r="I164" s="1">
        <v>7</v>
      </c>
      <c r="J164" s="2">
        <f>Table1[[#This Row],[STARTS]]/Table1[[#This Row],[MP]]</f>
        <v>0.63636363636363635</v>
      </c>
      <c r="K164" s="1">
        <v>630</v>
      </c>
      <c r="L164" s="1">
        <v>7</v>
      </c>
      <c r="M164" s="1">
        <v>0</v>
      </c>
      <c r="N164" s="2">
        <f>Table1[[#This Row],[G]]/Table1[[#This Row],[MP]]</f>
        <v>0</v>
      </c>
      <c r="O164" s="2">
        <v>0</v>
      </c>
      <c r="P164" s="2">
        <f>Table1[[#This Row],[A]]/Table1[[#This Row],[MP]]</f>
        <v>0</v>
      </c>
      <c r="Q164" s="2">
        <v>0</v>
      </c>
      <c r="R164" s="2">
        <f>Table1[[#This Row],[PTS]]/Table1[[#This Row],[MP]]</f>
        <v>0</v>
      </c>
      <c r="S164" s="1">
        <v>0</v>
      </c>
      <c r="T164" s="1">
        <f>Table1[[#This Row],[G]]-Table1[[#This Row],[G_PK]]</f>
        <v>0</v>
      </c>
      <c r="U164" s="1">
        <v>0</v>
      </c>
      <c r="V164" s="1">
        <v>0</v>
      </c>
      <c r="W164" s="1">
        <v>2</v>
      </c>
      <c r="X164" s="1">
        <v>0</v>
      </c>
      <c r="Y164" s="1">
        <f>Table1[[#This Row],[CRDY]]+Table1[[#This Row],[CRDR]]</f>
        <v>2</v>
      </c>
      <c r="Z164" s="1">
        <v>0.4</v>
      </c>
      <c r="AA164" s="2">
        <f>Table1[[#This Row],[XG]]/Table1[[#This Row],[MP]]</f>
        <v>3.6363636363636369E-2</v>
      </c>
      <c r="AB164" s="1">
        <v>0.4</v>
      </c>
      <c r="AC164" s="1">
        <v>1</v>
      </c>
      <c r="AD164" s="1">
        <v>1.4</v>
      </c>
      <c r="AE164" s="1">
        <v>4</v>
      </c>
      <c r="AF164" s="1">
        <v>28</v>
      </c>
      <c r="AG164" s="1">
        <v>18</v>
      </c>
    </row>
    <row r="165" spans="1:33" x14ac:dyDescent="0.35">
      <c r="A165">
        <v>17</v>
      </c>
      <c r="B165" t="s">
        <v>80</v>
      </c>
      <c r="C165" t="s">
        <v>27</v>
      </c>
      <c r="D165" t="s">
        <v>28</v>
      </c>
      <c r="E165" t="s">
        <v>81</v>
      </c>
      <c r="F165" t="s">
        <v>82</v>
      </c>
      <c r="G165" s="1">
        <v>1995</v>
      </c>
      <c r="H165" s="1">
        <v>9</v>
      </c>
      <c r="I165" s="1">
        <v>7</v>
      </c>
      <c r="J165" s="2">
        <f>Table1[[#This Row],[STARTS]]/Table1[[#This Row],[MP]]</f>
        <v>0.77777777777777779</v>
      </c>
      <c r="K165" s="1">
        <v>629</v>
      </c>
      <c r="L165" s="1">
        <v>7</v>
      </c>
      <c r="M165" s="1">
        <v>0</v>
      </c>
      <c r="N165" s="2">
        <f>Table1[[#This Row],[G]]/Table1[[#This Row],[MP]]</f>
        <v>0</v>
      </c>
      <c r="O165" s="2">
        <v>0</v>
      </c>
      <c r="P165" s="2">
        <f>Table1[[#This Row],[A]]/Table1[[#This Row],[MP]]</f>
        <v>0</v>
      </c>
      <c r="Q165" s="2">
        <v>0</v>
      </c>
      <c r="R165" s="2">
        <f>Table1[[#This Row],[PTS]]/Table1[[#This Row],[MP]]</f>
        <v>0</v>
      </c>
      <c r="S165" s="1">
        <v>0</v>
      </c>
      <c r="T165" s="1">
        <f>Table1[[#This Row],[G]]-Table1[[#This Row],[G_PK]]</f>
        <v>0</v>
      </c>
      <c r="U165" s="1">
        <v>0</v>
      </c>
      <c r="V165" s="1">
        <v>0</v>
      </c>
      <c r="W165" s="1">
        <v>0</v>
      </c>
      <c r="X165" s="1">
        <v>0</v>
      </c>
      <c r="Y165" s="1">
        <f>Table1[[#This Row],[CRDY]]+Table1[[#This Row],[CRDR]]</f>
        <v>0</v>
      </c>
      <c r="Z165" s="1">
        <v>0.1</v>
      </c>
      <c r="AA165" s="2">
        <f>Table1[[#This Row],[XG]]/Table1[[#This Row],[MP]]</f>
        <v>1.1111111111111112E-2</v>
      </c>
      <c r="AB165" s="1">
        <v>0.1</v>
      </c>
      <c r="AC165" s="1">
        <v>0</v>
      </c>
      <c r="AD165" s="1">
        <v>0.1</v>
      </c>
      <c r="AE165" s="1">
        <v>0</v>
      </c>
      <c r="AF165" s="1">
        <v>4</v>
      </c>
      <c r="AG165" s="1">
        <v>1</v>
      </c>
    </row>
    <row r="166" spans="1:33" x14ac:dyDescent="0.35">
      <c r="A166">
        <v>21</v>
      </c>
      <c r="B166" t="s">
        <v>91</v>
      </c>
      <c r="C166" t="s">
        <v>27</v>
      </c>
      <c r="D166" t="s">
        <v>85</v>
      </c>
      <c r="E166" t="s">
        <v>57</v>
      </c>
      <c r="F166" t="s">
        <v>92</v>
      </c>
      <c r="G166" s="1">
        <v>2001</v>
      </c>
      <c r="H166" s="1">
        <v>4</v>
      </c>
      <c r="I166" s="1">
        <v>0</v>
      </c>
      <c r="J166" s="2">
        <f>Table1[[#This Row],[STARTS]]/Table1[[#This Row],[MP]]</f>
        <v>0</v>
      </c>
      <c r="K166" s="1">
        <v>49</v>
      </c>
      <c r="L166" s="1">
        <v>0.5</v>
      </c>
      <c r="M166" s="1">
        <v>0</v>
      </c>
      <c r="N166" s="2">
        <f>Table1[[#This Row],[G]]/Table1[[#This Row],[MP]]</f>
        <v>0</v>
      </c>
      <c r="O166" s="2">
        <v>0</v>
      </c>
      <c r="P166" s="2">
        <f>Table1[[#This Row],[A]]/Table1[[#This Row],[MP]]</f>
        <v>0</v>
      </c>
      <c r="Q166" s="2">
        <v>0</v>
      </c>
      <c r="R166" s="2">
        <f>Table1[[#This Row],[PTS]]/Table1[[#This Row],[MP]]</f>
        <v>0</v>
      </c>
      <c r="S166" s="1">
        <v>0</v>
      </c>
      <c r="T166" s="1">
        <f>Table1[[#This Row],[G]]-Table1[[#This Row],[G_PK]]</f>
        <v>0</v>
      </c>
      <c r="U166" s="1">
        <v>0</v>
      </c>
      <c r="V166" s="1">
        <v>0</v>
      </c>
      <c r="W166" s="1">
        <v>0</v>
      </c>
      <c r="X166" s="1">
        <v>0</v>
      </c>
      <c r="Y166" s="1">
        <f>Table1[[#This Row],[CRDY]]+Table1[[#This Row],[CRDR]]</f>
        <v>0</v>
      </c>
      <c r="Z166" s="1">
        <v>0.3</v>
      </c>
      <c r="AA166" s="2">
        <f>Table1[[#This Row],[XG]]/Table1[[#This Row],[MP]]</f>
        <v>7.4999999999999997E-2</v>
      </c>
      <c r="AB166" s="1">
        <v>0.3</v>
      </c>
      <c r="AC166" s="1">
        <v>0</v>
      </c>
      <c r="AD166" s="1">
        <v>0.3</v>
      </c>
      <c r="AE166" s="1">
        <v>0</v>
      </c>
      <c r="AF166" s="1">
        <v>1</v>
      </c>
      <c r="AG166" s="1">
        <v>4</v>
      </c>
    </row>
    <row r="167" spans="1:33" x14ac:dyDescent="0.35">
      <c r="A167">
        <v>24</v>
      </c>
      <c r="B167" t="s">
        <v>97</v>
      </c>
      <c r="C167" t="s">
        <v>27</v>
      </c>
      <c r="D167" t="s">
        <v>28</v>
      </c>
      <c r="E167" t="s">
        <v>42</v>
      </c>
      <c r="F167" t="s">
        <v>98</v>
      </c>
      <c r="G167" s="1">
        <v>2000</v>
      </c>
      <c r="H167" s="1">
        <v>11</v>
      </c>
      <c r="I167" s="1">
        <v>10</v>
      </c>
      <c r="J167" s="2">
        <f>Table1[[#This Row],[STARTS]]/Table1[[#This Row],[MP]]</f>
        <v>0.90909090909090906</v>
      </c>
      <c r="K167" s="1">
        <v>918</v>
      </c>
      <c r="L167" s="1">
        <v>10.199999999999999</v>
      </c>
      <c r="M167" s="1">
        <v>0</v>
      </c>
      <c r="N167" s="2">
        <f>Table1[[#This Row],[G]]/Table1[[#This Row],[MP]]</f>
        <v>0</v>
      </c>
      <c r="O167" s="2">
        <v>0</v>
      </c>
      <c r="P167" s="2">
        <f>Table1[[#This Row],[A]]/Table1[[#This Row],[MP]]</f>
        <v>0</v>
      </c>
      <c r="Q167" s="2">
        <v>0</v>
      </c>
      <c r="R167" s="2">
        <f>Table1[[#This Row],[PTS]]/Table1[[#This Row],[MP]]</f>
        <v>0</v>
      </c>
      <c r="S167" s="1">
        <v>0</v>
      </c>
      <c r="T167" s="1">
        <f>Table1[[#This Row],[G]]-Table1[[#This Row],[G_PK]]</f>
        <v>0</v>
      </c>
      <c r="U167" s="1">
        <v>0</v>
      </c>
      <c r="V167" s="1">
        <v>0</v>
      </c>
      <c r="W167" s="1">
        <v>1</v>
      </c>
      <c r="X167" s="1">
        <v>0</v>
      </c>
      <c r="Y167" s="1">
        <f>Table1[[#This Row],[CRDY]]+Table1[[#This Row],[CRDR]]</f>
        <v>1</v>
      </c>
      <c r="Z167" s="1">
        <v>1</v>
      </c>
      <c r="AA167" s="2">
        <f>Table1[[#This Row],[XG]]/Table1[[#This Row],[MP]]</f>
        <v>9.0909090909090912E-2</v>
      </c>
      <c r="AB167" s="1">
        <v>1</v>
      </c>
      <c r="AC167" s="1">
        <v>0.2</v>
      </c>
      <c r="AD167" s="1">
        <v>1.1000000000000001</v>
      </c>
      <c r="AE167" s="1">
        <v>2</v>
      </c>
      <c r="AF167" s="1">
        <v>22</v>
      </c>
      <c r="AG167" s="1">
        <v>3</v>
      </c>
    </row>
    <row r="168" spans="1:33" x14ac:dyDescent="0.35">
      <c r="A168">
        <v>25</v>
      </c>
      <c r="B168" t="s">
        <v>99</v>
      </c>
      <c r="C168" t="s">
        <v>100</v>
      </c>
      <c r="D168" t="s">
        <v>45</v>
      </c>
      <c r="E168" t="s">
        <v>101</v>
      </c>
      <c r="F168" t="s">
        <v>102</v>
      </c>
      <c r="G168" s="1">
        <v>1990</v>
      </c>
      <c r="H168" s="1">
        <v>13</v>
      </c>
      <c r="I168" s="1">
        <v>13</v>
      </c>
      <c r="J168" s="2">
        <f>Table1[[#This Row],[STARTS]]/Table1[[#This Row],[MP]]</f>
        <v>1</v>
      </c>
      <c r="K168" s="1">
        <v>1167</v>
      </c>
      <c r="L168" s="1">
        <v>13</v>
      </c>
      <c r="M168" s="1">
        <v>0</v>
      </c>
      <c r="N168" s="2">
        <f>Table1[[#This Row],[G]]/Table1[[#This Row],[MP]]</f>
        <v>0</v>
      </c>
      <c r="O168" s="2">
        <v>0</v>
      </c>
      <c r="P168" s="2">
        <f>Table1[[#This Row],[A]]/Table1[[#This Row],[MP]]</f>
        <v>0</v>
      </c>
      <c r="Q168" s="2">
        <v>0</v>
      </c>
      <c r="R168" s="2">
        <f>Table1[[#This Row],[PTS]]/Table1[[#This Row],[MP]]</f>
        <v>0</v>
      </c>
      <c r="S168" s="1">
        <v>0</v>
      </c>
      <c r="T168" s="1">
        <f>Table1[[#This Row],[G]]-Table1[[#This Row],[G_PK]]</f>
        <v>0</v>
      </c>
      <c r="U168" s="1">
        <v>0</v>
      </c>
      <c r="V168" s="1">
        <v>0</v>
      </c>
      <c r="W168" s="1">
        <v>0</v>
      </c>
      <c r="X168" s="1">
        <v>0</v>
      </c>
      <c r="Y168" s="1">
        <f>Table1[[#This Row],[CRDY]]+Table1[[#This Row],[CRDR]]</f>
        <v>0</v>
      </c>
      <c r="Z168" s="1">
        <v>0</v>
      </c>
      <c r="AA168" s="2">
        <f>Table1[[#This Row],[XG]]/Table1[[#This Row],[MP]]</f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6</v>
      </c>
      <c r="AG168" s="1">
        <v>0</v>
      </c>
    </row>
    <row r="169" spans="1:33" x14ac:dyDescent="0.35">
      <c r="A169">
        <v>27</v>
      </c>
      <c r="B169" t="s">
        <v>105</v>
      </c>
      <c r="C169" t="s">
        <v>106</v>
      </c>
      <c r="D169" t="s">
        <v>50</v>
      </c>
      <c r="E169" t="s">
        <v>107</v>
      </c>
      <c r="F169" t="s">
        <v>108</v>
      </c>
      <c r="G169" s="1">
        <v>1997</v>
      </c>
      <c r="H169" s="1">
        <v>13</v>
      </c>
      <c r="I169" s="1">
        <v>12</v>
      </c>
      <c r="J169" s="2">
        <f>Table1[[#This Row],[STARTS]]/Table1[[#This Row],[MP]]</f>
        <v>0.92307692307692313</v>
      </c>
      <c r="K169" s="1">
        <v>1077</v>
      </c>
      <c r="L169" s="1">
        <v>12</v>
      </c>
      <c r="M169" s="1">
        <v>0</v>
      </c>
      <c r="N169" s="2">
        <f>Table1[[#This Row],[G]]/Table1[[#This Row],[MP]]</f>
        <v>0</v>
      </c>
      <c r="O169" s="2">
        <v>0</v>
      </c>
      <c r="P169" s="2">
        <f>Table1[[#This Row],[A]]/Table1[[#This Row],[MP]]</f>
        <v>0</v>
      </c>
      <c r="Q169" s="2">
        <v>0</v>
      </c>
      <c r="R169" s="2">
        <f>Table1[[#This Row],[PTS]]/Table1[[#This Row],[MP]]</f>
        <v>0</v>
      </c>
      <c r="S169" s="1">
        <v>0</v>
      </c>
      <c r="T169" s="1">
        <f>Table1[[#This Row],[G]]-Table1[[#This Row],[G_PK]]</f>
        <v>0</v>
      </c>
      <c r="U169" s="1">
        <v>0</v>
      </c>
      <c r="V169" s="1">
        <v>0</v>
      </c>
      <c r="W169" s="1">
        <v>1</v>
      </c>
      <c r="X169" s="1">
        <v>0</v>
      </c>
      <c r="Y169" s="1">
        <f>Table1[[#This Row],[CRDY]]+Table1[[#This Row],[CRDR]]</f>
        <v>1</v>
      </c>
      <c r="Z169" s="1">
        <v>0.8</v>
      </c>
      <c r="AA169" s="2">
        <f>Table1[[#This Row],[XG]]/Table1[[#This Row],[MP]]</f>
        <v>6.1538461538461542E-2</v>
      </c>
      <c r="AB169" s="1">
        <v>0.8</v>
      </c>
      <c r="AC169" s="1">
        <v>0.7</v>
      </c>
      <c r="AD169" s="1">
        <v>1.5</v>
      </c>
      <c r="AE169" s="1">
        <v>5</v>
      </c>
      <c r="AF169" s="1">
        <v>47</v>
      </c>
      <c r="AG169" s="1">
        <v>4</v>
      </c>
    </row>
    <row r="170" spans="1:33" x14ac:dyDescent="0.35">
      <c r="A170">
        <v>29</v>
      </c>
      <c r="B170" t="s">
        <v>111</v>
      </c>
      <c r="C170" t="s">
        <v>27</v>
      </c>
      <c r="D170" t="s">
        <v>37</v>
      </c>
      <c r="E170" t="s">
        <v>107</v>
      </c>
      <c r="F170" t="s">
        <v>112</v>
      </c>
      <c r="G170" s="1">
        <v>2001</v>
      </c>
      <c r="H170" s="1">
        <v>8</v>
      </c>
      <c r="I170" s="1">
        <v>5</v>
      </c>
      <c r="J170" s="2">
        <f>Table1[[#This Row],[STARTS]]/Table1[[#This Row],[MP]]</f>
        <v>0.625</v>
      </c>
      <c r="K170" s="1">
        <v>439</v>
      </c>
      <c r="L170" s="1">
        <v>4.9000000000000004</v>
      </c>
      <c r="M170" s="1">
        <v>0</v>
      </c>
      <c r="N170" s="2">
        <f>Table1[[#This Row],[G]]/Table1[[#This Row],[MP]]</f>
        <v>0</v>
      </c>
      <c r="O170" s="2">
        <v>0</v>
      </c>
      <c r="P170" s="2">
        <f>Table1[[#This Row],[A]]/Table1[[#This Row],[MP]]</f>
        <v>0</v>
      </c>
      <c r="Q170" s="2">
        <v>0</v>
      </c>
      <c r="R170" s="2">
        <f>Table1[[#This Row],[PTS]]/Table1[[#This Row],[MP]]</f>
        <v>0</v>
      </c>
      <c r="S170" s="1">
        <v>0</v>
      </c>
      <c r="T170" s="1">
        <f>Table1[[#This Row],[G]]-Table1[[#This Row],[G_PK]]</f>
        <v>0</v>
      </c>
      <c r="U170" s="1">
        <v>0</v>
      </c>
      <c r="V170" s="1">
        <v>0</v>
      </c>
      <c r="W170" s="1">
        <v>0</v>
      </c>
      <c r="X170" s="1">
        <v>0</v>
      </c>
      <c r="Y170" s="1">
        <f>Table1[[#This Row],[CRDY]]+Table1[[#This Row],[CRDR]]</f>
        <v>0</v>
      </c>
      <c r="Z170" s="1">
        <v>0.5</v>
      </c>
      <c r="AA170" s="2">
        <f>Table1[[#This Row],[XG]]/Table1[[#This Row],[MP]]</f>
        <v>6.25E-2</v>
      </c>
      <c r="AB170" s="1">
        <v>0.5</v>
      </c>
      <c r="AC170" s="1">
        <v>0.8</v>
      </c>
      <c r="AD170" s="1">
        <v>1.3</v>
      </c>
      <c r="AE170" s="1">
        <v>13</v>
      </c>
      <c r="AF170" s="1">
        <v>18</v>
      </c>
      <c r="AG170" s="1">
        <v>23</v>
      </c>
    </row>
    <row r="171" spans="1:33" x14ac:dyDescent="0.35">
      <c r="A171">
        <v>31</v>
      </c>
      <c r="B171" t="s">
        <v>115</v>
      </c>
      <c r="C171" t="s">
        <v>27</v>
      </c>
      <c r="D171" t="s">
        <v>32</v>
      </c>
      <c r="E171" t="s">
        <v>57</v>
      </c>
      <c r="F171" t="s">
        <v>116</v>
      </c>
      <c r="G171" s="1">
        <v>1998</v>
      </c>
      <c r="H171" s="1">
        <v>4</v>
      </c>
      <c r="I171" s="1">
        <v>3</v>
      </c>
      <c r="J171" s="2">
        <f>Table1[[#This Row],[STARTS]]/Table1[[#This Row],[MP]]</f>
        <v>0.75</v>
      </c>
      <c r="K171" s="1">
        <v>222</v>
      </c>
      <c r="L171" s="1">
        <v>2.5</v>
      </c>
      <c r="M171" s="1">
        <v>0</v>
      </c>
      <c r="N171" s="2">
        <f>Table1[[#This Row],[G]]/Table1[[#This Row],[MP]]</f>
        <v>0</v>
      </c>
      <c r="O171" s="2">
        <v>0</v>
      </c>
      <c r="P171" s="2">
        <f>Table1[[#This Row],[A]]/Table1[[#This Row],[MP]]</f>
        <v>0</v>
      </c>
      <c r="Q171" s="2">
        <v>0</v>
      </c>
      <c r="R171" s="2">
        <f>Table1[[#This Row],[PTS]]/Table1[[#This Row],[MP]]</f>
        <v>0</v>
      </c>
      <c r="S171" s="1">
        <v>0</v>
      </c>
      <c r="T171" s="1">
        <f>Table1[[#This Row],[G]]-Table1[[#This Row],[G_PK]]</f>
        <v>0</v>
      </c>
      <c r="U171" s="1">
        <v>0</v>
      </c>
      <c r="V171" s="1">
        <v>0</v>
      </c>
      <c r="W171" s="1">
        <v>0</v>
      </c>
      <c r="X171" s="1">
        <v>0</v>
      </c>
      <c r="Y171" s="1">
        <f>Table1[[#This Row],[CRDY]]+Table1[[#This Row],[CRDR]]</f>
        <v>0</v>
      </c>
      <c r="Z171" s="1">
        <v>0</v>
      </c>
      <c r="AA171" s="2">
        <f>Table1[[#This Row],[XG]]/Table1[[#This Row],[MP]]</f>
        <v>0</v>
      </c>
      <c r="AB171" s="1">
        <v>0</v>
      </c>
      <c r="AC171" s="1">
        <v>0.1</v>
      </c>
      <c r="AD171" s="1">
        <v>0.2</v>
      </c>
      <c r="AE171" s="1">
        <v>1</v>
      </c>
      <c r="AF171" s="1">
        <v>3</v>
      </c>
      <c r="AG171" s="1">
        <v>16</v>
      </c>
    </row>
    <row r="172" spans="1:33" x14ac:dyDescent="0.35">
      <c r="A172">
        <v>32</v>
      </c>
      <c r="B172" t="s">
        <v>117</v>
      </c>
      <c r="C172" t="s">
        <v>27</v>
      </c>
      <c r="D172" t="s">
        <v>45</v>
      </c>
      <c r="E172" t="s">
        <v>38</v>
      </c>
      <c r="F172" t="s">
        <v>118</v>
      </c>
      <c r="G172" s="1">
        <v>1995</v>
      </c>
      <c r="H172" s="1">
        <v>7</v>
      </c>
      <c r="I172" s="1">
        <v>7</v>
      </c>
      <c r="J172" s="2">
        <f>Table1[[#This Row],[STARTS]]/Table1[[#This Row],[MP]]</f>
        <v>1</v>
      </c>
      <c r="K172" s="1">
        <v>630</v>
      </c>
      <c r="L172" s="1">
        <v>7</v>
      </c>
      <c r="M172" s="1">
        <v>0</v>
      </c>
      <c r="N172" s="2">
        <f>Table1[[#This Row],[G]]/Table1[[#This Row],[MP]]</f>
        <v>0</v>
      </c>
      <c r="O172" s="2">
        <v>0</v>
      </c>
      <c r="P172" s="2">
        <f>Table1[[#This Row],[A]]/Table1[[#This Row],[MP]]</f>
        <v>0</v>
      </c>
      <c r="Q172" s="2">
        <v>0</v>
      </c>
      <c r="R172" s="2">
        <f>Table1[[#This Row],[PTS]]/Table1[[#This Row],[MP]]</f>
        <v>0</v>
      </c>
      <c r="S172" s="1">
        <v>0</v>
      </c>
      <c r="T172" s="1">
        <f>Table1[[#This Row],[G]]-Table1[[#This Row],[G_PK]]</f>
        <v>0</v>
      </c>
      <c r="U172" s="1">
        <v>0</v>
      </c>
      <c r="V172" s="1">
        <v>0</v>
      </c>
      <c r="W172" s="1">
        <v>0</v>
      </c>
      <c r="X172" s="1">
        <v>0</v>
      </c>
      <c r="Y172" s="1">
        <f>Table1[[#This Row],[CRDY]]+Table1[[#This Row],[CRDR]]</f>
        <v>0</v>
      </c>
      <c r="Z172" s="1">
        <v>0</v>
      </c>
      <c r="AA172" s="2">
        <f>Table1[[#This Row],[XG]]/Table1[[#This Row],[MP]]</f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</row>
    <row r="173" spans="1:33" x14ac:dyDescent="0.35">
      <c r="A173">
        <v>34</v>
      </c>
      <c r="B173" t="s">
        <v>121</v>
      </c>
      <c r="C173" t="s">
        <v>27</v>
      </c>
      <c r="D173" t="s">
        <v>45</v>
      </c>
      <c r="E173" t="s">
        <v>71</v>
      </c>
      <c r="F173" t="s">
        <v>122</v>
      </c>
      <c r="G173" s="1">
        <v>1997</v>
      </c>
      <c r="H173" s="1">
        <v>7</v>
      </c>
      <c r="I173" s="1">
        <v>7</v>
      </c>
      <c r="J173" s="2">
        <f>Table1[[#This Row],[STARTS]]/Table1[[#This Row],[MP]]</f>
        <v>1</v>
      </c>
      <c r="K173" s="1">
        <v>630</v>
      </c>
      <c r="L173" s="1">
        <v>7</v>
      </c>
      <c r="M173" s="1">
        <v>0</v>
      </c>
      <c r="N173" s="2">
        <f>Table1[[#This Row],[G]]/Table1[[#This Row],[MP]]</f>
        <v>0</v>
      </c>
      <c r="O173" s="2">
        <v>0</v>
      </c>
      <c r="P173" s="2">
        <f>Table1[[#This Row],[A]]/Table1[[#This Row],[MP]]</f>
        <v>0</v>
      </c>
      <c r="Q173" s="2">
        <v>0</v>
      </c>
      <c r="R173" s="2">
        <f>Table1[[#This Row],[PTS]]/Table1[[#This Row],[MP]]</f>
        <v>0</v>
      </c>
      <c r="S173" s="1">
        <v>0</v>
      </c>
      <c r="T173" s="1">
        <f>Table1[[#This Row],[G]]-Table1[[#This Row],[G_PK]]</f>
        <v>0</v>
      </c>
      <c r="U173" s="1">
        <v>0</v>
      </c>
      <c r="V173" s="1">
        <v>0</v>
      </c>
      <c r="W173" s="1">
        <v>0</v>
      </c>
      <c r="X173" s="1">
        <v>0</v>
      </c>
      <c r="Y173" s="1">
        <f>Table1[[#This Row],[CRDY]]+Table1[[#This Row],[CRDR]]</f>
        <v>0</v>
      </c>
      <c r="Z173" s="1">
        <v>0</v>
      </c>
      <c r="AA173" s="2">
        <f>Table1[[#This Row],[XG]]/Table1[[#This Row],[MP]]</f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</row>
    <row r="174" spans="1:33" x14ac:dyDescent="0.35">
      <c r="A174">
        <v>36</v>
      </c>
      <c r="B174" t="s">
        <v>124</v>
      </c>
      <c r="C174" t="s">
        <v>27</v>
      </c>
      <c r="D174" t="s">
        <v>62</v>
      </c>
      <c r="E174" t="s">
        <v>46</v>
      </c>
      <c r="F174" t="s">
        <v>125</v>
      </c>
      <c r="G174" s="1">
        <v>1999</v>
      </c>
      <c r="H174" s="1">
        <v>7</v>
      </c>
      <c r="I174" s="1">
        <v>2</v>
      </c>
      <c r="J174" s="2">
        <f>Table1[[#This Row],[STARTS]]/Table1[[#This Row],[MP]]</f>
        <v>0.2857142857142857</v>
      </c>
      <c r="K174" s="1">
        <v>223</v>
      </c>
      <c r="L174" s="1">
        <v>2.5</v>
      </c>
      <c r="M174" s="1">
        <v>0</v>
      </c>
      <c r="N174" s="2">
        <f>Table1[[#This Row],[G]]/Table1[[#This Row],[MP]]</f>
        <v>0</v>
      </c>
      <c r="O174" s="2">
        <v>0</v>
      </c>
      <c r="P174" s="2">
        <f>Table1[[#This Row],[A]]/Table1[[#This Row],[MP]]</f>
        <v>0</v>
      </c>
      <c r="Q174" s="2">
        <v>0</v>
      </c>
      <c r="R174" s="2">
        <f>Table1[[#This Row],[PTS]]/Table1[[#This Row],[MP]]</f>
        <v>0</v>
      </c>
      <c r="S174" s="1">
        <v>0</v>
      </c>
      <c r="T174" s="1">
        <f>Table1[[#This Row],[G]]-Table1[[#This Row],[G_PK]]</f>
        <v>0</v>
      </c>
      <c r="U174" s="1">
        <v>0</v>
      </c>
      <c r="V174" s="1">
        <v>0</v>
      </c>
      <c r="W174" s="1">
        <v>0</v>
      </c>
      <c r="X174" s="1">
        <v>0</v>
      </c>
      <c r="Y174" s="1">
        <f>Table1[[#This Row],[CRDY]]+Table1[[#This Row],[CRDR]]</f>
        <v>0</v>
      </c>
      <c r="Z174" s="1">
        <v>0</v>
      </c>
      <c r="AA174" s="2">
        <f>Table1[[#This Row],[XG]]/Table1[[#This Row],[MP]]</f>
        <v>0</v>
      </c>
      <c r="AB174" s="1">
        <v>0</v>
      </c>
      <c r="AC174" s="1">
        <v>0</v>
      </c>
      <c r="AD174" s="1">
        <v>0</v>
      </c>
      <c r="AE174" s="1">
        <v>2</v>
      </c>
      <c r="AF174" s="1">
        <v>7</v>
      </c>
      <c r="AG174" s="1">
        <v>12</v>
      </c>
    </row>
    <row r="175" spans="1:33" x14ac:dyDescent="0.35">
      <c r="A175">
        <v>37</v>
      </c>
      <c r="B175" t="s">
        <v>126</v>
      </c>
      <c r="C175" t="s">
        <v>27</v>
      </c>
      <c r="D175" t="s">
        <v>28</v>
      </c>
      <c r="E175" t="s">
        <v>46</v>
      </c>
      <c r="F175" t="s">
        <v>127</v>
      </c>
      <c r="G175" s="1">
        <v>1999</v>
      </c>
      <c r="H175" s="1">
        <v>1</v>
      </c>
      <c r="I175" s="1">
        <v>1</v>
      </c>
      <c r="J175" s="2">
        <f>Table1[[#This Row],[STARTS]]/Table1[[#This Row],[MP]]</f>
        <v>1</v>
      </c>
      <c r="K175" s="1">
        <v>25</v>
      </c>
      <c r="L175" s="1">
        <v>0.3</v>
      </c>
      <c r="M175" s="1">
        <v>0</v>
      </c>
      <c r="N175" s="2">
        <f>Table1[[#This Row],[G]]/Table1[[#This Row],[MP]]</f>
        <v>0</v>
      </c>
      <c r="O175" s="2">
        <v>0</v>
      </c>
      <c r="P175" s="2">
        <f>Table1[[#This Row],[A]]/Table1[[#This Row],[MP]]</f>
        <v>0</v>
      </c>
      <c r="Q175" s="2">
        <v>0</v>
      </c>
      <c r="R175" s="2">
        <f>Table1[[#This Row],[PTS]]/Table1[[#This Row],[MP]]</f>
        <v>0</v>
      </c>
      <c r="S175" s="1">
        <v>0</v>
      </c>
      <c r="T175" s="1">
        <f>Table1[[#This Row],[G]]-Table1[[#This Row],[G_PK]]</f>
        <v>0</v>
      </c>
      <c r="U175" s="1">
        <v>0</v>
      </c>
      <c r="V175" s="1">
        <v>0</v>
      </c>
      <c r="W175" s="1">
        <v>0</v>
      </c>
      <c r="X175" s="1">
        <v>0</v>
      </c>
      <c r="Y175" s="1">
        <f>Table1[[#This Row],[CRDY]]+Table1[[#This Row],[CRDR]]</f>
        <v>0</v>
      </c>
      <c r="Z175" s="1">
        <v>0</v>
      </c>
      <c r="AA175" s="2">
        <f>Table1[[#This Row],[XG]]/Table1[[#This Row],[MP]]</f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x14ac:dyDescent="0.35">
      <c r="A176">
        <v>42</v>
      </c>
      <c r="B176" t="s">
        <v>136</v>
      </c>
      <c r="C176" t="s">
        <v>27</v>
      </c>
      <c r="D176" t="s">
        <v>45</v>
      </c>
      <c r="E176" t="s">
        <v>51</v>
      </c>
      <c r="F176" t="s">
        <v>137</v>
      </c>
      <c r="G176" s="1">
        <v>1995</v>
      </c>
      <c r="H176" s="1">
        <v>8</v>
      </c>
      <c r="I176" s="1">
        <v>8</v>
      </c>
      <c r="J176" s="2">
        <f>Table1[[#This Row],[STARTS]]/Table1[[#This Row],[MP]]</f>
        <v>1</v>
      </c>
      <c r="K176" s="1">
        <v>720</v>
      </c>
      <c r="L176" s="1">
        <v>8</v>
      </c>
      <c r="M176" s="1">
        <v>0</v>
      </c>
      <c r="N176" s="2">
        <f>Table1[[#This Row],[G]]/Table1[[#This Row],[MP]]</f>
        <v>0</v>
      </c>
      <c r="O176" s="2">
        <v>0</v>
      </c>
      <c r="P176" s="2">
        <f>Table1[[#This Row],[A]]/Table1[[#This Row],[MP]]</f>
        <v>0</v>
      </c>
      <c r="Q176" s="2">
        <v>0</v>
      </c>
      <c r="R176" s="2">
        <f>Table1[[#This Row],[PTS]]/Table1[[#This Row],[MP]]</f>
        <v>0</v>
      </c>
      <c r="S176" s="1">
        <v>0</v>
      </c>
      <c r="T176" s="1">
        <f>Table1[[#This Row],[G]]-Table1[[#This Row],[G_PK]]</f>
        <v>0</v>
      </c>
      <c r="U176" s="1">
        <v>0</v>
      </c>
      <c r="V176" s="1">
        <v>0</v>
      </c>
      <c r="W176" s="1">
        <v>0</v>
      </c>
      <c r="X176" s="1">
        <v>0</v>
      </c>
      <c r="Y176" s="1">
        <f>Table1[[#This Row],[CRDY]]+Table1[[#This Row],[CRDR]]</f>
        <v>0</v>
      </c>
      <c r="Z176" s="1">
        <v>0</v>
      </c>
      <c r="AA176" s="2">
        <f>Table1[[#This Row],[XG]]/Table1[[#This Row],[MP]]</f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</row>
    <row r="177" spans="1:33" x14ac:dyDescent="0.35">
      <c r="A177">
        <v>43</v>
      </c>
      <c r="B177" t="s">
        <v>138</v>
      </c>
      <c r="C177" t="s">
        <v>27</v>
      </c>
      <c r="D177" t="s">
        <v>45</v>
      </c>
      <c r="E177" t="s">
        <v>101</v>
      </c>
      <c r="F177" t="s">
        <v>139</v>
      </c>
      <c r="G177" s="1">
        <v>2002</v>
      </c>
      <c r="H177" s="1">
        <v>1</v>
      </c>
      <c r="I177" s="1">
        <v>0</v>
      </c>
      <c r="J177" s="2">
        <f>Table1[[#This Row],[STARTS]]/Table1[[#This Row],[MP]]</f>
        <v>0</v>
      </c>
      <c r="K177" s="1">
        <v>3</v>
      </c>
      <c r="L177" s="1">
        <v>0</v>
      </c>
      <c r="M177" s="1">
        <v>0</v>
      </c>
      <c r="N177" s="2">
        <f>Table1[[#This Row],[G]]/Table1[[#This Row],[MP]]</f>
        <v>0</v>
      </c>
      <c r="O177" s="2">
        <v>0</v>
      </c>
      <c r="P177" s="2">
        <f>Table1[[#This Row],[A]]/Table1[[#This Row],[MP]]</f>
        <v>0</v>
      </c>
      <c r="Q177" s="2">
        <v>0</v>
      </c>
      <c r="R177" s="2">
        <f>Table1[[#This Row],[PTS]]/Table1[[#This Row],[MP]]</f>
        <v>0</v>
      </c>
      <c r="S177" s="1">
        <v>0</v>
      </c>
      <c r="T177" s="1">
        <f>Table1[[#This Row],[G]]-Table1[[#This Row],[G_PK]]</f>
        <v>0</v>
      </c>
      <c r="U177" s="1">
        <v>0</v>
      </c>
      <c r="V177" s="1">
        <v>0</v>
      </c>
      <c r="W177" s="1">
        <v>0</v>
      </c>
      <c r="X177" s="1">
        <v>0</v>
      </c>
      <c r="Y177" s="1">
        <f>Table1[[#This Row],[CRDY]]+Table1[[#This Row],[CRDR]]</f>
        <v>0</v>
      </c>
      <c r="Z177" s="1">
        <v>0</v>
      </c>
      <c r="AA177" s="2">
        <f>Table1[[#This Row],[XG]]/Table1[[#This Row],[MP]]</f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x14ac:dyDescent="0.35">
      <c r="A178">
        <v>44</v>
      </c>
      <c r="B178" t="s">
        <v>140</v>
      </c>
      <c r="C178" t="s">
        <v>36</v>
      </c>
      <c r="D178" t="s">
        <v>28</v>
      </c>
      <c r="E178" t="s">
        <v>107</v>
      </c>
      <c r="F178" t="s">
        <v>141</v>
      </c>
      <c r="G178" s="1">
        <v>1998</v>
      </c>
      <c r="H178" s="1">
        <v>13</v>
      </c>
      <c r="I178" s="1">
        <v>13</v>
      </c>
      <c r="J178" s="2">
        <f>Table1[[#This Row],[STARTS]]/Table1[[#This Row],[MP]]</f>
        <v>1</v>
      </c>
      <c r="K178" s="1">
        <v>1112</v>
      </c>
      <c r="L178" s="1">
        <v>12.4</v>
      </c>
      <c r="M178" s="1">
        <v>0</v>
      </c>
      <c r="N178" s="2">
        <f>Table1[[#This Row],[G]]/Table1[[#This Row],[MP]]</f>
        <v>0</v>
      </c>
      <c r="O178" s="2">
        <v>0</v>
      </c>
      <c r="P178" s="2">
        <f>Table1[[#This Row],[A]]/Table1[[#This Row],[MP]]</f>
        <v>0</v>
      </c>
      <c r="Q178" s="2">
        <v>0</v>
      </c>
      <c r="R178" s="2">
        <f>Table1[[#This Row],[PTS]]/Table1[[#This Row],[MP]]</f>
        <v>0</v>
      </c>
      <c r="S178" s="1">
        <v>0</v>
      </c>
      <c r="T178" s="1">
        <f>Table1[[#This Row],[G]]-Table1[[#This Row],[G_PK]]</f>
        <v>0</v>
      </c>
      <c r="U178" s="1">
        <v>0</v>
      </c>
      <c r="V178" s="1">
        <v>0</v>
      </c>
      <c r="W178" s="1">
        <v>1</v>
      </c>
      <c r="X178" s="1">
        <v>0</v>
      </c>
      <c r="Y178" s="1">
        <f>Table1[[#This Row],[CRDY]]+Table1[[#This Row],[CRDR]]</f>
        <v>1</v>
      </c>
      <c r="Z178" s="1">
        <v>0.5</v>
      </c>
      <c r="AA178" s="2">
        <f>Table1[[#This Row],[XG]]/Table1[[#This Row],[MP]]</f>
        <v>3.8461538461538464E-2</v>
      </c>
      <c r="AB178" s="1">
        <v>0.5</v>
      </c>
      <c r="AC178" s="1">
        <v>0.9</v>
      </c>
      <c r="AD178" s="1">
        <v>1.5</v>
      </c>
      <c r="AE178" s="1">
        <v>19</v>
      </c>
      <c r="AF178" s="1">
        <v>30</v>
      </c>
      <c r="AG178" s="1">
        <v>31</v>
      </c>
    </row>
    <row r="179" spans="1:33" x14ac:dyDescent="0.35">
      <c r="A179">
        <v>45</v>
      </c>
      <c r="B179" t="s">
        <v>142</v>
      </c>
      <c r="C179" t="s">
        <v>143</v>
      </c>
      <c r="D179" t="s">
        <v>28</v>
      </c>
      <c r="E179" t="s">
        <v>101</v>
      </c>
      <c r="F179" t="s">
        <v>144</v>
      </c>
      <c r="G179" s="1">
        <v>1997</v>
      </c>
      <c r="H179" s="1">
        <v>10</v>
      </c>
      <c r="I179" s="1">
        <v>10</v>
      </c>
      <c r="J179" s="2">
        <f>Table1[[#This Row],[STARTS]]/Table1[[#This Row],[MP]]</f>
        <v>1</v>
      </c>
      <c r="K179" s="1">
        <v>775</v>
      </c>
      <c r="L179" s="1">
        <v>8.6</v>
      </c>
      <c r="M179" s="1">
        <v>0</v>
      </c>
      <c r="N179" s="2">
        <f>Table1[[#This Row],[G]]/Table1[[#This Row],[MP]]</f>
        <v>0</v>
      </c>
      <c r="O179" s="2">
        <v>0</v>
      </c>
      <c r="P179" s="2">
        <f>Table1[[#This Row],[A]]/Table1[[#This Row],[MP]]</f>
        <v>0</v>
      </c>
      <c r="Q179" s="2">
        <v>0</v>
      </c>
      <c r="R179" s="2">
        <f>Table1[[#This Row],[PTS]]/Table1[[#This Row],[MP]]</f>
        <v>0</v>
      </c>
      <c r="S179" s="1">
        <v>0</v>
      </c>
      <c r="T179" s="1">
        <f>Table1[[#This Row],[G]]-Table1[[#This Row],[G_PK]]</f>
        <v>0</v>
      </c>
      <c r="U179" s="1">
        <v>0</v>
      </c>
      <c r="V179" s="1">
        <v>0</v>
      </c>
      <c r="W179" s="1">
        <v>1</v>
      </c>
      <c r="X179" s="1">
        <v>1</v>
      </c>
      <c r="Y179" s="1">
        <f>Table1[[#This Row],[CRDY]]+Table1[[#This Row],[CRDR]]</f>
        <v>2</v>
      </c>
      <c r="Z179" s="1">
        <v>0.1</v>
      </c>
      <c r="AA179" s="2">
        <f>Table1[[#This Row],[XG]]/Table1[[#This Row],[MP]]</f>
        <v>0.01</v>
      </c>
      <c r="AB179" s="1">
        <v>0.1</v>
      </c>
      <c r="AC179" s="1">
        <v>0.1</v>
      </c>
      <c r="AD179" s="1">
        <v>0.2</v>
      </c>
      <c r="AE179" s="1">
        <v>5</v>
      </c>
      <c r="AF179" s="1">
        <v>31</v>
      </c>
      <c r="AG179" s="1">
        <v>7</v>
      </c>
    </row>
    <row r="180" spans="1:33" x14ac:dyDescent="0.35">
      <c r="A180">
        <v>46</v>
      </c>
      <c r="B180" t="s">
        <v>145</v>
      </c>
      <c r="C180" t="s">
        <v>146</v>
      </c>
      <c r="D180" t="s">
        <v>85</v>
      </c>
      <c r="E180" t="s">
        <v>65</v>
      </c>
      <c r="F180" t="s">
        <v>147</v>
      </c>
      <c r="G180" s="1">
        <v>1995</v>
      </c>
      <c r="H180" s="1">
        <v>7</v>
      </c>
      <c r="I180" s="1">
        <v>1</v>
      </c>
      <c r="J180" s="2">
        <f>Table1[[#This Row],[STARTS]]/Table1[[#This Row],[MP]]</f>
        <v>0.14285714285714285</v>
      </c>
      <c r="K180" s="1">
        <v>184</v>
      </c>
      <c r="L180" s="1">
        <v>2</v>
      </c>
      <c r="M180" s="1">
        <v>0</v>
      </c>
      <c r="N180" s="2">
        <f>Table1[[#This Row],[G]]/Table1[[#This Row],[MP]]</f>
        <v>0</v>
      </c>
      <c r="O180" s="2">
        <v>0</v>
      </c>
      <c r="P180" s="2">
        <f>Table1[[#This Row],[A]]/Table1[[#This Row],[MP]]</f>
        <v>0</v>
      </c>
      <c r="Q180" s="2">
        <v>0</v>
      </c>
      <c r="R180" s="2">
        <f>Table1[[#This Row],[PTS]]/Table1[[#This Row],[MP]]</f>
        <v>0</v>
      </c>
      <c r="S180" s="1">
        <v>0</v>
      </c>
      <c r="T180" s="1">
        <f>Table1[[#This Row],[G]]-Table1[[#This Row],[G_PK]]</f>
        <v>0</v>
      </c>
      <c r="U180" s="1">
        <v>0</v>
      </c>
      <c r="V180" s="1">
        <v>0</v>
      </c>
      <c r="W180" s="1">
        <v>0</v>
      </c>
      <c r="X180" s="1">
        <v>0</v>
      </c>
      <c r="Y180" s="1">
        <f>Table1[[#This Row],[CRDY]]+Table1[[#This Row],[CRDR]]</f>
        <v>0</v>
      </c>
      <c r="Z180" s="1">
        <v>0.2</v>
      </c>
      <c r="AA180" s="2">
        <f>Table1[[#This Row],[XG]]/Table1[[#This Row],[MP]]</f>
        <v>2.8571428571428574E-2</v>
      </c>
      <c r="AB180" s="1">
        <v>0.2</v>
      </c>
      <c r="AC180" s="1">
        <v>0.2</v>
      </c>
      <c r="AD180" s="1">
        <v>0.4</v>
      </c>
      <c r="AE180" s="1">
        <v>2</v>
      </c>
      <c r="AF180" s="1">
        <v>4</v>
      </c>
      <c r="AG180" s="1">
        <v>15</v>
      </c>
    </row>
    <row r="181" spans="1:33" x14ac:dyDescent="0.35">
      <c r="A181">
        <v>49</v>
      </c>
      <c r="B181" t="s">
        <v>154</v>
      </c>
      <c r="C181" t="s">
        <v>84</v>
      </c>
      <c r="D181" t="s">
        <v>62</v>
      </c>
      <c r="E181" t="s">
        <v>29</v>
      </c>
      <c r="F181" t="s">
        <v>155</v>
      </c>
      <c r="G181" s="1">
        <v>1997</v>
      </c>
      <c r="H181" s="1">
        <v>3</v>
      </c>
      <c r="I181" s="1">
        <v>0</v>
      </c>
      <c r="J181" s="2">
        <f>Table1[[#This Row],[STARTS]]/Table1[[#This Row],[MP]]</f>
        <v>0</v>
      </c>
      <c r="K181" s="1">
        <v>33</v>
      </c>
      <c r="L181" s="1">
        <v>0.4</v>
      </c>
      <c r="M181" s="1">
        <v>0</v>
      </c>
      <c r="N181" s="2">
        <f>Table1[[#This Row],[G]]/Table1[[#This Row],[MP]]</f>
        <v>0</v>
      </c>
      <c r="O181" s="2">
        <v>0</v>
      </c>
      <c r="P181" s="2">
        <f>Table1[[#This Row],[A]]/Table1[[#This Row],[MP]]</f>
        <v>0</v>
      </c>
      <c r="Q181" s="2">
        <v>0</v>
      </c>
      <c r="R181" s="2">
        <f>Table1[[#This Row],[PTS]]/Table1[[#This Row],[MP]]</f>
        <v>0</v>
      </c>
      <c r="S181" s="1">
        <v>0</v>
      </c>
      <c r="T181" s="1">
        <f>Table1[[#This Row],[G]]-Table1[[#This Row],[G_PK]]</f>
        <v>0</v>
      </c>
      <c r="U181" s="1">
        <v>0</v>
      </c>
      <c r="V181" s="1">
        <v>0</v>
      </c>
      <c r="W181" s="1">
        <v>0</v>
      </c>
      <c r="X181" s="1">
        <v>0</v>
      </c>
      <c r="Y181" s="1">
        <f>Table1[[#This Row],[CRDY]]+Table1[[#This Row],[CRDR]]</f>
        <v>0</v>
      </c>
      <c r="Z181" s="1">
        <v>0.1</v>
      </c>
      <c r="AA181" s="2">
        <f>Table1[[#This Row],[XG]]/Table1[[#This Row],[MP]]</f>
        <v>3.3333333333333333E-2</v>
      </c>
      <c r="AB181" s="1">
        <v>0.1</v>
      </c>
      <c r="AC181" s="1">
        <v>0</v>
      </c>
      <c r="AD181" s="1">
        <v>0.1</v>
      </c>
      <c r="AE181" s="1">
        <v>0</v>
      </c>
      <c r="AF181" s="1">
        <v>2</v>
      </c>
      <c r="AG181" s="1">
        <v>1</v>
      </c>
    </row>
    <row r="182" spans="1:33" x14ac:dyDescent="0.35">
      <c r="A182">
        <v>50</v>
      </c>
      <c r="B182" t="s">
        <v>156</v>
      </c>
      <c r="C182" t="s">
        <v>36</v>
      </c>
      <c r="D182" t="s">
        <v>28</v>
      </c>
      <c r="E182" t="s">
        <v>29</v>
      </c>
      <c r="F182" t="s">
        <v>157</v>
      </c>
      <c r="G182" s="1">
        <v>2002</v>
      </c>
      <c r="H182" s="1">
        <v>4</v>
      </c>
      <c r="I182" s="1">
        <v>2</v>
      </c>
      <c r="J182" s="2">
        <f>Table1[[#This Row],[STARTS]]/Table1[[#This Row],[MP]]</f>
        <v>0.5</v>
      </c>
      <c r="K182" s="1">
        <v>177</v>
      </c>
      <c r="L182" s="1">
        <v>2</v>
      </c>
      <c r="M182" s="1">
        <v>0</v>
      </c>
      <c r="N182" s="2">
        <f>Table1[[#This Row],[G]]/Table1[[#This Row],[MP]]</f>
        <v>0</v>
      </c>
      <c r="O182" s="2">
        <v>0</v>
      </c>
      <c r="P182" s="2">
        <f>Table1[[#This Row],[A]]/Table1[[#This Row],[MP]]</f>
        <v>0</v>
      </c>
      <c r="Q182" s="2">
        <v>0</v>
      </c>
      <c r="R182" s="2">
        <f>Table1[[#This Row],[PTS]]/Table1[[#This Row],[MP]]</f>
        <v>0</v>
      </c>
      <c r="S182" s="1">
        <v>0</v>
      </c>
      <c r="T182" s="1">
        <f>Table1[[#This Row],[G]]-Table1[[#This Row],[G_PK]]</f>
        <v>0</v>
      </c>
      <c r="U182" s="1">
        <v>0</v>
      </c>
      <c r="V182" s="1">
        <v>0</v>
      </c>
      <c r="W182" s="1">
        <v>0</v>
      </c>
      <c r="X182" s="1">
        <v>0</v>
      </c>
      <c r="Y182" s="1">
        <f>Table1[[#This Row],[CRDY]]+Table1[[#This Row],[CRDR]]</f>
        <v>0</v>
      </c>
      <c r="Z182" s="1">
        <v>0</v>
      </c>
      <c r="AA182" s="2">
        <f>Table1[[#This Row],[XG]]/Table1[[#This Row],[MP]]</f>
        <v>0</v>
      </c>
      <c r="AB182" s="1">
        <v>0</v>
      </c>
      <c r="AC182" s="1">
        <v>0</v>
      </c>
      <c r="AD182" s="1">
        <v>0</v>
      </c>
      <c r="AE182" s="1">
        <v>1</v>
      </c>
      <c r="AF182" s="1">
        <v>10</v>
      </c>
      <c r="AG182" s="1">
        <v>0</v>
      </c>
    </row>
    <row r="183" spans="1:33" x14ac:dyDescent="0.35">
      <c r="A183">
        <v>53</v>
      </c>
      <c r="B183" t="s">
        <v>163</v>
      </c>
      <c r="C183" t="s">
        <v>27</v>
      </c>
      <c r="D183" t="s">
        <v>62</v>
      </c>
      <c r="E183" t="s">
        <v>164</v>
      </c>
      <c r="F183" t="s">
        <v>165</v>
      </c>
      <c r="G183" s="1">
        <v>1999</v>
      </c>
      <c r="H183" s="1">
        <v>7</v>
      </c>
      <c r="I183" s="1">
        <v>1</v>
      </c>
      <c r="J183" s="2">
        <f>Table1[[#This Row],[STARTS]]/Table1[[#This Row],[MP]]</f>
        <v>0.14285714285714285</v>
      </c>
      <c r="K183" s="1">
        <v>155</v>
      </c>
      <c r="L183" s="1">
        <v>1.7</v>
      </c>
      <c r="M183" s="1">
        <v>0</v>
      </c>
      <c r="N183" s="2">
        <f>Table1[[#This Row],[G]]/Table1[[#This Row],[MP]]</f>
        <v>0</v>
      </c>
      <c r="O183" s="2">
        <v>0</v>
      </c>
      <c r="P183" s="2">
        <f>Table1[[#This Row],[A]]/Table1[[#This Row],[MP]]</f>
        <v>0</v>
      </c>
      <c r="Q183" s="2">
        <v>0</v>
      </c>
      <c r="R183" s="2">
        <f>Table1[[#This Row],[PTS]]/Table1[[#This Row],[MP]]</f>
        <v>0</v>
      </c>
      <c r="S183" s="1">
        <v>0</v>
      </c>
      <c r="T183" s="1">
        <f>Table1[[#This Row],[G]]-Table1[[#This Row],[G_PK]]</f>
        <v>0</v>
      </c>
      <c r="U183" s="1">
        <v>0</v>
      </c>
      <c r="V183" s="1">
        <v>0</v>
      </c>
      <c r="W183" s="1">
        <v>1</v>
      </c>
      <c r="X183" s="1">
        <v>0</v>
      </c>
      <c r="Y183" s="1">
        <f>Table1[[#This Row],[CRDY]]+Table1[[#This Row],[CRDR]]</f>
        <v>1</v>
      </c>
      <c r="Z183" s="1">
        <v>0.1</v>
      </c>
      <c r="AA183" s="2">
        <f>Table1[[#This Row],[XG]]/Table1[[#This Row],[MP]]</f>
        <v>1.4285714285714287E-2</v>
      </c>
      <c r="AB183" s="1">
        <v>0.1</v>
      </c>
      <c r="AC183" s="1">
        <v>0</v>
      </c>
      <c r="AD183" s="1">
        <v>0.1</v>
      </c>
      <c r="AE183" s="1">
        <v>0</v>
      </c>
      <c r="AF183" s="1">
        <v>7</v>
      </c>
      <c r="AG183" s="1">
        <v>5</v>
      </c>
    </row>
    <row r="184" spans="1:33" x14ac:dyDescent="0.35">
      <c r="A184">
        <v>55</v>
      </c>
      <c r="B184" t="s">
        <v>168</v>
      </c>
      <c r="C184" t="s">
        <v>27</v>
      </c>
      <c r="D184" t="s">
        <v>62</v>
      </c>
      <c r="E184" t="s">
        <v>51</v>
      </c>
      <c r="F184" t="s">
        <v>169</v>
      </c>
      <c r="G184" s="1">
        <v>1993</v>
      </c>
      <c r="H184" s="1">
        <v>13</v>
      </c>
      <c r="I184" s="1">
        <v>13</v>
      </c>
      <c r="J184" s="2">
        <f>Table1[[#This Row],[STARTS]]/Table1[[#This Row],[MP]]</f>
        <v>1</v>
      </c>
      <c r="K184" s="1">
        <v>1064</v>
      </c>
      <c r="L184" s="1">
        <v>11.8</v>
      </c>
      <c r="M184" s="1">
        <v>0</v>
      </c>
      <c r="N184" s="2">
        <f>Table1[[#This Row],[G]]/Table1[[#This Row],[MP]]</f>
        <v>0</v>
      </c>
      <c r="O184" s="2">
        <v>0</v>
      </c>
      <c r="P184" s="2">
        <f>Table1[[#This Row],[A]]/Table1[[#This Row],[MP]]</f>
        <v>0</v>
      </c>
      <c r="Q184" s="2">
        <v>0</v>
      </c>
      <c r="R184" s="2">
        <f>Table1[[#This Row],[PTS]]/Table1[[#This Row],[MP]]</f>
        <v>0</v>
      </c>
      <c r="S184" s="1">
        <v>0</v>
      </c>
      <c r="T184" s="1">
        <f>Table1[[#This Row],[G]]-Table1[[#This Row],[G_PK]]</f>
        <v>0</v>
      </c>
      <c r="U184" s="1">
        <v>0</v>
      </c>
      <c r="V184" s="1">
        <v>0</v>
      </c>
      <c r="W184" s="1">
        <v>2</v>
      </c>
      <c r="X184" s="1">
        <v>0</v>
      </c>
      <c r="Y184" s="1">
        <f>Table1[[#This Row],[CRDY]]+Table1[[#This Row],[CRDR]]</f>
        <v>2</v>
      </c>
      <c r="Z184" s="1">
        <v>0.4</v>
      </c>
      <c r="AA184" s="2">
        <f>Table1[[#This Row],[XG]]/Table1[[#This Row],[MP]]</f>
        <v>3.0769230769230771E-2</v>
      </c>
      <c r="AB184" s="1">
        <v>0.4</v>
      </c>
      <c r="AC184" s="1">
        <v>0.1</v>
      </c>
      <c r="AD184" s="1">
        <v>0.5</v>
      </c>
      <c r="AE184" s="1">
        <v>2</v>
      </c>
      <c r="AF184" s="1">
        <v>32</v>
      </c>
      <c r="AG184" s="1">
        <v>4</v>
      </c>
    </row>
    <row r="185" spans="1:33" x14ac:dyDescent="0.35">
      <c r="A185">
        <v>57</v>
      </c>
      <c r="B185" t="s">
        <v>172</v>
      </c>
      <c r="C185" t="s">
        <v>27</v>
      </c>
      <c r="D185" t="s">
        <v>28</v>
      </c>
      <c r="E185" t="s">
        <v>81</v>
      </c>
      <c r="F185" t="s">
        <v>173</v>
      </c>
      <c r="G185" s="1">
        <v>1997</v>
      </c>
      <c r="H185" s="1">
        <v>7</v>
      </c>
      <c r="I185" s="1">
        <v>7</v>
      </c>
      <c r="J185" s="2">
        <f>Table1[[#This Row],[STARTS]]/Table1[[#This Row],[MP]]</f>
        <v>1</v>
      </c>
      <c r="K185" s="1">
        <v>586</v>
      </c>
      <c r="L185" s="1">
        <v>6.5</v>
      </c>
      <c r="M185" s="1">
        <v>0</v>
      </c>
      <c r="N185" s="2">
        <f>Table1[[#This Row],[G]]/Table1[[#This Row],[MP]]</f>
        <v>0</v>
      </c>
      <c r="O185" s="2">
        <v>0</v>
      </c>
      <c r="P185" s="2">
        <f>Table1[[#This Row],[A]]/Table1[[#This Row],[MP]]</f>
        <v>0</v>
      </c>
      <c r="Q185" s="2">
        <v>0</v>
      </c>
      <c r="R185" s="2">
        <f>Table1[[#This Row],[PTS]]/Table1[[#This Row],[MP]]</f>
        <v>0</v>
      </c>
      <c r="S185" s="1">
        <v>0</v>
      </c>
      <c r="T185" s="1">
        <f>Table1[[#This Row],[G]]-Table1[[#This Row],[G_PK]]</f>
        <v>0</v>
      </c>
      <c r="U185" s="1">
        <v>0</v>
      </c>
      <c r="V185" s="1">
        <v>0</v>
      </c>
      <c r="W185" s="1">
        <v>0</v>
      </c>
      <c r="X185" s="1">
        <v>0</v>
      </c>
      <c r="Y185" s="1">
        <f>Table1[[#This Row],[CRDY]]+Table1[[#This Row],[CRDR]]</f>
        <v>0</v>
      </c>
      <c r="Z185" s="1">
        <v>0</v>
      </c>
      <c r="AA185" s="2">
        <f>Table1[[#This Row],[XG]]/Table1[[#This Row],[MP]]</f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7</v>
      </c>
      <c r="AG185" s="1">
        <v>0</v>
      </c>
    </row>
    <row r="186" spans="1:33" x14ac:dyDescent="0.35">
      <c r="A186">
        <v>58</v>
      </c>
      <c r="B186" t="s">
        <v>174</v>
      </c>
      <c r="C186" t="s">
        <v>27</v>
      </c>
      <c r="D186" t="s">
        <v>85</v>
      </c>
      <c r="E186" t="s">
        <v>57</v>
      </c>
      <c r="F186" t="s">
        <v>175</v>
      </c>
      <c r="G186" s="1">
        <v>2000</v>
      </c>
      <c r="H186" s="1">
        <v>6</v>
      </c>
      <c r="I186" s="1">
        <v>0</v>
      </c>
      <c r="J186" s="2">
        <f>Table1[[#This Row],[STARTS]]/Table1[[#This Row],[MP]]</f>
        <v>0</v>
      </c>
      <c r="K186" s="1">
        <v>57</v>
      </c>
      <c r="L186" s="1">
        <v>0.6</v>
      </c>
      <c r="M186" s="1">
        <v>0</v>
      </c>
      <c r="N186" s="2">
        <f>Table1[[#This Row],[G]]/Table1[[#This Row],[MP]]</f>
        <v>0</v>
      </c>
      <c r="O186" s="2">
        <v>0</v>
      </c>
      <c r="P186" s="2">
        <f>Table1[[#This Row],[A]]/Table1[[#This Row],[MP]]</f>
        <v>0</v>
      </c>
      <c r="Q186" s="2">
        <v>0</v>
      </c>
      <c r="R186" s="2">
        <f>Table1[[#This Row],[PTS]]/Table1[[#This Row],[MP]]</f>
        <v>0</v>
      </c>
      <c r="S186" s="1">
        <v>0</v>
      </c>
      <c r="T186" s="1">
        <f>Table1[[#This Row],[G]]-Table1[[#This Row],[G_PK]]</f>
        <v>0</v>
      </c>
      <c r="U186" s="1">
        <v>0</v>
      </c>
      <c r="V186" s="1">
        <v>0</v>
      </c>
      <c r="W186" s="1">
        <v>0</v>
      </c>
      <c r="X186" s="1">
        <v>0</v>
      </c>
      <c r="Y186" s="1">
        <f>Table1[[#This Row],[CRDY]]+Table1[[#This Row],[CRDR]]</f>
        <v>0</v>
      </c>
      <c r="Z186" s="1">
        <v>0</v>
      </c>
      <c r="AA186" s="2">
        <f>Table1[[#This Row],[XG]]/Table1[[#This Row],[MP]]</f>
        <v>0</v>
      </c>
      <c r="AB186" s="1">
        <v>0</v>
      </c>
      <c r="AC186" s="1">
        <v>0.1</v>
      </c>
      <c r="AD186" s="1">
        <v>0.1</v>
      </c>
      <c r="AE186" s="1">
        <v>0</v>
      </c>
      <c r="AF186" s="1">
        <v>0</v>
      </c>
      <c r="AG186" s="1">
        <v>5</v>
      </c>
    </row>
    <row r="187" spans="1:33" x14ac:dyDescent="0.35">
      <c r="A187">
        <v>59</v>
      </c>
      <c r="B187" t="s">
        <v>176</v>
      </c>
      <c r="C187" t="s">
        <v>27</v>
      </c>
      <c r="D187" t="s">
        <v>37</v>
      </c>
      <c r="E187" t="s">
        <v>101</v>
      </c>
      <c r="F187" t="s">
        <v>177</v>
      </c>
      <c r="G187" s="1">
        <v>2004</v>
      </c>
      <c r="H187" s="1">
        <v>5</v>
      </c>
      <c r="I187" s="1">
        <v>0</v>
      </c>
      <c r="J187" s="2">
        <f>Table1[[#This Row],[STARTS]]/Table1[[#This Row],[MP]]</f>
        <v>0</v>
      </c>
      <c r="K187" s="1">
        <v>89</v>
      </c>
      <c r="L187" s="1">
        <v>1</v>
      </c>
      <c r="M187" s="1">
        <v>0</v>
      </c>
      <c r="N187" s="2">
        <f>Table1[[#This Row],[G]]/Table1[[#This Row],[MP]]</f>
        <v>0</v>
      </c>
      <c r="O187" s="2">
        <v>0</v>
      </c>
      <c r="P187" s="2">
        <f>Table1[[#This Row],[A]]/Table1[[#This Row],[MP]]</f>
        <v>0</v>
      </c>
      <c r="Q187" s="2">
        <v>0</v>
      </c>
      <c r="R187" s="2">
        <f>Table1[[#This Row],[PTS]]/Table1[[#This Row],[MP]]</f>
        <v>0</v>
      </c>
      <c r="S187" s="1">
        <v>0</v>
      </c>
      <c r="T187" s="1">
        <f>Table1[[#This Row],[G]]-Table1[[#This Row],[G_PK]]</f>
        <v>0</v>
      </c>
      <c r="U187" s="1">
        <v>0</v>
      </c>
      <c r="V187" s="1">
        <v>0</v>
      </c>
      <c r="W187" s="1">
        <v>0</v>
      </c>
      <c r="X187" s="1">
        <v>0</v>
      </c>
      <c r="Y187" s="1">
        <f>Table1[[#This Row],[CRDY]]+Table1[[#This Row],[CRDR]]</f>
        <v>0</v>
      </c>
      <c r="Z187" s="1">
        <v>0.1</v>
      </c>
      <c r="AA187" s="2">
        <f>Table1[[#This Row],[XG]]/Table1[[#This Row],[MP]]</f>
        <v>0.02</v>
      </c>
      <c r="AB187" s="1">
        <v>0.1</v>
      </c>
      <c r="AC187" s="1">
        <v>0</v>
      </c>
      <c r="AD187" s="1">
        <v>0.1</v>
      </c>
      <c r="AE187" s="1">
        <v>4</v>
      </c>
      <c r="AF187" s="1">
        <v>6</v>
      </c>
      <c r="AG187" s="1">
        <v>6</v>
      </c>
    </row>
    <row r="188" spans="1:33" x14ac:dyDescent="0.35">
      <c r="A188">
        <v>62</v>
      </c>
      <c r="B188" t="s">
        <v>182</v>
      </c>
      <c r="C188" t="s">
        <v>36</v>
      </c>
      <c r="D188" t="s">
        <v>183</v>
      </c>
      <c r="E188" t="s">
        <v>42</v>
      </c>
      <c r="F188" t="s">
        <v>184</v>
      </c>
      <c r="G188" s="1">
        <v>2002</v>
      </c>
      <c r="H188" s="1">
        <v>2</v>
      </c>
      <c r="I188" s="1">
        <v>0</v>
      </c>
      <c r="J188" s="2">
        <f>Table1[[#This Row],[STARTS]]/Table1[[#This Row],[MP]]</f>
        <v>0</v>
      </c>
      <c r="K188" s="1">
        <v>29</v>
      </c>
      <c r="L188" s="1">
        <v>0.3</v>
      </c>
      <c r="M188" s="1">
        <v>0</v>
      </c>
      <c r="N188" s="2">
        <f>Table1[[#This Row],[G]]/Table1[[#This Row],[MP]]</f>
        <v>0</v>
      </c>
      <c r="O188" s="2">
        <v>0</v>
      </c>
      <c r="P188" s="2">
        <f>Table1[[#This Row],[A]]/Table1[[#This Row],[MP]]</f>
        <v>0</v>
      </c>
      <c r="Q188" s="2">
        <v>0</v>
      </c>
      <c r="R188" s="2">
        <f>Table1[[#This Row],[PTS]]/Table1[[#This Row],[MP]]</f>
        <v>0</v>
      </c>
      <c r="S188" s="1">
        <v>0</v>
      </c>
      <c r="T188" s="1">
        <f>Table1[[#This Row],[G]]-Table1[[#This Row],[G_PK]]</f>
        <v>0</v>
      </c>
      <c r="U188" s="1">
        <v>0</v>
      </c>
      <c r="V188" s="1">
        <v>0</v>
      </c>
      <c r="W188" s="1">
        <v>0</v>
      </c>
      <c r="X188" s="1">
        <v>0</v>
      </c>
      <c r="Y188" s="1">
        <f>Table1[[#This Row],[CRDY]]+Table1[[#This Row],[CRDR]]</f>
        <v>0</v>
      </c>
      <c r="Z188" s="1">
        <v>0</v>
      </c>
      <c r="AA188" s="2">
        <f>Table1[[#This Row],[XG]]/Table1[[#This Row],[MP]]</f>
        <v>0</v>
      </c>
      <c r="AB188" s="1">
        <v>0</v>
      </c>
      <c r="AC188" s="1">
        <v>0</v>
      </c>
      <c r="AD188" s="1">
        <v>0</v>
      </c>
      <c r="AE188" s="1">
        <v>2</v>
      </c>
      <c r="AF188" s="1">
        <v>2</v>
      </c>
      <c r="AG188" s="1">
        <v>4</v>
      </c>
    </row>
    <row r="189" spans="1:33" x14ac:dyDescent="0.35">
      <c r="A189">
        <v>63</v>
      </c>
      <c r="B189" t="s">
        <v>185</v>
      </c>
      <c r="C189" t="s">
        <v>76</v>
      </c>
      <c r="D189" t="s">
        <v>32</v>
      </c>
      <c r="E189" t="s">
        <v>33</v>
      </c>
      <c r="F189" t="s">
        <v>186</v>
      </c>
      <c r="G189" s="1">
        <v>1990</v>
      </c>
      <c r="H189" s="1">
        <v>9</v>
      </c>
      <c r="I189" s="1">
        <v>5</v>
      </c>
      <c r="J189" s="2">
        <f>Table1[[#This Row],[STARTS]]/Table1[[#This Row],[MP]]</f>
        <v>0.55555555555555558</v>
      </c>
      <c r="K189" s="1">
        <v>366</v>
      </c>
      <c r="L189" s="1">
        <v>4.0999999999999996</v>
      </c>
      <c r="M189" s="1">
        <v>0</v>
      </c>
      <c r="N189" s="2">
        <f>Table1[[#This Row],[G]]/Table1[[#This Row],[MP]]</f>
        <v>0</v>
      </c>
      <c r="O189" s="2">
        <v>0</v>
      </c>
      <c r="P189" s="2">
        <f>Table1[[#This Row],[A]]/Table1[[#This Row],[MP]]</f>
        <v>0</v>
      </c>
      <c r="Q189" s="2">
        <v>0</v>
      </c>
      <c r="R189" s="2">
        <f>Table1[[#This Row],[PTS]]/Table1[[#This Row],[MP]]</f>
        <v>0</v>
      </c>
      <c r="S189" s="1">
        <v>0</v>
      </c>
      <c r="T189" s="1">
        <f>Table1[[#This Row],[G]]-Table1[[#This Row],[G_PK]]</f>
        <v>0</v>
      </c>
      <c r="U189" s="1">
        <v>0</v>
      </c>
      <c r="V189" s="1">
        <v>0</v>
      </c>
      <c r="W189" s="1">
        <v>0</v>
      </c>
      <c r="X189" s="1">
        <v>0</v>
      </c>
      <c r="Y189" s="1">
        <f>Table1[[#This Row],[CRDY]]+Table1[[#This Row],[CRDR]]</f>
        <v>0</v>
      </c>
      <c r="Z189" s="1">
        <v>0.6</v>
      </c>
      <c r="AA189" s="2">
        <f>Table1[[#This Row],[XG]]/Table1[[#This Row],[MP]]</f>
        <v>6.6666666666666666E-2</v>
      </c>
      <c r="AB189" s="1">
        <v>0.6</v>
      </c>
      <c r="AC189" s="1">
        <v>0</v>
      </c>
      <c r="AD189" s="1">
        <v>0.6</v>
      </c>
      <c r="AE189" s="1">
        <v>8</v>
      </c>
      <c r="AF189" s="1">
        <v>10</v>
      </c>
      <c r="AG189" s="1">
        <v>16</v>
      </c>
    </row>
    <row r="190" spans="1:33" x14ac:dyDescent="0.35">
      <c r="A190">
        <v>64</v>
      </c>
      <c r="B190" t="s">
        <v>187</v>
      </c>
      <c r="D190" t="s">
        <v>45</v>
      </c>
      <c r="E190" t="s">
        <v>29</v>
      </c>
      <c r="H190" s="1">
        <v>1</v>
      </c>
      <c r="I190" s="1">
        <v>0</v>
      </c>
      <c r="J190" s="2">
        <f>Table1[[#This Row],[STARTS]]/Table1[[#This Row],[MP]]</f>
        <v>0</v>
      </c>
      <c r="K190" s="1">
        <v>40</v>
      </c>
      <c r="L190" s="1">
        <v>0.4</v>
      </c>
      <c r="M190" s="1">
        <v>0</v>
      </c>
      <c r="N190" s="2">
        <f>Table1[[#This Row],[G]]/Table1[[#This Row],[MP]]</f>
        <v>0</v>
      </c>
      <c r="O190" s="2">
        <v>0</v>
      </c>
      <c r="P190" s="2">
        <f>Table1[[#This Row],[A]]/Table1[[#This Row],[MP]]</f>
        <v>0</v>
      </c>
      <c r="Q190" s="2">
        <v>0</v>
      </c>
      <c r="R190" s="2">
        <f>Table1[[#This Row],[PTS]]/Table1[[#This Row],[MP]]</f>
        <v>0</v>
      </c>
      <c r="S190" s="1">
        <v>0</v>
      </c>
      <c r="T190" s="1">
        <f>Table1[[#This Row],[G]]-Table1[[#This Row],[G_PK]]</f>
        <v>0</v>
      </c>
      <c r="U190" s="1">
        <v>0</v>
      </c>
      <c r="V190" s="1">
        <v>0</v>
      </c>
      <c r="W190" s="1">
        <v>0</v>
      </c>
      <c r="X190" s="1">
        <v>0</v>
      </c>
      <c r="Y190" s="1">
        <f>Table1[[#This Row],[CRDY]]+Table1[[#This Row],[CRDR]]</f>
        <v>0</v>
      </c>
      <c r="Z190" s="1">
        <v>0</v>
      </c>
      <c r="AA190" s="2">
        <f>Table1[[#This Row],[XG]]/Table1[[#This Row],[MP]]</f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x14ac:dyDescent="0.35">
      <c r="A191">
        <v>65</v>
      </c>
      <c r="B191" t="s">
        <v>188</v>
      </c>
      <c r="C191" t="s">
        <v>27</v>
      </c>
      <c r="D191" t="s">
        <v>37</v>
      </c>
      <c r="E191" t="s">
        <v>57</v>
      </c>
      <c r="F191" t="s">
        <v>189</v>
      </c>
      <c r="G191" s="1">
        <v>1999</v>
      </c>
      <c r="H191" s="1">
        <v>6</v>
      </c>
      <c r="I191" s="1">
        <v>0</v>
      </c>
      <c r="J191" s="2">
        <f>Table1[[#This Row],[STARTS]]/Table1[[#This Row],[MP]]</f>
        <v>0</v>
      </c>
      <c r="K191" s="1">
        <v>79</v>
      </c>
      <c r="L191" s="1">
        <v>0.9</v>
      </c>
      <c r="M191" s="1">
        <v>0</v>
      </c>
      <c r="N191" s="2">
        <f>Table1[[#This Row],[G]]/Table1[[#This Row],[MP]]</f>
        <v>0</v>
      </c>
      <c r="O191" s="2">
        <v>0</v>
      </c>
      <c r="P191" s="2">
        <f>Table1[[#This Row],[A]]/Table1[[#This Row],[MP]]</f>
        <v>0</v>
      </c>
      <c r="Q191" s="2">
        <v>0</v>
      </c>
      <c r="R191" s="2">
        <f>Table1[[#This Row],[PTS]]/Table1[[#This Row],[MP]]</f>
        <v>0</v>
      </c>
      <c r="S191" s="1">
        <v>0</v>
      </c>
      <c r="T191" s="1">
        <f>Table1[[#This Row],[G]]-Table1[[#This Row],[G_PK]]</f>
        <v>0</v>
      </c>
      <c r="U191" s="1">
        <v>0</v>
      </c>
      <c r="V191" s="1">
        <v>0</v>
      </c>
      <c r="W191" s="1">
        <v>1</v>
      </c>
      <c r="X191" s="1">
        <v>0</v>
      </c>
      <c r="Y191" s="1">
        <f>Table1[[#This Row],[CRDY]]+Table1[[#This Row],[CRDR]]</f>
        <v>1</v>
      </c>
      <c r="Z191" s="1">
        <v>0.2</v>
      </c>
      <c r="AA191" s="2">
        <f>Table1[[#This Row],[XG]]/Table1[[#This Row],[MP]]</f>
        <v>3.3333333333333333E-2</v>
      </c>
      <c r="AB191" s="1">
        <v>0.2</v>
      </c>
      <c r="AC191" s="1">
        <v>0</v>
      </c>
      <c r="AD191" s="1">
        <v>0.2</v>
      </c>
      <c r="AE191" s="1">
        <v>3</v>
      </c>
      <c r="AF191" s="1">
        <v>3</v>
      </c>
      <c r="AG191" s="1">
        <v>7</v>
      </c>
    </row>
    <row r="192" spans="1:33" x14ac:dyDescent="0.35">
      <c r="A192">
        <v>66</v>
      </c>
      <c r="B192" t="s">
        <v>190</v>
      </c>
      <c r="C192" t="s">
        <v>27</v>
      </c>
      <c r="D192" t="s">
        <v>28</v>
      </c>
      <c r="E192" t="s">
        <v>33</v>
      </c>
      <c r="F192" t="s">
        <v>191</v>
      </c>
      <c r="G192" s="1">
        <v>2001</v>
      </c>
      <c r="H192" s="1">
        <v>13</v>
      </c>
      <c r="I192" s="1">
        <v>11</v>
      </c>
      <c r="J192" s="2">
        <f>Table1[[#This Row],[STARTS]]/Table1[[#This Row],[MP]]</f>
        <v>0.84615384615384615</v>
      </c>
      <c r="K192" s="1">
        <v>979</v>
      </c>
      <c r="L192" s="1">
        <v>10.9</v>
      </c>
      <c r="M192" s="1">
        <v>0</v>
      </c>
      <c r="N192" s="2">
        <f>Table1[[#This Row],[G]]/Table1[[#This Row],[MP]]</f>
        <v>0</v>
      </c>
      <c r="O192" s="2">
        <v>0</v>
      </c>
      <c r="P192" s="2">
        <f>Table1[[#This Row],[A]]/Table1[[#This Row],[MP]]</f>
        <v>0</v>
      </c>
      <c r="Q192" s="2">
        <v>0</v>
      </c>
      <c r="R192" s="2">
        <f>Table1[[#This Row],[PTS]]/Table1[[#This Row],[MP]]</f>
        <v>0</v>
      </c>
      <c r="S192" s="1">
        <v>0</v>
      </c>
      <c r="T192" s="1">
        <f>Table1[[#This Row],[G]]-Table1[[#This Row],[G_PK]]</f>
        <v>0</v>
      </c>
      <c r="U192" s="1">
        <v>0</v>
      </c>
      <c r="V192" s="1">
        <v>0</v>
      </c>
      <c r="W192" s="1">
        <v>2</v>
      </c>
      <c r="X192" s="1">
        <v>0</v>
      </c>
      <c r="Y192" s="1">
        <f>Table1[[#This Row],[CRDY]]+Table1[[#This Row],[CRDR]]</f>
        <v>2</v>
      </c>
      <c r="Z192" s="1">
        <v>0.1</v>
      </c>
      <c r="AA192" s="2">
        <f>Table1[[#This Row],[XG]]/Table1[[#This Row],[MP]]</f>
        <v>7.6923076923076927E-3</v>
      </c>
      <c r="AB192" s="1">
        <v>0.1</v>
      </c>
      <c r="AC192" s="1">
        <v>0.4</v>
      </c>
      <c r="AD192" s="1">
        <v>0.5</v>
      </c>
      <c r="AE192" s="1">
        <v>16</v>
      </c>
      <c r="AF192" s="1">
        <v>40</v>
      </c>
      <c r="AG192" s="1">
        <v>44</v>
      </c>
    </row>
    <row r="193" spans="1:33" x14ac:dyDescent="0.35">
      <c r="A193">
        <v>68</v>
      </c>
      <c r="B193" t="s">
        <v>194</v>
      </c>
      <c r="C193" t="s">
        <v>27</v>
      </c>
      <c r="D193" t="s">
        <v>28</v>
      </c>
      <c r="E193" t="s">
        <v>46</v>
      </c>
      <c r="F193" t="s">
        <v>195</v>
      </c>
      <c r="G193" s="1">
        <v>1993</v>
      </c>
      <c r="H193" s="1">
        <v>13</v>
      </c>
      <c r="I193" s="1">
        <v>13</v>
      </c>
      <c r="J193" s="2">
        <f>Table1[[#This Row],[STARTS]]/Table1[[#This Row],[MP]]</f>
        <v>1</v>
      </c>
      <c r="K193" s="1">
        <v>1170</v>
      </c>
      <c r="L193" s="1">
        <v>13</v>
      </c>
      <c r="M193" s="1">
        <v>0</v>
      </c>
      <c r="N193" s="2">
        <f>Table1[[#This Row],[G]]/Table1[[#This Row],[MP]]</f>
        <v>0</v>
      </c>
      <c r="O193" s="2">
        <v>0</v>
      </c>
      <c r="P193" s="2">
        <f>Table1[[#This Row],[A]]/Table1[[#This Row],[MP]]</f>
        <v>0</v>
      </c>
      <c r="Q193" s="2">
        <v>0</v>
      </c>
      <c r="R193" s="2">
        <f>Table1[[#This Row],[PTS]]/Table1[[#This Row],[MP]]</f>
        <v>0</v>
      </c>
      <c r="S193" s="1">
        <v>0</v>
      </c>
      <c r="T193" s="1">
        <f>Table1[[#This Row],[G]]-Table1[[#This Row],[G_PK]]</f>
        <v>0</v>
      </c>
      <c r="U193" s="1">
        <v>0</v>
      </c>
      <c r="V193" s="1">
        <v>0</v>
      </c>
      <c r="W193" s="1">
        <v>2</v>
      </c>
      <c r="X193" s="1">
        <v>0</v>
      </c>
      <c r="Y193" s="1">
        <f>Table1[[#This Row],[CRDY]]+Table1[[#This Row],[CRDR]]</f>
        <v>2</v>
      </c>
      <c r="Z193" s="1">
        <v>0.8</v>
      </c>
      <c r="AA193" s="2">
        <f>Table1[[#This Row],[XG]]/Table1[[#This Row],[MP]]</f>
        <v>6.1538461538461542E-2</v>
      </c>
      <c r="AB193" s="1">
        <v>0.8</v>
      </c>
      <c r="AC193" s="1">
        <v>0.3</v>
      </c>
      <c r="AD193" s="1">
        <v>1.1000000000000001</v>
      </c>
      <c r="AE193" s="1">
        <v>2</v>
      </c>
      <c r="AF193" s="1">
        <v>38</v>
      </c>
      <c r="AG193" s="1">
        <v>2</v>
      </c>
    </row>
    <row r="194" spans="1:33" x14ac:dyDescent="0.35">
      <c r="A194">
        <v>69</v>
      </c>
      <c r="B194" t="s">
        <v>196</v>
      </c>
      <c r="C194" t="s">
        <v>41</v>
      </c>
      <c r="D194" t="s">
        <v>28</v>
      </c>
      <c r="E194" t="s">
        <v>38</v>
      </c>
      <c r="F194" t="s">
        <v>197</v>
      </c>
      <c r="G194" s="1">
        <v>1997</v>
      </c>
      <c r="H194" s="1">
        <v>1</v>
      </c>
      <c r="I194" s="1">
        <v>0</v>
      </c>
      <c r="J194" s="2">
        <f>Table1[[#This Row],[STARTS]]/Table1[[#This Row],[MP]]</f>
        <v>0</v>
      </c>
      <c r="K194" s="1">
        <v>7</v>
      </c>
      <c r="L194" s="1">
        <v>0.1</v>
      </c>
      <c r="M194" s="1">
        <v>0</v>
      </c>
      <c r="N194" s="2">
        <f>Table1[[#This Row],[G]]/Table1[[#This Row],[MP]]</f>
        <v>0</v>
      </c>
      <c r="O194" s="2">
        <v>0</v>
      </c>
      <c r="P194" s="2">
        <f>Table1[[#This Row],[A]]/Table1[[#This Row],[MP]]</f>
        <v>0</v>
      </c>
      <c r="Q194" s="2">
        <v>0</v>
      </c>
      <c r="R194" s="2">
        <f>Table1[[#This Row],[PTS]]/Table1[[#This Row],[MP]]</f>
        <v>0</v>
      </c>
      <c r="S194" s="1">
        <v>0</v>
      </c>
      <c r="T194" s="1">
        <f>Table1[[#This Row],[G]]-Table1[[#This Row],[G_PK]]</f>
        <v>0</v>
      </c>
      <c r="U194" s="1">
        <v>0</v>
      </c>
      <c r="V194" s="1">
        <v>0</v>
      </c>
      <c r="W194" s="1">
        <v>0</v>
      </c>
      <c r="X194" s="1">
        <v>0</v>
      </c>
      <c r="Y194" s="1">
        <f>Table1[[#This Row],[CRDY]]+Table1[[#This Row],[CRDR]]</f>
        <v>0</v>
      </c>
      <c r="Z194" s="1">
        <v>0</v>
      </c>
      <c r="AA194" s="2">
        <f>Table1[[#This Row],[XG]]/Table1[[#This Row],[MP]]</f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</row>
    <row r="195" spans="1:33" x14ac:dyDescent="0.35">
      <c r="A195">
        <v>71</v>
      </c>
      <c r="B195" t="s">
        <v>200</v>
      </c>
      <c r="C195" t="s">
        <v>27</v>
      </c>
      <c r="D195" t="s">
        <v>28</v>
      </c>
      <c r="E195" t="s">
        <v>101</v>
      </c>
      <c r="F195" t="s">
        <v>201</v>
      </c>
      <c r="G195" s="1">
        <v>1998</v>
      </c>
      <c r="H195" s="1">
        <v>3</v>
      </c>
      <c r="I195" s="1">
        <v>3</v>
      </c>
      <c r="J195" s="2">
        <f>Table1[[#This Row],[STARTS]]/Table1[[#This Row],[MP]]</f>
        <v>1</v>
      </c>
      <c r="K195" s="1">
        <v>223</v>
      </c>
      <c r="L195" s="1">
        <v>2.5</v>
      </c>
      <c r="M195" s="1">
        <v>0</v>
      </c>
      <c r="N195" s="2">
        <f>Table1[[#This Row],[G]]/Table1[[#This Row],[MP]]</f>
        <v>0</v>
      </c>
      <c r="O195" s="2">
        <v>0</v>
      </c>
      <c r="P195" s="2">
        <f>Table1[[#This Row],[A]]/Table1[[#This Row],[MP]]</f>
        <v>0</v>
      </c>
      <c r="Q195" s="2">
        <v>0</v>
      </c>
      <c r="R195" s="2">
        <f>Table1[[#This Row],[PTS]]/Table1[[#This Row],[MP]]</f>
        <v>0</v>
      </c>
      <c r="S195" s="1">
        <v>0</v>
      </c>
      <c r="T195" s="1">
        <f>Table1[[#This Row],[G]]-Table1[[#This Row],[G_PK]]</f>
        <v>0</v>
      </c>
      <c r="U195" s="1">
        <v>0</v>
      </c>
      <c r="V195" s="1">
        <v>0</v>
      </c>
      <c r="W195" s="1">
        <v>0</v>
      </c>
      <c r="X195" s="1">
        <v>0</v>
      </c>
      <c r="Y195" s="1">
        <f>Table1[[#This Row],[CRDY]]+Table1[[#This Row],[CRDR]]</f>
        <v>0</v>
      </c>
      <c r="Z195" s="1">
        <v>0.2</v>
      </c>
      <c r="AA195" s="2">
        <f>Table1[[#This Row],[XG]]/Table1[[#This Row],[MP]]</f>
        <v>6.6666666666666666E-2</v>
      </c>
      <c r="AB195" s="1">
        <v>0.2</v>
      </c>
      <c r="AC195" s="1">
        <v>0</v>
      </c>
      <c r="AD195" s="1">
        <v>0.2</v>
      </c>
      <c r="AE195" s="1">
        <v>3</v>
      </c>
      <c r="AF195" s="1">
        <v>12</v>
      </c>
      <c r="AG195" s="1">
        <v>0</v>
      </c>
    </row>
    <row r="196" spans="1:33" x14ac:dyDescent="0.35">
      <c r="A196">
        <v>75</v>
      </c>
      <c r="B196" t="s">
        <v>208</v>
      </c>
      <c r="D196" t="s">
        <v>62</v>
      </c>
      <c r="E196" t="s">
        <v>107</v>
      </c>
      <c r="H196" s="1">
        <v>2</v>
      </c>
      <c r="I196" s="1">
        <v>0</v>
      </c>
      <c r="J196" s="2">
        <f>Table1[[#This Row],[STARTS]]/Table1[[#This Row],[MP]]</f>
        <v>0</v>
      </c>
      <c r="K196" s="1">
        <v>9</v>
      </c>
      <c r="L196" s="1">
        <v>0.1</v>
      </c>
      <c r="M196" s="1">
        <v>0</v>
      </c>
      <c r="N196" s="2">
        <f>Table1[[#This Row],[G]]/Table1[[#This Row],[MP]]</f>
        <v>0</v>
      </c>
      <c r="O196" s="2">
        <v>0</v>
      </c>
      <c r="P196" s="2">
        <f>Table1[[#This Row],[A]]/Table1[[#This Row],[MP]]</f>
        <v>0</v>
      </c>
      <c r="Q196" s="2">
        <v>0</v>
      </c>
      <c r="R196" s="2">
        <f>Table1[[#This Row],[PTS]]/Table1[[#This Row],[MP]]</f>
        <v>0</v>
      </c>
      <c r="S196" s="1">
        <v>0</v>
      </c>
      <c r="T196" s="1">
        <f>Table1[[#This Row],[G]]-Table1[[#This Row],[G_PK]]</f>
        <v>0</v>
      </c>
      <c r="U196" s="1">
        <v>0</v>
      </c>
      <c r="V196" s="1">
        <v>0</v>
      </c>
      <c r="W196" s="1">
        <v>0</v>
      </c>
      <c r="X196" s="1">
        <v>0</v>
      </c>
      <c r="Y196" s="1">
        <f>Table1[[#This Row],[CRDY]]+Table1[[#This Row],[CRDR]]</f>
        <v>0</v>
      </c>
      <c r="Z196" s="1">
        <v>0</v>
      </c>
      <c r="AA196" s="2">
        <f>Table1[[#This Row],[XG]]/Table1[[#This Row],[MP]]</f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x14ac:dyDescent="0.35">
      <c r="A197">
        <v>77</v>
      </c>
      <c r="B197" t="s">
        <v>211</v>
      </c>
      <c r="C197" t="s">
        <v>27</v>
      </c>
      <c r="D197" t="s">
        <v>45</v>
      </c>
      <c r="E197" t="s">
        <v>33</v>
      </c>
      <c r="F197" t="s">
        <v>212</v>
      </c>
      <c r="G197" s="1">
        <v>2000</v>
      </c>
      <c r="H197" s="1">
        <v>13</v>
      </c>
      <c r="I197" s="1">
        <v>13</v>
      </c>
      <c r="J197" s="2">
        <f>Table1[[#This Row],[STARTS]]/Table1[[#This Row],[MP]]</f>
        <v>1</v>
      </c>
      <c r="K197" s="1">
        <v>1170</v>
      </c>
      <c r="L197" s="1">
        <v>13</v>
      </c>
      <c r="M197" s="1">
        <v>0</v>
      </c>
      <c r="N197" s="2">
        <f>Table1[[#This Row],[G]]/Table1[[#This Row],[MP]]</f>
        <v>0</v>
      </c>
      <c r="O197" s="2">
        <v>0</v>
      </c>
      <c r="P197" s="2">
        <f>Table1[[#This Row],[A]]/Table1[[#This Row],[MP]]</f>
        <v>0</v>
      </c>
      <c r="Q197" s="2">
        <v>0</v>
      </c>
      <c r="R197" s="2">
        <f>Table1[[#This Row],[PTS]]/Table1[[#This Row],[MP]]</f>
        <v>0</v>
      </c>
      <c r="S197" s="1">
        <v>0</v>
      </c>
      <c r="T197" s="1">
        <f>Table1[[#This Row],[G]]-Table1[[#This Row],[G_PK]]</f>
        <v>0</v>
      </c>
      <c r="U197" s="1">
        <v>0</v>
      </c>
      <c r="V197" s="1">
        <v>0</v>
      </c>
      <c r="W197" s="1">
        <v>0</v>
      </c>
      <c r="X197" s="1">
        <v>0</v>
      </c>
      <c r="Y197" s="1">
        <f>Table1[[#This Row],[CRDY]]+Table1[[#This Row],[CRDR]]</f>
        <v>0</v>
      </c>
      <c r="Z197" s="1">
        <v>0</v>
      </c>
      <c r="AA197" s="2">
        <f>Table1[[#This Row],[XG]]/Table1[[#This Row],[MP]]</f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8" spans="1:33" x14ac:dyDescent="0.35">
      <c r="A198">
        <v>78</v>
      </c>
      <c r="B198" t="s">
        <v>213</v>
      </c>
      <c r="C198" t="s">
        <v>27</v>
      </c>
      <c r="D198" t="s">
        <v>62</v>
      </c>
      <c r="E198" t="s">
        <v>71</v>
      </c>
      <c r="F198" t="s">
        <v>150</v>
      </c>
      <c r="G198" s="1">
        <v>1997</v>
      </c>
      <c r="H198" s="1">
        <v>10</v>
      </c>
      <c r="I198" s="1">
        <v>3</v>
      </c>
      <c r="J198" s="2">
        <f>Table1[[#This Row],[STARTS]]/Table1[[#This Row],[MP]]</f>
        <v>0.3</v>
      </c>
      <c r="K198" s="1">
        <v>371</v>
      </c>
      <c r="L198" s="1">
        <v>4.0999999999999996</v>
      </c>
      <c r="M198" s="1">
        <v>0</v>
      </c>
      <c r="N198" s="2">
        <f>Table1[[#This Row],[G]]/Table1[[#This Row],[MP]]</f>
        <v>0</v>
      </c>
      <c r="O198" s="2">
        <v>0</v>
      </c>
      <c r="P198" s="2">
        <f>Table1[[#This Row],[A]]/Table1[[#This Row],[MP]]</f>
        <v>0</v>
      </c>
      <c r="Q198" s="2">
        <v>0</v>
      </c>
      <c r="R198" s="2">
        <f>Table1[[#This Row],[PTS]]/Table1[[#This Row],[MP]]</f>
        <v>0</v>
      </c>
      <c r="S198" s="1">
        <v>0</v>
      </c>
      <c r="T198" s="1">
        <f>Table1[[#This Row],[G]]-Table1[[#This Row],[G_PK]]</f>
        <v>0</v>
      </c>
      <c r="U198" s="1">
        <v>0</v>
      </c>
      <c r="V198" s="1">
        <v>0</v>
      </c>
      <c r="W198" s="1">
        <v>1</v>
      </c>
      <c r="X198" s="1">
        <v>0</v>
      </c>
      <c r="Y198" s="1">
        <f>Table1[[#This Row],[CRDY]]+Table1[[#This Row],[CRDR]]</f>
        <v>1</v>
      </c>
      <c r="Z198" s="1">
        <v>0.1</v>
      </c>
      <c r="AA198" s="2">
        <f>Table1[[#This Row],[XG]]/Table1[[#This Row],[MP]]</f>
        <v>0.01</v>
      </c>
      <c r="AB198" s="1">
        <v>0.1</v>
      </c>
      <c r="AC198" s="1">
        <v>0.3</v>
      </c>
      <c r="AD198" s="1">
        <v>0.4</v>
      </c>
      <c r="AE198" s="1">
        <v>2</v>
      </c>
      <c r="AF198" s="1">
        <v>17</v>
      </c>
      <c r="AG198" s="1">
        <v>9</v>
      </c>
    </row>
    <row r="199" spans="1:33" x14ac:dyDescent="0.35">
      <c r="A199">
        <v>79</v>
      </c>
      <c r="B199" t="s">
        <v>214</v>
      </c>
      <c r="C199" t="s">
        <v>27</v>
      </c>
      <c r="D199" t="s">
        <v>32</v>
      </c>
      <c r="E199" t="s">
        <v>65</v>
      </c>
      <c r="F199" t="s">
        <v>69</v>
      </c>
      <c r="G199" s="1">
        <v>1994</v>
      </c>
      <c r="H199" s="1">
        <v>8</v>
      </c>
      <c r="I199" s="1">
        <v>0</v>
      </c>
      <c r="J199" s="2">
        <f>Table1[[#This Row],[STARTS]]/Table1[[#This Row],[MP]]</f>
        <v>0</v>
      </c>
      <c r="K199" s="1">
        <v>90</v>
      </c>
      <c r="L199" s="1">
        <v>1</v>
      </c>
      <c r="M199" s="1">
        <v>0</v>
      </c>
      <c r="N199" s="2">
        <f>Table1[[#This Row],[G]]/Table1[[#This Row],[MP]]</f>
        <v>0</v>
      </c>
      <c r="O199" s="2">
        <v>0</v>
      </c>
      <c r="P199" s="2">
        <f>Table1[[#This Row],[A]]/Table1[[#This Row],[MP]]</f>
        <v>0</v>
      </c>
      <c r="Q199" s="2">
        <v>0</v>
      </c>
      <c r="R199" s="2">
        <f>Table1[[#This Row],[PTS]]/Table1[[#This Row],[MP]]</f>
        <v>0</v>
      </c>
      <c r="S199" s="1">
        <v>0</v>
      </c>
      <c r="T199" s="1">
        <f>Table1[[#This Row],[G]]-Table1[[#This Row],[G_PK]]</f>
        <v>0</v>
      </c>
      <c r="U199" s="1">
        <v>0</v>
      </c>
      <c r="V199" s="1">
        <v>0</v>
      </c>
      <c r="W199" s="1">
        <v>0</v>
      </c>
      <c r="X199" s="1">
        <v>0</v>
      </c>
      <c r="Y199" s="1">
        <f>Table1[[#This Row],[CRDY]]+Table1[[#This Row],[CRDR]]</f>
        <v>0</v>
      </c>
      <c r="Z199" s="1">
        <v>0.5</v>
      </c>
      <c r="AA199" s="2">
        <f>Table1[[#This Row],[XG]]/Table1[[#This Row],[MP]]</f>
        <v>6.25E-2</v>
      </c>
      <c r="AB199" s="1">
        <v>0.5</v>
      </c>
      <c r="AC199" s="1">
        <v>0.3</v>
      </c>
      <c r="AD199" s="1">
        <v>0.8</v>
      </c>
      <c r="AE199" s="1">
        <v>7</v>
      </c>
      <c r="AF199" s="1">
        <v>8</v>
      </c>
      <c r="AG199" s="1">
        <v>17</v>
      </c>
    </row>
    <row r="200" spans="1:33" x14ac:dyDescent="0.35">
      <c r="A200">
        <v>80</v>
      </c>
      <c r="B200" t="s">
        <v>215</v>
      </c>
      <c r="C200" t="s">
        <v>27</v>
      </c>
      <c r="D200" t="s">
        <v>28</v>
      </c>
      <c r="E200" t="s">
        <v>164</v>
      </c>
      <c r="F200" t="s">
        <v>216</v>
      </c>
      <c r="G200" s="1">
        <v>1996</v>
      </c>
      <c r="H200" s="1">
        <v>7</v>
      </c>
      <c r="I200" s="1">
        <v>1</v>
      </c>
      <c r="J200" s="2">
        <f>Table1[[#This Row],[STARTS]]/Table1[[#This Row],[MP]]</f>
        <v>0.14285714285714285</v>
      </c>
      <c r="K200" s="1">
        <v>146</v>
      </c>
      <c r="L200" s="1">
        <v>1.6</v>
      </c>
      <c r="M200" s="1">
        <v>0</v>
      </c>
      <c r="N200" s="2">
        <f>Table1[[#This Row],[G]]/Table1[[#This Row],[MP]]</f>
        <v>0</v>
      </c>
      <c r="O200" s="2">
        <v>0</v>
      </c>
      <c r="P200" s="2">
        <f>Table1[[#This Row],[A]]/Table1[[#This Row],[MP]]</f>
        <v>0</v>
      </c>
      <c r="Q200" s="2">
        <v>0</v>
      </c>
      <c r="R200" s="2">
        <f>Table1[[#This Row],[PTS]]/Table1[[#This Row],[MP]]</f>
        <v>0</v>
      </c>
      <c r="S200" s="1">
        <v>0</v>
      </c>
      <c r="T200" s="1">
        <f>Table1[[#This Row],[G]]-Table1[[#This Row],[G_PK]]</f>
        <v>0</v>
      </c>
      <c r="U200" s="1">
        <v>0</v>
      </c>
      <c r="V200" s="1">
        <v>0</v>
      </c>
      <c r="W200" s="1">
        <v>0</v>
      </c>
      <c r="X200" s="1">
        <v>0</v>
      </c>
      <c r="Y200" s="1">
        <f>Table1[[#This Row],[CRDY]]+Table1[[#This Row],[CRDR]]</f>
        <v>0</v>
      </c>
      <c r="Z200" s="1">
        <v>0</v>
      </c>
      <c r="AA200" s="2">
        <f>Table1[[#This Row],[XG]]/Table1[[#This Row],[MP]]</f>
        <v>0</v>
      </c>
      <c r="AB200" s="1">
        <v>0</v>
      </c>
      <c r="AC200" s="1">
        <v>0</v>
      </c>
      <c r="AD200" s="1">
        <v>0</v>
      </c>
      <c r="AE200" s="1">
        <v>2</v>
      </c>
      <c r="AF200" s="1">
        <v>5</v>
      </c>
      <c r="AG200" s="1">
        <v>11</v>
      </c>
    </row>
    <row r="201" spans="1:33" x14ac:dyDescent="0.35">
      <c r="A201">
        <v>82</v>
      </c>
      <c r="B201" t="s">
        <v>219</v>
      </c>
      <c r="C201" t="s">
        <v>149</v>
      </c>
      <c r="D201" t="s">
        <v>32</v>
      </c>
      <c r="E201" t="s">
        <v>54</v>
      </c>
      <c r="F201" t="s">
        <v>220</v>
      </c>
      <c r="G201" s="1">
        <v>2001</v>
      </c>
      <c r="H201" s="1">
        <v>9</v>
      </c>
      <c r="I201" s="1">
        <v>4</v>
      </c>
      <c r="J201" s="2">
        <f>Table1[[#This Row],[STARTS]]/Table1[[#This Row],[MP]]</f>
        <v>0.44444444444444442</v>
      </c>
      <c r="K201" s="1">
        <v>369</v>
      </c>
      <c r="L201" s="1">
        <v>4.0999999999999996</v>
      </c>
      <c r="M201" s="1">
        <v>0</v>
      </c>
      <c r="N201" s="2">
        <f>Table1[[#This Row],[G]]/Table1[[#This Row],[MP]]</f>
        <v>0</v>
      </c>
      <c r="O201" s="2">
        <v>0</v>
      </c>
      <c r="P201" s="2">
        <f>Table1[[#This Row],[A]]/Table1[[#This Row],[MP]]</f>
        <v>0</v>
      </c>
      <c r="Q201" s="2">
        <v>0</v>
      </c>
      <c r="R201" s="2">
        <f>Table1[[#This Row],[PTS]]/Table1[[#This Row],[MP]]</f>
        <v>0</v>
      </c>
      <c r="S201" s="1">
        <v>0</v>
      </c>
      <c r="T201" s="1">
        <f>Table1[[#This Row],[G]]-Table1[[#This Row],[G_PK]]</f>
        <v>0</v>
      </c>
      <c r="U201" s="1">
        <v>0</v>
      </c>
      <c r="V201" s="1">
        <v>0</v>
      </c>
      <c r="W201" s="1">
        <v>1</v>
      </c>
      <c r="X201" s="1">
        <v>0</v>
      </c>
      <c r="Y201" s="1">
        <f>Table1[[#This Row],[CRDY]]+Table1[[#This Row],[CRDR]]</f>
        <v>1</v>
      </c>
      <c r="Z201" s="1">
        <v>0</v>
      </c>
      <c r="AA201" s="2">
        <f>Table1[[#This Row],[XG]]/Table1[[#This Row],[MP]]</f>
        <v>0</v>
      </c>
      <c r="AB201" s="1">
        <v>0</v>
      </c>
      <c r="AC201" s="1">
        <v>0.7</v>
      </c>
      <c r="AD201" s="1">
        <v>0.8</v>
      </c>
      <c r="AE201" s="1">
        <v>9</v>
      </c>
      <c r="AF201" s="1">
        <v>10</v>
      </c>
      <c r="AG201" s="1">
        <v>18</v>
      </c>
    </row>
    <row r="202" spans="1:33" x14ac:dyDescent="0.35">
      <c r="A202">
        <v>83</v>
      </c>
      <c r="B202" t="s">
        <v>221</v>
      </c>
      <c r="D202" t="s">
        <v>28</v>
      </c>
      <c r="E202" t="s">
        <v>107</v>
      </c>
      <c r="H202" s="1">
        <v>1</v>
      </c>
      <c r="I202" s="1">
        <v>0</v>
      </c>
      <c r="J202" s="2">
        <f>Table1[[#This Row],[STARTS]]/Table1[[#This Row],[MP]]</f>
        <v>0</v>
      </c>
      <c r="K202" s="1">
        <v>10</v>
      </c>
      <c r="L202" s="1">
        <v>0.1</v>
      </c>
      <c r="M202" s="1">
        <v>0</v>
      </c>
      <c r="N202" s="2">
        <f>Table1[[#This Row],[G]]/Table1[[#This Row],[MP]]</f>
        <v>0</v>
      </c>
      <c r="O202" s="2">
        <v>0</v>
      </c>
      <c r="P202" s="2">
        <f>Table1[[#This Row],[A]]/Table1[[#This Row],[MP]]</f>
        <v>0</v>
      </c>
      <c r="Q202" s="2">
        <v>0</v>
      </c>
      <c r="R202" s="2">
        <f>Table1[[#This Row],[PTS]]/Table1[[#This Row],[MP]]</f>
        <v>0</v>
      </c>
      <c r="S202" s="1">
        <v>0</v>
      </c>
      <c r="T202" s="1">
        <f>Table1[[#This Row],[G]]-Table1[[#This Row],[G_PK]]</f>
        <v>0</v>
      </c>
      <c r="U202" s="1">
        <v>0</v>
      </c>
      <c r="V202" s="1">
        <v>0</v>
      </c>
      <c r="W202" s="1">
        <v>0</v>
      </c>
      <c r="X202" s="1">
        <v>0</v>
      </c>
      <c r="Y202" s="1">
        <f>Table1[[#This Row],[CRDY]]+Table1[[#This Row],[CRDR]]</f>
        <v>0</v>
      </c>
      <c r="Z202" s="1">
        <v>0</v>
      </c>
      <c r="AA202" s="2">
        <f>Table1[[#This Row],[XG]]/Table1[[#This Row],[MP]]</f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</row>
    <row r="203" spans="1:33" x14ac:dyDescent="0.35">
      <c r="A203">
        <v>84</v>
      </c>
      <c r="B203" t="s">
        <v>222</v>
      </c>
      <c r="C203" t="s">
        <v>223</v>
      </c>
      <c r="D203" t="s">
        <v>32</v>
      </c>
      <c r="E203" t="s">
        <v>51</v>
      </c>
      <c r="F203" t="s">
        <v>224</v>
      </c>
      <c r="G203" s="1">
        <v>2003</v>
      </c>
      <c r="H203" s="1">
        <v>7</v>
      </c>
      <c r="I203" s="1">
        <v>2</v>
      </c>
      <c r="J203" s="2">
        <f>Table1[[#This Row],[STARTS]]/Table1[[#This Row],[MP]]</f>
        <v>0.2857142857142857</v>
      </c>
      <c r="K203" s="1">
        <v>208</v>
      </c>
      <c r="L203" s="1">
        <v>2.2999999999999998</v>
      </c>
      <c r="M203" s="1">
        <v>0</v>
      </c>
      <c r="N203" s="2">
        <f>Table1[[#This Row],[G]]/Table1[[#This Row],[MP]]</f>
        <v>0</v>
      </c>
      <c r="O203" s="2">
        <v>0</v>
      </c>
      <c r="P203" s="2">
        <f>Table1[[#This Row],[A]]/Table1[[#This Row],[MP]]</f>
        <v>0</v>
      </c>
      <c r="Q203" s="2">
        <v>0</v>
      </c>
      <c r="R203" s="2">
        <f>Table1[[#This Row],[PTS]]/Table1[[#This Row],[MP]]</f>
        <v>0</v>
      </c>
      <c r="S203" s="1">
        <v>0</v>
      </c>
      <c r="T203" s="1">
        <f>Table1[[#This Row],[G]]-Table1[[#This Row],[G_PK]]</f>
        <v>0</v>
      </c>
      <c r="U203" s="1">
        <v>0</v>
      </c>
      <c r="V203" s="1">
        <v>0</v>
      </c>
      <c r="W203" s="1">
        <v>0</v>
      </c>
      <c r="X203" s="1">
        <v>0</v>
      </c>
      <c r="Y203" s="1">
        <f>Table1[[#This Row],[CRDY]]+Table1[[#This Row],[CRDR]]</f>
        <v>0</v>
      </c>
      <c r="Z203" s="1">
        <v>0.1</v>
      </c>
      <c r="AA203" s="2">
        <f>Table1[[#This Row],[XG]]/Table1[[#This Row],[MP]]</f>
        <v>1.4285714285714287E-2</v>
      </c>
      <c r="AB203" s="1">
        <v>0.1</v>
      </c>
      <c r="AC203" s="1">
        <v>0.1</v>
      </c>
      <c r="AD203" s="1">
        <v>0.2</v>
      </c>
      <c r="AE203" s="1">
        <v>7</v>
      </c>
      <c r="AF203" s="1">
        <v>9</v>
      </c>
      <c r="AG203" s="1">
        <v>18</v>
      </c>
    </row>
    <row r="204" spans="1:33" x14ac:dyDescent="0.35">
      <c r="A204">
        <v>85</v>
      </c>
      <c r="B204" t="s">
        <v>225</v>
      </c>
      <c r="C204" t="s">
        <v>27</v>
      </c>
      <c r="D204" t="s">
        <v>28</v>
      </c>
      <c r="E204" t="s">
        <v>46</v>
      </c>
      <c r="F204" t="s">
        <v>226</v>
      </c>
      <c r="G204" s="1">
        <v>1993</v>
      </c>
      <c r="H204" s="1">
        <v>13</v>
      </c>
      <c r="I204" s="1">
        <v>13</v>
      </c>
      <c r="J204" s="2">
        <f>Table1[[#This Row],[STARTS]]/Table1[[#This Row],[MP]]</f>
        <v>1</v>
      </c>
      <c r="K204" s="1">
        <v>1170</v>
      </c>
      <c r="L204" s="1">
        <v>13</v>
      </c>
      <c r="M204" s="1">
        <v>0</v>
      </c>
      <c r="N204" s="2">
        <f>Table1[[#This Row],[G]]/Table1[[#This Row],[MP]]</f>
        <v>0</v>
      </c>
      <c r="O204" s="2">
        <v>0</v>
      </c>
      <c r="P204" s="2">
        <f>Table1[[#This Row],[A]]/Table1[[#This Row],[MP]]</f>
        <v>0</v>
      </c>
      <c r="Q204" s="2">
        <v>0</v>
      </c>
      <c r="R204" s="2">
        <f>Table1[[#This Row],[PTS]]/Table1[[#This Row],[MP]]</f>
        <v>0</v>
      </c>
      <c r="S204" s="1">
        <v>0</v>
      </c>
      <c r="T204" s="1">
        <f>Table1[[#This Row],[G]]-Table1[[#This Row],[G_PK]]</f>
        <v>0</v>
      </c>
      <c r="U204" s="1">
        <v>0</v>
      </c>
      <c r="V204" s="1">
        <v>0</v>
      </c>
      <c r="W204" s="1">
        <v>3</v>
      </c>
      <c r="X204" s="1">
        <v>0</v>
      </c>
      <c r="Y204" s="1">
        <f>Table1[[#This Row],[CRDY]]+Table1[[#This Row],[CRDR]]</f>
        <v>3</v>
      </c>
      <c r="Z204" s="1">
        <v>0.2</v>
      </c>
      <c r="AA204" s="2">
        <f>Table1[[#This Row],[XG]]/Table1[[#This Row],[MP]]</f>
        <v>1.5384615384615385E-2</v>
      </c>
      <c r="AB204" s="1">
        <v>0.2</v>
      </c>
      <c r="AC204" s="1">
        <v>1.1000000000000001</v>
      </c>
      <c r="AD204" s="1">
        <v>1.4</v>
      </c>
      <c r="AE204" s="1">
        <v>22</v>
      </c>
      <c r="AF204" s="1">
        <v>63</v>
      </c>
      <c r="AG204" s="1">
        <v>38</v>
      </c>
    </row>
    <row r="205" spans="1:33" x14ac:dyDescent="0.35">
      <c r="A205">
        <v>87</v>
      </c>
      <c r="B205" t="s">
        <v>229</v>
      </c>
      <c r="C205" t="s">
        <v>49</v>
      </c>
      <c r="D205" t="s">
        <v>62</v>
      </c>
      <c r="E205" t="s">
        <v>65</v>
      </c>
      <c r="F205" t="s">
        <v>230</v>
      </c>
      <c r="G205" s="1">
        <v>2002</v>
      </c>
      <c r="H205" s="1">
        <v>2</v>
      </c>
      <c r="I205" s="1">
        <v>1</v>
      </c>
      <c r="J205" s="2">
        <f>Table1[[#This Row],[STARTS]]/Table1[[#This Row],[MP]]</f>
        <v>0.5</v>
      </c>
      <c r="K205" s="1">
        <v>69</v>
      </c>
      <c r="L205" s="1">
        <v>0.8</v>
      </c>
      <c r="M205" s="1">
        <v>0</v>
      </c>
      <c r="N205" s="2">
        <f>Table1[[#This Row],[G]]/Table1[[#This Row],[MP]]</f>
        <v>0</v>
      </c>
      <c r="O205" s="2">
        <v>0</v>
      </c>
      <c r="P205" s="2">
        <f>Table1[[#This Row],[A]]/Table1[[#This Row],[MP]]</f>
        <v>0</v>
      </c>
      <c r="Q205" s="2">
        <v>0</v>
      </c>
      <c r="R205" s="2">
        <f>Table1[[#This Row],[PTS]]/Table1[[#This Row],[MP]]</f>
        <v>0</v>
      </c>
      <c r="S205" s="1">
        <v>0</v>
      </c>
      <c r="T205" s="1">
        <f>Table1[[#This Row],[G]]-Table1[[#This Row],[G_PK]]</f>
        <v>0</v>
      </c>
      <c r="U205" s="1">
        <v>0</v>
      </c>
      <c r="V205" s="1">
        <v>0</v>
      </c>
      <c r="W205" s="1">
        <v>1</v>
      </c>
      <c r="X205" s="1">
        <v>0</v>
      </c>
      <c r="Y205" s="1">
        <f>Table1[[#This Row],[CRDY]]+Table1[[#This Row],[CRDR]]</f>
        <v>1</v>
      </c>
      <c r="Z205" s="1">
        <v>0</v>
      </c>
      <c r="AA205" s="2">
        <f>Table1[[#This Row],[XG]]/Table1[[#This Row],[MP]]</f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</row>
    <row r="206" spans="1:33" x14ac:dyDescent="0.35">
      <c r="A206">
        <v>89</v>
      </c>
      <c r="B206" t="s">
        <v>234</v>
      </c>
      <c r="C206" t="s">
        <v>27</v>
      </c>
      <c r="D206" t="s">
        <v>37</v>
      </c>
      <c r="E206" t="s">
        <v>81</v>
      </c>
      <c r="F206" t="s">
        <v>235</v>
      </c>
      <c r="G206" s="1">
        <v>1997</v>
      </c>
      <c r="H206" s="1">
        <v>7</v>
      </c>
      <c r="I206" s="1">
        <v>0</v>
      </c>
      <c r="J206" s="2">
        <f>Table1[[#This Row],[STARTS]]/Table1[[#This Row],[MP]]</f>
        <v>0</v>
      </c>
      <c r="K206" s="1">
        <v>78</v>
      </c>
      <c r="L206" s="1">
        <v>0.9</v>
      </c>
      <c r="M206" s="1">
        <v>0</v>
      </c>
      <c r="N206" s="2">
        <f>Table1[[#This Row],[G]]/Table1[[#This Row],[MP]]</f>
        <v>0</v>
      </c>
      <c r="O206" s="2">
        <v>0</v>
      </c>
      <c r="P206" s="2">
        <f>Table1[[#This Row],[A]]/Table1[[#This Row],[MP]]</f>
        <v>0</v>
      </c>
      <c r="Q206" s="2">
        <v>0</v>
      </c>
      <c r="R206" s="2">
        <f>Table1[[#This Row],[PTS]]/Table1[[#This Row],[MP]]</f>
        <v>0</v>
      </c>
      <c r="S206" s="1">
        <v>0</v>
      </c>
      <c r="T206" s="1">
        <f>Table1[[#This Row],[G]]-Table1[[#This Row],[G_PK]]</f>
        <v>0</v>
      </c>
      <c r="U206" s="1">
        <v>0</v>
      </c>
      <c r="V206" s="1">
        <v>0</v>
      </c>
      <c r="W206" s="1">
        <v>2</v>
      </c>
      <c r="X206" s="1">
        <v>0</v>
      </c>
      <c r="Y206" s="1">
        <f>Table1[[#This Row],[CRDY]]+Table1[[#This Row],[CRDR]]</f>
        <v>2</v>
      </c>
      <c r="Z206" s="1">
        <v>0</v>
      </c>
      <c r="AA206" s="2">
        <f>Table1[[#This Row],[XG]]/Table1[[#This Row],[MP]]</f>
        <v>0</v>
      </c>
      <c r="AB206" s="1">
        <v>0</v>
      </c>
      <c r="AC206" s="1">
        <v>0</v>
      </c>
      <c r="AD206" s="1">
        <v>0</v>
      </c>
      <c r="AE206" s="1">
        <v>1</v>
      </c>
      <c r="AF206" s="1">
        <v>6</v>
      </c>
      <c r="AG206" s="1">
        <v>4</v>
      </c>
    </row>
    <row r="207" spans="1:33" x14ac:dyDescent="0.35">
      <c r="A207">
        <v>94</v>
      </c>
      <c r="B207" t="s">
        <v>245</v>
      </c>
      <c r="C207" t="s">
        <v>27</v>
      </c>
      <c r="D207" t="s">
        <v>28</v>
      </c>
      <c r="E207" t="s">
        <v>164</v>
      </c>
      <c r="F207" t="s">
        <v>246</v>
      </c>
      <c r="G207" s="1">
        <v>2002</v>
      </c>
      <c r="H207" s="1">
        <v>7</v>
      </c>
      <c r="I207" s="1">
        <v>6</v>
      </c>
      <c r="J207" s="2">
        <f>Table1[[#This Row],[STARTS]]/Table1[[#This Row],[MP]]</f>
        <v>0.8571428571428571</v>
      </c>
      <c r="K207" s="1">
        <v>581</v>
      </c>
      <c r="L207" s="1">
        <v>6.5</v>
      </c>
      <c r="M207" s="1">
        <v>0</v>
      </c>
      <c r="N207" s="2">
        <f>Table1[[#This Row],[G]]/Table1[[#This Row],[MP]]</f>
        <v>0</v>
      </c>
      <c r="O207" s="2">
        <v>0</v>
      </c>
      <c r="P207" s="2">
        <f>Table1[[#This Row],[A]]/Table1[[#This Row],[MP]]</f>
        <v>0</v>
      </c>
      <c r="Q207" s="2">
        <v>0</v>
      </c>
      <c r="R207" s="2">
        <f>Table1[[#This Row],[PTS]]/Table1[[#This Row],[MP]]</f>
        <v>0</v>
      </c>
      <c r="S207" s="1">
        <v>0</v>
      </c>
      <c r="T207" s="1">
        <f>Table1[[#This Row],[G]]-Table1[[#This Row],[G_PK]]</f>
        <v>0</v>
      </c>
      <c r="U207" s="1">
        <v>0</v>
      </c>
      <c r="V207" s="1">
        <v>0</v>
      </c>
      <c r="W207" s="1">
        <v>1</v>
      </c>
      <c r="X207" s="1">
        <v>0</v>
      </c>
      <c r="Y207" s="1">
        <f>Table1[[#This Row],[CRDY]]+Table1[[#This Row],[CRDR]]</f>
        <v>1</v>
      </c>
      <c r="Z207" s="1">
        <v>0</v>
      </c>
      <c r="AA207" s="2">
        <f>Table1[[#This Row],[XG]]/Table1[[#This Row],[MP]]</f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13</v>
      </c>
      <c r="AG207" s="1">
        <v>0</v>
      </c>
    </row>
    <row r="208" spans="1:33" x14ac:dyDescent="0.35">
      <c r="A208">
        <v>95</v>
      </c>
      <c r="B208" t="s">
        <v>247</v>
      </c>
      <c r="C208" t="s">
        <v>248</v>
      </c>
      <c r="D208" t="s">
        <v>62</v>
      </c>
      <c r="E208" t="s">
        <v>164</v>
      </c>
      <c r="F208" t="s">
        <v>249</v>
      </c>
      <c r="G208" s="1">
        <v>2002</v>
      </c>
      <c r="H208" s="1">
        <v>13</v>
      </c>
      <c r="I208" s="1">
        <v>9</v>
      </c>
      <c r="J208" s="2">
        <f>Table1[[#This Row],[STARTS]]/Table1[[#This Row],[MP]]</f>
        <v>0.69230769230769229</v>
      </c>
      <c r="K208" s="1">
        <v>800</v>
      </c>
      <c r="L208" s="1">
        <v>8.9</v>
      </c>
      <c r="M208" s="1">
        <v>0</v>
      </c>
      <c r="N208" s="2">
        <f>Table1[[#This Row],[G]]/Table1[[#This Row],[MP]]</f>
        <v>0</v>
      </c>
      <c r="O208" s="2">
        <v>0</v>
      </c>
      <c r="P208" s="2">
        <f>Table1[[#This Row],[A]]/Table1[[#This Row],[MP]]</f>
        <v>0</v>
      </c>
      <c r="Q208" s="2">
        <v>0</v>
      </c>
      <c r="R208" s="2">
        <f>Table1[[#This Row],[PTS]]/Table1[[#This Row],[MP]]</f>
        <v>0</v>
      </c>
      <c r="S208" s="1">
        <v>0</v>
      </c>
      <c r="T208" s="1">
        <f>Table1[[#This Row],[G]]-Table1[[#This Row],[G_PK]]</f>
        <v>0</v>
      </c>
      <c r="U208" s="1">
        <v>0</v>
      </c>
      <c r="V208" s="1">
        <v>0</v>
      </c>
      <c r="W208" s="1">
        <v>1</v>
      </c>
      <c r="X208" s="1">
        <v>0</v>
      </c>
      <c r="Y208" s="1">
        <f>Table1[[#This Row],[CRDY]]+Table1[[#This Row],[CRDR]]</f>
        <v>1</v>
      </c>
      <c r="Z208" s="1">
        <v>0.2</v>
      </c>
      <c r="AA208" s="2">
        <f>Table1[[#This Row],[XG]]/Table1[[#This Row],[MP]]</f>
        <v>1.5384615384615385E-2</v>
      </c>
      <c r="AB208" s="1">
        <v>0.2</v>
      </c>
      <c r="AC208" s="1">
        <v>0.3</v>
      </c>
      <c r="AD208" s="1">
        <v>0.5</v>
      </c>
      <c r="AE208" s="1">
        <v>3</v>
      </c>
      <c r="AF208" s="1">
        <v>25</v>
      </c>
      <c r="AG208" s="1">
        <v>15</v>
      </c>
    </row>
    <row r="209" spans="1:33" x14ac:dyDescent="0.35">
      <c r="A209">
        <v>97</v>
      </c>
      <c r="B209" t="s">
        <v>253</v>
      </c>
      <c r="C209" t="s">
        <v>254</v>
      </c>
      <c r="D209" t="s">
        <v>85</v>
      </c>
      <c r="E209" t="s">
        <v>164</v>
      </c>
      <c r="F209" t="s">
        <v>255</v>
      </c>
      <c r="G209" s="1">
        <v>2002</v>
      </c>
      <c r="H209" s="1">
        <v>5</v>
      </c>
      <c r="I209" s="1">
        <v>2</v>
      </c>
      <c r="J209" s="2">
        <f>Table1[[#This Row],[STARTS]]/Table1[[#This Row],[MP]]</f>
        <v>0.4</v>
      </c>
      <c r="K209" s="1">
        <v>190</v>
      </c>
      <c r="L209" s="1">
        <v>2.1</v>
      </c>
      <c r="M209" s="1">
        <v>0</v>
      </c>
      <c r="N209" s="2">
        <f>Table1[[#This Row],[G]]/Table1[[#This Row],[MP]]</f>
        <v>0</v>
      </c>
      <c r="O209" s="2">
        <v>0</v>
      </c>
      <c r="P209" s="2">
        <f>Table1[[#This Row],[A]]/Table1[[#This Row],[MP]]</f>
        <v>0</v>
      </c>
      <c r="Q209" s="2">
        <v>0</v>
      </c>
      <c r="R209" s="2">
        <f>Table1[[#This Row],[PTS]]/Table1[[#This Row],[MP]]</f>
        <v>0</v>
      </c>
      <c r="S209" s="1">
        <v>0</v>
      </c>
      <c r="T209" s="1">
        <f>Table1[[#This Row],[G]]-Table1[[#This Row],[G_PK]]</f>
        <v>0</v>
      </c>
      <c r="U209" s="1">
        <v>0</v>
      </c>
      <c r="V209" s="1">
        <v>0</v>
      </c>
      <c r="W209" s="1">
        <v>0</v>
      </c>
      <c r="X209" s="1">
        <v>0</v>
      </c>
      <c r="Y209" s="1">
        <f>Table1[[#This Row],[CRDY]]+Table1[[#This Row],[CRDR]]</f>
        <v>0</v>
      </c>
      <c r="Z209" s="1">
        <v>0.2</v>
      </c>
      <c r="AA209" s="2">
        <f>Table1[[#This Row],[XG]]/Table1[[#This Row],[MP]]</f>
        <v>0.04</v>
      </c>
      <c r="AB209" s="1">
        <v>0.2</v>
      </c>
      <c r="AC209" s="1">
        <v>0</v>
      </c>
      <c r="AD209" s="1">
        <v>0.2</v>
      </c>
      <c r="AE209" s="1">
        <v>0</v>
      </c>
      <c r="AF209" s="1">
        <v>8</v>
      </c>
      <c r="AG209" s="1">
        <v>7</v>
      </c>
    </row>
    <row r="210" spans="1:33" x14ac:dyDescent="0.35">
      <c r="A210">
        <v>98</v>
      </c>
      <c r="B210" t="s">
        <v>256</v>
      </c>
      <c r="C210" t="s">
        <v>27</v>
      </c>
      <c r="D210" t="s">
        <v>28</v>
      </c>
      <c r="E210" t="s">
        <v>101</v>
      </c>
      <c r="F210" t="s">
        <v>257</v>
      </c>
      <c r="G210" s="1">
        <v>1995</v>
      </c>
      <c r="H210" s="1">
        <v>9</v>
      </c>
      <c r="I210" s="1">
        <v>6</v>
      </c>
      <c r="J210" s="2">
        <f>Table1[[#This Row],[STARTS]]/Table1[[#This Row],[MP]]</f>
        <v>0.66666666666666663</v>
      </c>
      <c r="K210" s="1">
        <v>611</v>
      </c>
      <c r="L210" s="1">
        <v>6.8</v>
      </c>
      <c r="M210" s="1">
        <v>0</v>
      </c>
      <c r="N210" s="2">
        <f>Table1[[#This Row],[G]]/Table1[[#This Row],[MP]]</f>
        <v>0</v>
      </c>
      <c r="O210" s="2">
        <v>0</v>
      </c>
      <c r="P210" s="2">
        <f>Table1[[#This Row],[A]]/Table1[[#This Row],[MP]]</f>
        <v>0</v>
      </c>
      <c r="Q210" s="2">
        <v>0</v>
      </c>
      <c r="R210" s="2">
        <f>Table1[[#This Row],[PTS]]/Table1[[#This Row],[MP]]</f>
        <v>0</v>
      </c>
      <c r="S210" s="1">
        <v>0</v>
      </c>
      <c r="T210" s="1">
        <f>Table1[[#This Row],[G]]-Table1[[#This Row],[G_PK]]</f>
        <v>0</v>
      </c>
      <c r="U210" s="1">
        <v>0</v>
      </c>
      <c r="V210" s="1">
        <v>0</v>
      </c>
      <c r="W210" s="1">
        <v>0</v>
      </c>
      <c r="X210" s="1">
        <v>1</v>
      </c>
      <c r="Y210" s="1">
        <f>Table1[[#This Row],[CRDY]]+Table1[[#This Row],[CRDR]]</f>
        <v>1</v>
      </c>
      <c r="Z210" s="1">
        <v>0</v>
      </c>
      <c r="AA210" s="2">
        <f>Table1[[#This Row],[XG]]/Table1[[#This Row],[MP]]</f>
        <v>0</v>
      </c>
      <c r="AB210" s="1">
        <v>0</v>
      </c>
      <c r="AC210" s="1">
        <v>0.2</v>
      </c>
      <c r="AD210" s="1">
        <v>0.2</v>
      </c>
      <c r="AE210" s="1">
        <v>6</v>
      </c>
      <c r="AF210" s="1">
        <v>28</v>
      </c>
      <c r="AG210" s="1">
        <v>6</v>
      </c>
    </row>
    <row r="211" spans="1:33" x14ac:dyDescent="0.35">
      <c r="A211">
        <v>100</v>
      </c>
      <c r="B211" t="s">
        <v>260</v>
      </c>
      <c r="C211" t="s">
        <v>27</v>
      </c>
      <c r="D211" t="s">
        <v>62</v>
      </c>
      <c r="E211" t="s">
        <v>65</v>
      </c>
      <c r="F211" t="s">
        <v>261</v>
      </c>
      <c r="G211" s="1">
        <v>2003</v>
      </c>
      <c r="H211" s="1">
        <v>1</v>
      </c>
      <c r="I211" s="1">
        <v>0</v>
      </c>
      <c r="J211" s="2">
        <f>Table1[[#This Row],[STARTS]]/Table1[[#This Row],[MP]]</f>
        <v>0</v>
      </c>
      <c r="K211" s="1">
        <v>1</v>
      </c>
      <c r="L211" s="1">
        <v>0</v>
      </c>
      <c r="M211" s="1">
        <v>0</v>
      </c>
      <c r="N211" s="2">
        <f>Table1[[#This Row],[G]]/Table1[[#This Row],[MP]]</f>
        <v>0</v>
      </c>
      <c r="O211" s="2">
        <v>0</v>
      </c>
      <c r="P211" s="2">
        <f>Table1[[#This Row],[A]]/Table1[[#This Row],[MP]]</f>
        <v>0</v>
      </c>
      <c r="Q211" s="2">
        <v>0</v>
      </c>
      <c r="R211" s="2">
        <f>Table1[[#This Row],[PTS]]/Table1[[#This Row],[MP]]</f>
        <v>0</v>
      </c>
      <c r="S211" s="1">
        <v>0</v>
      </c>
      <c r="T211" s="1">
        <f>Table1[[#This Row],[G]]-Table1[[#This Row],[G_PK]]</f>
        <v>0</v>
      </c>
      <c r="U211" s="1">
        <v>0</v>
      </c>
      <c r="V211" s="1">
        <v>0</v>
      </c>
      <c r="W211" s="1">
        <v>0</v>
      </c>
      <c r="X211" s="1">
        <v>0</v>
      </c>
      <c r="Y211" s="1">
        <f>Table1[[#This Row],[CRDY]]+Table1[[#This Row],[CRDR]]</f>
        <v>0</v>
      </c>
      <c r="Z211" s="1">
        <v>0</v>
      </c>
      <c r="AA211" s="2">
        <f>Table1[[#This Row],[XG]]/Table1[[#This Row],[MP]]</f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</row>
    <row r="212" spans="1:33" x14ac:dyDescent="0.35">
      <c r="A212">
        <v>103</v>
      </c>
      <c r="B212" t="s">
        <v>266</v>
      </c>
      <c r="C212" t="s">
        <v>27</v>
      </c>
      <c r="D212" t="s">
        <v>28</v>
      </c>
      <c r="E212" t="s">
        <v>57</v>
      </c>
      <c r="F212" t="s">
        <v>267</v>
      </c>
      <c r="G212" s="1">
        <v>2001</v>
      </c>
      <c r="H212" s="1">
        <v>2</v>
      </c>
      <c r="I212" s="1">
        <v>1</v>
      </c>
      <c r="J212" s="2">
        <f>Table1[[#This Row],[STARTS]]/Table1[[#This Row],[MP]]</f>
        <v>0.5</v>
      </c>
      <c r="K212" s="1">
        <v>72</v>
      </c>
      <c r="L212" s="1">
        <v>0.8</v>
      </c>
      <c r="M212" s="1">
        <v>0</v>
      </c>
      <c r="N212" s="2">
        <f>Table1[[#This Row],[G]]/Table1[[#This Row],[MP]]</f>
        <v>0</v>
      </c>
      <c r="O212" s="2">
        <v>0</v>
      </c>
      <c r="P212" s="2">
        <f>Table1[[#This Row],[A]]/Table1[[#This Row],[MP]]</f>
        <v>0</v>
      </c>
      <c r="Q212" s="2">
        <v>0</v>
      </c>
      <c r="R212" s="2">
        <f>Table1[[#This Row],[PTS]]/Table1[[#This Row],[MP]]</f>
        <v>0</v>
      </c>
      <c r="S212" s="1">
        <v>0</v>
      </c>
      <c r="T212" s="1">
        <f>Table1[[#This Row],[G]]-Table1[[#This Row],[G_PK]]</f>
        <v>0</v>
      </c>
      <c r="U212" s="1">
        <v>0</v>
      </c>
      <c r="V212" s="1">
        <v>0</v>
      </c>
      <c r="W212" s="1">
        <v>1</v>
      </c>
      <c r="X212" s="1">
        <v>0</v>
      </c>
      <c r="Y212" s="1">
        <f>Table1[[#This Row],[CRDY]]+Table1[[#This Row],[CRDR]]</f>
        <v>1</v>
      </c>
      <c r="Z212" s="1">
        <v>0</v>
      </c>
      <c r="AA212" s="2">
        <f>Table1[[#This Row],[XG]]/Table1[[#This Row],[MP]]</f>
        <v>0</v>
      </c>
      <c r="AB212" s="1">
        <v>0</v>
      </c>
      <c r="AC212" s="1">
        <v>0.1</v>
      </c>
      <c r="AD212" s="1">
        <v>0.1</v>
      </c>
      <c r="AE212" s="1">
        <v>0</v>
      </c>
      <c r="AF212" s="1">
        <v>2</v>
      </c>
      <c r="AG212" s="1">
        <v>0</v>
      </c>
    </row>
    <row r="213" spans="1:33" x14ac:dyDescent="0.35">
      <c r="A213">
        <v>105</v>
      </c>
      <c r="B213" t="s">
        <v>270</v>
      </c>
      <c r="C213" t="s">
        <v>223</v>
      </c>
      <c r="D213" t="s">
        <v>85</v>
      </c>
      <c r="E213" t="s">
        <v>33</v>
      </c>
      <c r="F213" t="s">
        <v>271</v>
      </c>
      <c r="G213" s="1">
        <v>1993</v>
      </c>
      <c r="H213" s="1">
        <v>1</v>
      </c>
      <c r="I213" s="1">
        <v>0</v>
      </c>
      <c r="J213" s="2">
        <f>Table1[[#This Row],[STARTS]]/Table1[[#This Row],[MP]]</f>
        <v>0</v>
      </c>
      <c r="K213" s="1">
        <v>1</v>
      </c>
      <c r="L213" s="1">
        <v>0</v>
      </c>
      <c r="M213" s="1">
        <v>0</v>
      </c>
      <c r="N213" s="2">
        <f>Table1[[#This Row],[G]]/Table1[[#This Row],[MP]]</f>
        <v>0</v>
      </c>
      <c r="O213" s="2">
        <v>0</v>
      </c>
      <c r="P213" s="2">
        <f>Table1[[#This Row],[A]]/Table1[[#This Row],[MP]]</f>
        <v>0</v>
      </c>
      <c r="Q213" s="2">
        <v>0</v>
      </c>
      <c r="R213" s="2">
        <f>Table1[[#This Row],[PTS]]/Table1[[#This Row],[MP]]</f>
        <v>0</v>
      </c>
      <c r="S213" s="1">
        <v>0</v>
      </c>
      <c r="T213" s="1">
        <f>Table1[[#This Row],[G]]-Table1[[#This Row],[G_PK]]</f>
        <v>0</v>
      </c>
      <c r="U213" s="1">
        <v>0</v>
      </c>
      <c r="V213" s="1">
        <v>0</v>
      </c>
      <c r="W213" s="1">
        <v>0</v>
      </c>
      <c r="X213" s="1">
        <v>0</v>
      </c>
      <c r="Y213" s="1">
        <f>Table1[[#This Row],[CRDY]]+Table1[[#This Row],[CRDR]]</f>
        <v>0</v>
      </c>
      <c r="Z213" s="1">
        <v>0</v>
      </c>
      <c r="AA213" s="2">
        <f>Table1[[#This Row],[XG]]/Table1[[#This Row],[MP]]</f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</row>
    <row r="214" spans="1:33" x14ac:dyDescent="0.35">
      <c r="A214">
        <v>108</v>
      </c>
      <c r="B214" t="s">
        <v>278</v>
      </c>
      <c r="C214" t="s">
        <v>27</v>
      </c>
      <c r="D214" t="s">
        <v>28</v>
      </c>
      <c r="E214" t="s">
        <v>54</v>
      </c>
      <c r="F214" t="s">
        <v>279</v>
      </c>
      <c r="G214" s="1">
        <v>1992</v>
      </c>
      <c r="H214" s="1">
        <v>13</v>
      </c>
      <c r="I214" s="1">
        <v>13</v>
      </c>
      <c r="J214" s="2">
        <f>Table1[[#This Row],[STARTS]]/Table1[[#This Row],[MP]]</f>
        <v>1</v>
      </c>
      <c r="K214" s="1">
        <v>1154</v>
      </c>
      <c r="L214" s="1">
        <v>12.8</v>
      </c>
      <c r="M214" s="1">
        <v>0</v>
      </c>
      <c r="N214" s="2">
        <f>Table1[[#This Row],[G]]/Table1[[#This Row],[MP]]</f>
        <v>0</v>
      </c>
      <c r="O214" s="2">
        <v>0</v>
      </c>
      <c r="P214" s="2">
        <f>Table1[[#This Row],[A]]/Table1[[#This Row],[MP]]</f>
        <v>0</v>
      </c>
      <c r="Q214" s="2">
        <v>0</v>
      </c>
      <c r="R214" s="2">
        <f>Table1[[#This Row],[PTS]]/Table1[[#This Row],[MP]]</f>
        <v>0</v>
      </c>
      <c r="S214" s="1">
        <v>0</v>
      </c>
      <c r="T214" s="1">
        <f>Table1[[#This Row],[G]]-Table1[[#This Row],[G_PK]]</f>
        <v>0</v>
      </c>
      <c r="U214" s="1">
        <v>0</v>
      </c>
      <c r="V214" s="1">
        <v>0</v>
      </c>
      <c r="W214" s="1">
        <v>1</v>
      </c>
      <c r="X214" s="1">
        <v>0</v>
      </c>
      <c r="Y214" s="1">
        <f>Table1[[#This Row],[CRDY]]+Table1[[#This Row],[CRDR]]</f>
        <v>1</v>
      </c>
      <c r="Z214" s="1">
        <v>0</v>
      </c>
      <c r="AA214" s="2">
        <f>Table1[[#This Row],[XG]]/Table1[[#This Row],[MP]]</f>
        <v>0</v>
      </c>
      <c r="AB214" s="1">
        <v>0</v>
      </c>
      <c r="AC214" s="1">
        <v>0</v>
      </c>
      <c r="AD214" s="1">
        <v>0.1</v>
      </c>
      <c r="AE214" s="1">
        <v>11</v>
      </c>
      <c r="AF214" s="1">
        <v>57</v>
      </c>
      <c r="AG214" s="1">
        <v>1</v>
      </c>
    </row>
    <row r="215" spans="1:33" x14ac:dyDescent="0.35">
      <c r="A215">
        <v>112</v>
      </c>
      <c r="B215" t="s">
        <v>286</v>
      </c>
      <c r="C215" t="s">
        <v>287</v>
      </c>
      <c r="D215" t="s">
        <v>183</v>
      </c>
      <c r="E215" t="s">
        <v>164</v>
      </c>
      <c r="F215" t="s">
        <v>288</v>
      </c>
      <c r="G215" s="1">
        <v>2005</v>
      </c>
      <c r="H215" s="1">
        <v>5</v>
      </c>
      <c r="I215" s="1">
        <v>0</v>
      </c>
      <c r="J215" s="2">
        <f>Table1[[#This Row],[STARTS]]/Table1[[#This Row],[MP]]</f>
        <v>0</v>
      </c>
      <c r="K215" s="1">
        <v>78</v>
      </c>
      <c r="L215" s="1">
        <v>0.9</v>
      </c>
      <c r="M215" s="1">
        <v>0</v>
      </c>
      <c r="N215" s="2">
        <f>Table1[[#This Row],[G]]/Table1[[#This Row],[MP]]</f>
        <v>0</v>
      </c>
      <c r="O215" s="2">
        <v>0</v>
      </c>
      <c r="P215" s="2">
        <f>Table1[[#This Row],[A]]/Table1[[#This Row],[MP]]</f>
        <v>0</v>
      </c>
      <c r="Q215" s="2">
        <v>0</v>
      </c>
      <c r="R215" s="2">
        <f>Table1[[#This Row],[PTS]]/Table1[[#This Row],[MP]]</f>
        <v>0</v>
      </c>
      <c r="S215" s="1">
        <v>0</v>
      </c>
      <c r="T215" s="1">
        <f>Table1[[#This Row],[G]]-Table1[[#This Row],[G_PK]]</f>
        <v>0</v>
      </c>
      <c r="U215" s="1">
        <v>0</v>
      </c>
      <c r="V215" s="1">
        <v>0</v>
      </c>
      <c r="W215" s="1">
        <v>0</v>
      </c>
      <c r="X215" s="1">
        <v>0</v>
      </c>
      <c r="Y215" s="1">
        <f>Table1[[#This Row],[CRDY]]+Table1[[#This Row],[CRDR]]</f>
        <v>0</v>
      </c>
      <c r="Z215" s="1">
        <v>0</v>
      </c>
      <c r="AA215" s="2">
        <f>Table1[[#This Row],[XG]]/Table1[[#This Row],[MP]]</f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2</v>
      </c>
      <c r="AG215" s="1">
        <v>5</v>
      </c>
    </row>
    <row r="216" spans="1:33" x14ac:dyDescent="0.35">
      <c r="A216">
        <v>113</v>
      </c>
      <c r="B216" t="s">
        <v>289</v>
      </c>
      <c r="C216" t="s">
        <v>27</v>
      </c>
      <c r="D216" t="s">
        <v>62</v>
      </c>
      <c r="E216" t="s">
        <v>54</v>
      </c>
      <c r="F216" t="s">
        <v>290</v>
      </c>
      <c r="G216" s="1">
        <v>1997</v>
      </c>
      <c r="H216" s="1">
        <v>12</v>
      </c>
      <c r="I216" s="1">
        <v>2</v>
      </c>
      <c r="J216" s="2">
        <f>Table1[[#This Row],[STARTS]]/Table1[[#This Row],[MP]]</f>
        <v>0.16666666666666666</v>
      </c>
      <c r="K216" s="1">
        <v>358</v>
      </c>
      <c r="L216" s="1">
        <v>4</v>
      </c>
      <c r="M216" s="1">
        <v>0</v>
      </c>
      <c r="N216" s="2">
        <f>Table1[[#This Row],[G]]/Table1[[#This Row],[MP]]</f>
        <v>0</v>
      </c>
      <c r="O216" s="2">
        <v>0</v>
      </c>
      <c r="P216" s="2">
        <f>Table1[[#This Row],[A]]/Table1[[#This Row],[MP]]</f>
        <v>0</v>
      </c>
      <c r="Q216" s="2">
        <v>0</v>
      </c>
      <c r="R216" s="2">
        <f>Table1[[#This Row],[PTS]]/Table1[[#This Row],[MP]]</f>
        <v>0</v>
      </c>
      <c r="S216" s="1">
        <v>0</v>
      </c>
      <c r="T216" s="1">
        <f>Table1[[#This Row],[G]]-Table1[[#This Row],[G_PK]]</f>
        <v>0</v>
      </c>
      <c r="U216" s="1">
        <v>0</v>
      </c>
      <c r="V216" s="1">
        <v>0</v>
      </c>
      <c r="W216" s="1">
        <v>0</v>
      </c>
      <c r="X216" s="1">
        <v>0</v>
      </c>
      <c r="Y216" s="1">
        <f>Table1[[#This Row],[CRDY]]+Table1[[#This Row],[CRDR]]</f>
        <v>0</v>
      </c>
      <c r="Z216" s="1">
        <v>0.3</v>
      </c>
      <c r="AA216" s="2">
        <f>Table1[[#This Row],[XG]]/Table1[[#This Row],[MP]]</f>
        <v>2.4999999999999998E-2</v>
      </c>
      <c r="AB216" s="1">
        <v>0.3</v>
      </c>
      <c r="AC216" s="1">
        <v>0.1</v>
      </c>
      <c r="AD216" s="1">
        <v>0.4</v>
      </c>
      <c r="AE216" s="1">
        <v>2</v>
      </c>
      <c r="AF216" s="1">
        <v>24</v>
      </c>
      <c r="AG216" s="1">
        <v>9</v>
      </c>
    </row>
    <row r="217" spans="1:33" x14ac:dyDescent="0.35">
      <c r="A217">
        <v>116</v>
      </c>
      <c r="B217" t="s">
        <v>295</v>
      </c>
      <c r="C217" t="s">
        <v>27</v>
      </c>
      <c r="D217" t="s">
        <v>37</v>
      </c>
      <c r="E217" t="s">
        <v>101</v>
      </c>
      <c r="F217" t="s">
        <v>296</v>
      </c>
      <c r="G217" s="1">
        <v>2002</v>
      </c>
      <c r="H217" s="1">
        <v>6</v>
      </c>
      <c r="I217" s="1">
        <v>0</v>
      </c>
      <c r="J217" s="2">
        <f>Table1[[#This Row],[STARTS]]/Table1[[#This Row],[MP]]</f>
        <v>0</v>
      </c>
      <c r="K217" s="1">
        <v>71</v>
      </c>
      <c r="L217" s="1">
        <v>0.8</v>
      </c>
      <c r="M217" s="1">
        <v>0</v>
      </c>
      <c r="N217" s="2">
        <f>Table1[[#This Row],[G]]/Table1[[#This Row],[MP]]</f>
        <v>0</v>
      </c>
      <c r="O217" s="2">
        <v>0</v>
      </c>
      <c r="P217" s="2">
        <f>Table1[[#This Row],[A]]/Table1[[#This Row],[MP]]</f>
        <v>0</v>
      </c>
      <c r="Q217" s="2">
        <v>0</v>
      </c>
      <c r="R217" s="2">
        <f>Table1[[#This Row],[PTS]]/Table1[[#This Row],[MP]]</f>
        <v>0</v>
      </c>
      <c r="S217" s="1">
        <v>0</v>
      </c>
      <c r="T217" s="1">
        <f>Table1[[#This Row],[G]]-Table1[[#This Row],[G_PK]]</f>
        <v>0</v>
      </c>
      <c r="U217" s="1">
        <v>0</v>
      </c>
      <c r="V217" s="1">
        <v>0</v>
      </c>
      <c r="W217" s="1">
        <v>1</v>
      </c>
      <c r="X217" s="1">
        <v>0</v>
      </c>
      <c r="Y217" s="1">
        <f>Table1[[#This Row],[CRDY]]+Table1[[#This Row],[CRDR]]</f>
        <v>1</v>
      </c>
      <c r="Z217" s="1">
        <v>0</v>
      </c>
      <c r="AA217" s="2">
        <f>Table1[[#This Row],[XG]]/Table1[[#This Row],[MP]]</f>
        <v>0</v>
      </c>
      <c r="AB217" s="1">
        <v>0</v>
      </c>
      <c r="AC217" s="1">
        <v>0</v>
      </c>
      <c r="AD217" s="1">
        <v>0</v>
      </c>
      <c r="AE217" s="1">
        <v>2</v>
      </c>
      <c r="AF217" s="1">
        <v>2</v>
      </c>
      <c r="AG217" s="1">
        <v>13</v>
      </c>
    </row>
    <row r="218" spans="1:33" x14ac:dyDescent="0.35">
      <c r="A218">
        <v>117</v>
      </c>
      <c r="B218" t="s">
        <v>297</v>
      </c>
      <c r="C218" t="s">
        <v>298</v>
      </c>
      <c r="D218" t="s">
        <v>62</v>
      </c>
      <c r="E218" t="s">
        <v>101</v>
      </c>
      <c r="F218" t="s">
        <v>299</v>
      </c>
      <c r="G218" s="1">
        <v>2001</v>
      </c>
      <c r="H218" s="1">
        <v>1</v>
      </c>
      <c r="I218" s="1">
        <v>0</v>
      </c>
      <c r="J218" s="2">
        <f>Table1[[#This Row],[STARTS]]/Table1[[#This Row],[MP]]</f>
        <v>0</v>
      </c>
      <c r="K218" s="1">
        <v>45</v>
      </c>
      <c r="L218" s="1">
        <v>0.5</v>
      </c>
      <c r="M218" s="1">
        <v>0</v>
      </c>
      <c r="N218" s="2">
        <f>Table1[[#This Row],[G]]/Table1[[#This Row],[MP]]</f>
        <v>0</v>
      </c>
      <c r="O218" s="2">
        <v>0</v>
      </c>
      <c r="P218" s="2">
        <f>Table1[[#This Row],[A]]/Table1[[#This Row],[MP]]</f>
        <v>0</v>
      </c>
      <c r="Q218" s="2">
        <v>0</v>
      </c>
      <c r="R218" s="2">
        <f>Table1[[#This Row],[PTS]]/Table1[[#This Row],[MP]]</f>
        <v>0</v>
      </c>
      <c r="S218" s="1">
        <v>0</v>
      </c>
      <c r="T218" s="1">
        <f>Table1[[#This Row],[G]]-Table1[[#This Row],[G_PK]]</f>
        <v>0</v>
      </c>
      <c r="U218" s="1">
        <v>0</v>
      </c>
      <c r="V218" s="1">
        <v>0</v>
      </c>
      <c r="W218" s="1">
        <v>0</v>
      </c>
      <c r="X218" s="1">
        <v>0</v>
      </c>
      <c r="Y218" s="1">
        <f>Table1[[#This Row],[CRDY]]+Table1[[#This Row],[CRDR]]</f>
        <v>0</v>
      </c>
      <c r="Z218" s="1">
        <v>0</v>
      </c>
      <c r="AA218" s="2">
        <f>Table1[[#This Row],[XG]]/Table1[[#This Row],[MP]]</f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2</v>
      </c>
    </row>
    <row r="219" spans="1:33" x14ac:dyDescent="0.35">
      <c r="A219">
        <v>118</v>
      </c>
      <c r="B219" t="s">
        <v>300</v>
      </c>
      <c r="C219" t="s">
        <v>27</v>
      </c>
      <c r="D219" t="s">
        <v>183</v>
      </c>
      <c r="E219" t="s">
        <v>71</v>
      </c>
      <c r="F219" t="s">
        <v>301</v>
      </c>
      <c r="G219" s="1">
        <v>2002</v>
      </c>
      <c r="H219" s="1">
        <v>10</v>
      </c>
      <c r="I219" s="1">
        <v>4</v>
      </c>
      <c r="J219" s="2">
        <f>Table1[[#This Row],[STARTS]]/Table1[[#This Row],[MP]]</f>
        <v>0.4</v>
      </c>
      <c r="K219" s="1">
        <v>459</v>
      </c>
      <c r="L219" s="1">
        <v>5.0999999999999996</v>
      </c>
      <c r="M219" s="1">
        <v>0</v>
      </c>
      <c r="N219" s="2">
        <f>Table1[[#This Row],[G]]/Table1[[#This Row],[MP]]</f>
        <v>0</v>
      </c>
      <c r="O219" s="2">
        <v>0</v>
      </c>
      <c r="P219" s="2">
        <f>Table1[[#This Row],[A]]/Table1[[#This Row],[MP]]</f>
        <v>0</v>
      </c>
      <c r="Q219" s="2">
        <v>0</v>
      </c>
      <c r="R219" s="2">
        <f>Table1[[#This Row],[PTS]]/Table1[[#This Row],[MP]]</f>
        <v>0</v>
      </c>
      <c r="S219" s="1">
        <v>0</v>
      </c>
      <c r="T219" s="1">
        <f>Table1[[#This Row],[G]]-Table1[[#This Row],[G_PK]]</f>
        <v>0</v>
      </c>
      <c r="U219" s="1">
        <v>0</v>
      </c>
      <c r="V219" s="1">
        <v>0</v>
      </c>
      <c r="W219" s="1">
        <v>1</v>
      </c>
      <c r="X219" s="1">
        <v>0</v>
      </c>
      <c r="Y219" s="1">
        <f>Table1[[#This Row],[CRDY]]+Table1[[#This Row],[CRDR]]</f>
        <v>1</v>
      </c>
      <c r="Z219" s="1">
        <v>0.1</v>
      </c>
      <c r="AA219" s="2">
        <f>Table1[[#This Row],[XG]]/Table1[[#This Row],[MP]]</f>
        <v>0.01</v>
      </c>
      <c r="AB219" s="1">
        <v>0.1</v>
      </c>
      <c r="AC219" s="1">
        <v>0.4</v>
      </c>
      <c r="AD219" s="1">
        <v>0.6</v>
      </c>
      <c r="AE219" s="1">
        <v>6</v>
      </c>
      <c r="AF219" s="1">
        <v>13</v>
      </c>
      <c r="AG219" s="1">
        <v>24</v>
      </c>
    </row>
    <row r="220" spans="1:33" x14ac:dyDescent="0.35">
      <c r="A220">
        <v>120</v>
      </c>
      <c r="B220" t="s">
        <v>304</v>
      </c>
      <c r="C220" t="s">
        <v>305</v>
      </c>
      <c r="D220" t="s">
        <v>62</v>
      </c>
      <c r="E220" t="s">
        <v>57</v>
      </c>
      <c r="F220" t="s">
        <v>306</v>
      </c>
      <c r="G220" s="1">
        <v>2004</v>
      </c>
      <c r="H220" s="1">
        <v>6</v>
      </c>
      <c r="I220" s="1">
        <v>3</v>
      </c>
      <c r="J220" s="2">
        <f>Table1[[#This Row],[STARTS]]/Table1[[#This Row],[MP]]</f>
        <v>0.5</v>
      </c>
      <c r="K220" s="1">
        <v>257</v>
      </c>
      <c r="L220" s="1">
        <v>2.9</v>
      </c>
      <c r="M220" s="1">
        <v>0</v>
      </c>
      <c r="N220" s="2">
        <f>Table1[[#This Row],[G]]/Table1[[#This Row],[MP]]</f>
        <v>0</v>
      </c>
      <c r="O220" s="2">
        <v>0</v>
      </c>
      <c r="P220" s="2">
        <f>Table1[[#This Row],[A]]/Table1[[#This Row],[MP]]</f>
        <v>0</v>
      </c>
      <c r="Q220" s="2">
        <v>0</v>
      </c>
      <c r="R220" s="2">
        <f>Table1[[#This Row],[PTS]]/Table1[[#This Row],[MP]]</f>
        <v>0</v>
      </c>
      <c r="S220" s="1">
        <v>0</v>
      </c>
      <c r="T220" s="1">
        <f>Table1[[#This Row],[G]]-Table1[[#This Row],[G_PK]]</f>
        <v>0</v>
      </c>
      <c r="U220" s="1">
        <v>0</v>
      </c>
      <c r="V220" s="1">
        <v>0</v>
      </c>
      <c r="W220" s="1">
        <v>0</v>
      </c>
      <c r="X220" s="1">
        <v>0</v>
      </c>
      <c r="Y220" s="1">
        <f>Table1[[#This Row],[CRDY]]+Table1[[#This Row],[CRDR]]</f>
        <v>0</v>
      </c>
      <c r="Z220" s="1">
        <v>0.1</v>
      </c>
      <c r="AA220" s="2">
        <f>Table1[[#This Row],[XG]]/Table1[[#This Row],[MP]]</f>
        <v>1.6666666666666666E-2</v>
      </c>
      <c r="AB220" s="1">
        <v>0.1</v>
      </c>
      <c r="AC220" s="1">
        <v>0.2</v>
      </c>
      <c r="AD220" s="1">
        <v>0.3</v>
      </c>
      <c r="AE220" s="1">
        <v>3</v>
      </c>
      <c r="AF220" s="1">
        <v>4</v>
      </c>
      <c r="AG220" s="1">
        <v>4</v>
      </c>
    </row>
    <row r="221" spans="1:33" x14ac:dyDescent="0.35">
      <c r="A221">
        <v>122</v>
      </c>
      <c r="B221" t="s">
        <v>309</v>
      </c>
      <c r="C221" t="s">
        <v>27</v>
      </c>
      <c r="D221" t="s">
        <v>62</v>
      </c>
      <c r="E221" t="s">
        <v>107</v>
      </c>
      <c r="F221" t="s">
        <v>310</v>
      </c>
      <c r="G221" s="1">
        <v>2002</v>
      </c>
      <c r="H221" s="1">
        <v>6</v>
      </c>
      <c r="I221" s="1">
        <v>4</v>
      </c>
      <c r="J221" s="2">
        <f>Table1[[#This Row],[STARTS]]/Table1[[#This Row],[MP]]</f>
        <v>0.66666666666666663</v>
      </c>
      <c r="K221" s="1">
        <v>374</v>
      </c>
      <c r="L221" s="1">
        <v>4.2</v>
      </c>
      <c r="M221" s="1">
        <v>0</v>
      </c>
      <c r="N221" s="2">
        <f>Table1[[#This Row],[G]]/Table1[[#This Row],[MP]]</f>
        <v>0</v>
      </c>
      <c r="O221" s="2">
        <v>0</v>
      </c>
      <c r="P221" s="2">
        <f>Table1[[#This Row],[A]]/Table1[[#This Row],[MP]]</f>
        <v>0</v>
      </c>
      <c r="Q221" s="2">
        <v>0</v>
      </c>
      <c r="R221" s="2">
        <f>Table1[[#This Row],[PTS]]/Table1[[#This Row],[MP]]</f>
        <v>0</v>
      </c>
      <c r="S221" s="1">
        <v>0</v>
      </c>
      <c r="T221" s="1">
        <f>Table1[[#This Row],[G]]-Table1[[#This Row],[G_PK]]</f>
        <v>0</v>
      </c>
      <c r="U221" s="1">
        <v>0</v>
      </c>
      <c r="V221" s="1">
        <v>0</v>
      </c>
      <c r="W221" s="1">
        <v>2</v>
      </c>
      <c r="X221" s="1">
        <v>0</v>
      </c>
      <c r="Y221" s="1">
        <f>Table1[[#This Row],[CRDY]]+Table1[[#This Row],[CRDR]]</f>
        <v>2</v>
      </c>
      <c r="Z221" s="1">
        <v>0.4</v>
      </c>
      <c r="AA221" s="2">
        <f>Table1[[#This Row],[XG]]/Table1[[#This Row],[MP]]</f>
        <v>6.6666666666666666E-2</v>
      </c>
      <c r="AB221" s="1">
        <v>0</v>
      </c>
      <c r="AC221" s="1">
        <v>0.2</v>
      </c>
      <c r="AD221" s="1">
        <v>0.2</v>
      </c>
      <c r="AE221" s="1">
        <v>2</v>
      </c>
      <c r="AF221" s="1">
        <v>21</v>
      </c>
      <c r="AG221" s="1">
        <v>5</v>
      </c>
    </row>
    <row r="222" spans="1:33" x14ac:dyDescent="0.35">
      <c r="A222">
        <v>123</v>
      </c>
      <c r="B222" t="s">
        <v>311</v>
      </c>
      <c r="C222" t="s">
        <v>27</v>
      </c>
      <c r="D222" t="s">
        <v>28</v>
      </c>
      <c r="E222" t="s">
        <v>38</v>
      </c>
      <c r="F222" t="s">
        <v>312</v>
      </c>
      <c r="G222" s="1">
        <v>1998</v>
      </c>
      <c r="H222" s="1">
        <v>10</v>
      </c>
      <c r="I222" s="1">
        <v>10</v>
      </c>
      <c r="J222" s="2">
        <f>Table1[[#This Row],[STARTS]]/Table1[[#This Row],[MP]]</f>
        <v>1</v>
      </c>
      <c r="K222" s="1">
        <v>900</v>
      </c>
      <c r="L222" s="1">
        <v>10</v>
      </c>
      <c r="M222" s="1">
        <v>0</v>
      </c>
      <c r="N222" s="2">
        <f>Table1[[#This Row],[G]]/Table1[[#This Row],[MP]]</f>
        <v>0</v>
      </c>
      <c r="O222" s="2">
        <v>0</v>
      </c>
      <c r="P222" s="2">
        <f>Table1[[#This Row],[A]]/Table1[[#This Row],[MP]]</f>
        <v>0</v>
      </c>
      <c r="Q222" s="2">
        <v>0</v>
      </c>
      <c r="R222" s="2">
        <f>Table1[[#This Row],[PTS]]/Table1[[#This Row],[MP]]</f>
        <v>0</v>
      </c>
      <c r="S222" s="1">
        <v>0</v>
      </c>
      <c r="T222" s="1">
        <f>Table1[[#This Row],[G]]-Table1[[#This Row],[G_PK]]</f>
        <v>0</v>
      </c>
      <c r="U222" s="1">
        <v>0</v>
      </c>
      <c r="V222" s="1">
        <v>0</v>
      </c>
      <c r="W222" s="1">
        <v>1</v>
      </c>
      <c r="X222" s="1">
        <v>0</v>
      </c>
      <c r="Y222" s="1">
        <f>Table1[[#This Row],[CRDY]]+Table1[[#This Row],[CRDR]]</f>
        <v>1</v>
      </c>
      <c r="Z222" s="1">
        <v>0.3</v>
      </c>
      <c r="AA222" s="2">
        <f>Table1[[#This Row],[XG]]/Table1[[#This Row],[MP]]</f>
        <v>0.03</v>
      </c>
      <c r="AB222" s="1">
        <v>0.3</v>
      </c>
      <c r="AC222" s="1">
        <v>0.2</v>
      </c>
      <c r="AD222" s="1">
        <v>0.5</v>
      </c>
      <c r="AE222" s="1">
        <v>0</v>
      </c>
      <c r="AF222" s="1">
        <v>34</v>
      </c>
      <c r="AG222" s="1">
        <v>2</v>
      </c>
    </row>
    <row r="223" spans="1:33" x14ac:dyDescent="0.35">
      <c r="A223">
        <v>125</v>
      </c>
      <c r="B223" t="s">
        <v>315</v>
      </c>
      <c r="C223" t="s">
        <v>27</v>
      </c>
      <c r="D223" t="s">
        <v>37</v>
      </c>
      <c r="E223" t="s">
        <v>38</v>
      </c>
      <c r="F223" t="s">
        <v>316</v>
      </c>
      <c r="G223" s="1">
        <v>2000</v>
      </c>
      <c r="H223" s="1">
        <v>3</v>
      </c>
      <c r="I223" s="1">
        <v>0</v>
      </c>
      <c r="J223" s="2">
        <f>Table1[[#This Row],[STARTS]]/Table1[[#This Row],[MP]]</f>
        <v>0</v>
      </c>
      <c r="K223" s="1">
        <v>39</v>
      </c>
      <c r="L223" s="1">
        <v>0.4</v>
      </c>
      <c r="M223" s="1">
        <v>0</v>
      </c>
      <c r="N223" s="2">
        <f>Table1[[#This Row],[G]]/Table1[[#This Row],[MP]]</f>
        <v>0</v>
      </c>
      <c r="O223" s="2">
        <v>0</v>
      </c>
      <c r="P223" s="2">
        <f>Table1[[#This Row],[A]]/Table1[[#This Row],[MP]]</f>
        <v>0</v>
      </c>
      <c r="Q223" s="2">
        <v>0</v>
      </c>
      <c r="R223" s="2">
        <f>Table1[[#This Row],[PTS]]/Table1[[#This Row],[MP]]</f>
        <v>0</v>
      </c>
      <c r="S223" s="1">
        <v>0</v>
      </c>
      <c r="T223" s="1">
        <f>Table1[[#This Row],[G]]-Table1[[#This Row],[G_PK]]</f>
        <v>0</v>
      </c>
      <c r="U223" s="1">
        <v>0</v>
      </c>
      <c r="V223" s="1">
        <v>0</v>
      </c>
      <c r="W223" s="1">
        <v>0</v>
      </c>
      <c r="X223" s="1">
        <v>0</v>
      </c>
      <c r="Y223" s="1">
        <f>Table1[[#This Row],[CRDY]]+Table1[[#This Row],[CRDR]]</f>
        <v>0</v>
      </c>
      <c r="Z223" s="1">
        <v>0</v>
      </c>
      <c r="AA223" s="2">
        <f>Table1[[#This Row],[XG]]/Table1[[#This Row],[MP]]</f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2</v>
      </c>
      <c r="AG223" s="1">
        <v>1</v>
      </c>
    </row>
    <row r="224" spans="1:33" x14ac:dyDescent="0.35">
      <c r="A224">
        <v>131</v>
      </c>
      <c r="B224" t="s">
        <v>327</v>
      </c>
      <c r="C224" t="s">
        <v>27</v>
      </c>
      <c r="D224" t="s">
        <v>28</v>
      </c>
      <c r="E224" t="s">
        <v>46</v>
      </c>
      <c r="F224" t="s">
        <v>328</v>
      </c>
      <c r="G224" s="1">
        <v>1994</v>
      </c>
      <c r="H224" s="1">
        <v>3</v>
      </c>
      <c r="I224" s="1">
        <v>2</v>
      </c>
      <c r="J224" s="2">
        <f>Table1[[#This Row],[STARTS]]/Table1[[#This Row],[MP]]</f>
        <v>0.66666666666666663</v>
      </c>
      <c r="K224" s="1">
        <v>219</v>
      </c>
      <c r="L224" s="1">
        <v>2.4</v>
      </c>
      <c r="M224" s="1">
        <v>0</v>
      </c>
      <c r="N224" s="2">
        <f>Table1[[#This Row],[G]]/Table1[[#This Row],[MP]]</f>
        <v>0</v>
      </c>
      <c r="O224" s="2">
        <v>0</v>
      </c>
      <c r="P224" s="2">
        <f>Table1[[#This Row],[A]]/Table1[[#This Row],[MP]]</f>
        <v>0</v>
      </c>
      <c r="Q224" s="2">
        <v>0</v>
      </c>
      <c r="R224" s="2">
        <f>Table1[[#This Row],[PTS]]/Table1[[#This Row],[MP]]</f>
        <v>0</v>
      </c>
      <c r="S224" s="1">
        <v>0</v>
      </c>
      <c r="T224" s="1">
        <f>Table1[[#This Row],[G]]-Table1[[#This Row],[G_PK]]</f>
        <v>0</v>
      </c>
      <c r="U224" s="1">
        <v>0</v>
      </c>
      <c r="V224" s="1">
        <v>0</v>
      </c>
      <c r="W224" s="1">
        <v>0</v>
      </c>
      <c r="X224" s="1">
        <v>0</v>
      </c>
      <c r="Y224" s="1">
        <f>Table1[[#This Row],[CRDY]]+Table1[[#This Row],[CRDR]]</f>
        <v>0</v>
      </c>
      <c r="Z224" s="1">
        <v>0.2</v>
      </c>
      <c r="AA224" s="2">
        <f>Table1[[#This Row],[XG]]/Table1[[#This Row],[MP]]</f>
        <v>6.6666666666666666E-2</v>
      </c>
      <c r="AB224" s="1">
        <v>0.2</v>
      </c>
      <c r="AC224" s="1">
        <v>0</v>
      </c>
      <c r="AD224" s="1">
        <v>0.3</v>
      </c>
      <c r="AE224" s="1">
        <v>0</v>
      </c>
      <c r="AF224" s="1">
        <v>4</v>
      </c>
      <c r="AG224" s="1">
        <v>0</v>
      </c>
    </row>
    <row r="225" spans="1:33" x14ac:dyDescent="0.35">
      <c r="A225">
        <v>136</v>
      </c>
      <c r="B225" t="s">
        <v>337</v>
      </c>
      <c r="C225" t="s">
        <v>27</v>
      </c>
      <c r="D225" t="s">
        <v>62</v>
      </c>
      <c r="E225" t="s">
        <v>29</v>
      </c>
      <c r="F225" t="s">
        <v>338</v>
      </c>
      <c r="G225" s="1">
        <v>2003</v>
      </c>
      <c r="H225" s="1">
        <v>1</v>
      </c>
      <c r="I225" s="1">
        <v>0</v>
      </c>
      <c r="J225" s="2">
        <f>Table1[[#This Row],[STARTS]]/Table1[[#This Row],[MP]]</f>
        <v>0</v>
      </c>
      <c r="K225" s="1">
        <v>20</v>
      </c>
      <c r="L225" s="1">
        <v>0.2</v>
      </c>
      <c r="M225" s="1">
        <v>0</v>
      </c>
      <c r="N225" s="2">
        <f>Table1[[#This Row],[G]]/Table1[[#This Row],[MP]]</f>
        <v>0</v>
      </c>
      <c r="O225" s="2">
        <v>0</v>
      </c>
      <c r="P225" s="2">
        <f>Table1[[#This Row],[A]]/Table1[[#This Row],[MP]]</f>
        <v>0</v>
      </c>
      <c r="Q225" s="2">
        <v>0</v>
      </c>
      <c r="R225" s="2">
        <f>Table1[[#This Row],[PTS]]/Table1[[#This Row],[MP]]</f>
        <v>0</v>
      </c>
      <c r="S225" s="1">
        <v>0</v>
      </c>
      <c r="T225" s="1">
        <f>Table1[[#This Row],[G]]-Table1[[#This Row],[G_PK]]</f>
        <v>0</v>
      </c>
      <c r="U225" s="1">
        <v>0</v>
      </c>
      <c r="V225" s="1">
        <v>0</v>
      </c>
      <c r="W225" s="1">
        <v>0</v>
      </c>
      <c r="X225" s="1">
        <v>0</v>
      </c>
      <c r="Y225" s="1">
        <f>Table1[[#This Row],[CRDY]]+Table1[[#This Row],[CRDR]]</f>
        <v>0</v>
      </c>
      <c r="Z225" s="1">
        <v>0</v>
      </c>
      <c r="AA225" s="2">
        <f>Table1[[#This Row],[XG]]/Table1[[#This Row],[MP]]</f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2</v>
      </c>
      <c r="AG225" s="1">
        <v>3</v>
      </c>
    </row>
    <row r="226" spans="1:33" x14ac:dyDescent="0.35">
      <c r="A226">
        <v>137</v>
      </c>
      <c r="B226" t="s">
        <v>339</v>
      </c>
      <c r="C226" t="s">
        <v>27</v>
      </c>
      <c r="D226" t="s">
        <v>28</v>
      </c>
      <c r="E226" t="s">
        <v>51</v>
      </c>
      <c r="F226" t="s">
        <v>340</v>
      </c>
      <c r="G226" s="1">
        <v>1997</v>
      </c>
      <c r="H226" s="1">
        <v>10</v>
      </c>
      <c r="I226" s="1">
        <v>9</v>
      </c>
      <c r="J226" s="2">
        <f>Table1[[#This Row],[STARTS]]/Table1[[#This Row],[MP]]</f>
        <v>0.9</v>
      </c>
      <c r="K226" s="1">
        <v>818</v>
      </c>
      <c r="L226" s="1">
        <v>9.1</v>
      </c>
      <c r="M226" s="1">
        <v>0</v>
      </c>
      <c r="N226" s="2">
        <f>Table1[[#This Row],[G]]/Table1[[#This Row],[MP]]</f>
        <v>0</v>
      </c>
      <c r="O226" s="2">
        <v>0</v>
      </c>
      <c r="P226" s="2">
        <f>Table1[[#This Row],[A]]/Table1[[#This Row],[MP]]</f>
        <v>0</v>
      </c>
      <c r="Q226" s="2">
        <v>0</v>
      </c>
      <c r="R226" s="2">
        <f>Table1[[#This Row],[PTS]]/Table1[[#This Row],[MP]]</f>
        <v>0</v>
      </c>
      <c r="S226" s="1">
        <v>0</v>
      </c>
      <c r="T226" s="1">
        <f>Table1[[#This Row],[G]]-Table1[[#This Row],[G_PK]]</f>
        <v>0</v>
      </c>
      <c r="U226" s="1">
        <v>0</v>
      </c>
      <c r="V226" s="1">
        <v>0</v>
      </c>
      <c r="W226" s="1">
        <v>0</v>
      </c>
      <c r="X226" s="1">
        <v>0</v>
      </c>
      <c r="Y226" s="1">
        <f>Table1[[#This Row],[CRDY]]+Table1[[#This Row],[CRDR]]</f>
        <v>0</v>
      </c>
      <c r="Z226" s="1">
        <v>0.2</v>
      </c>
      <c r="AA226" s="2">
        <f>Table1[[#This Row],[XG]]/Table1[[#This Row],[MP]]</f>
        <v>0.02</v>
      </c>
      <c r="AB226" s="1">
        <v>0.2</v>
      </c>
      <c r="AC226" s="1">
        <v>0.2</v>
      </c>
      <c r="AD226" s="1">
        <v>0.4</v>
      </c>
      <c r="AE226" s="1">
        <v>5</v>
      </c>
      <c r="AF226" s="1">
        <v>31</v>
      </c>
      <c r="AG226" s="1">
        <v>6</v>
      </c>
    </row>
    <row r="227" spans="1:33" x14ac:dyDescent="0.35">
      <c r="A227">
        <v>138</v>
      </c>
      <c r="B227" t="s">
        <v>341</v>
      </c>
      <c r="C227" t="s">
        <v>239</v>
      </c>
      <c r="D227" t="s">
        <v>62</v>
      </c>
      <c r="E227" t="s">
        <v>33</v>
      </c>
      <c r="F227" t="s">
        <v>342</v>
      </c>
      <c r="G227" s="1">
        <v>1994</v>
      </c>
      <c r="H227" s="1">
        <v>10</v>
      </c>
      <c r="I227" s="1">
        <v>9</v>
      </c>
      <c r="J227" s="2">
        <f>Table1[[#This Row],[STARTS]]/Table1[[#This Row],[MP]]</f>
        <v>0.9</v>
      </c>
      <c r="K227" s="1">
        <v>755</v>
      </c>
      <c r="L227" s="1">
        <v>8.4</v>
      </c>
      <c r="M227" s="1">
        <v>0</v>
      </c>
      <c r="N227" s="2">
        <f>Table1[[#This Row],[G]]/Table1[[#This Row],[MP]]</f>
        <v>0</v>
      </c>
      <c r="O227" s="2">
        <v>0</v>
      </c>
      <c r="P227" s="2">
        <f>Table1[[#This Row],[A]]/Table1[[#This Row],[MP]]</f>
        <v>0</v>
      </c>
      <c r="Q227" s="2">
        <v>0</v>
      </c>
      <c r="R227" s="2">
        <f>Table1[[#This Row],[PTS]]/Table1[[#This Row],[MP]]</f>
        <v>0</v>
      </c>
      <c r="S227" s="1">
        <v>0</v>
      </c>
      <c r="T227" s="1">
        <f>Table1[[#This Row],[G]]-Table1[[#This Row],[G_PK]]</f>
        <v>0</v>
      </c>
      <c r="U227" s="1">
        <v>0</v>
      </c>
      <c r="V227" s="1">
        <v>0</v>
      </c>
      <c r="W227" s="1">
        <v>0</v>
      </c>
      <c r="X227" s="1">
        <v>0</v>
      </c>
      <c r="Y227" s="1">
        <f>Table1[[#This Row],[CRDY]]+Table1[[#This Row],[CRDR]]</f>
        <v>0</v>
      </c>
      <c r="Z227" s="1">
        <v>0.1</v>
      </c>
      <c r="AA227" s="2">
        <f>Table1[[#This Row],[XG]]/Table1[[#This Row],[MP]]</f>
        <v>0.01</v>
      </c>
      <c r="AB227" s="1">
        <v>0.1</v>
      </c>
      <c r="AC227" s="1">
        <v>0.6</v>
      </c>
      <c r="AD227" s="1">
        <v>0.7</v>
      </c>
      <c r="AE227" s="1">
        <v>0</v>
      </c>
      <c r="AF227" s="1">
        <v>21</v>
      </c>
      <c r="AG227" s="1">
        <v>12</v>
      </c>
    </row>
    <row r="228" spans="1:33" x14ac:dyDescent="0.35">
      <c r="A228">
        <v>140</v>
      </c>
      <c r="B228" t="s">
        <v>345</v>
      </c>
      <c r="C228" t="s">
        <v>346</v>
      </c>
      <c r="D228" t="s">
        <v>62</v>
      </c>
      <c r="E228" t="s">
        <v>81</v>
      </c>
      <c r="F228" t="s">
        <v>347</v>
      </c>
      <c r="G228" s="1">
        <v>1997</v>
      </c>
      <c r="H228" s="1">
        <v>1</v>
      </c>
      <c r="I228" s="1">
        <v>0</v>
      </c>
      <c r="J228" s="2">
        <f>Table1[[#This Row],[STARTS]]/Table1[[#This Row],[MP]]</f>
        <v>0</v>
      </c>
      <c r="K228" s="1">
        <v>1</v>
      </c>
      <c r="L228" s="1">
        <v>0</v>
      </c>
      <c r="M228" s="1">
        <v>0</v>
      </c>
      <c r="N228" s="2">
        <f>Table1[[#This Row],[G]]/Table1[[#This Row],[MP]]</f>
        <v>0</v>
      </c>
      <c r="O228" s="2">
        <v>0</v>
      </c>
      <c r="P228" s="2">
        <f>Table1[[#This Row],[A]]/Table1[[#This Row],[MP]]</f>
        <v>0</v>
      </c>
      <c r="Q228" s="2">
        <v>0</v>
      </c>
      <c r="R228" s="2">
        <f>Table1[[#This Row],[PTS]]/Table1[[#This Row],[MP]]</f>
        <v>0</v>
      </c>
      <c r="S228" s="1">
        <v>0</v>
      </c>
      <c r="T228" s="1">
        <f>Table1[[#This Row],[G]]-Table1[[#This Row],[G_PK]]</f>
        <v>0</v>
      </c>
      <c r="U228" s="1">
        <v>0</v>
      </c>
      <c r="V228" s="1">
        <v>0</v>
      </c>
      <c r="W228" s="1">
        <v>0</v>
      </c>
      <c r="X228" s="1">
        <v>0</v>
      </c>
      <c r="Y228" s="1">
        <f>Table1[[#This Row],[CRDY]]+Table1[[#This Row],[CRDR]]</f>
        <v>0</v>
      </c>
      <c r="Z228" s="1">
        <v>0</v>
      </c>
      <c r="AA228" s="2">
        <f>Table1[[#This Row],[XG]]/Table1[[#This Row],[MP]]</f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</row>
    <row r="229" spans="1:33" x14ac:dyDescent="0.35">
      <c r="A229">
        <v>141</v>
      </c>
      <c r="B229" t="s">
        <v>348</v>
      </c>
      <c r="C229" t="s">
        <v>27</v>
      </c>
      <c r="D229" t="s">
        <v>28</v>
      </c>
      <c r="E229" t="s">
        <v>54</v>
      </c>
      <c r="F229" t="s">
        <v>349</v>
      </c>
      <c r="G229" s="1">
        <v>2003</v>
      </c>
      <c r="H229" s="1">
        <v>1</v>
      </c>
      <c r="I229" s="1">
        <v>0</v>
      </c>
      <c r="J229" s="2">
        <f>Table1[[#This Row],[STARTS]]/Table1[[#This Row],[MP]]</f>
        <v>0</v>
      </c>
      <c r="K229" s="1">
        <v>29</v>
      </c>
      <c r="L229" s="1">
        <v>0.3</v>
      </c>
      <c r="M229" s="1">
        <v>0</v>
      </c>
      <c r="N229" s="2">
        <f>Table1[[#This Row],[G]]/Table1[[#This Row],[MP]]</f>
        <v>0</v>
      </c>
      <c r="O229" s="2">
        <v>0</v>
      </c>
      <c r="P229" s="2">
        <f>Table1[[#This Row],[A]]/Table1[[#This Row],[MP]]</f>
        <v>0</v>
      </c>
      <c r="Q229" s="2">
        <v>0</v>
      </c>
      <c r="R229" s="2">
        <f>Table1[[#This Row],[PTS]]/Table1[[#This Row],[MP]]</f>
        <v>0</v>
      </c>
      <c r="S229" s="1">
        <v>0</v>
      </c>
      <c r="T229" s="1">
        <f>Table1[[#This Row],[G]]-Table1[[#This Row],[G_PK]]</f>
        <v>0</v>
      </c>
      <c r="U229" s="1">
        <v>0</v>
      </c>
      <c r="V229" s="1">
        <v>0</v>
      </c>
      <c r="W229" s="1">
        <v>0</v>
      </c>
      <c r="X229" s="1">
        <v>0</v>
      </c>
      <c r="Y229" s="1">
        <f>Table1[[#This Row],[CRDY]]+Table1[[#This Row],[CRDR]]</f>
        <v>0</v>
      </c>
      <c r="Z229" s="1">
        <v>0</v>
      </c>
      <c r="AA229" s="2">
        <f>Table1[[#This Row],[XG]]/Table1[[#This Row],[MP]]</f>
        <v>0</v>
      </c>
      <c r="AB229" s="1">
        <v>0</v>
      </c>
      <c r="AC229" s="1">
        <v>0</v>
      </c>
      <c r="AD229" s="1">
        <v>0</v>
      </c>
      <c r="AE229" s="1">
        <v>1</v>
      </c>
      <c r="AF229" s="1">
        <v>1</v>
      </c>
      <c r="AG229" s="1">
        <v>0</v>
      </c>
    </row>
    <row r="230" spans="1:33" x14ac:dyDescent="0.35">
      <c r="A230">
        <v>142</v>
      </c>
      <c r="B230" t="s">
        <v>350</v>
      </c>
      <c r="C230" t="s">
        <v>27</v>
      </c>
      <c r="D230" t="s">
        <v>37</v>
      </c>
      <c r="E230" t="s">
        <v>57</v>
      </c>
      <c r="F230" t="s">
        <v>351</v>
      </c>
      <c r="G230" s="1">
        <v>2008</v>
      </c>
      <c r="H230" s="1">
        <v>10</v>
      </c>
      <c r="I230" s="1">
        <v>0</v>
      </c>
      <c r="J230" s="2">
        <f>Table1[[#This Row],[STARTS]]/Table1[[#This Row],[MP]]</f>
        <v>0</v>
      </c>
      <c r="K230" s="1">
        <v>124</v>
      </c>
      <c r="L230" s="1">
        <v>1.4</v>
      </c>
      <c r="M230" s="1">
        <v>0</v>
      </c>
      <c r="N230" s="2">
        <f>Table1[[#This Row],[G]]/Table1[[#This Row],[MP]]</f>
        <v>0</v>
      </c>
      <c r="O230" s="2">
        <v>0</v>
      </c>
      <c r="P230" s="2">
        <f>Table1[[#This Row],[A]]/Table1[[#This Row],[MP]]</f>
        <v>0</v>
      </c>
      <c r="Q230" s="2">
        <v>0</v>
      </c>
      <c r="R230" s="2">
        <f>Table1[[#This Row],[PTS]]/Table1[[#This Row],[MP]]</f>
        <v>0</v>
      </c>
      <c r="S230" s="1">
        <v>0</v>
      </c>
      <c r="T230" s="1">
        <f>Table1[[#This Row],[G]]-Table1[[#This Row],[G_PK]]</f>
        <v>0</v>
      </c>
      <c r="U230" s="1">
        <v>0</v>
      </c>
      <c r="V230" s="1">
        <v>0</v>
      </c>
      <c r="W230" s="1">
        <v>0</v>
      </c>
      <c r="X230" s="1">
        <v>0</v>
      </c>
      <c r="Y230" s="1">
        <f>Table1[[#This Row],[CRDY]]+Table1[[#This Row],[CRDR]]</f>
        <v>0</v>
      </c>
      <c r="Z230" s="1">
        <v>0.2</v>
      </c>
      <c r="AA230" s="2">
        <f>Table1[[#This Row],[XG]]/Table1[[#This Row],[MP]]</f>
        <v>0.02</v>
      </c>
      <c r="AB230" s="1">
        <v>0.2</v>
      </c>
      <c r="AC230" s="1">
        <v>0.2</v>
      </c>
      <c r="AD230" s="1">
        <v>0.3</v>
      </c>
      <c r="AE230" s="1">
        <v>5</v>
      </c>
      <c r="AF230" s="1">
        <v>3</v>
      </c>
      <c r="AG230" s="1">
        <v>8</v>
      </c>
    </row>
    <row r="231" spans="1:33" x14ac:dyDescent="0.35">
      <c r="A231">
        <v>143</v>
      </c>
      <c r="B231" t="s">
        <v>352</v>
      </c>
      <c r="D231" t="s">
        <v>85</v>
      </c>
      <c r="E231" t="s">
        <v>164</v>
      </c>
      <c r="H231" s="1">
        <v>1</v>
      </c>
      <c r="I231" s="1">
        <v>0</v>
      </c>
      <c r="J231" s="2">
        <f>Table1[[#This Row],[STARTS]]/Table1[[#This Row],[MP]]</f>
        <v>0</v>
      </c>
      <c r="K231" s="1">
        <v>7</v>
      </c>
      <c r="L231" s="1">
        <v>0.1</v>
      </c>
      <c r="M231" s="1">
        <v>0</v>
      </c>
      <c r="N231" s="2">
        <f>Table1[[#This Row],[G]]/Table1[[#This Row],[MP]]</f>
        <v>0</v>
      </c>
      <c r="O231" s="2">
        <v>0</v>
      </c>
      <c r="P231" s="2">
        <f>Table1[[#This Row],[A]]/Table1[[#This Row],[MP]]</f>
        <v>0</v>
      </c>
      <c r="Q231" s="2">
        <v>0</v>
      </c>
      <c r="R231" s="2">
        <f>Table1[[#This Row],[PTS]]/Table1[[#This Row],[MP]]</f>
        <v>0</v>
      </c>
      <c r="S231" s="1">
        <v>0</v>
      </c>
      <c r="T231" s="1">
        <f>Table1[[#This Row],[G]]-Table1[[#This Row],[G_PK]]</f>
        <v>0</v>
      </c>
      <c r="U231" s="1">
        <v>0</v>
      </c>
      <c r="V231" s="1">
        <v>0</v>
      </c>
      <c r="W231" s="1">
        <v>0</v>
      </c>
      <c r="X231" s="1">
        <v>0</v>
      </c>
      <c r="Y231" s="1">
        <f>Table1[[#This Row],[CRDY]]+Table1[[#This Row],[CRDR]]</f>
        <v>0</v>
      </c>
      <c r="Z231" s="1">
        <v>0</v>
      </c>
      <c r="AA231" s="2">
        <f>Table1[[#This Row],[XG]]/Table1[[#This Row],[MP]]</f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4</v>
      </c>
    </row>
    <row r="232" spans="1:33" x14ac:dyDescent="0.35">
      <c r="A232">
        <v>147</v>
      </c>
      <c r="B232" t="s">
        <v>359</v>
      </c>
      <c r="C232" t="s">
        <v>27</v>
      </c>
      <c r="D232" t="s">
        <v>28</v>
      </c>
      <c r="E232" t="s">
        <v>54</v>
      </c>
      <c r="F232" t="s">
        <v>360</v>
      </c>
      <c r="G232" s="1">
        <v>2005</v>
      </c>
      <c r="H232" s="1">
        <v>8</v>
      </c>
      <c r="I232" s="1">
        <v>8</v>
      </c>
      <c r="J232" s="2">
        <f>Table1[[#This Row],[STARTS]]/Table1[[#This Row],[MP]]</f>
        <v>1</v>
      </c>
      <c r="K232" s="1">
        <v>708</v>
      </c>
      <c r="L232" s="1">
        <v>7.9</v>
      </c>
      <c r="M232" s="1">
        <v>0</v>
      </c>
      <c r="N232" s="2">
        <f>Table1[[#This Row],[G]]/Table1[[#This Row],[MP]]</f>
        <v>0</v>
      </c>
      <c r="O232" s="2">
        <v>0</v>
      </c>
      <c r="P232" s="2">
        <f>Table1[[#This Row],[A]]/Table1[[#This Row],[MP]]</f>
        <v>0</v>
      </c>
      <c r="Q232" s="2">
        <v>0</v>
      </c>
      <c r="R232" s="2">
        <f>Table1[[#This Row],[PTS]]/Table1[[#This Row],[MP]]</f>
        <v>0</v>
      </c>
      <c r="S232" s="1">
        <v>0</v>
      </c>
      <c r="T232" s="1">
        <f>Table1[[#This Row],[G]]-Table1[[#This Row],[G_PK]]</f>
        <v>0</v>
      </c>
      <c r="U232" s="1">
        <v>0</v>
      </c>
      <c r="V232" s="1">
        <v>0</v>
      </c>
      <c r="W232" s="1">
        <v>2</v>
      </c>
      <c r="X232" s="1">
        <v>0</v>
      </c>
      <c r="Y232" s="1">
        <f>Table1[[#This Row],[CRDY]]+Table1[[#This Row],[CRDR]]</f>
        <v>2</v>
      </c>
      <c r="Z232" s="1">
        <v>0.1</v>
      </c>
      <c r="AA232" s="2">
        <f>Table1[[#This Row],[XG]]/Table1[[#This Row],[MP]]</f>
        <v>1.2500000000000001E-2</v>
      </c>
      <c r="AB232" s="1">
        <v>0.1</v>
      </c>
      <c r="AC232" s="1">
        <v>0</v>
      </c>
      <c r="AD232" s="1">
        <v>0.1</v>
      </c>
      <c r="AE232" s="1">
        <v>1</v>
      </c>
      <c r="AF232" s="1">
        <v>11</v>
      </c>
      <c r="AG232" s="1">
        <v>0</v>
      </c>
    </row>
    <row r="233" spans="1:33" x14ac:dyDescent="0.35">
      <c r="A233">
        <v>148</v>
      </c>
      <c r="B233" t="s">
        <v>361</v>
      </c>
      <c r="C233" t="s">
        <v>27</v>
      </c>
      <c r="D233" t="s">
        <v>45</v>
      </c>
      <c r="E233" t="s">
        <v>107</v>
      </c>
      <c r="F233" t="s">
        <v>362</v>
      </c>
      <c r="G233" s="1">
        <v>1991</v>
      </c>
      <c r="H233" s="1">
        <v>12</v>
      </c>
      <c r="I233" s="1">
        <v>12</v>
      </c>
      <c r="J233" s="2">
        <f>Table1[[#This Row],[STARTS]]/Table1[[#This Row],[MP]]</f>
        <v>1</v>
      </c>
      <c r="K233" s="1">
        <v>1080</v>
      </c>
      <c r="L233" s="1">
        <v>12</v>
      </c>
      <c r="M233" s="1">
        <v>0</v>
      </c>
      <c r="N233" s="2">
        <f>Table1[[#This Row],[G]]/Table1[[#This Row],[MP]]</f>
        <v>0</v>
      </c>
      <c r="O233" s="2">
        <v>0</v>
      </c>
      <c r="P233" s="2">
        <f>Table1[[#This Row],[A]]/Table1[[#This Row],[MP]]</f>
        <v>0</v>
      </c>
      <c r="Q233" s="2">
        <v>0</v>
      </c>
      <c r="R233" s="2">
        <f>Table1[[#This Row],[PTS]]/Table1[[#This Row],[MP]]</f>
        <v>0</v>
      </c>
      <c r="S233" s="1">
        <v>0</v>
      </c>
      <c r="T233" s="1">
        <f>Table1[[#This Row],[G]]-Table1[[#This Row],[G_PK]]</f>
        <v>0</v>
      </c>
      <c r="U233" s="1">
        <v>0</v>
      </c>
      <c r="V233" s="1">
        <v>0</v>
      </c>
      <c r="W233" s="1">
        <v>0</v>
      </c>
      <c r="X233" s="1">
        <v>0</v>
      </c>
      <c r="Y233" s="1">
        <f>Table1[[#This Row],[CRDY]]+Table1[[#This Row],[CRDR]]</f>
        <v>0</v>
      </c>
      <c r="Z233" s="1">
        <v>0</v>
      </c>
      <c r="AA233" s="2">
        <f>Table1[[#This Row],[XG]]/Table1[[#This Row],[MP]]</f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2</v>
      </c>
      <c r="AG233" s="1">
        <v>0</v>
      </c>
    </row>
    <row r="234" spans="1:33" x14ac:dyDescent="0.35">
      <c r="A234">
        <v>149</v>
      </c>
      <c r="B234" t="s">
        <v>363</v>
      </c>
      <c r="C234" t="s">
        <v>27</v>
      </c>
      <c r="D234" t="s">
        <v>62</v>
      </c>
      <c r="E234" t="s">
        <v>101</v>
      </c>
      <c r="F234" t="s">
        <v>364</v>
      </c>
      <c r="G234" s="1">
        <v>1997</v>
      </c>
      <c r="H234" s="1">
        <v>3</v>
      </c>
      <c r="I234" s="1">
        <v>0</v>
      </c>
      <c r="J234" s="2">
        <f>Table1[[#This Row],[STARTS]]/Table1[[#This Row],[MP]]</f>
        <v>0</v>
      </c>
      <c r="K234" s="1">
        <v>38</v>
      </c>
      <c r="L234" s="1">
        <v>0.4</v>
      </c>
      <c r="M234" s="1">
        <v>0</v>
      </c>
      <c r="N234" s="2">
        <f>Table1[[#This Row],[G]]/Table1[[#This Row],[MP]]</f>
        <v>0</v>
      </c>
      <c r="O234" s="2">
        <v>0</v>
      </c>
      <c r="P234" s="2">
        <f>Table1[[#This Row],[A]]/Table1[[#This Row],[MP]]</f>
        <v>0</v>
      </c>
      <c r="Q234" s="2">
        <v>0</v>
      </c>
      <c r="R234" s="2">
        <f>Table1[[#This Row],[PTS]]/Table1[[#This Row],[MP]]</f>
        <v>0</v>
      </c>
      <c r="S234" s="1">
        <v>0</v>
      </c>
      <c r="T234" s="1">
        <f>Table1[[#This Row],[G]]-Table1[[#This Row],[G_PK]]</f>
        <v>0</v>
      </c>
      <c r="U234" s="1">
        <v>0</v>
      </c>
      <c r="V234" s="1">
        <v>0</v>
      </c>
      <c r="W234" s="1">
        <v>0</v>
      </c>
      <c r="X234" s="1">
        <v>0</v>
      </c>
      <c r="Y234" s="1">
        <f>Table1[[#This Row],[CRDY]]+Table1[[#This Row],[CRDR]]</f>
        <v>0</v>
      </c>
      <c r="Z234" s="1">
        <v>0</v>
      </c>
      <c r="AA234" s="2">
        <f>Table1[[#This Row],[XG]]/Table1[[#This Row],[MP]]</f>
        <v>0</v>
      </c>
      <c r="AB234" s="1">
        <v>0</v>
      </c>
      <c r="AC234" s="1">
        <v>0</v>
      </c>
      <c r="AD234" s="1">
        <v>0</v>
      </c>
      <c r="AE234" s="1">
        <v>2</v>
      </c>
      <c r="AF234" s="1">
        <v>2</v>
      </c>
      <c r="AG234" s="1">
        <v>4</v>
      </c>
    </row>
    <row r="235" spans="1:33" x14ac:dyDescent="0.35">
      <c r="A235">
        <v>154</v>
      </c>
      <c r="B235" t="s">
        <v>372</v>
      </c>
      <c r="C235" t="s">
        <v>373</v>
      </c>
      <c r="D235" t="s">
        <v>28</v>
      </c>
      <c r="E235" t="s">
        <v>57</v>
      </c>
      <c r="F235" t="s">
        <v>374</v>
      </c>
      <c r="G235" s="1">
        <v>1995</v>
      </c>
      <c r="H235" s="1">
        <v>3</v>
      </c>
      <c r="I235" s="1">
        <v>2</v>
      </c>
      <c r="J235" s="2">
        <f>Table1[[#This Row],[STARTS]]/Table1[[#This Row],[MP]]</f>
        <v>0.66666666666666663</v>
      </c>
      <c r="K235" s="1">
        <v>155</v>
      </c>
      <c r="L235" s="1">
        <v>1.7</v>
      </c>
      <c r="M235" s="1">
        <v>0</v>
      </c>
      <c r="N235" s="2">
        <f>Table1[[#This Row],[G]]/Table1[[#This Row],[MP]]</f>
        <v>0</v>
      </c>
      <c r="O235" s="2">
        <v>0</v>
      </c>
      <c r="P235" s="2">
        <f>Table1[[#This Row],[A]]/Table1[[#This Row],[MP]]</f>
        <v>0</v>
      </c>
      <c r="Q235" s="2">
        <v>0</v>
      </c>
      <c r="R235" s="2">
        <f>Table1[[#This Row],[PTS]]/Table1[[#This Row],[MP]]</f>
        <v>0</v>
      </c>
      <c r="S235" s="1">
        <v>0</v>
      </c>
      <c r="T235" s="1">
        <f>Table1[[#This Row],[G]]-Table1[[#This Row],[G_PK]]</f>
        <v>0</v>
      </c>
      <c r="U235" s="1">
        <v>0</v>
      </c>
      <c r="V235" s="1">
        <v>0</v>
      </c>
      <c r="W235" s="1">
        <v>0</v>
      </c>
      <c r="X235" s="1">
        <v>0</v>
      </c>
      <c r="Y235" s="1">
        <f>Table1[[#This Row],[CRDY]]+Table1[[#This Row],[CRDR]]</f>
        <v>0</v>
      </c>
      <c r="Z235" s="1">
        <v>0.1</v>
      </c>
      <c r="AA235" s="2">
        <f>Table1[[#This Row],[XG]]/Table1[[#This Row],[MP]]</f>
        <v>3.3333333333333333E-2</v>
      </c>
      <c r="AB235" s="1">
        <v>0.1</v>
      </c>
      <c r="AC235" s="1">
        <v>0</v>
      </c>
      <c r="AD235" s="1">
        <v>0.1</v>
      </c>
      <c r="AE235" s="1">
        <v>4</v>
      </c>
      <c r="AF235" s="1">
        <v>9</v>
      </c>
      <c r="AG235" s="1">
        <v>0</v>
      </c>
    </row>
    <row r="236" spans="1:33" x14ac:dyDescent="0.35">
      <c r="A236">
        <v>158</v>
      </c>
      <c r="B236" t="s">
        <v>381</v>
      </c>
      <c r="C236" t="s">
        <v>27</v>
      </c>
      <c r="D236" t="s">
        <v>62</v>
      </c>
      <c r="E236" t="s">
        <v>101</v>
      </c>
      <c r="F236" t="s">
        <v>382</v>
      </c>
      <c r="G236" s="1">
        <v>1995</v>
      </c>
      <c r="H236" s="1">
        <v>3</v>
      </c>
      <c r="I236" s="1">
        <v>1</v>
      </c>
      <c r="J236" s="2">
        <f>Table1[[#This Row],[STARTS]]/Table1[[#This Row],[MP]]</f>
        <v>0.33333333333333331</v>
      </c>
      <c r="K236" s="1">
        <v>73</v>
      </c>
      <c r="L236" s="1">
        <v>0.8</v>
      </c>
      <c r="M236" s="1">
        <v>0</v>
      </c>
      <c r="N236" s="2">
        <f>Table1[[#This Row],[G]]/Table1[[#This Row],[MP]]</f>
        <v>0</v>
      </c>
      <c r="O236" s="2">
        <v>0</v>
      </c>
      <c r="P236" s="2">
        <f>Table1[[#This Row],[A]]/Table1[[#This Row],[MP]]</f>
        <v>0</v>
      </c>
      <c r="Q236" s="2">
        <v>0</v>
      </c>
      <c r="R236" s="2">
        <f>Table1[[#This Row],[PTS]]/Table1[[#This Row],[MP]]</f>
        <v>0</v>
      </c>
      <c r="S236" s="1">
        <v>0</v>
      </c>
      <c r="T236" s="1">
        <f>Table1[[#This Row],[G]]-Table1[[#This Row],[G_PK]]</f>
        <v>0</v>
      </c>
      <c r="U236" s="1">
        <v>0</v>
      </c>
      <c r="V236" s="1">
        <v>0</v>
      </c>
      <c r="W236" s="1">
        <v>0</v>
      </c>
      <c r="X236" s="1">
        <v>0</v>
      </c>
      <c r="Y236" s="1">
        <f>Table1[[#This Row],[CRDY]]+Table1[[#This Row],[CRDR]]</f>
        <v>0</v>
      </c>
      <c r="Z236" s="1">
        <v>0.2</v>
      </c>
      <c r="AA236" s="2">
        <f>Table1[[#This Row],[XG]]/Table1[[#This Row],[MP]]</f>
        <v>6.6666666666666666E-2</v>
      </c>
      <c r="AB236" s="1">
        <v>0.2</v>
      </c>
      <c r="AC236" s="1">
        <v>0</v>
      </c>
      <c r="AD236" s="1">
        <v>0.2</v>
      </c>
      <c r="AE236" s="1">
        <v>1</v>
      </c>
      <c r="AF236" s="1">
        <v>8</v>
      </c>
      <c r="AG236" s="1">
        <v>5</v>
      </c>
    </row>
    <row r="237" spans="1:33" x14ac:dyDescent="0.35">
      <c r="A237">
        <v>160</v>
      </c>
      <c r="B237" t="s">
        <v>385</v>
      </c>
      <c r="C237" t="s">
        <v>27</v>
      </c>
      <c r="D237" t="s">
        <v>62</v>
      </c>
      <c r="E237" t="s">
        <v>29</v>
      </c>
      <c r="F237" t="s">
        <v>386</v>
      </c>
      <c r="G237" s="1">
        <v>2004</v>
      </c>
      <c r="H237" s="1">
        <v>13</v>
      </c>
      <c r="I237" s="1">
        <v>4</v>
      </c>
      <c r="J237" s="2">
        <f>Table1[[#This Row],[STARTS]]/Table1[[#This Row],[MP]]</f>
        <v>0.30769230769230771</v>
      </c>
      <c r="K237" s="1">
        <v>486</v>
      </c>
      <c r="L237" s="1">
        <v>5.4</v>
      </c>
      <c r="M237" s="1">
        <v>0</v>
      </c>
      <c r="N237" s="2">
        <f>Table1[[#This Row],[G]]/Table1[[#This Row],[MP]]</f>
        <v>0</v>
      </c>
      <c r="O237" s="2">
        <v>0</v>
      </c>
      <c r="P237" s="2">
        <f>Table1[[#This Row],[A]]/Table1[[#This Row],[MP]]</f>
        <v>0</v>
      </c>
      <c r="Q237" s="2">
        <v>0</v>
      </c>
      <c r="R237" s="2">
        <f>Table1[[#This Row],[PTS]]/Table1[[#This Row],[MP]]</f>
        <v>0</v>
      </c>
      <c r="S237" s="1">
        <v>0</v>
      </c>
      <c r="T237" s="1">
        <f>Table1[[#This Row],[G]]-Table1[[#This Row],[G_PK]]</f>
        <v>0</v>
      </c>
      <c r="U237" s="1">
        <v>0</v>
      </c>
      <c r="V237" s="1">
        <v>0</v>
      </c>
      <c r="W237" s="1">
        <v>3</v>
      </c>
      <c r="X237" s="1">
        <v>0</v>
      </c>
      <c r="Y237" s="1">
        <f>Table1[[#This Row],[CRDY]]+Table1[[#This Row],[CRDR]]</f>
        <v>3</v>
      </c>
      <c r="Z237" s="1">
        <v>0.5</v>
      </c>
      <c r="AA237" s="2">
        <f>Table1[[#This Row],[XG]]/Table1[[#This Row],[MP]]</f>
        <v>3.8461538461538464E-2</v>
      </c>
      <c r="AB237" s="1">
        <v>0.5</v>
      </c>
      <c r="AC237" s="1">
        <v>0.3</v>
      </c>
      <c r="AD237" s="1">
        <v>0.8</v>
      </c>
      <c r="AE237" s="1">
        <v>3</v>
      </c>
      <c r="AF237" s="1">
        <v>35</v>
      </c>
      <c r="AG237" s="1">
        <v>15</v>
      </c>
    </row>
    <row r="238" spans="1:33" x14ac:dyDescent="0.35">
      <c r="A238">
        <v>162</v>
      </c>
      <c r="B238" t="s">
        <v>389</v>
      </c>
      <c r="C238" t="s">
        <v>27</v>
      </c>
      <c r="D238" t="s">
        <v>28</v>
      </c>
      <c r="E238" t="s">
        <v>51</v>
      </c>
      <c r="F238" t="s">
        <v>390</v>
      </c>
      <c r="G238" s="1">
        <v>1994</v>
      </c>
      <c r="H238" s="1">
        <v>12</v>
      </c>
      <c r="I238" s="1">
        <v>12</v>
      </c>
      <c r="J238" s="2">
        <f>Table1[[#This Row],[STARTS]]/Table1[[#This Row],[MP]]</f>
        <v>1</v>
      </c>
      <c r="K238" s="1">
        <v>1080</v>
      </c>
      <c r="L238" s="1">
        <v>12</v>
      </c>
      <c r="M238" s="1">
        <v>0</v>
      </c>
      <c r="N238" s="2">
        <f>Table1[[#This Row],[G]]/Table1[[#This Row],[MP]]</f>
        <v>0</v>
      </c>
      <c r="O238" s="2">
        <v>0</v>
      </c>
      <c r="P238" s="2">
        <f>Table1[[#This Row],[A]]/Table1[[#This Row],[MP]]</f>
        <v>0</v>
      </c>
      <c r="Q238" s="2">
        <v>0</v>
      </c>
      <c r="R238" s="2">
        <f>Table1[[#This Row],[PTS]]/Table1[[#This Row],[MP]]</f>
        <v>0</v>
      </c>
      <c r="S238" s="1">
        <v>0</v>
      </c>
      <c r="T238" s="1">
        <f>Table1[[#This Row],[G]]-Table1[[#This Row],[G_PK]]</f>
        <v>0</v>
      </c>
      <c r="U238" s="1">
        <v>0</v>
      </c>
      <c r="V238" s="1">
        <v>0</v>
      </c>
      <c r="W238" s="1">
        <v>0</v>
      </c>
      <c r="X238" s="1">
        <v>0</v>
      </c>
      <c r="Y238" s="1">
        <f>Table1[[#This Row],[CRDY]]+Table1[[#This Row],[CRDR]]</f>
        <v>0</v>
      </c>
      <c r="Z238" s="1">
        <v>0.7</v>
      </c>
      <c r="AA238" s="2">
        <f>Table1[[#This Row],[XG]]/Table1[[#This Row],[MP]]</f>
        <v>5.8333333333333327E-2</v>
      </c>
      <c r="AB238" s="1">
        <v>0.7</v>
      </c>
      <c r="AC238" s="1">
        <v>0.6</v>
      </c>
      <c r="AD238" s="1">
        <v>1.3</v>
      </c>
      <c r="AE238" s="1">
        <v>0</v>
      </c>
      <c r="AF238" s="1">
        <v>14</v>
      </c>
      <c r="AG238" s="1">
        <v>0</v>
      </c>
    </row>
    <row r="239" spans="1:33" x14ac:dyDescent="0.35">
      <c r="A239">
        <v>164</v>
      </c>
      <c r="B239" t="s">
        <v>393</v>
      </c>
      <c r="C239" t="s">
        <v>27</v>
      </c>
      <c r="D239" t="s">
        <v>62</v>
      </c>
      <c r="E239" t="s">
        <v>164</v>
      </c>
      <c r="F239" t="s">
        <v>394</v>
      </c>
      <c r="G239" s="1">
        <v>1999</v>
      </c>
      <c r="H239" s="1">
        <v>1</v>
      </c>
      <c r="I239" s="1">
        <v>0</v>
      </c>
      <c r="J239" s="2">
        <f>Table1[[#This Row],[STARTS]]/Table1[[#This Row],[MP]]</f>
        <v>0</v>
      </c>
      <c r="K239" s="1">
        <v>7</v>
      </c>
      <c r="L239" s="1">
        <v>0.1</v>
      </c>
      <c r="M239" s="1">
        <v>0</v>
      </c>
      <c r="N239" s="2">
        <f>Table1[[#This Row],[G]]/Table1[[#This Row],[MP]]</f>
        <v>0</v>
      </c>
      <c r="O239" s="2">
        <v>0</v>
      </c>
      <c r="P239" s="2">
        <f>Table1[[#This Row],[A]]/Table1[[#This Row],[MP]]</f>
        <v>0</v>
      </c>
      <c r="Q239" s="2">
        <v>0</v>
      </c>
      <c r="R239" s="2">
        <f>Table1[[#This Row],[PTS]]/Table1[[#This Row],[MP]]</f>
        <v>0</v>
      </c>
      <c r="S239" s="1">
        <v>0</v>
      </c>
      <c r="T239" s="1">
        <f>Table1[[#This Row],[G]]-Table1[[#This Row],[G_PK]]</f>
        <v>0</v>
      </c>
      <c r="U239" s="1">
        <v>0</v>
      </c>
      <c r="V239" s="1">
        <v>0</v>
      </c>
      <c r="W239" s="1">
        <v>0</v>
      </c>
      <c r="X239" s="1">
        <v>0</v>
      </c>
      <c r="Y239" s="1">
        <f>Table1[[#This Row],[CRDY]]+Table1[[#This Row],[CRDR]]</f>
        <v>0</v>
      </c>
      <c r="Z239" s="1">
        <v>0</v>
      </c>
      <c r="AA239" s="2">
        <f>Table1[[#This Row],[XG]]/Table1[[#This Row],[MP]]</f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2</v>
      </c>
      <c r="AG239" s="1">
        <v>0</v>
      </c>
    </row>
    <row r="240" spans="1:33" x14ac:dyDescent="0.35">
      <c r="A240">
        <v>165</v>
      </c>
      <c r="B240" t="s">
        <v>395</v>
      </c>
      <c r="C240" t="s">
        <v>27</v>
      </c>
      <c r="D240" t="s">
        <v>85</v>
      </c>
      <c r="E240" t="s">
        <v>81</v>
      </c>
      <c r="F240" t="s">
        <v>396</v>
      </c>
      <c r="G240" s="1">
        <v>2007</v>
      </c>
      <c r="H240" s="1">
        <v>4</v>
      </c>
      <c r="I240" s="1">
        <v>0</v>
      </c>
      <c r="J240" s="2">
        <f>Table1[[#This Row],[STARTS]]/Table1[[#This Row],[MP]]</f>
        <v>0</v>
      </c>
      <c r="K240" s="1">
        <v>47</v>
      </c>
      <c r="L240" s="1">
        <v>0.5</v>
      </c>
      <c r="M240" s="1">
        <v>0</v>
      </c>
      <c r="N240" s="2">
        <f>Table1[[#This Row],[G]]/Table1[[#This Row],[MP]]</f>
        <v>0</v>
      </c>
      <c r="O240" s="2">
        <v>0</v>
      </c>
      <c r="P240" s="2">
        <f>Table1[[#This Row],[A]]/Table1[[#This Row],[MP]]</f>
        <v>0</v>
      </c>
      <c r="Q240" s="2">
        <v>0</v>
      </c>
      <c r="R240" s="2">
        <f>Table1[[#This Row],[PTS]]/Table1[[#This Row],[MP]]</f>
        <v>0</v>
      </c>
      <c r="S240" s="1">
        <v>0</v>
      </c>
      <c r="T240" s="1">
        <f>Table1[[#This Row],[G]]-Table1[[#This Row],[G_PK]]</f>
        <v>0</v>
      </c>
      <c r="U240" s="1">
        <v>0</v>
      </c>
      <c r="V240" s="1">
        <v>0</v>
      </c>
      <c r="W240" s="1">
        <v>0</v>
      </c>
      <c r="X240" s="1">
        <v>0</v>
      </c>
      <c r="Y240" s="1">
        <f>Table1[[#This Row],[CRDY]]+Table1[[#This Row],[CRDR]]</f>
        <v>0</v>
      </c>
      <c r="Z240" s="1">
        <v>0</v>
      </c>
      <c r="AA240" s="2">
        <f>Table1[[#This Row],[XG]]/Table1[[#This Row],[MP]]</f>
        <v>0</v>
      </c>
      <c r="AB240" s="1">
        <v>0</v>
      </c>
      <c r="AC240" s="1">
        <v>0</v>
      </c>
      <c r="AD240" s="1">
        <v>0</v>
      </c>
      <c r="AE240" s="1">
        <v>2</v>
      </c>
      <c r="AF240" s="1">
        <v>2</v>
      </c>
      <c r="AG240" s="1">
        <v>7</v>
      </c>
    </row>
    <row r="241" spans="1:33" x14ac:dyDescent="0.35">
      <c r="A241">
        <v>167</v>
      </c>
      <c r="B241" t="s">
        <v>399</v>
      </c>
      <c r="C241" t="s">
        <v>41</v>
      </c>
      <c r="D241" t="s">
        <v>45</v>
      </c>
      <c r="E241" t="s">
        <v>81</v>
      </c>
      <c r="F241" t="s">
        <v>400</v>
      </c>
      <c r="G241" s="1">
        <v>1997</v>
      </c>
      <c r="H241" s="1">
        <v>13</v>
      </c>
      <c r="I241" s="1">
        <v>13</v>
      </c>
      <c r="J241" s="2">
        <f>Table1[[#This Row],[STARTS]]/Table1[[#This Row],[MP]]</f>
        <v>1</v>
      </c>
      <c r="K241" s="1">
        <v>1170</v>
      </c>
      <c r="L241" s="1">
        <v>13</v>
      </c>
      <c r="M241" s="1">
        <v>0</v>
      </c>
      <c r="N241" s="2">
        <f>Table1[[#This Row],[G]]/Table1[[#This Row],[MP]]</f>
        <v>0</v>
      </c>
      <c r="O241" s="2">
        <v>0</v>
      </c>
      <c r="P241" s="2">
        <f>Table1[[#This Row],[A]]/Table1[[#This Row],[MP]]</f>
        <v>0</v>
      </c>
      <c r="Q241" s="2">
        <v>0</v>
      </c>
      <c r="R241" s="2">
        <f>Table1[[#This Row],[PTS]]/Table1[[#This Row],[MP]]</f>
        <v>0</v>
      </c>
      <c r="S241" s="1">
        <v>0</v>
      </c>
      <c r="T241" s="1">
        <f>Table1[[#This Row],[G]]-Table1[[#This Row],[G_PK]]</f>
        <v>0</v>
      </c>
      <c r="U241" s="1">
        <v>0</v>
      </c>
      <c r="V241" s="1">
        <v>0</v>
      </c>
      <c r="W241" s="1">
        <v>0</v>
      </c>
      <c r="X241" s="1">
        <v>0</v>
      </c>
      <c r="Y241" s="1">
        <f>Table1[[#This Row],[CRDY]]+Table1[[#This Row],[CRDR]]</f>
        <v>0</v>
      </c>
      <c r="Z241" s="1">
        <v>0</v>
      </c>
      <c r="AA241" s="2">
        <f>Table1[[#This Row],[XG]]/Table1[[#This Row],[MP]]</f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</row>
    <row r="242" spans="1:33" x14ac:dyDescent="0.35">
      <c r="A242">
        <v>169</v>
      </c>
      <c r="B242" t="s">
        <v>403</v>
      </c>
      <c r="C242" t="s">
        <v>27</v>
      </c>
      <c r="D242" t="s">
        <v>45</v>
      </c>
      <c r="E242" t="s">
        <v>71</v>
      </c>
      <c r="F242" t="s">
        <v>404</v>
      </c>
      <c r="G242" s="1">
        <v>1996</v>
      </c>
      <c r="H242" s="1">
        <v>6</v>
      </c>
      <c r="I242" s="1">
        <v>6</v>
      </c>
      <c r="J242" s="2">
        <f>Table1[[#This Row],[STARTS]]/Table1[[#This Row],[MP]]</f>
        <v>1</v>
      </c>
      <c r="K242" s="1">
        <v>540</v>
      </c>
      <c r="L242" s="1">
        <v>6</v>
      </c>
      <c r="M242" s="1">
        <v>0</v>
      </c>
      <c r="N242" s="2">
        <f>Table1[[#This Row],[G]]/Table1[[#This Row],[MP]]</f>
        <v>0</v>
      </c>
      <c r="O242" s="2">
        <v>0</v>
      </c>
      <c r="P242" s="2">
        <f>Table1[[#This Row],[A]]/Table1[[#This Row],[MP]]</f>
        <v>0</v>
      </c>
      <c r="Q242" s="2">
        <v>0</v>
      </c>
      <c r="R242" s="2">
        <f>Table1[[#This Row],[PTS]]/Table1[[#This Row],[MP]]</f>
        <v>0</v>
      </c>
      <c r="S242" s="1">
        <v>0</v>
      </c>
      <c r="T242" s="1">
        <f>Table1[[#This Row],[G]]-Table1[[#This Row],[G_PK]]</f>
        <v>0</v>
      </c>
      <c r="U242" s="1">
        <v>0</v>
      </c>
      <c r="V242" s="1">
        <v>0</v>
      </c>
      <c r="W242" s="1">
        <v>0</v>
      </c>
      <c r="X242" s="1">
        <v>0</v>
      </c>
      <c r="Y242" s="1">
        <f>Table1[[#This Row],[CRDY]]+Table1[[#This Row],[CRDR]]</f>
        <v>0</v>
      </c>
      <c r="Z242" s="1">
        <v>0</v>
      </c>
      <c r="AA242" s="2">
        <f>Table1[[#This Row],[XG]]/Table1[[#This Row],[MP]]</f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</row>
    <row r="243" spans="1:33" x14ac:dyDescent="0.35">
      <c r="A243">
        <v>171</v>
      </c>
      <c r="B243" t="s">
        <v>407</v>
      </c>
      <c r="C243" t="s">
        <v>27</v>
      </c>
      <c r="D243" t="s">
        <v>32</v>
      </c>
      <c r="E243" t="s">
        <v>42</v>
      </c>
      <c r="F243" t="s">
        <v>408</v>
      </c>
      <c r="G243" s="1">
        <v>1995</v>
      </c>
      <c r="H243" s="1">
        <v>8</v>
      </c>
      <c r="I243" s="1">
        <v>4</v>
      </c>
      <c r="J243" s="2">
        <f>Table1[[#This Row],[STARTS]]/Table1[[#This Row],[MP]]</f>
        <v>0.5</v>
      </c>
      <c r="K243" s="1">
        <v>374</v>
      </c>
      <c r="L243" s="1">
        <v>4.2</v>
      </c>
      <c r="M243" s="1">
        <v>0</v>
      </c>
      <c r="N243" s="2">
        <f>Table1[[#This Row],[G]]/Table1[[#This Row],[MP]]</f>
        <v>0</v>
      </c>
      <c r="O243" s="2">
        <v>0</v>
      </c>
      <c r="P243" s="2">
        <f>Table1[[#This Row],[A]]/Table1[[#This Row],[MP]]</f>
        <v>0</v>
      </c>
      <c r="Q243" s="2">
        <v>0</v>
      </c>
      <c r="R243" s="2">
        <f>Table1[[#This Row],[PTS]]/Table1[[#This Row],[MP]]</f>
        <v>0</v>
      </c>
      <c r="S243" s="1">
        <v>0</v>
      </c>
      <c r="T243" s="1">
        <f>Table1[[#This Row],[G]]-Table1[[#This Row],[G_PK]]</f>
        <v>0</v>
      </c>
      <c r="U243" s="1">
        <v>0</v>
      </c>
      <c r="V243" s="1">
        <v>0</v>
      </c>
      <c r="W243" s="1">
        <v>1</v>
      </c>
      <c r="X243" s="1">
        <v>0</v>
      </c>
      <c r="Y243" s="1">
        <f>Table1[[#This Row],[CRDY]]+Table1[[#This Row],[CRDR]]</f>
        <v>1</v>
      </c>
      <c r="Z243" s="1">
        <v>1</v>
      </c>
      <c r="AA243" s="2">
        <f>Table1[[#This Row],[XG]]/Table1[[#This Row],[MP]]</f>
        <v>0.125</v>
      </c>
      <c r="AB243" s="1">
        <v>1</v>
      </c>
      <c r="AC243" s="1">
        <v>0.3</v>
      </c>
      <c r="AD243" s="1">
        <v>1.4</v>
      </c>
      <c r="AE243" s="1">
        <v>6</v>
      </c>
      <c r="AF243" s="1">
        <v>13</v>
      </c>
      <c r="AG243" s="1">
        <v>33</v>
      </c>
    </row>
    <row r="244" spans="1:33" x14ac:dyDescent="0.35">
      <c r="A244">
        <v>173</v>
      </c>
      <c r="B244" t="s">
        <v>411</v>
      </c>
      <c r="C244" t="s">
        <v>232</v>
      </c>
      <c r="D244" t="s">
        <v>45</v>
      </c>
      <c r="E244" t="s">
        <v>107</v>
      </c>
      <c r="F244" t="s">
        <v>412</v>
      </c>
      <c r="G244" s="1">
        <v>1998</v>
      </c>
      <c r="H244" s="1">
        <v>1</v>
      </c>
      <c r="I244" s="1">
        <v>1</v>
      </c>
      <c r="J244" s="2">
        <f>Table1[[#This Row],[STARTS]]/Table1[[#This Row],[MP]]</f>
        <v>1</v>
      </c>
      <c r="K244" s="1">
        <v>90</v>
      </c>
      <c r="L244" s="1">
        <v>1</v>
      </c>
      <c r="M244" s="1">
        <v>0</v>
      </c>
      <c r="N244" s="2">
        <f>Table1[[#This Row],[G]]/Table1[[#This Row],[MP]]</f>
        <v>0</v>
      </c>
      <c r="O244" s="2">
        <v>0</v>
      </c>
      <c r="P244" s="2">
        <f>Table1[[#This Row],[A]]/Table1[[#This Row],[MP]]</f>
        <v>0</v>
      </c>
      <c r="Q244" s="2">
        <v>0</v>
      </c>
      <c r="R244" s="2">
        <f>Table1[[#This Row],[PTS]]/Table1[[#This Row],[MP]]</f>
        <v>0</v>
      </c>
      <c r="S244" s="1">
        <v>0</v>
      </c>
      <c r="T244" s="1">
        <f>Table1[[#This Row],[G]]-Table1[[#This Row],[G_PK]]</f>
        <v>0</v>
      </c>
      <c r="U244" s="1">
        <v>0</v>
      </c>
      <c r="V244" s="1">
        <v>0</v>
      </c>
      <c r="W244" s="1">
        <v>0</v>
      </c>
      <c r="X244" s="1">
        <v>0</v>
      </c>
      <c r="Y244" s="1">
        <f>Table1[[#This Row],[CRDY]]+Table1[[#This Row],[CRDR]]</f>
        <v>0</v>
      </c>
      <c r="Z244" s="1">
        <v>0</v>
      </c>
      <c r="AA244" s="2">
        <f>Table1[[#This Row],[XG]]/Table1[[#This Row],[MP]]</f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</row>
    <row r="245" spans="1:33" x14ac:dyDescent="0.35">
      <c r="A245">
        <v>174</v>
      </c>
      <c r="B245" t="s">
        <v>413</v>
      </c>
      <c r="C245" t="s">
        <v>27</v>
      </c>
      <c r="D245" t="s">
        <v>45</v>
      </c>
      <c r="E245" t="s">
        <v>57</v>
      </c>
      <c r="F245" t="s">
        <v>414</v>
      </c>
      <c r="G245" s="1">
        <v>2001</v>
      </c>
      <c r="H245" s="1">
        <v>4</v>
      </c>
      <c r="I245" s="1">
        <v>3</v>
      </c>
      <c r="J245" s="2">
        <f>Table1[[#This Row],[STARTS]]/Table1[[#This Row],[MP]]</f>
        <v>0.75</v>
      </c>
      <c r="K245" s="1">
        <v>271</v>
      </c>
      <c r="L245" s="1">
        <v>3</v>
      </c>
      <c r="M245" s="1">
        <v>0</v>
      </c>
      <c r="N245" s="2">
        <f>Table1[[#This Row],[G]]/Table1[[#This Row],[MP]]</f>
        <v>0</v>
      </c>
      <c r="O245" s="2">
        <v>0</v>
      </c>
      <c r="P245" s="2">
        <f>Table1[[#This Row],[A]]/Table1[[#This Row],[MP]]</f>
        <v>0</v>
      </c>
      <c r="Q245" s="2">
        <v>0</v>
      </c>
      <c r="R245" s="2">
        <f>Table1[[#This Row],[PTS]]/Table1[[#This Row],[MP]]</f>
        <v>0</v>
      </c>
      <c r="S245" s="1">
        <v>0</v>
      </c>
      <c r="T245" s="1">
        <f>Table1[[#This Row],[G]]-Table1[[#This Row],[G_PK]]</f>
        <v>0</v>
      </c>
      <c r="U245" s="1">
        <v>0</v>
      </c>
      <c r="V245" s="1">
        <v>0</v>
      </c>
      <c r="W245" s="1">
        <v>0</v>
      </c>
      <c r="X245" s="1">
        <v>0</v>
      </c>
      <c r="Y245" s="1">
        <f>Table1[[#This Row],[CRDY]]+Table1[[#This Row],[CRDR]]</f>
        <v>0</v>
      </c>
      <c r="Z245" s="1">
        <v>0</v>
      </c>
      <c r="AA245" s="2">
        <f>Table1[[#This Row],[XG]]/Table1[[#This Row],[MP]]</f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</row>
    <row r="246" spans="1:33" x14ac:dyDescent="0.35">
      <c r="A246">
        <v>175</v>
      </c>
      <c r="B246" t="s">
        <v>415</v>
      </c>
      <c r="C246" t="s">
        <v>41</v>
      </c>
      <c r="D246" t="s">
        <v>62</v>
      </c>
      <c r="E246" t="s">
        <v>54</v>
      </c>
      <c r="F246" t="s">
        <v>416</v>
      </c>
      <c r="G246" s="1">
        <v>2004</v>
      </c>
      <c r="H246" s="1">
        <v>1</v>
      </c>
      <c r="I246" s="1">
        <v>0</v>
      </c>
      <c r="J246" s="2">
        <f>Table1[[#This Row],[STARTS]]/Table1[[#This Row],[MP]]</f>
        <v>0</v>
      </c>
      <c r="K246" s="1">
        <v>6</v>
      </c>
      <c r="L246" s="1">
        <v>0.1</v>
      </c>
      <c r="M246" s="1">
        <v>0</v>
      </c>
      <c r="N246" s="2">
        <f>Table1[[#This Row],[G]]/Table1[[#This Row],[MP]]</f>
        <v>0</v>
      </c>
      <c r="O246" s="2">
        <v>0</v>
      </c>
      <c r="P246" s="2">
        <f>Table1[[#This Row],[A]]/Table1[[#This Row],[MP]]</f>
        <v>0</v>
      </c>
      <c r="Q246" s="2">
        <v>0</v>
      </c>
      <c r="R246" s="2">
        <f>Table1[[#This Row],[PTS]]/Table1[[#This Row],[MP]]</f>
        <v>0</v>
      </c>
      <c r="S246" s="1">
        <v>0</v>
      </c>
      <c r="T246" s="1">
        <f>Table1[[#This Row],[G]]-Table1[[#This Row],[G_PK]]</f>
        <v>0</v>
      </c>
      <c r="U246" s="1">
        <v>0</v>
      </c>
      <c r="V246" s="1">
        <v>0</v>
      </c>
      <c r="W246" s="1">
        <v>0</v>
      </c>
      <c r="X246" s="1">
        <v>0</v>
      </c>
      <c r="Y246" s="1">
        <f>Table1[[#This Row],[CRDY]]+Table1[[#This Row],[CRDR]]</f>
        <v>0</v>
      </c>
      <c r="Z246" s="1">
        <v>0.2</v>
      </c>
      <c r="AA246" s="2">
        <f>Table1[[#This Row],[XG]]/Table1[[#This Row],[MP]]</f>
        <v>0.2</v>
      </c>
      <c r="AB246" s="1">
        <v>0.2</v>
      </c>
      <c r="AC246" s="1">
        <v>0</v>
      </c>
      <c r="AD246" s="1">
        <v>0.2</v>
      </c>
      <c r="AE246" s="1">
        <v>0</v>
      </c>
      <c r="AF246" s="1">
        <v>0</v>
      </c>
      <c r="AG246" s="1">
        <v>0</v>
      </c>
    </row>
    <row r="247" spans="1:33" x14ac:dyDescent="0.35">
      <c r="A247">
        <v>176</v>
      </c>
      <c r="B247" t="s">
        <v>417</v>
      </c>
      <c r="C247" t="s">
        <v>27</v>
      </c>
      <c r="D247" t="s">
        <v>28</v>
      </c>
      <c r="E247" t="s">
        <v>57</v>
      </c>
      <c r="F247" t="s">
        <v>418</v>
      </c>
      <c r="G247" s="1">
        <v>1999</v>
      </c>
      <c r="H247" s="1">
        <v>13</v>
      </c>
      <c r="I247" s="1">
        <v>13</v>
      </c>
      <c r="J247" s="2">
        <f>Table1[[#This Row],[STARTS]]/Table1[[#This Row],[MP]]</f>
        <v>1</v>
      </c>
      <c r="K247" s="1">
        <v>1170</v>
      </c>
      <c r="L247" s="1">
        <v>13</v>
      </c>
      <c r="M247" s="1">
        <v>0</v>
      </c>
      <c r="N247" s="2">
        <f>Table1[[#This Row],[G]]/Table1[[#This Row],[MP]]</f>
        <v>0</v>
      </c>
      <c r="O247" s="2">
        <v>0</v>
      </c>
      <c r="P247" s="2">
        <f>Table1[[#This Row],[A]]/Table1[[#This Row],[MP]]</f>
        <v>0</v>
      </c>
      <c r="Q247" s="2">
        <v>0</v>
      </c>
      <c r="R247" s="2">
        <f>Table1[[#This Row],[PTS]]/Table1[[#This Row],[MP]]</f>
        <v>0</v>
      </c>
      <c r="S247" s="1">
        <v>0</v>
      </c>
      <c r="T247" s="1">
        <f>Table1[[#This Row],[G]]-Table1[[#This Row],[G_PK]]</f>
        <v>0</v>
      </c>
      <c r="U247" s="1">
        <v>0</v>
      </c>
      <c r="V247" s="1">
        <v>0</v>
      </c>
      <c r="W247" s="1">
        <v>3</v>
      </c>
      <c r="X247" s="1">
        <v>0</v>
      </c>
      <c r="Y247" s="1">
        <f>Table1[[#This Row],[CRDY]]+Table1[[#This Row],[CRDR]]</f>
        <v>3</v>
      </c>
      <c r="Z247" s="1">
        <v>0.1</v>
      </c>
      <c r="AA247" s="2">
        <f>Table1[[#This Row],[XG]]/Table1[[#This Row],[MP]]</f>
        <v>7.6923076923076927E-3</v>
      </c>
      <c r="AB247" s="1">
        <v>0.1</v>
      </c>
      <c r="AC247" s="1">
        <v>0.2</v>
      </c>
      <c r="AD247" s="1">
        <v>0.3</v>
      </c>
      <c r="AE247" s="1">
        <v>11</v>
      </c>
      <c r="AF247" s="1">
        <v>26</v>
      </c>
      <c r="AG247" s="1">
        <v>22</v>
      </c>
    </row>
    <row r="248" spans="1:33" x14ac:dyDescent="0.35">
      <c r="A248">
        <v>179</v>
      </c>
      <c r="B248" t="s">
        <v>423</v>
      </c>
      <c r="C248" t="s">
        <v>424</v>
      </c>
      <c r="D248" t="s">
        <v>183</v>
      </c>
      <c r="E248" t="s">
        <v>81</v>
      </c>
      <c r="F248" t="s">
        <v>425</v>
      </c>
      <c r="G248" s="1">
        <v>1999</v>
      </c>
      <c r="H248" s="1">
        <v>5</v>
      </c>
      <c r="I248" s="1">
        <v>1</v>
      </c>
      <c r="J248" s="2">
        <f>Table1[[#This Row],[STARTS]]/Table1[[#This Row],[MP]]</f>
        <v>0.2</v>
      </c>
      <c r="K248" s="1">
        <v>92</v>
      </c>
      <c r="L248" s="1">
        <v>1</v>
      </c>
      <c r="M248" s="1">
        <v>0</v>
      </c>
      <c r="N248" s="2">
        <f>Table1[[#This Row],[G]]/Table1[[#This Row],[MP]]</f>
        <v>0</v>
      </c>
      <c r="O248" s="2">
        <v>0</v>
      </c>
      <c r="P248" s="2">
        <f>Table1[[#This Row],[A]]/Table1[[#This Row],[MP]]</f>
        <v>0</v>
      </c>
      <c r="Q248" s="2">
        <v>0</v>
      </c>
      <c r="R248" s="2">
        <f>Table1[[#This Row],[PTS]]/Table1[[#This Row],[MP]]</f>
        <v>0</v>
      </c>
      <c r="S248" s="1">
        <v>0</v>
      </c>
      <c r="T248" s="1">
        <f>Table1[[#This Row],[G]]-Table1[[#This Row],[G_PK]]</f>
        <v>0</v>
      </c>
      <c r="U248" s="1">
        <v>0</v>
      </c>
      <c r="V248" s="1">
        <v>0</v>
      </c>
      <c r="W248" s="1">
        <v>0</v>
      </c>
      <c r="X248" s="1">
        <v>0</v>
      </c>
      <c r="Y248" s="1">
        <f>Table1[[#This Row],[CRDY]]+Table1[[#This Row],[CRDR]]</f>
        <v>0</v>
      </c>
      <c r="Z248" s="1">
        <v>0.1</v>
      </c>
      <c r="AA248" s="2">
        <f>Table1[[#This Row],[XG]]/Table1[[#This Row],[MP]]</f>
        <v>0.02</v>
      </c>
      <c r="AB248" s="1">
        <v>0.1</v>
      </c>
      <c r="AC248" s="1">
        <v>0.1</v>
      </c>
      <c r="AD248" s="1">
        <v>0.2</v>
      </c>
      <c r="AE248" s="1">
        <v>3</v>
      </c>
      <c r="AF248" s="1">
        <v>4</v>
      </c>
      <c r="AG248" s="1">
        <v>8</v>
      </c>
    </row>
    <row r="249" spans="1:33" x14ac:dyDescent="0.35">
      <c r="A249">
        <v>181</v>
      </c>
      <c r="B249" t="s">
        <v>428</v>
      </c>
      <c r="C249" t="s">
        <v>27</v>
      </c>
      <c r="D249" t="s">
        <v>85</v>
      </c>
      <c r="E249" t="s">
        <v>29</v>
      </c>
      <c r="F249" t="s">
        <v>429</v>
      </c>
      <c r="G249" s="1">
        <v>2000</v>
      </c>
      <c r="H249" s="1">
        <v>1</v>
      </c>
      <c r="I249" s="1">
        <v>0</v>
      </c>
      <c r="J249" s="2">
        <f>Table1[[#This Row],[STARTS]]/Table1[[#This Row],[MP]]</f>
        <v>0</v>
      </c>
      <c r="K249" s="1">
        <v>1</v>
      </c>
      <c r="L249" s="1">
        <v>0</v>
      </c>
      <c r="M249" s="1">
        <v>0</v>
      </c>
      <c r="N249" s="2">
        <f>Table1[[#This Row],[G]]/Table1[[#This Row],[MP]]</f>
        <v>0</v>
      </c>
      <c r="O249" s="2">
        <v>0</v>
      </c>
      <c r="P249" s="2">
        <f>Table1[[#This Row],[A]]/Table1[[#This Row],[MP]]</f>
        <v>0</v>
      </c>
      <c r="Q249" s="2">
        <v>0</v>
      </c>
      <c r="R249" s="2">
        <f>Table1[[#This Row],[PTS]]/Table1[[#This Row],[MP]]</f>
        <v>0</v>
      </c>
      <c r="S249" s="1">
        <v>0</v>
      </c>
      <c r="T249" s="1">
        <f>Table1[[#This Row],[G]]-Table1[[#This Row],[G_PK]]</f>
        <v>0</v>
      </c>
      <c r="U249" s="1">
        <v>0</v>
      </c>
      <c r="V249" s="1">
        <v>0</v>
      </c>
      <c r="W249" s="1">
        <v>0</v>
      </c>
      <c r="X249" s="1">
        <v>0</v>
      </c>
      <c r="Y249" s="1">
        <f>Table1[[#This Row],[CRDY]]+Table1[[#This Row],[CRDR]]</f>
        <v>0</v>
      </c>
      <c r="Z249" s="1">
        <v>0</v>
      </c>
      <c r="AA249" s="2">
        <f>Table1[[#This Row],[XG]]/Table1[[#This Row],[MP]]</f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1</v>
      </c>
    </row>
    <row r="250" spans="1:33" x14ac:dyDescent="0.35">
      <c r="A250">
        <v>182</v>
      </c>
      <c r="B250" t="s">
        <v>430</v>
      </c>
      <c r="C250" t="s">
        <v>27</v>
      </c>
      <c r="D250" t="s">
        <v>28</v>
      </c>
      <c r="E250" t="s">
        <v>33</v>
      </c>
      <c r="F250" t="s">
        <v>431</v>
      </c>
      <c r="G250" s="1">
        <v>2002</v>
      </c>
      <c r="H250" s="1">
        <v>8</v>
      </c>
      <c r="I250" s="1">
        <v>2</v>
      </c>
      <c r="J250" s="2">
        <f>Table1[[#This Row],[STARTS]]/Table1[[#This Row],[MP]]</f>
        <v>0.25</v>
      </c>
      <c r="K250" s="1">
        <v>244</v>
      </c>
      <c r="L250" s="1">
        <v>2.7</v>
      </c>
      <c r="M250" s="1">
        <v>0</v>
      </c>
      <c r="N250" s="2">
        <f>Table1[[#This Row],[G]]/Table1[[#This Row],[MP]]</f>
        <v>0</v>
      </c>
      <c r="O250" s="2">
        <v>0</v>
      </c>
      <c r="P250" s="2">
        <f>Table1[[#This Row],[A]]/Table1[[#This Row],[MP]]</f>
        <v>0</v>
      </c>
      <c r="Q250" s="2">
        <v>0</v>
      </c>
      <c r="R250" s="2">
        <f>Table1[[#This Row],[PTS]]/Table1[[#This Row],[MP]]</f>
        <v>0</v>
      </c>
      <c r="S250" s="1">
        <v>0</v>
      </c>
      <c r="T250" s="1">
        <f>Table1[[#This Row],[G]]-Table1[[#This Row],[G_PK]]</f>
        <v>0</v>
      </c>
      <c r="U250" s="1">
        <v>0</v>
      </c>
      <c r="V250" s="1">
        <v>0</v>
      </c>
      <c r="W250" s="1">
        <v>1</v>
      </c>
      <c r="X250" s="1">
        <v>0</v>
      </c>
      <c r="Y250" s="1">
        <f>Table1[[#This Row],[CRDY]]+Table1[[#This Row],[CRDR]]</f>
        <v>1</v>
      </c>
      <c r="Z250" s="1">
        <v>0</v>
      </c>
      <c r="AA250" s="2">
        <f>Table1[[#This Row],[XG]]/Table1[[#This Row],[MP]]</f>
        <v>0</v>
      </c>
      <c r="AB250" s="1">
        <v>0</v>
      </c>
      <c r="AC250" s="1">
        <v>0</v>
      </c>
      <c r="AD250" s="1">
        <v>0</v>
      </c>
      <c r="AE250" s="1">
        <v>3</v>
      </c>
      <c r="AF250" s="1">
        <v>5</v>
      </c>
      <c r="AG250" s="1">
        <v>3</v>
      </c>
    </row>
    <row r="251" spans="1:33" x14ac:dyDescent="0.35">
      <c r="A251">
        <v>184</v>
      </c>
      <c r="B251" t="s">
        <v>434</v>
      </c>
      <c r="C251" t="s">
        <v>27</v>
      </c>
      <c r="D251" t="s">
        <v>50</v>
      </c>
      <c r="E251" t="s">
        <v>54</v>
      </c>
      <c r="F251" t="s">
        <v>435</v>
      </c>
      <c r="G251" s="1">
        <v>2002</v>
      </c>
      <c r="H251" s="1">
        <v>3</v>
      </c>
      <c r="I251" s="1">
        <v>0</v>
      </c>
      <c r="J251" s="2">
        <f>Table1[[#This Row],[STARTS]]/Table1[[#This Row],[MP]]</f>
        <v>0</v>
      </c>
      <c r="K251" s="1">
        <v>27</v>
      </c>
      <c r="L251" s="1">
        <v>0.3</v>
      </c>
      <c r="M251" s="1">
        <v>0</v>
      </c>
      <c r="N251" s="2">
        <f>Table1[[#This Row],[G]]/Table1[[#This Row],[MP]]</f>
        <v>0</v>
      </c>
      <c r="O251" s="2">
        <v>0</v>
      </c>
      <c r="P251" s="2">
        <f>Table1[[#This Row],[A]]/Table1[[#This Row],[MP]]</f>
        <v>0</v>
      </c>
      <c r="Q251" s="2">
        <v>0</v>
      </c>
      <c r="R251" s="2">
        <f>Table1[[#This Row],[PTS]]/Table1[[#This Row],[MP]]</f>
        <v>0</v>
      </c>
      <c r="S251" s="1">
        <v>0</v>
      </c>
      <c r="T251" s="1">
        <f>Table1[[#This Row],[G]]-Table1[[#This Row],[G_PK]]</f>
        <v>0</v>
      </c>
      <c r="U251" s="1">
        <v>0</v>
      </c>
      <c r="V251" s="1">
        <v>0</v>
      </c>
      <c r="W251" s="1">
        <v>0</v>
      </c>
      <c r="X251" s="1">
        <v>0</v>
      </c>
      <c r="Y251" s="1">
        <f>Table1[[#This Row],[CRDY]]+Table1[[#This Row],[CRDR]]</f>
        <v>0</v>
      </c>
      <c r="Z251" s="1">
        <v>0</v>
      </c>
      <c r="AA251" s="2">
        <f>Table1[[#This Row],[XG]]/Table1[[#This Row],[MP]]</f>
        <v>0</v>
      </c>
      <c r="AB251" s="1">
        <v>0</v>
      </c>
      <c r="AC251" s="1">
        <v>0</v>
      </c>
      <c r="AD251" s="1">
        <v>0</v>
      </c>
      <c r="AE251" s="1">
        <v>1</v>
      </c>
      <c r="AF251" s="1">
        <v>1</v>
      </c>
      <c r="AG251" s="1">
        <v>2</v>
      </c>
    </row>
    <row r="252" spans="1:33" x14ac:dyDescent="0.35">
      <c r="A252">
        <v>185</v>
      </c>
      <c r="B252" t="s">
        <v>436</v>
      </c>
      <c r="C252" t="s">
        <v>27</v>
      </c>
      <c r="D252" t="s">
        <v>62</v>
      </c>
      <c r="E252" t="s">
        <v>33</v>
      </c>
      <c r="F252" t="s">
        <v>437</v>
      </c>
      <c r="G252" s="1">
        <v>2007</v>
      </c>
      <c r="H252" s="1">
        <v>7</v>
      </c>
      <c r="I252" s="1">
        <v>3</v>
      </c>
      <c r="J252" s="2">
        <f>Table1[[#This Row],[STARTS]]/Table1[[#This Row],[MP]]</f>
        <v>0.42857142857142855</v>
      </c>
      <c r="K252" s="1">
        <v>212</v>
      </c>
      <c r="L252" s="1">
        <v>2.4</v>
      </c>
      <c r="M252" s="1">
        <v>0</v>
      </c>
      <c r="N252" s="2">
        <f>Table1[[#This Row],[G]]/Table1[[#This Row],[MP]]</f>
        <v>0</v>
      </c>
      <c r="O252" s="2">
        <v>0</v>
      </c>
      <c r="P252" s="2">
        <f>Table1[[#This Row],[A]]/Table1[[#This Row],[MP]]</f>
        <v>0</v>
      </c>
      <c r="Q252" s="2">
        <v>0</v>
      </c>
      <c r="R252" s="2">
        <f>Table1[[#This Row],[PTS]]/Table1[[#This Row],[MP]]</f>
        <v>0</v>
      </c>
      <c r="S252" s="1">
        <v>0</v>
      </c>
      <c r="T252" s="1">
        <f>Table1[[#This Row],[G]]-Table1[[#This Row],[G_PK]]</f>
        <v>0</v>
      </c>
      <c r="U252" s="1">
        <v>0</v>
      </c>
      <c r="V252" s="1">
        <v>0</v>
      </c>
      <c r="W252" s="1">
        <v>0</v>
      </c>
      <c r="X252" s="1">
        <v>0</v>
      </c>
      <c r="Y252" s="1">
        <f>Table1[[#This Row],[CRDY]]+Table1[[#This Row],[CRDR]]</f>
        <v>0</v>
      </c>
      <c r="Z252" s="1">
        <v>0.1</v>
      </c>
      <c r="AA252" s="2">
        <f>Table1[[#This Row],[XG]]/Table1[[#This Row],[MP]]</f>
        <v>1.4285714285714287E-2</v>
      </c>
      <c r="AB252" s="1">
        <v>0.1</v>
      </c>
      <c r="AC252" s="1">
        <v>0</v>
      </c>
      <c r="AD252" s="1">
        <v>0.1</v>
      </c>
      <c r="AE252" s="1">
        <v>0</v>
      </c>
      <c r="AF252" s="1">
        <v>12</v>
      </c>
      <c r="AG252" s="1">
        <v>2</v>
      </c>
    </row>
    <row r="253" spans="1:33" x14ac:dyDescent="0.35">
      <c r="A253">
        <v>186</v>
      </c>
      <c r="B253" t="s">
        <v>438</v>
      </c>
      <c r="C253" t="s">
        <v>27</v>
      </c>
      <c r="D253" t="s">
        <v>62</v>
      </c>
      <c r="E253" t="s">
        <v>65</v>
      </c>
      <c r="F253" t="s">
        <v>439</v>
      </c>
      <c r="G253" s="1">
        <v>1996</v>
      </c>
      <c r="H253" s="1">
        <v>13</v>
      </c>
      <c r="I253" s="1">
        <v>13</v>
      </c>
      <c r="J253" s="2">
        <f>Table1[[#This Row],[STARTS]]/Table1[[#This Row],[MP]]</f>
        <v>1</v>
      </c>
      <c r="K253" s="1">
        <v>1170</v>
      </c>
      <c r="L253" s="1">
        <v>13</v>
      </c>
      <c r="M253" s="1">
        <v>0</v>
      </c>
      <c r="N253" s="2">
        <f>Table1[[#This Row],[G]]/Table1[[#This Row],[MP]]</f>
        <v>0</v>
      </c>
      <c r="O253" s="2">
        <v>0</v>
      </c>
      <c r="P253" s="2">
        <f>Table1[[#This Row],[A]]/Table1[[#This Row],[MP]]</f>
        <v>0</v>
      </c>
      <c r="Q253" s="2">
        <v>0</v>
      </c>
      <c r="R253" s="2">
        <f>Table1[[#This Row],[PTS]]/Table1[[#This Row],[MP]]</f>
        <v>0</v>
      </c>
      <c r="S253" s="1">
        <v>0</v>
      </c>
      <c r="T253" s="1">
        <f>Table1[[#This Row],[G]]-Table1[[#This Row],[G_PK]]</f>
        <v>0</v>
      </c>
      <c r="U253" s="1">
        <v>0</v>
      </c>
      <c r="V253" s="1">
        <v>0</v>
      </c>
      <c r="W253" s="1">
        <v>2</v>
      </c>
      <c r="X253" s="1">
        <v>0</v>
      </c>
      <c r="Y253" s="1">
        <f>Table1[[#This Row],[CRDY]]+Table1[[#This Row],[CRDR]]</f>
        <v>2</v>
      </c>
      <c r="Z253" s="1">
        <v>0.2</v>
      </c>
      <c r="AA253" s="2">
        <f>Table1[[#This Row],[XG]]/Table1[[#This Row],[MP]]</f>
        <v>1.5384615384615385E-2</v>
      </c>
      <c r="AB253" s="1">
        <v>0.2</v>
      </c>
      <c r="AC253" s="1">
        <v>0.3</v>
      </c>
      <c r="AD253" s="1">
        <v>0.4</v>
      </c>
      <c r="AE253" s="1">
        <v>4</v>
      </c>
      <c r="AF253" s="1">
        <v>80</v>
      </c>
      <c r="AG253" s="1">
        <v>13</v>
      </c>
    </row>
    <row r="254" spans="1:33" x14ac:dyDescent="0.35">
      <c r="A254">
        <v>187</v>
      </c>
      <c r="B254" t="s">
        <v>440</v>
      </c>
      <c r="C254" t="s">
        <v>27</v>
      </c>
      <c r="D254" t="s">
        <v>28</v>
      </c>
      <c r="E254" t="s">
        <v>33</v>
      </c>
      <c r="F254" t="s">
        <v>441</v>
      </c>
      <c r="G254" s="1">
        <v>1997</v>
      </c>
      <c r="H254" s="1">
        <v>13</v>
      </c>
      <c r="I254" s="1">
        <v>13</v>
      </c>
      <c r="J254" s="2">
        <f>Table1[[#This Row],[STARTS]]/Table1[[#This Row],[MP]]</f>
        <v>1</v>
      </c>
      <c r="K254" s="1">
        <v>1159</v>
      </c>
      <c r="L254" s="1">
        <v>12.9</v>
      </c>
      <c r="M254" s="1">
        <v>0</v>
      </c>
      <c r="N254" s="2">
        <f>Table1[[#This Row],[G]]/Table1[[#This Row],[MP]]</f>
        <v>0</v>
      </c>
      <c r="O254" s="2">
        <v>0</v>
      </c>
      <c r="P254" s="2">
        <f>Table1[[#This Row],[A]]/Table1[[#This Row],[MP]]</f>
        <v>0</v>
      </c>
      <c r="Q254" s="2">
        <v>0</v>
      </c>
      <c r="R254" s="2">
        <f>Table1[[#This Row],[PTS]]/Table1[[#This Row],[MP]]</f>
        <v>0</v>
      </c>
      <c r="S254" s="1">
        <v>0</v>
      </c>
      <c r="T254" s="1">
        <f>Table1[[#This Row],[G]]-Table1[[#This Row],[G_PK]]</f>
        <v>0</v>
      </c>
      <c r="U254" s="1">
        <v>0</v>
      </c>
      <c r="V254" s="1">
        <v>0</v>
      </c>
      <c r="W254" s="1">
        <v>1</v>
      </c>
      <c r="X254" s="1">
        <v>0</v>
      </c>
      <c r="Y254" s="1">
        <f>Table1[[#This Row],[CRDY]]+Table1[[#This Row],[CRDR]]</f>
        <v>1</v>
      </c>
      <c r="Z254" s="1">
        <v>0.2</v>
      </c>
      <c r="AA254" s="2">
        <f>Table1[[#This Row],[XG]]/Table1[[#This Row],[MP]]</f>
        <v>1.5384615384615385E-2</v>
      </c>
      <c r="AB254" s="1">
        <v>0.2</v>
      </c>
      <c r="AC254" s="1">
        <v>0</v>
      </c>
      <c r="AD254" s="1">
        <v>0.3</v>
      </c>
      <c r="AE254" s="1">
        <v>1</v>
      </c>
      <c r="AF254" s="1">
        <v>21</v>
      </c>
      <c r="AG254" s="1">
        <v>0</v>
      </c>
    </row>
    <row r="255" spans="1:33" x14ac:dyDescent="0.35">
      <c r="A255">
        <v>189</v>
      </c>
      <c r="B255" t="s">
        <v>444</v>
      </c>
      <c r="C255" t="s">
        <v>27</v>
      </c>
      <c r="D255" t="s">
        <v>28</v>
      </c>
      <c r="E255" t="s">
        <v>38</v>
      </c>
      <c r="F255" t="s">
        <v>445</v>
      </c>
      <c r="G255" s="1">
        <v>2000</v>
      </c>
      <c r="H255" s="1">
        <v>11</v>
      </c>
      <c r="I255" s="1">
        <v>3</v>
      </c>
      <c r="J255" s="2">
        <f>Table1[[#This Row],[STARTS]]/Table1[[#This Row],[MP]]</f>
        <v>0.27272727272727271</v>
      </c>
      <c r="K255" s="1">
        <v>402</v>
      </c>
      <c r="L255" s="1">
        <v>4.5</v>
      </c>
      <c r="M255" s="1">
        <v>0</v>
      </c>
      <c r="N255" s="2">
        <f>Table1[[#This Row],[G]]/Table1[[#This Row],[MP]]</f>
        <v>0</v>
      </c>
      <c r="O255" s="2">
        <v>0</v>
      </c>
      <c r="P255" s="2">
        <f>Table1[[#This Row],[A]]/Table1[[#This Row],[MP]]</f>
        <v>0</v>
      </c>
      <c r="Q255" s="2">
        <v>0</v>
      </c>
      <c r="R255" s="2">
        <f>Table1[[#This Row],[PTS]]/Table1[[#This Row],[MP]]</f>
        <v>0</v>
      </c>
      <c r="S255" s="1">
        <v>0</v>
      </c>
      <c r="T255" s="1">
        <f>Table1[[#This Row],[G]]-Table1[[#This Row],[G_PK]]</f>
        <v>0</v>
      </c>
      <c r="U255" s="1">
        <v>0</v>
      </c>
      <c r="V255" s="1">
        <v>0</v>
      </c>
      <c r="W255" s="1">
        <v>0</v>
      </c>
      <c r="X255" s="1">
        <v>0</v>
      </c>
      <c r="Y255" s="1">
        <f>Table1[[#This Row],[CRDY]]+Table1[[#This Row],[CRDR]]</f>
        <v>0</v>
      </c>
      <c r="Z255" s="1">
        <v>0</v>
      </c>
      <c r="AA255" s="2">
        <f>Table1[[#This Row],[XG]]/Table1[[#This Row],[MP]]</f>
        <v>0</v>
      </c>
      <c r="AB255" s="1">
        <v>0</v>
      </c>
      <c r="AC255" s="1">
        <v>0.2</v>
      </c>
      <c r="AD255" s="1">
        <v>0.2</v>
      </c>
      <c r="AE255" s="1">
        <v>1</v>
      </c>
      <c r="AF255" s="1">
        <v>8</v>
      </c>
      <c r="AG255" s="1">
        <v>4</v>
      </c>
    </row>
    <row r="256" spans="1:33" x14ac:dyDescent="0.35">
      <c r="A256">
        <v>191</v>
      </c>
      <c r="B256" t="s">
        <v>448</v>
      </c>
      <c r="C256" t="s">
        <v>27</v>
      </c>
      <c r="D256" t="s">
        <v>28</v>
      </c>
      <c r="E256" t="s">
        <v>65</v>
      </c>
      <c r="F256" t="s">
        <v>449</v>
      </c>
      <c r="G256" s="1">
        <v>2003</v>
      </c>
      <c r="H256" s="1">
        <v>4</v>
      </c>
      <c r="I256" s="1">
        <v>0</v>
      </c>
      <c r="J256" s="2">
        <f>Table1[[#This Row],[STARTS]]/Table1[[#This Row],[MP]]</f>
        <v>0</v>
      </c>
      <c r="K256" s="1">
        <v>5</v>
      </c>
      <c r="L256" s="1">
        <v>0.1</v>
      </c>
      <c r="M256" s="1">
        <v>0</v>
      </c>
      <c r="N256" s="2">
        <f>Table1[[#This Row],[G]]/Table1[[#This Row],[MP]]</f>
        <v>0</v>
      </c>
      <c r="O256" s="2">
        <v>0</v>
      </c>
      <c r="P256" s="2">
        <f>Table1[[#This Row],[A]]/Table1[[#This Row],[MP]]</f>
        <v>0</v>
      </c>
      <c r="Q256" s="2">
        <v>0</v>
      </c>
      <c r="R256" s="2">
        <f>Table1[[#This Row],[PTS]]/Table1[[#This Row],[MP]]</f>
        <v>0</v>
      </c>
      <c r="S256" s="1">
        <v>0</v>
      </c>
      <c r="T256" s="1">
        <f>Table1[[#This Row],[G]]-Table1[[#This Row],[G_PK]]</f>
        <v>0</v>
      </c>
      <c r="U256" s="1">
        <v>0</v>
      </c>
      <c r="V256" s="1">
        <v>0</v>
      </c>
      <c r="W256" s="1">
        <v>0</v>
      </c>
      <c r="X256" s="1">
        <v>0</v>
      </c>
      <c r="Y256" s="1">
        <f>Table1[[#This Row],[CRDY]]+Table1[[#This Row],[CRDR]]</f>
        <v>0</v>
      </c>
      <c r="Z256" s="1">
        <v>0.1</v>
      </c>
      <c r="AA256" s="2">
        <f>Table1[[#This Row],[XG]]/Table1[[#This Row],[MP]]</f>
        <v>2.5000000000000001E-2</v>
      </c>
      <c r="AB256" s="1">
        <v>0.1</v>
      </c>
      <c r="AC256" s="1">
        <v>0</v>
      </c>
      <c r="AD256" s="1">
        <v>0.1</v>
      </c>
      <c r="AE256" s="1">
        <v>1</v>
      </c>
      <c r="AF256" s="1">
        <v>0</v>
      </c>
      <c r="AG256" s="1">
        <v>1</v>
      </c>
    </row>
    <row r="257" spans="1:33" x14ac:dyDescent="0.35">
      <c r="A257">
        <v>193</v>
      </c>
      <c r="B257" t="s">
        <v>452</v>
      </c>
      <c r="C257" t="s">
        <v>27</v>
      </c>
      <c r="D257" t="s">
        <v>28</v>
      </c>
      <c r="E257" t="s">
        <v>46</v>
      </c>
      <c r="F257" t="s">
        <v>453</v>
      </c>
      <c r="G257" s="1">
        <v>1992</v>
      </c>
      <c r="H257" s="1">
        <v>5</v>
      </c>
      <c r="I257" s="1">
        <v>3</v>
      </c>
      <c r="J257" s="2">
        <f>Table1[[#This Row],[STARTS]]/Table1[[#This Row],[MP]]</f>
        <v>0.6</v>
      </c>
      <c r="K257" s="1">
        <v>260</v>
      </c>
      <c r="L257" s="1">
        <v>2.9</v>
      </c>
      <c r="M257" s="1">
        <v>0</v>
      </c>
      <c r="N257" s="2">
        <f>Table1[[#This Row],[G]]/Table1[[#This Row],[MP]]</f>
        <v>0</v>
      </c>
      <c r="O257" s="2">
        <v>0</v>
      </c>
      <c r="P257" s="2">
        <f>Table1[[#This Row],[A]]/Table1[[#This Row],[MP]]</f>
        <v>0</v>
      </c>
      <c r="Q257" s="2">
        <v>0</v>
      </c>
      <c r="R257" s="2">
        <f>Table1[[#This Row],[PTS]]/Table1[[#This Row],[MP]]</f>
        <v>0</v>
      </c>
      <c r="S257" s="1">
        <v>0</v>
      </c>
      <c r="T257" s="1">
        <f>Table1[[#This Row],[G]]-Table1[[#This Row],[G_PK]]</f>
        <v>0</v>
      </c>
      <c r="U257" s="1">
        <v>0</v>
      </c>
      <c r="V257" s="1">
        <v>0</v>
      </c>
      <c r="W257" s="1">
        <v>1</v>
      </c>
      <c r="X257" s="1">
        <v>0</v>
      </c>
      <c r="Y257" s="1">
        <f>Table1[[#This Row],[CRDY]]+Table1[[#This Row],[CRDR]]</f>
        <v>1</v>
      </c>
      <c r="Z257" s="1">
        <v>0</v>
      </c>
      <c r="AA257" s="2">
        <f>Table1[[#This Row],[XG]]/Table1[[#This Row],[MP]]</f>
        <v>0</v>
      </c>
      <c r="AB257" s="1">
        <v>0</v>
      </c>
      <c r="AC257" s="1">
        <v>0</v>
      </c>
      <c r="AD257" s="1">
        <v>0</v>
      </c>
      <c r="AE257" s="1">
        <v>2</v>
      </c>
      <c r="AF257" s="1">
        <v>17</v>
      </c>
      <c r="AG257" s="1">
        <v>0</v>
      </c>
    </row>
    <row r="258" spans="1:33" x14ac:dyDescent="0.35">
      <c r="A258">
        <v>199</v>
      </c>
      <c r="B258" t="s">
        <v>464</v>
      </c>
      <c r="C258" t="s">
        <v>27</v>
      </c>
      <c r="D258" t="s">
        <v>183</v>
      </c>
      <c r="E258" t="s">
        <v>164</v>
      </c>
      <c r="F258" t="s">
        <v>465</v>
      </c>
      <c r="G258" s="1">
        <v>1996</v>
      </c>
      <c r="H258" s="1">
        <v>4</v>
      </c>
      <c r="I258" s="1">
        <v>2</v>
      </c>
      <c r="J258" s="2">
        <f>Table1[[#This Row],[STARTS]]/Table1[[#This Row],[MP]]</f>
        <v>0.5</v>
      </c>
      <c r="K258" s="1">
        <v>161</v>
      </c>
      <c r="L258" s="1">
        <v>1.8</v>
      </c>
      <c r="M258" s="1">
        <v>0</v>
      </c>
      <c r="N258" s="2">
        <f>Table1[[#This Row],[G]]/Table1[[#This Row],[MP]]</f>
        <v>0</v>
      </c>
      <c r="O258" s="2">
        <v>0</v>
      </c>
      <c r="P258" s="2">
        <f>Table1[[#This Row],[A]]/Table1[[#This Row],[MP]]</f>
        <v>0</v>
      </c>
      <c r="Q258" s="2">
        <v>0</v>
      </c>
      <c r="R258" s="2">
        <f>Table1[[#This Row],[PTS]]/Table1[[#This Row],[MP]]</f>
        <v>0</v>
      </c>
      <c r="S258" s="1">
        <v>0</v>
      </c>
      <c r="T258" s="1">
        <f>Table1[[#This Row],[G]]-Table1[[#This Row],[G_PK]]</f>
        <v>0</v>
      </c>
      <c r="U258" s="1">
        <v>0</v>
      </c>
      <c r="V258" s="1">
        <v>0</v>
      </c>
      <c r="W258" s="1">
        <v>1</v>
      </c>
      <c r="X258" s="1">
        <v>0</v>
      </c>
      <c r="Y258" s="1">
        <f>Table1[[#This Row],[CRDY]]+Table1[[#This Row],[CRDR]]</f>
        <v>1</v>
      </c>
      <c r="Z258" s="1">
        <v>0</v>
      </c>
      <c r="AA258" s="2">
        <f>Table1[[#This Row],[XG]]/Table1[[#This Row],[MP]]</f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3</v>
      </c>
      <c r="AG258" s="1">
        <v>3</v>
      </c>
    </row>
    <row r="259" spans="1:33" x14ac:dyDescent="0.35">
      <c r="A259">
        <v>201</v>
      </c>
      <c r="B259" t="s">
        <v>468</v>
      </c>
      <c r="C259" t="s">
        <v>469</v>
      </c>
      <c r="D259" t="s">
        <v>32</v>
      </c>
      <c r="E259" t="s">
        <v>33</v>
      </c>
      <c r="F259" t="s">
        <v>470</v>
      </c>
      <c r="G259" s="1">
        <v>1999</v>
      </c>
      <c r="H259" s="1">
        <v>8</v>
      </c>
      <c r="I259" s="1">
        <v>4</v>
      </c>
      <c r="J259" s="2">
        <f>Table1[[#This Row],[STARTS]]/Table1[[#This Row],[MP]]</f>
        <v>0.5</v>
      </c>
      <c r="K259" s="1">
        <v>371</v>
      </c>
      <c r="L259" s="1">
        <v>4.0999999999999996</v>
      </c>
      <c r="M259" s="1">
        <v>0</v>
      </c>
      <c r="N259" s="2">
        <f>Table1[[#This Row],[G]]/Table1[[#This Row],[MP]]</f>
        <v>0</v>
      </c>
      <c r="O259" s="2">
        <v>0</v>
      </c>
      <c r="P259" s="2">
        <f>Table1[[#This Row],[A]]/Table1[[#This Row],[MP]]</f>
        <v>0</v>
      </c>
      <c r="Q259" s="2">
        <v>0</v>
      </c>
      <c r="R259" s="2">
        <f>Table1[[#This Row],[PTS]]/Table1[[#This Row],[MP]]</f>
        <v>0</v>
      </c>
      <c r="S259" s="1">
        <v>0</v>
      </c>
      <c r="T259" s="1">
        <f>Table1[[#This Row],[G]]-Table1[[#This Row],[G_PK]]</f>
        <v>0</v>
      </c>
      <c r="U259" s="1">
        <v>0</v>
      </c>
      <c r="V259" s="1">
        <v>0</v>
      </c>
      <c r="W259" s="1">
        <v>1</v>
      </c>
      <c r="X259" s="1">
        <v>0</v>
      </c>
      <c r="Y259" s="1">
        <f>Table1[[#This Row],[CRDY]]+Table1[[#This Row],[CRDR]]</f>
        <v>1</v>
      </c>
      <c r="Z259" s="1">
        <v>0.8</v>
      </c>
      <c r="AA259" s="2">
        <f>Table1[[#This Row],[XG]]/Table1[[#This Row],[MP]]</f>
        <v>0.1</v>
      </c>
      <c r="AB259" s="1">
        <v>0.8</v>
      </c>
      <c r="AC259" s="1">
        <v>0.1</v>
      </c>
      <c r="AD259" s="1">
        <v>0.9</v>
      </c>
      <c r="AE259" s="1">
        <v>12</v>
      </c>
      <c r="AF259" s="1">
        <v>10</v>
      </c>
      <c r="AG259" s="1">
        <v>29</v>
      </c>
    </row>
    <row r="260" spans="1:33" x14ac:dyDescent="0.35">
      <c r="A260">
        <v>202</v>
      </c>
      <c r="B260" t="s">
        <v>471</v>
      </c>
      <c r="C260" t="s">
        <v>143</v>
      </c>
      <c r="D260" t="s">
        <v>45</v>
      </c>
      <c r="E260" t="s">
        <v>29</v>
      </c>
      <c r="F260" t="s">
        <v>472</v>
      </c>
      <c r="G260" s="1">
        <v>1995</v>
      </c>
      <c r="H260" s="1">
        <v>13</v>
      </c>
      <c r="I260" s="1">
        <v>13</v>
      </c>
      <c r="J260" s="2">
        <f>Table1[[#This Row],[STARTS]]/Table1[[#This Row],[MP]]</f>
        <v>1</v>
      </c>
      <c r="K260" s="1">
        <v>1130</v>
      </c>
      <c r="L260" s="1">
        <v>12.6</v>
      </c>
      <c r="M260" s="1">
        <v>0</v>
      </c>
      <c r="N260" s="2">
        <f>Table1[[#This Row],[G]]/Table1[[#This Row],[MP]]</f>
        <v>0</v>
      </c>
      <c r="O260" s="2">
        <v>0</v>
      </c>
      <c r="P260" s="2">
        <f>Table1[[#This Row],[A]]/Table1[[#This Row],[MP]]</f>
        <v>0</v>
      </c>
      <c r="Q260" s="2">
        <v>0</v>
      </c>
      <c r="R260" s="2">
        <f>Table1[[#This Row],[PTS]]/Table1[[#This Row],[MP]]</f>
        <v>0</v>
      </c>
      <c r="S260" s="1">
        <v>0</v>
      </c>
      <c r="T260" s="1">
        <f>Table1[[#This Row],[G]]-Table1[[#This Row],[G_PK]]</f>
        <v>0</v>
      </c>
      <c r="U260" s="1">
        <v>0</v>
      </c>
      <c r="V260" s="1">
        <v>0</v>
      </c>
      <c r="W260" s="1">
        <v>0</v>
      </c>
      <c r="X260" s="1">
        <v>0</v>
      </c>
      <c r="Y260" s="1">
        <f>Table1[[#This Row],[CRDY]]+Table1[[#This Row],[CRDR]]</f>
        <v>0</v>
      </c>
      <c r="Z260" s="1">
        <v>0</v>
      </c>
      <c r="AA260" s="2">
        <f>Table1[[#This Row],[XG]]/Table1[[#This Row],[MP]]</f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3</v>
      </c>
      <c r="AG260" s="1">
        <v>0</v>
      </c>
    </row>
    <row r="261" spans="1:33" x14ac:dyDescent="0.35">
      <c r="A261">
        <v>203</v>
      </c>
      <c r="B261" t="s">
        <v>473</v>
      </c>
      <c r="C261" t="s">
        <v>27</v>
      </c>
      <c r="D261" t="s">
        <v>50</v>
      </c>
      <c r="E261" t="s">
        <v>46</v>
      </c>
      <c r="F261" t="s">
        <v>474</v>
      </c>
      <c r="G261" s="1">
        <v>2000</v>
      </c>
      <c r="H261" s="1">
        <v>4</v>
      </c>
      <c r="I261" s="1">
        <v>2</v>
      </c>
      <c r="J261" s="2">
        <f>Table1[[#This Row],[STARTS]]/Table1[[#This Row],[MP]]</f>
        <v>0.5</v>
      </c>
      <c r="K261" s="1">
        <v>141</v>
      </c>
      <c r="L261" s="1">
        <v>1.6</v>
      </c>
      <c r="M261" s="1">
        <v>0</v>
      </c>
      <c r="N261" s="2">
        <f>Table1[[#This Row],[G]]/Table1[[#This Row],[MP]]</f>
        <v>0</v>
      </c>
      <c r="O261" s="2">
        <v>0</v>
      </c>
      <c r="P261" s="2">
        <f>Table1[[#This Row],[A]]/Table1[[#This Row],[MP]]</f>
        <v>0</v>
      </c>
      <c r="Q261" s="2">
        <v>0</v>
      </c>
      <c r="R261" s="2">
        <f>Table1[[#This Row],[PTS]]/Table1[[#This Row],[MP]]</f>
        <v>0</v>
      </c>
      <c r="S261" s="1">
        <v>0</v>
      </c>
      <c r="T261" s="1">
        <f>Table1[[#This Row],[G]]-Table1[[#This Row],[G_PK]]</f>
        <v>0</v>
      </c>
      <c r="U261" s="1">
        <v>0</v>
      </c>
      <c r="V261" s="1">
        <v>0</v>
      </c>
      <c r="W261" s="1">
        <v>0</v>
      </c>
      <c r="X261" s="1">
        <v>0</v>
      </c>
      <c r="Y261" s="1">
        <f>Table1[[#This Row],[CRDY]]+Table1[[#This Row],[CRDR]]</f>
        <v>0</v>
      </c>
      <c r="Z261" s="1">
        <v>0.1</v>
      </c>
      <c r="AA261" s="2">
        <f>Table1[[#This Row],[XG]]/Table1[[#This Row],[MP]]</f>
        <v>2.5000000000000001E-2</v>
      </c>
      <c r="AB261" s="1">
        <v>0.1</v>
      </c>
      <c r="AC261" s="1">
        <v>0.2</v>
      </c>
      <c r="AD261" s="1">
        <v>0.3</v>
      </c>
      <c r="AE261" s="1">
        <v>4</v>
      </c>
      <c r="AF261" s="1">
        <v>1</v>
      </c>
      <c r="AG261" s="1">
        <v>5</v>
      </c>
    </row>
    <row r="262" spans="1:33" x14ac:dyDescent="0.35">
      <c r="A262">
        <v>205</v>
      </c>
      <c r="B262" t="s">
        <v>477</v>
      </c>
      <c r="C262" t="s">
        <v>305</v>
      </c>
      <c r="D262" t="s">
        <v>28</v>
      </c>
      <c r="E262" t="s">
        <v>54</v>
      </c>
      <c r="F262" t="s">
        <v>478</v>
      </c>
      <c r="G262" s="1">
        <v>1996</v>
      </c>
      <c r="H262" s="1">
        <v>12</v>
      </c>
      <c r="I262" s="1">
        <v>3</v>
      </c>
      <c r="J262" s="2">
        <f>Table1[[#This Row],[STARTS]]/Table1[[#This Row],[MP]]</f>
        <v>0.25</v>
      </c>
      <c r="K262" s="1">
        <v>470</v>
      </c>
      <c r="L262" s="1">
        <v>5.2</v>
      </c>
      <c r="M262" s="1">
        <v>0</v>
      </c>
      <c r="N262" s="2">
        <f>Table1[[#This Row],[G]]/Table1[[#This Row],[MP]]</f>
        <v>0</v>
      </c>
      <c r="O262" s="2">
        <v>0</v>
      </c>
      <c r="P262" s="2">
        <f>Table1[[#This Row],[A]]/Table1[[#This Row],[MP]]</f>
        <v>0</v>
      </c>
      <c r="Q262" s="2">
        <v>0</v>
      </c>
      <c r="R262" s="2">
        <f>Table1[[#This Row],[PTS]]/Table1[[#This Row],[MP]]</f>
        <v>0</v>
      </c>
      <c r="S262" s="1">
        <v>0</v>
      </c>
      <c r="T262" s="1">
        <f>Table1[[#This Row],[G]]-Table1[[#This Row],[G_PK]]</f>
        <v>0</v>
      </c>
      <c r="U262" s="1">
        <v>0</v>
      </c>
      <c r="V262" s="1">
        <v>0</v>
      </c>
      <c r="W262" s="1">
        <v>1</v>
      </c>
      <c r="X262" s="1">
        <v>0</v>
      </c>
      <c r="Y262" s="1">
        <f>Table1[[#This Row],[CRDY]]+Table1[[#This Row],[CRDR]]</f>
        <v>1</v>
      </c>
      <c r="Z262" s="1">
        <v>0.1</v>
      </c>
      <c r="AA262" s="2">
        <f>Table1[[#This Row],[XG]]/Table1[[#This Row],[MP]]</f>
        <v>8.3333333333333332E-3</v>
      </c>
      <c r="AB262" s="1">
        <v>0.1</v>
      </c>
      <c r="AC262" s="1">
        <v>0.8</v>
      </c>
      <c r="AD262" s="1">
        <v>0.9</v>
      </c>
      <c r="AE262" s="1">
        <v>1</v>
      </c>
      <c r="AF262" s="1">
        <v>22</v>
      </c>
      <c r="AG262" s="1">
        <v>15</v>
      </c>
    </row>
    <row r="263" spans="1:33" x14ac:dyDescent="0.35">
      <c r="A263">
        <v>210</v>
      </c>
      <c r="B263" t="s">
        <v>488</v>
      </c>
      <c r="C263" t="s">
        <v>27</v>
      </c>
      <c r="D263" t="s">
        <v>45</v>
      </c>
      <c r="E263" t="s">
        <v>42</v>
      </c>
      <c r="F263" t="s">
        <v>489</v>
      </c>
      <c r="G263" s="1">
        <v>1996</v>
      </c>
      <c r="H263" s="1">
        <v>13</v>
      </c>
      <c r="I263" s="1">
        <v>13</v>
      </c>
      <c r="J263" s="2">
        <f>Table1[[#This Row],[STARTS]]/Table1[[#This Row],[MP]]</f>
        <v>1</v>
      </c>
      <c r="K263" s="1">
        <v>1170</v>
      </c>
      <c r="L263" s="1">
        <v>13</v>
      </c>
      <c r="M263" s="1">
        <v>0</v>
      </c>
      <c r="N263" s="2">
        <f>Table1[[#This Row],[G]]/Table1[[#This Row],[MP]]</f>
        <v>0</v>
      </c>
      <c r="O263" s="2">
        <v>0</v>
      </c>
      <c r="P263" s="2">
        <f>Table1[[#This Row],[A]]/Table1[[#This Row],[MP]]</f>
        <v>0</v>
      </c>
      <c r="Q263" s="2">
        <v>0</v>
      </c>
      <c r="R263" s="2">
        <f>Table1[[#This Row],[PTS]]/Table1[[#This Row],[MP]]</f>
        <v>0</v>
      </c>
      <c r="S263" s="1">
        <v>0</v>
      </c>
      <c r="T263" s="1">
        <f>Table1[[#This Row],[G]]-Table1[[#This Row],[G_PK]]</f>
        <v>0</v>
      </c>
      <c r="U263" s="1">
        <v>0</v>
      </c>
      <c r="V263" s="1">
        <v>0</v>
      </c>
      <c r="W263" s="1">
        <v>0</v>
      </c>
      <c r="X263" s="1">
        <v>0</v>
      </c>
      <c r="Y263" s="1">
        <f>Table1[[#This Row],[CRDY]]+Table1[[#This Row],[CRDR]]</f>
        <v>0</v>
      </c>
      <c r="Z263" s="1">
        <v>0</v>
      </c>
      <c r="AA263" s="2">
        <f>Table1[[#This Row],[XG]]/Table1[[#This Row],[MP]]</f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</row>
    <row r="264" spans="1:33" x14ac:dyDescent="0.35">
      <c r="A264">
        <v>211</v>
      </c>
      <c r="B264" t="s">
        <v>490</v>
      </c>
      <c r="C264" t="s">
        <v>27</v>
      </c>
      <c r="D264" t="s">
        <v>45</v>
      </c>
      <c r="E264" t="s">
        <v>57</v>
      </c>
      <c r="F264" t="s">
        <v>491</v>
      </c>
      <c r="G264" s="1">
        <v>1988</v>
      </c>
      <c r="H264" s="1">
        <v>10</v>
      </c>
      <c r="I264" s="1">
        <v>10</v>
      </c>
      <c r="J264" s="2">
        <f>Table1[[#This Row],[STARTS]]/Table1[[#This Row],[MP]]</f>
        <v>1</v>
      </c>
      <c r="K264" s="1">
        <v>899</v>
      </c>
      <c r="L264" s="1">
        <v>10</v>
      </c>
      <c r="M264" s="1">
        <v>0</v>
      </c>
      <c r="N264" s="2">
        <f>Table1[[#This Row],[G]]/Table1[[#This Row],[MP]]</f>
        <v>0</v>
      </c>
      <c r="O264" s="2">
        <v>0</v>
      </c>
      <c r="P264" s="2">
        <f>Table1[[#This Row],[A]]/Table1[[#This Row],[MP]]</f>
        <v>0</v>
      </c>
      <c r="Q264" s="2">
        <v>0</v>
      </c>
      <c r="R264" s="2">
        <f>Table1[[#This Row],[PTS]]/Table1[[#This Row],[MP]]</f>
        <v>0</v>
      </c>
      <c r="S264" s="1">
        <v>0</v>
      </c>
      <c r="T264" s="1">
        <f>Table1[[#This Row],[G]]-Table1[[#This Row],[G_PK]]</f>
        <v>0</v>
      </c>
      <c r="U264" s="1">
        <v>0</v>
      </c>
      <c r="V264" s="1">
        <v>0</v>
      </c>
      <c r="W264" s="1">
        <v>0</v>
      </c>
      <c r="X264" s="1">
        <v>0</v>
      </c>
      <c r="Y264" s="1">
        <f>Table1[[#This Row],[CRDY]]+Table1[[#This Row],[CRDR]]</f>
        <v>0</v>
      </c>
      <c r="Z264" s="1">
        <v>0</v>
      </c>
      <c r="AA264" s="2">
        <f>Table1[[#This Row],[XG]]/Table1[[#This Row],[MP]]</f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</row>
    <row r="265" spans="1:33" x14ac:dyDescent="0.35">
      <c r="A265">
        <v>212</v>
      </c>
      <c r="B265" t="s">
        <v>492</v>
      </c>
      <c r="D265" t="s">
        <v>62</v>
      </c>
      <c r="E265" t="s">
        <v>164</v>
      </c>
      <c r="H265" s="1">
        <v>1</v>
      </c>
      <c r="I265" s="1">
        <v>0</v>
      </c>
      <c r="J265" s="2">
        <f>Table1[[#This Row],[STARTS]]/Table1[[#This Row],[MP]]</f>
        <v>0</v>
      </c>
      <c r="K265" s="1">
        <v>26</v>
      </c>
      <c r="L265" s="1">
        <v>0.3</v>
      </c>
      <c r="M265" s="1">
        <v>0</v>
      </c>
      <c r="N265" s="2">
        <f>Table1[[#This Row],[G]]/Table1[[#This Row],[MP]]</f>
        <v>0</v>
      </c>
      <c r="O265" s="2">
        <v>0</v>
      </c>
      <c r="P265" s="2">
        <f>Table1[[#This Row],[A]]/Table1[[#This Row],[MP]]</f>
        <v>0</v>
      </c>
      <c r="Q265" s="2">
        <v>0</v>
      </c>
      <c r="R265" s="2">
        <f>Table1[[#This Row],[PTS]]/Table1[[#This Row],[MP]]</f>
        <v>0</v>
      </c>
      <c r="S265" s="1">
        <v>0</v>
      </c>
      <c r="T265" s="1">
        <f>Table1[[#This Row],[G]]-Table1[[#This Row],[G_PK]]</f>
        <v>0</v>
      </c>
      <c r="U265" s="1">
        <v>0</v>
      </c>
      <c r="V265" s="1">
        <v>0</v>
      </c>
      <c r="W265" s="1">
        <v>0</v>
      </c>
      <c r="X265" s="1">
        <v>0</v>
      </c>
      <c r="Y265" s="1">
        <f>Table1[[#This Row],[CRDY]]+Table1[[#This Row],[CRDR]]</f>
        <v>0</v>
      </c>
      <c r="Z265" s="1">
        <v>0</v>
      </c>
      <c r="AA265" s="2">
        <f>Table1[[#This Row],[XG]]/Table1[[#This Row],[MP]]</f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2</v>
      </c>
    </row>
    <row r="266" spans="1:33" x14ac:dyDescent="0.35">
      <c r="A266">
        <v>213</v>
      </c>
      <c r="B266" t="s">
        <v>493</v>
      </c>
      <c r="C266" t="s">
        <v>494</v>
      </c>
      <c r="D266" t="s">
        <v>32</v>
      </c>
      <c r="E266" t="s">
        <v>57</v>
      </c>
      <c r="F266" t="s">
        <v>495</v>
      </c>
      <c r="G266" s="1">
        <v>2001</v>
      </c>
      <c r="H266" s="1">
        <v>4</v>
      </c>
      <c r="I266" s="1">
        <v>0</v>
      </c>
      <c r="J266" s="2">
        <f>Table1[[#This Row],[STARTS]]/Table1[[#This Row],[MP]]</f>
        <v>0</v>
      </c>
      <c r="K266" s="1">
        <v>60</v>
      </c>
      <c r="L266" s="1">
        <v>0.7</v>
      </c>
      <c r="M266" s="1">
        <v>0</v>
      </c>
      <c r="N266" s="2">
        <f>Table1[[#This Row],[G]]/Table1[[#This Row],[MP]]</f>
        <v>0</v>
      </c>
      <c r="O266" s="2">
        <v>0</v>
      </c>
      <c r="P266" s="2">
        <f>Table1[[#This Row],[A]]/Table1[[#This Row],[MP]]</f>
        <v>0</v>
      </c>
      <c r="Q266" s="2">
        <v>0</v>
      </c>
      <c r="R266" s="2">
        <f>Table1[[#This Row],[PTS]]/Table1[[#This Row],[MP]]</f>
        <v>0</v>
      </c>
      <c r="S266" s="1">
        <v>0</v>
      </c>
      <c r="T266" s="1">
        <f>Table1[[#This Row],[G]]-Table1[[#This Row],[G_PK]]</f>
        <v>0</v>
      </c>
      <c r="U266" s="1">
        <v>0</v>
      </c>
      <c r="V266" s="1">
        <v>0</v>
      </c>
      <c r="W266" s="1">
        <v>2</v>
      </c>
      <c r="X266" s="1">
        <v>0</v>
      </c>
      <c r="Y266" s="1">
        <f>Table1[[#This Row],[CRDY]]+Table1[[#This Row],[CRDR]]</f>
        <v>2</v>
      </c>
      <c r="Z266" s="1">
        <v>0</v>
      </c>
      <c r="AA266" s="2">
        <f>Table1[[#This Row],[XG]]/Table1[[#This Row],[MP]]</f>
        <v>0</v>
      </c>
      <c r="AB266" s="1">
        <v>0</v>
      </c>
      <c r="AC266" s="1">
        <v>0</v>
      </c>
      <c r="AD266" s="1">
        <v>0</v>
      </c>
      <c r="AE266" s="1">
        <v>1</v>
      </c>
      <c r="AF266" s="1">
        <v>1</v>
      </c>
      <c r="AG266" s="1">
        <v>4</v>
      </c>
    </row>
    <row r="267" spans="1:33" x14ac:dyDescent="0.35">
      <c r="A267">
        <v>215</v>
      </c>
      <c r="B267" t="s">
        <v>498</v>
      </c>
      <c r="C267" t="s">
        <v>499</v>
      </c>
      <c r="D267" t="s">
        <v>62</v>
      </c>
      <c r="E267" t="s">
        <v>101</v>
      </c>
      <c r="F267" t="s">
        <v>500</v>
      </c>
      <c r="G267" s="1">
        <v>2005</v>
      </c>
      <c r="H267" s="1">
        <v>2</v>
      </c>
      <c r="I267" s="1">
        <v>0</v>
      </c>
      <c r="J267" s="2">
        <f>Table1[[#This Row],[STARTS]]/Table1[[#This Row],[MP]]</f>
        <v>0</v>
      </c>
      <c r="K267" s="1">
        <v>24</v>
      </c>
      <c r="L267" s="1">
        <v>0.3</v>
      </c>
      <c r="M267" s="1">
        <v>0</v>
      </c>
      <c r="N267" s="2">
        <f>Table1[[#This Row],[G]]/Table1[[#This Row],[MP]]</f>
        <v>0</v>
      </c>
      <c r="O267" s="2">
        <v>0</v>
      </c>
      <c r="P267" s="2">
        <f>Table1[[#This Row],[A]]/Table1[[#This Row],[MP]]</f>
        <v>0</v>
      </c>
      <c r="Q267" s="2">
        <v>0</v>
      </c>
      <c r="R267" s="2">
        <f>Table1[[#This Row],[PTS]]/Table1[[#This Row],[MP]]</f>
        <v>0</v>
      </c>
      <c r="S267" s="1">
        <v>0</v>
      </c>
      <c r="T267" s="1">
        <f>Table1[[#This Row],[G]]-Table1[[#This Row],[G_PK]]</f>
        <v>0</v>
      </c>
      <c r="U267" s="1">
        <v>0</v>
      </c>
      <c r="V267" s="1">
        <v>0</v>
      </c>
      <c r="W267" s="1">
        <v>0</v>
      </c>
      <c r="X267" s="1">
        <v>0</v>
      </c>
      <c r="Y267" s="1">
        <f>Table1[[#This Row],[CRDY]]+Table1[[#This Row],[CRDR]]</f>
        <v>0</v>
      </c>
      <c r="Z267" s="1">
        <v>0</v>
      </c>
      <c r="AA267" s="2">
        <f>Table1[[#This Row],[XG]]/Table1[[#This Row],[MP]]</f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</row>
    <row r="268" spans="1:33" x14ac:dyDescent="0.35">
      <c r="A268">
        <v>217</v>
      </c>
      <c r="B268" t="s">
        <v>503</v>
      </c>
      <c r="C268" t="s">
        <v>298</v>
      </c>
      <c r="D268" t="s">
        <v>28</v>
      </c>
      <c r="E268" t="s">
        <v>38</v>
      </c>
      <c r="F268" t="s">
        <v>504</v>
      </c>
      <c r="G268" s="1">
        <v>2002</v>
      </c>
      <c r="H268" s="1">
        <v>9</v>
      </c>
      <c r="I268" s="1">
        <v>9</v>
      </c>
      <c r="J268" s="2">
        <f>Table1[[#This Row],[STARTS]]/Table1[[#This Row],[MP]]</f>
        <v>1</v>
      </c>
      <c r="K268" s="1">
        <v>748</v>
      </c>
      <c r="L268" s="1">
        <v>8.3000000000000007</v>
      </c>
      <c r="M268" s="1">
        <v>0</v>
      </c>
      <c r="N268" s="2">
        <f>Table1[[#This Row],[G]]/Table1[[#This Row],[MP]]</f>
        <v>0</v>
      </c>
      <c r="O268" s="2">
        <v>0</v>
      </c>
      <c r="P268" s="2">
        <f>Table1[[#This Row],[A]]/Table1[[#This Row],[MP]]</f>
        <v>0</v>
      </c>
      <c r="Q268" s="2">
        <v>0</v>
      </c>
      <c r="R268" s="2">
        <f>Table1[[#This Row],[PTS]]/Table1[[#This Row],[MP]]</f>
        <v>0</v>
      </c>
      <c r="S268" s="1">
        <v>0</v>
      </c>
      <c r="T268" s="1">
        <f>Table1[[#This Row],[G]]-Table1[[#This Row],[G_PK]]</f>
        <v>0</v>
      </c>
      <c r="U268" s="1">
        <v>0</v>
      </c>
      <c r="V268" s="1">
        <v>0</v>
      </c>
      <c r="W268" s="1">
        <v>0</v>
      </c>
      <c r="X268" s="1">
        <v>0</v>
      </c>
      <c r="Y268" s="1">
        <f>Table1[[#This Row],[CRDY]]+Table1[[#This Row],[CRDR]]</f>
        <v>0</v>
      </c>
      <c r="Z268" s="1">
        <v>0.1</v>
      </c>
      <c r="AA268" s="2">
        <f>Table1[[#This Row],[XG]]/Table1[[#This Row],[MP]]</f>
        <v>1.1111111111111112E-2</v>
      </c>
      <c r="AB268" s="1">
        <v>0.1</v>
      </c>
      <c r="AC268" s="1">
        <v>0.2</v>
      </c>
      <c r="AD268" s="1">
        <v>0.3</v>
      </c>
      <c r="AE268" s="1">
        <v>3</v>
      </c>
      <c r="AF268" s="1">
        <v>18</v>
      </c>
      <c r="AG268" s="1">
        <v>3</v>
      </c>
    </row>
    <row r="269" spans="1:33" x14ac:dyDescent="0.35">
      <c r="A269">
        <v>220</v>
      </c>
      <c r="B269" t="s">
        <v>509</v>
      </c>
      <c r="C269" t="s">
        <v>106</v>
      </c>
      <c r="D269" t="s">
        <v>85</v>
      </c>
      <c r="E269" t="s">
        <v>51</v>
      </c>
      <c r="F269" t="s">
        <v>510</v>
      </c>
      <c r="G269" s="1">
        <v>2001</v>
      </c>
      <c r="H269" s="1">
        <v>3</v>
      </c>
      <c r="I269" s="1">
        <v>1</v>
      </c>
      <c r="J269" s="2">
        <f>Table1[[#This Row],[STARTS]]/Table1[[#This Row],[MP]]</f>
        <v>0.33333333333333331</v>
      </c>
      <c r="K269" s="1">
        <v>72</v>
      </c>
      <c r="L269" s="1">
        <v>0.8</v>
      </c>
      <c r="M269" s="1">
        <v>0</v>
      </c>
      <c r="N269" s="2">
        <f>Table1[[#This Row],[G]]/Table1[[#This Row],[MP]]</f>
        <v>0</v>
      </c>
      <c r="O269" s="2">
        <v>0</v>
      </c>
      <c r="P269" s="2">
        <f>Table1[[#This Row],[A]]/Table1[[#This Row],[MP]]</f>
        <v>0</v>
      </c>
      <c r="Q269" s="2">
        <v>0</v>
      </c>
      <c r="R269" s="2">
        <f>Table1[[#This Row],[PTS]]/Table1[[#This Row],[MP]]</f>
        <v>0</v>
      </c>
      <c r="S269" s="1">
        <v>0</v>
      </c>
      <c r="T269" s="1">
        <f>Table1[[#This Row],[G]]-Table1[[#This Row],[G_PK]]</f>
        <v>0</v>
      </c>
      <c r="U269" s="1">
        <v>0</v>
      </c>
      <c r="V269" s="1">
        <v>0</v>
      </c>
      <c r="W269" s="1">
        <v>0</v>
      </c>
      <c r="X269" s="1">
        <v>0</v>
      </c>
      <c r="Y269" s="1">
        <f>Table1[[#This Row],[CRDY]]+Table1[[#This Row],[CRDR]]</f>
        <v>0</v>
      </c>
      <c r="Z269" s="1">
        <v>0.5</v>
      </c>
      <c r="AA269" s="2">
        <f>Table1[[#This Row],[XG]]/Table1[[#This Row],[MP]]</f>
        <v>0.16666666666666666</v>
      </c>
      <c r="AB269" s="1">
        <v>0.5</v>
      </c>
      <c r="AC269" s="1">
        <v>0</v>
      </c>
      <c r="AD269" s="1">
        <v>0.5</v>
      </c>
      <c r="AE269" s="1">
        <v>1</v>
      </c>
      <c r="AF269" s="1">
        <v>1</v>
      </c>
      <c r="AG269" s="1">
        <v>1</v>
      </c>
    </row>
    <row r="270" spans="1:33" x14ac:dyDescent="0.35">
      <c r="A270">
        <v>221</v>
      </c>
      <c r="B270" t="s">
        <v>511</v>
      </c>
      <c r="C270" t="s">
        <v>49</v>
      </c>
      <c r="D270" t="s">
        <v>85</v>
      </c>
      <c r="E270" t="s">
        <v>46</v>
      </c>
      <c r="F270" t="s">
        <v>512</v>
      </c>
      <c r="G270" s="1">
        <v>1994</v>
      </c>
      <c r="H270" s="1">
        <v>11</v>
      </c>
      <c r="I270" s="1">
        <v>5</v>
      </c>
      <c r="J270" s="2">
        <f>Table1[[#This Row],[STARTS]]/Table1[[#This Row],[MP]]</f>
        <v>0.45454545454545453</v>
      </c>
      <c r="K270" s="1">
        <v>447</v>
      </c>
      <c r="L270" s="1">
        <v>5</v>
      </c>
      <c r="M270" s="1">
        <v>0</v>
      </c>
      <c r="N270" s="2">
        <f>Table1[[#This Row],[G]]/Table1[[#This Row],[MP]]</f>
        <v>0</v>
      </c>
      <c r="O270" s="2">
        <v>0</v>
      </c>
      <c r="P270" s="2">
        <f>Table1[[#This Row],[A]]/Table1[[#This Row],[MP]]</f>
        <v>0</v>
      </c>
      <c r="Q270" s="2">
        <v>0</v>
      </c>
      <c r="R270" s="2">
        <f>Table1[[#This Row],[PTS]]/Table1[[#This Row],[MP]]</f>
        <v>0</v>
      </c>
      <c r="S270" s="1">
        <v>0</v>
      </c>
      <c r="T270" s="1">
        <f>Table1[[#This Row],[G]]-Table1[[#This Row],[G_PK]]</f>
        <v>0</v>
      </c>
      <c r="U270" s="1">
        <v>0</v>
      </c>
      <c r="V270" s="1">
        <v>0</v>
      </c>
      <c r="W270" s="1">
        <v>1</v>
      </c>
      <c r="X270" s="1">
        <v>0</v>
      </c>
      <c r="Y270" s="1">
        <f>Table1[[#This Row],[CRDY]]+Table1[[#This Row],[CRDR]]</f>
        <v>1</v>
      </c>
      <c r="Z270" s="1">
        <v>0.9</v>
      </c>
      <c r="AA270" s="2">
        <f>Table1[[#This Row],[XG]]/Table1[[#This Row],[MP]]</f>
        <v>8.1818181818181818E-2</v>
      </c>
      <c r="AB270" s="1">
        <v>0.9</v>
      </c>
      <c r="AC270" s="1">
        <v>0.3</v>
      </c>
      <c r="AD270" s="1">
        <v>1.2</v>
      </c>
      <c r="AE270" s="1">
        <v>6</v>
      </c>
      <c r="AF270" s="1">
        <v>8</v>
      </c>
      <c r="AG270" s="1">
        <v>30</v>
      </c>
    </row>
    <row r="271" spans="1:33" x14ac:dyDescent="0.35">
      <c r="A271">
        <v>226</v>
      </c>
      <c r="B271" t="s">
        <v>520</v>
      </c>
      <c r="C271" t="s">
        <v>521</v>
      </c>
      <c r="D271" t="s">
        <v>32</v>
      </c>
      <c r="E271" t="s">
        <v>54</v>
      </c>
      <c r="F271" t="s">
        <v>522</v>
      </c>
      <c r="G271" s="1">
        <v>2007</v>
      </c>
      <c r="H271" s="1">
        <v>5</v>
      </c>
      <c r="I271" s="1">
        <v>0</v>
      </c>
      <c r="J271" s="2">
        <f>Table1[[#This Row],[STARTS]]/Table1[[#This Row],[MP]]</f>
        <v>0</v>
      </c>
      <c r="K271" s="1">
        <v>90</v>
      </c>
      <c r="L271" s="1">
        <v>1</v>
      </c>
      <c r="M271" s="1">
        <v>0</v>
      </c>
      <c r="N271" s="2">
        <f>Table1[[#This Row],[G]]/Table1[[#This Row],[MP]]</f>
        <v>0</v>
      </c>
      <c r="O271" s="2">
        <v>0</v>
      </c>
      <c r="P271" s="2">
        <f>Table1[[#This Row],[A]]/Table1[[#This Row],[MP]]</f>
        <v>0</v>
      </c>
      <c r="Q271" s="2">
        <v>0</v>
      </c>
      <c r="R271" s="2">
        <f>Table1[[#This Row],[PTS]]/Table1[[#This Row],[MP]]</f>
        <v>0</v>
      </c>
      <c r="S271" s="1">
        <v>0</v>
      </c>
      <c r="T271" s="1">
        <f>Table1[[#This Row],[G]]-Table1[[#This Row],[G_PK]]</f>
        <v>0</v>
      </c>
      <c r="U271" s="1">
        <v>0</v>
      </c>
      <c r="V271" s="1">
        <v>0</v>
      </c>
      <c r="W271" s="1">
        <v>0</v>
      </c>
      <c r="X271" s="1">
        <v>0</v>
      </c>
      <c r="Y271" s="1">
        <f>Table1[[#This Row],[CRDY]]+Table1[[#This Row],[CRDR]]</f>
        <v>0</v>
      </c>
      <c r="Z271" s="1">
        <v>0</v>
      </c>
      <c r="AA271" s="2">
        <f>Table1[[#This Row],[XG]]/Table1[[#This Row],[MP]]</f>
        <v>0</v>
      </c>
      <c r="AB271" s="1">
        <v>0</v>
      </c>
      <c r="AC271" s="1">
        <v>0.1</v>
      </c>
      <c r="AD271" s="1">
        <v>0.1</v>
      </c>
      <c r="AE271" s="1">
        <v>3</v>
      </c>
      <c r="AF271" s="1">
        <v>1</v>
      </c>
      <c r="AG271" s="1">
        <v>2</v>
      </c>
    </row>
    <row r="272" spans="1:33" x14ac:dyDescent="0.35">
      <c r="A272">
        <v>229</v>
      </c>
      <c r="B272" t="s">
        <v>527</v>
      </c>
      <c r="C272" t="s">
        <v>373</v>
      </c>
      <c r="D272" t="s">
        <v>62</v>
      </c>
      <c r="E272" t="s">
        <v>71</v>
      </c>
      <c r="F272" t="s">
        <v>528</v>
      </c>
      <c r="G272" s="1">
        <v>1999</v>
      </c>
      <c r="H272" s="1">
        <v>1</v>
      </c>
      <c r="I272" s="1">
        <v>0</v>
      </c>
      <c r="J272" s="2">
        <f>Table1[[#This Row],[STARTS]]/Table1[[#This Row],[MP]]</f>
        <v>0</v>
      </c>
      <c r="K272" s="1">
        <v>9</v>
      </c>
      <c r="L272" s="1">
        <v>0.1</v>
      </c>
      <c r="M272" s="1">
        <v>0</v>
      </c>
      <c r="N272" s="2">
        <f>Table1[[#This Row],[G]]/Table1[[#This Row],[MP]]</f>
        <v>0</v>
      </c>
      <c r="O272" s="2">
        <v>0</v>
      </c>
      <c r="P272" s="2">
        <f>Table1[[#This Row],[A]]/Table1[[#This Row],[MP]]</f>
        <v>0</v>
      </c>
      <c r="Q272" s="2">
        <v>0</v>
      </c>
      <c r="R272" s="2">
        <f>Table1[[#This Row],[PTS]]/Table1[[#This Row],[MP]]</f>
        <v>0</v>
      </c>
      <c r="S272" s="1">
        <v>0</v>
      </c>
      <c r="T272" s="1">
        <f>Table1[[#This Row],[G]]-Table1[[#This Row],[G_PK]]</f>
        <v>0</v>
      </c>
      <c r="U272" s="1">
        <v>0</v>
      </c>
      <c r="V272" s="1">
        <v>0</v>
      </c>
      <c r="W272" s="1">
        <v>0</v>
      </c>
      <c r="X272" s="1">
        <v>0</v>
      </c>
      <c r="Y272" s="1">
        <f>Table1[[#This Row],[CRDY]]+Table1[[#This Row],[CRDR]]</f>
        <v>0</v>
      </c>
      <c r="Z272" s="1">
        <v>0</v>
      </c>
      <c r="AA272" s="2">
        <f>Table1[[#This Row],[XG]]/Table1[[#This Row],[MP]]</f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</row>
    <row r="273" spans="1:33" x14ac:dyDescent="0.35">
      <c r="A273">
        <v>231</v>
      </c>
      <c r="B273" t="s">
        <v>531</v>
      </c>
      <c r="C273" t="s">
        <v>27</v>
      </c>
      <c r="D273" t="s">
        <v>28</v>
      </c>
      <c r="E273" t="s">
        <v>164</v>
      </c>
      <c r="F273" t="s">
        <v>532</v>
      </c>
      <c r="G273" s="1">
        <v>1997</v>
      </c>
      <c r="H273" s="1">
        <v>13</v>
      </c>
      <c r="I273" s="1">
        <v>4</v>
      </c>
      <c r="J273" s="2">
        <f>Table1[[#This Row],[STARTS]]/Table1[[#This Row],[MP]]</f>
        <v>0.30769230769230771</v>
      </c>
      <c r="K273" s="1">
        <v>579</v>
      </c>
      <c r="L273" s="1">
        <v>6.4</v>
      </c>
      <c r="M273" s="1">
        <v>0</v>
      </c>
      <c r="N273" s="2">
        <f>Table1[[#This Row],[G]]/Table1[[#This Row],[MP]]</f>
        <v>0</v>
      </c>
      <c r="O273" s="2">
        <v>0</v>
      </c>
      <c r="P273" s="2">
        <f>Table1[[#This Row],[A]]/Table1[[#This Row],[MP]]</f>
        <v>0</v>
      </c>
      <c r="Q273" s="2">
        <v>0</v>
      </c>
      <c r="R273" s="2">
        <f>Table1[[#This Row],[PTS]]/Table1[[#This Row],[MP]]</f>
        <v>0</v>
      </c>
      <c r="S273" s="1">
        <v>0</v>
      </c>
      <c r="T273" s="1">
        <f>Table1[[#This Row],[G]]-Table1[[#This Row],[G_PK]]</f>
        <v>0</v>
      </c>
      <c r="U273" s="1">
        <v>0</v>
      </c>
      <c r="V273" s="1">
        <v>0</v>
      </c>
      <c r="W273" s="1">
        <v>2</v>
      </c>
      <c r="X273" s="1">
        <v>0</v>
      </c>
      <c r="Y273" s="1">
        <f>Table1[[#This Row],[CRDY]]+Table1[[#This Row],[CRDR]]</f>
        <v>2</v>
      </c>
      <c r="Z273" s="1">
        <v>0.1</v>
      </c>
      <c r="AA273" s="2">
        <f>Table1[[#This Row],[XG]]/Table1[[#This Row],[MP]]</f>
        <v>7.6923076923076927E-3</v>
      </c>
      <c r="AB273" s="1">
        <v>0.1</v>
      </c>
      <c r="AC273" s="1">
        <v>0.2</v>
      </c>
      <c r="AD273" s="1">
        <v>0.3</v>
      </c>
      <c r="AE273" s="1">
        <v>7</v>
      </c>
      <c r="AF273" s="1">
        <v>19</v>
      </c>
      <c r="AG273" s="1">
        <v>10</v>
      </c>
    </row>
    <row r="274" spans="1:33" x14ac:dyDescent="0.35">
      <c r="A274">
        <v>234</v>
      </c>
      <c r="B274" t="s">
        <v>537</v>
      </c>
      <c r="C274" t="s">
        <v>36</v>
      </c>
      <c r="D274" t="s">
        <v>32</v>
      </c>
      <c r="E274" t="s">
        <v>81</v>
      </c>
      <c r="F274" t="s">
        <v>538</v>
      </c>
      <c r="G274" s="1">
        <v>1995</v>
      </c>
      <c r="H274" s="1">
        <v>9</v>
      </c>
      <c r="I274" s="1">
        <v>3</v>
      </c>
      <c r="J274" s="2">
        <f>Table1[[#This Row],[STARTS]]/Table1[[#This Row],[MP]]</f>
        <v>0.33333333333333331</v>
      </c>
      <c r="K274" s="1">
        <v>340</v>
      </c>
      <c r="L274" s="1">
        <v>3.8</v>
      </c>
      <c r="M274" s="1">
        <v>0</v>
      </c>
      <c r="N274" s="2">
        <f>Table1[[#This Row],[G]]/Table1[[#This Row],[MP]]</f>
        <v>0</v>
      </c>
      <c r="O274" s="2">
        <v>0</v>
      </c>
      <c r="P274" s="2">
        <f>Table1[[#This Row],[A]]/Table1[[#This Row],[MP]]</f>
        <v>0</v>
      </c>
      <c r="Q274" s="2">
        <v>0</v>
      </c>
      <c r="R274" s="2">
        <f>Table1[[#This Row],[PTS]]/Table1[[#This Row],[MP]]</f>
        <v>0</v>
      </c>
      <c r="S274" s="1">
        <v>0</v>
      </c>
      <c r="T274" s="1">
        <f>Table1[[#This Row],[G]]-Table1[[#This Row],[G_PK]]</f>
        <v>0</v>
      </c>
      <c r="U274" s="1">
        <v>0</v>
      </c>
      <c r="V274" s="1">
        <v>0</v>
      </c>
      <c r="W274" s="1">
        <v>1</v>
      </c>
      <c r="X274" s="1">
        <v>0</v>
      </c>
      <c r="Y274" s="1">
        <f>Table1[[#This Row],[CRDY]]+Table1[[#This Row],[CRDR]]</f>
        <v>1</v>
      </c>
      <c r="Z274" s="1">
        <v>0.4</v>
      </c>
      <c r="AA274" s="2">
        <f>Table1[[#This Row],[XG]]/Table1[[#This Row],[MP]]</f>
        <v>4.4444444444444446E-2</v>
      </c>
      <c r="AB274" s="1">
        <v>0.4</v>
      </c>
      <c r="AC274" s="1">
        <v>0.3</v>
      </c>
      <c r="AD274" s="1">
        <v>0.8</v>
      </c>
      <c r="AE274" s="1">
        <v>14</v>
      </c>
      <c r="AF274" s="1">
        <v>2</v>
      </c>
      <c r="AG274" s="1">
        <v>31</v>
      </c>
    </row>
    <row r="275" spans="1:33" x14ac:dyDescent="0.35">
      <c r="A275">
        <v>235</v>
      </c>
      <c r="B275" t="s">
        <v>539</v>
      </c>
      <c r="C275" t="s">
        <v>540</v>
      </c>
      <c r="D275" t="s">
        <v>62</v>
      </c>
      <c r="E275" t="s">
        <v>51</v>
      </c>
      <c r="F275" t="s">
        <v>541</v>
      </c>
      <c r="G275" s="1">
        <v>1992</v>
      </c>
      <c r="H275" s="1">
        <v>6</v>
      </c>
      <c r="I275" s="1">
        <v>1</v>
      </c>
      <c r="J275" s="2">
        <f>Table1[[#This Row],[STARTS]]/Table1[[#This Row],[MP]]</f>
        <v>0.16666666666666666</v>
      </c>
      <c r="K275" s="1">
        <v>127</v>
      </c>
      <c r="L275" s="1">
        <v>1.4</v>
      </c>
      <c r="M275" s="1">
        <v>0</v>
      </c>
      <c r="N275" s="2">
        <f>Table1[[#This Row],[G]]/Table1[[#This Row],[MP]]</f>
        <v>0</v>
      </c>
      <c r="O275" s="2">
        <v>0</v>
      </c>
      <c r="P275" s="2">
        <f>Table1[[#This Row],[A]]/Table1[[#This Row],[MP]]</f>
        <v>0</v>
      </c>
      <c r="Q275" s="2">
        <v>0</v>
      </c>
      <c r="R275" s="2">
        <f>Table1[[#This Row],[PTS]]/Table1[[#This Row],[MP]]</f>
        <v>0</v>
      </c>
      <c r="S275" s="1">
        <v>0</v>
      </c>
      <c r="T275" s="1">
        <f>Table1[[#This Row],[G]]-Table1[[#This Row],[G_PK]]</f>
        <v>0</v>
      </c>
      <c r="U275" s="1">
        <v>0</v>
      </c>
      <c r="V275" s="1">
        <v>0</v>
      </c>
      <c r="W275" s="1">
        <v>2</v>
      </c>
      <c r="X275" s="1">
        <v>1</v>
      </c>
      <c r="Y275" s="1">
        <f>Table1[[#This Row],[CRDY]]+Table1[[#This Row],[CRDR]]</f>
        <v>3</v>
      </c>
      <c r="Z275" s="1">
        <v>0</v>
      </c>
      <c r="AA275" s="2">
        <f>Table1[[#This Row],[XG]]/Table1[[#This Row],[MP]]</f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7</v>
      </c>
      <c r="AG275" s="1">
        <v>5</v>
      </c>
    </row>
    <row r="276" spans="1:33" x14ac:dyDescent="0.35">
      <c r="A276">
        <v>236</v>
      </c>
      <c r="B276" t="s">
        <v>542</v>
      </c>
      <c r="C276" t="s">
        <v>27</v>
      </c>
      <c r="D276" t="s">
        <v>37</v>
      </c>
      <c r="E276" t="s">
        <v>101</v>
      </c>
      <c r="F276" t="s">
        <v>543</v>
      </c>
      <c r="G276" s="1">
        <v>1995</v>
      </c>
      <c r="H276" s="1">
        <v>9</v>
      </c>
      <c r="I276" s="1">
        <v>3</v>
      </c>
      <c r="J276" s="2">
        <f>Table1[[#This Row],[STARTS]]/Table1[[#This Row],[MP]]</f>
        <v>0.33333333333333331</v>
      </c>
      <c r="K276" s="1">
        <v>361</v>
      </c>
      <c r="L276" s="1">
        <v>4</v>
      </c>
      <c r="M276" s="1">
        <v>0</v>
      </c>
      <c r="N276" s="2">
        <f>Table1[[#This Row],[G]]/Table1[[#This Row],[MP]]</f>
        <v>0</v>
      </c>
      <c r="O276" s="2">
        <v>0</v>
      </c>
      <c r="P276" s="2">
        <f>Table1[[#This Row],[A]]/Table1[[#This Row],[MP]]</f>
        <v>0</v>
      </c>
      <c r="Q276" s="2">
        <v>0</v>
      </c>
      <c r="R276" s="2">
        <f>Table1[[#This Row],[PTS]]/Table1[[#This Row],[MP]]</f>
        <v>0</v>
      </c>
      <c r="S276" s="1">
        <v>0</v>
      </c>
      <c r="T276" s="1">
        <f>Table1[[#This Row],[G]]-Table1[[#This Row],[G_PK]]</f>
        <v>0</v>
      </c>
      <c r="U276" s="1">
        <v>0</v>
      </c>
      <c r="V276" s="1">
        <v>0</v>
      </c>
      <c r="W276" s="1">
        <v>0</v>
      </c>
      <c r="X276" s="1">
        <v>0</v>
      </c>
      <c r="Y276" s="1">
        <f>Table1[[#This Row],[CRDY]]+Table1[[#This Row],[CRDR]]</f>
        <v>0</v>
      </c>
      <c r="Z276" s="1">
        <v>0.3</v>
      </c>
      <c r="AA276" s="2">
        <f>Table1[[#This Row],[XG]]/Table1[[#This Row],[MP]]</f>
        <v>3.3333333333333333E-2</v>
      </c>
      <c r="AB276" s="1">
        <v>0.3</v>
      </c>
      <c r="AC276" s="1">
        <v>0.3</v>
      </c>
      <c r="AD276" s="1">
        <v>0.7</v>
      </c>
      <c r="AE276" s="1">
        <v>15</v>
      </c>
      <c r="AF276" s="1">
        <v>9</v>
      </c>
      <c r="AG276" s="1">
        <v>32</v>
      </c>
    </row>
    <row r="277" spans="1:33" x14ac:dyDescent="0.35">
      <c r="A277">
        <v>237</v>
      </c>
      <c r="B277" t="s">
        <v>544</v>
      </c>
      <c r="C277" t="s">
        <v>276</v>
      </c>
      <c r="D277" t="s">
        <v>28</v>
      </c>
      <c r="E277" t="s">
        <v>164</v>
      </c>
      <c r="F277" t="s">
        <v>545</v>
      </c>
      <c r="G277" s="1">
        <v>1999</v>
      </c>
      <c r="H277" s="1">
        <v>10</v>
      </c>
      <c r="I277" s="1">
        <v>9</v>
      </c>
      <c r="J277" s="2">
        <f>Table1[[#This Row],[STARTS]]/Table1[[#This Row],[MP]]</f>
        <v>0.9</v>
      </c>
      <c r="K277" s="1">
        <v>611</v>
      </c>
      <c r="L277" s="1">
        <v>6.8</v>
      </c>
      <c r="M277" s="1">
        <v>0</v>
      </c>
      <c r="N277" s="2">
        <f>Table1[[#This Row],[G]]/Table1[[#This Row],[MP]]</f>
        <v>0</v>
      </c>
      <c r="O277" s="2">
        <v>0</v>
      </c>
      <c r="P277" s="2">
        <f>Table1[[#This Row],[A]]/Table1[[#This Row],[MP]]</f>
        <v>0</v>
      </c>
      <c r="Q277" s="2">
        <v>0</v>
      </c>
      <c r="R277" s="2">
        <f>Table1[[#This Row],[PTS]]/Table1[[#This Row],[MP]]</f>
        <v>0</v>
      </c>
      <c r="S277" s="1">
        <v>0</v>
      </c>
      <c r="T277" s="1">
        <f>Table1[[#This Row],[G]]-Table1[[#This Row],[G_PK]]</f>
        <v>0</v>
      </c>
      <c r="U277" s="1">
        <v>0</v>
      </c>
      <c r="V277" s="1">
        <v>0</v>
      </c>
      <c r="W277" s="1">
        <v>3</v>
      </c>
      <c r="X277" s="1">
        <v>0</v>
      </c>
      <c r="Y277" s="1">
        <f>Table1[[#This Row],[CRDY]]+Table1[[#This Row],[CRDR]]</f>
        <v>3</v>
      </c>
      <c r="Z277" s="1">
        <v>0</v>
      </c>
      <c r="AA277" s="2">
        <f>Table1[[#This Row],[XG]]/Table1[[#This Row],[MP]]</f>
        <v>0</v>
      </c>
      <c r="AB277" s="1">
        <v>0</v>
      </c>
      <c r="AC277" s="1">
        <v>0.3</v>
      </c>
      <c r="AD277" s="1">
        <v>0.3</v>
      </c>
      <c r="AE277" s="1">
        <v>7</v>
      </c>
      <c r="AF277" s="1">
        <v>15</v>
      </c>
      <c r="AG277" s="1">
        <v>4</v>
      </c>
    </row>
    <row r="278" spans="1:33" x14ac:dyDescent="0.35">
      <c r="A278">
        <v>238</v>
      </c>
      <c r="B278" t="s">
        <v>546</v>
      </c>
      <c r="C278" t="s">
        <v>41</v>
      </c>
      <c r="D278" t="s">
        <v>28</v>
      </c>
      <c r="E278" t="s">
        <v>29</v>
      </c>
      <c r="F278" t="s">
        <v>547</v>
      </c>
      <c r="G278" s="1">
        <v>1991</v>
      </c>
      <c r="H278" s="1">
        <v>2</v>
      </c>
      <c r="I278" s="1">
        <v>2</v>
      </c>
      <c r="J278" s="2">
        <f>Table1[[#This Row],[STARTS]]/Table1[[#This Row],[MP]]</f>
        <v>1</v>
      </c>
      <c r="K278" s="1">
        <v>107</v>
      </c>
      <c r="L278" s="1">
        <v>1.2</v>
      </c>
      <c r="M278" s="1">
        <v>0</v>
      </c>
      <c r="N278" s="2">
        <f>Table1[[#This Row],[G]]/Table1[[#This Row],[MP]]</f>
        <v>0</v>
      </c>
      <c r="O278" s="2">
        <v>0</v>
      </c>
      <c r="P278" s="2">
        <f>Table1[[#This Row],[A]]/Table1[[#This Row],[MP]]</f>
        <v>0</v>
      </c>
      <c r="Q278" s="2">
        <v>0</v>
      </c>
      <c r="R278" s="2">
        <f>Table1[[#This Row],[PTS]]/Table1[[#This Row],[MP]]</f>
        <v>0</v>
      </c>
      <c r="S278" s="1">
        <v>0</v>
      </c>
      <c r="T278" s="1">
        <f>Table1[[#This Row],[G]]-Table1[[#This Row],[G_PK]]</f>
        <v>0</v>
      </c>
      <c r="U278" s="1">
        <v>0</v>
      </c>
      <c r="V278" s="1">
        <v>0</v>
      </c>
      <c r="W278" s="1">
        <v>0</v>
      </c>
      <c r="X278" s="1">
        <v>0</v>
      </c>
      <c r="Y278" s="1">
        <f>Table1[[#This Row],[CRDY]]+Table1[[#This Row],[CRDR]]</f>
        <v>0</v>
      </c>
      <c r="Z278" s="1">
        <v>0</v>
      </c>
      <c r="AA278" s="2">
        <f>Table1[[#This Row],[XG]]/Table1[[#This Row],[MP]]</f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4</v>
      </c>
      <c r="AG278" s="1">
        <v>0</v>
      </c>
    </row>
    <row r="279" spans="1:33" x14ac:dyDescent="0.35">
      <c r="A279">
        <v>242</v>
      </c>
      <c r="B279" t="s">
        <v>554</v>
      </c>
      <c r="C279" t="s">
        <v>27</v>
      </c>
      <c r="D279" t="s">
        <v>32</v>
      </c>
      <c r="E279" t="s">
        <v>164</v>
      </c>
      <c r="F279" t="s">
        <v>555</v>
      </c>
      <c r="G279" s="1">
        <v>2009</v>
      </c>
      <c r="H279" s="1">
        <v>7</v>
      </c>
      <c r="I279" s="1">
        <v>1</v>
      </c>
      <c r="J279" s="2">
        <f>Table1[[#This Row],[STARTS]]/Table1[[#This Row],[MP]]</f>
        <v>0.14285714285714285</v>
      </c>
      <c r="K279" s="1">
        <v>156</v>
      </c>
      <c r="L279" s="1">
        <v>1.7</v>
      </c>
      <c r="M279" s="1">
        <v>0</v>
      </c>
      <c r="N279" s="2">
        <f>Table1[[#This Row],[G]]/Table1[[#This Row],[MP]]</f>
        <v>0</v>
      </c>
      <c r="O279" s="2">
        <v>0</v>
      </c>
      <c r="P279" s="2">
        <f>Table1[[#This Row],[A]]/Table1[[#This Row],[MP]]</f>
        <v>0</v>
      </c>
      <c r="Q279" s="2">
        <v>0</v>
      </c>
      <c r="R279" s="2">
        <f>Table1[[#This Row],[PTS]]/Table1[[#This Row],[MP]]</f>
        <v>0</v>
      </c>
      <c r="S279" s="1">
        <v>0</v>
      </c>
      <c r="T279" s="1">
        <f>Table1[[#This Row],[G]]-Table1[[#This Row],[G_PK]]</f>
        <v>0</v>
      </c>
      <c r="U279" s="1">
        <v>0</v>
      </c>
      <c r="V279" s="1">
        <v>0</v>
      </c>
      <c r="W279" s="1">
        <v>0</v>
      </c>
      <c r="X279" s="1">
        <v>0</v>
      </c>
      <c r="Y279" s="1">
        <f>Table1[[#This Row],[CRDY]]+Table1[[#This Row],[CRDR]]</f>
        <v>0</v>
      </c>
      <c r="Z279" s="1">
        <v>0.4</v>
      </c>
      <c r="AA279" s="2">
        <f>Table1[[#This Row],[XG]]/Table1[[#This Row],[MP]]</f>
        <v>5.7142857142857148E-2</v>
      </c>
      <c r="AB279" s="1">
        <v>0.4</v>
      </c>
      <c r="AC279" s="1">
        <v>0.1</v>
      </c>
      <c r="AD279" s="1">
        <v>0.6</v>
      </c>
      <c r="AE279" s="1">
        <v>2</v>
      </c>
      <c r="AF279" s="1">
        <v>0</v>
      </c>
      <c r="AG279" s="1">
        <v>5</v>
      </c>
    </row>
    <row r="280" spans="1:33" x14ac:dyDescent="0.35">
      <c r="A280">
        <v>243</v>
      </c>
      <c r="B280" t="s">
        <v>556</v>
      </c>
      <c r="C280" t="s">
        <v>27</v>
      </c>
      <c r="D280" t="s">
        <v>28</v>
      </c>
      <c r="E280" t="s">
        <v>54</v>
      </c>
      <c r="F280" t="s">
        <v>557</v>
      </c>
      <c r="G280" s="1">
        <v>1996</v>
      </c>
      <c r="H280" s="1">
        <v>11</v>
      </c>
      <c r="I280" s="1">
        <v>5</v>
      </c>
      <c r="J280" s="2">
        <f>Table1[[#This Row],[STARTS]]/Table1[[#This Row],[MP]]</f>
        <v>0.45454545454545453</v>
      </c>
      <c r="K280" s="1">
        <v>487</v>
      </c>
      <c r="L280" s="1">
        <v>5.4</v>
      </c>
      <c r="M280" s="1">
        <v>0</v>
      </c>
      <c r="N280" s="2">
        <f>Table1[[#This Row],[G]]/Table1[[#This Row],[MP]]</f>
        <v>0</v>
      </c>
      <c r="O280" s="2">
        <v>0</v>
      </c>
      <c r="P280" s="2">
        <f>Table1[[#This Row],[A]]/Table1[[#This Row],[MP]]</f>
        <v>0</v>
      </c>
      <c r="Q280" s="2">
        <v>0</v>
      </c>
      <c r="R280" s="2">
        <f>Table1[[#This Row],[PTS]]/Table1[[#This Row],[MP]]</f>
        <v>0</v>
      </c>
      <c r="S280" s="1">
        <v>0</v>
      </c>
      <c r="T280" s="1">
        <f>Table1[[#This Row],[G]]-Table1[[#This Row],[G_PK]]</f>
        <v>0</v>
      </c>
      <c r="U280" s="1">
        <v>0</v>
      </c>
      <c r="V280" s="1">
        <v>0</v>
      </c>
      <c r="W280" s="1">
        <v>1</v>
      </c>
      <c r="X280" s="1">
        <v>0</v>
      </c>
      <c r="Y280" s="1">
        <f>Table1[[#This Row],[CRDY]]+Table1[[#This Row],[CRDR]]</f>
        <v>1</v>
      </c>
      <c r="Z280" s="1">
        <v>0.2</v>
      </c>
      <c r="AA280" s="2">
        <f>Table1[[#This Row],[XG]]/Table1[[#This Row],[MP]]</f>
        <v>1.8181818181818184E-2</v>
      </c>
      <c r="AB280" s="1">
        <v>0.2</v>
      </c>
      <c r="AC280" s="1">
        <v>0.1</v>
      </c>
      <c r="AD280" s="1">
        <v>0.3</v>
      </c>
      <c r="AE280" s="1">
        <v>0</v>
      </c>
      <c r="AF280" s="1">
        <v>11</v>
      </c>
      <c r="AG280" s="1">
        <v>1</v>
      </c>
    </row>
    <row r="281" spans="1:33" x14ac:dyDescent="0.35">
      <c r="A281">
        <v>245</v>
      </c>
      <c r="B281" t="s">
        <v>560</v>
      </c>
      <c r="C281" t="s">
        <v>27</v>
      </c>
      <c r="D281" t="s">
        <v>37</v>
      </c>
      <c r="E281" t="s">
        <v>107</v>
      </c>
      <c r="F281" t="s">
        <v>561</v>
      </c>
      <c r="G281" s="1">
        <v>2007</v>
      </c>
      <c r="H281" s="1">
        <v>7</v>
      </c>
      <c r="I281" s="1">
        <v>2</v>
      </c>
      <c r="J281" s="2">
        <f>Table1[[#This Row],[STARTS]]/Table1[[#This Row],[MP]]</f>
        <v>0.2857142857142857</v>
      </c>
      <c r="K281" s="1">
        <v>163</v>
      </c>
      <c r="L281" s="1">
        <v>1.8</v>
      </c>
      <c r="M281" s="1">
        <v>0</v>
      </c>
      <c r="N281" s="2">
        <f>Table1[[#This Row],[G]]/Table1[[#This Row],[MP]]</f>
        <v>0</v>
      </c>
      <c r="O281" s="2">
        <v>0</v>
      </c>
      <c r="P281" s="2">
        <f>Table1[[#This Row],[A]]/Table1[[#This Row],[MP]]</f>
        <v>0</v>
      </c>
      <c r="Q281" s="2">
        <v>0</v>
      </c>
      <c r="R281" s="2">
        <f>Table1[[#This Row],[PTS]]/Table1[[#This Row],[MP]]</f>
        <v>0</v>
      </c>
      <c r="S281" s="1">
        <v>0</v>
      </c>
      <c r="T281" s="1">
        <f>Table1[[#This Row],[G]]-Table1[[#This Row],[G_PK]]</f>
        <v>0</v>
      </c>
      <c r="U281" s="1">
        <v>0</v>
      </c>
      <c r="V281" s="1">
        <v>0</v>
      </c>
      <c r="W281" s="1">
        <v>0</v>
      </c>
      <c r="X281" s="1">
        <v>0</v>
      </c>
      <c r="Y281" s="1">
        <f>Table1[[#This Row],[CRDY]]+Table1[[#This Row],[CRDR]]</f>
        <v>0</v>
      </c>
      <c r="Z281" s="1">
        <v>0.1</v>
      </c>
      <c r="AA281" s="2">
        <f>Table1[[#This Row],[XG]]/Table1[[#This Row],[MP]]</f>
        <v>1.4285714285714287E-2</v>
      </c>
      <c r="AB281" s="1">
        <v>0.1</v>
      </c>
      <c r="AC281" s="1">
        <v>0</v>
      </c>
      <c r="AD281" s="1">
        <v>0.1</v>
      </c>
      <c r="AE281" s="1">
        <v>0</v>
      </c>
      <c r="AF281" s="1">
        <v>3</v>
      </c>
      <c r="AG281" s="1">
        <v>3</v>
      </c>
    </row>
    <row r="282" spans="1:33" x14ac:dyDescent="0.35">
      <c r="A282">
        <v>246</v>
      </c>
      <c r="B282" t="s">
        <v>562</v>
      </c>
      <c r="C282" t="s">
        <v>27</v>
      </c>
      <c r="D282" t="s">
        <v>28</v>
      </c>
      <c r="E282" t="s">
        <v>164</v>
      </c>
      <c r="F282" t="s">
        <v>563</v>
      </c>
      <c r="G282" s="1">
        <v>1996</v>
      </c>
      <c r="H282" s="1">
        <v>2</v>
      </c>
      <c r="I282" s="1">
        <v>0</v>
      </c>
      <c r="J282" s="2">
        <f>Table1[[#This Row],[STARTS]]/Table1[[#This Row],[MP]]</f>
        <v>0</v>
      </c>
      <c r="K282" s="1">
        <v>41</v>
      </c>
      <c r="L282" s="1">
        <v>0.5</v>
      </c>
      <c r="M282" s="1">
        <v>0</v>
      </c>
      <c r="N282" s="2">
        <f>Table1[[#This Row],[G]]/Table1[[#This Row],[MP]]</f>
        <v>0</v>
      </c>
      <c r="O282" s="2">
        <v>0</v>
      </c>
      <c r="P282" s="2">
        <f>Table1[[#This Row],[A]]/Table1[[#This Row],[MP]]</f>
        <v>0</v>
      </c>
      <c r="Q282" s="2">
        <v>0</v>
      </c>
      <c r="R282" s="2">
        <f>Table1[[#This Row],[PTS]]/Table1[[#This Row],[MP]]</f>
        <v>0</v>
      </c>
      <c r="S282" s="1">
        <v>0</v>
      </c>
      <c r="T282" s="1">
        <f>Table1[[#This Row],[G]]-Table1[[#This Row],[G_PK]]</f>
        <v>0</v>
      </c>
      <c r="U282" s="1">
        <v>0</v>
      </c>
      <c r="V282" s="1">
        <v>0</v>
      </c>
      <c r="W282" s="1">
        <v>0</v>
      </c>
      <c r="X282" s="1">
        <v>0</v>
      </c>
      <c r="Y282" s="1">
        <f>Table1[[#This Row],[CRDY]]+Table1[[#This Row],[CRDR]]</f>
        <v>0</v>
      </c>
      <c r="Z282" s="1">
        <v>0</v>
      </c>
      <c r="AA282" s="2">
        <f>Table1[[#This Row],[XG]]/Table1[[#This Row],[MP]]</f>
        <v>0</v>
      </c>
      <c r="AB282" s="1">
        <v>0</v>
      </c>
      <c r="AC282" s="1">
        <v>0</v>
      </c>
      <c r="AD282" s="1">
        <v>0</v>
      </c>
      <c r="AE282" s="1">
        <v>1</v>
      </c>
      <c r="AF282" s="1">
        <v>5</v>
      </c>
      <c r="AG282" s="1">
        <v>0</v>
      </c>
    </row>
    <row r="283" spans="1:33" x14ac:dyDescent="0.35">
      <c r="A283">
        <v>247</v>
      </c>
      <c r="B283" t="s">
        <v>564</v>
      </c>
      <c r="C283" t="s">
        <v>27</v>
      </c>
      <c r="D283" t="s">
        <v>50</v>
      </c>
      <c r="E283" t="s">
        <v>57</v>
      </c>
      <c r="F283" t="s">
        <v>565</v>
      </c>
      <c r="G283" s="1">
        <v>1994</v>
      </c>
      <c r="H283" s="1">
        <v>13</v>
      </c>
      <c r="I283" s="1">
        <v>13</v>
      </c>
      <c r="J283" s="2">
        <f>Table1[[#This Row],[STARTS]]/Table1[[#This Row],[MP]]</f>
        <v>1</v>
      </c>
      <c r="K283" s="1">
        <v>1142</v>
      </c>
      <c r="L283" s="1">
        <v>12.7</v>
      </c>
      <c r="M283" s="1">
        <v>0</v>
      </c>
      <c r="N283" s="2">
        <f>Table1[[#This Row],[G]]/Table1[[#This Row],[MP]]</f>
        <v>0</v>
      </c>
      <c r="O283" s="2">
        <v>0</v>
      </c>
      <c r="P283" s="2">
        <f>Table1[[#This Row],[A]]/Table1[[#This Row],[MP]]</f>
        <v>0</v>
      </c>
      <c r="Q283" s="2">
        <v>0</v>
      </c>
      <c r="R283" s="2">
        <f>Table1[[#This Row],[PTS]]/Table1[[#This Row],[MP]]</f>
        <v>0</v>
      </c>
      <c r="S283" s="1">
        <v>0</v>
      </c>
      <c r="T283" s="1">
        <f>Table1[[#This Row],[G]]-Table1[[#This Row],[G_PK]]</f>
        <v>0</v>
      </c>
      <c r="U283" s="1">
        <v>0</v>
      </c>
      <c r="V283" s="1">
        <v>0</v>
      </c>
      <c r="W283" s="1">
        <v>2</v>
      </c>
      <c r="X283" s="1">
        <v>0</v>
      </c>
      <c r="Y283" s="1">
        <f>Table1[[#This Row],[CRDY]]+Table1[[#This Row],[CRDR]]</f>
        <v>2</v>
      </c>
      <c r="Z283" s="1">
        <v>0</v>
      </c>
      <c r="AA283" s="2">
        <f>Table1[[#This Row],[XG]]/Table1[[#This Row],[MP]]</f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15</v>
      </c>
      <c r="AG283" s="1">
        <v>1</v>
      </c>
    </row>
    <row r="284" spans="1:33" x14ac:dyDescent="0.35">
      <c r="A284">
        <v>248</v>
      </c>
      <c r="B284" t="s">
        <v>566</v>
      </c>
      <c r="C284" t="s">
        <v>27</v>
      </c>
      <c r="D284" t="s">
        <v>32</v>
      </c>
      <c r="E284" t="s">
        <v>107</v>
      </c>
      <c r="F284" t="s">
        <v>181</v>
      </c>
      <c r="G284" s="1">
        <v>2002</v>
      </c>
      <c r="H284" s="1">
        <v>4</v>
      </c>
      <c r="I284" s="1">
        <v>1</v>
      </c>
      <c r="J284" s="2">
        <f>Table1[[#This Row],[STARTS]]/Table1[[#This Row],[MP]]</f>
        <v>0.25</v>
      </c>
      <c r="K284" s="1">
        <v>166</v>
      </c>
      <c r="L284" s="1">
        <v>1.8</v>
      </c>
      <c r="M284" s="1">
        <v>0</v>
      </c>
      <c r="N284" s="2">
        <f>Table1[[#This Row],[G]]/Table1[[#This Row],[MP]]</f>
        <v>0</v>
      </c>
      <c r="O284" s="2">
        <v>0</v>
      </c>
      <c r="P284" s="2">
        <f>Table1[[#This Row],[A]]/Table1[[#This Row],[MP]]</f>
        <v>0</v>
      </c>
      <c r="Q284" s="2">
        <v>0</v>
      </c>
      <c r="R284" s="2">
        <f>Table1[[#This Row],[PTS]]/Table1[[#This Row],[MP]]</f>
        <v>0</v>
      </c>
      <c r="S284" s="1">
        <v>0</v>
      </c>
      <c r="T284" s="1">
        <f>Table1[[#This Row],[G]]-Table1[[#This Row],[G_PK]]</f>
        <v>0</v>
      </c>
      <c r="U284" s="1">
        <v>0</v>
      </c>
      <c r="V284" s="1">
        <v>0</v>
      </c>
      <c r="W284" s="1">
        <v>0</v>
      </c>
      <c r="X284" s="1">
        <v>0</v>
      </c>
      <c r="Y284" s="1">
        <f>Table1[[#This Row],[CRDY]]+Table1[[#This Row],[CRDR]]</f>
        <v>0</v>
      </c>
      <c r="Z284" s="1">
        <v>0.4</v>
      </c>
      <c r="AA284" s="2">
        <f>Table1[[#This Row],[XG]]/Table1[[#This Row],[MP]]</f>
        <v>0.1</v>
      </c>
      <c r="AB284" s="1">
        <v>0.4</v>
      </c>
      <c r="AC284" s="1">
        <v>0.1</v>
      </c>
      <c r="AD284" s="1">
        <v>0.5</v>
      </c>
      <c r="AE284" s="1">
        <v>8</v>
      </c>
      <c r="AF284" s="1">
        <v>1</v>
      </c>
      <c r="AG284" s="1">
        <v>19</v>
      </c>
    </row>
    <row r="285" spans="1:33" x14ac:dyDescent="0.35">
      <c r="A285">
        <v>250</v>
      </c>
      <c r="B285" t="s">
        <v>569</v>
      </c>
      <c r="C285" t="s">
        <v>570</v>
      </c>
      <c r="D285" t="s">
        <v>62</v>
      </c>
      <c r="E285" t="s">
        <v>81</v>
      </c>
      <c r="F285" t="s">
        <v>571</v>
      </c>
      <c r="G285" s="1">
        <v>1993</v>
      </c>
      <c r="H285" s="1">
        <v>10</v>
      </c>
      <c r="I285" s="1">
        <v>4</v>
      </c>
      <c r="J285" s="2">
        <f>Table1[[#This Row],[STARTS]]/Table1[[#This Row],[MP]]</f>
        <v>0.4</v>
      </c>
      <c r="K285" s="1">
        <v>456</v>
      </c>
      <c r="L285" s="1">
        <v>5.0999999999999996</v>
      </c>
      <c r="M285" s="1">
        <v>0</v>
      </c>
      <c r="N285" s="2">
        <f>Table1[[#This Row],[G]]/Table1[[#This Row],[MP]]</f>
        <v>0</v>
      </c>
      <c r="O285" s="2">
        <v>0</v>
      </c>
      <c r="P285" s="2">
        <f>Table1[[#This Row],[A]]/Table1[[#This Row],[MP]]</f>
        <v>0</v>
      </c>
      <c r="Q285" s="2">
        <v>0</v>
      </c>
      <c r="R285" s="2">
        <f>Table1[[#This Row],[PTS]]/Table1[[#This Row],[MP]]</f>
        <v>0</v>
      </c>
      <c r="S285" s="1">
        <v>0</v>
      </c>
      <c r="T285" s="1">
        <f>Table1[[#This Row],[G]]-Table1[[#This Row],[G_PK]]</f>
        <v>0</v>
      </c>
      <c r="U285" s="1">
        <v>0</v>
      </c>
      <c r="V285" s="1">
        <v>0</v>
      </c>
      <c r="W285" s="1">
        <v>3</v>
      </c>
      <c r="X285" s="1">
        <v>0</v>
      </c>
      <c r="Y285" s="1">
        <f>Table1[[#This Row],[CRDY]]+Table1[[#This Row],[CRDR]]</f>
        <v>3</v>
      </c>
      <c r="Z285" s="1">
        <v>0.1</v>
      </c>
      <c r="AA285" s="2">
        <f>Table1[[#This Row],[XG]]/Table1[[#This Row],[MP]]</f>
        <v>0.01</v>
      </c>
      <c r="AB285" s="1">
        <v>0.1</v>
      </c>
      <c r="AC285" s="1">
        <v>0.2</v>
      </c>
      <c r="AD285" s="1">
        <v>0.3</v>
      </c>
      <c r="AE285" s="1">
        <v>2</v>
      </c>
      <c r="AF285" s="1">
        <v>28</v>
      </c>
      <c r="AG285" s="1">
        <v>4</v>
      </c>
    </row>
    <row r="286" spans="1:33" x14ac:dyDescent="0.35">
      <c r="A286">
        <v>252</v>
      </c>
      <c r="B286" t="s">
        <v>573</v>
      </c>
      <c r="C286" t="s">
        <v>27</v>
      </c>
      <c r="D286" t="s">
        <v>28</v>
      </c>
      <c r="E286" t="s">
        <v>29</v>
      </c>
      <c r="F286" t="s">
        <v>574</v>
      </c>
      <c r="G286" s="1">
        <v>1999</v>
      </c>
      <c r="H286" s="1">
        <v>13</v>
      </c>
      <c r="I286" s="1">
        <v>12</v>
      </c>
      <c r="J286" s="2">
        <f>Table1[[#This Row],[STARTS]]/Table1[[#This Row],[MP]]</f>
        <v>0.92307692307692313</v>
      </c>
      <c r="K286" s="1">
        <v>1103</v>
      </c>
      <c r="L286" s="1">
        <v>12.3</v>
      </c>
      <c r="M286" s="1">
        <v>0</v>
      </c>
      <c r="N286" s="2">
        <f>Table1[[#This Row],[G]]/Table1[[#This Row],[MP]]</f>
        <v>0</v>
      </c>
      <c r="O286" s="2">
        <v>0</v>
      </c>
      <c r="P286" s="2">
        <f>Table1[[#This Row],[A]]/Table1[[#This Row],[MP]]</f>
        <v>0</v>
      </c>
      <c r="Q286" s="2">
        <v>0</v>
      </c>
      <c r="R286" s="2">
        <f>Table1[[#This Row],[PTS]]/Table1[[#This Row],[MP]]</f>
        <v>0</v>
      </c>
      <c r="S286" s="1">
        <v>0</v>
      </c>
      <c r="T286" s="1">
        <f>Table1[[#This Row],[G]]-Table1[[#This Row],[G_PK]]</f>
        <v>0</v>
      </c>
      <c r="U286" s="1">
        <v>0</v>
      </c>
      <c r="V286" s="1">
        <v>0</v>
      </c>
      <c r="W286" s="1">
        <v>0</v>
      </c>
      <c r="X286" s="1">
        <v>0</v>
      </c>
      <c r="Y286" s="1">
        <f>Table1[[#This Row],[CRDY]]+Table1[[#This Row],[CRDR]]</f>
        <v>0</v>
      </c>
      <c r="Z286" s="1">
        <v>0</v>
      </c>
      <c r="AA286" s="2">
        <f>Table1[[#This Row],[XG]]/Table1[[#This Row],[MP]]</f>
        <v>0</v>
      </c>
      <c r="AB286" s="1">
        <v>0</v>
      </c>
      <c r="AC286" s="1">
        <v>0.3</v>
      </c>
      <c r="AD286" s="1">
        <v>0.3</v>
      </c>
      <c r="AE286" s="1">
        <v>17</v>
      </c>
      <c r="AF286" s="1">
        <v>68</v>
      </c>
      <c r="AG286" s="1">
        <v>9</v>
      </c>
    </row>
    <row r="287" spans="1:33" x14ac:dyDescent="0.35">
      <c r="A287">
        <v>257</v>
      </c>
      <c r="B287" t="s">
        <v>582</v>
      </c>
      <c r="C287" t="s">
        <v>36</v>
      </c>
      <c r="D287" t="s">
        <v>62</v>
      </c>
      <c r="E287" t="s">
        <v>51</v>
      </c>
      <c r="F287" t="s">
        <v>583</v>
      </c>
      <c r="G287" s="1">
        <v>1988</v>
      </c>
      <c r="H287" s="1">
        <v>5</v>
      </c>
      <c r="I287" s="1">
        <v>3</v>
      </c>
      <c r="J287" s="2">
        <f>Table1[[#This Row],[STARTS]]/Table1[[#This Row],[MP]]</f>
        <v>0.6</v>
      </c>
      <c r="K287" s="1">
        <v>190</v>
      </c>
      <c r="L287" s="1">
        <v>2.1</v>
      </c>
      <c r="M287" s="1">
        <v>0</v>
      </c>
      <c r="N287" s="2">
        <f>Table1[[#This Row],[G]]/Table1[[#This Row],[MP]]</f>
        <v>0</v>
      </c>
      <c r="O287" s="2">
        <v>0</v>
      </c>
      <c r="P287" s="2">
        <f>Table1[[#This Row],[A]]/Table1[[#This Row],[MP]]</f>
        <v>0</v>
      </c>
      <c r="Q287" s="2">
        <v>0</v>
      </c>
      <c r="R287" s="2">
        <f>Table1[[#This Row],[PTS]]/Table1[[#This Row],[MP]]</f>
        <v>0</v>
      </c>
      <c r="S287" s="1">
        <v>0</v>
      </c>
      <c r="T287" s="1">
        <f>Table1[[#This Row],[G]]-Table1[[#This Row],[G_PK]]</f>
        <v>0</v>
      </c>
      <c r="U287" s="1">
        <v>0</v>
      </c>
      <c r="V287" s="1">
        <v>0</v>
      </c>
      <c r="W287" s="1">
        <v>0</v>
      </c>
      <c r="X287" s="1">
        <v>0</v>
      </c>
      <c r="Y287" s="1">
        <f>Table1[[#This Row],[CRDY]]+Table1[[#This Row],[CRDR]]</f>
        <v>0</v>
      </c>
      <c r="Z287" s="1">
        <v>0.2</v>
      </c>
      <c r="AA287" s="2">
        <f>Table1[[#This Row],[XG]]/Table1[[#This Row],[MP]]</f>
        <v>0.04</v>
      </c>
      <c r="AB287" s="1">
        <v>0.2</v>
      </c>
      <c r="AC287" s="1">
        <v>0.4</v>
      </c>
      <c r="AD287" s="1">
        <v>0.6</v>
      </c>
      <c r="AE287" s="1">
        <v>0</v>
      </c>
      <c r="AF287" s="1">
        <v>7</v>
      </c>
      <c r="AG287" s="1">
        <v>2</v>
      </c>
    </row>
    <row r="288" spans="1:33" x14ac:dyDescent="0.35">
      <c r="A288">
        <v>264</v>
      </c>
      <c r="B288" t="s">
        <v>596</v>
      </c>
      <c r="C288" t="s">
        <v>27</v>
      </c>
      <c r="D288" t="s">
        <v>62</v>
      </c>
      <c r="E288" t="s">
        <v>46</v>
      </c>
      <c r="F288" t="s">
        <v>597</v>
      </c>
      <c r="G288" s="1">
        <v>2000</v>
      </c>
      <c r="H288" s="1">
        <v>6</v>
      </c>
      <c r="I288" s="1">
        <v>0</v>
      </c>
      <c r="J288" s="2">
        <f>Table1[[#This Row],[STARTS]]/Table1[[#This Row],[MP]]</f>
        <v>0</v>
      </c>
      <c r="K288" s="1">
        <v>54</v>
      </c>
      <c r="L288" s="1">
        <v>0.6</v>
      </c>
      <c r="M288" s="1">
        <v>0</v>
      </c>
      <c r="N288" s="2">
        <f>Table1[[#This Row],[G]]/Table1[[#This Row],[MP]]</f>
        <v>0</v>
      </c>
      <c r="O288" s="2">
        <v>0</v>
      </c>
      <c r="P288" s="2">
        <f>Table1[[#This Row],[A]]/Table1[[#This Row],[MP]]</f>
        <v>0</v>
      </c>
      <c r="Q288" s="2">
        <v>0</v>
      </c>
      <c r="R288" s="2">
        <f>Table1[[#This Row],[PTS]]/Table1[[#This Row],[MP]]</f>
        <v>0</v>
      </c>
      <c r="S288" s="1">
        <v>0</v>
      </c>
      <c r="T288" s="1">
        <f>Table1[[#This Row],[G]]-Table1[[#This Row],[G_PK]]</f>
        <v>0</v>
      </c>
      <c r="U288" s="1">
        <v>0</v>
      </c>
      <c r="V288" s="1">
        <v>0</v>
      </c>
      <c r="W288" s="1">
        <v>0</v>
      </c>
      <c r="X288" s="1">
        <v>0</v>
      </c>
      <c r="Y288" s="1">
        <f>Table1[[#This Row],[CRDY]]+Table1[[#This Row],[CRDR]]</f>
        <v>0</v>
      </c>
      <c r="Z288" s="1">
        <v>0</v>
      </c>
      <c r="AA288" s="2">
        <f>Table1[[#This Row],[XG]]/Table1[[#This Row],[MP]]</f>
        <v>0</v>
      </c>
      <c r="AB288" s="1">
        <v>0</v>
      </c>
      <c r="AC288" s="1">
        <v>0</v>
      </c>
      <c r="AD288" s="1">
        <v>0</v>
      </c>
      <c r="AE288" s="1">
        <v>1</v>
      </c>
      <c r="AF288" s="1">
        <v>2</v>
      </c>
      <c r="AG288" s="1">
        <v>2</v>
      </c>
    </row>
    <row r="289" spans="1:33" x14ac:dyDescent="0.35">
      <c r="A289">
        <v>265</v>
      </c>
      <c r="B289" t="s">
        <v>598</v>
      </c>
      <c r="C289" t="s">
        <v>36</v>
      </c>
      <c r="D289" t="s">
        <v>45</v>
      </c>
      <c r="E289" t="s">
        <v>65</v>
      </c>
      <c r="F289" t="s">
        <v>599</v>
      </c>
      <c r="G289" s="1">
        <v>1995</v>
      </c>
      <c r="H289" s="1">
        <v>13</v>
      </c>
      <c r="I289" s="1">
        <v>13</v>
      </c>
      <c r="J289" s="2">
        <f>Table1[[#This Row],[STARTS]]/Table1[[#This Row],[MP]]</f>
        <v>1</v>
      </c>
      <c r="K289" s="1">
        <v>1170</v>
      </c>
      <c r="L289" s="1">
        <v>13</v>
      </c>
      <c r="M289" s="1">
        <v>0</v>
      </c>
      <c r="N289" s="2">
        <f>Table1[[#This Row],[G]]/Table1[[#This Row],[MP]]</f>
        <v>0</v>
      </c>
      <c r="O289" s="2">
        <v>0</v>
      </c>
      <c r="P289" s="2">
        <f>Table1[[#This Row],[A]]/Table1[[#This Row],[MP]]</f>
        <v>0</v>
      </c>
      <c r="Q289" s="2">
        <v>0</v>
      </c>
      <c r="R289" s="2">
        <f>Table1[[#This Row],[PTS]]/Table1[[#This Row],[MP]]</f>
        <v>0</v>
      </c>
      <c r="S289" s="1">
        <v>0</v>
      </c>
      <c r="T289" s="1">
        <f>Table1[[#This Row],[G]]-Table1[[#This Row],[G_PK]]</f>
        <v>0</v>
      </c>
      <c r="U289" s="1">
        <v>0</v>
      </c>
      <c r="V289" s="1">
        <v>0</v>
      </c>
      <c r="W289" s="1">
        <v>0</v>
      </c>
      <c r="X289" s="1">
        <v>0</v>
      </c>
      <c r="Y289" s="1">
        <f>Table1[[#This Row],[CRDY]]+Table1[[#This Row],[CRDR]]</f>
        <v>0</v>
      </c>
      <c r="Z289" s="1">
        <v>0</v>
      </c>
      <c r="AA289" s="2">
        <f>Table1[[#This Row],[XG]]/Table1[[#This Row],[MP]]</f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2</v>
      </c>
      <c r="AG289" s="1">
        <v>0</v>
      </c>
    </row>
    <row r="290" spans="1:33" x14ac:dyDescent="0.35">
      <c r="A290">
        <v>266</v>
      </c>
      <c r="B290" t="s">
        <v>600</v>
      </c>
      <c r="C290" t="s">
        <v>27</v>
      </c>
      <c r="D290" t="s">
        <v>45</v>
      </c>
      <c r="E290" t="s">
        <v>46</v>
      </c>
      <c r="F290" t="s">
        <v>601</v>
      </c>
      <c r="G290" s="1">
        <v>2000</v>
      </c>
      <c r="H290" s="1">
        <v>11</v>
      </c>
      <c r="I290" s="1">
        <v>11</v>
      </c>
      <c r="J290" s="2">
        <f>Table1[[#This Row],[STARTS]]/Table1[[#This Row],[MP]]</f>
        <v>1</v>
      </c>
      <c r="K290" s="1">
        <v>990</v>
      </c>
      <c r="L290" s="1">
        <v>11</v>
      </c>
      <c r="M290" s="1">
        <v>0</v>
      </c>
      <c r="N290" s="2">
        <f>Table1[[#This Row],[G]]/Table1[[#This Row],[MP]]</f>
        <v>0</v>
      </c>
      <c r="O290" s="2">
        <v>0</v>
      </c>
      <c r="P290" s="2">
        <f>Table1[[#This Row],[A]]/Table1[[#This Row],[MP]]</f>
        <v>0</v>
      </c>
      <c r="Q290" s="2">
        <v>0</v>
      </c>
      <c r="R290" s="2">
        <f>Table1[[#This Row],[PTS]]/Table1[[#This Row],[MP]]</f>
        <v>0</v>
      </c>
      <c r="S290" s="1">
        <v>0</v>
      </c>
      <c r="T290" s="1">
        <f>Table1[[#This Row],[G]]-Table1[[#This Row],[G_PK]]</f>
        <v>0</v>
      </c>
      <c r="U290" s="1">
        <v>0</v>
      </c>
      <c r="V290" s="1">
        <v>0</v>
      </c>
      <c r="W290" s="1">
        <v>1</v>
      </c>
      <c r="X290" s="1">
        <v>0</v>
      </c>
      <c r="Y290" s="1">
        <f>Table1[[#This Row],[CRDY]]+Table1[[#This Row],[CRDR]]</f>
        <v>1</v>
      </c>
      <c r="Z290" s="1">
        <v>0</v>
      </c>
      <c r="AA290" s="2">
        <f>Table1[[#This Row],[XG]]/Table1[[#This Row],[MP]]</f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</row>
    <row r="291" spans="1:33" x14ac:dyDescent="0.35">
      <c r="A291">
        <v>267</v>
      </c>
      <c r="B291" t="s">
        <v>602</v>
      </c>
      <c r="C291" t="s">
        <v>273</v>
      </c>
      <c r="D291" t="s">
        <v>251</v>
      </c>
      <c r="E291" t="s">
        <v>101</v>
      </c>
      <c r="F291" t="s">
        <v>603</v>
      </c>
      <c r="G291" s="1">
        <v>1994</v>
      </c>
      <c r="H291" s="1">
        <v>3</v>
      </c>
      <c r="I291" s="1">
        <v>1</v>
      </c>
      <c r="J291" s="2">
        <f>Table1[[#This Row],[STARTS]]/Table1[[#This Row],[MP]]</f>
        <v>0.33333333333333331</v>
      </c>
      <c r="K291" s="1">
        <v>90</v>
      </c>
      <c r="L291" s="1">
        <v>1</v>
      </c>
      <c r="M291" s="1">
        <v>0</v>
      </c>
      <c r="N291" s="2">
        <f>Table1[[#This Row],[G]]/Table1[[#This Row],[MP]]</f>
        <v>0</v>
      </c>
      <c r="O291" s="2">
        <v>0</v>
      </c>
      <c r="P291" s="2">
        <f>Table1[[#This Row],[A]]/Table1[[#This Row],[MP]]</f>
        <v>0</v>
      </c>
      <c r="Q291" s="2">
        <v>0</v>
      </c>
      <c r="R291" s="2">
        <f>Table1[[#This Row],[PTS]]/Table1[[#This Row],[MP]]</f>
        <v>0</v>
      </c>
      <c r="S291" s="1">
        <v>0</v>
      </c>
      <c r="T291" s="1">
        <f>Table1[[#This Row],[G]]-Table1[[#This Row],[G_PK]]</f>
        <v>0</v>
      </c>
      <c r="U291" s="1">
        <v>0</v>
      </c>
      <c r="V291" s="1">
        <v>0</v>
      </c>
      <c r="W291" s="1">
        <v>0</v>
      </c>
      <c r="X291" s="1">
        <v>0</v>
      </c>
      <c r="Y291" s="1">
        <f>Table1[[#This Row],[CRDY]]+Table1[[#This Row],[CRDR]]</f>
        <v>0</v>
      </c>
      <c r="Z291" s="1">
        <v>0.8</v>
      </c>
      <c r="AA291" s="2">
        <f>Table1[[#This Row],[XG]]/Table1[[#This Row],[MP]]</f>
        <v>0.26666666666666666</v>
      </c>
      <c r="AB291" s="1">
        <v>0.8</v>
      </c>
      <c r="AC291" s="1">
        <v>0</v>
      </c>
      <c r="AD291" s="1">
        <v>0.8</v>
      </c>
      <c r="AE291" s="1">
        <v>3</v>
      </c>
      <c r="AF291" s="1">
        <v>3</v>
      </c>
      <c r="AG291" s="1">
        <v>4</v>
      </c>
    </row>
    <row r="292" spans="1:33" x14ac:dyDescent="0.35">
      <c r="A292">
        <v>268</v>
      </c>
      <c r="B292" t="s">
        <v>604</v>
      </c>
      <c r="C292" t="s">
        <v>27</v>
      </c>
      <c r="D292" t="s">
        <v>45</v>
      </c>
      <c r="E292" t="s">
        <v>51</v>
      </c>
      <c r="F292" t="s">
        <v>605</v>
      </c>
      <c r="G292" s="1">
        <v>1993</v>
      </c>
      <c r="H292" s="1">
        <v>5</v>
      </c>
      <c r="I292" s="1">
        <v>5</v>
      </c>
      <c r="J292" s="2">
        <f>Table1[[#This Row],[STARTS]]/Table1[[#This Row],[MP]]</f>
        <v>1</v>
      </c>
      <c r="K292" s="1">
        <v>450</v>
      </c>
      <c r="L292" s="1">
        <v>5</v>
      </c>
      <c r="M292" s="1">
        <v>0</v>
      </c>
      <c r="N292" s="2">
        <f>Table1[[#This Row],[G]]/Table1[[#This Row],[MP]]</f>
        <v>0</v>
      </c>
      <c r="O292" s="2">
        <v>0</v>
      </c>
      <c r="P292" s="2">
        <f>Table1[[#This Row],[A]]/Table1[[#This Row],[MP]]</f>
        <v>0</v>
      </c>
      <c r="Q292" s="2">
        <v>0</v>
      </c>
      <c r="R292" s="2">
        <f>Table1[[#This Row],[PTS]]/Table1[[#This Row],[MP]]</f>
        <v>0</v>
      </c>
      <c r="S292" s="1">
        <v>0</v>
      </c>
      <c r="T292" s="1">
        <f>Table1[[#This Row],[G]]-Table1[[#This Row],[G_PK]]</f>
        <v>0</v>
      </c>
      <c r="U292" s="1">
        <v>0</v>
      </c>
      <c r="V292" s="1">
        <v>0</v>
      </c>
      <c r="W292" s="1">
        <v>0</v>
      </c>
      <c r="X292" s="1">
        <v>0</v>
      </c>
      <c r="Y292" s="1">
        <f>Table1[[#This Row],[CRDY]]+Table1[[#This Row],[CRDR]]</f>
        <v>0</v>
      </c>
      <c r="Z292" s="1">
        <v>0</v>
      </c>
      <c r="AA292" s="2">
        <f>Table1[[#This Row],[XG]]/Table1[[#This Row],[MP]]</f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</row>
    <row r="293" spans="1:33" x14ac:dyDescent="0.35">
      <c r="A293">
        <v>270</v>
      </c>
      <c r="B293" t="s">
        <v>608</v>
      </c>
      <c r="C293" t="s">
        <v>609</v>
      </c>
      <c r="D293" t="s">
        <v>85</v>
      </c>
      <c r="E293" t="s">
        <v>164</v>
      </c>
      <c r="F293" t="s">
        <v>610</v>
      </c>
      <c r="G293" s="1">
        <v>1998</v>
      </c>
      <c r="H293" s="1">
        <v>8</v>
      </c>
      <c r="I293" s="1">
        <v>4</v>
      </c>
      <c r="J293" s="2">
        <f>Table1[[#This Row],[STARTS]]/Table1[[#This Row],[MP]]</f>
        <v>0.5</v>
      </c>
      <c r="K293" s="1">
        <v>380</v>
      </c>
      <c r="L293" s="1">
        <v>4.2</v>
      </c>
      <c r="M293" s="1">
        <v>0</v>
      </c>
      <c r="N293" s="2">
        <f>Table1[[#This Row],[G]]/Table1[[#This Row],[MP]]</f>
        <v>0</v>
      </c>
      <c r="O293" s="2">
        <v>0</v>
      </c>
      <c r="P293" s="2">
        <f>Table1[[#This Row],[A]]/Table1[[#This Row],[MP]]</f>
        <v>0</v>
      </c>
      <c r="Q293" s="2">
        <v>0</v>
      </c>
      <c r="R293" s="2">
        <f>Table1[[#This Row],[PTS]]/Table1[[#This Row],[MP]]</f>
        <v>0</v>
      </c>
      <c r="S293" s="1">
        <v>0</v>
      </c>
      <c r="T293" s="1">
        <f>Table1[[#This Row],[G]]-Table1[[#This Row],[G_PK]]</f>
        <v>0</v>
      </c>
      <c r="U293" s="1">
        <v>0</v>
      </c>
      <c r="V293" s="1">
        <v>0</v>
      </c>
      <c r="W293" s="1">
        <v>0</v>
      </c>
      <c r="X293" s="1">
        <v>0</v>
      </c>
      <c r="Y293" s="1">
        <f>Table1[[#This Row],[CRDY]]+Table1[[#This Row],[CRDR]]</f>
        <v>0</v>
      </c>
      <c r="Z293" s="1">
        <v>0.1</v>
      </c>
      <c r="AA293" s="2">
        <f>Table1[[#This Row],[XG]]/Table1[[#This Row],[MP]]</f>
        <v>1.2500000000000001E-2</v>
      </c>
      <c r="AB293" s="1">
        <v>0.1</v>
      </c>
      <c r="AC293" s="1">
        <v>0.7</v>
      </c>
      <c r="AD293" s="1">
        <v>0.9</v>
      </c>
      <c r="AE293" s="1">
        <v>2</v>
      </c>
      <c r="AF293" s="1">
        <v>10</v>
      </c>
      <c r="AG293" s="1">
        <v>16</v>
      </c>
    </row>
    <row r="294" spans="1:33" x14ac:dyDescent="0.35">
      <c r="A294">
        <v>272</v>
      </c>
      <c r="B294" t="s">
        <v>613</v>
      </c>
      <c r="C294" t="s">
        <v>27</v>
      </c>
      <c r="D294" t="s">
        <v>28</v>
      </c>
      <c r="E294" t="s">
        <v>101</v>
      </c>
      <c r="F294" t="s">
        <v>614</v>
      </c>
      <c r="G294" s="1">
        <v>1993</v>
      </c>
      <c r="H294" s="1">
        <v>13</v>
      </c>
      <c r="I294" s="1">
        <v>13</v>
      </c>
      <c r="J294" s="2">
        <f>Table1[[#This Row],[STARTS]]/Table1[[#This Row],[MP]]</f>
        <v>1</v>
      </c>
      <c r="K294" s="1">
        <v>1170</v>
      </c>
      <c r="L294" s="1">
        <v>13</v>
      </c>
      <c r="M294" s="1">
        <v>0</v>
      </c>
      <c r="N294" s="2">
        <f>Table1[[#This Row],[G]]/Table1[[#This Row],[MP]]</f>
        <v>0</v>
      </c>
      <c r="O294" s="2">
        <v>0</v>
      </c>
      <c r="P294" s="2">
        <f>Table1[[#This Row],[A]]/Table1[[#This Row],[MP]]</f>
        <v>0</v>
      </c>
      <c r="Q294" s="2">
        <v>0</v>
      </c>
      <c r="R294" s="2">
        <f>Table1[[#This Row],[PTS]]/Table1[[#This Row],[MP]]</f>
        <v>0</v>
      </c>
      <c r="S294" s="1">
        <v>0</v>
      </c>
      <c r="T294" s="1">
        <f>Table1[[#This Row],[G]]-Table1[[#This Row],[G_PK]]</f>
        <v>0</v>
      </c>
      <c r="U294" s="1">
        <v>0</v>
      </c>
      <c r="V294" s="1">
        <v>0</v>
      </c>
      <c r="W294" s="1">
        <v>1</v>
      </c>
      <c r="X294" s="1">
        <v>0</v>
      </c>
      <c r="Y294" s="1">
        <f>Table1[[#This Row],[CRDY]]+Table1[[#This Row],[CRDR]]</f>
        <v>1</v>
      </c>
      <c r="Z294" s="1">
        <v>0.5</v>
      </c>
      <c r="AA294" s="2">
        <f>Table1[[#This Row],[XG]]/Table1[[#This Row],[MP]]</f>
        <v>3.8461538461538464E-2</v>
      </c>
      <c r="AB294" s="1">
        <v>0.5</v>
      </c>
      <c r="AC294" s="1">
        <v>0.2</v>
      </c>
      <c r="AD294" s="1">
        <v>0.7</v>
      </c>
      <c r="AE294" s="1">
        <v>7</v>
      </c>
      <c r="AF294" s="1">
        <v>40</v>
      </c>
      <c r="AG294" s="1">
        <v>6</v>
      </c>
    </row>
    <row r="295" spans="1:33" x14ac:dyDescent="0.35">
      <c r="A295">
        <v>273</v>
      </c>
      <c r="B295" t="s">
        <v>615</v>
      </c>
      <c r="C295" t="s">
        <v>27</v>
      </c>
      <c r="D295" t="s">
        <v>32</v>
      </c>
      <c r="E295" t="s">
        <v>38</v>
      </c>
      <c r="F295" t="s">
        <v>616</v>
      </c>
      <c r="G295" s="1">
        <v>2000</v>
      </c>
      <c r="H295" s="1">
        <v>8</v>
      </c>
      <c r="I295" s="1">
        <v>1</v>
      </c>
      <c r="J295" s="2">
        <f>Table1[[#This Row],[STARTS]]/Table1[[#This Row],[MP]]</f>
        <v>0.125</v>
      </c>
      <c r="K295" s="1">
        <v>163</v>
      </c>
      <c r="L295" s="1">
        <v>1.8</v>
      </c>
      <c r="M295" s="1">
        <v>0</v>
      </c>
      <c r="N295" s="2">
        <f>Table1[[#This Row],[G]]/Table1[[#This Row],[MP]]</f>
        <v>0</v>
      </c>
      <c r="O295" s="2">
        <v>0</v>
      </c>
      <c r="P295" s="2">
        <f>Table1[[#This Row],[A]]/Table1[[#This Row],[MP]]</f>
        <v>0</v>
      </c>
      <c r="Q295" s="2">
        <v>0</v>
      </c>
      <c r="R295" s="2">
        <f>Table1[[#This Row],[PTS]]/Table1[[#This Row],[MP]]</f>
        <v>0</v>
      </c>
      <c r="S295" s="1">
        <v>0</v>
      </c>
      <c r="T295" s="1">
        <f>Table1[[#This Row],[G]]-Table1[[#This Row],[G_PK]]</f>
        <v>0</v>
      </c>
      <c r="U295" s="1">
        <v>0</v>
      </c>
      <c r="V295" s="1">
        <v>0</v>
      </c>
      <c r="W295" s="1">
        <v>0</v>
      </c>
      <c r="X295" s="1">
        <v>0</v>
      </c>
      <c r="Y295" s="1">
        <f>Table1[[#This Row],[CRDY]]+Table1[[#This Row],[CRDR]]</f>
        <v>0</v>
      </c>
      <c r="Z295" s="1">
        <v>0.3</v>
      </c>
      <c r="AA295" s="2">
        <f>Table1[[#This Row],[XG]]/Table1[[#This Row],[MP]]</f>
        <v>3.7499999999999999E-2</v>
      </c>
      <c r="AB295" s="1">
        <v>0.3</v>
      </c>
      <c r="AC295" s="1">
        <v>0</v>
      </c>
      <c r="AD295" s="1">
        <v>0.3</v>
      </c>
      <c r="AE295" s="1">
        <v>3</v>
      </c>
      <c r="AF295" s="1">
        <v>8</v>
      </c>
      <c r="AG295" s="1">
        <v>14</v>
      </c>
    </row>
    <row r="296" spans="1:33" x14ac:dyDescent="0.35">
      <c r="A296">
        <v>277</v>
      </c>
      <c r="B296" t="s">
        <v>623</v>
      </c>
      <c r="C296" t="s">
        <v>27</v>
      </c>
      <c r="D296" t="s">
        <v>62</v>
      </c>
      <c r="E296" t="s">
        <v>107</v>
      </c>
      <c r="F296" t="s">
        <v>112</v>
      </c>
      <c r="G296" s="1">
        <v>2001</v>
      </c>
      <c r="H296" s="1">
        <v>7</v>
      </c>
      <c r="I296" s="1">
        <v>4</v>
      </c>
      <c r="J296" s="2">
        <f>Table1[[#This Row],[STARTS]]/Table1[[#This Row],[MP]]</f>
        <v>0.5714285714285714</v>
      </c>
      <c r="K296" s="1">
        <v>282</v>
      </c>
      <c r="L296" s="1">
        <v>3.1</v>
      </c>
      <c r="M296" s="1">
        <v>0</v>
      </c>
      <c r="N296" s="2">
        <f>Table1[[#This Row],[G]]/Table1[[#This Row],[MP]]</f>
        <v>0</v>
      </c>
      <c r="O296" s="2">
        <v>0</v>
      </c>
      <c r="P296" s="2">
        <f>Table1[[#This Row],[A]]/Table1[[#This Row],[MP]]</f>
        <v>0</v>
      </c>
      <c r="Q296" s="2">
        <v>0</v>
      </c>
      <c r="R296" s="2">
        <f>Table1[[#This Row],[PTS]]/Table1[[#This Row],[MP]]</f>
        <v>0</v>
      </c>
      <c r="S296" s="1">
        <v>0</v>
      </c>
      <c r="T296" s="1">
        <f>Table1[[#This Row],[G]]-Table1[[#This Row],[G_PK]]</f>
        <v>0</v>
      </c>
      <c r="U296" s="1">
        <v>0</v>
      </c>
      <c r="V296" s="1">
        <v>0</v>
      </c>
      <c r="W296" s="1">
        <v>0</v>
      </c>
      <c r="X296" s="1">
        <v>0</v>
      </c>
      <c r="Y296" s="1">
        <f>Table1[[#This Row],[CRDY]]+Table1[[#This Row],[CRDR]]</f>
        <v>0</v>
      </c>
      <c r="Z296" s="1">
        <v>0.1</v>
      </c>
      <c r="AA296" s="2">
        <f>Table1[[#This Row],[XG]]/Table1[[#This Row],[MP]]</f>
        <v>1.4285714285714287E-2</v>
      </c>
      <c r="AB296" s="1">
        <v>0.1</v>
      </c>
      <c r="AC296" s="1">
        <v>0</v>
      </c>
      <c r="AD296" s="1">
        <v>0.1</v>
      </c>
      <c r="AE296" s="1">
        <v>1</v>
      </c>
      <c r="AF296" s="1">
        <v>6</v>
      </c>
      <c r="AG296" s="1">
        <v>1</v>
      </c>
    </row>
    <row r="297" spans="1:33" x14ac:dyDescent="0.35">
      <c r="A297">
        <v>278</v>
      </c>
      <c r="B297" t="s">
        <v>624</v>
      </c>
      <c r="C297" t="s">
        <v>27</v>
      </c>
      <c r="D297" t="s">
        <v>28</v>
      </c>
      <c r="E297" t="s">
        <v>42</v>
      </c>
      <c r="F297" t="s">
        <v>625</v>
      </c>
      <c r="G297" s="1">
        <v>2001</v>
      </c>
      <c r="H297" s="1">
        <v>7</v>
      </c>
      <c r="I297" s="1">
        <v>7</v>
      </c>
      <c r="J297" s="2">
        <f>Table1[[#This Row],[STARTS]]/Table1[[#This Row],[MP]]</f>
        <v>1</v>
      </c>
      <c r="K297" s="1">
        <v>616</v>
      </c>
      <c r="L297" s="1">
        <v>6.8</v>
      </c>
      <c r="M297" s="1">
        <v>0</v>
      </c>
      <c r="N297" s="2">
        <f>Table1[[#This Row],[G]]/Table1[[#This Row],[MP]]</f>
        <v>0</v>
      </c>
      <c r="O297" s="2">
        <v>0</v>
      </c>
      <c r="P297" s="2">
        <f>Table1[[#This Row],[A]]/Table1[[#This Row],[MP]]</f>
        <v>0</v>
      </c>
      <c r="Q297" s="2">
        <v>0</v>
      </c>
      <c r="R297" s="2">
        <f>Table1[[#This Row],[PTS]]/Table1[[#This Row],[MP]]</f>
        <v>0</v>
      </c>
      <c r="S297" s="1">
        <v>0</v>
      </c>
      <c r="T297" s="1">
        <f>Table1[[#This Row],[G]]-Table1[[#This Row],[G_PK]]</f>
        <v>0</v>
      </c>
      <c r="U297" s="1">
        <v>0</v>
      </c>
      <c r="V297" s="1">
        <v>0</v>
      </c>
      <c r="W297" s="1">
        <v>0</v>
      </c>
      <c r="X297" s="1">
        <v>0</v>
      </c>
      <c r="Y297" s="1">
        <f>Table1[[#This Row],[CRDY]]+Table1[[#This Row],[CRDR]]</f>
        <v>0</v>
      </c>
      <c r="Z297" s="1">
        <v>0.4</v>
      </c>
      <c r="AA297" s="2">
        <f>Table1[[#This Row],[XG]]/Table1[[#This Row],[MP]]</f>
        <v>5.7142857142857148E-2</v>
      </c>
      <c r="AB297" s="1">
        <v>0.4</v>
      </c>
      <c r="AC297" s="1">
        <v>0.1</v>
      </c>
      <c r="AD297" s="1">
        <v>0.4</v>
      </c>
      <c r="AE297" s="1">
        <v>5</v>
      </c>
      <c r="AF297" s="1">
        <v>34</v>
      </c>
      <c r="AG297" s="1">
        <v>5</v>
      </c>
    </row>
    <row r="298" spans="1:33" x14ac:dyDescent="0.35">
      <c r="A298">
        <v>280</v>
      </c>
      <c r="B298" t="s">
        <v>628</v>
      </c>
      <c r="C298" t="s">
        <v>27</v>
      </c>
      <c r="D298" t="s">
        <v>28</v>
      </c>
      <c r="E298" t="s">
        <v>29</v>
      </c>
      <c r="F298" t="s">
        <v>629</v>
      </c>
      <c r="G298" s="1">
        <v>1992</v>
      </c>
      <c r="H298" s="1">
        <v>12</v>
      </c>
      <c r="I298" s="1">
        <v>12</v>
      </c>
      <c r="J298" s="2">
        <f>Table1[[#This Row],[STARTS]]/Table1[[#This Row],[MP]]</f>
        <v>1</v>
      </c>
      <c r="K298" s="1">
        <v>1062</v>
      </c>
      <c r="L298" s="1">
        <v>11.8</v>
      </c>
      <c r="M298" s="1">
        <v>0</v>
      </c>
      <c r="N298" s="2">
        <f>Table1[[#This Row],[G]]/Table1[[#This Row],[MP]]</f>
        <v>0</v>
      </c>
      <c r="O298" s="2">
        <v>0</v>
      </c>
      <c r="P298" s="2">
        <f>Table1[[#This Row],[A]]/Table1[[#This Row],[MP]]</f>
        <v>0</v>
      </c>
      <c r="Q298" s="2">
        <v>0</v>
      </c>
      <c r="R298" s="2">
        <f>Table1[[#This Row],[PTS]]/Table1[[#This Row],[MP]]</f>
        <v>0</v>
      </c>
      <c r="S298" s="1">
        <v>0</v>
      </c>
      <c r="T298" s="1">
        <f>Table1[[#This Row],[G]]-Table1[[#This Row],[G_PK]]</f>
        <v>0</v>
      </c>
      <c r="U298" s="1">
        <v>0</v>
      </c>
      <c r="V298" s="1">
        <v>0</v>
      </c>
      <c r="W298" s="1">
        <v>0</v>
      </c>
      <c r="X298" s="1">
        <v>0</v>
      </c>
      <c r="Y298" s="1">
        <f>Table1[[#This Row],[CRDY]]+Table1[[#This Row],[CRDR]]</f>
        <v>0</v>
      </c>
      <c r="Z298" s="1">
        <v>0.1</v>
      </c>
      <c r="AA298" s="2">
        <f>Table1[[#This Row],[XG]]/Table1[[#This Row],[MP]]</f>
        <v>8.3333333333333332E-3</v>
      </c>
      <c r="AB298" s="1">
        <v>0.1</v>
      </c>
      <c r="AC298" s="1">
        <v>0.2</v>
      </c>
      <c r="AD298" s="1">
        <v>0.3</v>
      </c>
      <c r="AE298" s="1">
        <v>7</v>
      </c>
      <c r="AF298" s="1">
        <v>48</v>
      </c>
      <c r="AG298" s="1">
        <v>3</v>
      </c>
    </row>
    <row r="299" spans="1:33" x14ac:dyDescent="0.35">
      <c r="A299">
        <v>282</v>
      </c>
      <c r="B299" t="s">
        <v>631</v>
      </c>
      <c r="C299" t="s">
        <v>149</v>
      </c>
      <c r="D299" t="s">
        <v>50</v>
      </c>
      <c r="E299" t="s">
        <v>107</v>
      </c>
      <c r="F299" t="s">
        <v>632</v>
      </c>
      <c r="G299" s="1">
        <v>2004</v>
      </c>
      <c r="H299" s="1">
        <v>9</v>
      </c>
      <c r="I299" s="1">
        <v>0</v>
      </c>
      <c r="J299" s="2">
        <f>Table1[[#This Row],[STARTS]]/Table1[[#This Row],[MP]]</f>
        <v>0</v>
      </c>
      <c r="K299" s="1">
        <v>141</v>
      </c>
      <c r="L299" s="1">
        <v>1.6</v>
      </c>
      <c r="M299" s="1">
        <v>0</v>
      </c>
      <c r="N299" s="2">
        <f>Table1[[#This Row],[G]]/Table1[[#This Row],[MP]]</f>
        <v>0</v>
      </c>
      <c r="O299" s="2">
        <v>0</v>
      </c>
      <c r="P299" s="2">
        <f>Table1[[#This Row],[A]]/Table1[[#This Row],[MP]]</f>
        <v>0</v>
      </c>
      <c r="Q299" s="2">
        <v>0</v>
      </c>
      <c r="R299" s="2">
        <f>Table1[[#This Row],[PTS]]/Table1[[#This Row],[MP]]</f>
        <v>0</v>
      </c>
      <c r="S299" s="1">
        <v>0</v>
      </c>
      <c r="T299" s="1">
        <f>Table1[[#This Row],[G]]-Table1[[#This Row],[G_PK]]</f>
        <v>0</v>
      </c>
      <c r="U299" s="1">
        <v>0</v>
      </c>
      <c r="V299" s="1">
        <v>0</v>
      </c>
      <c r="W299" s="1">
        <v>1</v>
      </c>
      <c r="X299" s="1">
        <v>0</v>
      </c>
      <c r="Y299" s="1">
        <f>Table1[[#This Row],[CRDY]]+Table1[[#This Row],[CRDR]]</f>
        <v>1</v>
      </c>
      <c r="Z299" s="1">
        <v>0</v>
      </c>
      <c r="AA299" s="2">
        <f>Table1[[#This Row],[XG]]/Table1[[#This Row],[MP]]</f>
        <v>0</v>
      </c>
      <c r="AB299" s="1">
        <v>0</v>
      </c>
      <c r="AC299" s="1">
        <v>0</v>
      </c>
      <c r="AD299" s="1">
        <v>0</v>
      </c>
      <c r="AE299" s="1">
        <v>1</v>
      </c>
      <c r="AF299" s="1">
        <v>4</v>
      </c>
      <c r="AG299" s="1">
        <v>0</v>
      </c>
    </row>
    <row r="300" spans="1:33" x14ac:dyDescent="0.35">
      <c r="A300">
        <v>284</v>
      </c>
      <c r="B300" t="s">
        <v>635</v>
      </c>
      <c r="C300" t="s">
        <v>276</v>
      </c>
      <c r="D300" t="s">
        <v>50</v>
      </c>
      <c r="E300" t="s">
        <v>164</v>
      </c>
      <c r="F300" t="s">
        <v>636</v>
      </c>
      <c r="G300" s="1">
        <v>2002</v>
      </c>
      <c r="H300" s="1">
        <v>12</v>
      </c>
      <c r="I300" s="1">
        <v>12</v>
      </c>
      <c r="J300" s="2">
        <f>Table1[[#This Row],[STARTS]]/Table1[[#This Row],[MP]]</f>
        <v>1</v>
      </c>
      <c r="K300" s="1">
        <v>1036</v>
      </c>
      <c r="L300" s="1">
        <v>11.5</v>
      </c>
      <c r="M300" s="1">
        <v>0</v>
      </c>
      <c r="N300" s="2">
        <f>Table1[[#This Row],[G]]/Table1[[#This Row],[MP]]</f>
        <v>0</v>
      </c>
      <c r="O300" s="2">
        <v>0</v>
      </c>
      <c r="P300" s="2">
        <f>Table1[[#This Row],[A]]/Table1[[#This Row],[MP]]</f>
        <v>0</v>
      </c>
      <c r="Q300" s="2">
        <v>0</v>
      </c>
      <c r="R300" s="2">
        <f>Table1[[#This Row],[PTS]]/Table1[[#This Row],[MP]]</f>
        <v>0</v>
      </c>
      <c r="S300" s="1">
        <v>0</v>
      </c>
      <c r="T300" s="1">
        <f>Table1[[#This Row],[G]]-Table1[[#This Row],[G_PK]]</f>
        <v>0</v>
      </c>
      <c r="U300" s="1">
        <v>0</v>
      </c>
      <c r="V300" s="1">
        <v>0</v>
      </c>
      <c r="W300" s="1">
        <v>5</v>
      </c>
      <c r="X300" s="1">
        <v>1</v>
      </c>
      <c r="Y300" s="1">
        <f>Table1[[#This Row],[CRDY]]+Table1[[#This Row],[CRDR]]</f>
        <v>6</v>
      </c>
      <c r="Z300" s="1">
        <v>0.1</v>
      </c>
      <c r="AA300" s="2">
        <f>Table1[[#This Row],[XG]]/Table1[[#This Row],[MP]]</f>
        <v>8.3333333333333332E-3</v>
      </c>
      <c r="AB300" s="1">
        <v>0.1</v>
      </c>
      <c r="AC300" s="1">
        <v>0.3</v>
      </c>
      <c r="AD300" s="1">
        <v>0.4</v>
      </c>
      <c r="AE300" s="1">
        <v>3</v>
      </c>
      <c r="AF300" s="1">
        <v>31</v>
      </c>
      <c r="AG300" s="1">
        <v>6</v>
      </c>
    </row>
    <row r="301" spans="1:33" x14ac:dyDescent="0.35">
      <c r="A301">
        <v>287</v>
      </c>
      <c r="B301" t="s">
        <v>640</v>
      </c>
      <c r="C301" t="s">
        <v>298</v>
      </c>
      <c r="D301" t="s">
        <v>28</v>
      </c>
      <c r="E301" t="s">
        <v>164</v>
      </c>
      <c r="F301" t="s">
        <v>641</v>
      </c>
      <c r="G301" s="1">
        <v>2000</v>
      </c>
      <c r="H301" s="1">
        <v>13</v>
      </c>
      <c r="I301" s="1">
        <v>11</v>
      </c>
      <c r="J301" s="2">
        <f>Table1[[#This Row],[STARTS]]/Table1[[#This Row],[MP]]</f>
        <v>0.84615384615384615</v>
      </c>
      <c r="K301" s="1">
        <v>973</v>
      </c>
      <c r="L301" s="1">
        <v>10.8</v>
      </c>
      <c r="M301" s="1">
        <v>0</v>
      </c>
      <c r="N301" s="2">
        <f>Table1[[#This Row],[G]]/Table1[[#This Row],[MP]]</f>
        <v>0</v>
      </c>
      <c r="O301" s="2">
        <v>0</v>
      </c>
      <c r="P301" s="2">
        <f>Table1[[#This Row],[A]]/Table1[[#This Row],[MP]]</f>
        <v>0</v>
      </c>
      <c r="Q301" s="2">
        <v>0</v>
      </c>
      <c r="R301" s="2">
        <f>Table1[[#This Row],[PTS]]/Table1[[#This Row],[MP]]</f>
        <v>0</v>
      </c>
      <c r="S301" s="1">
        <v>0</v>
      </c>
      <c r="T301" s="1">
        <f>Table1[[#This Row],[G]]-Table1[[#This Row],[G_PK]]</f>
        <v>0</v>
      </c>
      <c r="U301" s="1">
        <v>0</v>
      </c>
      <c r="V301" s="1">
        <v>0</v>
      </c>
      <c r="W301" s="1">
        <v>1</v>
      </c>
      <c r="X301" s="1">
        <v>0</v>
      </c>
      <c r="Y301" s="1">
        <f>Table1[[#This Row],[CRDY]]+Table1[[#This Row],[CRDR]]</f>
        <v>1</v>
      </c>
      <c r="Z301" s="1">
        <v>0.8</v>
      </c>
      <c r="AA301" s="2">
        <f>Table1[[#This Row],[XG]]/Table1[[#This Row],[MP]]</f>
        <v>6.1538461538461542E-2</v>
      </c>
      <c r="AB301" s="1">
        <v>0.8</v>
      </c>
      <c r="AC301" s="1">
        <v>0.3</v>
      </c>
      <c r="AD301" s="1">
        <v>1.2</v>
      </c>
      <c r="AE301" s="1">
        <v>30</v>
      </c>
      <c r="AF301" s="1">
        <v>24</v>
      </c>
      <c r="AG301" s="1">
        <v>36</v>
      </c>
    </row>
    <row r="302" spans="1:33" x14ac:dyDescent="0.35">
      <c r="A302">
        <v>290</v>
      </c>
      <c r="B302" t="s">
        <v>646</v>
      </c>
      <c r="C302" t="s">
        <v>68</v>
      </c>
      <c r="D302" t="s">
        <v>28</v>
      </c>
      <c r="E302" t="s">
        <v>38</v>
      </c>
      <c r="F302" t="s">
        <v>647</v>
      </c>
      <c r="G302" s="1">
        <v>2000</v>
      </c>
      <c r="H302" s="1">
        <v>10</v>
      </c>
      <c r="I302" s="1">
        <v>10</v>
      </c>
      <c r="J302" s="2">
        <f>Table1[[#This Row],[STARTS]]/Table1[[#This Row],[MP]]</f>
        <v>1</v>
      </c>
      <c r="K302" s="1">
        <v>772</v>
      </c>
      <c r="L302" s="1">
        <v>8.6</v>
      </c>
      <c r="M302" s="1">
        <v>0</v>
      </c>
      <c r="N302" s="2">
        <f>Table1[[#This Row],[G]]/Table1[[#This Row],[MP]]</f>
        <v>0</v>
      </c>
      <c r="O302" s="2">
        <v>0</v>
      </c>
      <c r="P302" s="2">
        <f>Table1[[#This Row],[A]]/Table1[[#This Row],[MP]]</f>
        <v>0</v>
      </c>
      <c r="Q302" s="2">
        <v>0</v>
      </c>
      <c r="R302" s="2">
        <f>Table1[[#This Row],[PTS]]/Table1[[#This Row],[MP]]</f>
        <v>0</v>
      </c>
      <c r="S302" s="1">
        <v>0</v>
      </c>
      <c r="T302" s="1">
        <f>Table1[[#This Row],[G]]-Table1[[#This Row],[G_PK]]</f>
        <v>0</v>
      </c>
      <c r="U302" s="1">
        <v>0</v>
      </c>
      <c r="V302" s="1">
        <v>0</v>
      </c>
      <c r="W302" s="1">
        <v>2</v>
      </c>
      <c r="X302" s="1">
        <v>0</v>
      </c>
      <c r="Y302" s="1">
        <f>Table1[[#This Row],[CRDY]]+Table1[[#This Row],[CRDR]]</f>
        <v>2</v>
      </c>
      <c r="Z302" s="1">
        <v>0</v>
      </c>
      <c r="AA302" s="2">
        <f>Table1[[#This Row],[XG]]/Table1[[#This Row],[MP]]</f>
        <v>0</v>
      </c>
      <c r="AB302" s="1">
        <v>0</v>
      </c>
      <c r="AC302" s="1">
        <v>0.6</v>
      </c>
      <c r="AD302" s="1">
        <v>0.7</v>
      </c>
      <c r="AE302" s="1">
        <v>8</v>
      </c>
      <c r="AF302" s="1">
        <v>27</v>
      </c>
      <c r="AG302" s="1">
        <v>19</v>
      </c>
    </row>
    <row r="303" spans="1:33" x14ac:dyDescent="0.35">
      <c r="A303">
        <v>291</v>
      </c>
      <c r="B303" t="s">
        <v>648</v>
      </c>
      <c r="C303" t="s">
        <v>27</v>
      </c>
      <c r="D303" t="s">
        <v>62</v>
      </c>
      <c r="E303" t="s">
        <v>101</v>
      </c>
      <c r="F303" t="s">
        <v>649</v>
      </c>
      <c r="G303" s="1">
        <v>1999</v>
      </c>
      <c r="H303" s="1">
        <v>11</v>
      </c>
      <c r="I303" s="1">
        <v>7</v>
      </c>
      <c r="J303" s="2">
        <f>Table1[[#This Row],[STARTS]]/Table1[[#This Row],[MP]]</f>
        <v>0.63636363636363635</v>
      </c>
      <c r="K303" s="1">
        <v>643</v>
      </c>
      <c r="L303" s="1">
        <v>7.1</v>
      </c>
      <c r="M303" s="1">
        <v>0</v>
      </c>
      <c r="N303" s="2">
        <f>Table1[[#This Row],[G]]/Table1[[#This Row],[MP]]</f>
        <v>0</v>
      </c>
      <c r="O303" s="2">
        <v>0</v>
      </c>
      <c r="P303" s="2">
        <f>Table1[[#This Row],[A]]/Table1[[#This Row],[MP]]</f>
        <v>0</v>
      </c>
      <c r="Q303" s="2">
        <v>0</v>
      </c>
      <c r="R303" s="2">
        <f>Table1[[#This Row],[PTS]]/Table1[[#This Row],[MP]]</f>
        <v>0</v>
      </c>
      <c r="S303" s="1">
        <v>0</v>
      </c>
      <c r="T303" s="1">
        <f>Table1[[#This Row],[G]]-Table1[[#This Row],[G_PK]]</f>
        <v>0</v>
      </c>
      <c r="U303" s="1">
        <v>0</v>
      </c>
      <c r="V303" s="1">
        <v>0</v>
      </c>
      <c r="W303" s="1">
        <v>3</v>
      </c>
      <c r="X303" s="1">
        <v>0</v>
      </c>
      <c r="Y303" s="1">
        <f>Table1[[#This Row],[CRDY]]+Table1[[#This Row],[CRDR]]</f>
        <v>3</v>
      </c>
      <c r="Z303" s="1">
        <v>0.2</v>
      </c>
      <c r="AA303" s="2">
        <f>Table1[[#This Row],[XG]]/Table1[[#This Row],[MP]]</f>
        <v>1.8181818181818184E-2</v>
      </c>
      <c r="AB303" s="1">
        <v>0.2</v>
      </c>
      <c r="AC303" s="1">
        <v>0.1</v>
      </c>
      <c r="AD303" s="1">
        <v>0.4</v>
      </c>
      <c r="AE303" s="1">
        <v>5</v>
      </c>
      <c r="AF303" s="1">
        <v>24</v>
      </c>
      <c r="AG303" s="1">
        <v>4</v>
      </c>
    </row>
    <row r="304" spans="1:33" x14ac:dyDescent="0.35">
      <c r="A304">
        <v>293</v>
      </c>
      <c r="B304" t="s">
        <v>652</v>
      </c>
      <c r="C304" t="s">
        <v>27</v>
      </c>
      <c r="D304" t="s">
        <v>62</v>
      </c>
      <c r="E304" t="s">
        <v>33</v>
      </c>
      <c r="F304" t="s">
        <v>653</v>
      </c>
      <c r="G304" s="1">
        <v>1999</v>
      </c>
      <c r="H304" s="1">
        <v>3</v>
      </c>
      <c r="I304" s="1">
        <v>0</v>
      </c>
      <c r="J304" s="2">
        <f>Table1[[#This Row],[STARTS]]/Table1[[#This Row],[MP]]</f>
        <v>0</v>
      </c>
      <c r="K304" s="1">
        <v>21</v>
      </c>
      <c r="L304" s="1">
        <v>0.2</v>
      </c>
      <c r="M304" s="1">
        <v>0</v>
      </c>
      <c r="N304" s="2">
        <f>Table1[[#This Row],[G]]/Table1[[#This Row],[MP]]</f>
        <v>0</v>
      </c>
      <c r="O304" s="2">
        <v>0</v>
      </c>
      <c r="P304" s="2">
        <f>Table1[[#This Row],[A]]/Table1[[#This Row],[MP]]</f>
        <v>0</v>
      </c>
      <c r="Q304" s="2">
        <v>0</v>
      </c>
      <c r="R304" s="2">
        <f>Table1[[#This Row],[PTS]]/Table1[[#This Row],[MP]]</f>
        <v>0</v>
      </c>
      <c r="S304" s="1">
        <v>0</v>
      </c>
      <c r="T304" s="1">
        <f>Table1[[#This Row],[G]]-Table1[[#This Row],[G_PK]]</f>
        <v>0</v>
      </c>
      <c r="U304" s="1">
        <v>0</v>
      </c>
      <c r="V304" s="1">
        <v>0</v>
      </c>
      <c r="W304" s="1">
        <v>0</v>
      </c>
      <c r="X304" s="1">
        <v>0</v>
      </c>
      <c r="Y304" s="1">
        <f>Table1[[#This Row],[CRDY]]+Table1[[#This Row],[CRDR]]</f>
        <v>0</v>
      </c>
      <c r="Z304" s="1">
        <v>0</v>
      </c>
      <c r="AA304" s="2">
        <f>Table1[[#This Row],[XG]]/Table1[[#This Row],[MP]]</f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3</v>
      </c>
      <c r="AG304" s="1">
        <v>1</v>
      </c>
    </row>
    <row r="305" spans="1:33" x14ac:dyDescent="0.35">
      <c r="A305">
        <v>294</v>
      </c>
      <c r="B305" t="s">
        <v>654</v>
      </c>
      <c r="C305" t="s">
        <v>655</v>
      </c>
      <c r="D305" t="s">
        <v>62</v>
      </c>
      <c r="E305" t="s">
        <v>51</v>
      </c>
      <c r="F305" t="s">
        <v>656</v>
      </c>
      <c r="G305" s="1">
        <v>2001</v>
      </c>
      <c r="H305" s="1">
        <v>5</v>
      </c>
      <c r="I305" s="1">
        <v>1</v>
      </c>
      <c r="J305" s="2">
        <f>Table1[[#This Row],[STARTS]]/Table1[[#This Row],[MP]]</f>
        <v>0.2</v>
      </c>
      <c r="K305" s="1">
        <v>143</v>
      </c>
      <c r="L305" s="1">
        <v>1.6</v>
      </c>
      <c r="M305" s="1">
        <v>0</v>
      </c>
      <c r="N305" s="2">
        <f>Table1[[#This Row],[G]]/Table1[[#This Row],[MP]]</f>
        <v>0</v>
      </c>
      <c r="O305" s="2">
        <v>0</v>
      </c>
      <c r="P305" s="2">
        <f>Table1[[#This Row],[A]]/Table1[[#This Row],[MP]]</f>
        <v>0</v>
      </c>
      <c r="Q305" s="2">
        <v>0</v>
      </c>
      <c r="R305" s="2">
        <f>Table1[[#This Row],[PTS]]/Table1[[#This Row],[MP]]</f>
        <v>0</v>
      </c>
      <c r="S305" s="1">
        <v>0</v>
      </c>
      <c r="T305" s="1">
        <f>Table1[[#This Row],[G]]-Table1[[#This Row],[G_PK]]</f>
        <v>0</v>
      </c>
      <c r="U305" s="1">
        <v>0</v>
      </c>
      <c r="V305" s="1">
        <v>0</v>
      </c>
      <c r="W305" s="1">
        <v>0</v>
      </c>
      <c r="X305" s="1">
        <v>0</v>
      </c>
      <c r="Y305" s="1">
        <f>Table1[[#This Row],[CRDY]]+Table1[[#This Row],[CRDR]]</f>
        <v>0</v>
      </c>
      <c r="Z305" s="1">
        <v>0.3</v>
      </c>
      <c r="AA305" s="2">
        <f>Table1[[#This Row],[XG]]/Table1[[#This Row],[MP]]</f>
        <v>0.06</v>
      </c>
      <c r="AB305" s="1">
        <v>0.3</v>
      </c>
      <c r="AC305" s="1">
        <v>0.2</v>
      </c>
      <c r="AD305" s="1">
        <v>0.5</v>
      </c>
      <c r="AE305" s="1">
        <v>1</v>
      </c>
      <c r="AF305" s="1">
        <v>6</v>
      </c>
      <c r="AG305" s="1">
        <v>7</v>
      </c>
    </row>
    <row r="306" spans="1:33" x14ac:dyDescent="0.35">
      <c r="A306">
        <v>296</v>
      </c>
      <c r="B306" t="s">
        <v>659</v>
      </c>
      <c r="C306" t="s">
        <v>27</v>
      </c>
      <c r="D306" t="s">
        <v>251</v>
      </c>
      <c r="E306" t="s">
        <v>29</v>
      </c>
      <c r="F306" t="s">
        <v>660</v>
      </c>
      <c r="G306" s="1">
        <v>1999</v>
      </c>
      <c r="H306" s="1">
        <v>4</v>
      </c>
      <c r="I306" s="1">
        <v>0</v>
      </c>
      <c r="J306" s="2">
        <f>Table1[[#This Row],[STARTS]]/Table1[[#This Row],[MP]]</f>
        <v>0</v>
      </c>
      <c r="K306" s="1">
        <v>54</v>
      </c>
      <c r="L306" s="1">
        <v>0.6</v>
      </c>
      <c r="M306" s="1">
        <v>0</v>
      </c>
      <c r="N306" s="2">
        <f>Table1[[#This Row],[G]]/Table1[[#This Row],[MP]]</f>
        <v>0</v>
      </c>
      <c r="O306" s="2">
        <v>0</v>
      </c>
      <c r="P306" s="2">
        <f>Table1[[#This Row],[A]]/Table1[[#This Row],[MP]]</f>
        <v>0</v>
      </c>
      <c r="Q306" s="2">
        <v>0</v>
      </c>
      <c r="R306" s="2">
        <f>Table1[[#This Row],[PTS]]/Table1[[#This Row],[MP]]</f>
        <v>0</v>
      </c>
      <c r="S306" s="1">
        <v>0</v>
      </c>
      <c r="T306" s="1">
        <f>Table1[[#This Row],[G]]-Table1[[#This Row],[G_PK]]</f>
        <v>0</v>
      </c>
      <c r="U306" s="1">
        <v>0</v>
      </c>
      <c r="V306" s="1">
        <v>0</v>
      </c>
      <c r="W306" s="1">
        <v>0</v>
      </c>
      <c r="X306" s="1">
        <v>0</v>
      </c>
      <c r="Y306" s="1">
        <f>Table1[[#This Row],[CRDY]]+Table1[[#This Row],[CRDR]]</f>
        <v>0</v>
      </c>
      <c r="Z306" s="1">
        <v>0</v>
      </c>
      <c r="AA306" s="2">
        <f>Table1[[#This Row],[XG]]/Table1[[#This Row],[MP]]</f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2</v>
      </c>
      <c r="AG306" s="1">
        <v>4</v>
      </c>
    </row>
    <row r="307" spans="1:33" x14ac:dyDescent="0.35">
      <c r="A307">
        <v>299</v>
      </c>
      <c r="B307" t="s">
        <v>665</v>
      </c>
      <c r="C307" t="s">
        <v>27</v>
      </c>
      <c r="D307" t="s">
        <v>50</v>
      </c>
      <c r="E307" t="s">
        <v>42</v>
      </c>
      <c r="F307" t="s">
        <v>666</v>
      </c>
      <c r="G307" s="1">
        <v>1994</v>
      </c>
      <c r="H307" s="1">
        <v>3</v>
      </c>
      <c r="I307" s="1">
        <v>0</v>
      </c>
      <c r="J307" s="2">
        <f>Table1[[#This Row],[STARTS]]/Table1[[#This Row],[MP]]</f>
        <v>0</v>
      </c>
      <c r="K307" s="1">
        <v>20</v>
      </c>
      <c r="L307" s="1">
        <v>0.2</v>
      </c>
      <c r="M307" s="1">
        <v>0</v>
      </c>
      <c r="N307" s="2">
        <f>Table1[[#This Row],[G]]/Table1[[#This Row],[MP]]</f>
        <v>0</v>
      </c>
      <c r="O307" s="2">
        <v>0</v>
      </c>
      <c r="P307" s="2">
        <f>Table1[[#This Row],[A]]/Table1[[#This Row],[MP]]</f>
        <v>0</v>
      </c>
      <c r="Q307" s="2">
        <v>0</v>
      </c>
      <c r="R307" s="2">
        <f>Table1[[#This Row],[PTS]]/Table1[[#This Row],[MP]]</f>
        <v>0</v>
      </c>
      <c r="S307" s="1">
        <v>0</v>
      </c>
      <c r="T307" s="1">
        <f>Table1[[#This Row],[G]]-Table1[[#This Row],[G_PK]]</f>
        <v>0</v>
      </c>
      <c r="U307" s="1">
        <v>0</v>
      </c>
      <c r="V307" s="1">
        <v>0</v>
      </c>
      <c r="W307" s="1">
        <v>0</v>
      </c>
      <c r="X307" s="1">
        <v>0</v>
      </c>
      <c r="Y307" s="1">
        <f>Table1[[#This Row],[CRDY]]+Table1[[#This Row],[CRDR]]</f>
        <v>0</v>
      </c>
      <c r="Z307" s="1">
        <v>0</v>
      </c>
      <c r="AA307" s="2">
        <f>Table1[[#This Row],[XG]]/Table1[[#This Row],[MP]]</f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2</v>
      </c>
      <c r="AG307" s="1">
        <v>0</v>
      </c>
    </row>
    <row r="308" spans="1:33" x14ac:dyDescent="0.35">
      <c r="A308">
        <v>302</v>
      </c>
      <c r="B308" t="s">
        <v>670</v>
      </c>
      <c r="C308" t="s">
        <v>27</v>
      </c>
      <c r="D308" t="s">
        <v>28</v>
      </c>
      <c r="E308" t="s">
        <v>51</v>
      </c>
      <c r="F308" t="s">
        <v>671</v>
      </c>
      <c r="G308" s="1">
        <v>1993</v>
      </c>
      <c r="H308" s="1">
        <v>8</v>
      </c>
      <c r="I308" s="1">
        <v>7</v>
      </c>
      <c r="J308" s="2">
        <f>Table1[[#This Row],[STARTS]]/Table1[[#This Row],[MP]]</f>
        <v>0.875</v>
      </c>
      <c r="K308" s="1">
        <v>529</v>
      </c>
      <c r="L308" s="1">
        <v>5.9</v>
      </c>
      <c r="M308" s="1">
        <v>0</v>
      </c>
      <c r="N308" s="2">
        <f>Table1[[#This Row],[G]]/Table1[[#This Row],[MP]]</f>
        <v>0</v>
      </c>
      <c r="O308" s="2">
        <v>0</v>
      </c>
      <c r="P308" s="2">
        <f>Table1[[#This Row],[A]]/Table1[[#This Row],[MP]]</f>
        <v>0</v>
      </c>
      <c r="Q308" s="2">
        <v>0</v>
      </c>
      <c r="R308" s="2">
        <f>Table1[[#This Row],[PTS]]/Table1[[#This Row],[MP]]</f>
        <v>0</v>
      </c>
      <c r="S308" s="1">
        <v>0</v>
      </c>
      <c r="T308" s="1">
        <f>Table1[[#This Row],[G]]-Table1[[#This Row],[G_PK]]</f>
        <v>0</v>
      </c>
      <c r="U308" s="1">
        <v>0</v>
      </c>
      <c r="V308" s="1">
        <v>0</v>
      </c>
      <c r="W308" s="1">
        <v>2</v>
      </c>
      <c r="X308" s="1">
        <v>0</v>
      </c>
      <c r="Y308" s="1">
        <f>Table1[[#This Row],[CRDY]]+Table1[[#This Row],[CRDR]]</f>
        <v>2</v>
      </c>
      <c r="Z308" s="1">
        <v>0</v>
      </c>
      <c r="AA308" s="2">
        <f>Table1[[#This Row],[XG]]/Table1[[#This Row],[MP]]</f>
        <v>0</v>
      </c>
      <c r="AB308" s="1">
        <v>0</v>
      </c>
      <c r="AC308" s="1">
        <v>0.1</v>
      </c>
      <c r="AD308" s="1">
        <v>0.1</v>
      </c>
      <c r="AE308" s="1">
        <v>6</v>
      </c>
      <c r="AF308" s="1">
        <v>28</v>
      </c>
      <c r="AG308" s="1">
        <v>7</v>
      </c>
    </row>
    <row r="309" spans="1:33" x14ac:dyDescent="0.35">
      <c r="A309">
        <v>303</v>
      </c>
      <c r="B309" t="s">
        <v>672</v>
      </c>
      <c r="C309" t="s">
        <v>27</v>
      </c>
      <c r="D309" t="s">
        <v>50</v>
      </c>
      <c r="E309" t="s">
        <v>81</v>
      </c>
      <c r="F309" t="s">
        <v>673</v>
      </c>
      <c r="G309" s="1">
        <v>2001</v>
      </c>
      <c r="H309" s="1">
        <v>12</v>
      </c>
      <c r="I309" s="1">
        <v>8</v>
      </c>
      <c r="J309" s="2">
        <f>Table1[[#This Row],[STARTS]]/Table1[[#This Row],[MP]]</f>
        <v>0.66666666666666663</v>
      </c>
      <c r="K309" s="1">
        <v>739</v>
      </c>
      <c r="L309" s="1">
        <v>8.1999999999999993</v>
      </c>
      <c r="M309" s="1">
        <v>0</v>
      </c>
      <c r="N309" s="2">
        <f>Table1[[#This Row],[G]]/Table1[[#This Row],[MP]]</f>
        <v>0</v>
      </c>
      <c r="O309" s="2">
        <v>0</v>
      </c>
      <c r="P309" s="2">
        <f>Table1[[#This Row],[A]]/Table1[[#This Row],[MP]]</f>
        <v>0</v>
      </c>
      <c r="Q309" s="2">
        <v>0</v>
      </c>
      <c r="R309" s="2">
        <f>Table1[[#This Row],[PTS]]/Table1[[#This Row],[MP]]</f>
        <v>0</v>
      </c>
      <c r="S309" s="1">
        <v>0</v>
      </c>
      <c r="T309" s="1">
        <f>Table1[[#This Row],[G]]-Table1[[#This Row],[G_PK]]</f>
        <v>0</v>
      </c>
      <c r="U309" s="1">
        <v>0</v>
      </c>
      <c r="V309" s="1">
        <v>0</v>
      </c>
      <c r="W309" s="1">
        <v>0</v>
      </c>
      <c r="X309" s="1">
        <v>0</v>
      </c>
      <c r="Y309" s="1">
        <f>Table1[[#This Row],[CRDY]]+Table1[[#This Row],[CRDR]]</f>
        <v>0</v>
      </c>
      <c r="Z309" s="1">
        <v>0.5</v>
      </c>
      <c r="AA309" s="2">
        <f>Table1[[#This Row],[XG]]/Table1[[#This Row],[MP]]</f>
        <v>4.1666666666666664E-2</v>
      </c>
      <c r="AB309" s="1">
        <v>0.5</v>
      </c>
      <c r="AC309" s="1">
        <v>0</v>
      </c>
      <c r="AD309" s="1">
        <v>0.5</v>
      </c>
      <c r="AE309" s="1">
        <v>9</v>
      </c>
      <c r="AF309" s="1">
        <v>16</v>
      </c>
      <c r="AG309" s="1">
        <v>14</v>
      </c>
    </row>
    <row r="310" spans="1:33" x14ac:dyDescent="0.35">
      <c r="A310">
        <v>304</v>
      </c>
      <c r="B310" t="s">
        <v>674</v>
      </c>
      <c r="C310" t="s">
        <v>27</v>
      </c>
      <c r="D310" t="s">
        <v>37</v>
      </c>
      <c r="E310" t="s">
        <v>101</v>
      </c>
      <c r="F310" t="s">
        <v>675</v>
      </c>
      <c r="G310" s="1">
        <v>2010</v>
      </c>
      <c r="H310" s="1">
        <v>6</v>
      </c>
      <c r="I310" s="1">
        <v>0</v>
      </c>
      <c r="J310" s="2">
        <f>Table1[[#This Row],[STARTS]]/Table1[[#This Row],[MP]]</f>
        <v>0</v>
      </c>
      <c r="K310" s="1">
        <v>59</v>
      </c>
      <c r="L310" s="1">
        <v>0.7</v>
      </c>
      <c r="M310" s="1">
        <v>0</v>
      </c>
      <c r="N310" s="2">
        <f>Table1[[#This Row],[G]]/Table1[[#This Row],[MP]]</f>
        <v>0</v>
      </c>
      <c r="O310" s="2">
        <v>0</v>
      </c>
      <c r="P310" s="2">
        <f>Table1[[#This Row],[A]]/Table1[[#This Row],[MP]]</f>
        <v>0</v>
      </c>
      <c r="Q310" s="2">
        <v>0</v>
      </c>
      <c r="R310" s="2">
        <f>Table1[[#This Row],[PTS]]/Table1[[#This Row],[MP]]</f>
        <v>0</v>
      </c>
      <c r="S310" s="1">
        <v>0</v>
      </c>
      <c r="T310" s="1">
        <f>Table1[[#This Row],[G]]-Table1[[#This Row],[G_PK]]</f>
        <v>0</v>
      </c>
      <c r="U310" s="1">
        <v>0</v>
      </c>
      <c r="V310" s="1">
        <v>0</v>
      </c>
      <c r="W310" s="1">
        <v>0</v>
      </c>
      <c r="X310" s="1">
        <v>0</v>
      </c>
      <c r="Y310" s="1">
        <f>Table1[[#This Row],[CRDY]]+Table1[[#This Row],[CRDR]]</f>
        <v>0</v>
      </c>
      <c r="Z310" s="1">
        <v>0.2</v>
      </c>
      <c r="AA310" s="2">
        <f>Table1[[#This Row],[XG]]/Table1[[#This Row],[MP]]</f>
        <v>3.3333333333333333E-2</v>
      </c>
      <c r="AB310" s="1">
        <v>0.2</v>
      </c>
      <c r="AC310" s="1">
        <v>0</v>
      </c>
      <c r="AD310" s="1">
        <v>0.2</v>
      </c>
      <c r="AE310" s="1">
        <v>1</v>
      </c>
      <c r="AF310" s="1">
        <v>1</v>
      </c>
      <c r="AG310" s="1">
        <v>7</v>
      </c>
    </row>
    <row r="311" spans="1:33" x14ac:dyDescent="0.35">
      <c r="A311">
        <v>305</v>
      </c>
      <c r="B311" t="s">
        <v>676</v>
      </c>
      <c r="C311" t="s">
        <v>27</v>
      </c>
      <c r="D311" t="s">
        <v>62</v>
      </c>
      <c r="E311" t="s">
        <v>107</v>
      </c>
      <c r="F311" t="s">
        <v>677</v>
      </c>
      <c r="G311" s="1">
        <v>2001</v>
      </c>
      <c r="H311" s="1">
        <v>1</v>
      </c>
      <c r="I311" s="1">
        <v>0</v>
      </c>
      <c r="J311" s="2">
        <f>Table1[[#This Row],[STARTS]]/Table1[[#This Row],[MP]]</f>
        <v>0</v>
      </c>
      <c r="K311" s="1">
        <v>7</v>
      </c>
      <c r="L311" s="1">
        <v>0.1</v>
      </c>
      <c r="M311" s="1">
        <v>0</v>
      </c>
      <c r="N311" s="2">
        <f>Table1[[#This Row],[G]]/Table1[[#This Row],[MP]]</f>
        <v>0</v>
      </c>
      <c r="O311" s="2">
        <v>0</v>
      </c>
      <c r="P311" s="2">
        <f>Table1[[#This Row],[A]]/Table1[[#This Row],[MP]]</f>
        <v>0</v>
      </c>
      <c r="Q311" s="2">
        <v>0</v>
      </c>
      <c r="R311" s="2">
        <f>Table1[[#This Row],[PTS]]/Table1[[#This Row],[MP]]</f>
        <v>0</v>
      </c>
      <c r="S311" s="1">
        <v>0</v>
      </c>
      <c r="T311" s="1">
        <f>Table1[[#This Row],[G]]-Table1[[#This Row],[G_PK]]</f>
        <v>0</v>
      </c>
      <c r="U311" s="1">
        <v>0</v>
      </c>
      <c r="V311" s="1">
        <v>0</v>
      </c>
      <c r="W311" s="1">
        <v>0</v>
      </c>
      <c r="X311" s="1">
        <v>0</v>
      </c>
      <c r="Y311" s="1">
        <f>Table1[[#This Row],[CRDY]]+Table1[[#This Row],[CRDR]]</f>
        <v>0</v>
      </c>
      <c r="Z311" s="1">
        <v>0</v>
      </c>
      <c r="AA311" s="2">
        <f>Table1[[#This Row],[XG]]/Table1[[#This Row],[MP]]</f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</row>
  </sheetData>
  <conditionalFormatting sqref="N2:N3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3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3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3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Z3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3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5D4A-E867-4C7A-B8DD-CD4D6B446025}">
  <dimension ref="A3:C313"/>
  <sheetViews>
    <sheetView workbookViewId="0">
      <selection activeCell="A3" sqref="A3:C313"/>
    </sheetView>
  </sheetViews>
  <sheetFormatPr defaultRowHeight="14.5" x14ac:dyDescent="0.35"/>
  <cols>
    <col min="1" max="1" width="20.36328125" bestFit="1" customWidth="1"/>
    <col min="2" max="2" width="9.54296875" bestFit="1" customWidth="1"/>
    <col min="3" max="3" width="17.54296875" bestFit="1" customWidth="1"/>
  </cols>
  <sheetData>
    <row r="3" spans="1:3" x14ac:dyDescent="0.35">
      <c r="A3" s="3" t="s">
        <v>695</v>
      </c>
      <c r="B3" t="s">
        <v>706</v>
      </c>
      <c r="C3" t="s">
        <v>704</v>
      </c>
    </row>
    <row r="4" spans="1:3" x14ac:dyDescent="0.35">
      <c r="A4" s="4" t="s">
        <v>194</v>
      </c>
      <c r="B4" s="15">
        <v>13</v>
      </c>
      <c r="C4" s="5">
        <v>1</v>
      </c>
    </row>
    <row r="5" spans="1:3" x14ac:dyDescent="0.35">
      <c r="A5" s="4" t="s">
        <v>604</v>
      </c>
      <c r="B5" s="15">
        <v>5</v>
      </c>
      <c r="C5" s="5">
        <v>1</v>
      </c>
    </row>
    <row r="6" spans="1:3" x14ac:dyDescent="0.35">
      <c r="A6" s="4" t="s">
        <v>387</v>
      </c>
      <c r="B6" s="15">
        <v>13</v>
      </c>
      <c r="C6" s="5">
        <v>0.61538461538461542</v>
      </c>
    </row>
    <row r="7" spans="1:3" x14ac:dyDescent="0.35">
      <c r="A7" s="4" t="s">
        <v>436</v>
      </c>
      <c r="B7" s="15">
        <v>7</v>
      </c>
      <c r="C7" s="5">
        <v>0.42857142857142855</v>
      </c>
    </row>
    <row r="8" spans="1:3" x14ac:dyDescent="0.35">
      <c r="A8" s="4" t="s">
        <v>608</v>
      </c>
      <c r="B8" s="15">
        <v>8</v>
      </c>
      <c r="C8" s="5">
        <v>0.5</v>
      </c>
    </row>
    <row r="9" spans="1:3" x14ac:dyDescent="0.35">
      <c r="A9" s="4" t="s">
        <v>172</v>
      </c>
      <c r="B9" s="15">
        <v>7</v>
      </c>
      <c r="C9" s="5">
        <v>1</v>
      </c>
    </row>
    <row r="10" spans="1:3" x14ac:dyDescent="0.35">
      <c r="A10" s="4" t="s">
        <v>357</v>
      </c>
      <c r="B10" s="15">
        <v>13</v>
      </c>
      <c r="C10" s="5">
        <v>1</v>
      </c>
    </row>
    <row r="11" spans="1:3" x14ac:dyDescent="0.35">
      <c r="A11" s="4" t="s">
        <v>393</v>
      </c>
      <c r="B11" s="15">
        <v>1</v>
      </c>
      <c r="C11" s="5">
        <v>0</v>
      </c>
    </row>
    <row r="12" spans="1:3" x14ac:dyDescent="0.35">
      <c r="A12" s="4" t="s">
        <v>615</v>
      </c>
      <c r="B12" s="15">
        <v>8</v>
      </c>
      <c r="C12" s="5">
        <v>0.125</v>
      </c>
    </row>
    <row r="13" spans="1:3" x14ac:dyDescent="0.35">
      <c r="A13" s="4" t="s">
        <v>40</v>
      </c>
      <c r="B13" s="15">
        <v>6</v>
      </c>
      <c r="C13" s="5">
        <v>0.16666666666666666</v>
      </c>
    </row>
    <row r="14" spans="1:3" x14ac:dyDescent="0.35">
      <c r="A14" s="4" t="s">
        <v>385</v>
      </c>
      <c r="B14" s="15">
        <v>13</v>
      </c>
      <c r="C14" s="5">
        <v>0.30769230769230771</v>
      </c>
    </row>
    <row r="15" spans="1:3" x14ac:dyDescent="0.35">
      <c r="A15" s="4" t="s">
        <v>580</v>
      </c>
      <c r="B15" s="15">
        <v>13</v>
      </c>
      <c r="C15" s="5">
        <v>0.84615384615384615</v>
      </c>
    </row>
    <row r="16" spans="1:3" x14ac:dyDescent="0.35">
      <c r="A16" s="4" t="s">
        <v>588</v>
      </c>
      <c r="B16" s="15">
        <v>13</v>
      </c>
      <c r="C16" s="5">
        <v>1</v>
      </c>
    </row>
    <row r="17" spans="1:3" x14ac:dyDescent="0.35">
      <c r="A17" s="4" t="s">
        <v>663</v>
      </c>
      <c r="B17" s="15">
        <v>13</v>
      </c>
      <c r="C17" s="5">
        <v>0.76923076923076927</v>
      </c>
    </row>
    <row r="18" spans="1:3" x14ac:dyDescent="0.35">
      <c r="A18" s="4" t="s">
        <v>419</v>
      </c>
      <c r="B18" s="15">
        <v>13</v>
      </c>
      <c r="C18" s="5">
        <v>0.84615384615384615</v>
      </c>
    </row>
    <row r="19" spans="1:3" x14ac:dyDescent="0.35">
      <c r="A19" s="4" t="s">
        <v>490</v>
      </c>
      <c r="B19" s="15">
        <v>10</v>
      </c>
      <c r="C19" s="5">
        <v>1</v>
      </c>
    </row>
    <row r="20" spans="1:3" x14ac:dyDescent="0.35">
      <c r="A20" s="4" t="s">
        <v>637</v>
      </c>
      <c r="B20" s="15">
        <v>12</v>
      </c>
      <c r="C20" s="5">
        <v>1</v>
      </c>
    </row>
    <row r="21" spans="1:3" x14ac:dyDescent="0.35">
      <c r="A21" s="4" t="s">
        <v>442</v>
      </c>
      <c r="B21" s="15">
        <v>13</v>
      </c>
      <c r="C21" s="5">
        <v>1</v>
      </c>
    </row>
    <row r="22" spans="1:3" x14ac:dyDescent="0.35">
      <c r="A22" s="4" t="s">
        <v>286</v>
      </c>
      <c r="B22" s="15">
        <v>5</v>
      </c>
      <c r="C22" s="5">
        <v>0</v>
      </c>
    </row>
    <row r="23" spans="1:3" x14ac:dyDescent="0.35">
      <c r="A23" s="4" t="s">
        <v>635</v>
      </c>
      <c r="B23" s="15">
        <v>12</v>
      </c>
      <c r="C23" s="5">
        <v>1</v>
      </c>
    </row>
    <row r="24" spans="1:3" x14ac:dyDescent="0.35">
      <c r="A24" s="4" t="s">
        <v>185</v>
      </c>
      <c r="B24" s="15">
        <v>9</v>
      </c>
      <c r="C24" s="5">
        <v>0.55555555555555558</v>
      </c>
    </row>
    <row r="25" spans="1:3" x14ac:dyDescent="0.35">
      <c r="A25" s="4" t="s">
        <v>61</v>
      </c>
      <c r="B25" s="15">
        <v>12</v>
      </c>
      <c r="C25" s="5">
        <v>0.83333333333333337</v>
      </c>
    </row>
    <row r="26" spans="1:3" x14ac:dyDescent="0.35">
      <c r="A26" s="4" t="s">
        <v>53</v>
      </c>
      <c r="B26" s="15">
        <v>13</v>
      </c>
      <c r="C26" s="5">
        <v>1</v>
      </c>
    </row>
    <row r="27" spans="1:3" x14ac:dyDescent="0.35">
      <c r="A27" s="4" t="s">
        <v>341</v>
      </c>
      <c r="B27" s="15">
        <v>10</v>
      </c>
      <c r="C27" s="5">
        <v>0.9</v>
      </c>
    </row>
    <row r="28" spans="1:3" x14ac:dyDescent="0.35">
      <c r="A28" s="4" t="s">
        <v>471</v>
      </c>
      <c r="B28" s="15">
        <v>13</v>
      </c>
      <c r="C28" s="5">
        <v>1</v>
      </c>
    </row>
    <row r="29" spans="1:3" x14ac:dyDescent="0.35">
      <c r="A29" s="4" t="s">
        <v>99</v>
      </c>
      <c r="B29" s="15">
        <v>13</v>
      </c>
      <c r="C29" s="5">
        <v>1</v>
      </c>
    </row>
    <row r="30" spans="1:3" x14ac:dyDescent="0.35">
      <c r="A30" s="4" t="s">
        <v>492</v>
      </c>
      <c r="B30" s="15">
        <v>1</v>
      </c>
      <c r="C30" s="5">
        <v>0</v>
      </c>
    </row>
    <row r="31" spans="1:3" x14ac:dyDescent="0.35">
      <c r="A31" s="4" t="s">
        <v>680</v>
      </c>
      <c r="B31" s="15">
        <v>13</v>
      </c>
      <c r="C31" s="5">
        <v>1</v>
      </c>
    </row>
    <row r="32" spans="1:3" x14ac:dyDescent="0.35">
      <c r="A32" s="4" t="s">
        <v>70</v>
      </c>
      <c r="B32" s="15">
        <v>9</v>
      </c>
      <c r="C32" s="5">
        <v>0.66666666666666663</v>
      </c>
    </row>
    <row r="33" spans="1:3" x14ac:dyDescent="0.35">
      <c r="A33" s="4" t="s">
        <v>302</v>
      </c>
      <c r="B33" s="15">
        <v>10</v>
      </c>
      <c r="C33" s="5">
        <v>0.9</v>
      </c>
    </row>
    <row r="34" spans="1:3" x14ac:dyDescent="0.35">
      <c r="A34" s="4" t="s">
        <v>575</v>
      </c>
      <c r="B34" s="15">
        <v>13</v>
      </c>
      <c r="C34" s="5">
        <v>0.76923076923076927</v>
      </c>
    </row>
    <row r="35" spans="1:3" x14ac:dyDescent="0.35">
      <c r="A35" s="4" t="s">
        <v>511</v>
      </c>
      <c r="B35" s="15">
        <v>11</v>
      </c>
      <c r="C35" s="5">
        <v>0.45454545454545453</v>
      </c>
    </row>
    <row r="36" spans="1:3" x14ac:dyDescent="0.35">
      <c r="A36" s="4" t="s">
        <v>361</v>
      </c>
      <c r="B36" s="15">
        <v>12</v>
      </c>
      <c r="C36" s="5">
        <v>1</v>
      </c>
    </row>
    <row r="37" spans="1:3" x14ac:dyDescent="0.35">
      <c r="A37" s="4" t="s">
        <v>174</v>
      </c>
      <c r="B37" s="15">
        <v>6</v>
      </c>
      <c r="C37" s="5">
        <v>0</v>
      </c>
    </row>
    <row r="38" spans="1:3" x14ac:dyDescent="0.35">
      <c r="A38" s="4" t="s">
        <v>514</v>
      </c>
      <c r="B38" s="15">
        <v>9</v>
      </c>
      <c r="C38" s="5">
        <v>1</v>
      </c>
    </row>
    <row r="39" spans="1:3" x14ac:dyDescent="0.35">
      <c r="A39" s="4" t="s">
        <v>507</v>
      </c>
      <c r="B39" s="15">
        <v>13</v>
      </c>
      <c r="C39" s="5">
        <v>0.76923076923076927</v>
      </c>
    </row>
    <row r="40" spans="1:3" x14ac:dyDescent="0.35">
      <c r="A40" s="4" t="s">
        <v>83</v>
      </c>
      <c r="B40" s="15">
        <v>13</v>
      </c>
      <c r="C40" s="5">
        <v>0.92307692307692313</v>
      </c>
    </row>
    <row r="41" spans="1:3" x14ac:dyDescent="0.35">
      <c r="A41" s="4" t="s">
        <v>234</v>
      </c>
      <c r="B41" s="15">
        <v>7</v>
      </c>
      <c r="C41" s="5">
        <v>0</v>
      </c>
    </row>
    <row r="42" spans="1:3" x14ac:dyDescent="0.35">
      <c r="A42" s="4" t="s">
        <v>250</v>
      </c>
      <c r="B42" s="15">
        <v>11</v>
      </c>
      <c r="C42" s="5">
        <v>0.90909090909090906</v>
      </c>
    </row>
    <row r="43" spans="1:3" x14ac:dyDescent="0.35">
      <c r="A43" s="4" t="s">
        <v>93</v>
      </c>
      <c r="B43" s="15">
        <v>11</v>
      </c>
      <c r="C43" s="5">
        <v>0.81818181818181823</v>
      </c>
    </row>
    <row r="44" spans="1:3" x14ac:dyDescent="0.35">
      <c r="A44" s="4" t="s">
        <v>117</v>
      </c>
      <c r="B44" s="15">
        <v>7</v>
      </c>
      <c r="C44" s="5">
        <v>1</v>
      </c>
    </row>
    <row r="45" spans="1:3" x14ac:dyDescent="0.35">
      <c r="A45" s="4" t="s">
        <v>619</v>
      </c>
      <c r="B45" s="15">
        <v>10</v>
      </c>
      <c r="C45" s="5">
        <v>0.8</v>
      </c>
    </row>
    <row r="46" spans="1:3" x14ac:dyDescent="0.35">
      <c r="A46" s="4" t="s">
        <v>486</v>
      </c>
      <c r="B46" s="15">
        <v>12</v>
      </c>
      <c r="C46" s="5">
        <v>0.75</v>
      </c>
    </row>
    <row r="47" spans="1:3" x14ac:dyDescent="0.35">
      <c r="A47" s="4" t="s">
        <v>428</v>
      </c>
      <c r="B47" s="15">
        <v>1</v>
      </c>
      <c r="C47" s="5">
        <v>0</v>
      </c>
    </row>
    <row r="48" spans="1:3" x14ac:dyDescent="0.35">
      <c r="A48" s="4" t="s">
        <v>529</v>
      </c>
      <c r="B48" s="15">
        <v>11</v>
      </c>
      <c r="C48" s="5">
        <v>9.0909090909090912E-2</v>
      </c>
    </row>
    <row r="49" spans="1:3" x14ac:dyDescent="0.35">
      <c r="A49" s="4" t="s">
        <v>548</v>
      </c>
      <c r="B49" s="15">
        <v>10</v>
      </c>
      <c r="C49" s="5">
        <v>0.4</v>
      </c>
    </row>
    <row r="50" spans="1:3" x14ac:dyDescent="0.35">
      <c r="A50" s="4" t="s">
        <v>182</v>
      </c>
      <c r="B50" s="15">
        <v>2</v>
      </c>
      <c r="C50" s="5">
        <v>0</v>
      </c>
    </row>
    <row r="51" spans="1:3" x14ac:dyDescent="0.35">
      <c r="A51" s="4" t="s">
        <v>132</v>
      </c>
      <c r="B51" s="15">
        <v>11</v>
      </c>
      <c r="C51" s="5">
        <v>0.63636363636363635</v>
      </c>
    </row>
    <row r="52" spans="1:3" x14ac:dyDescent="0.35">
      <c r="A52" s="4" t="s">
        <v>291</v>
      </c>
      <c r="B52" s="15">
        <v>11</v>
      </c>
      <c r="C52" s="5">
        <v>0.63636363636363635</v>
      </c>
    </row>
    <row r="53" spans="1:3" x14ac:dyDescent="0.35">
      <c r="A53" s="4" t="s">
        <v>113</v>
      </c>
      <c r="B53" s="15">
        <v>11</v>
      </c>
      <c r="C53" s="5">
        <v>0.81818181818181823</v>
      </c>
    </row>
    <row r="54" spans="1:3" x14ac:dyDescent="0.35">
      <c r="A54" s="4" t="s">
        <v>225</v>
      </c>
      <c r="B54" s="15">
        <v>13</v>
      </c>
      <c r="C54" s="5">
        <v>1</v>
      </c>
    </row>
    <row r="55" spans="1:3" x14ac:dyDescent="0.35">
      <c r="A55" s="4" t="s">
        <v>564</v>
      </c>
      <c r="B55" s="15">
        <v>13</v>
      </c>
      <c r="C55" s="5">
        <v>1</v>
      </c>
    </row>
    <row r="56" spans="1:3" x14ac:dyDescent="0.35">
      <c r="A56" s="4" t="s">
        <v>170</v>
      </c>
      <c r="B56" s="15">
        <v>11</v>
      </c>
      <c r="C56" s="5">
        <v>0.72727272727272729</v>
      </c>
    </row>
    <row r="57" spans="1:3" x14ac:dyDescent="0.35">
      <c r="A57" s="4" t="s">
        <v>523</v>
      </c>
      <c r="B57" s="15">
        <v>10</v>
      </c>
      <c r="C57" s="5">
        <v>0.6</v>
      </c>
    </row>
    <row r="58" spans="1:3" x14ac:dyDescent="0.35">
      <c r="A58" s="4" t="s">
        <v>370</v>
      </c>
      <c r="B58" s="15">
        <v>9</v>
      </c>
      <c r="C58" s="5">
        <v>0.77777777777777779</v>
      </c>
    </row>
    <row r="59" spans="1:3" x14ac:dyDescent="0.35">
      <c r="A59" s="4" t="s">
        <v>488</v>
      </c>
      <c r="B59" s="15">
        <v>13</v>
      </c>
      <c r="C59" s="5">
        <v>1</v>
      </c>
    </row>
    <row r="60" spans="1:3" x14ac:dyDescent="0.35">
      <c r="A60" s="4" t="s">
        <v>520</v>
      </c>
      <c r="B60" s="15">
        <v>5</v>
      </c>
      <c r="C60" s="5">
        <v>0</v>
      </c>
    </row>
    <row r="61" spans="1:3" x14ac:dyDescent="0.35">
      <c r="A61" s="4" t="s">
        <v>91</v>
      </c>
      <c r="B61" s="15">
        <v>4</v>
      </c>
      <c r="C61" s="5">
        <v>0</v>
      </c>
    </row>
    <row r="62" spans="1:3" x14ac:dyDescent="0.35">
      <c r="A62" s="4" t="s">
        <v>363</v>
      </c>
      <c r="B62" s="15">
        <v>9</v>
      </c>
      <c r="C62" s="5">
        <v>0.83333333333333337</v>
      </c>
    </row>
    <row r="63" spans="1:3" x14ac:dyDescent="0.35">
      <c r="A63" s="4" t="s">
        <v>188</v>
      </c>
      <c r="B63" s="15">
        <v>6</v>
      </c>
      <c r="C63" s="5">
        <v>0</v>
      </c>
    </row>
    <row r="64" spans="1:3" x14ac:dyDescent="0.35">
      <c r="A64" s="4" t="s">
        <v>505</v>
      </c>
      <c r="B64" s="15">
        <v>3</v>
      </c>
      <c r="C64" s="5">
        <v>0.33333333333333331</v>
      </c>
    </row>
    <row r="65" spans="1:3" x14ac:dyDescent="0.35">
      <c r="A65" s="4" t="s">
        <v>560</v>
      </c>
      <c r="B65" s="15">
        <v>7</v>
      </c>
      <c r="C65" s="5">
        <v>0.2857142857142857</v>
      </c>
    </row>
    <row r="66" spans="1:3" x14ac:dyDescent="0.35">
      <c r="A66" s="4" t="s">
        <v>535</v>
      </c>
      <c r="B66" s="15">
        <v>11</v>
      </c>
      <c r="C66" s="5">
        <v>9.0909090909090912E-2</v>
      </c>
    </row>
    <row r="67" spans="1:3" x14ac:dyDescent="0.35">
      <c r="A67" s="4" t="s">
        <v>670</v>
      </c>
      <c r="B67" s="15">
        <v>8</v>
      </c>
      <c r="C67" s="5">
        <v>0.875</v>
      </c>
    </row>
    <row r="68" spans="1:3" x14ac:dyDescent="0.35">
      <c r="A68" s="4" t="s">
        <v>231</v>
      </c>
      <c r="B68" s="15">
        <v>8</v>
      </c>
      <c r="C68" s="5">
        <v>0.875</v>
      </c>
    </row>
    <row r="69" spans="1:3" x14ac:dyDescent="0.35">
      <c r="A69" s="4" t="s">
        <v>333</v>
      </c>
      <c r="B69" s="15">
        <v>13</v>
      </c>
      <c r="C69" s="5">
        <v>0.84615384615384615</v>
      </c>
    </row>
    <row r="70" spans="1:3" x14ac:dyDescent="0.35">
      <c r="A70" s="4" t="s">
        <v>211</v>
      </c>
      <c r="B70" s="15">
        <v>13</v>
      </c>
      <c r="C70" s="5">
        <v>1</v>
      </c>
    </row>
    <row r="71" spans="1:3" x14ac:dyDescent="0.35">
      <c r="A71" s="4" t="s">
        <v>686</v>
      </c>
      <c r="B71" s="15">
        <v>11</v>
      </c>
      <c r="C71" s="5">
        <v>1</v>
      </c>
    </row>
    <row r="72" spans="1:3" x14ac:dyDescent="0.35">
      <c r="A72" s="4" t="s">
        <v>227</v>
      </c>
      <c r="B72" s="15">
        <v>12</v>
      </c>
      <c r="C72" s="5">
        <v>0.5</v>
      </c>
    </row>
    <row r="73" spans="1:3" x14ac:dyDescent="0.35">
      <c r="A73" s="4" t="s">
        <v>661</v>
      </c>
      <c r="B73" s="15">
        <v>6</v>
      </c>
      <c r="C73" s="5">
        <v>0.5</v>
      </c>
    </row>
    <row r="74" spans="1:3" x14ac:dyDescent="0.35">
      <c r="A74" s="4" t="s">
        <v>130</v>
      </c>
      <c r="B74" s="15">
        <v>9</v>
      </c>
      <c r="C74" s="5">
        <v>0.44444444444444442</v>
      </c>
    </row>
    <row r="75" spans="1:3" x14ac:dyDescent="0.35">
      <c r="A75" s="4" t="s">
        <v>518</v>
      </c>
      <c r="B75" s="15">
        <v>13</v>
      </c>
      <c r="C75" s="5">
        <v>0.92307692307692313</v>
      </c>
    </row>
    <row r="76" spans="1:3" x14ac:dyDescent="0.35">
      <c r="A76" s="4" t="s">
        <v>111</v>
      </c>
      <c r="B76" s="15">
        <v>8</v>
      </c>
      <c r="C76" s="5">
        <v>0.625</v>
      </c>
    </row>
    <row r="77" spans="1:3" x14ac:dyDescent="0.35">
      <c r="A77" s="4" t="s">
        <v>196</v>
      </c>
      <c r="B77" s="15">
        <v>1</v>
      </c>
      <c r="C77" s="5">
        <v>0</v>
      </c>
    </row>
    <row r="78" spans="1:3" x14ac:dyDescent="0.35">
      <c r="A78" s="4" t="s">
        <v>247</v>
      </c>
      <c r="B78" s="15">
        <v>13</v>
      </c>
      <c r="C78" s="5">
        <v>0.69230769230769229</v>
      </c>
    </row>
    <row r="79" spans="1:3" x14ac:dyDescent="0.35">
      <c r="A79" s="4" t="s">
        <v>665</v>
      </c>
      <c r="B79" s="15">
        <v>3</v>
      </c>
      <c r="C79" s="5">
        <v>0</v>
      </c>
    </row>
    <row r="80" spans="1:3" x14ac:dyDescent="0.35">
      <c r="A80" s="4" t="s">
        <v>168</v>
      </c>
      <c r="B80" s="15">
        <v>13</v>
      </c>
      <c r="C80" s="5">
        <v>1</v>
      </c>
    </row>
    <row r="81" spans="1:3" x14ac:dyDescent="0.35">
      <c r="A81" s="4" t="s">
        <v>202</v>
      </c>
      <c r="B81" s="15">
        <v>9</v>
      </c>
      <c r="C81" s="5">
        <v>0.88888888888888884</v>
      </c>
    </row>
    <row r="82" spans="1:3" x14ac:dyDescent="0.35">
      <c r="A82" s="4" t="s">
        <v>594</v>
      </c>
      <c r="B82" s="15">
        <v>13</v>
      </c>
      <c r="C82" s="5">
        <v>0.92307692307692313</v>
      </c>
    </row>
    <row r="83" spans="1:3" x14ac:dyDescent="0.35">
      <c r="A83" s="4" t="s">
        <v>148</v>
      </c>
      <c r="B83" s="15">
        <v>13</v>
      </c>
      <c r="C83" s="5">
        <v>1</v>
      </c>
    </row>
    <row r="84" spans="1:3" x14ac:dyDescent="0.35">
      <c r="A84" s="4" t="s">
        <v>501</v>
      </c>
      <c r="B84" s="15">
        <v>13</v>
      </c>
      <c r="C84" s="5">
        <v>1</v>
      </c>
    </row>
    <row r="85" spans="1:3" x14ac:dyDescent="0.35">
      <c r="A85" s="4" t="s">
        <v>151</v>
      </c>
      <c r="B85" s="15">
        <v>12</v>
      </c>
      <c r="C85" s="5">
        <v>0.66666666666666663</v>
      </c>
    </row>
    <row r="86" spans="1:3" x14ac:dyDescent="0.35">
      <c r="A86" s="4" t="s">
        <v>509</v>
      </c>
      <c r="B86" s="15">
        <v>3</v>
      </c>
      <c r="C86" s="5">
        <v>0.33333333333333331</v>
      </c>
    </row>
    <row r="87" spans="1:3" x14ac:dyDescent="0.35">
      <c r="A87" s="4" t="s">
        <v>78</v>
      </c>
      <c r="B87" s="15">
        <v>11</v>
      </c>
      <c r="C87" s="5">
        <v>0.63636363636363635</v>
      </c>
    </row>
    <row r="88" spans="1:3" x14ac:dyDescent="0.35">
      <c r="A88" s="4" t="s">
        <v>80</v>
      </c>
      <c r="B88" s="15">
        <v>9</v>
      </c>
      <c r="C88" s="5">
        <v>0.77777777777777779</v>
      </c>
    </row>
    <row r="89" spans="1:3" x14ac:dyDescent="0.35">
      <c r="A89" s="4" t="s">
        <v>300</v>
      </c>
      <c r="B89" s="15">
        <v>10</v>
      </c>
      <c r="C89" s="5">
        <v>0.4</v>
      </c>
    </row>
    <row r="90" spans="1:3" x14ac:dyDescent="0.35">
      <c r="A90" s="4" t="s">
        <v>626</v>
      </c>
      <c r="B90" s="15">
        <v>10</v>
      </c>
      <c r="C90" s="5">
        <v>0.7</v>
      </c>
    </row>
    <row r="91" spans="1:3" x14ac:dyDescent="0.35">
      <c r="A91" s="4" t="s">
        <v>527</v>
      </c>
      <c r="B91" s="15">
        <v>1</v>
      </c>
      <c r="C91" s="5">
        <v>0</v>
      </c>
    </row>
    <row r="92" spans="1:3" x14ac:dyDescent="0.35">
      <c r="A92" s="4" t="s">
        <v>343</v>
      </c>
      <c r="B92" s="15">
        <v>10</v>
      </c>
      <c r="C92" s="5">
        <v>1</v>
      </c>
    </row>
    <row r="93" spans="1:3" x14ac:dyDescent="0.35">
      <c r="A93" s="4" t="s">
        <v>672</v>
      </c>
      <c r="B93" s="15">
        <v>12</v>
      </c>
      <c r="C93" s="5">
        <v>0.66666666666666663</v>
      </c>
    </row>
    <row r="94" spans="1:3" x14ac:dyDescent="0.35">
      <c r="A94" s="4" t="s">
        <v>31</v>
      </c>
      <c r="B94" s="15">
        <v>10</v>
      </c>
      <c r="C94" s="5">
        <v>0.4</v>
      </c>
    </row>
    <row r="95" spans="1:3" x14ac:dyDescent="0.35">
      <c r="A95" s="4" t="s">
        <v>430</v>
      </c>
      <c r="B95" s="15">
        <v>8</v>
      </c>
      <c r="C95" s="5">
        <v>0.25</v>
      </c>
    </row>
    <row r="96" spans="1:3" x14ac:dyDescent="0.35">
      <c r="A96" s="4" t="s">
        <v>452</v>
      </c>
      <c r="B96" s="15">
        <v>5</v>
      </c>
      <c r="C96" s="5">
        <v>0.6</v>
      </c>
    </row>
    <row r="97" spans="1:3" x14ac:dyDescent="0.35">
      <c r="A97" s="4" t="s">
        <v>573</v>
      </c>
      <c r="B97" s="15">
        <v>13</v>
      </c>
      <c r="C97" s="5">
        <v>0.92307692307692313</v>
      </c>
    </row>
    <row r="98" spans="1:3" x14ac:dyDescent="0.35">
      <c r="A98" s="4" t="s">
        <v>613</v>
      </c>
      <c r="B98" s="15">
        <v>13</v>
      </c>
      <c r="C98" s="5">
        <v>1</v>
      </c>
    </row>
    <row r="99" spans="1:3" x14ac:dyDescent="0.35">
      <c r="A99" s="4" t="s">
        <v>586</v>
      </c>
      <c r="B99" s="15">
        <v>13</v>
      </c>
      <c r="C99" s="5">
        <v>1</v>
      </c>
    </row>
    <row r="100" spans="1:3" x14ac:dyDescent="0.35">
      <c r="A100" s="4" t="s">
        <v>44</v>
      </c>
      <c r="B100" s="15">
        <v>2</v>
      </c>
      <c r="C100" s="5">
        <v>1</v>
      </c>
    </row>
    <row r="101" spans="1:3" x14ac:dyDescent="0.35">
      <c r="A101" s="4" t="s">
        <v>475</v>
      </c>
      <c r="B101" s="15">
        <v>12</v>
      </c>
      <c r="C101" s="5">
        <v>0.91666666666666663</v>
      </c>
    </row>
    <row r="102" spans="1:3" x14ac:dyDescent="0.35">
      <c r="A102" s="4" t="s">
        <v>275</v>
      </c>
      <c r="B102" s="15">
        <v>13</v>
      </c>
      <c r="C102" s="5">
        <v>1</v>
      </c>
    </row>
    <row r="103" spans="1:3" x14ac:dyDescent="0.35">
      <c r="A103" s="4" t="s">
        <v>222</v>
      </c>
      <c r="B103" s="15">
        <v>7</v>
      </c>
      <c r="C103" s="5">
        <v>0.2857142857142857</v>
      </c>
    </row>
    <row r="104" spans="1:3" x14ac:dyDescent="0.35">
      <c r="A104" s="4" t="s">
        <v>229</v>
      </c>
      <c r="B104" s="15">
        <v>2</v>
      </c>
      <c r="C104" s="5">
        <v>0.5</v>
      </c>
    </row>
    <row r="105" spans="1:3" x14ac:dyDescent="0.35">
      <c r="A105" s="4" t="s">
        <v>550</v>
      </c>
      <c r="B105" s="15">
        <v>9</v>
      </c>
      <c r="C105" s="5">
        <v>0.88888888888888884</v>
      </c>
    </row>
    <row r="106" spans="1:3" x14ac:dyDescent="0.35">
      <c r="A106" s="4" t="s">
        <v>533</v>
      </c>
      <c r="B106" s="15">
        <v>7</v>
      </c>
      <c r="C106" s="5">
        <v>0.8571428571428571</v>
      </c>
    </row>
    <row r="107" spans="1:3" x14ac:dyDescent="0.35">
      <c r="A107" s="4" t="s">
        <v>140</v>
      </c>
      <c r="B107" s="15">
        <v>13</v>
      </c>
      <c r="C107" s="5">
        <v>1</v>
      </c>
    </row>
    <row r="108" spans="1:3" x14ac:dyDescent="0.35">
      <c r="A108" s="4" t="s">
        <v>268</v>
      </c>
      <c r="B108" s="15">
        <v>10</v>
      </c>
      <c r="C108" s="5">
        <v>0.7</v>
      </c>
    </row>
    <row r="109" spans="1:3" x14ac:dyDescent="0.35">
      <c r="A109" s="4" t="s">
        <v>180</v>
      </c>
      <c r="B109" s="15">
        <v>12</v>
      </c>
      <c r="C109" s="5">
        <v>0.91666666666666663</v>
      </c>
    </row>
    <row r="110" spans="1:3" x14ac:dyDescent="0.35">
      <c r="A110" s="4" t="s">
        <v>466</v>
      </c>
      <c r="B110" s="15">
        <v>10</v>
      </c>
      <c r="C110" s="5">
        <v>0.8</v>
      </c>
    </row>
    <row r="111" spans="1:3" x14ac:dyDescent="0.35">
      <c r="A111" s="4" t="s">
        <v>639</v>
      </c>
      <c r="B111" s="15">
        <v>12</v>
      </c>
      <c r="C111" s="5">
        <v>1</v>
      </c>
    </row>
    <row r="112" spans="1:3" x14ac:dyDescent="0.35">
      <c r="A112" s="4" t="s">
        <v>154</v>
      </c>
      <c r="B112" s="15">
        <v>3</v>
      </c>
      <c r="C112" s="5">
        <v>0</v>
      </c>
    </row>
    <row r="113" spans="1:3" x14ac:dyDescent="0.35">
      <c r="A113" s="4" t="s">
        <v>409</v>
      </c>
      <c r="B113" s="15">
        <v>12</v>
      </c>
      <c r="C113" s="5">
        <v>0.58333333333333337</v>
      </c>
    </row>
    <row r="114" spans="1:3" x14ac:dyDescent="0.35">
      <c r="A114" s="4" t="s">
        <v>309</v>
      </c>
      <c r="B114" s="15">
        <v>6</v>
      </c>
      <c r="C114" s="5">
        <v>0.66666666666666663</v>
      </c>
    </row>
    <row r="115" spans="1:3" x14ac:dyDescent="0.35">
      <c r="A115" s="4" t="s">
        <v>293</v>
      </c>
      <c r="B115" s="15">
        <v>13</v>
      </c>
      <c r="C115" s="5">
        <v>0.92307692307692313</v>
      </c>
    </row>
    <row r="116" spans="1:3" x14ac:dyDescent="0.35">
      <c r="A116" s="4" t="s">
        <v>323</v>
      </c>
      <c r="B116" s="15">
        <v>12</v>
      </c>
      <c r="C116" s="5">
        <v>0.16666666666666666</v>
      </c>
    </row>
    <row r="117" spans="1:3" x14ac:dyDescent="0.35">
      <c r="A117" s="4" t="s">
        <v>413</v>
      </c>
      <c r="B117" s="15">
        <v>4</v>
      </c>
      <c r="C117" s="5">
        <v>0.75</v>
      </c>
    </row>
    <row r="118" spans="1:3" x14ac:dyDescent="0.35">
      <c r="A118" s="4" t="s">
        <v>270</v>
      </c>
      <c r="B118" s="15">
        <v>1</v>
      </c>
      <c r="C118" s="5">
        <v>0</v>
      </c>
    </row>
    <row r="119" spans="1:3" x14ac:dyDescent="0.35">
      <c r="A119" s="4" t="s">
        <v>405</v>
      </c>
      <c r="B119" s="15">
        <v>13</v>
      </c>
      <c r="C119" s="5">
        <v>0.92307692307692313</v>
      </c>
    </row>
    <row r="120" spans="1:3" x14ac:dyDescent="0.35">
      <c r="A120" s="4" t="s">
        <v>56</v>
      </c>
      <c r="B120" s="15">
        <v>8</v>
      </c>
      <c r="C120" s="5">
        <v>0.375</v>
      </c>
    </row>
    <row r="121" spans="1:3" x14ac:dyDescent="0.35">
      <c r="A121" s="4" t="s">
        <v>95</v>
      </c>
      <c r="B121" s="15">
        <v>5</v>
      </c>
      <c r="C121" s="5">
        <v>0.8</v>
      </c>
    </row>
    <row r="122" spans="1:3" x14ac:dyDescent="0.35">
      <c r="A122" s="4" t="s">
        <v>109</v>
      </c>
      <c r="B122" s="15">
        <v>11</v>
      </c>
      <c r="C122" s="5">
        <v>0.27272727272727271</v>
      </c>
    </row>
    <row r="123" spans="1:3" x14ac:dyDescent="0.35">
      <c r="A123" s="4" t="s">
        <v>348</v>
      </c>
      <c r="B123" s="15">
        <v>1</v>
      </c>
      <c r="C123" s="5">
        <v>0</v>
      </c>
    </row>
    <row r="124" spans="1:3" x14ac:dyDescent="0.35">
      <c r="A124" s="4" t="s">
        <v>623</v>
      </c>
      <c r="B124" s="15">
        <v>7</v>
      </c>
      <c r="C124" s="5">
        <v>0.5714285714285714</v>
      </c>
    </row>
    <row r="125" spans="1:3" x14ac:dyDescent="0.35">
      <c r="A125" s="4" t="s">
        <v>630</v>
      </c>
      <c r="B125" s="15">
        <v>13</v>
      </c>
      <c r="C125" s="5">
        <v>0.92307692307692313</v>
      </c>
    </row>
    <row r="126" spans="1:3" x14ac:dyDescent="0.35">
      <c r="A126" s="4" t="s">
        <v>215</v>
      </c>
      <c r="B126" s="15">
        <v>7</v>
      </c>
      <c r="C126" s="5">
        <v>0.14285714285714285</v>
      </c>
    </row>
    <row r="127" spans="1:3" x14ac:dyDescent="0.35">
      <c r="A127" s="4" t="s">
        <v>567</v>
      </c>
      <c r="B127" s="15">
        <v>13</v>
      </c>
      <c r="C127" s="5">
        <v>0.76923076923076927</v>
      </c>
    </row>
    <row r="128" spans="1:3" x14ac:dyDescent="0.35">
      <c r="A128" s="4" t="s">
        <v>503</v>
      </c>
      <c r="B128" s="15">
        <v>9</v>
      </c>
      <c r="C128" s="5">
        <v>1</v>
      </c>
    </row>
    <row r="129" spans="1:3" x14ac:dyDescent="0.35">
      <c r="A129" s="4" t="s">
        <v>592</v>
      </c>
      <c r="B129" s="15">
        <v>13</v>
      </c>
      <c r="C129" s="5">
        <v>0.61538461538461542</v>
      </c>
    </row>
    <row r="130" spans="1:3" x14ac:dyDescent="0.35">
      <c r="A130" s="4" t="s">
        <v>325</v>
      </c>
      <c r="B130" s="15">
        <v>12</v>
      </c>
      <c r="C130" s="5">
        <v>1</v>
      </c>
    </row>
    <row r="131" spans="1:3" x14ac:dyDescent="0.35">
      <c r="A131" s="4" t="s">
        <v>353</v>
      </c>
      <c r="B131" s="15">
        <v>10</v>
      </c>
      <c r="C131" s="5">
        <v>0.9</v>
      </c>
    </row>
    <row r="132" spans="1:3" x14ac:dyDescent="0.35">
      <c r="A132" s="4" t="s">
        <v>596</v>
      </c>
      <c r="B132" s="15">
        <v>6</v>
      </c>
      <c r="C132" s="5">
        <v>0</v>
      </c>
    </row>
    <row r="133" spans="1:3" x14ac:dyDescent="0.35">
      <c r="A133" s="4" t="s">
        <v>136</v>
      </c>
      <c r="B133" s="15">
        <v>8</v>
      </c>
      <c r="C133" s="5">
        <v>1</v>
      </c>
    </row>
    <row r="134" spans="1:3" x14ac:dyDescent="0.35">
      <c r="A134" s="4" t="s">
        <v>611</v>
      </c>
      <c r="B134" s="15">
        <v>13</v>
      </c>
      <c r="C134" s="5">
        <v>0.76923076923076927</v>
      </c>
    </row>
    <row r="135" spans="1:3" x14ac:dyDescent="0.35">
      <c r="A135" s="4" t="s">
        <v>640</v>
      </c>
      <c r="B135" s="15">
        <v>13</v>
      </c>
      <c r="C135" s="5">
        <v>0.84615384615384615</v>
      </c>
    </row>
    <row r="136" spans="1:3" x14ac:dyDescent="0.35">
      <c r="A136" s="4" t="s">
        <v>516</v>
      </c>
      <c r="B136" s="15">
        <v>8</v>
      </c>
      <c r="C136" s="5">
        <v>1</v>
      </c>
    </row>
    <row r="137" spans="1:3" x14ac:dyDescent="0.35">
      <c r="A137" s="4" t="s">
        <v>115</v>
      </c>
      <c r="B137" s="15">
        <v>4</v>
      </c>
      <c r="C137" s="5">
        <v>0.75</v>
      </c>
    </row>
    <row r="138" spans="1:3" x14ac:dyDescent="0.35">
      <c r="A138" s="4" t="s">
        <v>142</v>
      </c>
      <c r="B138" s="15">
        <v>10</v>
      </c>
      <c r="C138" s="5">
        <v>1</v>
      </c>
    </row>
    <row r="139" spans="1:3" x14ac:dyDescent="0.35">
      <c r="A139" s="4" t="s">
        <v>238</v>
      </c>
      <c r="B139" s="15">
        <v>4</v>
      </c>
      <c r="C139" s="5">
        <v>0.5</v>
      </c>
    </row>
    <row r="140" spans="1:3" x14ac:dyDescent="0.35">
      <c r="A140" s="4" t="s">
        <v>602</v>
      </c>
      <c r="B140" s="15">
        <v>3</v>
      </c>
      <c r="C140" s="5">
        <v>0.33333333333333331</v>
      </c>
    </row>
    <row r="141" spans="1:3" x14ac:dyDescent="0.35">
      <c r="A141" s="4" t="s">
        <v>241</v>
      </c>
      <c r="B141" s="15">
        <v>12</v>
      </c>
      <c r="C141" s="5">
        <v>0.58333333333333337</v>
      </c>
    </row>
    <row r="142" spans="1:3" x14ac:dyDescent="0.35">
      <c r="A142" s="4" t="s">
        <v>606</v>
      </c>
      <c r="B142" s="15">
        <v>10</v>
      </c>
      <c r="C142" s="5">
        <v>0.7</v>
      </c>
    </row>
    <row r="143" spans="1:3" x14ac:dyDescent="0.35">
      <c r="A143" s="4" t="s">
        <v>59</v>
      </c>
      <c r="B143" s="15">
        <v>11</v>
      </c>
      <c r="C143" s="5">
        <v>0.72727272727272729</v>
      </c>
    </row>
    <row r="144" spans="1:3" x14ac:dyDescent="0.35">
      <c r="A144" s="4" t="s">
        <v>126</v>
      </c>
      <c r="B144" s="15">
        <v>1</v>
      </c>
      <c r="C144" s="5">
        <v>1</v>
      </c>
    </row>
    <row r="145" spans="1:3" x14ac:dyDescent="0.35">
      <c r="A145" s="4" t="s">
        <v>260</v>
      </c>
      <c r="B145" s="15">
        <v>1</v>
      </c>
      <c r="C145" s="5">
        <v>0</v>
      </c>
    </row>
    <row r="146" spans="1:3" x14ac:dyDescent="0.35">
      <c r="A146" s="4" t="s">
        <v>600</v>
      </c>
      <c r="B146" s="15">
        <v>11</v>
      </c>
      <c r="C146" s="5">
        <v>1</v>
      </c>
    </row>
    <row r="147" spans="1:3" x14ac:dyDescent="0.35">
      <c r="A147" s="4" t="s">
        <v>121</v>
      </c>
      <c r="B147" s="15">
        <v>7</v>
      </c>
      <c r="C147" s="5">
        <v>1</v>
      </c>
    </row>
    <row r="148" spans="1:3" x14ac:dyDescent="0.35">
      <c r="A148" s="4" t="s">
        <v>134</v>
      </c>
      <c r="B148" s="15">
        <v>13</v>
      </c>
      <c r="C148" s="5">
        <v>1</v>
      </c>
    </row>
    <row r="149" spans="1:3" x14ac:dyDescent="0.35">
      <c r="A149" s="4" t="s">
        <v>331</v>
      </c>
      <c r="B149" s="15">
        <v>10</v>
      </c>
      <c r="C149" s="5">
        <v>0.8</v>
      </c>
    </row>
    <row r="150" spans="1:3" x14ac:dyDescent="0.35">
      <c r="A150" s="4" t="s">
        <v>297</v>
      </c>
      <c r="B150" s="15">
        <v>1</v>
      </c>
      <c r="C150" s="5">
        <v>0</v>
      </c>
    </row>
    <row r="151" spans="1:3" x14ac:dyDescent="0.35">
      <c r="A151" s="4" t="s">
        <v>284</v>
      </c>
      <c r="B151" s="15">
        <v>12</v>
      </c>
      <c r="C151" s="5">
        <v>1</v>
      </c>
    </row>
    <row r="152" spans="1:3" x14ac:dyDescent="0.35">
      <c r="A152" s="4" t="s">
        <v>217</v>
      </c>
      <c r="B152" s="15">
        <v>3</v>
      </c>
      <c r="C152" s="5">
        <v>0.33333333333333331</v>
      </c>
    </row>
    <row r="153" spans="1:3" x14ac:dyDescent="0.35">
      <c r="A153" s="4" t="s">
        <v>219</v>
      </c>
      <c r="B153" s="15">
        <v>9</v>
      </c>
      <c r="C153" s="5">
        <v>0.44444444444444442</v>
      </c>
    </row>
    <row r="154" spans="1:3" x14ac:dyDescent="0.35">
      <c r="A154" s="4" t="s">
        <v>266</v>
      </c>
      <c r="B154" s="15">
        <v>2</v>
      </c>
      <c r="C154" s="5">
        <v>0.5</v>
      </c>
    </row>
    <row r="155" spans="1:3" x14ac:dyDescent="0.35">
      <c r="A155" s="4" t="s">
        <v>598</v>
      </c>
      <c r="B155" s="15">
        <v>13</v>
      </c>
      <c r="C155" s="5">
        <v>1</v>
      </c>
    </row>
    <row r="156" spans="1:3" x14ac:dyDescent="0.35">
      <c r="A156" s="4" t="s">
        <v>646</v>
      </c>
      <c r="B156" s="15">
        <v>10</v>
      </c>
      <c r="C156" s="5">
        <v>1</v>
      </c>
    </row>
    <row r="157" spans="1:3" x14ac:dyDescent="0.35">
      <c r="A157" s="4" t="s">
        <v>377</v>
      </c>
      <c r="B157" s="15">
        <v>13</v>
      </c>
      <c r="C157" s="5">
        <v>1</v>
      </c>
    </row>
    <row r="158" spans="1:3" x14ac:dyDescent="0.35">
      <c r="A158" s="4" t="s">
        <v>562</v>
      </c>
      <c r="B158" s="15">
        <v>2</v>
      </c>
      <c r="C158" s="5">
        <v>0</v>
      </c>
    </row>
    <row r="159" spans="1:3" x14ac:dyDescent="0.35">
      <c r="A159" s="4" t="s">
        <v>383</v>
      </c>
      <c r="B159" s="15">
        <v>11</v>
      </c>
      <c r="C159" s="5">
        <v>0.63636363636363635</v>
      </c>
    </row>
    <row r="160" spans="1:3" x14ac:dyDescent="0.35">
      <c r="A160" s="4" t="s">
        <v>204</v>
      </c>
      <c r="B160" s="15">
        <v>13</v>
      </c>
      <c r="C160" s="5">
        <v>1</v>
      </c>
    </row>
    <row r="161" spans="1:3" x14ac:dyDescent="0.35">
      <c r="A161" s="4" t="s">
        <v>676</v>
      </c>
      <c r="B161" s="15">
        <v>1</v>
      </c>
      <c r="C161" s="5">
        <v>0</v>
      </c>
    </row>
    <row r="162" spans="1:3" x14ac:dyDescent="0.35">
      <c r="A162" s="4" t="s">
        <v>389</v>
      </c>
      <c r="B162" s="15">
        <v>12</v>
      </c>
      <c r="C162" s="5">
        <v>1</v>
      </c>
    </row>
    <row r="163" spans="1:3" x14ac:dyDescent="0.35">
      <c r="A163" s="4" t="s">
        <v>403</v>
      </c>
      <c r="B163" s="15">
        <v>6</v>
      </c>
      <c r="C163" s="5">
        <v>1</v>
      </c>
    </row>
    <row r="164" spans="1:3" x14ac:dyDescent="0.35">
      <c r="A164" s="4" t="s">
        <v>513</v>
      </c>
      <c r="B164" s="15">
        <v>13</v>
      </c>
      <c r="C164" s="5">
        <v>0.61538461538461542</v>
      </c>
    </row>
    <row r="165" spans="1:3" x14ac:dyDescent="0.35">
      <c r="A165" s="4" t="s">
        <v>684</v>
      </c>
      <c r="B165" s="15">
        <v>12</v>
      </c>
      <c r="C165" s="5">
        <v>0.5</v>
      </c>
    </row>
    <row r="166" spans="1:3" x14ac:dyDescent="0.35">
      <c r="A166" s="4" t="s">
        <v>236</v>
      </c>
      <c r="B166" s="15">
        <v>10</v>
      </c>
      <c r="C166" s="5">
        <v>1</v>
      </c>
    </row>
    <row r="167" spans="1:3" x14ac:dyDescent="0.35">
      <c r="A167" s="4" t="s">
        <v>590</v>
      </c>
      <c r="B167" s="15">
        <v>13</v>
      </c>
      <c r="C167" s="5">
        <v>1</v>
      </c>
    </row>
    <row r="168" spans="1:3" x14ac:dyDescent="0.35">
      <c r="A168" s="4" t="s">
        <v>327</v>
      </c>
      <c r="B168" s="15">
        <v>3</v>
      </c>
      <c r="C168" s="5">
        <v>0.66666666666666663</v>
      </c>
    </row>
    <row r="169" spans="1:3" x14ac:dyDescent="0.35">
      <c r="A169" s="4" t="s">
        <v>258</v>
      </c>
      <c r="B169" s="15">
        <v>13</v>
      </c>
      <c r="C169" s="5">
        <v>0.92307692307692313</v>
      </c>
    </row>
    <row r="170" spans="1:3" x14ac:dyDescent="0.35">
      <c r="A170" s="4" t="s">
        <v>669</v>
      </c>
      <c r="B170" s="15">
        <v>10</v>
      </c>
      <c r="C170" s="5">
        <v>0.8</v>
      </c>
    </row>
    <row r="171" spans="1:3" x14ac:dyDescent="0.35">
      <c r="A171" s="4" t="s">
        <v>198</v>
      </c>
      <c r="B171" s="15">
        <v>13</v>
      </c>
      <c r="C171" s="5">
        <v>1</v>
      </c>
    </row>
    <row r="172" spans="1:3" x14ac:dyDescent="0.35">
      <c r="A172" s="4" t="s">
        <v>26</v>
      </c>
      <c r="B172" s="15">
        <v>13</v>
      </c>
      <c r="C172" s="5">
        <v>0.76923076923076927</v>
      </c>
    </row>
    <row r="173" spans="1:3" x14ac:dyDescent="0.35">
      <c r="A173" s="4" t="s">
        <v>295</v>
      </c>
      <c r="B173" s="15">
        <v>6</v>
      </c>
      <c r="C173" s="5">
        <v>0</v>
      </c>
    </row>
    <row r="174" spans="1:3" x14ac:dyDescent="0.35">
      <c r="A174" s="4" t="s">
        <v>525</v>
      </c>
      <c r="B174" s="15">
        <v>11</v>
      </c>
      <c r="C174" s="5">
        <v>0.81818181818181823</v>
      </c>
    </row>
    <row r="175" spans="1:3" x14ac:dyDescent="0.35">
      <c r="A175" s="4" t="s">
        <v>654</v>
      </c>
      <c r="B175" s="15">
        <v>5</v>
      </c>
      <c r="C175" s="5">
        <v>0.2</v>
      </c>
    </row>
    <row r="176" spans="1:3" x14ac:dyDescent="0.35">
      <c r="A176" s="4" t="s">
        <v>221</v>
      </c>
      <c r="B176" s="15">
        <v>1</v>
      </c>
      <c r="C176" s="5">
        <v>0</v>
      </c>
    </row>
    <row r="177" spans="1:3" x14ac:dyDescent="0.35">
      <c r="A177" s="4" t="s">
        <v>73</v>
      </c>
      <c r="B177" s="15">
        <v>13</v>
      </c>
      <c r="C177" s="5">
        <v>0.53846153846153844</v>
      </c>
    </row>
    <row r="178" spans="1:3" x14ac:dyDescent="0.35">
      <c r="A178" s="4" t="s">
        <v>554</v>
      </c>
      <c r="B178" s="15">
        <v>7</v>
      </c>
      <c r="C178" s="5">
        <v>0.14285714285714285</v>
      </c>
    </row>
    <row r="179" spans="1:3" x14ac:dyDescent="0.35">
      <c r="A179" s="4" t="s">
        <v>450</v>
      </c>
      <c r="B179" s="15">
        <v>12</v>
      </c>
      <c r="C179" s="5">
        <v>0.75</v>
      </c>
    </row>
    <row r="180" spans="1:3" x14ac:dyDescent="0.35">
      <c r="A180" s="4" t="s">
        <v>628</v>
      </c>
      <c r="B180" s="15">
        <v>12</v>
      </c>
      <c r="C180" s="5">
        <v>1</v>
      </c>
    </row>
    <row r="181" spans="1:3" x14ac:dyDescent="0.35">
      <c r="A181" s="4" t="s">
        <v>145</v>
      </c>
      <c r="B181" s="15">
        <v>7</v>
      </c>
      <c r="C181" s="5">
        <v>0.14285714285714285</v>
      </c>
    </row>
    <row r="182" spans="1:3" x14ac:dyDescent="0.35">
      <c r="A182" s="4" t="s">
        <v>631</v>
      </c>
      <c r="B182" s="15">
        <v>9</v>
      </c>
      <c r="C182" s="5">
        <v>0</v>
      </c>
    </row>
    <row r="183" spans="1:3" x14ac:dyDescent="0.35">
      <c r="A183" s="4" t="s">
        <v>423</v>
      </c>
      <c r="B183" s="15">
        <v>5</v>
      </c>
      <c r="C183" s="5">
        <v>0.2</v>
      </c>
    </row>
    <row r="184" spans="1:3" x14ac:dyDescent="0.35">
      <c r="A184" s="4" t="s">
        <v>89</v>
      </c>
      <c r="B184" s="15">
        <v>10</v>
      </c>
      <c r="C184" s="5">
        <v>0.9</v>
      </c>
    </row>
    <row r="185" spans="1:3" x14ac:dyDescent="0.35">
      <c r="A185" s="4" t="s">
        <v>245</v>
      </c>
      <c r="B185" s="15">
        <v>7</v>
      </c>
      <c r="C185" s="5">
        <v>0.8571428571428571</v>
      </c>
    </row>
    <row r="186" spans="1:3" x14ac:dyDescent="0.35">
      <c r="A186" s="4" t="s">
        <v>460</v>
      </c>
      <c r="B186" s="15">
        <v>13</v>
      </c>
      <c r="C186" s="5">
        <v>1</v>
      </c>
    </row>
    <row r="187" spans="1:3" x14ac:dyDescent="0.35">
      <c r="A187" s="4" t="s">
        <v>578</v>
      </c>
      <c r="B187" s="15">
        <v>6</v>
      </c>
      <c r="C187" s="5">
        <v>0.66666666666666663</v>
      </c>
    </row>
    <row r="188" spans="1:3" x14ac:dyDescent="0.35">
      <c r="A188" s="4" t="s">
        <v>493</v>
      </c>
      <c r="B188" s="15">
        <v>4</v>
      </c>
      <c r="C188" s="5">
        <v>0</v>
      </c>
    </row>
    <row r="189" spans="1:3" x14ac:dyDescent="0.35">
      <c r="A189" s="4" t="s">
        <v>552</v>
      </c>
      <c r="B189" s="15">
        <v>13</v>
      </c>
      <c r="C189" s="5">
        <v>0.92307692307692313</v>
      </c>
    </row>
    <row r="190" spans="1:3" x14ac:dyDescent="0.35">
      <c r="A190" s="4" t="s">
        <v>379</v>
      </c>
      <c r="B190" s="15">
        <v>10</v>
      </c>
      <c r="C190" s="5">
        <v>1</v>
      </c>
    </row>
    <row r="191" spans="1:3" x14ac:dyDescent="0.35">
      <c r="A191" s="4" t="s">
        <v>399</v>
      </c>
      <c r="B191" s="15">
        <v>13</v>
      </c>
      <c r="C191" s="5">
        <v>1</v>
      </c>
    </row>
    <row r="192" spans="1:3" x14ac:dyDescent="0.35">
      <c r="A192" s="4" t="s">
        <v>401</v>
      </c>
      <c r="B192" s="15">
        <v>11</v>
      </c>
      <c r="C192" s="5">
        <v>1</v>
      </c>
    </row>
    <row r="193" spans="1:3" x14ac:dyDescent="0.35">
      <c r="A193" s="4" t="s">
        <v>119</v>
      </c>
      <c r="B193" s="15">
        <v>10</v>
      </c>
      <c r="C193" s="5">
        <v>0.7</v>
      </c>
    </row>
    <row r="194" spans="1:3" x14ac:dyDescent="0.35">
      <c r="A194" s="4" t="s">
        <v>253</v>
      </c>
      <c r="B194" s="15">
        <v>5</v>
      </c>
      <c r="C194" s="5">
        <v>0.4</v>
      </c>
    </row>
    <row r="195" spans="1:3" x14ac:dyDescent="0.35">
      <c r="A195" s="4" t="s">
        <v>319</v>
      </c>
      <c r="B195" s="15">
        <v>10</v>
      </c>
      <c r="C195" s="5">
        <v>0.6</v>
      </c>
    </row>
    <row r="196" spans="1:3" x14ac:dyDescent="0.35">
      <c r="A196" s="4" t="s">
        <v>67</v>
      </c>
      <c r="B196" s="15">
        <v>6</v>
      </c>
      <c r="C196" s="5">
        <v>1</v>
      </c>
    </row>
    <row r="197" spans="1:3" x14ac:dyDescent="0.35">
      <c r="A197" s="4" t="s">
        <v>456</v>
      </c>
      <c r="B197" s="15">
        <v>11</v>
      </c>
      <c r="C197" s="5">
        <v>0.36363636363636365</v>
      </c>
    </row>
    <row r="198" spans="1:3" x14ac:dyDescent="0.35">
      <c r="A198" s="4" t="s">
        <v>192</v>
      </c>
      <c r="B198" s="15">
        <v>13</v>
      </c>
      <c r="C198" s="5">
        <v>0.92307692307692313</v>
      </c>
    </row>
    <row r="199" spans="1:3" x14ac:dyDescent="0.35">
      <c r="A199" s="4" t="s">
        <v>473</v>
      </c>
      <c r="B199" s="15">
        <v>4</v>
      </c>
      <c r="C199" s="5">
        <v>0.5</v>
      </c>
    </row>
    <row r="200" spans="1:3" x14ac:dyDescent="0.35">
      <c r="A200" s="4" t="s">
        <v>190</v>
      </c>
      <c r="B200" s="15">
        <v>13</v>
      </c>
      <c r="C200" s="5">
        <v>0.84615384615384615</v>
      </c>
    </row>
    <row r="201" spans="1:3" x14ac:dyDescent="0.35">
      <c r="A201" s="4" t="s">
        <v>289</v>
      </c>
      <c r="B201" s="15">
        <v>12</v>
      </c>
      <c r="C201" s="5">
        <v>0.16666666666666666</v>
      </c>
    </row>
    <row r="202" spans="1:3" x14ac:dyDescent="0.35">
      <c r="A202" s="4" t="s">
        <v>531</v>
      </c>
      <c r="B202" s="15">
        <v>13</v>
      </c>
      <c r="C202" s="5">
        <v>0.30769230769230771</v>
      </c>
    </row>
    <row r="203" spans="1:3" x14ac:dyDescent="0.35">
      <c r="A203" s="4" t="s">
        <v>280</v>
      </c>
      <c r="B203" s="15">
        <v>13</v>
      </c>
      <c r="C203" s="5">
        <v>0.69230769230769229</v>
      </c>
    </row>
    <row r="204" spans="1:3" x14ac:dyDescent="0.35">
      <c r="A204" s="4" t="s">
        <v>415</v>
      </c>
      <c r="B204" s="15">
        <v>1</v>
      </c>
      <c r="C204" s="5">
        <v>0</v>
      </c>
    </row>
    <row r="205" spans="1:3" x14ac:dyDescent="0.35">
      <c r="A205" s="4" t="s">
        <v>397</v>
      </c>
      <c r="B205" s="15">
        <v>12</v>
      </c>
      <c r="C205" s="5">
        <v>0.83333333333333337</v>
      </c>
    </row>
    <row r="206" spans="1:3" x14ac:dyDescent="0.35">
      <c r="A206" s="4" t="s">
        <v>674</v>
      </c>
      <c r="B206" s="15">
        <v>6</v>
      </c>
      <c r="C206" s="5">
        <v>0</v>
      </c>
    </row>
    <row r="207" spans="1:3" x14ac:dyDescent="0.35">
      <c r="A207" s="4" t="s">
        <v>479</v>
      </c>
      <c r="B207" s="15">
        <v>13</v>
      </c>
      <c r="C207" s="5">
        <v>0.76923076923076927</v>
      </c>
    </row>
    <row r="208" spans="1:3" x14ac:dyDescent="0.35">
      <c r="A208" s="4" t="s">
        <v>214</v>
      </c>
      <c r="B208" s="15">
        <v>8</v>
      </c>
      <c r="C208" s="5">
        <v>0</v>
      </c>
    </row>
    <row r="209" spans="1:3" x14ac:dyDescent="0.35">
      <c r="A209" s="4" t="s">
        <v>103</v>
      </c>
      <c r="B209" s="15">
        <v>6</v>
      </c>
      <c r="C209" s="5">
        <v>1</v>
      </c>
    </row>
    <row r="210" spans="1:3" x14ac:dyDescent="0.35">
      <c r="A210" s="4" t="s">
        <v>444</v>
      </c>
      <c r="B210" s="15">
        <v>11</v>
      </c>
      <c r="C210" s="5">
        <v>0.27272727272727271</v>
      </c>
    </row>
    <row r="211" spans="1:3" x14ac:dyDescent="0.35">
      <c r="A211" s="4" t="s">
        <v>304</v>
      </c>
      <c r="B211" s="15">
        <v>6</v>
      </c>
      <c r="C211" s="5">
        <v>0.5</v>
      </c>
    </row>
    <row r="212" spans="1:3" x14ac:dyDescent="0.35">
      <c r="A212" s="4" t="s">
        <v>432</v>
      </c>
      <c r="B212" s="15">
        <v>13</v>
      </c>
      <c r="C212" s="5">
        <v>0.84615384615384615</v>
      </c>
    </row>
    <row r="213" spans="1:3" x14ac:dyDescent="0.35">
      <c r="A213" s="4" t="s">
        <v>256</v>
      </c>
      <c r="B213" s="15">
        <v>9</v>
      </c>
      <c r="C213" s="5">
        <v>0.66666666666666663</v>
      </c>
    </row>
    <row r="214" spans="1:3" x14ac:dyDescent="0.35">
      <c r="A214" s="4" t="s">
        <v>542</v>
      </c>
      <c r="B214" s="15">
        <v>9</v>
      </c>
      <c r="C214" s="5">
        <v>0.33333333333333331</v>
      </c>
    </row>
    <row r="215" spans="1:3" x14ac:dyDescent="0.35">
      <c r="A215" s="4" t="s">
        <v>208</v>
      </c>
      <c r="B215" s="15">
        <v>2</v>
      </c>
      <c r="C215" s="5">
        <v>0</v>
      </c>
    </row>
    <row r="216" spans="1:3" x14ac:dyDescent="0.35">
      <c r="A216" s="4" t="s">
        <v>576</v>
      </c>
      <c r="B216" s="15">
        <v>12</v>
      </c>
      <c r="C216" s="5">
        <v>0.58333333333333337</v>
      </c>
    </row>
    <row r="217" spans="1:3" x14ac:dyDescent="0.35">
      <c r="A217" s="4" t="s">
        <v>35</v>
      </c>
      <c r="B217" s="15">
        <v>10</v>
      </c>
      <c r="C217" s="5">
        <v>0.4</v>
      </c>
    </row>
    <row r="218" spans="1:3" x14ac:dyDescent="0.35">
      <c r="A218" s="4" t="s">
        <v>213</v>
      </c>
      <c r="B218" s="15">
        <v>10</v>
      </c>
      <c r="C218" s="5">
        <v>0.3</v>
      </c>
    </row>
    <row r="219" spans="1:3" x14ac:dyDescent="0.35">
      <c r="A219" s="4" t="s">
        <v>421</v>
      </c>
      <c r="B219" s="15">
        <v>13</v>
      </c>
      <c r="C219" s="5">
        <v>0.84615384615384615</v>
      </c>
    </row>
    <row r="220" spans="1:3" x14ac:dyDescent="0.35">
      <c r="A220" s="4" t="s">
        <v>395</v>
      </c>
      <c r="B220" s="15">
        <v>4</v>
      </c>
      <c r="C220" s="5">
        <v>0</v>
      </c>
    </row>
    <row r="221" spans="1:3" x14ac:dyDescent="0.35">
      <c r="A221" s="4" t="s">
        <v>657</v>
      </c>
      <c r="B221" s="15">
        <v>13</v>
      </c>
      <c r="C221" s="5">
        <v>1</v>
      </c>
    </row>
    <row r="222" spans="1:3" x14ac:dyDescent="0.35">
      <c r="A222" s="4" t="s">
        <v>97</v>
      </c>
      <c r="B222" s="15">
        <v>11</v>
      </c>
      <c r="C222" s="5">
        <v>0.90909090909090906</v>
      </c>
    </row>
    <row r="223" spans="1:3" x14ac:dyDescent="0.35">
      <c r="A223" s="4" t="s">
        <v>187</v>
      </c>
      <c r="B223" s="15">
        <v>1</v>
      </c>
      <c r="C223" s="5">
        <v>0</v>
      </c>
    </row>
    <row r="224" spans="1:3" x14ac:dyDescent="0.35">
      <c r="A224" s="4" t="s">
        <v>123</v>
      </c>
      <c r="B224" s="15">
        <v>3</v>
      </c>
      <c r="C224" s="5">
        <v>0.66666666666666663</v>
      </c>
    </row>
    <row r="225" spans="1:3" x14ac:dyDescent="0.35">
      <c r="A225" s="4" t="s">
        <v>556</v>
      </c>
      <c r="B225" s="15">
        <v>11</v>
      </c>
      <c r="C225" s="5">
        <v>0.45454545454545453</v>
      </c>
    </row>
    <row r="226" spans="1:3" x14ac:dyDescent="0.35">
      <c r="A226" s="4" t="s">
        <v>87</v>
      </c>
      <c r="B226" s="15">
        <v>12</v>
      </c>
      <c r="C226" s="5">
        <v>0.25</v>
      </c>
    </row>
    <row r="227" spans="1:3" x14ac:dyDescent="0.35">
      <c r="A227" s="4" t="s">
        <v>617</v>
      </c>
      <c r="B227" s="15">
        <v>6</v>
      </c>
      <c r="C227" s="5">
        <v>0.33333333333333331</v>
      </c>
    </row>
    <row r="228" spans="1:3" x14ac:dyDescent="0.35">
      <c r="A228" s="4" t="s">
        <v>128</v>
      </c>
      <c r="B228" s="15">
        <v>13</v>
      </c>
      <c r="C228" s="5">
        <v>0.53846153846153844</v>
      </c>
    </row>
    <row r="229" spans="1:3" x14ac:dyDescent="0.35">
      <c r="A229" s="4" t="s">
        <v>350</v>
      </c>
      <c r="B229" s="15">
        <v>10</v>
      </c>
      <c r="C229" s="5">
        <v>0</v>
      </c>
    </row>
    <row r="230" spans="1:3" x14ac:dyDescent="0.35">
      <c r="A230" s="4" t="s">
        <v>48</v>
      </c>
      <c r="B230" s="15">
        <v>10</v>
      </c>
      <c r="C230" s="5">
        <v>0.1</v>
      </c>
    </row>
    <row r="231" spans="1:3" x14ac:dyDescent="0.35">
      <c r="A231" s="4" t="s">
        <v>178</v>
      </c>
      <c r="B231" s="15">
        <v>8</v>
      </c>
      <c r="C231" s="5">
        <v>0.875</v>
      </c>
    </row>
    <row r="232" spans="1:3" x14ac:dyDescent="0.35">
      <c r="A232" s="4" t="s">
        <v>163</v>
      </c>
      <c r="B232" s="15">
        <v>7</v>
      </c>
      <c r="C232" s="5">
        <v>0.14285714285714285</v>
      </c>
    </row>
    <row r="233" spans="1:3" x14ac:dyDescent="0.35">
      <c r="A233" s="4" t="s">
        <v>633</v>
      </c>
      <c r="B233" s="15">
        <v>10</v>
      </c>
      <c r="C233" s="5">
        <v>0.9</v>
      </c>
    </row>
    <row r="234" spans="1:3" x14ac:dyDescent="0.35">
      <c r="A234" s="4" t="s">
        <v>477</v>
      </c>
      <c r="B234" s="15">
        <v>12</v>
      </c>
      <c r="C234" s="5">
        <v>0.25</v>
      </c>
    </row>
    <row r="235" spans="1:3" x14ac:dyDescent="0.35">
      <c r="A235" s="4" t="s">
        <v>264</v>
      </c>
      <c r="B235" s="15">
        <v>9</v>
      </c>
      <c r="C235" s="5">
        <v>0.88888888888888884</v>
      </c>
    </row>
    <row r="236" spans="1:3" x14ac:dyDescent="0.35">
      <c r="A236" s="4" t="s">
        <v>345</v>
      </c>
      <c r="B236" s="15">
        <v>1</v>
      </c>
      <c r="C236" s="5">
        <v>0</v>
      </c>
    </row>
    <row r="237" spans="1:3" x14ac:dyDescent="0.35">
      <c r="A237" s="4" t="s">
        <v>272</v>
      </c>
      <c r="B237" s="15">
        <v>7</v>
      </c>
      <c r="C237" s="5">
        <v>0.14285714285714285</v>
      </c>
    </row>
    <row r="238" spans="1:3" x14ac:dyDescent="0.35">
      <c r="A238" s="4" t="s">
        <v>462</v>
      </c>
      <c r="B238" s="15">
        <v>13</v>
      </c>
      <c r="C238" s="5">
        <v>1</v>
      </c>
    </row>
    <row r="239" spans="1:3" x14ac:dyDescent="0.35">
      <c r="A239" s="4" t="s">
        <v>372</v>
      </c>
      <c r="B239" s="15">
        <v>3</v>
      </c>
      <c r="C239" s="5">
        <v>0.66666666666666663</v>
      </c>
    </row>
    <row r="240" spans="1:3" x14ac:dyDescent="0.35">
      <c r="A240" s="4" t="s">
        <v>339</v>
      </c>
      <c r="B240" s="15">
        <v>10</v>
      </c>
      <c r="C240" s="5">
        <v>0.9</v>
      </c>
    </row>
    <row r="241" spans="1:3" x14ac:dyDescent="0.35">
      <c r="A241" s="4" t="s">
        <v>426</v>
      </c>
      <c r="B241" s="15">
        <v>13</v>
      </c>
      <c r="C241" s="5">
        <v>0.84615384615384615</v>
      </c>
    </row>
    <row r="242" spans="1:3" x14ac:dyDescent="0.35">
      <c r="A242" s="4" t="s">
        <v>468</v>
      </c>
      <c r="B242" s="15">
        <v>8</v>
      </c>
      <c r="C242" s="5">
        <v>0.5</v>
      </c>
    </row>
    <row r="243" spans="1:3" x14ac:dyDescent="0.35">
      <c r="A243" s="4" t="s">
        <v>537</v>
      </c>
      <c r="B243" s="15">
        <v>9</v>
      </c>
      <c r="C243" s="5">
        <v>0.33333333333333331</v>
      </c>
    </row>
    <row r="244" spans="1:3" x14ac:dyDescent="0.35">
      <c r="A244" s="4" t="s">
        <v>544</v>
      </c>
      <c r="B244" s="15">
        <v>10</v>
      </c>
      <c r="C244" s="5">
        <v>0.9</v>
      </c>
    </row>
    <row r="245" spans="1:3" x14ac:dyDescent="0.35">
      <c r="A245" s="4" t="s">
        <v>307</v>
      </c>
      <c r="B245" s="15">
        <v>10</v>
      </c>
      <c r="C245" s="5">
        <v>0.7</v>
      </c>
    </row>
    <row r="246" spans="1:3" x14ac:dyDescent="0.35">
      <c r="A246" s="4" t="s">
        <v>484</v>
      </c>
      <c r="B246" s="15">
        <v>13</v>
      </c>
      <c r="C246" s="5">
        <v>0.84615384615384615</v>
      </c>
    </row>
    <row r="247" spans="1:3" x14ac:dyDescent="0.35">
      <c r="A247" s="4" t="s">
        <v>652</v>
      </c>
      <c r="B247" s="15">
        <v>3</v>
      </c>
      <c r="C247" s="5">
        <v>0</v>
      </c>
    </row>
    <row r="248" spans="1:3" x14ac:dyDescent="0.35">
      <c r="A248" s="4" t="s">
        <v>464</v>
      </c>
      <c r="B248" s="15">
        <v>4</v>
      </c>
      <c r="C248" s="5">
        <v>0.5</v>
      </c>
    </row>
    <row r="249" spans="1:3" x14ac:dyDescent="0.35">
      <c r="A249" s="4" t="s">
        <v>496</v>
      </c>
      <c r="B249" s="15">
        <v>13</v>
      </c>
      <c r="C249" s="5">
        <v>0.84615384615384615</v>
      </c>
    </row>
    <row r="250" spans="1:3" x14ac:dyDescent="0.35">
      <c r="A250" s="4" t="s">
        <v>391</v>
      </c>
      <c r="B250" s="15">
        <v>10</v>
      </c>
      <c r="C250" s="5">
        <v>0.4</v>
      </c>
    </row>
    <row r="251" spans="1:3" x14ac:dyDescent="0.35">
      <c r="A251" s="4" t="s">
        <v>317</v>
      </c>
      <c r="B251" s="15">
        <v>11</v>
      </c>
      <c r="C251" s="5">
        <v>0.54545454545454541</v>
      </c>
    </row>
    <row r="252" spans="1:3" x14ac:dyDescent="0.35">
      <c r="A252" s="4" t="s">
        <v>482</v>
      </c>
      <c r="B252" s="15">
        <v>13</v>
      </c>
      <c r="C252" s="5">
        <v>1</v>
      </c>
    </row>
    <row r="253" spans="1:3" x14ac:dyDescent="0.35">
      <c r="A253" s="4" t="s">
        <v>440</v>
      </c>
      <c r="B253" s="15">
        <v>13</v>
      </c>
      <c r="C253" s="5">
        <v>1</v>
      </c>
    </row>
    <row r="254" spans="1:3" x14ac:dyDescent="0.35">
      <c r="A254" s="4" t="s">
        <v>644</v>
      </c>
      <c r="B254" s="15">
        <v>12</v>
      </c>
      <c r="C254" s="5">
        <v>0.16666666666666666</v>
      </c>
    </row>
    <row r="255" spans="1:3" x14ac:dyDescent="0.35">
      <c r="A255" s="4" t="s">
        <v>161</v>
      </c>
      <c r="B255" s="15">
        <v>11</v>
      </c>
      <c r="C255" s="5">
        <v>9.0909090909090912E-2</v>
      </c>
    </row>
    <row r="256" spans="1:3" x14ac:dyDescent="0.35">
      <c r="A256" s="4" t="s">
        <v>448</v>
      </c>
      <c r="B256" s="15">
        <v>4</v>
      </c>
      <c r="C256" s="5">
        <v>0</v>
      </c>
    </row>
    <row r="257" spans="1:3" x14ac:dyDescent="0.35">
      <c r="A257" s="4" t="s">
        <v>375</v>
      </c>
      <c r="B257" s="15">
        <v>13</v>
      </c>
      <c r="C257" s="5">
        <v>0.84615384615384615</v>
      </c>
    </row>
    <row r="258" spans="1:3" x14ac:dyDescent="0.35">
      <c r="A258" s="4" t="s">
        <v>313</v>
      </c>
      <c r="B258" s="15">
        <v>12</v>
      </c>
      <c r="C258" s="5">
        <v>0.41666666666666669</v>
      </c>
    </row>
    <row r="259" spans="1:3" x14ac:dyDescent="0.35">
      <c r="A259" s="4" t="s">
        <v>546</v>
      </c>
      <c r="B259" s="15">
        <v>2</v>
      </c>
      <c r="C259" s="5">
        <v>1</v>
      </c>
    </row>
    <row r="260" spans="1:3" x14ac:dyDescent="0.35">
      <c r="A260" s="4" t="s">
        <v>75</v>
      </c>
      <c r="B260" s="15">
        <v>2</v>
      </c>
      <c r="C260" s="5">
        <v>0</v>
      </c>
    </row>
    <row r="261" spans="1:3" x14ac:dyDescent="0.35">
      <c r="A261" s="4" t="s">
        <v>569</v>
      </c>
      <c r="B261" s="15">
        <v>10</v>
      </c>
      <c r="C261" s="5">
        <v>0.4</v>
      </c>
    </row>
    <row r="262" spans="1:3" x14ac:dyDescent="0.35">
      <c r="A262" s="4" t="s">
        <v>105</v>
      </c>
      <c r="B262" s="15">
        <v>13</v>
      </c>
      <c r="C262" s="5">
        <v>0.92307692307692313</v>
      </c>
    </row>
    <row r="263" spans="1:3" x14ac:dyDescent="0.35">
      <c r="A263" s="4" t="s">
        <v>650</v>
      </c>
      <c r="B263" s="15">
        <v>12</v>
      </c>
      <c r="C263" s="5">
        <v>0.83333333333333337</v>
      </c>
    </row>
    <row r="264" spans="1:3" x14ac:dyDescent="0.35">
      <c r="A264" s="4" t="s">
        <v>558</v>
      </c>
      <c r="B264" s="15">
        <v>13</v>
      </c>
      <c r="C264" s="5">
        <v>0.92307692307692313</v>
      </c>
    </row>
    <row r="265" spans="1:3" x14ac:dyDescent="0.35">
      <c r="A265" s="4" t="s">
        <v>335</v>
      </c>
      <c r="B265" s="15">
        <v>13</v>
      </c>
      <c r="C265" s="5">
        <v>0.84615384615384615</v>
      </c>
    </row>
    <row r="266" spans="1:3" x14ac:dyDescent="0.35">
      <c r="A266" s="4" t="s">
        <v>642</v>
      </c>
      <c r="B266" s="15">
        <v>13</v>
      </c>
      <c r="C266" s="5">
        <v>1</v>
      </c>
    </row>
    <row r="267" spans="1:3" x14ac:dyDescent="0.35">
      <c r="A267" s="4" t="s">
        <v>381</v>
      </c>
      <c r="B267" s="15">
        <v>3</v>
      </c>
      <c r="C267" s="5">
        <v>0.33333333333333331</v>
      </c>
    </row>
    <row r="268" spans="1:3" x14ac:dyDescent="0.35">
      <c r="A268" s="4" t="s">
        <v>365</v>
      </c>
      <c r="B268" s="15">
        <v>9</v>
      </c>
      <c r="C268" s="5">
        <v>0.55555555555555558</v>
      </c>
    </row>
    <row r="269" spans="1:3" x14ac:dyDescent="0.35">
      <c r="A269" s="4" t="s">
        <v>138</v>
      </c>
      <c r="B269" s="15">
        <v>1</v>
      </c>
      <c r="C269" s="5">
        <v>0</v>
      </c>
    </row>
    <row r="270" spans="1:3" x14ac:dyDescent="0.35">
      <c r="A270" s="4" t="s">
        <v>262</v>
      </c>
      <c r="B270" s="15">
        <v>13</v>
      </c>
      <c r="C270" s="5">
        <v>0.84615384615384615</v>
      </c>
    </row>
    <row r="271" spans="1:3" x14ac:dyDescent="0.35">
      <c r="A271" s="4" t="s">
        <v>678</v>
      </c>
      <c r="B271" s="15">
        <v>13</v>
      </c>
      <c r="C271" s="5">
        <v>1</v>
      </c>
    </row>
    <row r="272" spans="1:3" x14ac:dyDescent="0.35">
      <c r="A272" s="4" t="s">
        <v>454</v>
      </c>
      <c r="B272" s="15">
        <v>4</v>
      </c>
      <c r="C272" s="5">
        <v>0.75</v>
      </c>
    </row>
    <row r="273" spans="1:3" x14ac:dyDescent="0.35">
      <c r="A273" s="4" t="s">
        <v>166</v>
      </c>
      <c r="B273" s="15">
        <v>12</v>
      </c>
      <c r="C273" s="5">
        <v>1</v>
      </c>
    </row>
    <row r="274" spans="1:3" x14ac:dyDescent="0.35">
      <c r="A274" s="4" t="s">
        <v>311</v>
      </c>
      <c r="B274" s="15">
        <v>10</v>
      </c>
      <c r="C274" s="5">
        <v>1</v>
      </c>
    </row>
    <row r="275" spans="1:3" x14ac:dyDescent="0.35">
      <c r="A275" s="4" t="s">
        <v>458</v>
      </c>
      <c r="B275" s="15">
        <v>13</v>
      </c>
      <c r="C275" s="5">
        <v>0.69230769230769229</v>
      </c>
    </row>
    <row r="276" spans="1:3" x14ac:dyDescent="0.35">
      <c r="A276" s="4" t="s">
        <v>621</v>
      </c>
      <c r="B276" s="15">
        <v>13</v>
      </c>
      <c r="C276" s="5">
        <v>0.92307692307692313</v>
      </c>
    </row>
    <row r="277" spans="1:3" x14ac:dyDescent="0.35">
      <c r="A277" s="4" t="s">
        <v>411</v>
      </c>
      <c r="B277" s="15">
        <v>1</v>
      </c>
      <c r="C277" s="5">
        <v>1</v>
      </c>
    </row>
    <row r="278" spans="1:3" x14ac:dyDescent="0.35">
      <c r="A278" s="4" t="s">
        <v>278</v>
      </c>
      <c r="B278" s="15">
        <v>13</v>
      </c>
      <c r="C278" s="5">
        <v>1</v>
      </c>
    </row>
    <row r="279" spans="1:3" x14ac:dyDescent="0.35">
      <c r="A279" s="4" t="s">
        <v>539</v>
      </c>
      <c r="B279" s="15">
        <v>6</v>
      </c>
      <c r="C279" s="5">
        <v>0.16666666666666666</v>
      </c>
    </row>
    <row r="280" spans="1:3" x14ac:dyDescent="0.35">
      <c r="A280" s="4" t="s">
        <v>584</v>
      </c>
      <c r="B280" s="15">
        <v>13</v>
      </c>
      <c r="C280" s="5">
        <v>0.84615384615384615</v>
      </c>
    </row>
    <row r="281" spans="1:3" x14ac:dyDescent="0.35">
      <c r="A281" s="4" t="s">
        <v>667</v>
      </c>
      <c r="B281" s="15">
        <v>13</v>
      </c>
      <c r="C281" s="5">
        <v>0.46153846153846156</v>
      </c>
    </row>
    <row r="282" spans="1:3" x14ac:dyDescent="0.35">
      <c r="A282" s="4" t="s">
        <v>206</v>
      </c>
      <c r="B282" s="15">
        <v>11</v>
      </c>
      <c r="C282" s="5">
        <v>0.90909090909090906</v>
      </c>
    </row>
    <row r="283" spans="1:3" x14ac:dyDescent="0.35">
      <c r="A283" s="4" t="s">
        <v>359</v>
      </c>
      <c r="B283" s="15">
        <v>8</v>
      </c>
      <c r="C283" s="5">
        <v>1</v>
      </c>
    </row>
    <row r="284" spans="1:3" x14ac:dyDescent="0.35">
      <c r="A284" s="4" t="s">
        <v>438</v>
      </c>
      <c r="B284" s="15">
        <v>13</v>
      </c>
      <c r="C284" s="5">
        <v>1</v>
      </c>
    </row>
    <row r="285" spans="1:3" x14ac:dyDescent="0.35">
      <c r="A285" s="4" t="s">
        <v>321</v>
      </c>
      <c r="B285" s="15">
        <v>12</v>
      </c>
      <c r="C285" s="5">
        <v>0.41666666666666669</v>
      </c>
    </row>
    <row r="286" spans="1:3" x14ac:dyDescent="0.35">
      <c r="A286" s="4" t="s">
        <v>282</v>
      </c>
      <c r="B286" s="15">
        <v>11</v>
      </c>
      <c r="C286" s="5">
        <v>0.63636363636363635</v>
      </c>
    </row>
    <row r="287" spans="1:3" x14ac:dyDescent="0.35">
      <c r="A287" s="4" t="s">
        <v>368</v>
      </c>
      <c r="B287" s="15">
        <v>13</v>
      </c>
      <c r="C287" s="5">
        <v>0.46153846153846156</v>
      </c>
    </row>
    <row r="288" spans="1:3" x14ac:dyDescent="0.35">
      <c r="A288" s="4" t="s">
        <v>337</v>
      </c>
      <c r="B288" s="15">
        <v>1</v>
      </c>
      <c r="C288" s="5">
        <v>0</v>
      </c>
    </row>
    <row r="289" spans="1:3" x14ac:dyDescent="0.35">
      <c r="A289" s="4" t="s">
        <v>176</v>
      </c>
      <c r="B289" s="15">
        <v>5</v>
      </c>
      <c r="C289" s="5">
        <v>0</v>
      </c>
    </row>
    <row r="290" spans="1:3" x14ac:dyDescent="0.35">
      <c r="A290" s="4" t="s">
        <v>434</v>
      </c>
      <c r="B290" s="15">
        <v>3</v>
      </c>
      <c r="C290" s="5">
        <v>0</v>
      </c>
    </row>
    <row r="291" spans="1:3" x14ac:dyDescent="0.35">
      <c r="A291" s="4" t="s">
        <v>315</v>
      </c>
      <c r="B291" s="15">
        <v>3</v>
      </c>
      <c r="C291" s="5">
        <v>0</v>
      </c>
    </row>
    <row r="292" spans="1:3" x14ac:dyDescent="0.35">
      <c r="A292" s="4" t="s">
        <v>582</v>
      </c>
      <c r="B292" s="15">
        <v>5</v>
      </c>
      <c r="C292" s="5">
        <v>0.6</v>
      </c>
    </row>
    <row r="293" spans="1:3" x14ac:dyDescent="0.35">
      <c r="A293" s="4" t="s">
        <v>498</v>
      </c>
      <c r="B293" s="15">
        <v>2</v>
      </c>
      <c r="C293" s="5">
        <v>0</v>
      </c>
    </row>
    <row r="294" spans="1:3" x14ac:dyDescent="0.35">
      <c r="A294" s="4" t="s">
        <v>682</v>
      </c>
      <c r="B294" s="15">
        <v>8</v>
      </c>
      <c r="C294" s="5">
        <v>0.5</v>
      </c>
    </row>
    <row r="295" spans="1:3" x14ac:dyDescent="0.35">
      <c r="A295" s="4" t="s">
        <v>352</v>
      </c>
      <c r="B295" s="15">
        <v>1</v>
      </c>
      <c r="C295" s="5">
        <v>0</v>
      </c>
    </row>
    <row r="296" spans="1:3" x14ac:dyDescent="0.35">
      <c r="A296" s="4" t="s">
        <v>624</v>
      </c>
      <c r="B296" s="15">
        <v>7</v>
      </c>
      <c r="C296" s="5">
        <v>1</v>
      </c>
    </row>
    <row r="297" spans="1:3" x14ac:dyDescent="0.35">
      <c r="A297" s="4" t="s">
        <v>446</v>
      </c>
      <c r="B297" s="15">
        <v>13</v>
      </c>
      <c r="C297" s="5">
        <v>0.92307692307692313</v>
      </c>
    </row>
    <row r="298" spans="1:3" x14ac:dyDescent="0.35">
      <c r="A298" s="4" t="s">
        <v>648</v>
      </c>
      <c r="B298" s="15">
        <v>11</v>
      </c>
      <c r="C298" s="5">
        <v>0.63636363636363635</v>
      </c>
    </row>
    <row r="299" spans="1:3" x14ac:dyDescent="0.35">
      <c r="A299" s="4" t="s">
        <v>243</v>
      </c>
      <c r="B299" s="15">
        <v>12</v>
      </c>
      <c r="C299" s="5">
        <v>1</v>
      </c>
    </row>
    <row r="300" spans="1:3" x14ac:dyDescent="0.35">
      <c r="A300" s="4" t="s">
        <v>329</v>
      </c>
      <c r="B300" s="15">
        <v>13</v>
      </c>
      <c r="C300" s="5">
        <v>1</v>
      </c>
    </row>
    <row r="301" spans="1:3" x14ac:dyDescent="0.35">
      <c r="A301" s="4" t="s">
        <v>417</v>
      </c>
      <c r="B301" s="15">
        <v>13</v>
      </c>
      <c r="C301" s="5">
        <v>1</v>
      </c>
    </row>
    <row r="302" spans="1:3" x14ac:dyDescent="0.35">
      <c r="A302" s="4" t="s">
        <v>158</v>
      </c>
      <c r="B302" s="15">
        <v>13</v>
      </c>
      <c r="C302" s="5">
        <v>0.92307692307692313</v>
      </c>
    </row>
    <row r="303" spans="1:3" x14ac:dyDescent="0.35">
      <c r="A303" s="4" t="s">
        <v>124</v>
      </c>
      <c r="B303" s="15">
        <v>7</v>
      </c>
      <c r="C303" s="5">
        <v>0.2857142857142857</v>
      </c>
    </row>
    <row r="304" spans="1:3" x14ac:dyDescent="0.35">
      <c r="A304" s="4" t="s">
        <v>200</v>
      </c>
      <c r="B304" s="15">
        <v>3</v>
      </c>
      <c r="C304" s="5">
        <v>1</v>
      </c>
    </row>
    <row r="305" spans="1:3" x14ac:dyDescent="0.35">
      <c r="A305" s="4" t="s">
        <v>64</v>
      </c>
      <c r="B305" s="15">
        <v>12</v>
      </c>
      <c r="C305" s="5">
        <v>0.83333333333333337</v>
      </c>
    </row>
    <row r="306" spans="1:3" x14ac:dyDescent="0.35">
      <c r="A306" s="4" t="s">
        <v>566</v>
      </c>
      <c r="B306" s="15">
        <v>4</v>
      </c>
      <c r="C306" s="5">
        <v>0.25</v>
      </c>
    </row>
    <row r="307" spans="1:3" x14ac:dyDescent="0.35">
      <c r="A307" s="4" t="s">
        <v>407</v>
      </c>
      <c r="B307" s="15">
        <v>8</v>
      </c>
      <c r="C307" s="5">
        <v>0.5</v>
      </c>
    </row>
    <row r="308" spans="1:3" x14ac:dyDescent="0.35">
      <c r="A308" s="4" t="s">
        <v>355</v>
      </c>
      <c r="B308" s="15">
        <v>5</v>
      </c>
      <c r="C308" s="5">
        <v>0</v>
      </c>
    </row>
    <row r="309" spans="1:3" x14ac:dyDescent="0.35">
      <c r="A309" s="4" t="s">
        <v>209</v>
      </c>
      <c r="B309" s="15">
        <v>13</v>
      </c>
      <c r="C309" s="5">
        <v>0.84615384615384615</v>
      </c>
    </row>
    <row r="310" spans="1:3" x14ac:dyDescent="0.35">
      <c r="A310" s="4" t="s">
        <v>659</v>
      </c>
      <c r="B310" s="15">
        <v>4</v>
      </c>
      <c r="C310" s="5">
        <v>0</v>
      </c>
    </row>
    <row r="311" spans="1:3" x14ac:dyDescent="0.35">
      <c r="A311" s="4" t="s">
        <v>572</v>
      </c>
      <c r="B311" s="15">
        <v>11</v>
      </c>
      <c r="C311" s="5">
        <v>1</v>
      </c>
    </row>
    <row r="312" spans="1:3" x14ac:dyDescent="0.35">
      <c r="A312" s="4" t="s">
        <v>156</v>
      </c>
      <c r="B312" s="15">
        <v>4</v>
      </c>
      <c r="C312" s="5">
        <v>0.5</v>
      </c>
    </row>
    <row r="313" spans="1:3" x14ac:dyDescent="0.35">
      <c r="A313" s="4" t="s">
        <v>696</v>
      </c>
      <c r="B313" s="15">
        <v>2807</v>
      </c>
      <c r="C313" s="5">
        <v>191.44371739371732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C4A4-57C9-43E5-BF38-59B461B55667}">
  <dimension ref="A1:B311"/>
  <sheetViews>
    <sheetView zoomScaleNormal="100" workbookViewId="0">
      <selection activeCell="B13" sqref="B13"/>
    </sheetView>
  </sheetViews>
  <sheetFormatPr defaultRowHeight="16.5" x14ac:dyDescent="0.55000000000000004"/>
  <cols>
    <col min="1" max="1" width="23.26953125" style="8" customWidth="1"/>
    <col min="2" max="2" width="16.90625" style="13" customWidth="1"/>
    <col min="3" max="16384" width="8.7265625" style="8"/>
  </cols>
  <sheetData>
    <row r="1" spans="1:2" x14ac:dyDescent="0.55000000000000004">
      <c r="A1" s="6" t="s">
        <v>701</v>
      </c>
      <c r="B1" s="7" t="s">
        <v>702</v>
      </c>
    </row>
    <row r="2" spans="1:2" x14ac:dyDescent="0.55000000000000004">
      <c r="A2" s="9" t="s">
        <v>275</v>
      </c>
      <c r="B2" s="10">
        <v>10</v>
      </c>
    </row>
    <row r="3" spans="1:2" x14ac:dyDescent="0.55000000000000004">
      <c r="A3" s="9" t="s">
        <v>158</v>
      </c>
      <c r="B3" s="10">
        <v>10</v>
      </c>
    </row>
    <row r="4" spans="1:2" x14ac:dyDescent="0.55000000000000004">
      <c r="A4" s="9" t="s">
        <v>83</v>
      </c>
      <c r="B4" s="10">
        <v>9</v>
      </c>
    </row>
    <row r="5" spans="1:2" x14ac:dyDescent="0.55000000000000004">
      <c r="A5" s="9" t="s">
        <v>148</v>
      </c>
      <c r="B5" s="10">
        <v>8</v>
      </c>
    </row>
    <row r="6" spans="1:2" x14ac:dyDescent="0.55000000000000004">
      <c r="A6" s="9" t="s">
        <v>432</v>
      </c>
      <c r="B6" s="10">
        <v>8</v>
      </c>
    </row>
    <row r="7" spans="1:2" x14ac:dyDescent="0.55000000000000004">
      <c r="A7" s="9" t="s">
        <v>642</v>
      </c>
      <c r="B7" s="10">
        <v>8</v>
      </c>
    </row>
    <row r="8" spans="1:2" x14ac:dyDescent="0.55000000000000004">
      <c r="A8" s="9" t="s">
        <v>637</v>
      </c>
      <c r="B8" s="10">
        <v>7</v>
      </c>
    </row>
    <row r="9" spans="1:2" x14ac:dyDescent="0.55000000000000004">
      <c r="A9" s="9" t="s">
        <v>302</v>
      </c>
      <c r="B9" s="10">
        <v>7</v>
      </c>
    </row>
    <row r="10" spans="1:2" x14ac:dyDescent="0.55000000000000004">
      <c r="A10" s="9" t="s">
        <v>703</v>
      </c>
      <c r="B10" s="10">
        <v>6</v>
      </c>
    </row>
    <row r="11" spans="1:2" ht="17" thickBot="1" x14ac:dyDescent="0.6">
      <c r="A11" s="11" t="s">
        <v>202</v>
      </c>
      <c r="B11" s="12">
        <v>6</v>
      </c>
    </row>
    <row r="12" spans="1:2" x14ac:dyDescent="0.55000000000000004">
      <c r="A12" s="8" t="s">
        <v>586</v>
      </c>
      <c r="B12" s="13">
        <v>6</v>
      </c>
    </row>
    <row r="13" spans="1:2" x14ac:dyDescent="0.55000000000000004">
      <c r="A13" s="8" t="s">
        <v>178</v>
      </c>
      <c r="B13" s="13">
        <v>6</v>
      </c>
    </row>
    <row r="14" spans="1:2" x14ac:dyDescent="0.55000000000000004">
      <c r="A14" s="8" t="s">
        <v>387</v>
      </c>
      <c r="B14" s="13">
        <v>5</v>
      </c>
    </row>
    <row r="15" spans="1:2" x14ac:dyDescent="0.55000000000000004">
      <c r="A15" s="8" t="s">
        <v>466</v>
      </c>
      <c r="B15" s="13">
        <v>5</v>
      </c>
    </row>
    <row r="16" spans="1:2" x14ac:dyDescent="0.55000000000000004">
      <c r="A16" s="8" t="s">
        <v>639</v>
      </c>
      <c r="B16" s="13">
        <v>5</v>
      </c>
    </row>
    <row r="17" spans="1:2" x14ac:dyDescent="0.55000000000000004">
      <c r="A17" s="8" t="s">
        <v>258</v>
      </c>
      <c r="B17" s="13">
        <v>5</v>
      </c>
    </row>
    <row r="18" spans="1:2" x14ac:dyDescent="0.55000000000000004">
      <c r="A18" s="8" t="s">
        <v>192</v>
      </c>
      <c r="B18" s="13">
        <v>5</v>
      </c>
    </row>
    <row r="19" spans="1:2" x14ac:dyDescent="0.55000000000000004">
      <c r="A19" s="8" t="s">
        <v>576</v>
      </c>
      <c r="B19" s="13">
        <v>5</v>
      </c>
    </row>
    <row r="20" spans="1:2" x14ac:dyDescent="0.55000000000000004">
      <c r="A20" s="8" t="s">
        <v>317</v>
      </c>
      <c r="B20" s="13">
        <v>5</v>
      </c>
    </row>
    <row r="21" spans="1:2" x14ac:dyDescent="0.55000000000000004">
      <c r="A21" s="8" t="s">
        <v>650</v>
      </c>
      <c r="B21" s="13">
        <v>5</v>
      </c>
    </row>
    <row r="22" spans="1:2" x14ac:dyDescent="0.55000000000000004">
      <c r="A22" s="8" t="s">
        <v>584</v>
      </c>
      <c r="B22" s="13">
        <v>5</v>
      </c>
    </row>
    <row r="23" spans="1:2" x14ac:dyDescent="0.55000000000000004">
      <c r="A23" s="8" t="s">
        <v>507</v>
      </c>
      <c r="B23" s="13">
        <v>4</v>
      </c>
    </row>
    <row r="24" spans="1:2" x14ac:dyDescent="0.55000000000000004">
      <c r="A24" s="8" t="s">
        <v>170</v>
      </c>
      <c r="B24" s="13">
        <v>4</v>
      </c>
    </row>
    <row r="25" spans="1:2" x14ac:dyDescent="0.55000000000000004">
      <c r="A25" s="8" t="s">
        <v>31</v>
      </c>
      <c r="B25" s="13">
        <v>4</v>
      </c>
    </row>
    <row r="26" spans="1:2" x14ac:dyDescent="0.55000000000000004">
      <c r="A26" s="8" t="s">
        <v>180</v>
      </c>
      <c r="B26" s="13">
        <v>4</v>
      </c>
    </row>
    <row r="27" spans="1:2" x14ac:dyDescent="0.55000000000000004">
      <c r="A27" s="8" t="s">
        <v>409</v>
      </c>
      <c r="B27" s="13">
        <v>4</v>
      </c>
    </row>
    <row r="28" spans="1:2" x14ac:dyDescent="0.55000000000000004">
      <c r="A28" s="8" t="s">
        <v>611</v>
      </c>
      <c r="B28" s="13">
        <v>4</v>
      </c>
    </row>
    <row r="29" spans="1:2" x14ac:dyDescent="0.55000000000000004">
      <c r="A29" s="8" t="s">
        <v>516</v>
      </c>
      <c r="B29" s="13">
        <v>4</v>
      </c>
    </row>
    <row r="30" spans="1:2" x14ac:dyDescent="0.55000000000000004">
      <c r="A30" s="8" t="s">
        <v>606</v>
      </c>
      <c r="B30" s="13">
        <v>4</v>
      </c>
    </row>
    <row r="31" spans="1:2" x14ac:dyDescent="0.55000000000000004">
      <c r="A31" s="8" t="s">
        <v>236</v>
      </c>
      <c r="B31" s="13">
        <v>4</v>
      </c>
    </row>
    <row r="32" spans="1:2" x14ac:dyDescent="0.55000000000000004">
      <c r="A32" s="8" t="s">
        <v>198</v>
      </c>
      <c r="B32" s="13">
        <v>4</v>
      </c>
    </row>
    <row r="33" spans="1:2" x14ac:dyDescent="0.55000000000000004">
      <c r="A33" s="8" t="s">
        <v>73</v>
      </c>
      <c r="B33" s="13">
        <v>4</v>
      </c>
    </row>
    <row r="34" spans="1:2" x14ac:dyDescent="0.55000000000000004">
      <c r="A34" s="8" t="s">
        <v>401</v>
      </c>
      <c r="B34" s="13">
        <v>4</v>
      </c>
    </row>
    <row r="35" spans="1:2" x14ac:dyDescent="0.55000000000000004">
      <c r="A35" s="8" t="s">
        <v>280</v>
      </c>
      <c r="B35" s="13">
        <v>4</v>
      </c>
    </row>
    <row r="36" spans="1:2" x14ac:dyDescent="0.55000000000000004">
      <c r="A36" s="8" t="s">
        <v>421</v>
      </c>
      <c r="B36" s="13">
        <v>4</v>
      </c>
    </row>
    <row r="37" spans="1:2" x14ac:dyDescent="0.55000000000000004">
      <c r="A37" s="8" t="s">
        <v>482</v>
      </c>
      <c r="B37" s="13">
        <v>4</v>
      </c>
    </row>
    <row r="38" spans="1:2" x14ac:dyDescent="0.55000000000000004">
      <c r="A38" s="8" t="s">
        <v>365</v>
      </c>
      <c r="B38" s="13">
        <v>4</v>
      </c>
    </row>
    <row r="39" spans="1:2" x14ac:dyDescent="0.55000000000000004">
      <c r="A39" s="8" t="s">
        <v>166</v>
      </c>
      <c r="B39" s="13">
        <v>4</v>
      </c>
    </row>
    <row r="40" spans="1:2" x14ac:dyDescent="0.55000000000000004">
      <c r="A40" s="8" t="s">
        <v>206</v>
      </c>
      <c r="B40" s="13">
        <v>4</v>
      </c>
    </row>
    <row r="41" spans="1:2" x14ac:dyDescent="0.55000000000000004">
      <c r="A41" s="8" t="s">
        <v>243</v>
      </c>
      <c r="B41" s="13">
        <v>4</v>
      </c>
    </row>
    <row r="42" spans="1:2" x14ac:dyDescent="0.55000000000000004">
      <c r="A42" s="8" t="s">
        <v>680</v>
      </c>
      <c r="B42" s="13">
        <v>3</v>
      </c>
    </row>
    <row r="43" spans="1:2" x14ac:dyDescent="0.55000000000000004">
      <c r="A43" s="8" t="s">
        <v>514</v>
      </c>
      <c r="B43" s="13">
        <v>3</v>
      </c>
    </row>
    <row r="44" spans="1:2" x14ac:dyDescent="0.55000000000000004">
      <c r="A44" s="8" t="s">
        <v>619</v>
      </c>
      <c r="B44" s="13">
        <v>3</v>
      </c>
    </row>
    <row r="45" spans="1:2" x14ac:dyDescent="0.55000000000000004">
      <c r="A45" s="8" t="s">
        <v>486</v>
      </c>
      <c r="B45" s="13">
        <v>3</v>
      </c>
    </row>
    <row r="46" spans="1:2" x14ac:dyDescent="0.55000000000000004">
      <c r="A46" s="8" t="s">
        <v>291</v>
      </c>
      <c r="B46" s="13">
        <v>3</v>
      </c>
    </row>
    <row r="47" spans="1:2" x14ac:dyDescent="0.55000000000000004">
      <c r="A47" s="8" t="s">
        <v>370</v>
      </c>
      <c r="B47" s="13">
        <v>3</v>
      </c>
    </row>
    <row r="48" spans="1:2" x14ac:dyDescent="0.55000000000000004">
      <c r="A48" s="8" t="s">
        <v>475</v>
      </c>
      <c r="B48" s="13">
        <v>3</v>
      </c>
    </row>
    <row r="49" spans="1:2" x14ac:dyDescent="0.55000000000000004">
      <c r="A49" s="8" t="s">
        <v>550</v>
      </c>
      <c r="B49" s="13">
        <v>3</v>
      </c>
    </row>
    <row r="50" spans="1:2" x14ac:dyDescent="0.55000000000000004">
      <c r="A50" s="8" t="s">
        <v>533</v>
      </c>
      <c r="B50" s="13">
        <v>3</v>
      </c>
    </row>
    <row r="51" spans="1:2" x14ac:dyDescent="0.55000000000000004">
      <c r="A51" s="8" t="s">
        <v>268</v>
      </c>
      <c r="B51" s="13">
        <v>3</v>
      </c>
    </row>
    <row r="52" spans="1:2" x14ac:dyDescent="0.55000000000000004">
      <c r="A52" s="8" t="s">
        <v>293</v>
      </c>
      <c r="B52" s="13">
        <v>3</v>
      </c>
    </row>
    <row r="53" spans="1:2" x14ac:dyDescent="0.55000000000000004">
      <c r="A53" s="8" t="s">
        <v>405</v>
      </c>
      <c r="B53" s="13">
        <v>3</v>
      </c>
    </row>
    <row r="54" spans="1:2" x14ac:dyDescent="0.55000000000000004">
      <c r="A54" s="8" t="s">
        <v>567</v>
      </c>
      <c r="B54" s="13">
        <v>3</v>
      </c>
    </row>
    <row r="55" spans="1:2" x14ac:dyDescent="0.55000000000000004">
      <c r="A55" s="8" t="s">
        <v>353</v>
      </c>
      <c r="B55" s="13">
        <v>3</v>
      </c>
    </row>
    <row r="56" spans="1:2" x14ac:dyDescent="0.55000000000000004">
      <c r="A56" s="8" t="s">
        <v>241</v>
      </c>
      <c r="B56" s="13">
        <v>3</v>
      </c>
    </row>
    <row r="57" spans="1:2" x14ac:dyDescent="0.55000000000000004">
      <c r="A57" s="8" t="s">
        <v>59</v>
      </c>
      <c r="B57" s="13">
        <v>3</v>
      </c>
    </row>
    <row r="58" spans="1:2" x14ac:dyDescent="0.55000000000000004">
      <c r="A58" s="8" t="s">
        <v>379</v>
      </c>
      <c r="B58" s="13">
        <v>3</v>
      </c>
    </row>
    <row r="59" spans="1:2" x14ac:dyDescent="0.55000000000000004">
      <c r="A59" s="8" t="s">
        <v>119</v>
      </c>
      <c r="B59" s="13">
        <v>3</v>
      </c>
    </row>
    <row r="60" spans="1:2" x14ac:dyDescent="0.55000000000000004">
      <c r="A60" s="8" t="s">
        <v>644</v>
      </c>
      <c r="B60" s="13">
        <v>3</v>
      </c>
    </row>
    <row r="61" spans="1:2" x14ac:dyDescent="0.55000000000000004">
      <c r="A61" s="8" t="s">
        <v>375</v>
      </c>
      <c r="B61" s="13">
        <v>3</v>
      </c>
    </row>
    <row r="62" spans="1:2" x14ac:dyDescent="0.55000000000000004">
      <c r="A62" s="8" t="s">
        <v>262</v>
      </c>
      <c r="B62" s="13">
        <v>3</v>
      </c>
    </row>
    <row r="63" spans="1:2" x14ac:dyDescent="0.55000000000000004">
      <c r="A63" s="8" t="s">
        <v>621</v>
      </c>
      <c r="B63" s="13">
        <v>3</v>
      </c>
    </row>
    <row r="64" spans="1:2" x14ac:dyDescent="0.55000000000000004">
      <c r="A64" s="8" t="s">
        <v>64</v>
      </c>
      <c r="B64" s="13">
        <v>3</v>
      </c>
    </row>
    <row r="65" spans="1:2" x14ac:dyDescent="0.55000000000000004">
      <c r="A65" s="8" t="s">
        <v>588</v>
      </c>
      <c r="B65" s="13">
        <v>2</v>
      </c>
    </row>
    <row r="66" spans="1:2" x14ac:dyDescent="0.55000000000000004">
      <c r="A66" s="8" t="s">
        <v>663</v>
      </c>
      <c r="B66" s="13">
        <v>2</v>
      </c>
    </row>
    <row r="67" spans="1:2" x14ac:dyDescent="0.55000000000000004">
      <c r="A67" s="8" t="s">
        <v>419</v>
      </c>
      <c r="B67" s="13">
        <v>2</v>
      </c>
    </row>
    <row r="68" spans="1:2" x14ac:dyDescent="0.55000000000000004">
      <c r="A68" s="8" t="s">
        <v>575</v>
      </c>
      <c r="B68" s="13">
        <v>2</v>
      </c>
    </row>
    <row r="69" spans="1:2" x14ac:dyDescent="0.55000000000000004">
      <c r="A69" s="8" t="s">
        <v>529</v>
      </c>
      <c r="B69" s="13">
        <v>2</v>
      </c>
    </row>
    <row r="70" spans="1:2" x14ac:dyDescent="0.55000000000000004">
      <c r="A70" s="8" t="s">
        <v>548</v>
      </c>
      <c r="B70" s="13">
        <v>2</v>
      </c>
    </row>
    <row r="71" spans="1:2" x14ac:dyDescent="0.55000000000000004">
      <c r="A71" s="8" t="s">
        <v>523</v>
      </c>
      <c r="B71" s="13">
        <v>2</v>
      </c>
    </row>
    <row r="72" spans="1:2" x14ac:dyDescent="0.55000000000000004">
      <c r="A72" s="8" t="s">
        <v>333</v>
      </c>
      <c r="B72" s="13">
        <v>2</v>
      </c>
    </row>
    <row r="73" spans="1:2" x14ac:dyDescent="0.55000000000000004">
      <c r="A73" s="8" t="s">
        <v>686</v>
      </c>
      <c r="B73" s="13">
        <v>2</v>
      </c>
    </row>
    <row r="74" spans="1:2" x14ac:dyDescent="0.55000000000000004">
      <c r="A74" s="8" t="s">
        <v>518</v>
      </c>
      <c r="B74" s="13">
        <v>2</v>
      </c>
    </row>
    <row r="75" spans="1:2" x14ac:dyDescent="0.55000000000000004">
      <c r="A75" s="8" t="s">
        <v>594</v>
      </c>
      <c r="B75" s="13">
        <v>2</v>
      </c>
    </row>
    <row r="76" spans="1:2" x14ac:dyDescent="0.55000000000000004">
      <c r="A76" s="8" t="s">
        <v>501</v>
      </c>
      <c r="B76" s="13">
        <v>2</v>
      </c>
    </row>
    <row r="77" spans="1:2" x14ac:dyDescent="0.55000000000000004">
      <c r="A77" s="8" t="s">
        <v>323</v>
      </c>
      <c r="B77" s="13">
        <v>2</v>
      </c>
    </row>
    <row r="78" spans="1:2" x14ac:dyDescent="0.55000000000000004">
      <c r="A78" s="8" t="s">
        <v>630</v>
      </c>
      <c r="B78" s="13">
        <v>2</v>
      </c>
    </row>
    <row r="79" spans="1:2" x14ac:dyDescent="0.55000000000000004">
      <c r="A79" s="8" t="s">
        <v>592</v>
      </c>
      <c r="B79" s="13">
        <v>2</v>
      </c>
    </row>
    <row r="80" spans="1:2" x14ac:dyDescent="0.55000000000000004">
      <c r="A80" s="8" t="s">
        <v>238</v>
      </c>
      <c r="B80" s="13">
        <v>2</v>
      </c>
    </row>
    <row r="81" spans="1:2" x14ac:dyDescent="0.55000000000000004">
      <c r="A81" s="8" t="s">
        <v>134</v>
      </c>
      <c r="B81" s="13">
        <v>2</v>
      </c>
    </row>
    <row r="82" spans="1:2" x14ac:dyDescent="0.55000000000000004">
      <c r="A82" s="8" t="s">
        <v>331</v>
      </c>
      <c r="B82" s="13">
        <v>2</v>
      </c>
    </row>
    <row r="83" spans="1:2" x14ac:dyDescent="0.55000000000000004">
      <c r="A83" s="8" t="s">
        <v>383</v>
      </c>
      <c r="B83" s="13">
        <v>2</v>
      </c>
    </row>
    <row r="84" spans="1:2" x14ac:dyDescent="0.55000000000000004">
      <c r="A84" s="8" t="s">
        <v>684</v>
      </c>
      <c r="B84" s="13">
        <v>2</v>
      </c>
    </row>
    <row r="85" spans="1:2" x14ac:dyDescent="0.55000000000000004">
      <c r="A85" s="8" t="s">
        <v>590</v>
      </c>
      <c r="B85" s="13">
        <v>2</v>
      </c>
    </row>
    <row r="86" spans="1:2" x14ac:dyDescent="0.55000000000000004">
      <c r="A86" s="8" t="s">
        <v>525</v>
      </c>
      <c r="B86" s="13">
        <v>2</v>
      </c>
    </row>
    <row r="87" spans="1:2" x14ac:dyDescent="0.55000000000000004">
      <c r="A87" s="8" t="s">
        <v>578</v>
      </c>
      <c r="B87" s="13">
        <v>2</v>
      </c>
    </row>
    <row r="88" spans="1:2" x14ac:dyDescent="0.55000000000000004">
      <c r="A88" s="8" t="s">
        <v>552</v>
      </c>
      <c r="B88" s="13">
        <v>2</v>
      </c>
    </row>
    <row r="89" spans="1:2" x14ac:dyDescent="0.55000000000000004">
      <c r="A89" s="8" t="s">
        <v>397</v>
      </c>
      <c r="B89" s="13">
        <v>2</v>
      </c>
    </row>
    <row r="90" spans="1:2" x14ac:dyDescent="0.55000000000000004">
      <c r="A90" s="8" t="s">
        <v>35</v>
      </c>
      <c r="B90" s="13">
        <v>2</v>
      </c>
    </row>
    <row r="91" spans="1:2" x14ac:dyDescent="0.55000000000000004">
      <c r="A91" s="8" t="s">
        <v>657</v>
      </c>
      <c r="B91" s="13">
        <v>2</v>
      </c>
    </row>
    <row r="92" spans="1:2" x14ac:dyDescent="0.55000000000000004">
      <c r="A92" s="8" t="s">
        <v>87</v>
      </c>
      <c r="B92" s="13">
        <v>2</v>
      </c>
    </row>
    <row r="93" spans="1:2" x14ac:dyDescent="0.55000000000000004">
      <c r="A93" s="8" t="s">
        <v>128</v>
      </c>
      <c r="B93" s="13">
        <v>2</v>
      </c>
    </row>
    <row r="94" spans="1:2" x14ac:dyDescent="0.55000000000000004">
      <c r="A94" s="8" t="s">
        <v>462</v>
      </c>
      <c r="B94" s="13">
        <v>2</v>
      </c>
    </row>
    <row r="95" spans="1:2" x14ac:dyDescent="0.55000000000000004">
      <c r="A95" s="8" t="s">
        <v>484</v>
      </c>
      <c r="B95" s="13">
        <v>2</v>
      </c>
    </row>
    <row r="96" spans="1:2" x14ac:dyDescent="0.55000000000000004">
      <c r="A96" s="8" t="s">
        <v>558</v>
      </c>
      <c r="B96" s="13">
        <v>2</v>
      </c>
    </row>
    <row r="97" spans="1:2" x14ac:dyDescent="0.55000000000000004">
      <c r="A97" s="8" t="s">
        <v>678</v>
      </c>
      <c r="B97" s="13">
        <v>2</v>
      </c>
    </row>
    <row r="98" spans="1:2" x14ac:dyDescent="0.55000000000000004">
      <c r="A98" s="8" t="s">
        <v>446</v>
      </c>
      <c r="B98" s="13">
        <v>2</v>
      </c>
    </row>
    <row r="99" spans="1:2" x14ac:dyDescent="0.55000000000000004">
      <c r="A99" s="8" t="s">
        <v>572</v>
      </c>
      <c r="B99" s="13">
        <v>2</v>
      </c>
    </row>
    <row r="100" spans="1:2" x14ac:dyDescent="0.55000000000000004">
      <c r="A100" s="8" t="s">
        <v>696</v>
      </c>
      <c r="B100" s="13">
        <v>1.3161290322580645</v>
      </c>
    </row>
    <row r="101" spans="1:2" x14ac:dyDescent="0.55000000000000004">
      <c r="A101" s="8" t="s">
        <v>357</v>
      </c>
      <c r="B101" s="13">
        <v>1</v>
      </c>
    </row>
    <row r="102" spans="1:2" x14ac:dyDescent="0.55000000000000004">
      <c r="A102" s="8" t="s">
        <v>40</v>
      </c>
      <c r="B102" s="13">
        <v>1</v>
      </c>
    </row>
    <row r="103" spans="1:2" x14ac:dyDescent="0.55000000000000004">
      <c r="A103" s="8" t="s">
        <v>580</v>
      </c>
      <c r="B103" s="13">
        <v>1</v>
      </c>
    </row>
    <row r="104" spans="1:2" x14ac:dyDescent="0.55000000000000004">
      <c r="A104" s="8" t="s">
        <v>442</v>
      </c>
      <c r="B104" s="13">
        <v>1</v>
      </c>
    </row>
    <row r="105" spans="1:2" x14ac:dyDescent="0.55000000000000004">
      <c r="A105" s="8" t="s">
        <v>61</v>
      </c>
      <c r="B105" s="13">
        <v>1</v>
      </c>
    </row>
    <row r="106" spans="1:2" x14ac:dyDescent="0.55000000000000004">
      <c r="A106" s="8" t="s">
        <v>70</v>
      </c>
      <c r="B106" s="13">
        <v>1</v>
      </c>
    </row>
    <row r="107" spans="1:2" x14ac:dyDescent="0.55000000000000004">
      <c r="A107" s="8" t="s">
        <v>250</v>
      </c>
      <c r="B107" s="13">
        <v>1</v>
      </c>
    </row>
    <row r="108" spans="1:2" x14ac:dyDescent="0.55000000000000004">
      <c r="A108" s="8" t="s">
        <v>132</v>
      </c>
      <c r="B108" s="13">
        <v>1</v>
      </c>
    </row>
    <row r="109" spans="1:2" x14ac:dyDescent="0.55000000000000004">
      <c r="A109" s="8" t="s">
        <v>113</v>
      </c>
      <c r="B109" s="13">
        <v>1</v>
      </c>
    </row>
    <row r="110" spans="1:2" x14ac:dyDescent="0.55000000000000004">
      <c r="A110" s="8" t="s">
        <v>505</v>
      </c>
      <c r="B110" s="13">
        <v>1</v>
      </c>
    </row>
    <row r="111" spans="1:2" x14ac:dyDescent="0.55000000000000004">
      <c r="A111" s="8" t="s">
        <v>535</v>
      </c>
      <c r="B111" s="13">
        <v>1</v>
      </c>
    </row>
    <row r="112" spans="1:2" x14ac:dyDescent="0.55000000000000004">
      <c r="A112" s="8" t="s">
        <v>231</v>
      </c>
      <c r="B112" s="13">
        <v>1</v>
      </c>
    </row>
    <row r="113" spans="1:2" x14ac:dyDescent="0.55000000000000004">
      <c r="A113" s="8" t="s">
        <v>227</v>
      </c>
      <c r="B113" s="13">
        <v>1</v>
      </c>
    </row>
    <row r="114" spans="1:2" x14ac:dyDescent="0.55000000000000004">
      <c r="A114" s="8" t="s">
        <v>661</v>
      </c>
      <c r="B114" s="13">
        <v>1</v>
      </c>
    </row>
    <row r="115" spans="1:2" x14ac:dyDescent="0.55000000000000004">
      <c r="A115" s="8" t="s">
        <v>130</v>
      </c>
      <c r="B115" s="13">
        <v>1</v>
      </c>
    </row>
    <row r="116" spans="1:2" x14ac:dyDescent="0.55000000000000004">
      <c r="A116" s="8" t="s">
        <v>151</v>
      </c>
      <c r="B116" s="13">
        <v>1</v>
      </c>
    </row>
    <row r="117" spans="1:2" x14ac:dyDescent="0.55000000000000004">
      <c r="A117" s="8" t="s">
        <v>626</v>
      </c>
      <c r="B117" s="13">
        <v>1</v>
      </c>
    </row>
    <row r="118" spans="1:2" x14ac:dyDescent="0.55000000000000004">
      <c r="A118" s="8" t="s">
        <v>343</v>
      </c>
      <c r="B118" s="13">
        <v>1</v>
      </c>
    </row>
    <row r="119" spans="1:2" x14ac:dyDescent="0.55000000000000004">
      <c r="A119" s="8" t="s">
        <v>95</v>
      </c>
      <c r="B119" s="13">
        <v>1</v>
      </c>
    </row>
    <row r="120" spans="1:2" x14ac:dyDescent="0.55000000000000004">
      <c r="A120" s="8" t="s">
        <v>109</v>
      </c>
      <c r="B120" s="13">
        <v>1</v>
      </c>
    </row>
    <row r="121" spans="1:2" x14ac:dyDescent="0.55000000000000004">
      <c r="A121" s="8" t="s">
        <v>325</v>
      </c>
      <c r="B121" s="13">
        <v>1</v>
      </c>
    </row>
    <row r="122" spans="1:2" x14ac:dyDescent="0.55000000000000004">
      <c r="A122" s="8" t="s">
        <v>284</v>
      </c>
      <c r="B122" s="13">
        <v>1</v>
      </c>
    </row>
    <row r="123" spans="1:2" x14ac:dyDescent="0.55000000000000004">
      <c r="A123" s="8" t="s">
        <v>217</v>
      </c>
      <c r="B123" s="13">
        <v>1</v>
      </c>
    </row>
    <row r="124" spans="1:2" x14ac:dyDescent="0.55000000000000004">
      <c r="A124" s="8" t="s">
        <v>377</v>
      </c>
      <c r="B124" s="13">
        <v>1</v>
      </c>
    </row>
    <row r="125" spans="1:2" x14ac:dyDescent="0.55000000000000004">
      <c r="A125" s="8" t="s">
        <v>204</v>
      </c>
      <c r="B125" s="13">
        <v>1</v>
      </c>
    </row>
    <row r="126" spans="1:2" x14ac:dyDescent="0.55000000000000004">
      <c r="A126" s="8" t="s">
        <v>513</v>
      </c>
      <c r="B126" s="13">
        <v>1</v>
      </c>
    </row>
    <row r="127" spans="1:2" x14ac:dyDescent="0.55000000000000004">
      <c r="A127" s="8" t="s">
        <v>669</v>
      </c>
      <c r="B127" s="13">
        <v>1</v>
      </c>
    </row>
    <row r="128" spans="1:2" x14ac:dyDescent="0.55000000000000004">
      <c r="A128" s="8" t="s">
        <v>450</v>
      </c>
      <c r="B128" s="13">
        <v>1</v>
      </c>
    </row>
    <row r="129" spans="1:2" x14ac:dyDescent="0.55000000000000004">
      <c r="A129" s="8" t="s">
        <v>89</v>
      </c>
      <c r="B129" s="13">
        <v>1</v>
      </c>
    </row>
    <row r="130" spans="1:2" x14ac:dyDescent="0.55000000000000004">
      <c r="A130" s="8" t="s">
        <v>460</v>
      </c>
      <c r="B130" s="13">
        <v>1</v>
      </c>
    </row>
    <row r="131" spans="1:2" x14ac:dyDescent="0.55000000000000004">
      <c r="A131" s="8" t="s">
        <v>319</v>
      </c>
      <c r="B131" s="13">
        <v>1</v>
      </c>
    </row>
    <row r="132" spans="1:2" x14ac:dyDescent="0.55000000000000004">
      <c r="A132" s="8" t="s">
        <v>456</v>
      </c>
      <c r="B132" s="13">
        <v>1</v>
      </c>
    </row>
    <row r="133" spans="1:2" x14ac:dyDescent="0.55000000000000004">
      <c r="A133" s="8" t="s">
        <v>479</v>
      </c>
      <c r="B133" s="13">
        <v>1</v>
      </c>
    </row>
    <row r="134" spans="1:2" x14ac:dyDescent="0.55000000000000004">
      <c r="A134" s="8" t="s">
        <v>103</v>
      </c>
      <c r="B134" s="13">
        <v>1</v>
      </c>
    </row>
    <row r="135" spans="1:2" x14ac:dyDescent="0.55000000000000004">
      <c r="A135" s="8" t="s">
        <v>123</v>
      </c>
      <c r="B135" s="13">
        <v>1</v>
      </c>
    </row>
    <row r="136" spans="1:2" x14ac:dyDescent="0.55000000000000004">
      <c r="A136" s="8" t="s">
        <v>617</v>
      </c>
      <c r="B136" s="13">
        <v>1</v>
      </c>
    </row>
    <row r="137" spans="1:2" x14ac:dyDescent="0.55000000000000004">
      <c r="A137" s="8" t="s">
        <v>633</v>
      </c>
      <c r="B137" s="13">
        <v>1</v>
      </c>
    </row>
    <row r="138" spans="1:2" x14ac:dyDescent="0.55000000000000004">
      <c r="A138" s="8" t="s">
        <v>264</v>
      </c>
      <c r="B138" s="13">
        <v>1</v>
      </c>
    </row>
    <row r="139" spans="1:2" x14ac:dyDescent="0.55000000000000004">
      <c r="A139" s="8" t="s">
        <v>272</v>
      </c>
      <c r="B139" s="13">
        <v>1</v>
      </c>
    </row>
    <row r="140" spans="1:2" x14ac:dyDescent="0.55000000000000004">
      <c r="A140" s="8" t="s">
        <v>426</v>
      </c>
      <c r="B140" s="13">
        <v>1</v>
      </c>
    </row>
    <row r="141" spans="1:2" x14ac:dyDescent="0.55000000000000004">
      <c r="A141" s="8" t="s">
        <v>307</v>
      </c>
      <c r="B141" s="13">
        <v>1</v>
      </c>
    </row>
    <row r="142" spans="1:2" x14ac:dyDescent="0.55000000000000004">
      <c r="A142" s="8" t="s">
        <v>496</v>
      </c>
      <c r="B142" s="13">
        <v>1</v>
      </c>
    </row>
    <row r="143" spans="1:2" x14ac:dyDescent="0.55000000000000004">
      <c r="A143" s="8" t="s">
        <v>391</v>
      </c>
      <c r="B143" s="13">
        <v>1</v>
      </c>
    </row>
    <row r="144" spans="1:2" x14ac:dyDescent="0.55000000000000004">
      <c r="A144" s="8" t="s">
        <v>161</v>
      </c>
      <c r="B144" s="13">
        <v>1</v>
      </c>
    </row>
    <row r="145" spans="1:2" x14ac:dyDescent="0.55000000000000004">
      <c r="A145" s="8" t="s">
        <v>313</v>
      </c>
      <c r="B145" s="13">
        <v>1</v>
      </c>
    </row>
    <row r="146" spans="1:2" x14ac:dyDescent="0.55000000000000004">
      <c r="A146" s="8" t="s">
        <v>335</v>
      </c>
      <c r="B146" s="13">
        <v>1</v>
      </c>
    </row>
    <row r="147" spans="1:2" x14ac:dyDescent="0.55000000000000004">
      <c r="A147" s="8" t="s">
        <v>454</v>
      </c>
      <c r="B147" s="13">
        <v>1</v>
      </c>
    </row>
    <row r="148" spans="1:2" x14ac:dyDescent="0.55000000000000004">
      <c r="A148" s="8" t="s">
        <v>458</v>
      </c>
      <c r="B148" s="13">
        <v>1</v>
      </c>
    </row>
    <row r="149" spans="1:2" x14ac:dyDescent="0.55000000000000004">
      <c r="A149" s="8" t="s">
        <v>667</v>
      </c>
      <c r="B149" s="13">
        <v>1</v>
      </c>
    </row>
    <row r="150" spans="1:2" x14ac:dyDescent="0.55000000000000004">
      <c r="A150" s="8" t="s">
        <v>321</v>
      </c>
      <c r="B150" s="13">
        <v>1</v>
      </c>
    </row>
    <row r="151" spans="1:2" x14ac:dyDescent="0.55000000000000004">
      <c r="A151" s="8" t="s">
        <v>282</v>
      </c>
      <c r="B151" s="13">
        <v>1</v>
      </c>
    </row>
    <row r="152" spans="1:2" x14ac:dyDescent="0.55000000000000004">
      <c r="A152" s="8" t="s">
        <v>368</v>
      </c>
      <c r="B152" s="13">
        <v>1</v>
      </c>
    </row>
    <row r="153" spans="1:2" x14ac:dyDescent="0.55000000000000004">
      <c r="A153" s="8" t="s">
        <v>682</v>
      </c>
      <c r="B153" s="13">
        <v>1</v>
      </c>
    </row>
    <row r="154" spans="1:2" x14ac:dyDescent="0.55000000000000004">
      <c r="A154" s="8" t="s">
        <v>329</v>
      </c>
      <c r="B154" s="13">
        <v>1</v>
      </c>
    </row>
    <row r="155" spans="1:2" x14ac:dyDescent="0.55000000000000004">
      <c r="A155" s="8" t="s">
        <v>355</v>
      </c>
      <c r="B155" s="13">
        <v>1</v>
      </c>
    </row>
    <row r="156" spans="1:2" x14ac:dyDescent="0.55000000000000004">
      <c r="A156" s="8" t="s">
        <v>209</v>
      </c>
      <c r="B156" s="13">
        <v>1</v>
      </c>
    </row>
    <row r="157" spans="1:2" x14ac:dyDescent="0.55000000000000004">
      <c r="A157" s="8" t="s">
        <v>363</v>
      </c>
      <c r="B157" s="13">
        <v>0.5</v>
      </c>
    </row>
    <row r="158" spans="1:2" x14ac:dyDescent="0.55000000000000004">
      <c r="A158" s="8" t="s">
        <v>194</v>
      </c>
      <c r="B158" s="13">
        <v>0</v>
      </c>
    </row>
    <row r="159" spans="1:2" x14ac:dyDescent="0.55000000000000004">
      <c r="A159" s="8" t="s">
        <v>604</v>
      </c>
      <c r="B159" s="13">
        <v>0</v>
      </c>
    </row>
    <row r="160" spans="1:2" x14ac:dyDescent="0.55000000000000004">
      <c r="A160" s="8" t="s">
        <v>436</v>
      </c>
      <c r="B160" s="13">
        <v>0</v>
      </c>
    </row>
    <row r="161" spans="1:2" x14ac:dyDescent="0.55000000000000004">
      <c r="A161" s="8" t="s">
        <v>608</v>
      </c>
      <c r="B161" s="13">
        <v>0</v>
      </c>
    </row>
    <row r="162" spans="1:2" x14ac:dyDescent="0.55000000000000004">
      <c r="A162" s="8" t="s">
        <v>172</v>
      </c>
      <c r="B162" s="13">
        <v>0</v>
      </c>
    </row>
    <row r="163" spans="1:2" x14ac:dyDescent="0.55000000000000004">
      <c r="A163" s="8" t="s">
        <v>393</v>
      </c>
      <c r="B163" s="13">
        <v>0</v>
      </c>
    </row>
    <row r="164" spans="1:2" x14ac:dyDescent="0.55000000000000004">
      <c r="A164" s="8" t="s">
        <v>615</v>
      </c>
      <c r="B164" s="13">
        <v>0</v>
      </c>
    </row>
    <row r="165" spans="1:2" x14ac:dyDescent="0.55000000000000004">
      <c r="A165" s="8" t="s">
        <v>385</v>
      </c>
      <c r="B165" s="13">
        <v>0</v>
      </c>
    </row>
    <row r="166" spans="1:2" x14ac:dyDescent="0.55000000000000004">
      <c r="A166" s="8" t="s">
        <v>490</v>
      </c>
      <c r="B166" s="13">
        <v>0</v>
      </c>
    </row>
    <row r="167" spans="1:2" x14ac:dyDescent="0.55000000000000004">
      <c r="A167" s="8" t="s">
        <v>286</v>
      </c>
      <c r="B167" s="13">
        <v>0</v>
      </c>
    </row>
    <row r="168" spans="1:2" x14ac:dyDescent="0.55000000000000004">
      <c r="A168" s="8" t="s">
        <v>635</v>
      </c>
      <c r="B168" s="13">
        <v>0</v>
      </c>
    </row>
    <row r="169" spans="1:2" x14ac:dyDescent="0.55000000000000004">
      <c r="A169" s="8" t="s">
        <v>185</v>
      </c>
      <c r="B169" s="13">
        <v>0</v>
      </c>
    </row>
    <row r="170" spans="1:2" x14ac:dyDescent="0.55000000000000004">
      <c r="A170" s="8" t="s">
        <v>53</v>
      </c>
      <c r="B170" s="13">
        <v>0</v>
      </c>
    </row>
    <row r="171" spans="1:2" x14ac:dyDescent="0.55000000000000004">
      <c r="A171" s="8" t="s">
        <v>341</v>
      </c>
      <c r="B171" s="13">
        <v>0</v>
      </c>
    </row>
    <row r="172" spans="1:2" x14ac:dyDescent="0.55000000000000004">
      <c r="A172" s="8" t="s">
        <v>471</v>
      </c>
      <c r="B172" s="13">
        <v>0</v>
      </c>
    </row>
    <row r="173" spans="1:2" x14ac:dyDescent="0.55000000000000004">
      <c r="A173" s="8" t="s">
        <v>99</v>
      </c>
      <c r="B173" s="13">
        <v>0</v>
      </c>
    </row>
    <row r="174" spans="1:2" x14ac:dyDescent="0.55000000000000004">
      <c r="A174" s="8" t="s">
        <v>492</v>
      </c>
      <c r="B174" s="13">
        <v>0</v>
      </c>
    </row>
    <row r="175" spans="1:2" x14ac:dyDescent="0.55000000000000004">
      <c r="A175" s="8" t="s">
        <v>511</v>
      </c>
      <c r="B175" s="13">
        <v>0</v>
      </c>
    </row>
    <row r="176" spans="1:2" x14ac:dyDescent="0.55000000000000004">
      <c r="A176" s="8" t="s">
        <v>361</v>
      </c>
      <c r="B176" s="13">
        <v>0</v>
      </c>
    </row>
    <row r="177" spans="1:2" x14ac:dyDescent="0.55000000000000004">
      <c r="A177" s="8" t="s">
        <v>174</v>
      </c>
      <c r="B177" s="13">
        <v>0</v>
      </c>
    </row>
    <row r="178" spans="1:2" x14ac:dyDescent="0.55000000000000004">
      <c r="A178" s="8" t="s">
        <v>234</v>
      </c>
      <c r="B178" s="13">
        <v>0</v>
      </c>
    </row>
    <row r="179" spans="1:2" x14ac:dyDescent="0.55000000000000004">
      <c r="A179" s="8" t="s">
        <v>117</v>
      </c>
      <c r="B179" s="13">
        <v>0</v>
      </c>
    </row>
    <row r="180" spans="1:2" x14ac:dyDescent="0.55000000000000004">
      <c r="A180" s="8" t="s">
        <v>428</v>
      </c>
      <c r="B180" s="13">
        <v>0</v>
      </c>
    </row>
    <row r="181" spans="1:2" x14ac:dyDescent="0.55000000000000004">
      <c r="A181" s="8" t="s">
        <v>182</v>
      </c>
      <c r="B181" s="13">
        <v>0</v>
      </c>
    </row>
    <row r="182" spans="1:2" x14ac:dyDescent="0.55000000000000004">
      <c r="A182" s="8" t="s">
        <v>225</v>
      </c>
      <c r="B182" s="13">
        <v>0</v>
      </c>
    </row>
    <row r="183" spans="1:2" x14ac:dyDescent="0.55000000000000004">
      <c r="A183" s="8" t="s">
        <v>564</v>
      </c>
      <c r="B183" s="13">
        <v>0</v>
      </c>
    </row>
    <row r="184" spans="1:2" x14ac:dyDescent="0.55000000000000004">
      <c r="A184" s="8" t="s">
        <v>488</v>
      </c>
      <c r="B184" s="13">
        <v>0</v>
      </c>
    </row>
    <row r="185" spans="1:2" x14ac:dyDescent="0.55000000000000004">
      <c r="A185" s="8" t="s">
        <v>520</v>
      </c>
      <c r="B185" s="13">
        <v>0</v>
      </c>
    </row>
    <row r="186" spans="1:2" x14ac:dyDescent="0.55000000000000004">
      <c r="A186" s="8" t="s">
        <v>91</v>
      </c>
      <c r="B186" s="13">
        <v>0</v>
      </c>
    </row>
    <row r="187" spans="1:2" x14ac:dyDescent="0.55000000000000004">
      <c r="A187" s="8" t="s">
        <v>188</v>
      </c>
      <c r="B187" s="13">
        <v>0</v>
      </c>
    </row>
    <row r="188" spans="1:2" x14ac:dyDescent="0.55000000000000004">
      <c r="A188" s="8" t="s">
        <v>560</v>
      </c>
      <c r="B188" s="13">
        <v>0</v>
      </c>
    </row>
    <row r="189" spans="1:2" x14ac:dyDescent="0.55000000000000004">
      <c r="A189" s="8" t="s">
        <v>670</v>
      </c>
      <c r="B189" s="13">
        <v>0</v>
      </c>
    </row>
    <row r="190" spans="1:2" x14ac:dyDescent="0.55000000000000004">
      <c r="A190" s="8" t="s">
        <v>211</v>
      </c>
      <c r="B190" s="13">
        <v>0</v>
      </c>
    </row>
    <row r="191" spans="1:2" x14ac:dyDescent="0.55000000000000004">
      <c r="A191" s="8" t="s">
        <v>111</v>
      </c>
      <c r="B191" s="13">
        <v>0</v>
      </c>
    </row>
    <row r="192" spans="1:2" x14ac:dyDescent="0.55000000000000004">
      <c r="A192" s="8" t="s">
        <v>196</v>
      </c>
      <c r="B192" s="13">
        <v>0</v>
      </c>
    </row>
    <row r="193" spans="1:2" x14ac:dyDescent="0.55000000000000004">
      <c r="A193" s="8" t="s">
        <v>247</v>
      </c>
      <c r="B193" s="13">
        <v>0</v>
      </c>
    </row>
    <row r="194" spans="1:2" x14ac:dyDescent="0.55000000000000004">
      <c r="A194" s="8" t="s">
        <v>665</v>
      </c>
      <c r="B194" s="13">
        <v>0</v>
      </c>
    </row>
    <row r="195" spans="1:2" x14ac:dyDescent="0.55000000000000004">
      <c r="A195" s="8" t="s">
        <v>168</v>
      </c>
      <c r="B195" s="13">
        <v>0</v>
      </c>
    </row>
    <row r="196" spans="1:2" x14ac:dyDescent="0.55000000000000004">
      <c r="A196" s="8" t="s">
        <v>509</v>
      </c>
      <c r="B196" s="13">
        <v>0</v>
      </c>
    </row>
    <row r="197" spans="1:2" x14ac:dyDescent="0.55000000000000004">
      <c r="A197" s="8" t="s">
        <v>78</v>
      </c>
      <c r="B197" s="13">
        <v>0</v>
      </c>
    </row>
    <row r="198" spans="1:2" x14ac:dyDescent="0.55000000000000004">
      <c r="A198" s="8" t="s">
        <v>80</v>
      </c>
      <c r="B198" s="13">
        <v>0</v>
      </c>
    </row>
    <row r="199" spans="1:2" x14ac:dyDescent="0.55000000000000004">
      <c r="A199" s="8" t="s">
        <v>300</v>
      </c>
      <c r="B199" s="13">
        <v>0</v>
      </c>
    </row>
    <row r="200" spans="1:2" x14ac:dyDescent="0.55000000000000004">
      <c r="A200" s="8" t="s">
        <v>527</v>
      </c>
      <c r="B200" s="13">
        <v>0</v>
      </c>
    </row>
    <row r="201" spans="1:2" x14ac:dyDescent="0.55000000000000004">
      <c r="A201" s="8" t="s">
        <v>672</v>
      </c>
      <c r="B201" s="13">
        <v>0</v>
      </c>
    </row>
    <row r="202" spans="1:2" x14ac:dyDescent="0.55000000000000004">
      <c r="A202" s="8" t="s">
        <v>430</v>
      </c>
      <c r="B202" s="13">
        <v>0</v>
      </c>
    </row>
    <row r="203" spans="1:2" x14ac:dyDescent="0.55000000000000004">
      <c r="A203" s="8" t="s">
        <v>452</v>
      </c>
      <c r="B203" s="13">
        <v>0</v>
      </c>
    </row>
    <row r="204" spans="1:2" x14ac:dyDescent="0.55000000000000004">
      <c r="A204" s="8" t="s">
        <v>573</v>
      </c>
      <c r="B204" s="13">
        <v>0</v>
      </c>
    </row>
    <row r="205" spans="1:2" x14ac:dyDescent="0.55000000000000004">
      <c r="A205" s="8" t="s">
        <v>613</v>
      </c>
      <c r="B205" s="13">
        <v>0</v>
      </c>
    </row>
    <row r="206" spans="1:2" x14ac:dyDescent="0.55000000000000004">
      <c r="A206" s="8" t="s">
        <v>44</v>
      </c>
      <c r="B206" s="13">
        <v>0</v>
      </c>
    </row>
    <row r="207" spans="1:2" x14ac:dyDescent="0.55000000000000004">
      <c r="A207" s="8" t="s">
        <v>222</v>
      </c>
      <c r="B207" s="13">
        <v>0</v>
      </c>
    </row>
    <row r="208" spans="1:2" x14ac:dyDescent="0.55000000000000004">
      <c r="A208" s="8" t="s">
        <v>229</v>
      </c>
      <c r="B208" s="13">
        <v>0</v>
      </c>
    </row>
    <row r="209" spans="1:2" x14ac:dyDescent="0.55000000000000004">
      <c r="A209" s="8" t="s">
        <v>140</v>
      </c>
      <c r="B209" s="13">
        <v>0</v>
      </c>
    </row>
    <row r="210" spans="1:2" x14ac:dyDescent="0.55000000000000004">
      <c r="A210" s="8" t="s">
        <v>154</v>
      </c>
      <c r="B210" s="13">
        <v>0</v>
      </c>
    </row>
    <row r="211" spans="1:2" x14ac:dyDescent="0.55000000000000004">
      <c r="A211" s="8" t="s">
        <v>309</v>
      </c>
      <c r="B211" s="13">
        <v>0</v>
      </c>
    </row>
    <row r="212" spans="1:2" x14ac:dyDescent="0.55000000000000004">
      <c r="A212" s="8" t="s">
        <v>413</v>
      </c>
      <c r="B212" s="13">
        <v>0</v>
      </c>
    </row>
    <row r="213" spans="1:2" x14ac:dyDescent="0.55000000000000004">
      <c r="A213" s="8" t="s">
        <v>270</v>
      </c>
      <c r="B213" s="13">
        <v>0</v>
      </c>
    </row>
    <row r="214" spans="1:2" x14ac:dyDescent="0.55000000000000004">
      <c r="A214" s="8" t="s">
        <v>56</v>
      </c>
      <c r="B214" s="13">
        <v>0</v>
      </c>
    </row>
    <row r="215" spans="1:2" x14ac:dyDescent="0.55000000000000004">
      <c r="A215" s="8" t="s">
        <v>348</v>
      </c>
      <c r="B215" s="13">
        <v>0</v>
      </c>
    </row>
    <row r="216" spans="1:2" x14ac:dyDescent="0.55000000000000004">
      <c r="A216" s="8" t="s">
        <v>623</v>
      </c>
      <c r="B216" s="13">
        <v>0</v>
      </c>
    </row>
    <row r="217" spans="1:2" x14ac:dyDescent="0.55000000000000004">
      <c r="A217" s="8" t="s">
        <v>215</v>
      </c>
      <c r="B217" s="13">
        <v>0</v>
      </c>
    </row>
    <row r="218" spans="1:2" x14ac:dyDescent="0.55000000000000004">
      <c r="A218" s="8" t="s">
        <v>503</v>
      </c>
      <c r="B218" s="13">
        <v>0</v>
      </c>
    </row>
    <row r="219" spans="1:2" x14ac:dyDescent="0.55000000000000004">
      <c r="A219" s="8" t="s">
        <v>596</v>
      </c>
      <c r="B219" s="13">
        <v>0</v>
      </c>
    </row>
    <row r="220" spans="1:2" x14ac:dyDescent="0.55000000000000004">
      <c r="A220" s="8" t="s">
        <v>136</v>
      </c>
      <c r="B220" s="13">
        <v>0</v>
      </c>
    </row>
    <row r="221" spans="1:2" x14ac:dyDescent="0.55000000000000004">
      <c r="A221" s="8" t="s">
        <v>640</v>
      </c>
      <c r="B221" s="13">
        <v>0</v>
      </c>
    </row>
    <row r="222" spans="1:2" x14ac:dyDescent="0.55000000000000004">
      <c r="A222" s="8" t="s">
        <v>115</v>
      </c>
      <c r="B222" s="13">
        <v>0</v>
      </c>
    </row>
    <row r="223" spans="1:2" x14ac:dyDescent="0.55000000000000004">
      <c r="A223" s="8" t="s">
        <v>142</v>
      </c>
      <c r="B223" s="13">
        <v>0</v>
      </c>
    </row>
    <row r="224" spans="1:2" x14ac:dyDescent="0.55000000000000004">
      <c r="A224" s="8" t="s">
        <v>602</v>
      </c>
      <c r="B224" s="13">
        <v>0</v>
      </c>
    </row>
    <row r="225" spans="1:2" x14ac:dyDescent="0.55000000000000004">
      <c r="A225" s="8" t="s">
        <v>126</v>
      </c>
      <c r="B225" s="13">
        <v>0</v>
      </c>
    </row>
    <row r="226" spans="1:2" x14ac:dyDescent="0.55000000000000004">
      <c r="A226" s="8" t="s">
        <v>260</v>
      </c>
      <c r="B226" s="13">
        <v>0</v>
      </c>
    </row>
    <row r="227" spans="1:2" x14ac:dyDescent="0.55000000000000004">
      <c r="A227" s="8" t="s">
        <v>600</v>
      </c>
      <c r="B227" s="13">
        <v>0</v>
      </c>
    </row>
    <row r="228" spans="1:2" x14ac:dyDescent="0.55000000000000004">
      <c r="A228" s="8" t="s">
        <v>121</v>
      </c>
      <c r="B228" s="13">
        <v>0</v>
      </c>
    </row>
    <row r="229" spans="1:2" x14ac:dyDescent="0.55000000000000004">
      <c r="A229" s="8" t="s">
        <v>297</v>
      </c>
      <c r="B229" s="13">
        <v>0</v>
      </c>
    </row>
    <row r="230" spans="1:2" x14ac:dyDescent="0.55000000000000004">
      <c r="A230" s="8" t="s">
        <v>219</v>
      </c>
      <c r="B230" s="13">
        <v>0</v>
      </c>
    </row>
    <row r="231" spans="1:2" x14ac:dyDescent="0.55000000000000004">
      <c r="A231" s="8" t="s">
        <v>266</v>
      </c>
      <c r="B231" s="13">
        <v>0</v>
      </c>
    </row>
    <row r="232" spans="1:2" x14ac:dyDescent="0.55000000000000004">
      <c r="A232" s="8" t="s">
        <v>598</v>
      </c>
      <c r="B232" s="13">
        <v>0</v>
      </c>
    </row>
    <row r="233" spans="1:2" x14ac:dyDescent="0.55000000000000004">
      <c r="A233" s="8" t="s">
        <v>646</v>
      </c>
      <c r="B233" s="13">
        <v>0</v>
      </c>
    </row>
    <row r="234" spans="1:2" x14ac:dyDescent="0.55000000000000004">
      <c r="A234" s="8" t="s">
        <v>562</v>
      </c>
      <c r="B234" s="13">
        <v>0</v>
      </c>
    </row>
    <row r="235" spans="1:2" x14ac:dyDescent="0.55000000000000004">
      <c r="A235" s="8" t="s">
        <v>676</v>
      </c>
      <c r="B235" s="13">
        <v>0</v>
      </c>
    </row>
    <row r="236" spans="1:2" x14ac:dyDescent="0.55000000000000004">
      <c r="A236" s="8" t="s">
        <v>389</v>
      </c>
      <c r="B236" s="13">
        <v>0</v>
      </c>
    </row>
    <row r="237" spans="1:2" x14ac:dyDescent="0.55000000000000004">
      <c r="A237" s="8" t="s">
        <v>403</v>
      </c>
      <c r="B237" s="13">
        <v>0</v>
      </c>
    </row>
    <row r="238" spans="1:2" x14ac:dyDescent="0.55000000000000004">
      <c r="A238" s="8" t="s">
        <v>327</v>
      </c>
      <c r="B238" s="13">
        <v>0</v>
      </c>
    </row>
    <row r="239" spans="1:2" x14ac:dyDescent="0.55000000000000004">
      <c r="A239" s="8" t="s">
        <v>26</v>
      </c>
      <c r="B239" s="13">
        <v>0</v>
      </c>
    </row>
    <row r="240" spans="1:2" x14ac:dyDescent="0.55000000000000004">
      <c r="A240" s="8" t="s">
        <v>295</v>
      </c>
      <c r="B240" s="13">
        <v>0</v>
      </c>
    </row>
    <row r="241" spans="1:2" x14ac:dyDescent="0.55000000000000004">
      <c r="A241" s="8" t="s">
        <v>654</v>
      </c>
      <c r="B241" s="13">
        <v>0</v>
      </c>
    </row>
    <row r="242" spans="1:2" x14ac:dyDescent="0.55000000000000004">
      <c r="A242" s="8" t="s">
        <v>221</v>
      </c>
      <c r="B242" s="13">
        <v>0</v>
      </c>
    </row>
    <row r="243" spans="1:2" x14ac:dyDescent="0.55000000000000004">
      <c r="A243" s="8" t="s">
        <v>554</v>
      </c>
      <c r="B243" s="13">
        <v>0</v>
      </c>
    </row>
    <row r="244" spans="1:2" x14ac:dyDescent="0.55000000000000004">
      <c r="A244" s="8" t="s">
        <v>628</v>
      </c>
      <c r="B244" s="13">
        <v>0</v>
      </c>
    </row>
    <row r="245" spans="1:2" x14ac:dyDescent="0.55000000000000004">
      <c r="A245" s="8" t="s">
        <v>145</v>
      </c>
      <c r="B245" s="13">
        <v>0</v>
      </c>
    </row>
    <row r="246" spans="1:2" x14ac:dyDescent="0.55000000000000004">
      <c r="A246" s="8" t="s">
        <v>631</v>
      </c>
      <c r="B246" s="13">
        <v>0</v>
      </c>
    </row>
    <row r="247" spans="1:2" x14ac:dyDescent="0.55000000000000004">
      <c r="A247" s="8" t="s">
        <v>423</v>
      </c>
      <c r="B247" s="13">
        <v>0</v>
      </c>
    </row>
    <row r="248" spans="1:2" x14ac:dyDescent="0.55000000000000004">
      <c r="A248" s="8" t="s">
        <v>245</v>
      </c>
      <c r="B248" s="13">
        <v>0</v>
      </c>
    </row>
    <row r="249" spans="1:2" x14ac:dyDescent="0.55000000000000004">
      <c r="A249" s="8" t="s">
        <v>493</v>
      </c>
      <c r="B249" s="13">
        <v>0</v>
      </c>
    </row>
    <row r="250" spans="1:2" x14ac:dyDescent="0.55000000000000004">
      <c r="A250" s="8" t="s">
        <v>399</v>
      </c>
      <c r="B250" s="13">
        <v>0</v>
      </c>
    </row>
    <row r="251" spans="1:2" x14ac:dyDescent="0.55000000000000004">
      <c r="A251" s="8" t="s">
        <v>253</v>
      </c>
      <c r="B251" s="13">
        <v>0</v>
      </c>
    </row>
    <row r="252" spans="1:2" x14ac:dyDescent="0.55000000000000004">
      <c r="A252" s="8" t="s">
        <v>67</v>
      </c>
      <c r="B252" s="13">
        <v>0</v>
      </c>
    </row>
    <row r="253" spans="1:2" x14ac:dyDescent="0.55000000000000004">
      <c r="A253" s="8" t="s">
        <v>473</v>
      </c>
      <c r="B253" s="13">
        <v>0</v>
      </c>
    </row>
    <row r="254" spans="1:2" x14ac:dyDescent="0.55000000000000004">
      <c r="A254" s="8" t="s">
        <v>190</v>
      </c>
      <c r="B254" s="13">
        <v>0</v>
      </c>
    </row>
    <row r="255" spans="1:2" x14ac:dyDescent="0.55000000000000004">
      <c r="A255" s="8" t="s">
        <v>289</v>
      </c>
      <c r="B255" s="13">
        <v>0</v>
      </c>
    </row>
    <row r="256" spans="1:2" x14ac:dyDescent="0.55000000000000004">
      <c r="A256" s="8" t="s">
        <v>531</v>
      </c>
      <c r="B256" s="13">
        <v>0</v>
      </c>
    </row>
    <row r="257" spans="1:2" x14ac:dyDescent="0.55000000000000004">
      <c r="A257" s="8" t="s">
        <v>415</v>
      </c>
      <c r="B257" s="13">
        <v>0</v>
      </c>
    </row>
    <row r="258" spans="1:2" x14ac:dyDescent="0.55000000000000004">
      <c r="A258" s="8" t="s">
        <v>674</v>
      </c>
      <c r="B258" s="13">
        <v>0</v>
      </c>
    </row>
    <row r="259" spans="1:2" x14ac:dyDescent="0.55000000000000004">
      <c r="A259" s="8" t="s">
        <v>214</v>
      </c>
      <c r="B259" s="13">
        <v>0</v>
      </c>
    </row>
    <row r="260" spans="1:2" x14ac:dyDescent="0.55000000000000004">
      <c r="A260" s="8" t="s">
        <v>444</v>
      </c>
      <c r="B260" s="13">
        <v>0</v>
      </c>
    </row>
    <row r="261" spans="1:2" x14ac:dyDescent="0.55000000000000004">
      <c r="A261" s="8" t="s">
        <v>304</v>
      </c>
      <c r="B261" s="13">
        <v>0</v>
      </c>
    </row>
    <row r="262" spans="1:2" x14ac:dyDescent="0.55000000000000004">
      <c r="A262" s="8" t="s">
        <v>256</v>
      </c>
      <c r="B262" s="13">
        <v>0</v>
      </c>
    </row>
    <row r="263" spans="1:2" x14ac:dyDescent="0.55000000000000004">
      <c r="A263" s="8" t="s">
        <v>542</v>
      </c>
      <c r="B263" s="13">
        <v>0</v>
      </c>
    </row>
    <row r="264" spans="1:2" x14ac:dyDescent="0.55000000000000004">
      <c r="A264" s="8" t="s">
        <v>208</v>
      </c>
      <c r="B264" s="13">
        <v>0</v>
      </c>
    </row>
    <row r="265" spans="1:2" x14ac:dyDescent="0.55000000000000004">
      <c r="A265" s="8" t="s">
        <v>213</v>
      </c>
      <c r="B265" s="13">
        <v>0</v>
      </c>
    </row>
    <row r="266" spans="1:2" x14ac:dyDescent="0.55000000000000004">
      <c r="A266" s="8" t="s">
        <v>395</v>
      </c>
      <c r="B266" s="13">
        <v>0</v>
      </c>
    </row>
    <row r="267" spans="1:2" x14ac:dyDescent="0.55000000000000004">
      <c r="A267" s="8" t="s">
        <v>97</v>
      </c>
      <c r="B267" s="13">
        <v>0</v>
      </c>
    </row>
    <row r="268" spans="1:2" x14ac:dyDescent="0.55000000000000004">
      <c r="A268" s="8" t="s">
        <v>187</v>
      </c>
      <c r="B268" s="13">
        <v>0</v>
      </c>
    </row>
    <row r="269" spans="1:2" x14ac:dyDescent="0.55000000000000004">
      <c r="A269" s="8" t="s">
        <v>556</v>
      </c>
      <c r="B269" s="13">
        <v>0</v>
      </c>
    </row>
    <row r="270" spans="1:2" x14ac:dyDescent="0.55000000000000004">
      <c r="A270" s="8" t="s">
        <v>350</v>
      </c>
      <c r="B270" s="13">
        <v>0</v>
      </c>
    </row>
    <row r="271" spans="1:2" x14ac:dyDescent="0.55000000000000004">
      <c r="A271" s="8" t="s">
        <v>48</v>
      </c>
      <c r="B271" s="13">
        <v>0</v>
      </c>
    </row>
    <row r="272" spans="1:2" x14ac:dyDescent="0.55000000000000004">
      <c r="A272" s="8" t="s">
        <v>163</v>
      </c>
      <c r="B272" s="13">
        <v>0</v>
      </c>
    </row>
    <row r="273" spans="1:2" x14ac:dyDescent="0.55000000000000004">
      <c r="A273" s="8" t="s">
        <v>477</v>
      </c>
      <c r="B273" s="13">
        <v>0</v>
      </c>
    </row>
    <row r="274" spans="1:2" x14ac:dyDescent="0.55000000000000004">
      <c r="A274" s="8" t="s">
        <v>345</v>
      </c>
      <c r="B274" s="13">
        <v>0</v>
      </c>
    </row>
    <row r="275" spans="1:2" x14ac:dyDescent="0.55000000000000004">
      <c r="A275" s="8" t="s">
        <v>372</v>
      </c>
      <c r="B275" s="13">
        <v>0</v>
      </c>
    </row>
    <row r="276" spans="1:2" x14ac:dyDescent="0.55000000000000004">
      <c r="A276" s="8" t="s">
        <v>339</v>
      </c>
      <c r="B276" s="13">
        <v>0</v>
      </c>
    </row>
    <row r="277" spans="1:2" x14ac:dyDescent="0.55000000000000004">
      <c r="A277" s="8" t="s">
        <v>468</v>
      </c>
      <c r="B277" s="13">
        <v>0</v>
      </c>
    </row>
    <row r="278" spans="1:2" x14ac:dyDescent="0.55000000000000004">
      <c r="A278" s="8" t="s">
        <v>537</v>
      </c>
      <c r="B278" s="13">
        <v>0</v>
      </c>
    </row>
    <row r="279" spans="1:2" x14ac:dyDescent="0.55000000000000004">
      <c r="A279" s="8" t="s">
        <v>544</v>
      </c>
      <c r="B279" s="13">
        <v>0</v>
      </c>
    </row>
    <row r="280" spans="1:2" x14ac:dyDescent="0.55000000000000004">
      <c r="A280" s="8" t="s">
        <v>652</v>
      </c>
      <c r="B280" s="13">
        <v>0</v>
      </c>
    </row>
    <row r="281" spans="1:2" x14ac:dyDescent="0.55000000000000004">
      <c r="A281" s="8" t="s">
        <v>464</v>
      </c>
      <c r="B281" s="13">
        <v>0</v>
      </c>
    </row>
    <row r="282" spans="1:2" x14ac:dyDescent="0.55000000000000004">
      <c r="A282" s="8" t="s">
        <v>440</v>
      </c>
      <c r="B282" s="13">
        <v>0</v>
      </c>
    </row>
    <row r="283" spans="1:2" x14ac:dyDescent="0.55000000000000004">
      <c r="A283" s="8" t="s">
        <v>448</v>
      </c>
      <c r="B283" s="13">
        <v>0</v>
      </c>
    </row>
    <row r="284" spans="1:2" x14ac:dyDescent="0.55000000000000004">
      <c r="A284" s="8" t="s">
        <v>546</v>
      </c>
      <c r="B284" s="13">
        <v>0</v>
      </c>
    </row>
    <row r="285" spans="1:2" x14ac:dyDescent="0.55000000000000004">
      <c r="A285" s="8" t="s">
        <v>75</v>
      </c>
      <c r="B285" s="13">
        <v>0</v>
      </c>
    </row>
    <row r="286" spans="1:2" x14ac:dyDescent="0.55000000000000004">
      <c r="A286" s="8" t="s">
        <v>569</v>
      </c>
      <c r="B286" s="13">
        <v>0</v>
      </c>
    </row>
    <row r="287" spans="1:2" x14ac:dyDescent="0.55000000000000004">
      <c r="A287" s="8" t="s">
        <v>105</v>
      </c>
      <c r="B287" s="13">
        <v>0</v>
      </c>
    </row>
    <row r="288" spans="1:2" x14ac:dyDescent="0.55000000000000004">
      <c r="A288" s="8" t="s">
        <v>381</v>
      </c>
      <c r="B288" s="13">
        <v>0</v>
      </c>
    </row>
    <row r="289" spans="1:2" x14ac:dyDescent="0.55000000000000004">
      <c r="A289" s="8" t="s">
        <v>138</v>
      </c>
      <c r="B289" s="13">
        <v>0</v>
      </c>
    </row>
    <row r="290" spans="1:2" x14ac:dyDescent="0.55000000000000004">
      <c r="A290" s="8" t="s">
        <v>311</v>
      </c>
      <c r="B290" s="13">
        <v>0</v>
      </c>
    </row>
    <row r="291" spans="1:2" x14ac:dyDescent="0.55000000000000004">
      <c r="A291" s="8" t="s">
        <v>411</v>
      </c>
      <c r="B291" s="13">
        <v>0</v>
      </c>
    </row>
    <row r="292" spans="1:2" x14ac:dyDescent="0.55000000000000004">
      <c r="A292" s="8" t="s">
        <v>278</v>
      </c>
      <c r="B292" s="13">
        <v>0</v>
      </c>
    </row>
    <row r="293" spans="1:2" x14ac:dyDescent="0.55000000000000004">
      <c r="A293" s="8" t="s">
        <v>539</v>
      </c>
      <c r="B293" s="13">
        <v>0</v>
      </c>
    </row>
    <row r="294" spans="1:2" x14ac:dyDescent="0.55000000000000004">
      <c r="A294" s="8" t="s">
        <v>359</v>
      </c>
      <c r="B294" s="13">
        <v>0</v>
      </c>
    </row>
    <row r="295" spans="1:2" x14ac:dyDescent="0.55000000000000004">
      <c r="A295" s="8" t="s">
        <v>438</v>
      </c>
      <c r="B295" s="13">
        <v>0</v>
      </c>
    </row>
    <row r="296" spans="1:2" x14ac:dyDescent="0.55000000000000004">
      <c r="A296" s="8" t="s">
        <v>337</v>
      </c>
      <c r="B296" s="13">
        <v>0</v>
      </c>
    </row>
    <row r="297" spans="1:2" x14ac:dyDescent="0.55000000000000004">
      <c r="A297" s="8" t="s">
        <v>176</v>
      </c>
      <c r="B297" s="13">
        <v>0</v>
      </c>
    </row>
    <row r="298" spans="1:2" x14ac:dyDescent="0.55000000000000004">
      <c r="A298" s="8" t="s">
        <v>434</v>
      </c>
      <c r="B298" s="13">
        <v>0</v>
      </c>
    </row>
    <row r="299" spans="1:2" x14ac:dyDescent="0.55000000000000004">
      <c r="A299" s="8" t="s">
        <v>315</v>
      </c>
      <c r="B299" s="13">
        <v>0</v>
      </c>
    </row>
    <row r="300" spans="1:2" x14ac:dyDescent="0.55000000000000004">
      <c r="A300" s="8" t="s">
        <v>582</v>
      </c>
      <c r="B300" s="13">
        <v>0</v>
      </c>
    </row>
    <row r="301" spans="1:2" x14ac:dyDescent="0.55000000000000004">
      <c r="A301" s="8" t="s">
        <v>498</v>
      </c>
      <c r="B301" s="13">
        <v>0</v>
      </c>
    </row>
    <row r="302" spans="1:2" x14ac:dyDescent="0.55000000000000004">
      <c r="A302" s="8" t="s">
        <v>352</v>
      </c>
      <c r="B302" s="13">
        <v>0</v>
      </c>
    </row>
    <row r="303" spans="1:2" x14ac:dyDescent="0.55000000000000004">
      <c r="A303" s="8" t="s">
        <v>624</v>
      </c>
      <c r="B303" s="13">
        <v>0</v>
      </c>
    </row>
    <row r="304" spans="1:2" x14ac:dyDescent="0.55000000000000004">
      <c r="A304" s="8" t="s">
        <v>648</v>
      </c>
      <c r="B304" s="13">
        <v>0</v>
      </c>
    </row>
    <row r="305" spans="1:2" x14ac:dyDescent="0.55000000000000004">
      <c r="A305" s="8" t="s">
        <v>417</v>
      </c>
      <c r="B305" s="13">
        <v>0</v>
      </c>
    </row>
    <row r="306" spans="1:2" x14ac:dyDescent="0.55000000000000004">
      <c r="A306" s="8" t="s">
        <v>124</v>
      </c>
      <c r="B306" s="13">
        <v>0</v>
      </c>
    </row>
    <row r="307" spans="1:2" x14ac:dyDescent="0.55000000000000004">
      <c r="A307" s="8" t="s">
        <v>200</v>
      </c>
      <c r="B307" s="13">
        <v>0</v>
      </c>
    </row>
    <row r="308" spans="1:2" x14ac:dyDescent="0.55000000000000004">
      <c r="A308" s="8" t="s">
        <v>566</v>
      </c>
      <c r="B308" s="13">
        <v>0</v>
      </c>
    </row>
    <row r="309" spans="1:2" x14ac:dyDescent="0.55000000000000004">
      <c r="A309" s="8" t="s">
        <v>407</v>
      </c>
      <c r="B309" s="13">
        <v>0</v>
      </c>
    </row>
    <row r="310" spans="1:2" x14ac:dyDescent="0.55000000000000004">
      <c r="A310" s="8" t="s">
        <v>659</v>
      </c>
      <c r="B310" s="13">
        <v>0</v>
      </c>
    </row>
    <row r="311" spans="1:2" x14ac:dyDescent="0.55000000000000004">
      <c r="A311" s="8" t="s">
        <v>156</v>
      </c>
      <c r="B311" s="13">
        <v>0</v>
      </c>
    </row>
  </sheetData>
  <conditionalFormatting sqref="B2:B3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42A8-4D22-40AB-A7A1-9FAB048F1D69}">
  <dimension ref="A1:D311"/>
  <sheetViews>
    <sheetView zoomScaleNormal="100" workbookViewId="0">
      <selection activeCell="P10" sqref="P10"/>
    </sheetView>
  </sheetViews>
  <sheetFormatPr defaultRowHeight="16.5" x14ac:dyDescent="0.55000000000000004"/>
  <cols>
    <col min="1" max="1" width="20.36328125" style="8" bestFit="1" customWidth="1"/>
    <col min="2" max="2" width="12.81640625" style="13" customWidth="1"/>
    <col min="3" max="3" width="13.90625" style="13" bestFit="1" customWidth="1"/>
    <col min="4" max="4" width="11.54296875" style="13" customWidth="1"/>
    <col min="5" max="16384" width="8.7265625" style="8"/>
  </cols>
  <sheetData>
    <row r="1" spans="1:4" x14ac:dyDescent="0.55000000000000004">
      <c r="A1" s="8" t="s">
        <v>1</v>
      </c>
      <c r="B1" s="13" t="s">
        <v>697</v>
      </c>
      <c r="C1" s="13" t="s">
        <v>699</v>
      </c>
      <c r="D1" s="13" t="s">
        <v>700</v>
      </c>
    </row>
    <row r="2" spans="1:4" x14ac:dyDescent="0.55000000000000004">
      <c r="A2" s="8" t="s">
        <v>642</v>
      </c>
      <c r="B2" s="14">
        <v>0.53846153846153844</v>
      </c>
      <c r="C2" s="14">
        <v>0.2</v>
      </c>
      <c r="D2" s="14">
        <f>Table3[[#This Row],[AVG GPG]]-Table3[[#This Row],[AVG XGPG]]</f>
        <v>0.33846153846153842</v>
      </c>
    </row>
    <row r="3" spans="1:4" x14ac:dyDescent="0.55000000000000004">
      <c r="A3" s="8" t="s">
        <v>275</v>
      </c>
      <c r="B3" s="14">
        <v>0.76923076923076927</v>
      </c>
      <c r="C3" s="14">
        <v>0.46923076923076923</v>
      </c>
      <c r="D3" s="14">
        <f>Table3[[#This Row],[AVG GPG]]-Table3[[#This Row],[AVG XGPG]]</f>
        <v>0.30000000000000004</v>
      </c>
    </row>
    <row r="4" spans="1:4" x14ac:dyDescent="0.55000000000000004">
      <c r="A4" s="8" t="s">
        <v>217</v>
      </c>
      <c r="B4" s="14">
        <v>0.33333333333333331</v>
      </c>
      <c r="C4" s="14">
        <v>3.3333333333333333E-2</v>
      </c>
      <c r="D4" s="14">
        <f>Table3[[#This Row],[AVG GPG]]-Table3[[#This Row],[AVG XGPG]]</f>
        <v>0.3</v>
      </c>
    </row>
    <row r="5" spans="1:4" x14ac:dyDescent="0.55000000000000004">
      <c r="A5" s="8" t="s">
        <v>93</v>
      </c>
      <c r="B5" s="14">
        <v>0.45454545454545453</v>
      </c>
      <c r="C5" s="14">
        <v>0.17272727272727273</v>
      </c>
      <c r="D5" s="14">
        <f>Table3[[#This Row],[AVG GPG]]-Table3[[#This Row],[AVG XGPG]]</f>
        <v>0.2818181818181818</v>
      </c>
    </row>
    <row r="6" spans="1:4" x14ac:dyDescent="0.55000000000000004">
      <c r="A6" s="8" t="s">
        <v>505</v>
      </c>
      <c r="B6" s="14">
        <v>0.33333333333333331</v>
      </c>
      <c r="C6" s="14">
        <v>6.6666666666666666E-2</v>
      </c>
      <c r="D6" s="14">
        <f>Table3[[#This Row],[AVG GPG]]-Table3[[#This Row],[AVG XGPG]]</f>
        <v>0.26666666666666666</v>
      </c>
    </row>
    <row r="7" spans="1:4" x14ac:dyDescent="0.55000000000000004">
      <c r="A7" s="8" t="s">
        <v>514</v>
      </c>
      <c r="B7" s="14">
        <v>0.33333333333333331</v>
      </c>
      <c r="C7" s="14">
        <v>0.1</v>
      </c>
      <c r="D7" s="14">
        <f>Table3[[#This Row],[AVG GPG]]-Table3[[#This Row],[AVG XGPG]]</f>
        <v>0.23333333333333331</v>
      </c>
    </row>
    <row r="8" spans="1:4" x14ac:dyDescent="0.55000000000000004">
      <c r="A8" s="8" t="s">
        <v>202</v>
      </c>
      <c r="B8" s="14">
        <v>0.55555555555555558</v>
      </c>
      <c r="C8" s="14">
        <v>0.34444444444444444</v>
      </c>
      <c r="D8" s="14">
        <f>Table3[[#This Row],[AVG GPG]]-Table3[[#This Row],[AVG XGPG]]</f>
        <v>0.21111111111111114</v>
      </c>
    </row>
    <row r="9" spans="1:4" x14ac:dyDescent="0.55000000000000004">
      <c r="A9" s="8" t="s">
        <v>178</v>
      </c>
      <c r="B9" s="14">
        <v>0.5</v>
      </c>
      <c r="C9" s="14">
        <v>0.3</v>
      </c>
      <c r="D9" s="14">
        <f>Table3[[#This Row],[AVG GPG]]-Table3[[#This Row],[AVG XGPG]]</f>
        <v>0.2</v>
      </c>
    </row>
    <row r="10" spans="1:4" x14ac:dyDescent="0.55000000000000004">
      <c r="A10" s="8" t="s">
        <v>586</v>
      </c>
      <c r="B10" s="14">
        <v>0.46153846153846156</v>
      </c>
      <c r="C10" s="14">
        <v>0.26153846153846155</v>
      </c>
      <c r="D10" s="14">
        <f>Table3[[#This Row],[AVG GPG]]-Table3[[#This Row],[AVG XGPG]]</f>
        <v>0.2</v>
      </c>
    </row>
    <row r="11" spans="1:4" x14ac:dyDescent="0.55000000000000004">
      <c r="A11" s="8" t="s">
        <v>454</v>
      </c>
      <c r="B11" s="14">
        <v>0.25</v>
      </c>
      <c r="C11" s="14">
        <v>0.05</v>
      </c>
      <c r="D11" s="14">
        <f>Table3[[#This Row],[AVG GPG]]-Table3[[#This Row],[AVG XGPG]]</f>
        <v>0.2</v>
      </c>
    </row>
    <row r="12" spans="1:4" x14ac:dyDescent="0.55000000000000004">
      <c r="A12" s="8" t="s">
        <v>123</v>
      </c>
      <c r="B12" s="14">
        <v>0.33333333333333331</v>
      </c>
      <c r="C12" s="14">
        <v>0.16666666666666666</v>
      </c>
      <c r="D12" s="14">
        <f>Table3[[#This Row],[AVG GPG]]-Table3[[#This Row],[AVG XGPG]]</f>
        <v>0.16666666666666666</v>
      </c>
    </row>
    <row r="13" spans="1:4" x14ac:dyDescent="0.55000000000000004">
      <c r="A13" s="8" t="s">
        <v>525</v>
      </c>
      <c r="B13" s="14">
        <v>0.18181818181818182</v>
      </c>
      <c r="C13" s="14">
        <v>1.8181818181818184E-2</v>
      </c>
      <c r="D13" s="14">
        <f>Table3[[#This Row],[AVG GPG]]-Table3[[#This Row],[AVG XGPG]]</f>
        <v>0.16363636363636364</v>
      </c>
    </row>
    <row r="14" spans="1:4" x14ac:dyDescent="0.55000000000000004">
      <c r="A14" s="8" t="s">
        <v>148</v>
      </c>
      <c r="B14" s="14">
        <v>0.23076923076923078</v>
      </c>
      <c r="C14" s="14">
        <v>7.6923076923076927E-2</v>
      </c>
      <c r="D14" s="14">
        <f>Table3[[#This Row],[AVG GPG]]-Table3[[#This Row],[AVG XGPG]]</f>
        <v>0.15384615384615385</v>
      </c>
    </row>
    <row r="15" spans="1:4" x14ac:dyDescent="0.55000000000000004">
      <c r="A15" s="8" t="s">
        <v>31</v>
      </c>
      <c r="B15" s="14">
        <v>0.4</v>
      </c>
      <c r="C15" s="14">
        <v>0.25</v>
      </c>
      <c r="D15" s="14">
        <f>Table3[[#This Row],[AVG GPG]]-Table3[[#This Row],[AVG XGPG]]</f>
        <v>0.15000000000000002</v>
      </c>
    </row>
    <row r="16" spans="1:4" x14ac:dyDescent="0.55000000000000004">
      <c r="A16" s="8" t="s">
        <v>238</v>
      </c>
      <c r="B16" s="14">
        <v>0.25</v>
      </c>
      <c r="C16" s="14">
        <v>0.1</v>
      </c>
      <c r="D16" s="14">
        <f>Table3[[#This Row],[AVG GPG]]-Table3[[#This Row],[AVG XGPG]]</f>
        <v>0.15</v>
      </c>
    </row>
    <row r="17" spans="1:4" x14ac:dyDescent="0.55000000000000004">
      <c r="A17" s="8" t="s">
        <v>644</v>
      </c>
      <c r="B17" s="14">
        <v>0.25</v>
      </c>
      <c r="C17" s="14">
        <v>0.10833333333333334</v>
      </c>
      <c r="D17" s="14">
        <f>Table3[[#This Row],[AVG GPG]]-Table3[[#This Row],[AVG XGPG]]</f>
        <v>0.14166666666666666</v>
      </c>
    </row>
    <row r="18" spans="1:4" x14ac:dyDescent="0.55000000000000004">
      <c r="A18" s="8" t="s">
        <v>40</v>
      </c>
      <c r="B18" s="14">
        <v>0.16666666666666666</v>
      </c>
      <c r="C18" s="14">
        <v>3.3333333333333333E-2</v>
      </c>
      <c r="D18" s="14">
        <f>Table3[[#This Row],[AVG GPG]]-Table3[[#This Row],[AVG XGPG]]</f>
        <v>0.13333333333333333</v>
      </c>
    </row>
    <row r="19" spans="1:4" x14ac:dyDescent="0.55000000000000004">
      <c r="A19" s="8" t="s">
        <v>550</v>
      </c>
      <c r="B19" s="14">
        <v>0.22222222222222221</v>
      </c>
      <c r="C19" s="14">
        <v>8.8888888888888892E-2</v>
      </c>
      <c r="D19" s="14">
        <f>Table3[[#This Row],[AVG GPG]]-Table3[[#This Row],[AVG XGPG]]</f>
        <v>0.1333333333333333</v>
      </c>
    </row>
    <row r="20" spans="1:4" x14ac:dyDescent="0.55000000000000004">
      <c r="A20" s="8" t="s">
        <v>272</v>
      </c>
      <c r="B20" s="14">
        <v>0.14285714285714285</v>
      </c>
      <c r="C20" s="14">
        <v>1.4285714285714287E-2</v>
      </c>
      <c r="D20" s="14">
        <f>Table3[[#This Row],[AVG GPG]]-Table3[[#This Row],[AVG XGPG]]</f>
        <v>0.12857142857142856</v>
      </c>
    </row>
    <row r="21" spans="1:4" x14ac:dyDescent="0.55000000000000004">
      <c r="A21" s="8" t="s">
        <v>134</v>
      </c>
      <c r="B21" s="14">
        <v>0.15384615384615385</v>
      </c>
      <c r="C21" s="14">
        <v>3.0769230769230771E-2</v>
      </c>
      <c r="D21" s="14">
        <f>Table3[[#This Row],[AVG GPG]]-Table3[[#This Row],[AVG XGPG]]</f>
        <v>0.12307692307692308</v>
      </c>
    </row>
    <row r="22" spans="1:4" x14ac:dyDescent="0.55000000000000004">
      <c r="A22" s="8" t="s">
        <v>73</v>
      </c>
      <c r="B22" s="14">
        <v>0.23076923076923078</v>
      </c>
      <c r="C22" s="14">
        <v>0.12307692307692308</v>
      </c>
      <c r="D22" s="14">
        <f>Table3[[#This Row],[AVG GPG]]-Table3[[#This Row],[AVG XGPG]]</f>
        <v>0.1076923076923077</v>
      </c>
    </row>
    <row r="23" spans="1:4" x14ac:dyDescent="0.55000000000000004">
      <c r="A23" s="8" t="s">
        <v>355</v>
      </c>
      <c r="B23" s="14">
        <v>0.2</v>
      </c>
      <c r="C23" s="14">
        <v>0.1</v>
      </c>
      <c r="D23" s="14">
        <f>Table3[[#This Row],[AVG GPG]]-Table3[[#This Row],[AVG XGPG]]</f>
        <v>0.1</v>
      </c>
    </row>
    <row r="24" spans="1:4" x14ac:dyDescent="0.55000000000000004">
      <c r="A24" s="8" t="s">
        <v>529</v>
      </c>
      <c r="B24" s="14">
        <v>0.18181818181818182</v>
      </c>
      <c r="C24" s="14">
        <v>8.1818181818181818E-2</v>
      </c>
      <c r="D24" s="14">
        <f>Table3[[#This Row],[AVG GPG]]-Table3[[#This Row],[AVG XGPG]]</f>
        <v>0.1</v>
      </c>
    </row>
    <row r="25" spans="1:4" x14ac:dyDescent="0.55000000000000004">
      <c r="A25" s="8" t="s">
        <v>590</v>
      </c>
      <c r="B25" s="14">
        <v>0.15384615384615385</v>
      </c>
      <c r="C25" s="14">
        <v>6.1538461538461542E-2</v>
      </c>
      <c r="D25" s="14">
        <f>Table3[[#This Row],[AVG GPG]]-Table3[[#This Row],[AVG XGPG]]</f>
        <v>9.2307692307692313E-2</v>
      </c>
    </row>
    <row r="26" spans="1:4" x14ac:dyDescent="0.55000000000000004">
      <c r="A26" s="8" t="s">
        <v>486</v>
      </c>
      <c r="B26" s="14">
        <v>0.25</v>
      </c>
      <c r="C26" s="14">
        <v>0.15833333333333333</v>
      </c>
      <c r="D26" s="14">
        <f>Table3[[#This Row],[AVG GPG]]-Table3[[#This Row],[AVG XGPG]]</f>
        <v>9.1666666666666674E-2</v>
      </c>
    </row>
    <row r="27" spans="1:4" x14ac:dyDescent="0.55000000000000004">
      <c r="A27" s="8" t="s">
        <v>475</v>
      </c>
      <c r="B27" s="14">
        <v>0.16666666666666666</v>
      </c>
      <c r="C27" s="14">
        <v>8.3333333333333329E-2</v>
      </c>
      <c r="D27" s="14">
        <f>Table3[[#This Row],[AVG GPG]]-Table3[[#This Row],[AVG XGPG]]</f>
        <v>8.3333333333333329E-2</v>
      </c>
    </row>
    <row r="28" spans="1:4" x14ac:dyDescent="0.55000000000000004">
      <c r="A28" s="8" t="s">
        <v>401</v>
      </c>
      <c r="B28" s="14">
        <v>0.36363636363636365</v>
      </c>
      <c r="C28" s="14">
        <v>0.2818181818181818</v>
      </c>
      <c r="D28" s="14">
        <f>Table3[[#This Row],[AVG GPG]]-Table3[[#This Row],[AVG XGPG]]</f>
        <v>8.1818181818181845E-2</v>
      </c>
    </row>
    <row r="29" spans="1:4" x14ac:dyDescent="0.55000000000000004">
      <c r="A29" s="8" t="s">
        <v>161</v>
      </c>
      <c r="B29" s="14">
        <v>9.0909090909090912E-2</v>
      </c>
      <c r="C29" s="14">
        <v>9.0909090909090922E-3</v>
      </c>
      <c r="D29" s="14">
        <f>Table3[[#This Row],[AVG GPG]]-Table3[[#This Row],[AVG XGPG]]</f>
        <v>8.1818181818181818E-2</v>
      </c>
    </row>
    <row r="30" spans="1:4" x14ac:dyDescent="0.55000000000000004">
      <c r="A30" s="8" t="s">
        <v>548</v>
      </c>
      <c r="B30" s="14">
        <v>0.1</v>
      </c>
      <c r="C30" s="14">
        <v>0.02</v>
      </c>
      <c r="D30" s="14">
        <f>Table3[[#This Row],[AVG GPG]]-Table3[[#This Row],[AVG XGPG]]</f>
        <v>0.08</v>
      </c>
    </row>
    <row r="31" spans="1:4" x14ac:dyDescent="0.55000000000000004">
      <c r="A31" s="8" t="s">
        <v>669</v>
      </c>
      <c r="B31" s="14">
        <v>0.1</v>
      </c>
      <c r="C31" s="14">
        <v>0.02</v>
      </c>
      <c r="D31" s="14">
        <f>Table3[[#This Row],[AVG GPG]]-Table3[[#This Row],[AVG XGPG]]</f>
        <v>0.08</v>
      </c>
    </row>
    <row r="32" spans="1:4" x14ac:dyDescent="0.55000000000000004">
      <c r="A32" s="8" t="s">
        <v>319</v>
      </c>
      <c r="B32" s="14">
        <v>0.1</v>
      </c>
      <c r="C32" s="14">
        <v>0.02</v>
      </c>
      <c r="D32" s="14">
        <f>Table3[[#This Row],[AVG GPG]]-Table3[[#This Row],[AVG XGPG]]</f>
        <v>0.08</v>
      </c>
    </row>
    <row r="33" spans="1:4" x14ac:dyDescent="0.55000000000000004">
      <c r="A33" s="8" t="s">
        <v>637</v>
      </c>
      <c r="B33" s="14">
        <v>0.41666666666666669</v>
      </c>
      <c r="C33" s="14">
        <v>0.34166666666666662</v>
      </c>
      <c r="D33" s="14">
        <f>Table3[[#This Row],[AVG GPG]]-Table3[[#This Row],[AVG XGPG]]</f>
        <v>7.5000000000000067E-2</v>
      </c>
    </row>
    <row r="34" spans="1:4" x14ac:dyDescent="0.55000000000000004">
      <c r="A34" s="8" t="s">
        <v>227</v>
      </c>
      <c r="B34" s="14">
        <v>8.3333333333333329E-2</v>
      </c>
      <c r="C34" s="14">
        <v>8.3333333333333332E-3</v>
      </c>
      <c r="D34" s="14">
        <f>Table3[[#This Row],[AVG GPG]]-Table3[[#This Row],[AVG XGPG]]</f>
        <v>7.4999999999999997E-2</v>
      </c>
    </row>
    <row r="35" spans="1:4" x14ac:dyDescent="0.55000000000000004">
      <c r="A35" s="8" t="s">
        <v>180</v>
      </c>
      <c r="B35" s="14">
        <v>0.16666666666666666</v>
      </c>
      <c r="C35" s="14">
        <v>9.1666666666666674E-2</v>
      </c>
      <c r="D35" s="14">
        <f>Table3[[#This Row],[AVG GPG]]-Table3[[#This Row],[AVG XGPG]]</f>
        <v>7.4999999999999983E-2</v>
      </c>
    </row>
    <row r="36" spans="1:4" x14ac:dyDescent="0.55000000000000004">
      <c r="A36" s="8" t="s">
        <v>302</v>
      </c>
      <c r="B36" s="14">
        <v>0.6</v>
      </c>
      <c r="C36" s="14">
        <v>0.53</v>
      </c>
      <c r="D36" s="14">
        <f>Table3[[#This Row],[AVG GPG]]-Table3[[#This Row],[AVG XGPG]]</f>
        <v>6.9999999999999951E-2</v>
      </c>
    </row>
    <row r="37" spans="1:4" x14ac:dyDescent="0.55000000000000004">
      <c r="A37" s="8" t="s">
        <v>83</v>
      </c>
      <c r="B37" s="14">
        <v>0.61538461538461542</v>
      </c>
      <c r="C37" s="14">
        <v>0.5461538461538461</v>
      </c>
      <c r="D37" s="14">
        <f>Table3[[#This Row],[AVG GPG]]-Table3[[#This Row],[AVG XGPG]]</f>
        <v>6.9230769230769318E-2</v>
      </c>
    </row>
    <row r="38" spans="1:4" x14ac:dyDescent="0.55000000000000004">
      <c r="A38" s="8" t="s">
        <v>419</v>
      </c>
      <c r="B38" s="14">
        <v>7.6923076923076927E-2</v>
      </c>
      <c r="C38" s="14">
        <v>7.6923076923076927E-3</v>
      </c>
      <c r="D38" s="14">
        <f>Table3[[#This Row],[AVG GPG]]-Table3[[#This Row],[AVG XGPG]]</f>
        <v>6.9230769230769235E-2</v>
      </c>
    </row>
    <row r="39" spans="1:4" x14ac:dyDescent="0.55000000000000004">
      <c r="A39" s="8" t="s">
        <v>405</v>
      </c>
      <c r="B39" s="14">
        <v>7.6923076923076927E-2</v>
      </c>
      <c r="C39" s="14">
        <v>7.6923076923076927E-3</v>
      </c>
      <c r="D39" s="14">
        <f>Table3[[#This Row],[AVG GPG]]-Table3[[#This Row],[AVG XGPG]]</f>
        <v>6.9230769230769235E-2</v>
      </c>
    </row>
    <row r="40" spans="1:4" x14ac:dyDescent="0.55000000000000004">
      <c r="A40" s="8" t="s">
        <v>684</v>
      </c>
      <c r="B40" s="14">
        <v>0.16666666666666666</v>
      </c>
      <c r="C40" s="14">
        <v>9.9999999999999992E-2</v>
      </c>
      <c r="D40" s="14">
        <f>Table3[[#This Row],[AVG GPG]]-Table3[[#This Row],[AVG XGPG]]</f>
        <v>6.6666666666666666E-2</v>
      </c>
    </row>
    <row r="41" spans="1:4" x14ac:dyDescent="0.55000000000000004">
      <c r="A41" s="8" t="s">
        <v>64</v>
      </c>
      <c r="B41" s="14">
        <v>8.3333333333333329E-2</v>
      </c>
      <c r="C41" s="14">
        <v>1.6666666666666666E-2</v>
      </c>
      <c r="D41" s="14">
        <f>Table3[[#This Row],[AVG GPG]]-Table3[[#This Row],[AVG XGPG]]</f>
        <v>6.6666666666666666E-2</v>
      </c>
    </row>
    <row r="42" spans="1:4" x14ac:dyDescent="0.55000000000000004">
      <c r="A42" s="8" t="s">
        <v>516</v>
      </c>
      <c r="B42" s="14">
        <v>0.375</v>
      </c>
      <c r="C42" s="14">
        <v>0.3125</v>
      </c>
      <c r="D42" s="14">
        <f>Table3[[#This Row],[AVG GPG]]-Table3[[#This Row],[AVG XGPG]]</f>
        <v>6.25E-2</v>
      </c>
    </row>
    <row r="43" spans="1:4" x14ac:dyDescent="0.55000000000000004">
      <c r="A43" s="8" t="s">
        <v>192</v>
      </c>
      <c r="B43" s="14">
        <v>0.23076923076923078</v>
      </c>
      <c r="C43" s="14">
        <v>0.16923076923076924</v>
      </c>
      <c r="D43" s="14">
        <f>Table3[[#This Row],[AVG GPG]]-Table3[[#This Row],[AVG XGPG]]</f>
        <v>6.1538461538461542E-2</v>
      </c>
    </row>
    <row r="44" spans="1:4" x14ac:dyDescent="0.55000000000000004">
      <c r="A44" s="8" t="s">
        <v>280</v>
      </c>
      <c r="B44" s="14">
        <v>0.23076923076923078</v>
      </c>
      <c r="C44" s="14">
        <v>0.16923076923076924</v>
      </c>
      <c r="D44" s="14">
        <f>Table3[[#This Row],[AVG GPG]]-Table3[[#This Row],[AVG XGPG]]</f>
        <v>6.1538461538461542E-2</v>
      </c>
    </row>
    <row r="45" spans="1:4" x14ac:dyDescent="0.55000000000000004">
      <c r="A45" s="8" t="s">
        <v>606</v>
      </c>
      <c r="B45" s="14">
        <v>0.2</v>
      </c>
      <c r="C45" s="14">
        <v>0.13999999999999999</v>
      </c>
      <c r="D45" s="14">
        <f>Table3[[#This Row],[AVG GPG]]-Table3[[#This Row],[AVG XGPG]]</f>
        <v>6.0000000000000026E-2</v>
      </c>
    </row>
    <row r="46" spans="1:4" x14ac:dyDescent="0.55000000000000004">
      <c r="A46" s="8" t="s">
        <v>87</v>
      </c>
      <c r="B46" s="14">
        <v>8.3333333333333329E-2</v>
      </c>
      <c r="C46" s="14">
        <v>2.4999999999999998E-2</v>
      </c>
      <c r="D46" s="14">
        <f>Table3[[#This Row],[AVG GPG]]-Table3[[#This Row],[AVG XGPG]]</f>
        <v>5.8333333333333334E-2</v>
      </c>
    </row>
    <row r="47" spans="1:4" x14ac:dyDescent="0.55000000000000004">
      <c r="A47" s="8" t="s">
        <v>321</v>
      </c>
      <c r="B47" s="14">
        <v>8.3333333333333329E-2</v>
      </c>
      <c r="C47" s="14">
        <v>2.4999999999999998E-2</v>
      </c>
      <c r="D47" s="14">
        <f>Table3[[#This Row],[AVG GPG]]-Table3[[#This Row],[AVG XGPG]]</f>
        <v>5.8333333333333334E-2</v>
      </c>
    </row>
    <row r="48" spans="1:4" x14ac:dyDescent="0.55000000000000004">
      <c r="A48" s="8" t="s">
        <v>533</v>
      </c>
      <c r="B48" s="14">
        <v>0.14285714285714285</v>
      </c>
      <c r="C48" s="14">
        <v>8.5714285714285715E-2</v>
      </c>
      <c r="D48" s="14">
        <f>Table3[[#This Row],[AVG GPG]]-Table3[[#This Row],[AVG XGPG]]</f>
        <v>5.7142857142857134E-2</v>
      </c>
    </row>
    <row r="49" spans="1:4" x14ac:dyDescent="0.55000000000000004">
      <c r="A49" s="8" t="s">
        <v>383</v>
      </c>
      <c r="B49" s="14">
        <v>0.18181818181818182</v>
      </c>
      <c r="C49" s="14">
        <v>0.12727272727272726</v>
      </c>
      <c r="D49" s="14">
        <f>Table3[[#This Row],[AVG GPG]]-Table3[[#This Row],[AVG XGPG]]</f>
        <v>5.4545454545454564E-2</v>
      </c>
    </row>
    <row r="50" spans="1:4" x14ac:dyDescent="0.55000000000000004">
      <c r="A50" s="8" t="s">
        <v>282</v>
      </c>
      <c r="B50" s="14">
        <v>9.0909090909090912E-2</v>
      </c>
      <c r="C50" s="14">
        <v>3.6363636363636369E-2</v>
      </c>
      <c r="D50" s="14">
        <f>Table3[[#This Row],[AVG GPG]]-Table3[[#This Row],[AVG XGPG]]</f>
        <v>5.4545454545454543E-2</v>
      </c>
    </row>
    <row r="51" spans="1:4" x14ac:dyDescent="0.55000000000000004">
      <c r="A51" s="8" t="s">
        <v>558</v>
      </c>
      <c r="B51" s="14">
        <v>7.6923076923076927E-2</v>
      </c>
      <c r="C51" s="14">
        <v>2.3076923076923075E-2</v>
      </c>
      <c r="D51" s="14">
        <f>Table3[[#This Row],[AVG GPG]]-Table3[[#This Row],[AVG XGPG]]</f>
        <v>5.3846153846153849E-2</v>
      </c>
    </row>
    <row r="52" spans="1:4" x14ac:dyDescent="0.55000000000000004">
      <c r="A52" s="8" t="s">
        <v>119</v>
      </c>
      <c r="B52" s="14">
        <v>0.2</v>
      </c>
      <c r="C52" s="14">
        <v>0.15</v>
      </c>
      <c r="D52" s="14">
        <f>Table3[[#This Row],[AVG GPG]]-Table3[[#This Row],[AVG XGPG]]</f>
        <v>5.0000000000000017E-2</v>
      </c>
    </row>
    <row r="53" spans="1:4" x14ac:dyDescent="0.55000000000000004">
      <c r="A53" s="8" t="s">
        <v>363</v>
      </c>
      <c r="B53" s="14">
        <v>8.3333333333333329E-2</v>
      </c>
      <c r="C53" s="14">
        <v>3.3333333333333333E-2</v>
      </c>
      <c r="D53" s="14">
        <f>Table3[[#This Row],[AVG GPG]]-Table3[[#This Row],[AVG XGPG]]</f>
        <v>4.9999999999999996E-2</v>
      </c>
    </row>
    <row r="54" spans="1:4" x14ac:dyDescent="0.55000000000000004">
      <c r="A54" s="8" t="s">
        <v>323</v>
      </c>
      <c r="B54" s="14">
        <v>8.3333333333333329E-2</v>
      </c>
      <c r="C54" s="14">
        <v>3.3333333333333333E-2</v>
      </c>
      <c r="D54" s="14">
        <f>Table3[[#This Row],[AVG GPG]]-Table3[[#This Row],[AVG XGPG]]</f>
        <v>4.9999999999999996E-2</v>
      </c>
    </row>
    <row r="55" spans="1:4" x14ac:dyDescent="0.55000000000000004">
      <c r="A55" s="8" t="s">
        <v>387</v>
      </c>
      <c r="B55" s="14">
        <v>0.30769230769230771</v>
      </c>
      <c r="C55" s="14">
        <v>0.26153846153846155</v>
      </c>
      <c r="D55" s="14">
        <f>Table3[[#This Row],[AVG GPG]]-Table3[[#This Row],[AVG XGPG]]</f>
        <v>4.6153846153846156E-2</v>
      </c>
    </row>
    <row r="56" spans="1:4" x14ac:dyDescent="0.55000000000000004">
      <c r="A56" s="8" t="s">
        <v>377</v>
      </c>
      <c r="B56" s="14">
        <v>7.6923076923076927E-2</v>
      </c>
      <c r="C56" s="14">
        <v>3.0769230769230771E-2</v>
      </c>
      <c r="D56" s="14">
        <f>Table3[[#This Row],[AVG GPG]]-Table3[[#This Row],[AVG XGPG]]</f>
        <v>4.6153846153846156E-2</v>
      </c>
    </row>
    <row r="57" spans="1:4" x14ac:dyDescent="0.55000000000000004">
      <c r="A57" s="8" t="s">
        <v>535</v>
      </c>
      <c r="B57" s="14">
        <v>9.0909090909090912E-2</v>
      </c>
      <c r="C57" s="14">
        <v>4.5454545454545456E-2</v>
      </c>
      <c r="D57" s="14">
        <f>Table3[[#This Row],[AVG GPG]]-Table3[[#This Row],[AVG XGPG]]</f>
        <v>4.5454545454545456E-2</v>
      </c>
    </row>
    <row r="58" spans="1:4" x14ac:dyDescent="0.55000000000000004">
      <c r="A58" s="8" t="s">
        <v>686</v>
      </c>
      <c r="B58" s="14">
        <v>9.0909090909090912E-2</v>
      </c>
      <c r="C58" s="14">
        <v>4.5454545454545456E-2</v>
      </c>
      <c r="D58" s="14">
        <f>Table3[[#This Row],[AVG GPG]]-Table3[[#This Row],[AVG XGPG]]</f>
        <v>4.5454545454545456E-2</v>
      </c>
    </row>
    <row r="59" spans="1:4" x14ac:dyDescent="0.55000000000000004">
      <c r="A59" s="8" t="s">
        <v>59</v>
      </c>
      <c r="B59" s="14">
        <v>9.0909090909090912E-2</v>
      </c>
      <c r="C59" s="14">
        <v>4.5454545454545456E-2</v>
      </c>
      <c r="D59" s="14">
        <f>Table3[[#This Row],[AVG GPG]]-Table3[[#This Row],[AVG XGPG]]</f>
        <v>4.5454545454545456E-2</v>
      </c>
    </row>
    <row r="60" spans="1:4" x14ac:dyDescent="0.55000000000000004">
      <c r="A60" s="8" t="s">
        <v>370</v>
      </c>
      <c r="B60" s="14">
        <v>0.1111111111111111</v>
      </c>
      <c r="C60" s="14">
        <v>6.6666666666666666E-2</v>
      </c>
      <c r="D60" s="14">
        <f>Table3[[#This Row],[AVG GPG]]-Table3[[#This Row],[AVG XGPG]]</f>
        <v>4.4444444444444439E-2</v>
      </c>
    </row>
    <row r="61" spans="1:4" x14ac:dyDescent="0.55000000000000004">
      <c r="A61" s="8" t="s">
        <v>576</v>
      </c>
      <c r="B61" s="14">
        <v>0.25</v>
      </c>
      <c r="C61" s="14">
        <v>0.20833333333333334</v>
      </c>
      <c r="D61" s="14">
        <f>Table3[[#This Row],[AVG GPG]]-Table3[[#This Row],[AVG XGPG]]</f>
        <v>4.1666666666666657E-2</v>
      </c>
    </row>
    <row r="62" spans="1:4" x14ac:dyDescent="0.55000000000000004">
      <c r="A62" s="8" t="s">
        <v>268</v>
      </c>
      <c r="B62" s="14">
        <v>0.2</v>
      </c>
      <c r="C62" s="14">
        <v>0.16</v>
      </c>
      <c r="D62" s="14">
        <f>Table3[[#This Row],[AVG GPG]]-Table3[[#This Row],[AVG XGPG]]</f>
        <v>4.0000000000000008E-2</v>
      </c>
    </row>
    <row r="63" spans="1:4" x14ac:dyDescent="0.55000000000000004">
      <c r="A63" s="8" t="s">
        <v>594</v>
      </c>
      <c r="B63" s="14">
        <v>7.6923076923076927E-2</v>
      </c>
      <c r="C63" s="14">
        <v>3.8461538461538464E-2</v>
      </c>
      <c r="D63" s="14">
        <f>Table3[[#This Row],[AVG GPG]]-Table3[[#This Row],[AVG XGPG]]</f>
        <v>3.8461538461538464E-2</v>
      </c>
    </row>
    <row r="64" spans="1:4" x14ac:dyDescent="0.55000000000000004">
      <c r="A64" s="8" t="s">
        <v>317</v>
      </c>
      <c r="B64" s="14">
        <v>0.36363636363636365</v>
      </c>
      <c r="C64" s="14">
        <v>0.32727272727272727</v>
      </c>
      <c r="D64" s="14">
        <f>Table3[[#This Row],[AVG GPG]]-Table3[[#This Row],[AVG XGPG]]</f>
        <v>3.6363636363636376E-2</v>
      </c>
    </row>
    <row r="65" spans="1:4" x14ac:dyDescent="0.55000000000000004">
      <c r="A65" s="8" t="s">
        <v>552</v>
      </c>
      <c r="B65" s="14">
        <v>7.6923076923076927E-2</v>
      </c>
      <c r="C65" s="14">
        <v>4.6153846153846149E-2</v>
      </c>
      <c r="D65" s="14">
        <f>Table3[[#This Row],[AVG GPG]]-Table3[[#This Row],[AVG XGPG]]</f>
        <v>3.0769230769230778E-2</v>
      </c>
    </row>
    <row r="66" spans="1:4" x14ac:dyDescent="0.55000000000000004">
      <c r="A66" s="8" t="s">
        <v>482</v>
      </c>
      <c r="B66" s="14">
        <v>7.6923076923076927E-2</v>
      </c>
      <c r="C66" s="14">
        <v>4.6153846153846149E-2</v>
      </c>
      <c r="D66" s="14">
        <f>Table3[[#This Row],[AVG GPG]]-Table3[[#This Row],[AVG XGPG]]</f>
        <v>3.0769230769230778E-2</v>
      </c>
    </row>
    <row r="67" spans="1:4" x14ac:dyDescent="0.55000000000000004">
      <c r="A67" s="8" t="s">
        <v>198</v>
      </c>
      <c r="B67" s="14">
        <v>0.15384615384615385</v>
      </c>
      <c r="C67" s="14">
        <v>0.12307692307692308</v>
      </c>
      <c r="D67" s="14">
        <f>Table3[[#This Row],[AVG GPG]]-Table3[[#This Row],[AVG XGPG]]</f>
        <v>3.0769230769230771E-2</v>
      </c>
    </row>
    <row r="68" spans="1:4" x14ac:dyDescent="0.55000000000000004">
      <c r="A68" s="8" t="s">
        <v>343</v>
      </c>
      <c r="B68" s="14">
        <v>0.1</v>
      </c>
      <c r="C68" s="14">
        <v>6.9999999999999993E-2</v>
      </c>
      <c r="D68" s="14">
        <f>Table3[[#This Row],[AVG GPG]]-Table3[[#This Row],[AVG XGPG]]</f>
        <v>3.0000000000000013E-2</v>
      </c>
    </row>
    <row r="69" spans="1:4" x14ac:dyDescent="0.55000000000000004">
      <c r="A69" s="8" t="s">
        <v>450</v>
      </c>
      <c r="B69" s="14">
        <v>8.3333333333333329E-2</v>
      </c>
      <c r="C69" s="14">
        <v>5.8333333333333327E-2</v>
      </c>
      <c r="D69" s="14">
        <f>Table3[[#This Row],[AVG GPG]]-Table3[[#This Row],[AVG XGPG]]</f>
        <v>2.5000000000000001E-2</v>
      </c>
    </row>
    <row r="70" spans="1:4" x14ac:dyDescent="0.55000000000000004">
      <c r="A70" s="8" t="s">
        <v>657</v>
      </c>
      <c r="B70" s="14">
        <v>7.6923076923076927E-2</v>
      </c>
      <c r="C70" s="14">
        <v>5.3846153846153842E-2</v>
      </c>
      <c r="D70" s="14">
        <f>Table3[[#This Row],[AVG GPG]]-Table3[[#This Row],[AVG XGPG]]</f>
        <v>2.3076923076923085E-2</v>
      </c>
    </row>
    <row r="71" spans="1:4" x14ac:dyDescent="0.55000000000000004">
      <c r="A71" s="8" t="s">
        <v>421</v>
      </c>
      <c r="B71" s="14">
        <v>0.23076923076923078</v>
      </c>
      <c r="C71" s="14">
        <v>0.2076923076923077</v>
      </c>
      <c r="D71" s="14">
        <f>Table3[[#This Row],[AVG GPG]]-Table3[[#This Row],[AVG XGPG]]</f>
        <v>2.3076923076923078E-2</v>
      </c>
    </row>
    <row r="72" spans="1:4" x14ac:dyDescent="0.55000000000000004">
      <c r="A72" s="8" t="s">
        <v>575</v>
      </c>
      <c r="B72" s="14">
        <v>0.15384615384615385</v>
      </c>
      <c r="C72" s="14">
        <v>0.13076923076923078</v>
      </c>
      <c r="D72" s="14">
        <f>Table3[[#This Row],[AVG GPG]]-Table3[[#This Row],[AVG XGPG]]</f>
        <v>2.3076923076923078E-2</v>
      </c>
    </row>
    <row r="73" spans="1:4" x14ac:dyDescent="0.55000000000000004">
      <c r="A73" s="8" t="s">
        <v>619</v>
      </c>
      <c r="B73" s="14">
        <v>0.3</v>
      </c>
      <c r="C73" s="14">
        <v>0.27999999999999997</v>
      </c>
      <c r="D73" s="14">
        <f>Table3[[#This Row],[AVG GPG]]-Table3[[#This Row],[AVG XGPG]]</f>
        <v>2.0000000000000018E-2</v>
      </c>
    </row>
    <row r="74" spans="1:4" x14ac:dyDescent="0.55000000000000004">
      <c r="A74" s="8" t="s">
        <v>170</v>
      </c>
      <c r="B74" s="14">
        <v>0.18181818181818182</v>
      </c>
      <c r="C74" s="14">
        <v>0.16363636363636364</v>
      </c>
      <c r="D74" s="14">
        <f>Table3[[#This Row],[AVG GPG]]-Table3[[#This Row],[AVG XGPG]]</f>
        <v>1.8181818181818188E-2</v>
      </c>
    </row>
    <row r="75" spans="1:4" x14ac:dyDescent="0.55000000000000004">
      <c r="A75" s="8" t="s">
        <v>584</v>
      </c>
      <c r="B75" s="14">
        <v>7.6923076923076927E-2</v>
      </c>
      <c r="C75" s="14">
        <v>6.1538461538461542E-2</v>
      </c>
      <c r="D75" s="14">
        <f>Table3[[#This Row],[AVG GPG]]-Table3[[#This Row],[AVG XGPG]]</f>
        <v>1.5384615384615385E-2</v>
      </c>
    </row>
    <row r="76" spans="1:4" x14ac:dyDescent="0.55000000000000004">
      <c r="A76" s="8" t="s">
        <v>35</v>
      </c>
      <c r="B76" s="14">
        <v>0.1</v>
      </c>
      <c r="C76" s="14">
        <v>0.09</v>
      </c>
      <c r="D76" s="14">
        <f>Table3[[#This Row],[AVG GPG]]-Table3[[#This Row],[AVG XGPG]]</f>
        <v>1.0000000000000009E-2</v>
      </c>
    </row>
    <row r="77" spans="1:4" x14ac:dyDescent="0.55000000000000004">
      <c r="A77" s="8" t="s">
        <v>243</v>
      </c>
      <c r="B77" s="14">
        <v>0.25</v>
      </c>
      <c r="C77" s="14">
        <v>0.24166666666666667</v>
      </c>
      <c r="D77" s="14">
        <f>Table3[[#This Row],[AVG GPG]]-Table3[[#This Row],[AVG XGPG]]</f>
        <v>8.3333333333333315E-3</v>
      </c>
    </row>
    <row r="78" spans="1:4" x14ac:dyDescent="0.55000000000000004">
      <c r="A78" s="8" t="s">
        <v>639</v>
      </c>
      <c r="B78" s="14">
        <v>8.3333333333333329E-2</v>
      </c>
      <c r="C78" s="14">
        <v>7.4999999999999997E-2</v>
      </c>
      <c r="D78" s="14">
        <f>Table3[[#This Row],[AVG GPG]]-Table3[[#This Row],[AVG XGPG]]</f>
        <v>8.3333333333333315E-3</v>
      </c>
    </row>
    <row r="79" spans="1:4" x14ac:dyDescent="0.55000000000000004">
      <c r="A79" s="8" t="s">
        <v>678</v>
      </c>
      <c r="B79" s="14">
        <v>7.6923076923076927E-2</v>
      </c>
      <c r="C79" s="14">
        <v>6.9230769230769235E-2</v>
      </c>
      <c r="D79" s="14">
        <f>Table3[[#This Row],[AVG GPG]]-Table3[[#This Row],[AVG XGPG]]</f>
        <v>7.6923076923076927E-3</v>
      </c>
    </row>
    <row r="80" spans="1:4" x14ac:dyDescent="0.55000000000000004">
      <c r="A80" s="8" t="s">
        <v>379</v>
      </c>
      <c r="B80" s="14">
        <v>0.3</v>
      </c>
      <c r="C80" s="14">
        <v>0.3</v>
      </c>
      <c r="D80" s="14">
        <f>Table3[[#This Row],[AVG GPG]]-Table3[[#This Row],[AVG XGPG]]</f>
        <v>0</v>
      </c>
    </row>
    <row r="81" spans="1:4" x14ac:dyDescent="0.55000000000000004">
      <c r="A81" s="8" t="s">
        <v>291</v>
      </c>
      <c r="B81" s="14">
        <v>0.18181818181818182</v>
      </c>
      <c r="C81" s="14">
        <v>0.18181818181818182</v>
      </c>
      <c r="D81" s="14">
        <f>Table3[[#This Row],[AVG GPG]]-Table3[[#This Row],[AVG XGPG]]</f>
        <v>0</v>
      </c>
    </row>
    <row r="82" spans="1:4" x14ac:dyDescent="0.55000000000000004">
      <c r="A82" s="8" t="s">
        <v>284</v>
      </c>
      <c r="B82" s="14">
        <v>8.3333333333333329E-2</v>
      </c>
      <c r="C82" s="14">
        <v>8.3333333333333329E-2</v>
      </c>
      <c r="D82" s="14">
        <f>Table3[[#This Row],[AVG GPG]]-Table3[[#This Row],[AVG XGPG]]</f>
        <v>0</v>
      </c>
    </row>
    <row r="83" spans="1:4" x14ac:dyDescent="0.55000000000000004">
      <c r="A83" s="8" t="s">
        <v>680</v>
      </c>
      <c r="B83" s="14">
        <v>7.6923076923076927E-2</v>
      </c>
      <c r="C83" s="14">
        <v>7.6923076923076927E-2</v>
      </c>
      <c r="D83" s="14">
        <f>Table3[[#This Row],[AVG GPG]]-Table3[[#This Row],[AVG XGPG]]</f>
        <v>0</v>
      </c>
    </row>
    <row r="84" spans="1:4" x14ac:dyDescent="0.55000000000000004">
      <c r="A84" s="8" t="s">
        <v>611</v>
      </c>
      <c r="B84" s="14">
        <v>7.6923076923076927E-2</v>
      </c>
      <c r="C84" s="14">
        <v>7.6923076923076927E-2</v>
      </c>
      <c r="D84" s="14">
        <f>Table3[[#This Row],[AVG GPG]]-Table3[[#This Row],[AVG XGPG]]</f>
        <v>0</v>
      </c>
    </row>
    <row r="85" spans="1:4" x14ac:dyDescent="0.55000000000000004">
      <c r="A85" s="8" t="s">
        <v>496</v>
      </c>
      <c r="B85" s="14">
        <v>7.6923076923076927E-2</v>
      </c>
      <c r="C85" s="14">
        <v>7.6923076923076927E-2</v>
      </c>
      <c r="D85" s="14">
        <f>Table3[[#This Row],[AVG GPG]]-Table3[[#This Row],[AVG XGPG]]</f>
        <v>0</v>
      </c>
    </row>
    <row r="86" spans="1:4" x14ac:dyDescent="0.55000000000000004">
      <c r="A86" s="8" t="s">
        <v>604</v>
      </c>
      <c r="B86" s="14">
        <v>0</v>
      </c>
      <c r="C86" s="14">
        <v>0</v>
      </c>
      <c r="D86" s="14">
        <f>Table3[[#This Row],[AVG GPG]]-Table3[[#This Row],[AVG XGPG]]</f>
        <v>0</v>
      </c>
    </row>
    <row r="87" spans="1:4" x14ac:dyDescent="0.55000000000000004">
      <c r="A87" s="8" t="s">
        <v>172</v>
      </c>
      <c r="B87" s="14">
        <v>0</v>
      </c>
      <c r="C87" s="14">
        <v>0</v>
      </c>
      <c r="D87" s="14">
        <f>Table3[[#This Row],[AVG GPG]]-Table3[[#This Row],[AVG XGPG]]</f>
        <v>0</v>
      </c>
    </row>
    <row r="88" spans="1:4" x14ac:dyDescent="0.55000000000000004">
      <c r="A88" s="8" t="s">
        <v>393</v>
      </c>
      <c r="B88" s="14">
        <v>0</v>
      </c>
      <c r="C88" s="14">
        <v>0</v>
      </c>
      <c r="D88" s="14">
        <f>Table3[[#This Row],[AVG GPG]]-Table3[[#This Row],[AVG XGPG]]</f>
        <v>0</v>
      </c>
    </row>
    <row r="89" spans="1:4" x14ac:dyDescent="0.55000000000000004">
      <c r="A89" s="8" t="s">
        <v>490</v>
      </c>
      <c r="B89" s="14">
        <v>0</v>
      </c>
      <c r="C89" s="14">
        <v>0</v>
      </c>
      <c r="D89" s="14">
        <f>Table3[[#This Row],[AVG GPG]]-Table3[[#This Row],[AVG XGPG]]</f>
        <v>0</v>
      </c>
    </row>
    <row r="90" spans="1:4" x14ac:dyDescent="0.55000000000000004">
      <c r="A90" s="8" t="s">
        <v>442</v>
      </c>
      <c r="B90" s="14">
        <v>0</v>
      </c>
      <c r="C90" s="14">
        <v>0</v>
      </c>
      <c r="D90" s="14">
        <f>Table3[[#This Row],[AVG GPG]]-Table3[[#This Row],[AVG XGPG]]</f>
        <v>0</v>
      </c>
    </row>
    <row r="91" spans="1:4" x14ac:dyDescent="0.55000000000000004">
      <c r="A91" s="8" t="s">
        <v>286</v>
      </c>
      <c r="B91" s="14">
        <v>0</v>
      </c>
      <c r="C91" s="14">
        <v>0</v>
      </c>
      <c r="D91" s="14">
        <f>Table3[[#This Row],[AVG GPG]]-Table3[[#This Row],[AVG XGPG]]</f>
        <v>0</v>
      </c>
    </row>
    <row r="92" spans="1:4" x14ac:dyDescent="0.55000000000000004">
      <c r="A92" s="8" t="s">
        <v>53</v>
      </c>
      <c r="B92" s="14">
        <v>0</v>
      </c>
      <c r="C92" s="14">
        <v>0</v>
      </c>
      <c r="D92" s="14">
        <f>Table3[[#This Row],[AVG GPG]]-Table3[[#This Row],[AVG XGPG]]</f>
        <v>0</v>
      </c>
    </row>
    <row r="93" spans="1:4" x14ac:dyDescent="0.55000000000000004">
      <c r="A93" s="8" t="s">
        <v>471</v>
      </c>
      <c r="B93" s="14">
        <v>0</v>
      </c>
      <c r="C93" s="14">
        <v>0</v>
      </c>
      <c r="D93" s="14">
        <f>Table3[[#This Row],[AVG GPG]]-Table3[[#This Row],[AVG XGPG]]</f>
        <v>0</v>
      </c>
    </row>
    <row r="94" spans="1:4" x14ac:dyDescent="0.55000000000000004">
      <c r="A94" s="8" t="s">
        <v>99</v>
      </c>
      <c r="B94" s="14">
        <v>0</v>
      </c>
      <c r="C94" s="14">
        <v>0</v>
      </c>
      <c r="D94" s="14">
        <f>Table3[[#This Row],[AVG GPG]]-Table3[[#This Row],[AVG XGPG]]</f>
        <v>0</v>
      </c>
    </row>
    <row r="95" spans="1:4" x14ac:dyDescent="0.55000000000000004">
      <c r="A95" s="8" t="s">
        <v>492</v>
      </c>
      <c r="B95" s="14">
        <v>0</v>
      </c>
      <c r="C95" s="14">
        <v>0</v>
      </c>
      <c r="D95" s="14">
        <f>Table3[[#This Row],[AVG GPG]]-Table3[[#This Row],[AVG XGPG]]</f>
        <v>0</v>
      </c>
    </row>
    <row r="96" spans="1:4" x14ac:dyDescent="0.55000000000000004">
      <c r="A96" s="8" t="s">
        <v>361</v>
      </c>
      <c r="B96" s="14">
        <v>0</v>
      </c>
      <c r="C96" s="14">
        <v>0</v>
      </c>
      <c r="D96" s="14">
        <f>Table3[[#This Row],[AVG GPG]]-Table3[[#This Row],[AVG XGPG]]</f>
        <v>0</v>
      </c>
    </row>
    <row r="97" spans="1:4" x14ac:dyDescent="0.55000000000000004">
      <c r="A97" s="8" t="s">
        <v>174</v>
      </c>
      <c r="B97" s="14">
        <v>0</v>
      </c>
      <c r="C97" s="14">
        <v>0</v>
      </c>
      <c r="D97" s="14">
        <f>Table3[[#This Row],[AVG GPG]]-Table3[[#This Row],[AVG XGPG]]</f>
        <v>0</v>
      </c>
    </row>
    <row r="98" spans="1:4" x14ac:dyDescent="0.55000000000000004">
      <c r="A98" s="8" t="s">
        <v>234</v>
      </c>
      <c r="B98" s="14">
        <v>0</v>
      </c>
      <c r="C98" s="14">
        <v>0</v>
      </c>
      <c r="D98" s="14">
        <f>Table3[[#This Row],[AVG GPG]]-Table3[[#This Row],[AVG XGPG]]</f>
        <v>0</v>
      </c>
    </row>
    <row r="99" spans="1:4" x14ac:dyDescent="0.55000000000000004">
      <c r="A99" s="8" t="s">
        <v>117</v>
      </c>
      <c r="B99" s="14">
        <v>0</v>
      </c>
      <c r="C99" s="14">
        <v>0</v>
      </c>
      <c r="D99" s="14">
        <f>Table3[[#This Row],[AVG GPG]]-Table3[[#This Row],[AVG XGPG]]</f>
        <v>0</v>
      </c>
    </row>
    <row r="100" spans="1:4" x14ac:dyDescent="0.55000000000000004">
      <c r="A100" s="8" t="s">
        <v>428</v>
      </c>
      <c r="B100" s="14">
        <v>0</v>
      </c>
      <c r="C100" s="14">
        <v>0</v>
      </c>
      <c r="D100" s="14">
        <f>Table3[[#This Row],[AVG GPG]]-Table3[[#This Row],[AVG XGPG]]</f>
        <v>0</v>
      </c>
    </row>
    <row r="101" spans="1:4" x14ac:dyDescent="0.55000000000000004">
      <c r="A101" s="8" t="s">
        <v>182</v>
      </c>
      <c r="B101" s="14">
        <v>0</v>
      </c>
      <c r="C101" s="14">
        <v>0</v>
      </c>
      <c r="D101" s="14">
        <f>Table3[[#This Row],[AVG GPG]]-Table3[[#This Row],[AVG XGPG]]</f>
        <v>0</v>
      </c>
    </row>
    <row r="102" spans="1:4" x14ac:dyDescent="0.55000000000000004">
      <c r="A102" s="8" t="s">
        <v>132</v>
      </c>
      <c r="B102" s="14">
        <v>0</v>
      </c>
      <c r="C102" s="14">
        <v>0</v>
      </c>
      <c r="D102" s="14">
        <f>Table3[[#This Row],[AVG GPG]]-Table3[[#This Row],[AVG XGPG]]</f>
        <v>0</v>
      </c>
    </row>
    <row r="103" spans="1:4" x14ac:dyDescent="0.55000000000000004">
      <c r="A103" s="8" t="s">
        <v>564</v>
      </c>
      <c r="B103" s="14">
        <v>0</v>
      </c>
      <c r="C103" s="14">
        <v>0</v>
      </c>
      <c r="D103" s="14">
        <f>Table3[[#This Row],[AVG GPG]]-Table3[[#This Row],[AVG XGPG]]</f>
        <v>0</v>
      </c>
    </row>
    <row r="104" spans="1:4" x14ac:dyDescent="0.55000000000000004">
      <c r="A104" s="8" t="s">
        <v>488</v>
      </c>
      <c r="B104" s="14">
        <v>0</v>
      </c>
      <c r="C104" s="14">
        <v>0</v>
      </c>
      <c r="D104" s="14">
        <f>Table3[[#This Row],[AVG GPG]]-Table3[[#This Row],[AVG XGPG]]</f>
        <v>0</v>
      </c>
    </row>
    <row r="105" spans="1:4" x14ac:dyDescent="0.55000000000000004">
      <c r="A105" s="8" t="s">
        <v>520</v>
      </c>
      <c r="B105" s="14">
        <v>0</v>
      </c>
      <c r="C105" s="14">
        <v>0</v>
      </c>
      <c r="D105" s="14">
        <f>Table3[[#This Row],[AVG GPG]]-Table3[[#This Row],[AVG XGPG]]</f>
        <v>0</v>
      </c>
    </row>
    <row r="106" spans="1:4" x14ac:dyDescent="0.55000000000000004">
      <c r="A106" s="8" t="s">
        <v>670</v>
      </c>
      <c r="B106" s="14">
        <v>0</v>
      </c>
      <c r="C106" s="14">
        <v>0</v>
      </c>
      <c r="D106" s="14">
        <f>Table3[[#This Row],[AVG GPG]]-Table3[[#This Row],[AVG XGPG]]</f>
        <v>0</v>
      </c>
    </row>
    <row r="107" spans="1:4" x14ac:dyDescent="0.55000000000000004">
      <c r="A107" s="8" t="s">
        <v>211</v>
      </c>
      <c r="B107" s="14">
        <v>0</v>
      </c>
      <c r="C107" s="14">
        <v>0</v>
      </c>
      <c r="D107" s="14">
        <f>Table3[[#This Row],[AVG GPG]]-Table3[[#This Row],[AVG XGPG]]</f>
        <v>0</v>
      </c>
    </row>
    <row r="108" spans="1:4" x14ac:dyDescent="0.55000000000000004">
      <c r="A108" s="8" t="s">
        <v>196</v>
      </c>
      <c r="B108" s="14">
        <v>0</v>
      </c>
      <c r="C108" s="14">
        <v>0</v>
      </c>
      <c r="D108" s="14">
        <f>Table3[[#This Row],[AVG GPG]]-Table3[[#This Row],[AVG XGPG]]</f>
        <v>0</v>
      </c>
    </row>
    <row r="109" spans="1:4" x14ac:dyDescent="0.55000000000000004">
      <c r="A109" s="8" t="s">
        <v>665</v>
      </c>
      <c r="B109" s="14">
        <v>0</v>
      </c>
      <c r="C109" s="14">
        <v>0</v>
      </c>
      <c r="D109" s="14">
        <f>Table3[[#This Row],[AVG GPG]]-Table3[[#This Row],[AVG XGPG]]</f>
        <v>0</v>
      </c>
    </row>
    <row r="110" spans="1:4" x14ac:dyDescent="0.55000000000000004">
      <c r="A110" s="8" t="s">
        <v>527</v>
      </c>
      <c r="B110" s="14">
        <v>0</v>
      </c>
      <c r="C110" s="14">
        <v>0</v>
      </c>
      <c r="D110" s="14">
        <f>Table3[[#This Row],[AVG GPG]]-Table3[[#This Row],[AVG XGPG]]</f>
        <v>0</v>
      </c>
    </row>
    <row r="111" spans="1:4" x14ac:dyDescent="0.55000000000000004">
      <c r="A111" s="8" t="s">
        <v>430</v>
      </c>
      <c r="B111" s="14">
        <v>0</v>
      </c>
      <c r="C111" s="14">
        <v>0</v>
      </c>
      <c r="D111" s="14">
        <f>Table3[[#This Row],[AVG GPG]]-Table3[[#This Row],[AVG XGPG]]</f>
        <v>0</v>
      </c>
    </row>
    <row r="112" spans="1:4" x14ac:dyDescent="0.55000000000000004">
      <c r="A112" s="8" t="s">
        <v>452</v>
      </c>
      <c r="B112" s="14">
        <v>0</v>
      </c>
      <c r="C112" s="14">
        <v>0</v>
      </c>
      <c r="D112" s="14">
        <f>Table3[[#This Row],[AVG GPG]]-Table3[[#This Row],[AVG XGPG]]</f>
        <v>0</v>
      </c>
    </row>
    <row r="113" spans="1:4" x14ac:dyDescent="0.55000000000000004">
      <c r="A113" s="8" t="s">
        <v>573</v>
      </c>
      <c r="B113" s="14">
        <v>0</v>
      </c>
      <c r="C113" s="14">
        <v>0</v>
      </c>
      <c r="D113" s="14">
        <f>Table3[[#This Row],[AVG GPG]]-Table3[[#This Row],[AVG XGPG]]</f>
        <v>0</v>
      </c>
    </row>
    <row r="114" spans="1:4" x14ac:dyDescent="0.55000000000000004">
      <c r="A114" s="8" t="s">
        <v>44</v>
      </c>
      <c r="B114" s="14">
        <v>0</v>
      </c>
      <c r="C114" s="14">
        <v>0</v>
      </c>
      <c r="D114" s="14">
        <f>Table3[[#This Row],[AVG GPG]]-Table3[[#This Row],[AVG XGPG]]</f>
        <v>0</v>
      </c>
    </row>
    <row r="115" spans="1:4" x14ac:dyDescent="0.55000000000000004">
      <c r="A115" s="8" t="s">
        <v>229</v>
      </c>
      <c r="B115" s="14">
        <v>0</v>
      </c>
      <c r="C115" s="14">
        <v>0</v>
      </c>
      <c r="D115" s="14">
        <f>Table3[[#This Row],[AVG GPG]]-Table3[[#This Row],[AVG XGPG]]</f>
        <v>0</v>
      </c>
    </row>
    <row r="116" spans="1:4" x14ac:dyDescent="0.55000000000000004">
      <c r="A116" s="8" t="s">
        <v>413</v>
      </c>
      <c r="B116" s="14">
        <v>0</v>
      </c>
      <c r="C116" s="14">
        <v>0</v>
      </c>
      <c r="D116" s="14">
        <f>Table3[[#This Row],[AVG GPG]]-Table3[[#This Row],[AVG XGPG]]</f>
        <v>0</v>
      </c>
    </row>
    <row r="117" spans="1:4" x14ac:dyDescent="0.55000000000000004">
      <c r="A117" s="8" t="s">
        <v>270</v>
      </c>
      <c r="B117" s="14">
        <v>0</v>
      </c>
      <c r="C117" s="14">
        <v>0</v>
      </c>
      <c r="D117" s="14">
        <f>Table3[[#This Row],[AVG GPG]]-Table3[[#This Row],[AVG XGPG]]</f>
        <v>0</v>
      </c>
    </row>
    <row r="118" spans="1:4" x14ac:dyDescent="0.55000000000000004">
      <c r="A118" s="8" t="s">
        <v>348</v>
      </c>
      <c r="B118" s="14">
        <v>0</v>
      </c>
      <c r="C118" s="14">
        <v>0</v>
      </c>
      <c r="D118" s="14">
        <f>Table3[[#This Row],[AVG GPG]]-Table3[[#This Row],[AVG XGPG]]</f>
        <v>0</v>
      </c>
    </row>
    <row r="119" spans="1:4" x14ac:dyDescent="0.55000000000000004">
      <c r="A119" s="8" t="s">
        <v>215</v>
      </c>
      <c r="B119" s="14">
        <v>0</v>
      </c>
      <c r="C119" s="14">
        <v>0</v>
      </c>
      <c r="D119" s="14">
        <f>Table3[[#This Row],[AVG GPG]]-Table3[[#This Row],[AVG XGPG]]</f>
        <v>0</v>
      </c>
    </row>
    <row r="120" spans="1:4" x14ac:dyDescent="0.55000000000000004">
      <c r="A120" s="8" t="s">
        <v>596</v>
      </c>
      <c r="B120" s="14">
        <v>0</v>
      </c>
      <c r="C120" s="14">
        <v>0</v>
      </c>
      <c r="D120" s="14">
        <f>Table3[[#This Row],[AVG GPG]]-Table3[[#This Row],[AVG XGPG]]</f>
        <v>0</v>
      </c>
    </row>
    <row r="121" spans="1:4" x14ac:dyDescent="0.55000000000000004">
      <c r="A121" s="8" t="s">
        <v>136</v>
      </c>
      <c r="B121" s="14">
        <v>0</v>
      </c>
      <c r="C121" s="14">
        <v>0</v>
      </c>
      <c r="D121" s="14">
        <f>Table3[[#This Row],[AVG GPG]]-Table3[[#This Row],[AVG XGPG]]</f>
        <v>0</v>
      </c>
    </row>
    <row r="122" spans="1:4" x14ac:dyDescent="0.55000000000000004">
      <c r="A122" s="8" t="s">
        <v>115</v>
      </c>
      <c r="B122" s="14">
        <v>0</v>
      </c>
      <c r="C122" s="14">
        <v>0</v>
      </c>
      <c r="D122" s="14">
        <f>Table3[[#This Row],[AVG GPG]]-Table3[[#This Row],[AVG XGPG]]</f>
        <v>0</v>
      </c>
    </row>
    <row r="123" spans="1:4" x14ac:dyDescent="0.55000000000000004">
      <c r="A123" s="8" t="s">
        <v>126</v>
      </c>
      <c r="B123" s="14">
        <v>0</v>
      </c>
      <c r="C123" s="14">
        <v>0</v>
      </c>
      <c r="D123" s="14">
        <f>Table3[[#This Row],[AVG GPG]]-Table3[[#This Row],[AVG XGPG]]</f>
        <v>0</v>
      </c>
    </row>
    <row r="124" spans="1:4" x14ac:dyDescent="0.55000000000000004">
      <c r="A124" s="8" t="s">
        <v>260</v>
      </c>
      <c r="B124" s="14">
        <v>0</v>
      </c>
      <c r="C124" s="14">
        <v>0</v>
      </c>
      <c r="D124" s="14">
        <f>Table3[[#This Row],[AVG GPG]]-Table3[[#This Row],[AVG XGPG]]</f>
        <v>0</v>
      </c>
    </row>
    <row r="125" spans="1:4" x14ac:dyDescent="0.55000000000000004">
      <c r="A125" s="8" t="s">
        <v>600</v>
      </c>
      <c r="B125" s="14">
        <v>0</v>
      </c>
      <c r="C125" s="14">
        <v>0</v>
      </c>
      <c r="D125" s="14">
        <f>Table3[[#This Row],[AVG GPG]]-Table3[[#This Row],[AVG XGPG]]</f>
        <v>0</v>
      </c>
    </row>
    <row r="126" spans="1:4" x14ac:dyDescent="0.55000000000000004">
      <c r="A126" s="8" t="s">
        <v>121</v>
      </c>
      <c r="B126" s="14">
        <v>0</v>
      </c>
      <c r="C126" s="14">
        <v>0</v>
      </c>
      <c r="D126" s="14">
        <f>Table3[[#This Row],[AVG GPG]]-Table3[[#This Row],[AVG XGPG]]</f>
        <v>0</v>
      </c>
    </row>
    <row r="127" spans="1:4" x14ac:dyDescent="0.55000000000000004">
      <c r="A127" s="8" t="s">
        <v>297</v>
      </c>
      <c r="B127" s="14">
        <v>0</v>
      </c>
      <c r="C127" s="14">
        <v>0</v>
      </c>
      <c r="D127" s="14">
        <f>Table3[[#This Row],[AVG GPG]]-Table3[[#This Row],[AVG XGPG]]</f>
        <v>0</v>
      </c>
    </row>
    <row r="128" spans="1:4" x14ac:dyDescent="0.55000000000000004">
      <c r="A128" s="8" t="s">
        <v>219</v>
      </c>
      <c r="B128" s="14">
        <v>0</v>
      </c>
      <c r="C128" s="14">
        <v>0</v>
      </c>
      <c r="D128" s="14">
        <f>Table3[[#This Row],[AVG GPG]]-Table3[[#This Row],[AVG XGPG]]</f>
        <v>0</v>
      </c>
    </row>
    <row r="129" spans="1:4" x14ac:dyDescent="0.55000000000000004">
      <c r="A129" s="8" t="s">
        <v>266</v>
      </c>
      <c r="B129" s="14">
        <v>0</v>
      </c>
      <c r="C129" s="14">
        <v>0</v>
      </c>
      <c r="D129" s="14">
        <f>Table3[[#This Row],[AVG GPG]]-Table3[[#This Row],[AVG XGPG]]</f>
        <v>0</v>
      </c>
    </row>
    <row r="130" spans="1:4" x14ac:dyDescent="0.55000000000000004">
      <c r="A130" s="8" t="s">
        <v>598</v>
      </c>
      <c r="B130" s="14">
        <v>0</v>
      </c>
      <c r="C130" s="14">
        <v>0</v>
      </c>
      <c r="D130" s="14">
        <f>Table3[[#This Row],[AVG GPG]]-Table3[[#This Row],[AVG XGPG]]</f>
        <v>0</v>
      </c>
    </row>
    <row r="131" spans="1:4" x14ac:dyDescent="0.55000000000000004">
      <c r="A131" s="8" t="s">
        <v>646</v>
      </c>
      <c r="B131" s="14">
        <v>0</v>
      </c>
      <c r="C131" s="14">
        <v>0</v>
      </c>
      <c r="D131" s="14">
        <f>Table3[[#This Row],[AVG GPG]]-Table3[[#This Row],[AVG XGPG]]</f>
        <v>0</v>
      </c>
    </row>
    <row r="132" spans="1:4" x14ac:dyDescent="0.55000000000000004">
      <c r="A132" s="8" t="s">
        <v>562</v>
      </c>
      <c r="B132" s="14">
        <v>0</v>
      </c>
      <c r="C132" s="14">
        <v>0</v>
      </c>
      <c r="D132" s="14">
        <f>Table3[[#This Row],[AVG GPG]]-Table3[[#This Row],[AVG XGPG]]</f>
        <v>0</v>
      </c>
    </row>
    <row r="133" spans="1:4" x14ac:dyDescent="0.55000000000000004">
      <c r="A133" s="8" t="s">
        <v>676</v>
      </c>
      <c r="B133" s="14">
        <v>0</v>
      </c>
      <c r="C133" s="14">
        <v>0</v>
      </c>
      <c r="D133" s="14">
        <f>Table3[[#This Row],[AVG GPG]]-Table3[[#This Row],[AVG XGPG]]</f>
        <v>0</v>
      </c>
    </row>
    <row r="134" spans="1:4" x14ac:dyDescent="0.55000000000000004">
      <c r="A134" s="8" t="s">
        <v>403</v>
      </c>
      <c r="B134" s="14">
        <v>0</v>
      </c>
      <c r="C134" s="14">
        <v>0</v>
      </c>
      <c r="D134" s="14">
        <f>Table3[[#This Row],[AVG GPG]]-Table3[[#This Row],[AVG XGPG]]</f>
        <v>0</v>
      </c>
    </row>
    <row r="135" spans="1:4" x14ac:dyDescent="0.55000000000000004">
      <c r="A135" s="8" t="s">
        <v>295</v>
      </c>
      <c r="B135" s="14">
        <v>0</v>
      </c>
      <c r="C135" s="14">
        <v>0</v>
      </c>
      <c r="D135" s="14">
        <f>Table3[[#This Row],[AVG GPG]]-Table3[[#This Row],[AVG XGPG]]</f>
        <v>0</v>
      </c>
    </row>
    <row r="136" spans="1:4" x14ac:dyDescent="0.55000000000000004">
      <c r="A136" s="8" t="s">
        <v>221</v>
      </c>
      <c r="B136" s="14">
        <v>0</v>
      </c>
      <c r="C136" s="14">
        <v>0</v>
      </c>
      <c r="D136" s="14">
        <f>Table3[[#This Row],[AVG GPG]]-Table3[[#This Row],[AVG XGPG]]</f>
        <v>0</v>
      </c>
    </row>
    <row r="137" spans="1:4" x14ac:dyDescent="0.55000000000000004">
      <c r="A137" s="8" t="s">
        <v>631</v>
      </c>
      <c r="B137" s="14">
        <v>0</v>
      </c>
      <c r="C137" s="14">
        <v>0</v>
      </c>
      <c r="D137" s="14">
        <f>Table3[[#This Row],[AVG GPG]]-Table3[[#This Row],[AVG XGPG]]</f>
        <v>0</v>
      </c>
    </row>
    <row r="138" spans="1:4" x14ac:dyDescent="0.55000000000000004">
      <c r="A138" s="8" t="s">
        <v>89</v>
      </c>
      <c r="B138" s="14">
        <v>0</v>
      </c>
      <c r="C138" s="14">
        <v>0</v>
      </c>
      <c r="D138" s="14">
        <f>Table3[[#This Row],[AVG GPG]]-Table3[[#This Row],[AVG XGPG]]</f>
        <v>0</v>
      </c>
    </row>
    <row r="139" spans="1:4" x14ac:dyDescent="0.55000000000000004">
      <c r="A139" s="8" t="s">
        <v>245</v>
      </c>
      <c r="B139" s="14">
        <v>0</v>
      </c>
      <c r="C139" s="14">
        <v>0</v>
      </c>
      <c r="D139" s="14">
        <f>Table3[[#This Row],[AVG GPG]]-Table3[[#This Row],[AVG XGPG]]</f>
        <v>0</v>
      </c>
    </row>
    <row r="140" spans="1:4" x14ac:dyDescent="0.55000000000000004">
      <c r="A140" s="8" t="s">
        <v>493</v>
      </c>
      <c r="B140" s="14">
        <v>0</v>
      </c>
      <c r="C140" s="14">
        <v>0</v>
      </c>
      <c r="D140" s="14">
        <f>Table3[[#This Row],[AVG GPG]]-Table3[[#This Row],[AVG XGPG]]</f>
        <v>0</v>
      </c>
    </row>
    <row r="141" spans="1:4" x14ac:dyDescent="0.55000000000000004">
      <c r="A141" s="8" t="s">
        <v>399</v>
      </c>
      <c r="B141" s="14">
        <v>0</v>
      </c>
      <c r="C141" s="14">
        <v>0</v>
      </c>
      <c r="D141" s="14">
        <f>Table3[[#This Row],[AVG GPG]]-Table3[[#This Row],[AVG XGPG]]</f>
        <v>0</v>
      </c>
    </row>
    <row r="142" spans="1:4" x14ac:dyDescent="0.55000000000000004">
      <c r="A142" s="8" t="s">
        <v>67</v>
      </c>
      <c r="B142" s="14">
        <v>0</v>
      </c>
      <c r="C142" s="14">
        <v>0</v>
      </c>
      <c r="D142" s="14">
        <f>Table3[[#This Row],[AVG GPG]]-Table3[[#This Row],[AVG XGPG]]</f>
        <v>0</v>
      </c>
    </row>
    <row r="143" spans="1:4" x14ac:dyDescent="0.55000000000000004">
      <c r="A143" s="8" t="s">
        <v>444</v>
      </c>
      <c r="B143" s="14">
        <v>0</v>
      </c>
      <c r="C143" s="14">
        <v>0</v>
      </c>
      <c r="D143" s="14">
        <f>Table3[[#This Row],[AVG GPG]]-Table3[[#This Row],[AVG XGPG]]</f>
        <v>0</v>
      </c>
    </row>
    <row r="144" spans="1:4" x14ac:dyDescent="0.55000000000000004">
      <c r="A144" s="8" t="s">
        <v>256</v>
      </c>
      <c r="B144" s="14">
        <v>0</v>
      </c>
      <c r="C144" s="14">
        <v>0</v>
      </c>
      <c r="D144" s="14">
        <f>Table3[[#This Row],[AVG GPG]]-Table3[[#This Row],[AVG XGPG]]</f>
        <v>0</v>
      </c>
    </row>
    <row r="145" spans="1:4" x14ac:dyDescent="0.55000000000000004">
      <c r="A145" s="8" t="s">
        <v>208</v>
      </c>
      <c r="B145" s="14">
        <v>0</v>
      </c>
      <c r="C145" s="14">
        <v>0</v>
      </c>
      <c r="D145" s="14">
        <f>Table3[[#This Row],[AVG GPG]]-Table3[[#This Row],[AVG XGPG]]</f>
        <v>0</v>
      </c>
    </row>
    <row r="146" spans="1:4" x14ac:dyDescent="0.55000000000000004">
      <c r="A146" s="8" t="s">
        <v>395</v>
      </c>
      <c r="B146" s="14">
        <v>0</v>
      </c>
      <c r="C146" s="14">
        <v>0</v>
      </c>
      <c r="D146" s="14">
        <f>Table3[[#This Row],[AVG GPG]]-Table3[[#This Row],[AVG XGPG]]</f>
        <v>0</v>
      </c>
    </row>
    <row r="147" spans="1:4" x14ac:dyDescent="0.55000000000000004">
      <c r="A147" s="8" t="s">
        <v>187</v>
      </c>
      <c r="B147" s="14">
        <v>0</v>
      </c>
      <c r="C147" s="14">
        <v>0</v>
      </c>
      <c r="D147" s="14">
        <f>Table3[[#This Row],[AVG GPG]]-Table3[[#This Row],[AVG XGPG]]</f>
        <v>0</v>
      </c>
    </row>
    <row r="148" spans="1:4" x14ac:dyDescent="0.55000000000000004">
      <c r="A148" s="8" t="s">
        <v>617</v>
      </c>
      <c r="B148" s="14">
        <v>0</v>
      </c>
      <c r="C148" s="14">
        <v>0</v>
      </c>
      <c r="D148" s="14">
        <f>Table3[[#This Row],[AVG GPG]]-Table3[[#This Row],[AVG XGPG]]</f>
        <v>0</v>
      </c>
    </row>
    <row r="149" spans="1:4" x14ac:dyDescent="0.55000000000000004">
      <c r="A149" s="8" t="s">
        <v>345</v>
      </c>
      <c r="B149" s="14">
        <v>0</v>
      </c>
      <c r="C149" s="14">
        <v>0</v>
      </c>
      <c r="D149" s="14">
        <f>Table3[[#This Row],[AVG GPG]]-Table3[[#This Row],[AVG XGPG]]</f>
        <v>0</v>
      </c>
    </row>
    <row r="150" spans="1:4" x14ac:dyDescent="0.55000000000000004">
      <c r="A150" s="8" t="s">
        <v>544</v>
      </c>
      <c r="B150" s="14">
        <v>0</v>
      </c>
      <c r="C150" s="14">
        <v>0</v>
      </c>
      <c r="D150" s="14">
        <f>Table3[[#This Row],[AVG GPG]]-Table3[[#This Row],[AVG XGPG]]</f>
        <v>0</v>
      </c>
    </row>
    <row r="151" spans="1:4" x14ac:dyDescent="0.55000000000000004">
      <c r="A151" s="8" t="s">
        <v>652</v>
      </c>
      <c r="B151" s="14">
        <v>0</v>
      </c>
      <c r="C151" s="14">
        <v>0</v>
      </c>
      <c r="D151" s="14">
        <f>Table3[[#This Row],[AVG GPG]]-Table3[[#This Row],[AVG XGPG]]</f>
        <v>0</v>
      </c>
    </row>
    <row r="152" spans="1:4" x14ac:dyDescent="0.55000000000000004">
      <c r="A152" s="8" t="s">
        <v>464</v>
      </c>
      <c r="B152" s="14">
        <v>0</v>
      </c>
      <c r="C152" s="14">
        <v>0</v>
      </c>
      <c r="D152" s="14">
        <f>Table3[[#This Row],[AVG GPG]]-Table3[[#This Row],[AVG XGPG]]</f>
        <v>0</v>
      </c>
    </row>
    <row r="153" spans="1:4" x14ac:dyDescent="0.55000000000000004">
      <c r="A153" s="8" t="s">
        <v>546</v>
      </c>
      <c r="B153" s="14">
        <v>0</v>
      </c>
      <c r="C153" s="14">
        <v>0</v>
      </c>
      <c r="D153" s="14">
        <f>Table3[[#This Row],[AVG GPG]]-Table3[[#This Row],[AVG XGPG]]</f>
        <v>0</v>
      </c>
    </row>
    <row r="154" spans="1:4" x14ac:dyDescent="0.55000000000000004">
      <c r="A154" s="8" t="s">
        <v>75</v>
      </c>
      <c r="B154" s="14">
        <v>0</v>
      </c>
      <c r="C154" s="14">
        <v>0</v>
      </c>
      <c r="D154" s="14">
        <f>Table3[[#This Row],[AVG GPG]]-Table3[[#This Row],[AVG XGPG]]</f>
        <v>0</v>
      </c>
    </row>
    <row r="155" spans="1:4" x14ac:dyDescent="0.55000000000000004">
      <c r="A155" s="8" t="s">
        <v>138</v>
      </c>
      <c r="B155" s="14">
        <v>0</v>
      </c>
      <c r="C155" s="14">
        <v>0</v>
      </c>
      <c r="D155" s="14">
        <f>Table3[[#This Row],[AVG GPG]]-Table3[[#This Row],[AVG XGPG]]</f>
        <v>0</v>
      </c>
    </row>
    <row r="156" spans="1:4" x14ac:dyDescent="0.55000000000000004">
      <c r="A156" s="8" t="s">
        <v>411</v>
      </c>
      <c r="B156" s="14">
        <v>0</v>
      </c>
      <c r="C156" s="14">
        <v>0</v>
      </c>
      <c r="D156" s="14">
        <f>Table3[[#This Row],[AVG GPG]]-Table3[[#This Row],[AVG XGPG]]</f>
        <v>0</v>
      </c>
    </row>
    <row r="157" spans="1:4" x14ac:dyDescent="0.55000000000000004">
      <c r="A157" s="8" t="s">
        <v>278</v>
      </c>
      <c r="B157" s="14">
        <v>0</v>
      </c>
      <c r="C157" s="14">
        <v>0</v>
      </c>
      <c r="D157" s="14">
        <f>Table3[[#This Row],[AVG GPG]]-Table3[[#This Row],[AVG XGPG]]</f>
        <v>0</v>
      </c>
    </row>
    <row r="158" spans="1:4" x14ac:dyDescent="0.55000000000000004">
      <c r="A158" s="8" t="s">
        <v>539</v>
      </c>
      <c r="B158" s="14">
        <v>0</v>
      </c>
      <c r="C158" s="14">
        <v>0</v>
      </c>
      <c r="D158" s="14">
        <f>Table3[[#This Row],[AVG GPG]]-Table3[[#This Row],[AVG XGPG]]</f>
        <v>0</v>
      </c>
    </row>
    <row r="159" spans="1:4" x14ac:dyDescent="0.55000000000000004">
      <c r="A159" s="8" t="s">
        <v>337</v>
      </c>
      <c r="B159" s="14">
        <v>0</v>
      </c>
      <c r="C159" s="14">
        <v>0</v>
      </c>
      <c r="D159" s="14">
        <f>Table3[[#This Row],[AVG GPG]]-Table3[[#This Row],[AVG XGPG]]</f>
        <v>0</v>
      </c>
    </row>
    <row r="160" spans="1:4" x14ac:dyDescent="0.55000000000000004">
      <c r="A160" s="8" t="s">
        <v>434</v>
      </c>
      <c r="B160" s="14">
        <v>0</v>
      </c>
      <c r="C160" s="14">
        <v>0</v>
      </c>
      <c r="D160" s="14">
        <f>Table3[[#This Row],[AVG GPG]]-Table3[[#This Row],[AVG XGPG]]</f>
        <v>0</v>
      </c>
    </row>
    <row r="161" spans="1:4" x14ac:dyDescent="0.55000000000000004">
      <c r="A161" s="8" t="s">
        <v>315</v>
      </c>
      <c r="B161" s="14">
        <v>0</v>
      </c>
      <c r="C161" s="14">
        <v>0</v>
      </c>
      <c r="D161" s="14">
        <f>Table3[[#This Row],[AVG GPG]]-Table3[[#This Row],[AVG XGPG]]</f>
        <v>0</v>
      </c>
    </row>
    <row r="162" spans="1:4" x14ac:dyDescent="0.55000000000000004">
      <c r="A162" s="8" t="s">
        <v>498</v>
      </c>
      <c r="B162" s="14">
        <v>0</v>
      </c>
      <c r="C162" s="14">
        <v>0</v>
      </c>
      <c r="D162" s="14">
        <f>Table3[[#This Row],[AVG GPG]]-Table3[[#This Row],[AVG XGPG]]</f>
        <v>0</v>
      </c>
    </row>
    <row r="163" spans="1:4" x14ac:dyDescent="0.55000000000000004">
      <c r="A163" s="8" t="s">
        <v>352</v>
      </c>
      <c r="B163" s="14">
        <v>0</v>
      </c>
      <c r="C163" s="14">
        <v>0</v>
      </c>
      <c r="D163" s="14">
        <f>Table3[[#This Row],[AVG GPG]]-Table3[[#This Row],[AVG XGPG]]</f>
        <v>0</v>
      </c>
    </row>
    <row r="164" spans="1:4" x14ac:dyDescent="0.55000000000000004">
      <c r="A164" s="8" t="s">
        <v>124</v>
      </c>
      <c r="B164" s="14">
        <v>0</v>
      </c>
      <c r="C164" s="14">
        <v>0</v>
      </c>
      <c r="D164" s="14">
        <f>Table3[[#This Row],[AVG GPG]]-Table3[[#This Row],[AVG XGPG]]</f>
        <v>0</v>
      </c>
    </row>
    <row r="165" spans="1:4" x14ac:dyDescent="0.55000000000000004">
      <c r="A165" s="8" t="s">
        <v>659</v>
      </c>
      <c r="B165" s="14">
        <v>0</v>
      </c>
      <c r="C165" s="14">
        <v>0</v>
      </c>
      <c r="D165" s="14">
        <f>Table3[[#This Row],[AVG GPG]]-Table3[[#This Row],[AVG XGPG]]</f>
        <v>0</v>
      </c>
    </row>
    <row r="166" spans="1:4" x14ac:dyDescent="0.55000000000000004">
      <c r="A166" s="8" t="s">
        <v>156</v>
      </c>
      <c r="B166" s="14">
        <v>0</v>
      </c>
      <c r="C166" s="14">
        <v>0</v>
      </c>
      <c r="D166" s="14">
        <f>Table3[[#This Row],[AVG GPG]]-Table3[[#This Row],[AVG XGPG]]</f>
        <v>0</v>
      </c>
    </row>
    <row r="167" spans="1:4" x14ac:dyDescent="0.55000000000000004">
      <c r="A167" s="8" t="s">
        <v>696</v>
      </c>
      <c r="B167" s="14">
        <v>7.328280142796266E-2</v>
      </c>
      <c r="C167" s="14">
        <v>7.4320583538325533E-2</v>
      </c>
      <c r="D167" s="14">
        <f>Table3[[#This Row],[AVG GPG]]-Table3[[#This Row],[AVG XGPG]]</f>
        <v>-1.0377821103628726E-3</v>
      </c>
    </row>
    <row r="168" spans="1:4" x14ac:dyDescent="0.55000000000000004">
      <c r="A168" s="8" t="s">
        <v>190</v>
      </c>
      <c r="B168" s="14">
        <v>0</v>
      </c>
      <c r="C168" s="14">
        <v>7.6923076923076927E-3</v>
      </c>
      <c r="D168" s="14">
        <f>Table3[[#This Row],[AVG GPG]]-Table3[[#This Row],[AVG XGPG]]</f>
        <v>-7.6923076923076927E-3</v>
      </c>
    </row>
    <row r="169" spans="1:4" x14ac:dyDescent="0.55000000000000004">
      <c r="A169" s="8" t="s">
        <v>531</v>
      </c>
      <c r="B169" s="14">
        <v>0</v>
      </c>
      <c r="C169" s="14">
        <v>7.6923076923076927E-3</v>
      </c>
      <c r="D169" s="14">
        <f>Table3[[#This Row],[AVG GPG]]-Table3[[#This Row],[AVG XGPG]]</f>
        <v>-7.6923076923076927E-3</v>
      </c>
    </row>
    <row r="170" spans="1:4" x14ac:dyDescent="0.55000000000000004">
      <c r="A170" s="8" t="s">
        <v>417</v>
      </c>
      <c r="B170" s="14">
        <v>0</v>
      </c>
      <c r="C170" s="14">
        <v>7.6923076923076927E-3</v>
      </c>
      <c r="D170" s="14">
        <f>Table3[[#This Row],[AVG GPG]]-Table3[[#This Row],[AVG XGPG]]</f>
        <v>-7.6923076923076927E-3</v>
      </c>
    </row>
    <row r="171" spans="1:4" x14ac:dyDescent="0.55000000000000004">
      <c r="A171" s="8" t="s">
        <v>635</v>
      </c>
      <c r="B171" s="14">
        <v>0</v>
      </c>
      <c r="C171" s="14">
        <v>8.3333333333333332E-3</v>
      </c>
      <c r="D171" s="14">
        <f>Table3[[#This Row],[AVG GPG]]-Table3[[#This Row],[AVG XGPG]]</f>
        <v>-8.3333333333333332E-3</v>
      </c>
    </row>
    <row r="172" spans="1:4" x14ac:dyDescent="0.55000000000000004">
      <c r="A172" s="8" t="s">
        <v>409</v>
      </c>
      <c r="B172" s="14">
        <v>0</v>
      </c>
      <c r="C172" s="14">
        <v>8.3333333333333332E-3</v>
      </c>
      <c r="D172" s="14">
        <f>Table3[[#This Row],[AVG GPG]]-Table3[[#This Row],[AVG XGPG]]</f>
        <v>-8.3333333333333332E-3</v>
      </c>
    </row>
    <row r="173" spans="1:4" x14ac:dyDescent="0.55000000000000004">
      <c r="A173" s="8" t="s">
        <v>628</v>
      </c>
      <c r="B173" s="14">
        <v>0</v>
      </c>
      <c r="C173" s="14">
        <v>8.3333333333333332E-3</v>
      </c>
      <c r="D173" s="14">
        <f>Table3[[#This Row],[AVG GPG]]-Table3[[#This Row],[AVG XGPG]]</f>
        <v>-8.3333333333333332E-3</v>
      </c>
    </row>
    <row r="174" spans="1:4" x14ac:dyDescent="0.55000000000000004">
      <c r="A174" s="8" t="s">
        <v>477</v>
      </c>
      <c r="B174" s="14">
        <v>0</v>
      </c>
      <c r="C174" s="14">
        <v>8.3333333333333332E-3</v>
      </c>
      <c r="D174" s="14">
        <f>Table3[[#This Row],[AVG GPG]]-Table3[[#This Row],[AVG XGPG]]</f>
        <v>-8.3333333333333332E-3</v>
      </c>
    </row>
    <row r="175" spans="1:4" x14ac:dyDescent="0.55000000000000004">
      <c r="A175" s="8" t="s">
        <v>113</v>
      </c>
      <c r="B175" s="14">
        <v>0</v>
      </c>
      <c r="C175" s="14">
        <v>9.0909090909090922E-3</v>
      </c>
      <c r="D175" s="14">
        <f>Table3[[#This Row],[AVG GPG]]-Table3[[#This Row],[AVG XGPG]]</f>
        <v>-9.0909090909090922E-3</v>
      </c>
    </row>
    <row r="176" spans="1:4" x14ac:dyDescent="0.55000000000000004">
      <c r="A176" s="8" t="s">
        <v>341</v>
      </c>
      <c r="B176" s="14">
        <v>0</v>
      </c>
      <c r="C176" s="14">
        <v>0.01</v>
      </c>
      <c r="D176" s="14">
        <f>Table3[[#This Row],[AVG GPG]]-Table3[[#This Row],[AVG XGPG]]</f>
        <v>-0.01</v>
      </c>
    </row>
    <row r="177" spans="1:4" x14ac:dyDescent="0.55000000000000004">
      <c r="A177" s="8" t="s">
        <v>300</v>
      </c>
      <c r="B177" s="14">
        <v>0</v>
      </c>
      <c r="C177" s="14">
        <v>0.01</v>
      </c>
      <c r="D177" s="14">
        <f>Table3[[#This Row],[AVG GPG]]-Table3[[#This Row],[AVG XGPG]]</f>
        <v>-0.01</v>
      </c>
    </row>
    <row r="178" spans="1:4" x14ac:dyDescent="0.55000000000000004">
      <c r="A178" s="8" t="s">
        <v>142</v>
      </c>
      <c r="B178" s="14">
        <v>0</v>
      </c>
      <c r="C178" s="14">
        <v>0.01</v>
      </c>
      <c r="D178" s="14">
        <f>Table3[[#This Row],[AVG GPG]]-Table3[[#This Row],[AVG XGPG]]</f>
        <v>-0.01</v>
      </c>
    </row>
    <row r="179" spans="1:4" x14ac:dyDescent="0.55000000000000004">
      <c r="A179" s="8" t="s">
        <v>213</v>
      </c>
      <c r="B179" s="14">
        <v>0</v>
      </c>
      <c r="C179" s="14">
        <v>0.01</v>
      </c>
      <c r="D179" s="14">
        <f>Table3[[#This Row],[AVG GPG]]-Table3[[#This Row],[AVG XGPG]]</f>
        <v>-0.01</v>
      </c>
    </row>
    <row r="180" spans="1:4" x14ac:dyDescent="0.55000000000000004">
      <c r="A180" s="8" t="s">
        <v>48</v>
      </c>
      <c r="B180" s="14">
        <v>0</v>
      </c>
      <c r="C180" s="14">
        <v>0.01</v>
      </c>
      <c r="D180" s="14">
        <f>Table3[[#This Row],[AVG GPG]]-Table3[[#This Row],[AVG XGPG]]</f>
        <v>-0.01</v>
      </c>
    </row>
    <row r="181" spans="1:4" x14ac:dyDescent="0.55000000000000004">
      <c r="A181" s="8" t="s">
        <v>569</v>
      </c>
      <c r="B181" s="14">
        <v>0</v>
      </c>
      <c r="C181" s="14">
        <v>0.01</v>
      </c>
      <c r="D181" s="14">
        <f>Table3[[#This Row],[AVG GPG]]-Table3[[#This Row],[AVG XGPG]]</f>
        <v>-0.01</v>
      </c>
    </row>
    <row r="182" spans="1:4" x14ac:dyDescent="0.55000000000000004">
      <c r="A182" s="8" t="s">
        <v>331</v>
      </c>
      <c r="B182" s="14">
        <v>0.1</v>
      </c>
      <c r="C182" s="14">
        <v>0.11000000000000001</v>
      </c>
      <c r="D182" s="14">
        <f>Table3[[#This Row],[AVG GPG]]-Table3[[#This Row],[AVG XGPG]]</f>
        <v>-1.0000000000000009E-2</v>
      </c>
    </row>
    <row r="183" spans="1:4" x14ac:dyDescent="0.55000000000000004">
      <c r="A183" s="8" t="s">
        <v>391</v>
      </c>
      <c r="B183" s="14">
        <v>0.1</v>
      </c>
      <c r="C183" s="14">
        <v>0.11000000000000001</v>
      </c>
      <c r="D183" s="14">
        <f>Table3[[#This Row],[AVG GPG]]-Table3[[#This Row],[AVG XGPG]]</f>
        <v>-1.0000000000000009E-2</v>
      </c>
    </row>
    <row r="184" spans="1:4" x14ac:dyDescent="0.55000000000000004">
      <c r="A184" s="8" t="s">
        <v>80</v>
      </c>
      <c r="B184" s="14">
        <v>0</v>
      </c>
      <c r="C184" s="14">
        <v>1.1111111111111112E-2</v>
      </c>
      <c r="D184" s="14">
        <f>Table3[[#This Row],[AVG GPG]]-Table3[[#This Row],[AVG XGPG]]</f>
        <v>-1.1111111111111112E-2</v>
      </c>
    </row>
    <row r="185" spans="1:4" x14ac:dyDescent="0.55000000000000004">
      <c r="A185" s="8" t="s">
        <v>503</v>
      </c>
      <c r="B185" s="14">
        <v>0</v>
      </c>
      <c r="C185" s="14">
        <v>1.1111111111111112E-2</v>
      </c>
      <c r="D185" s="14">
        <f>Table3[[#This Row],[AVG GPG]]-Table3[[#This Row],[AVG XGPG]]</f>
        <v>-1.1111111111111112E-2</v>
      </c>
    </row>
    <row r="186" spans="1:4" x14ac:dyDescent="0.55000000000000004">
      <c r="A186" s="8" t="s">
        <v>608</v>
      </c>
      <c r="B186" s="14">
        <v>0</v>
      </c>
      <c r="C186" s="14">
        <v>1.2500000000000001E-2</v>
      </c>
      <c r="D186" s="14">
        <f>Table3[[#This Row],[AVG GPG]]-Table3[[#This Row],[AVG XGPG]]</f>
        <v>-1.2500000000000001E-2</v>
      </c>
    </row>
    <row r="187" spans="1:4" x14ac:dyDescent="0.55000000000000004">
      <c r="A187" s="8" t="s">
        <v>359</v>
      </c>
      <c r="B187" s="14">
        <v>0</v>
      </c>
      <c r="C187" s="14">
        <v>1.2500000000000001E-2</v>
      </c>
      <c r="D187" s="14">
        <f>Table3[[#This Row],[AVG GPG]]-Table3[[#This Row],[AVG XGPG]]</f>
        <v>-1.2500000000000001E-2</v>
      </c>
    </row>
    <row r="188" spans="1:4" x14ac:dyDescent="0.55000000000000004">
      <c r="A188" s="8" t="s">
        <v>436</v>
      </c>
      <c r="B188" s="14">
        <v>0</v>
      </c>
      <c r="C188" s="14">
        <v>1.4285714285714287E-2</v>
      </c>
      <c r="D188" s="14">
        <f>Table3[[#This Row],[AVG GPG]]-Table3[[#This Row],[AVG XGPG]]</f>
        <v>-1.4285714285714287E-2</v>
      </c>
    </row>
    <row r="189" spans="1:4" x14ac:dyDescent="0.55000000000000004">
      <c r="A189" s="8" t="s">
        <v>560</v>
      </c>
      <c r="B189" s="14">
        <v>0</v>
      </c>
      <c r="C189" s="14">
        <v>1.4285714285714287E-2</v>
      </c>
      <c r="D189" s="14">
        <f>Table3[[#This Row],[AVG GPG]]-Table3[[#This Row],[AVG XGPG]]</f>
        <v>-1.4285714285714287E-2</v>
      </c>
    </row>
    <row r="190" spans="1:4" x14ac:dyDescent="0.55000000000000004">
      <c r="A190" s="8" t="s">
        <v>222</v>
      </c>
      <c r="B190" s="14">
        <v>0</v>
      </c>
      <c r="C190" s="14">
        <v>1.4285714285714287E-2</v>
      </c>
      <c r="D190" s="14">
        <f>Table3[[#This Row],[AVG GPG]]-Table3[[#This Row],[AVG XGPG]]</f>
        <v>-1.4285714285714287E-2</v>
      </c>
    </row>
    <row r="191" spans="1:4" x14ac:dyDescent="0.55000000000000004">
      <c r="A191" s="8" t="s">
        <v>623</v>
      </c>
      <c r="B191" s="14">
        <v>0</v>
      </c>
      <c r="C191" s="14">
        <v>1.4285714285714287E-2</v>
      </c>
      <c r="D191" s="14">
        <f>Table3[[#This Row],[AVG GPG]]-Table3[[#This Row],[AVG XGPG]]</f>
        <v>-1.4285714285714287E-2</v>
      </c>
    </row>
    <row r="192" spans="1:4" x14ac:dyDescent="0.55000000000000004">
      <c r="A192" s="8" t="s">
        <v>163</v>
      </c>
      <c r="B192" s="14">
        <v>0</v>
      </c>
      <c r="C192" s="14">
        <v>1.4285714285714287E-2</v>
      </c>
      <c r="D192" s="14">
        <f>Table3[[#This Row],[AVG GPG]]-Table3[[#This Row],[AVG XGPG]]</f>
        <v>-1.4285714285714287E-2</v>
      </c>
    </row>
    <row r="193" spans="1:4" x14ac:dyDescent="0.55000000000000004">
      <c r="A193" s="8" t="s">
        <v>621</v>
      </c>
      <c r="B193" s="14">
        <v>7.6923076923076927E-2</v>
      </c>
      <c r="C193" s="14">
        <v>9.2307692307692299E-2</v>
      </c>
      <c r="D193" s="14">
        <f>Table3[[#This Row],[AVG GPG]]-Table3[[#This Row],[AVG XGPG]]</f>
        <v>-1.5384615384615372E-2</v>
      </c>
    </row>
    <row r="194" spans="1:4" x14ac:dyDescent="0.55000000000000004">
      <c r="A194" s="8" t="s">
        <v>225</v>
      </c>
      <c r="B194" s="14">
        <v>0</v>
      </c>
      <c r="C194" s="14">
        <v>1.5384615384615385E-2</v>
      </c>
      <c r="D194" s="14">
        <f>Table3[[#This Row],[AVG GPG]]-Table3[[#This Row],[AVG XGPG]]</f>
        <v>-1.5384615384615385E-2</v>
      </c>
    </row>
    <row r="195" spans="1:4" x14ac:dyDescent="0.55000000000000004">
      <c r="A195" s="8" t="s">
        <v>247</v>
      </c>
      <c r="B195" s="14">
        <v>0</v>
      </c>
      <c r="C195" s="14">
        <v>1.5384615384615385E-2</v>
      </c>
      <c r="D195" s="14">
        <f>Table3[[#This Row],[AVG GPG]]-Table3[[#This Row],[AVG XGPG]]</f>
        <v>-1.5384615384615385E-2</v>
      </c>
    </row>
    <row r="196" spans="1:4" x14ac:dyDescent="0.55000000000000004">
      <c r="A196" s="8" t="s">
        <v>460</v>
      </c>
      <c r="B196" s="14">
        <v>0</v>
      </c>
      <c r="C196" s="14">
        <v>1.5384615384615385E-2</v>
      </c>
      <c r="D196" s="14">
        <f>Table3[[#This Row],[AVG GPG]]-Table3[[#This Row],[AVG XGPG]]</f>
        <v>-1.5384615384615385E-2</v>
      </c>
    </row>
    <row r="197" spans="1:4" x14ac:dyDescent="0.55000000000000004">
      <c r="A197" s="8" t="s">
        <v>440</v>
      </c>
      <c r="B197" s="14">
        <v>0</v>
      </c>
      <c r="C197" s="14">
        <v>1.5384615384615385E-2</v>
      </c>
      <c r="D197" s="14">
        <f>Table3[[#This Row],[AVG GPG]]-Table3[[#This Row],[AVG XGPG]]</f>
        <v>-1.5384615384615385E-2</v>
      </c>
    </row>
    <row r="198" spans="1:4" x14ac:dyDescent="0.55000000000000004">
      <c r="A198" s="8" t="s">
        <v>262</v>
      </c>
      <c r="B198" s="14">
        <v>0</v>
      </c>
      <c r="C198" s="14">
        <v>1.5384615384615385E-2</v>
      </c>
      <c r="D198" s="14">
        <f>Table3[[#This Row],[AVG GPG]]-Table3[[#This Row],[AVG XGPG]]</f>
        <v>-1.5384615384615385E-2</v>
      </c>
    </row>
    <row r="199" spans="1:4" x14ac:dyDescent="0.55000000000000004">
      <c r="A199" s="8" t="s">
        <v>458</v>
      </c>
      <c r="B199" s="14">
        <v>0</v>
      </c>
      <c r="C199" s="14">
        <v>1.5384615384615385E-2</v>
      </c>
      <c r="D199" s="14">
        <f>Table3[[#This Row],[AVG GPG]]-Table3[[#This Row],[AVG XGPG]]</f>
        <v>-1.5384615384615385E-2</v>
      </c>
    </row>
    <row r="200" spans="1:4" x14ac:dyDescent="0.55000000000000004">
      <c r="A200" s="8" t="s">
        <v>438</v>
      </c>
      <c r="B200" s="14">
        <v>0</v>
      </c>
      <c r="C200" s="14">
        <v>1.5384615384615385E-2</v>
      </c>
      <c r="D200" s="14">
        <f>Table3[[#This Row],[AVG GPG]]-Table3[[#This Row],[AVG XGPG]]</f>
        <v>-1.5384615384615385E-2</v>
      </c>
    </row>
    <row r="201" spans="1:4" x14ac:dyDescent="0.55000000000000004">
      <c r="A201" s="8" t="s">
        <v>166</v>
      </c>
      <c r="B201" s="14">
        <v>8.3333333333333329E-2</v>
      </c>
      <c r="C201" s="14">
        <v>9.9999999999999992E-2</v>
      </c>
      <c r="D201" s="14">
        <f>Table3[[#This Row],[AVG GPG]]-Table3[[#This Row],[AVG XGPG]]</f>
        <v>-1.6666666666666663E-2</v>
      </c>
    </row>
    <row r="202" spans="1:4" x14ac:dyDescent="0.55000000000000004">
      <c r="A202" s="8" t="s">
        <v>397</v>
      </c>
      <c r="B202" s="14">
        <v>0</v>
      </c>
      <c r="C202" s="14">
        <v>1.6666666666666666E-2</v>
      </c>
      <c r="D202" s="14">
        <f>Table3[[#This Row],[AVG GPG]]-Table3[[#This Row],[AVG XGPG]]</f>
        <v>-1.6666666666666666E-2</v>
      </c>
    </row>
    <row r="203" spans="1:4" x14ac:dyDescent="0.55000000000000004">
      <c r="A203" s="8" t="s">
        <v>103</v>
      </c>
      <c r="B203" s="14">
        <v>0</v>
      </c>
      <c r="C203" s="14">
        <v>1.6666666666666666E-2</v>
      </c>
      <c r="D203" s="14">
        <f>Table3[[#This Row],[AVG GPG]]-Table3[[#This Row],[AVG XGPG]]</f>
        <v>-1.6666666666666666E-2</v>
      </c>
    </row>
    <row r="204" spans="1:4" x14ac:dyDescent="0.55000000000000004">
      <c r="A204" s="8" t="s">
        <v>304</v>
      </c>
      <c r="B204" s="14">
        <v>0</v>
      </c>
      <c r="C204" s="14">
        <v>1.6666666666666666E-2</v>
      </c>
      <c r="D204" s="14">
        <f>Table3[[#This Row],[AVG GPG]]-Table3[[#This Row],[AVG XGPG]]</f>
        <v>-1.6666666666666666E-2</v>
      </c>
    </row>
    <row r="205" spans="1:4" x14ac:dyDescent="0.55000000000000004">
      <c r="A205" s="8" t="s">
        <v>578</v>
      </c>
      <c r="B205" s="14">
        <v>0.16666666666666666</v>
      </c>
      <c r="C205" s="14">
        <v>0.18333333333333335</v>
      </c>
      <c r="D205" s="14">
        <f>Table3[[#This Row],[AVG GPG]]-Table3[[#This Row],[AVG XGPG]]</f>
        <v>-1.6666666666666691E-2</v>
      </c>
    </row>
    <row r="206" spans="1:4" x14ac:dyDescent="0.55000000000000004">
      <c r="A206" s="8" t="s">
        <v>556</v>
      </c>
      <c r="B206" s="14">
        <v>0</v>
      </c>
      <c r="C206" s="14">
        <v>1.8181818181818184E-2</v>
      </c>
      <c r="D206" s="14">
        <f>Table3[[#This Row],[AVG GPG]]-Table3[[#This Row],[AVG XGPG]]</f>
        <v>-1.8181818181818184E-2</v>
      </c>
    </row>
    <row r="207" spans="1:4" x14ac:dyDescent="0.55000000000000004">
      <c r="A207" s="8" t="s">
        <v>648</v>
      </c>
      <c r="B207" s="14">
        <v>0</v>
      </c>
      <c r="C207" s="14">
        <v>1.8181818181818184E-2</v>
      </c>
      <c r="D207" s="14">
        <f>Table3[[#This Row],[AVG GPG]]-Table3[[#This Row],[AVG XGPG]]</f>
        <v>-1.8181818181818184E-2</v>
      </c>
    </row>
    <row r="208" spans="1:4" x14ac:dyDescent="0.55000000000000004">
      <c r="A208" s="8" t="s">
        <v>95</v>
      </c>
      <c r="B208" s="14">
        <v>0</v>
      </c>
      <c r="C208" s="14">
        <v>0.02</v>
      </c>
      <c r="D208" s="14">
        <f>Table3[[#This Row],[AVG GPG]]-Table3[[#This Row],[AVG XGPG]]</f>
        <v>-0.02</v>
      </c>
    </row>
    <row r="209" spans="1:4" x14ac:dyDescent="0.55000000000000004">
      <c r="A209" s="8" t="s">
        <v>423</v>
      </c>
      <c r="B209" s="14">
        <v>0</v>
      </c>
      <c r="C209" s="14">
        <v>0.02</v>
      </c>
      <c r="D209" s="14">
        <f>Table3[[#This Row],[AVG GPG]]-Table3[[#This Row],[AVG XGPG]]</f>
        <v>-0.02</v>
      </c>
    </row>
    <row r="210" spans="1:4" x14ac:dyDescent="0.55000000000000004">
      <c r="A210" s="8" t="s">
        <v>350</v>
      </c>
      <c r="B210" s="14">
        <v>0</v>
      </c>
      <c r="C210" s="14">
        <v>0.02</v>
      </c>
      <c r="D210" s="14">
        <f>Table3[[#This Row],[AVG GPG]]-Table3[[#This Row],[AVG XGPG]]</f>
        <v>-0.02</v>
      </c>
    </row>
    <row r="211" spans="1:4" x14ac:dyDescent="0.55000000000000004">
      <c r="A211" s="8" t="s">
        <v>339</v>
      </c>
      <c r="B211" s="14">
        <v>0</v>
      </c>
      <c r="C211" s="14">
        <v>0.02</v>
      </c>
      <c r="D211" s="14">
        <f>Table3[[#This Row],[AVG GPG]]-Table3[[#This Row],[AVG XGPG]]</f>
        <v>-0.02</v>
      </c>
    </row>
    <row r="212" spans="1:4" x14ac:dyDescent="0.55000000000000004">
      <c r="A212" s="8" t="s">
        <v>176</v>
      </c>
      <c r="B212" s="14">
        <v>0</v>
      </c>
      <c r="C212" s="14">
        <v>0.02</v>
      </c>
      <c r="D212" s="14">
        <f>Table3[[#This Row],[AVG GPG]]-Table3[[#This Row],[AVG XGPG]]</f>
        <v>-0.02</v>
      </c>
    </row>
    <row r="213" spans="1:4" x14ac:dyDescent="0.55000000000000004">
      <c r="A213" s="8" t="s">
        <v>130</v>
      </c>
      <c r="B213" s="14">
        <v>0.1111111111111111</v>
      </c>
      <c r="C213" s="14">
        <v>0.13333333333333333</v>
      </c>
      <c r="D213" s="14">
        <f>Table3[[#This Row],[AVG GPG]]-Table3[[#This Row],[AVG XGPG]]</f>
        <v>-2.2222222222222227E-2</v>
      </c>
    </row>
    <row r="214" spans="1:4" x14ac:dyDescent="0.55000000000000004">
      <c r="A214" s="8" t="s">
        <v>518</v>
      </c>
      <c r="B214" s="14">
        <v>0</v>
      </c>
      <c r="C214" s="14">
        <v>2.3076923076923075E-2</v>
      </c>
      <c r="D214" s="14">
        <f>Table3[[#This Row],[AVG GPG]]-Table3[[#This Row],[AVG XGPG]]</f>
        <v>-2.3076923076923075E-2</v>
      </c>
    </row>
    <row r="215" spans="1:4" x14ac:dyDescent="0.55000000000000004">
      <c r="A215" s="8" t="s">
        <v>204</v>
      </c>
      <c r="B215" s="14">
        <v>0</v>
      </c>
      <c r="C215" s="14">
        <v>2.3076923076923075E-2</v>
      </c>
      <c r="D215" s="14">
        <f>Table3[[#This Row],[AVG GPG]]-Table3[[#This Row],[AVG XGPG]]</f>
        <v>-2.3076923076923075E-2</v>
      </c>
    </row>
    <row r="216" spans="1:4" x14ac:dyDescent="0.55000000000000004">
      <c r="A216" s="8" t="s">
        <v>26</v>
      </c>
      <c r="B216" s="14">
        <v>0</v>
      </c>
      <c r="C216" s="14">
        <v>2.3076923076923075E-2</v>
      </c>
      <c r="D216" s="14">
        <f>Table3[[#This Row],[AVG GPG]]-Table3[[#This Row],[AVG XGPG]]</f>
        <v>-2.3076923076923075E-2</v>
      </c>
    </row>
    <row r="217" spans="1:4" x14ac:dyDescent="0.55000000000000004">
      <c r="A217" s="8" t="s">
        <v>426</v>
      </c>
      <c r="B217" s="14">
        <v>0</v>
      </c>
      <c r="C217" s="14">
        <v>2.3076923076923075E-2</v>
      </c>
      <c r="D217" s="14">
        <f>Table3[[#This Row],[AVG GPG]]-Table3[[#This Row],[AVG XGPG]]</f>
        <v>-2.3076923076923075E-2</v>
      </c>
    </row>
    <row r="218" spans="1:4" x14ac:dyDescent="0.55000000000000004">
      <c r="A218" s="8" t="s">
        <v>128</v>
      </c>
      <c r="B218" s="14">
        <v>7.6923076923076927E-2</v>
      </c>
      <c r="C218" s="14">
        <v>0.1</v>
      </c>
      <c r="D218" s="14">
        <f>Table3[[#This Row],[AVG GPG]]-Table3[[#This Row],[AVG XGPG]]</f>
        <v>-2.3076923076923078E-2</v>
      </c>
    </row>
    <row r="219" spans="1:4" x14ac:dyDescent="0.55000000000000004">
      <c r="A219" s="8" t="s">
        <v>335</v>
      </c>
      <c r="B219" s="14">
        <v>7.6923076923076927E-2</v>
      </c>
      <c r="C219" s="14">
        <v>0.1</v>
      </c>
      <c r="D219" s="14">
        <f>Table3[[#This Row],[AVG GPG]]-Table3[[#This Row],[AVG XGPG]]</f>
        <v>-2.3076923076923078E-2</v>
      </c>
    </row>
    <row r="220" spans="1:4" x14ac:dyDescent="0.55000000000000004">
      <c r="A220" s="8" t="s">
        <v>289</v>
      </c>
      <c r="B220" s="14">
        <v>0</v>
      </c>
      <c r="C220" s="14">
        <v>2.4999999999999998E-2</v>
      </c>
      <c r="D220" s="14">
        <f>Table3[[#This Row],[AVG GPG]]-Table3[[#This Row],[AVG XGPG]]</f>
        <v>-2.4999999999999998E-2</v>
      </c>
    </row>
    <row r="221" spans="1:4" x14ac:dyDescent="0.55000000000000004">
      <c r="A221" s="8" t="s">
        <v>473</v>
      </c>
      <c r="B221" s="14">
        <v>0</v>
      </c>
      <c r="C221" s="14">
        <v>2.5000000000000001E-2</v>
      </c>
      <c r="D221" s="14">
        <f>Table3[[#This Row],[AVG GPG]]-Table3[[#This Row],[AVG XGPG]]</f>
        <v>-2.5000000000000001E-2</v>
      </c>
    </row>
    <row r="222" spans="1:4" x14ac:dyDescent="0.55000000000000004">
      <c r="A222" s="8" t="s">
        <v>448</v>
      </c>
      <c r="B222" s="14">
        <v>0</v>
      </c>
      <c r="C222" s="14">
        <v>2.5000000000000001E-2</v>
      </c>
      <c r="D222" s="14">
        <f>Table3[[#This Row],[AVG GPG]]-Table3[[#This Row],[AVG XGPG]]</f>
        <v>-2.5000000000000001E-2</v>
      </c>
    </row>
    <row r="223" spans="1:4" x14ac:dyDescent="0.55000000000000004">
      <c r="A223" s="8" t="s">
        <v>241</v>
      </c>
      <c r="B223" s="14">
        <v>8.3333333333333329E-2</v>
      </c>
      <c r="C223" s="14">
        <v>0.10833333333333334</v>
      </c>
      <c r="D223" s="14">
        <f>Table3[[#This Row],[AVG GPG]]-Table3[[#This Row],[AVG XGPG]]</f>
        <v>-2.5000000000000008E-2</v>
      </c>
    </row>
    <row r="224" spans="1:4" x14ac:dyDescent="0.55000000000000004">
      <c r="A224" s="8" t="s">
        <v>250</v>
      </c>
      <c r="B224" s="14">
        <v>0</v>
      </c>
      <c r="C224" s="14">
        <v>2.7272727272727271E-2</v>
      </c>
      <c r="D224" s="14">
        <f>Table3[[#This Row],[AVG GPG]]-Table3[[#This Row],[AVG XGPG]]</f>
        <v>-2.7272727272727271E-2</v>
      </c>
    </row>
    <row r="225" spans="1:4" x14ac:dyDescent="0.55000000000000004">
      <c r="A225" s="8" t="s">
        <v>145</v>
      </c>
      <c r="B225" s="14">
        <v>0</v>
      </c>
      <c r="C225" s="14">
        <v>2.8571428571428574E-2</v>
      </c>
      <c r="D225" s="14">
        <f>Table3[[#This Row],[AVG GPG]]-Table3[[#This Row],[AVG XGPG]]</f>
        <v>-2.8571428571428574E-2</v>
      </c>
    </row>
    <row r="226" spans="1:4" x14ac:dyDescent="0.55000000000000004">
      <c r="A226" s="8" t="s">
        <v>523</v>
      </c>
      <c r="B226" s="14">
        <v>0</v>
      </c>
      <c r="C226" s="14">
        <v>0.03</v>
      </c>
      <c r="D226" s="14">
        <f>Table3[[#This Row],[AVG GPG]]-Table3[[#This Row],[AVG XGPG]]</f>
        <v>-0.03</v>
      </c>
    </row>
    <row r="227" spans="1:4" x14ac:dyDescent="0.55000000000000004">
      <c r="A227" s="8" t="s">
        <v>307</v>
      </c>
      <c r="B227" s="14">
        <v>0</v>
      </c>
      <c r="C227" s="14">
        <v>0.03</v>
      </c>
      <c r="D227" s="14">
        <f>Table3[[#This Row],[AVG GPG]]-Table3[[#This Row],[AVG XGPG]]</f>
        <v>-0.03</v>
      </c>
    </row>
    <row r="228" spans="1:4" x14ac:dyDescent="0.55000000000000004">
      <c r="A228" s="8" t="s">
        <v>311</v>
      </c>
      <c r="B228" s="14">
        <v>0</v>
      </c>
      <c r="C228" s="14">
        <v>0.03</v>
      </c>
      <c r="D228" s="14">
        <f>Table3[[#This Row],[AVG GPG]]-Table3[[#This Row],[AVG XGPG]]</f>
        <v>-0.03</v>
      </c>
    </row>
    <row r="229" spans="1:4" x14ac:dyDescent="0.55000000000000004">
      <c r="A229" s="8" t="s">
        <v>507</v>
      </c>
      <c r="B229" s="14">
        <v>0.15384615384615385</v>
      </c>
      <c r="C229" s="14">
        <v>0.1846153846153846</v>
      </c>
      <c r="D229" s="14">
        <f>Table3[[#This Row],[AVG GPG]]-Table3[[#This Row],[AVG XGPG]]</f>
        <v>-3.0769230769230743E-2</v>
      </c>
    </row>
    <row r="230" spans="1:4" x14ac:dyDescent="0.55000000000000004">
      <c r="A230" s="8" t="s">
        <v>293</v>
      </c>
      <c r="B230" s="14">
        <v>0.15384615384615385</v>
      </c>
      <c r="C230" s="14">
        <v>0.1846153846153846</v>
      </c>
      <c r="D230" s="14">
        <f>Table3[[#This Row],[AVG GPG]]-Table3[[#This Row],[AVG XGPG]]</f>
        <v>-3.0769230769230743E-2</v>
      </c>
    </row>
    <row r="231" spans="1:4" x14ac:dyDescent="0.55000000000000004">
      <c r="A231" s="8" t="s">
        <v>580</v>
      </c>
      <c r="B231" s="14">
        <v>7.6923076923076927E-2</v>
      </c>
      <c r="C231" s="14">
        <v>0.10769230769230768</v>
      </c>
      <c r="D231" s="14">
        <f>Table3[[#This Row],[AVG GPG]]-Table3[[#This Row],[AVG XGPG]]</f>
        <v>-3.0769230769230757E-2</v>
      </c>
    </row>
    <row r="232" spans="1:4" x14ac:dyDescent="0.55000000000000004">
      <c r="A232" s="8" t="s">
        <v>479</v>
      </c>
      <c r="B232" s="14">
        <v>7.6923076923076927E-2</v>
      </c>
      <c r="C232" s="14">
        <v>0.10769230769230768</v>
      </c>
      <c r="D232" s="14">
        <f>Table3[[#This Row],[AVG GPG]]-Table3[[#This Row],[AVG XGPG]]</f>
        <v>-3.0769230769230757E-2</v>
      </c>
    </row>
    <row r="233" spans="1:4" x14ac:dyDescent="0.55000000000000004">
      <c r="A233" s="8" t="s">
        <v>168</v>
      </c>
      <c r="B233" s="14">
        <v>0</v>
      </c>
      <c r="C233" s="14">
        <v>3.0769230769230771E-2</v>
      </c>
      <c r="D233" s="14">
        <f>Table3[[#This Row],[AVG GPG]]-Table3[[#This Row],[AVG XGPG]]</f>
        <v>-3.0769230769230771E-2</v>
      </c>
    </row>
    <row r="234" spans="1:4" x14ac:dyDescent="0.55000000000000004">
      <c r="A234" s="8" t="s">
        <v>501</v>
      </c>
      <c r="B234" s="14">
        <v>0</v>
      </c>
      <c r="C234" s="14">
        <v>3.0769230769230771E-2</v>
      </c>
      <c r="D234" s="14">
        <f>Table3[[#This Row],[AVG GPG]]-Table3[[#This Row],[AVG XGPG]]</f>
        <v>-3.0769230769230771E-2</v>
      </c>
    </row>
    <row r="235" spans="1:4" x14ac:dyDescent="0.55000000000000004">
      <c r="A235" s="8" t="s">
        <v>567</v>
      </c>
      <c r="B235" s="14">
        <v>0</v>
      </c>
      <c r="C235" s="14">
        <v>3.0769230769230771E-2</v>
      </c>
      <c r="D235" s="14">
        <f>Table3[[#This Row],[AVG GPG]]-Table3[[#This Row],[AVG XGPG]]</f>
        <v>-3.0769230769230771E-2</v>
      </c>
    </row>
    <row r="236" spans="1:4" x14ac:dyDescent="0.55000000000000004">
      <c r="A236" s="8" t="s">
        <v>313</v>
      </c>
      <c r="B236" s="14">
        <v>8.3333333333333329E-2</v>
      </c>
      <c r="C236" s="14">
        <v>0.11666666666666665</v>
      </c>
      <c r="D236" s="14">
        <f>Table3[[#This Row],[AVG GPG]]-Table3[[#This Row],[AVG XGPG]]</f>
        <v>-3.3333333333333326E-2</v>
      </c>
    </row>
    <row r="237" spans="1:4" x14ac:dyDescent="0.55000000000000004">
      <c r="A237" s="8" t="s">
        <v>188</v>
      </c>
      <c r="B237" s="14">
        <v>0</v>
      </c>
      <c r="C237" s="14">
        <v>3.3333333333333333E-2</v>
      </c>
      <c r="D237" s="14">
        <f>Table3[[#This Row],[AVG GPG]]-Table3[[#This Row],[AVG XGPG]]</f>
        <v>-3.3333333333333333E-2</v>
      </c>
    </row>
    <row r="238" spans="1:4" x14ac:dyDescent="0.55000000000000004">
      <c r="A238" s="8" t="s">
        <v>154</v>
      </c>
      <c r="B238" s="14">
        <v>0</v>
      </c>
      <c r="C238" s="14">
        <v>3.3333333333333333E-2</v>
      </c>
      <c r="D238" s="14">
        <f>Table3[[#This Row],[AVG GPG]]-Table3[[#This Row],[AVG XGPG]]</f>
        <v>-3.3333333333333333E-2</v>
      </c>
    </row>
    <row r="239" spans="1:4" x14ac:dyDescent="0.55000000000000004">
      <c r="A239" s="8" t="s">
        <v>674</v>
      </c>
      <c r="B239" s="14">
        <v>0</v>
      </c>
      <c r="C239" s="14">
        <v>3.3333333333333333E-2</v>
      </c>
      <c r="D239" s="14">
        <f>Table3[[#This Row],[AVG GPG]]-Table3[[#This Row],[AVG XGPG]]</f>
        <v>-3.3333333333333333E-2</v>
      </c>
    </row>
    <row r="240" spans="1:4" x14ac:dyDescent="0.55000000000000004">
      <c r="A240" s="8" t="s">
        <v>542</v>
      </c>
      <c r="B240" s="14">
        <v>0</v>
      </c>
      <c r="C240" s="14">
        <v>3.3333333333333333E-2</v>
      </c>
      <c r="D240" s="14">
        <f>Table3[[#This Row],[AVG GPG]]-Table3[[#This Row],[AVG XGPG]]</f>
        <v>-3.3333333333333333E-2</v>
      </c>
    </row>
    <row r="241" spans="1:4" x14ac:dyDescent="0.55000000000000004">
      <c r="A241" s="8" t="s">
        <v>372</v>
      </c>
      <c r="B241" s="14">
        <v>0</v>
      </c>
      <c r="C241" s="14">
        <v>3.3333333333333333E-2</v>
      </c>
      <c r="D241" s="14">
        <f>Table3[[#This Row],[AVG GPG]]-Table3[[#This Row],[AVG XGPG]]</f>
        <v>-3.3333333333333333E-2</v>
      </c>
    </row>
    <row r="242" spans="1:4" x14ac:dyDescent="0.55000000000000004">
      <c r="A242" s="8" t="s">
        <v>78</v>
      </c>
      <c r="B242" s="14">
        <v>0</v>
      </c>
      <c r="C242" s="14">
        <v>3.6363636363636369E-2</v>
      </c>
      <c r="D242" s="14">
        <f>Table3[[#This Row],[AVG GPG]]-Table3[[#This Row],[AVG XGPG]]</f>
        <v>-3.6363636363636369E-2</v>
      </c>
    </row>
    <row r="243" spans="1:4" x14ac:dyDescent="0.55000000000000004">
      <c r="A243" s="8" t="s">
        <v>456</v>
      </c>
      <c r="B243" s="14">
        <v>0</v>
      </c>
      <c r="C243" s="14">
        <v>3.6363636363636369E-2</v>
      </c>
      <c r="D243" s="14">
        <f>Table3[[#This Row],[AVG GPG]]-Table3[[#This Row],[AVG XGPG]]</f>
        <v>-3.6363636363636369E-2</v>
      </c>
    </row>
    <row r="244" spans="1:4" x14ac:dyDescent="0.55000000000000004">
      <c r="A244" s="8" t="s">
        <v>615</v>
      </c>
      <c r="B244" s="14">
        <v>0</v>
      </c>
      <c r="C244" s="14">
        <v>3.7499999999999999E-2</v>
      </c>
      <c r="D244" s="14">
        <f>Table3[[#This Row],[AVG GPG]]-Table3[[#This Row],[AVG XGPG]]</f>
        <v>-3.7499999999999999E-2</v>
      </c>
    </row>
    <row r="245" spans="1:4" x14ac:dyDescent="0.55000000000000004">
      <c r="A245" s="8" t="s">
        <v>258</v>
      </c>
      <c r="B245" s="14">
        <v>0.15384615384615385</v>
      </c>
      <c r="C245" s="14">
        <v>0.19230769230769232</v>
      </c>
      <c r="D245" s="14">
        <f>Table3[[#This Row],[AVG GPG]]-Table3[[#This Row],[AVG XGPG]]</f>
        <v>-3.8461538461538464E-2</v>
      </c>
    </row>
    <row r="246" spans="1:4" x14ac:dyDescent="0.55000000000000004">
      <c r="A246" s="8" t="s">
        <v>385</v>
      </c>
      <c r="B246" s="14">
        <v>0</v>
      </c>
      <c r="C246" s="14">
        <v>3.8461538461538464E-2</v>
      </c>
      <c r="D246" s="14">
        <f>Table3[[#This Row],[AVG GPG]]-Table3[[#This Row],[AVG XGPG]]</f>
        <v>-3.8461538461538464E-2</v>
      </c>
    </row>
    <row r="247" spans="1:4" x14ac:dyDescent="0.55000000000000004">
      <c r="A247" s="8" t="s">
        <v>613</v>
      </c>
      <c r="B247" s="14">
        <v>0</v>
      </c>
      <c r="C247" s="14">
        <v>3.8461538461538464E-2</v>
      </c>
      <c r="D247" s="14">
        <f>Table3[[#This Row],[AVG GPG]]-Table3[[#This Row],[AVG XGPG]]</f>
        <v>-3.8461538461538464E-2</v>
      </c>
    </row>
    <row r="248" spans="1:4" x14ac:dyDescent="0.55000000000000004">
      <c r="A248" s="8" t="s">
        <v>140</v>
      </c>
      <c r="B248" s="14">
        <v>0</v>
      </c>
      <c r="C248" s="14">
        <v>3.8461538461538464E-2</v>
      </c>
      <c r="D248" s="14">
        <f>Table3[[#This Row],[AVG GPG]]-Table3[[#This Row],[AVG XGPG]]</f>
        <v>-3.8461538461538464E-2</v>
      </c>
    </row>
    <row r="249" spans="1:4" x14ac:dyDescent="0.55000000000000004">
      <c r="A249" s="8" t="s">
        <v>253</v>
      </c>
      <c r="B249" s="14">
        <v>0</v>
      </c>
      <c r="C249" s="14">
        <v>0.04</v>
      </c>
      <c r="D249" s="14">
        <f>Table3[[#This Row],[AVG GPG]]-Table3[[#This Row],[AVG XGPG]]</f>
        <v>-0.04</v>
      </c>
    </row>
    <row r="250" spans="1:4" x14ac:dyDescent="0.55000000000000004">
      <c r="A250" s="8" t="s">
        <v>582</v>
      </c>
      <c r="B250" s="14">
        <v>0</v>
      </c>
      <c r="C250" s="14">
        <v>0.04</v>
      </c>
      <c r="D250" s="14">
        <f>Table3[[#This Row],[AVG GPG]]-Table3[[#This Row],[AVG XGPG]]</f>
        <v>-0.04</v>
      </c>
    </row>
    <row r="251" spans="1:4" x14ac:dyDescent="0.55000000000000004">
      <c r="A251" s="8" t="s">
        <v>672</v>
      </c>
      <c r="B251" s="14">
        <v>0</v>
      </c>
      <c r="C251" s="14">
        <v>4.1666666666666664E-2</v>
      </c>
      <c r="D251" s="14">
        <f>Table3[[#This Row],[AVG GPG]]-Table3[[#This Row],[AVG XGPG]]</f>
        <v>-4.1666666666666664E-2</v>
      </c>
    </row>
    <row r="252" spans="1:4" x14ac:dyDescent="0.55000000000000004">
      <c r="A252" s="8" t="s">
        <v>151</v>
      </c>
      <c r="B252" s="14">
        <v>8.3333333333333329E-2</v>
      </c>
      <c r="C252" s="14">
        <v>0.125</v>
      </c>
      <c r="D252" s="14">
        <f>Table3[[#This Row],[AVG GPG]]-Table3[[#This Row],[AVG XGPG]]</f>
        <v>-4.1666666666666671E-2</v>
      </c>
    </row>
    <row r="253" spans="1:4" x14ac:dyDescent="0.55000000000000004">
      <c r="A253" s="8" t="s">
        <v>537</v>
      </c>
      <c r="B253" s="14">
        <v>0</v>
      </c>
      <c r="C253" s="14">
        <v>4.4444444444444446E-2</v>
      </c>
      <c r="D253" s="14">
        <f>Table3[[#This Row],[AVG GPG]]-Table3[[#This Row],[AVG XGPG]]</f>
        <v>-4.4444444444444446E-2</v>
      </c>
    </row>
    <row r="254" spans="1:4" x14ac:dyDescent="0.55000000000000004">
      <c r="A254" s="8" t="s">
        <v>206</v>
      </c>
      <c r="B254" s="14">
        <v>0.18181818181818182</v>
      </c>
      <c r="C254" s="14">
        <v>0.22727272727272727</v>
      </c>
      <c r="D254" s="14">
        <f>Table3[[#This Row],[AVG GPG]]-Table3[[#This Row],[AVG XGPG]]</f>
        <v>-4.5454545454545442E-2</v>
      </c>
    </row>
    <row r="255" spans="1:4" x14ac:dyDescent="0.55000000000000004">
      <c r="A255" s="8" t="s">
        <v>432</v>
      </c>
      <c r="B255" s="14">
        <v>0.30769230769230771</v>
      </c>
      <c r="C255" s="14">
        <v>0.35384615384615381</v>
      </c>
      <c r="D255" s="14">
        <f>Table3[[#This Row],[AVG GPG]]-Table3[[#This Row],[AVG XGPG]]</f>
        <v>-4.6153846153846101E-2</v>
      </c>
    </row>
    <row r="256" spans="1:4" x14ac:dyDescent="0.55000000000000004">
      <c r="A256" s="8" t="s">
        <v>333</v>
      </c>
      <c r="B256" s="14">
        <v>0</v>
      </c>
      <c r="C256" s="14">
        <v>4.6153846153846149E-2</v>
      </c>
      <c r="D256" s="14">
        <f>Table3[[#This Row],[AVG GPG]]-Table3[[#This Row],[AVG XGPG]]</f>
        <v>-4.6153846153846149E-2</v>
      </c>
    </row>
    <row r="257" spans="1:4" x14ac:dyDescent="0.55000000000000004">
      <c r="A257" s="8" t="s">
        <v>513</v>
      </c>
      <c r="B257" s="14">
        <v>0</v>
      </c>
      <c r="C257" s="14">
        <v>4.6153846153846149E-2</v>
      </c>
      <c r="D257" s="14">
        <f>Table3[[#This Row],[AVG GPG]]-Table3[[#This Row],[AVG XGPG]]</f>
        <v>-4.6153846153846149E-2</v>
      </c>
    </row>
    <row r="258" spans="1:4" x14ac:dyDescent="0.55000000000000004">
      <c r="A258" s="8" t="s">
        <v>466</v>
      </c>
      <c r="B258" s="14">
        <v>0.4</v>
      </c>
      <c r="C258" s="14">
        <v>0.45</v>
      </c>
      <c r="D258" s="14">
        <f>Table3[[#This Row],[AVG GPG]]-Table3[[#This Row],[AVG XGPG]]</f>
        <v>-4.9999999999999989E-2</v>
      </c>
    </row>
    <row r="259" spans="1:4" x14ac:dyDescent="0.55000000000000004">
      <c r="A259" s="8" t="s">
        <v>56</v>
      </c>
      <c r="B259" s="14">
        <v>0</v>
      </c>
      <c r="C259" s="14">
        <v>0.05</v>
      </c>
      <c r="D259" s="14">
        <f>Table3[[#This Row],[AVG GPG]]-Table3[[#This Row],[AVG XGPG]]</f>
        <v>-0.05</v>
      </c>
    </row>
    <row r="260" spans="1:4" x14ac:dyDescent="0.55000000000000004">
      <c r="A260" s="8" t="s">
        <v>462</v>
      </c>
      <c r="B260" s="14">
        <v>0</v>
      </c>
      <c r="C260" s="14">
        <v>5.3846153846153842E-2</v>
      </c>
      <c r="D260" s="14">
        <f>Table3[[#This Row],[AVG GPG]]-Table3[[#This Row],[AVG XGPG]]</f>
        <v>-5.3846153846153842E-2</v>
      </c>
    </row>
    <row r="261" spans="1:4" x14ac:dyDescent="0.55000000000000004">
      <c r="A261" s="8" t="s">
        <v>446</v>
      </c>
      <c r="B261" s="14">
        <v>0</v>
      </c>
      <c r="C261" s="14">
        <v>5.3846153846153842E-2</v>
      </c>
      <c r="D261" s="14">
        <f>Table3[[#This Row],[AVG GPG]]-Table3[[#This Row],[AVG XGPG]]</f>
        <v>-5.3846153846153842E-2</v>
      </c>
    </row>
    <row r="262" spans="1:4" x14ac:dyDescent="0.55000000000000004">
      <c r="A262" s="8" t="s">
        <v>209</v>
      </c>
      <c r="B262" s="14">
        <v>0</v>
      </c>
      <c r="C262" s="14">
        <v>5.3846153846153842E-2</v>
      </c>
      <c r="D262" s="14">
        <f>Table3[[#This Row],[AVG GPG]]-Table3[[#This Row],[AVG XGPG]]</f>
        <v>-5.3846153846153842E-2</v>
      </c>
    </row>
    <row r="263" spans="1:4" x14ac:dyDescent="0.55000000000000004">
      <c r="A263" s="8" t="s">
        <v>554</v>
      </c>
      <c r="B263" s="14">
        <v>0</v>
      </c>
      <c r="C263" s="14">
        <v>5.7142857142857148E-2</v>
      </c>
      <c r="D263" s="14">
        <f>Table3[[#This Row],[AVG GPG]]-Table3[[#This Row],[AVG XGPG]]</f>
        <v>-5.7142857142857148E-2</v>
      </c>
    </row>
    <row r="264" spans="1:4" x14ac:dyDescent="0.55000000000000004">
      <c r="A264" s="8" t="s">
        <v>624</v>
      </c>
      <c r="B264" s="14">
        <v>0</v>
      </c>
      <c r="C264" s="14">
        <v>5.7142857142857148E-2</v>
      </c>
      <c r="D264" s="14">
        <f>Table3[[#This Row],[AVG GPG]]-Table3[[#This Row],[AVG XGPG]]</f>
        <v>-5.7142857142857148E-2</v>
      </c>
    </row>
    <row r="265" spans="1:4" x14ac:dyDescent="0.55000000000000004">
      <c r="A265" s="8" t="s">
        <v>389</v>
      </c>
      <c r="B265" s="14">
        <v>0</v>
      </c>
      <c r="C265" s="14">
        <v>5.8333333333333327E-2</v>
      </c>
      <c r="D265" s="14">
        <f>Table3[[#This Row],[AVG GPG]]-Table3[[#This Row],[AVG XGPG]]</f>
        <v>-5.8333333333333327E-2</v>
      </c>
    </row>
    <row r="266" spans="1:4" x14ac:dyDescent="0.55000000000000004">
      <c r="A266" s="8" t="s">
        <v>633</v>
      </c>
      <c r="B266" s="14">
        <v>0.1</v>
      </c>
      <c r="C266" s="14">
        <v>0.16</v>
      </c>
      <c r="D266" s="14">
        <f>Table3[[#This Row],[AVG GPG]]-Table3[[#This Row],[AVG XGPG]]</f>
        <v>-0.06</v>
      </c>
    </row>
    <row r="267" spans="1:4" x14ac:dyDescent="0.55000000000000004">
      <c r="A267" s="8" t="s">
        <v>654</v>
      </c>
      <c r="B267" s="14">
        <v>0</v>
      </c>
      <c r="C267" s="14">
        <v>0.06</v>
      </c>
      <c r="D267" s="14">
        <f>Table3[[#This Row],[AVG GPG]]-Table3[[#This Row],[AVG XGPG]]</f>
        <v>-0.06</v>
      </c>
    </row>
    <row r="268" spans="1:4" x14ac:dyDescent="0.55000000000000004">
      <c r="A268" s="8" t="s">
        <v>194</v>
      </c>
      <c r="B268" s="14">
        <v>0</v>
      </c>
      <c r="C268" s="14">
        <v>6.1538461538461542E-2</v>
      </c>
      <c r="D268" s="14">
        <f>Table3[[#This Row],[AVG GPG]]-Table3[[#This Row],[AVG XGPG]]</f>
        <v>-6.1538461538461542E-2</v>
      </c>
    </row>
    <row r="269" spans="1:4" x14ac:dyDescent="0.55000000000000004">
      <c r="A269" s="8" t="s">
        <v>640</v>
      </c>
      <c r="B269" s="14">
        <v>0</v>
      </c>
      <c r="C269" s="14">
        <v>6.1538461538461542E-2</v>
      </c>
      <c r="D269" s="14">
        <f>Table3[[#This Row],[AVG GPG]]-Table3[[#This Row],[AVG XGPG]]</f>
        <v>-6.1538461538461542E-2</v>
      </c>
    </row>
    <row r="270" spans="1:4" x14ac:dyDescent="0.55000000000000004">
      <c r="A270" s="8" t="s">
        <v>105</v>
      </c>
      <c r="B270" s="14">
        <v>0</v>
      </c>
      <c r="C270" s="14">
        <v>6.1538461538461542E-2</v>
      </c>
      <c r="D270" s="14">
        <f>Table3[[#This Row],[AVG GPG]]-Table3[[#This Row],[AVG XGPG]]</f>
        <v>-6.1538461538461542E-2</v>
      </c>
    </row>
    <row r="271" spans="1:4" x14ac:dyDescent="0.55000000000000004">
      <c r="A271" s="8" t="s">
        <v>111</v>
      </c>
      <c r="B271" s="14">
        <v>0</v>
      </c>
      <c r="C271" s="14">
        <v>6.25E-2</v>
      </c>
      <c r="D271" s="14">
        <f>Table3[[#This Row],[AVG GPG]]-Table3[[#This Row],[AVG XGPG]]</f>
        <v>-6.25E-2</v>
      </c>
    </row>
    <row r="272" spans="1:4" x14ac:dyDescent="0.55000000000000004">
      <c r="A272" s="8" t="s">
        <v>214</v>
      </c>
      <c r="B272" s="14">
        <v>0</v>
      </c>
      <c r="C272" s="14">
        <v>6.25E-2</v>
      </c>
      <c r="D272" s="14">
        <f>Table3[[#This Row],[AVG GPG]]-Table3[[#This Row],[AVG XGPG]]</f>
        <v>-6.25E-2</v>
      </c>
    </row>
    <row r="273" spans="1:4" x14ac:dyDescent="0.55000000000000004">
      <c r="A273" s="8" t="s">
        <v>109</v>
      </c>
      <c r="B273" s="14">
        <v>9.0909090909090912E-2</v>
      </c>
      <c r="C273" s="14">
        <v>0.15454545454545454</v>
      </c>
      <c r="D273" s="14">
        <f>Table3[[#This Row],[AVG GPG]]-Table3[[#This Row],[AVG XGPG]]</f>
        <v>-6.363636363636363E-2</v>
      </c>
    </row>
    <row r="274" spans="1:4" x14ac:dyDescent="0.55000000000000004">
      <c r="A274" s="8" t="s">
        <v>325</v>
      </c>
      <c r="B274" s="14">
        <v>8.3333333333333329E-2</v>
      </c>
      <c r="C274" s="14">
        <v>0.15</v>
      </c>
      <c r="D274" s="14">
        <f>Table3[[#This Row],[AVG GPG]]-Table3[[#This Row],[AVG XGPG]]</f>
        <v>-6.6666666666666666E-2</v>
      </c>
    </row>
    <row r="275" spans="1:4" x14ac:dyDescent="0.55000000000000004">
      <c r="A275" s="8" t="s">
        <v>185</v>
      </c>
      <c r="B275" s="14">
        <v>0</v>
      </c>
      <c r="C275" s="14">
        <v>6.6666666666666666E-2</v>
      </c>
      <c r="D275" s="14">
        <f>Table3[[#This Row],[AVG GPG]]-Table3[[#This Row],[AVG XGPG]]</f>
        <v>-6.6666666666666666E-2</v>
      </c>
    </row>
    <row r="276" spans="1:4" x14ac:dyDescent="0.55000000000000004">
      <c r="A276" s="8" t="s">
        <v>309</v>
      </c>
      <c r="B276" s="14">
        <v>0</v>
      </c>
      <c r="C276" s="14">
        <v>6.6666666666666666E-2</v>
      </c>
      <c r="D276" s="14">
        <f>Table3[[#This Row],[AVG GPG]]-Table3[[#This Row],[AVG XGPG]]</f>
        <v>-6.6666666666666666E-2</v>
      </c>
    </row>
    <row r="277" spans="1:4" x14ac:dyDescent="0.55000000000000004">
      <c r="A277" s="8" t="s">
        <v>327</v>
      </c>
      <c r="B277" s="14">
        <v>0</v>
      </c>
      <c r="C277" s="14">
        <v>6.6666666666666666E-2</v>
      </c>
      <c r="D277" s="14">
        <f>Table3[[#This Row],[AVG GPG]]-Table3[[#This Row],[AVG XGPG]]</f>
        <v>-6.6666666666666666E-2</v>
      </c>
    </row>
    <row r="278" spans="1:4" x14ac:dyDescent="0.55000000000000004">
      <c r="A278" s="8" t="s">
        <v>381</v>
      </c>
      <c r="B278" s="14">
        <v>0</v>
      </c>
      <c r="C278" s="14">
        <v>6.6666666666666666E-2</v>
      </c>
      <c r="D278" s="14">
        <f>Table3[[#This Row],[AVG GPG]]-Table3[[#This Row],[AVG XGPG]]</f>
        <v>-6.6666666666666666E-2</v>
      </c>
    </row>
    <row r="279" spans="1:4" x14ac:dyDescent="0.55000000000000004">
      <c r="A279" s="8" t="s">
        <v>200</v>
      </c>
      <c r="B279" s="14">
        <v>0</v>
      </c>
      <c r="C279" s="14">
        <v>6.6666666666666666E-2</v>
      </c>
      <c r="D279" s="14">
        <f>Table3[[#This Row],[AVG GPG]]-Table3[[#This Row],[AVG XGPG]]</f>
        <v>-6.6666666666666666E-2</v>
      </c>
    </row>
    <row r="280" spans="1:4" x14ac:dyDescent="0.55000000000000004">
      <c r="A280" s="8" t="s">
        <v>667</v>
      </c>
      <c r="B280" s="14">
        <v>7.6923076923076927E-2</v>
      </c>
      <c r="C280" s="14">
        <v>0.14615384615384613</v>
      </c>
      <c r="D280" s="14">
        <f>Table3[[#This Row],[AVG GPG]]-Table3[[#This Row],[AVG XGPG]]</f>
        <v>-6.9230769230769207E-2</v>
      </c>
    </row>
    <row r="281" spans="1:4" x14ac:dyDescent="0.55000000000000004">
      <c r="A281" s="8" t="s">
        <v>91</v>
      </c>
      <c r="B281" s="14">
        <v>0</v>
      </c>
      <c r="C281" s="14">
        <v>7.4999999999999997E-2</v>
      </c>
      <c r="D281" s="14">
        <f>Table3[[#This Row],[AVG GPG]]-Table3[[#This Row],[AVG XGPG]]</f>
        <v>-7.4999999999999997E-2</v>
      </c>
    </row>
    <row r="282" spans="1:4" x14ac:dyDescent="0.55000000000000004">
      <c r="A282" s="8" t="s">
        <v>353</v>
      </c>
      <c r="B282" s="14">
        <v>0.1</v>
      </c>
      <c r="C282" s="14">
        <v>0.18</v>
      </c>
      <c r="D282" s="14">
        <f>Table3[[#This Row],[AVG GPG]]-Table3[[#This Row],[AVG XGPG]]</f>
        <v>-7.9999999999999988E-2</v>
      </c>
    </row>
    <row r="283" spans="1:4" x14ac:dyDescent="0.55000000000000004">
      <c r="A283" s="8" t="s">
        <v>572</v>
      </c>
      <c r="B283" s="14">
        <v>9.0909090909090912E-2</v>
      </c>
      <c r="C283" s="14">
        <v>0.17272727272727273</v>
      </c>
      <c r="D283" s="14">
        <f>Table3[[#This Row],[AVG GPG]]-Table3[[#This Row],[AVG XGPG]]</f>
        <v>-8.1818181818181818E-2</v>
      </c>
    </row>
    <row r="284" spans="1:4" x14ac:dyDescent="0.55000000000000004">
      <c r="A284" s="8" t="s">
        <v>511</v>
      </c>
      <c r="B284" s="14">
        <v>0</v>
      </c>
      <c r="C284" s="14">
        <v>8.1818181818181818E-2</v>
      </c>
      <c r="D284" s="14">
        <f>Table3[[#This Row],[AVG GPG]]-Table3[[#This Row],[AVG XGPG]]</f>
        <v>-8.1818181818181818E-2</v>
      </c>
    </row>
    <row r="285" spans="1:4" x14ac:dyDescent="0.55000000000000004">
      <c r="A285" s="8" t="s">
        <v>588</v>
      </c>
      <c r="B285" s="14">
        <v>7.6923076923076927E-2</v>
      </c>
      <c r="C285" s="14">
        <v>0.16153846153846155</v>
      </c>
      <c r="D285" s="14">
        <f>Table3[[#This Row],[AVG GPG]]-Table3[[#This Row],[AVG XGPG]]</f>
        <v>-8.461538461538462E-2</v>
      </c>
    </row>
    <row r="286" spans="1:4" x14ac:dyDescent="0.55000000000000004">
      <c r="A286" s="8" t="s">
        <v>264</v>
      </c>
      <c r="B286" s="14">
        <v>0</v>
      </c>
      <c r="C286" s="14">
        <v>8.8888888888888892E-2</v>
      </c>
      <c r="D286" s="14">
        <f>Table3[[#This Row],[AVG GPG]]-Table3[[#This Row],[AVG XGPG]]</f>
        <v>-8.8888888888888892E-2</v>
      </c>
    </row>
    <row r="287" spans="1:4" x14ac:dyDescent="0.55000000000000004">
      <c r="A287" s="8" t="s">
        <v>626</v>
      </c>
      <c r="B287" s="14">
        <v>0</v>
      </c>
      <c r="C287" s="14">
        <v>0.09</v>
      </c>
      <c r="D287" s="14">
        <f>Table3[[#This Row],[AVG GPG]]-Table3[[#This Row],[AVG XGPG]]</f>
        <v>-0.09</v>
      </c>
    </row>
    <row r="288" spans="1:4" x14ac:dyDescent="0.55000000000000004">
      <c r="A288" s="8" t="s">
        <v>97</v>
      </c>
      <c r="B288" s="14">
        <v>0</v>
      </c>
      <c r="C288" s="14">
        <v>9.0909090909090912E-2</v>
      </c>
      <c r="D288" s="14">
        <f>Table3[[#This Row],[AVG GPG]]-Table3[[#This Row],[AVG XGPG]]</f>
        <v>-9.0909090909090912E-2</v>
      </c>
    </row>
    <row r="289" spans="1:4" x14ac:dyDescent="0.55000000000000004">
      <c r="A289" s="8" t="s">
        <v>357</v>
      </c>
      <c r="B289" s="14">
        <v>0</v>
      </c>
      <c r="C289" s="14">
        <v>9.2307692307692299E-2</v>
      </c>
      <c r="D289" s="14">
        <f>Table3[[#This Row],[AVG GPG]]-Table3[[#This Row],[AVG XGPG]]</f>
        <v>-9.2307692307692299E-2</v>
      </c>
    </row>
    <row r="290" spans="1:4" x14ac:dyDescent="0.55000000000000004">
      <c r="A290" s="8" t="s">
        <v>61</v>
      </c>
      <c r="B290" s="14">
        <v>0</v>
      </c>
      <c r="C290" s="14">
        <v>9.9999999999999992E-2</v>
      </c>
      <c r="D290" s="14">
        <f>Table3[[#This Row],[AVG GPG]]-Table3[[#This Row],[AVG XGPG]]</f>
        <v>-9.9999999999999992E-2</v>
      </c>
    </row>
    <row r="291" spans="1:4" x14ac:dyDescent="0.55000000000000004">
      <c r="A291" s="8" t="s">
        <v>661</v>
      </c>
      <c r="B291" s="14">
        <v>0.16666666666666666</v>
      </c>
      <c r="C291" s="14">
        <v>0.26666666666666666</v>
      </c>
      <c r="D291" s="14">
        <f>Table3[[#This Row],[AVG GPG]]-Table3[[#This Row],[AVG XGPG]]</f>
        <v>-0.1</v>
      </c>
    </row>
    <row r="292" spans="1:4" x14ac:dyDescent="0.55000000000000004">
      <c r="A292" s="8" t="s">
        <v>468</v>
      </c>
      <c r="B292" s="14">
        <v>0</v>
      </c>
      <c r="C292" s="14">
        <v>0.1</v>
      </c>
      <c r="D292" s="14">
        <f>Table3[[#This Row],[AVG GPG]]-Table3[[#This Row],[AVG XGPG]]</f>
        <v>-0.1</v>
      </c>
    </row>
    <row r="293" spans="1:4" x14ac:dyDescent="0.55000000000000004">
      <c r="A293" s="8" t="s">
        <v>566</v>
      </c>
      <c r="B293" s="14">
        <v>0</v>
      </c>
      <c r="C293" s="14">
        <v>0.1</v>
      </c>
      <c r="D293" s="14">
        <f>Table3[[#This Row],[AVG GPG]]-Table3[[#This Row],[AVG XGPG]]</f>
        <v>-0.1</v>
      </c>
    </row>
    <row r="294" spans="1:4" x14ac:dyDescent="0.55000000000000004">
      <c r="A294" s="8" t="s">
        <v>484</v>
      </c>
      <c r="B294" s="14">
        <v>7.6923076923076927E-2</v>
      </c>
      <c r="C294" s="14">
        <v>0.1846153846153846</v>
      </c>
      <c r="D294" s="14">
        <f>Table3[[#This Row],[AVG GPG]]-Table3[[#This Row],[AVG XGPG]]</f>
        <v>-0.10769230769230767</v>
      </c>
    </row>
    <row r="295" spans="1:4" x14ac:dyDescent="0.55000000000000004">
      <c r="A295" s="8" t="s">
        <v>236</v>
      </c>
      <c r="B295" s="14">
        <v>0.2</v>
      </c>
      <c r="C295" s="14">
        <v>0.31</v>
      </c>
      <c r="D295" s="14">
        <f>Table3[[#This Row],[AVG GPG]]-Table3[[#This Row],[AVG XGPG]]</f>
        <v>-0.10999999999999999</v>
      </c>
    </row>
    <row r="296" spans="1:4" x14ac:dyDescent="0.55000000000000004">
      <c r="A296" s="8" t="s">
        <v>70</v>
      </c>
      <c r="B296" s="14">
        <v>0.1111111111111111</v>
      </c>
      <c r="C296" s="14">
        <v>0.22222222222222221</v>
      </c>
      <c r="D296" s="14">
        <f>Table3[[#This Row],[AVG GPG]]-Table3[[#This Row],[AVG XGPG]]</f>
        <v>-0.1111111111111111</v>
      </c>
    </row>
    <row r="297" spans="1:4" x14ac:dyDescent="0.55000000000000004">
      <c r="A297" s="8" t="s">
        <v>375</v>
      </c>
      <c r="B297" s="14">
        <v>7.6923076923076927E-2</v>
      </c>
      <c r="C297" s="14">
        <v>0.19230769230769232</v>
      </c>
      <c r="D297" s="14">
        <f>Table3[[#This Row],[AVG GPG]]-Table3[[#This Row],[AVG XGPG]]</f>
        <v>-0.11538461538461539</v>
      </c>
    </row>
    <row r="298" spans="1:4" x14ac:dyDescent="0.55000000000000004">
      <c r="A298" s="8" t="s">
        <v>650</v>
      </c>
      <c r="B298" s="14">
        <v>0.33333333333333331</v>
      </c>
      <c r="C298" s="14">
        <v>0.45833333333333331</v>
      </c>
      <c r="D298" s="14">
        <f>Table3[[#This Row],[AVG GPG]]-Table3[[#This Row],[AVG XGPG]]</f>
        <v>-0.125</v>
      </c>
    </row>
    <row r="299" spans="1:4" x14ac:dyDescent="0.55000000000000004">
      <c r="A299" s="8" t="s">
        <v>407</v>
      </c>
      <c r="B299" s="14">
        <v>0</v>
      </c>
      <c r="C299" s="14">
        <v>0.125</v>
      </c>
      <c r="D299" s="14">
        <f>Table3[[#This Row],[AVG GPG]]-Table3[[#This Row],[AVG XGPG]]</f>
        <v>-0.125</v>
      </c>
    </row>
    <row r="300" spans="1:4" x14ac:dyDescent="0.55000000000000004">
      <c r="A300" s="8" t="s">
        <v>682</v>
      </c>
      <c r="B300" s="14">
        <v>0</v>
      </c>
      <c r="C300" s="14">
        <v>0.13750000000000001</v>
      </c>
      <c r="D300" s="14">
        <f>Table3[[#This Row],[AVG GPG]]-Table3[[#This Row],[AVG XGPG]]</f>
        <v>-0.13750000000000001</v>
      </c>
    </row>
    <row r="301" spans="1:4" x14ac:dyDescent="0.55000000000000004">
      <c r="A301" s="8" t="s">
        <v>329</v>
      </c>
      <c r="B301" s="14">
        <v>0</v>
      </c>
      <c r="C301" s="14">
        <v>0.14615384615384613</v>
      </c>
      <c r="D301" s="14">
        <f>Table3[[#This Row],[AVG GPG]]-Table3[[#This Row],[AVG XGPG]]</f>
        <v>-0.14615384615384613</v>
      </c>
    </row>
    <row r="302" spans="1:4" x14ac:dyDescent="0.55000000000000004">
      <c r="A302" s="8" t="s">
        <v>158</v>
      </c>
      <c r="B302" s="14">
        <v>0.61538461538461542</v>
      </c>
      <c r="C302" s="14">
        <v>0.76153846153846161</v>
      </c>
      <c r="D302" s="14">
        <f>Table3[[#This Row],[AVG GPG]]-Table3[[#This Row],[AVG XGPG]]</f>
        <v>-0.14615384615384619</v>
      </c>
    </row>
    <row r="303" spans="1:4" x14ac:dyDescent="0.55000000000000004">
      <c r="A303" s="8" t="s">
        <v>231</v>
      </c>
      <c r="B303" s="14">
        <v>0</v>
      </c>
      <c r="C303" s="14">
        <v>0.15</v>
      </c>
      <c r="D303" s="14">
        <f>Table3[[#This Row],[AVG GPG]]-Table3[[#This Row],[AVG XGPG]]</f>
        <v>-0.15</v>
      </c>
    </row>
    <row r="304" spans="1:4" x14ac:dyDescent="0.55000000000000004">
      <c r="A304" s="8" t="s">
        <v>630</v>
      </c>
      <c r="B304" s="14">
        <v>0</v>
      </c>
      <c r="C304" s="14">
        <v>0.15384615384615385</v>
      </c>
      <c r="D304" s="14">
        <f>Table3[[#This Row],[AVG GPG]]-Table3[[#This Row],[AVG XGPG]]</f>
        <v>-0.15384615384615385</v>
      </c>
    </row>
    <row r="305" spans="1:4" x14ac:dyDescent="0.55000000000000004">
      <c r="A305" s="8" t="s">
        <v>509</v>
      </c>
      <c r="B305" s="14">
        <v>0</v>
      </c>
      <c r="C305" s="14">
        <v>0.16666666666666666</v>
      </c>
      <c r="D305" s="14">
        <f>Table3[[#This Row],[AVG GPG]]-Table3[[#This Row],[AVG XGPG]]</f>
        <v>-0.16666666666666666</v>
      </c>
    </row>
    <row r="306" spans="1:4" x14ac:dyDescent="0.55000000000000004">
      <c r="A306" s="8" t="s">
        <v>365</v>
      </c>
      <c r="B306" s="14">
        <v>0.1111111111111111</v>
      </c>
      <c r="C306" s="14">
        <v>0.27777777777777779</v>
      </c>
      <c r="D306" s="14">
        <f>Table3[[#This Row],[AVG GPG]]-Table3[[#This Row],[AVG XGPG]]</f>
        <v>-0.16666666666666669</v>
      </c>
    </row>
    <row r="307" spans="1:4" x14ac:dyDescent="0.55000000000000004">
      <c r="A307" s="8" t="s">
        <v>663</v>
      </c>
      <c r="B307" s="14">
        <v>7.6923076923076927E-2</v>
      </c>
      <c r="C307" s="14">
        <v>0.25384615384615383</v>
      </c>
      <c r="D307" s="14">
        <f>Table3[[#This Row],[AVG GPG]]-Table3[[#This Row],[AVG XGPG]]</f>
        <v>-0.17692307692307691</v>
      </c>
    </row>
    <row r="308" spans="1:4" x14ac:dyDescent="0.55000000000000004">
      <c r="A308" s="8" t="s">
        <v>592</v>
      </c>
      <c r="B308" s="14">
        <v>7.6923076923076927E-2</v>
      </c>
      <c r="C308" s="14">
        <v>0.26153846153846155</v>
      </c>
      <c r="D308" s="14">
        <f>Table3[[#This Row],[AVG GPG]]-Table3[[#This Row],[AVG XGPG]]</f>
        <v>-0.18461538461538463</v>
      </c>
    </row>
    <row r="309" spans="1:4" x14ac:dyDescent="0.55000000000000004">
      <c r="A309" s="8" t="s">
        <v>368</v>
      </c>
      <c r="B309" s="14">
        <v>0</v>
      </c>
      <c r="C309" s="14">
        <v>0.19230769230769232</v>
      </c>
      <c r="D309" s="14">
        <f>Table3[[#This Row],[AVG GPG]]-Table3[[#This Row],[AVG XGPG]]</f>
        <v>-0.19230769230769232</v>
      </c>
    </row>
    <row r="310" spans="1:4" x14ac:dyDescent="0.55000000000000004">
      <c r="A310" s="8" t="s">
        <v>415</v>
      </c>
      <c r="B310" s="14">
        <v>0</v>
      </c>
      <c r="C310" s="14">
        <v>0.2</v>
      </c>
      <c r="D310" s="14">
        <f>Table3[[#This Row],[AVG GPG]]-Table3[[#This Row],[AVG XGPG]]</f>
        <v>-0.2</v>
      </c>
    </row>
    <row r="311" spans="1:4" x14ac:dyDescent="0.55000000000000004">
      <c r="A311" s="8" t="s">
        <v>602</v>
      </c>
      <c r="B311" s="14">
        <v>0</v>
      </c>
      <c r="C311" s="14">
        <v>0.26666666666666666</v>
      </c>
      <c r="D311" s="14">
        <f>Table3[[#This Row],[AVG GPG]]-Table3[[#This Row],[AVG XGPG]]</f>
        <v>-0.26666666666666666</v>
      </c>
    </row>
  </sheetData>
  <conditionalFormatting sqref="B2:B3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8293-3533-4435-B112-3F3E62FD6E64}">
  <dimension ref="A1:D310"/>
  <sheetViews>
    <sheetView zoomScaleNormal="100" workbookViewId="0">
      <selection activeCell="I13" sqref="I13"/>
    </sheetView>
  </sheetViews>
  <sheetFormatPr defaultRowHeight="16.5" x14ac:dyDescent="0.55000000000000004"/>
  <cols>
    <col min="1" max="1" width="20.36328125" style="8" bestFit="1" customWidth="1"/>
    <col min="2" max="2" width="10.26953125" style="8" customWidth="1"/>
    <col min="3" max="3" width="11.26953125" style="8" customWidth="1"/>
    <col min="4" max="4" width="13.08984375" style="13" bestFit="1" customWidth="1"/>
    <col min="5" max="16384" width="8.7265625" style="8"/>
  </cols>
  <sheetData>
    <row r="1" spans="1:4" x14ac:dyDescent="0.55000000000000004">
      <c r="A1" s="8" t="s">
        <v>1</v>
      </c>
      <c r="B1" s="8" t="s">
        <v>697</v>
      </c>
      <c r="C1" s="8" t="s">
        <v>698</v>
      </c>
      <c r="D1" s="13" t="s">
        <v>707</v>
      </c>
    </row>
    <row r="2" spans="1:4" x14ac:dyDescent="0.55000000000000004">
      <c r="A2" s="8" t="s">
        <v>178</v>
      </c>
      <c r="B2" s="14">
        <v>0.5</v>
      </c>
      <c r="C2" s="14">
        <v>0.25</v>
      </c>
      <c r="D2" s="14">
        <f>SQRT(Table2[[#This Row],[AVG GPG]]*Table2[[#This Row],[AVG APG]])</f>
        <v>0.35355339059327379</v>
      </c>
    </row>
    <row r="3" spans="1:4" x14ac:dyDescent="0.55000000000000004">
      <c r="A3" s="8" t="s">
        <v>158</v>
      </c>
      <c r="B3" s="14">
        <v>0.61538461538461542</v>
      </c>
      <c r="C3" s="14">
        <v>0.15384615384615385</v>
      </c>
      <c r="D3" s="14">
        <f>SQRT(Table2[[#This Row],[AVG GPG]]*Table2[[#This Row],[AVG APG]])</f>
        <v>0.30769230769230771</v>
      </c>
    </row>
    <row r="4" spans="1:4" x14ac:dyDescent="0.55000000000000004">
      <c r="A4" s="8" t="s">
        <v>432</v>
      </c>
      <c r="B4" s="14">
        <v>0.30769230769230771</v>
      </c>
      <c r="C4" s="14">
        <v>0.30769230769230771</v>
      </c>
      <c r="D4" s="14">
        <f>SQRT(Table2[[#This Row],[AVG GPG]]*Table2[[#This Row],[AVG APG]])</f>
        <v>0.30769230769230771</v>
      </c>
    </row>
    <row r="5" spans="1:4" x14ac:dyDescent="0.55000000000000004">
      <c r="A5" s="8" t="s">
        <v>148</v>
      </c>
      <c r="B5" s="14">
        <v>0.23076923076923078</v>
      </c>
      <c r="C5" s="14">
        <v>0.38461538461538464</v>
      </c>
      <c r="D5" s="14">
        <f>SQRT(Table2[[#This Row],[AVG GPG]]*Table2[[#This Row],[AVG APG]])</f>
        <v>0.29792179586210898</v>
      </c>
    </row>
    <row r="6" spans="1:4" x14ac:dyDescent="0.55000000000000004">
      <c r="A6" s="8" t="s">
        <v>637</v>
      </c>
      <c r="B6" s="14">
        <v>0.41666666666666669</v>
      </c>
      <c r="C6" s="14">
        <v>0.16666666666666666</v>
      </c>
      <c r="D6" s="14">
        <f>SQRT(Table2[[#This Row],[AVG GPG]]*Table2[[#This Row],[AVG APG]])</f>
        <v>0.26352313834736496</v>
      </c>
    </row>
    <row r="7" spans="1:4" x14ac:dyDescent="0.55000000000000004">
      <c r="A7" s="8" t="s">
        <v>238</v>
      </c>
      <c r="B7" s="14">
        <v>0.25</v>
      </c>
      <c r="C7" s="14">
        <v>0.25</v>
      </c>
      <c r="D7" s="14">
        <f>SQRT(Table2[[#This Row],[AVG GPG]]*Table2[[#This Row],[AVG APG]])</f>
        <v>0.25</v>
      </c>
    </row>
    <row r="8" spans="1:4" x14ac:dyDescent="0.55000000000000004">
      <c r="A8" s="8" t="s">
        <v>202</v>
      </c>
      <c r="B8" s="14">
        <v>0.55555555555555558</v>
      </c>
      <c r="C8" s="14">
        <v>0.1111111111111111</v>
      </c>
      <c r="D8" s="14">
        <f>SQRT(Table2[[#This Row],[AVG GPG]]*Table2[[#This Row],[AVG APG]])</f>
        <v>0.24845199749997662</v>
      </c>
    </row>
    <row r="9" spans="1:4" x14ac:dyDescent="0.55000000000000004">
      <c r="A9" s="8" t="s">
        <v>302</v>
      </c>
      <c r="B9" s="14">
        <v>0.6</v>
      </c>
      <c r="C9" s="14">
        <v>0.1</v>
      </c>
      <c r="D9" s="14">
        <f>SQRT(Table2[[#This Row],[AVG GPG]]*Table2[[#This Row],[AVG APG]])</f>
        <v>0.2449489742783178</v>
      </c>
    </row>
    <row r="10" spans="1:4" x14ac:dyDescent="0.55000000000000004">
      <c r="A10" s="8" t="s">
        <v>83</v>
      </c>
      <c r="B10" s="14">
        <v>0.61538461538461542</v>
      </c>
      <c r="C10" s="14">
        <v>7.6923076923076927E-2</v>
      </c>
      <c r="D10" s="14">
        <f>SQRT(Table2[[#This Row],[AVG GPG]]*Table2[[#This Row],[AVG APG]])</f>
        <v>0.21757131728816848</v>
      </c>
    </row>
    <row r="11" spans="1:4" x14ac:dyDescent="0.55000000000000004">
      <c r="A11" s="8" t="s">
        <v>516</v>
      </c>
      <c r="B11" s="14">
        <v>0.375</v>
      </c>
      <c r="C11" s="14">
        <v>0.125</v>
      </c>
      <c r="D11" s="14">
        <f>SQRT(Table2[[#This Row],[AVG GPG]]*Table2[[#This Row],[AVG APG]])</f>
        <v>0.21650635094610965</v>
      </c>
    </row>
    <row r="12" spans="1:4" x14ac:dyDescent="0.55000000000000004">
      <c r="A12" s="8" t="s">
        <v>576</v>
      </c>
      <c r="B12" s="14">
        <v>0.25</v>
      </c>
      <c r="C12" s="14">
        <v>0.16666666666666666</v>
      </c>
      <c r="D12" s="14">
        <f>SQRT(Table2[[#This Row],[AVG GPG]]*Table2[[#This Row],[AVG APG]])</f>
        <v>0.20412414523193151</v>
      </c>
    </row>
    <row r="13" spans="1:4" x14ac:dyDescent="0.55000000000000004">
      <c r="A13" s="8" t="s">
        <v>642</v>
      </c>
      <c r="B13" s="14">
        <v>0.53846153846153844</v>
      </c>
      <c r="C13" s="14">
        <v>7.6923076923076927E-2</v>
      </c>
      <c r="D13" s="14">
        <f>SQRT(Table2[[#This Row],[AVG GPG]]*Table2[[#This Row],[AVG APG]])</f>
        <v>0.20351933162035313</v>
      </c>
    </row>
    <row r="14" spans="1:4" x14ac:dyDescent="0.55000000000000004">
      <c r="A14" s="8" t="s">
        <v>93</v>
      </c>
      <c r="B14" s="14">
        <v>0.45454545454545453</v>
      </c>
      <c r="C14" s="14">
        <v>9.0909090909090912E-2</v>
      </c>
      <c r="D14" s="14">
        <f>SQRT(Table2[[#This Row],[AVG GPG]]*Table2[[#This Row],[AVG APG]])</f>
        <v>0.20327890704543544</v>
      </c>
    </row>
    <row r="15" spans="1:4" x14ac:dyDescent="0.55000000000000004">
      <c r="A15" s="8" t="s">
        <v>533</v>
      </c>
      <c r="B15" s="14">
        <v>0.14285714285714285</v>
      </c>
      <c r="C15" s="14">
        <v>0.2857142857142857</v>
      </c>
      <c r="D15" s="14">
        <f>SQRT(Table2[[#This Row],[AVG GPG]]*Table2[[#This Row],[AVG APG]])</f>
        <v>0.20203050891044214</v>
      </c>
    </row>
    <row r="16" spans="1:4" x14ac:dyDescent="0.55000000000000004">
      <c r="A16" s="8" t="s">
        <v>466</v>
      </c>
      <c r="B16" s="14">
        <v>0.4</v>
      </c>
      <c r="C16" s="14">
        <v>0.1</v>
      </c>
      <c r="D16" s="14">
        <f>SQRT(Table2[[#This Row],[AVG GPG]]*Table2[[#This Row],[AVG APG]])</f>
        <v>0.2</v>
      </c>
    </row>
    <row r="17" spans="1:4" x14ac:dyDescent="0.55000000000000004">
      <c r="A17" s="8" t="s">
        <v>606</v>
      </c>
      <c r="B17" s="14">
        <v>0.2</v>
      </c>
      <c r="C17" s="14">
        <v>0.2</v>
      </c>
      <c r="D17" s="14">
        <f>SQRT(Table2[[#This Row],[AVG GPG]]*Table2[[#This Row],[AVG APG]])</f>
        <v>0.2</v>
      </c>
    </row>
    <row r="18" spans="1:4" x14ac:dyDescent="0.55000000000000004">
      <c r="A18" s="8" t="s">
        <v>236</v>
      </c>
      <c r="B18" s="14">
        <v>0.2</v>
      </c>
      <c r="C18" s="14">
        <v>0.2</v>
      </c>
      <c r="D18" s="14">
        <f>SQRT(Table2[[#This Row],[AVG GPG]]*Table2[[#This Row],[AVG APG]])</f>
        <v>0.2</v>
      </c>
    </row>
    <row r="19" spans="1:4" x14ac:dyDescent="0.55000000000000004">
      <c r="A19" s="8" t="s">
        <v>365</v>
      </c>
      <c r="B19" s="14">
        <v>0.1111111111111111</v>
      </c>
      <c r="C19" s="14">
        <v>0.33333333333333331</v>
      </c>
      <c r="D19" s="14">
        <f>SQRT(Table2[[#This Row],[AVG GPG]]*Table2[[#This Row],[AVG APG]])</f>
        <v>0.19245008972987526</v>
      </c>
    </row>
    <row r="20" spans="1:4" x14ac:dyDescent="0.55000000000000004">
      <c r="A20" s="8" t="s">
        <v>192</v>
      </c>
      <c r="B20" s="14">
        <v>0.23076923076923078</v>
      </c>
      <c r="C20" s="14">
        <v>0.15384615384615385</v>
      </c>
      <c r="D20" s="14">
        <f>SQRT(Table2[[#This Row],[AVG GPG]]*Table2[[#This Row],[AVG APG]])</f>
        <v>0.18842228790639831</v>
      </c>
    </row>
    <row r="21" spans="1:4" x14ac:dyDescent="0.55000000000000004">
      <c r="A21" s="8" t="s">
        <v>258</v>
      </c>
      <c r="B21" s="14">
        <v>0.15384615384615385</v>
      </c>
      <c r="C21" s="14">
        <v>0.23076923076923078</v>
      </c>
      <c r="D21" s="14">
        <f>SQRT(Table2[[#This Row],[AVG GPG]]*Table2[[#This Row],[AVG APG]])</f>
        <v>0.18842228790639831</v>
      </c>
    </row>
    <row r="22" spans="1:4" x14ac:dyDescent="0.55000000000000004">
      <c r="A22" s="8" t="s">
        <v>317</v>
      </c>
      <c r="B22" s="14">
        <v>0.36363636363636365</v>
      </c>
      <c r="C22" s="14">
        <v>9.0909090909090912E-2</v>
      </c>
      <c r="D22" s="14">
        <f>SQRT(Table2[[#This Row],[AVG GPG]]*Table2[[#This Row],[AVG APG]])</f>
        <v>0.18181818181818182</v>
      </c>
    </row>
    <row r="23" spans="1:4" x14ac:dyDescent="0.55000000000000004">
      <c r="A23" s="8" t="s">
        <v>170</v>
      </c>
      <c r="B23" s="14">
        <v>0.18181818181818182</v>
      </c>
      <c r="C23" s="14">
        <v>0.18181818181818182</v>
      </c>
      <c r="D23" s="14">
        <f>SQRT(Table2[[#This Row],[AVG GPG]]*Table2[[#This Row],[AVG APG]])</f>
        <v>0.18181818181818182</v>
      </c>
    </row>
    <row r="24" spans="1:4" x14ac:dyDescent="0.55000000000000004">
      <c r="A24" s="8" t="s">
        <v>206</v>
      </c>
      <c r="B24" s="14">
        <v>0.18181818181818182</v>
      </c>
      <c r="C24" s="14">
        <v>0.18181818181818182</v>
      </c>
      <c r="D24" s="14">
        <f>SQRT(Table2[[#This Row],[AVG GPG]]*Table2[[#This Row],[AVG APG]])</f>
        <v>0.18181818181818182</v>
      </c>
    </row>
    <row r="25" spans="1:4" x14ac:dyDescent="0.55000000000000004">
      <c r="A25" s="8" t="s">
        <v>650</v>
      </c>
      <c r="B25" s="14">
        <v>0.33333333333333331</v>
      </c>
      <c r="C25" s="14">
        <v>8.3333333333333329E-2</v>
      </c>
      <c r="D25" s="14">
        <f>SQRT(Table2[[#This Row],[AVG GPG]]*Table2[[#This Row],[AVG APG]])</f>
        <v>0.16666666666666666</v>
      </c>
    </row>
    <row r="26" spans="1:4" x14ac:dyDescent="0.55000000000000004">
      <c r="A26" s="8" t="s">
        <v>180</v>
      </c>
      <c r="B26" s="14">
        <v>0.16666666666666666</v>
      </c>
      <c r="C26" s="14">
        <v>0.16666666666666666</v>
      </c>
      <c r="D26" s="14">
        <f>SQRT(Table2[[#This Row],[AVG GPG]]*Table2[[#This Row],[AVG APG]])</f>
        <v>0.16666666666666666</v>
      </c>
    </row>
    <row r="27" spans="1:4" x14ac:dyDescent="0.55000000000000004">
      <c r="A27" s="8" t="s">
        <v>578</v>
      </c>
      <c r="B27" s="14">
        <v>0.16666666666666666</v>
      </c>
      <c r="C27" s="14">
        <v>0.16666666666666666</v>
      </c>
      <c r="D27" s="14">
        <f>SQRT(Table2[[#This Row],[AVG GPG]]*Table2[[#This Row],[AVG APG]])</f>
        <v>0.16666666666666666</v>
      </c>
    </row>
    <row r="28" spans="1:4" x14ac:dyDescent="0.55000000000000004">
      <c r="A28" s="8" t="s">
        <v>639</v>
      </c>
      <c r="B28" s="14">
        <v>8.3333333333333329E-2</v>
      </c>
      <c r="C28" s="14">
        <v>0.33333333333333331</v>
      </c>
      <c r="D28" s="14">
        <f>SQRT(Table2[[#This Row],[AVG GPG]]*Table2[[#This Row],[AVG APG]])</f>
        <v>0.16666666666666666</v>
      </c>
    </row>
    <row r="29" spans="1:4" x14ac:dyDescent="0.55000000000000004">
      <c r="A29" s="8" t="s">
        <v>550</v>
      </c>
      <c r="B29" s="14">
        <v>0.22222222222222221</v>
      </c>
      <c r="C29" s="14">
        <v>0.1111111111111111</v>
      </c>
      <c r="D29" s="14">
        <f>SQRT(Table2[[#This Row],[AVG GPG]]*Table2[[#This Row],[AVG APG]])</f>
        <v>0.15713484026367722</v>
      </c>
    </row>
    <row r="30" spans="1:4" x14ac:dyDescent="0.55000000000000004">
      <c r="A30" s="8" t="s">
        <v>370</v>
      </c>
      <c r="B30" s="14">
        <v>0.1111111111111111</v>
      </c>
      <c r="C30" s="14">
        <v>0.22222222222222221</v>
      </c>
      <c r="D30" s="14">
        <f>SQRT(Table2[[#This Row],[AVG GPG]]*Table2[[#This Row],[AVG APG]])</f>
        <v>0.15713484026367722</v>
      </c>
    </row>
    <row r="31" spans="1:4" x14ac:dyDescent="0.55000000000000004">
      <c r="A31" s="8" t="s">
        <v>387</v>
      </c>
      <c r="B31" s="14">
        <v>0.30769230769230771</v>
      </c>
      <c r="C31" s="14">
        <v>7.6923076923076927E-2</v>
      </c>
      <c r="D31" s="14">
        <f>SQRT(Table2[[#This Row],[AVG GPG]]*Table2[[#This Row],[AVG APG]])</f>
        <v>0.15384615384615385</v>
      </c>
    </row>
    <row r="32" spans="1:4" x14ac:dyDescent="0.55000000000000004">
      <c r="A32" s="8" t="s">
        <v>507</v>
      </c>
      <c r="B32" s="14">
        <v>0.15384615384615385</v>
      </c>
      <c r="C32" s="14">
        <v>0.15384615384615385</v>
      </c>
      <c r="D32" s="14">
        <f>SQRT(Table2[[#This Row],[AVG GPG]]*Table2[[#This Row],[AVG APG]])</f>
        <v>0.15384615384615385</v>
      </c>
    </row>
    <row r="33" spans="1:4" x14ac:dyDescent="0.55000000000000004">
      <c r="A33" s="8" t="s">
        <v>198</v>
      </c>
      <c r="B33" s="14">
        <v>0.15384615384615385</v>
      </c>
      <c r="C33" s="14">
        <v>0.15384615384615385</v>
      </c>
      <c r="D33" s="14">
        <f>SQRT(Table2[[#This Row],[AVG GPG]]*Table2[[#This Row],[AVG APG]])</f>
        <v>0.15384615384615385</v>
      </c>
    </row>
    <row r="34" spans="1:4" x14ac:dyDescent="0.55000000000000004">
      <c r="A34" s="8" t="s">
        <v>584</v>
      </c>
      <c r="B34" s="14">
        <v>7.6923076923076927E-2</v>
      </c>
      <c r="C34" s="14">
        <v>0.30769230769230771</v>
      </c>
      <c r="D34" s="14">
        <f>SQRT(Table2[[#This Row],[AVG GPG]]*Table2[[#This Row],[AVG APG]])</f>
        <v>0.15384615384615385</v>
      </c>
    </row>
    <row r="35" spans="1:4" x14ac:dyDescent="0.55000000000000004">
      <c r="A35" s="8" t="s">
        <v>243</v>
      </c>
      <c r="B35" s="14">
        <v>0.25</v>
      </c>
      <c r="C35" s="14">
        <v>8.3333333333333329E-2</v>
      </c>
      <c r="D35" s="14">
        <f>SQRT(Table2[[#This Row],[AVG GPG]]*Table2[[#This Row],[AVG APG]])</f>
        <v>0.14433756729740643</v>
      </c>
    </row>
    <row r="36" spans="1:4" x14ac:dyDescent="0.55000000000000004">
      <c r="A36" s="8" t="s">
        <v>166</v>
      </c>
      <c r="B36" s="14">
        <v>8.3333333333333329E-2</v>
      </c>
      <c r="C36" s="14">
        <v>0.25</v>
      </c>
      <c r="D36" s="14">
        <f>SQRT(Table2[[#This Row],[AVG GPG]]*Table2[[#This Row],[AVG APG]])</f>
        <v>0.14433756729740643</v>
      </c>
    </row>
    <row r="37" spans="1:4" x14ac:dyDescent="0.55000000000000004">
      <c r="A37" s="8" t="s">
        <v>268</v>
      </c>
      <c r="B37" s="14">
        <v>0.2</v>
      </c>
      <c r="C37" s="14">
        <v>0.1</v>
      </c>
      <c r="D37" s="14">
        <f>SQRT(Table2[[#This Row],[AVG GPG]]*Table2[[#This Row],[AVG APG]])</f>
        <v>0.14142135623730953</v>
      </c>
    </row>
    <row r="38" spans="1:4" x14ac:dyDescent="0.55000000000000004">
      <c r="A38" s="8" t="s">
        <v>119</v>
      </c>
      <c r="B38" s="14">
        <v>0.2</v>
      </c>
      <c r="C38" s="14">
        <v>0.1</v>
      </c>
      <c r="D38" s="14">
        <f>SQRT(Table2[[#This Row],[AVG GPG]]*Table2[[#This Row],[AVG APG]])</f>
        <v>0.14142135623730953</v>
      </c>
    </row>
    <row r="39" spans="1:4" x14ac:dyDescent="0.55000000000000004">
      <c r="A39" s="8" t="s">
        <v>353</v>
      </c>
      <c r="B39" s="14">
        <v>0.1</v>
      </c>
      <c r="C39" s="14">
        <v>0.2</v>
      </c>
      <c r="D39" s="14">
        <f>SQRT(Table2[[#This Row],[AVG GPG]]*Table2[[#This Row],[AVG APG]])</f>
        <v>0.14142135623730953</v>
      </c>
    </row>
    <row r="40" spans="1:4" x14ac:dyDescent="0.55000000000000004">
      <c r="A40" s="8" t="s">
        <v>73</v>
      </c>
      <c r="B40" s="14">
        <v>0.23076923076923078</v>
      </c>
      <c r="C40" s="14">
        <v>7.6923076923076927E-2</v>
      </c>
      <c r="D40" s="14">
        <f>SQRT(Table2[[#This Row],[AVG GPG]]*Table2[[#This Row],[AVG APG]])</f>
        <v>0.13323467750529824</v>
      </c>
    </row>
    <row r="41" spans="1:4" x14ac:dyDescent="0.55000000000000004">
      <c r="A41" s="8" t="s">
        <v>280</v>
      </c>
      <c r="B41" s="14">
        <v>0.23076923076923078</v>
      </c>
      <c r="C41" s="14">
        <v>7.6923076923076927E-2</v>
      </c>
      <c r="D41" s="14">
        <f>SQRT(Table2[[#This Row],[AVG GPG]]*Table2[[#This Row],[AVG APG]])</f>
        <v>0.13323467750529824</v>
      </c>
    </row>
    <row r="42" spans="1:4" x14ac:dyDescent="0.55000000000000004">
      <c r="A42" s="8" t="s">
        <v>421</v>
      </c>
      <c r="B42" s="14">
        <v>0.23076923076923078</v>
      </c>
      <c r="C42" s="14">
        <v>7.6923076923076927E-2</v>
      </c>
      <c r="D42" s="14">
        <f>SQRT(Table2[[#This Row],[AVG GPG]]*Table2[[#This Row],[AVG APG]])</f>
        <v>0.13323467750529824</v>
      </c>
    </row>
    <row r="43" spans="1:4" x14ac:dyDescent="0.55000000000000004">
      <c r="A43" s="8" t="s">
        <v>611</v>
      </c>
      <c r="B43" s="14">
        <v>7.6923076923076927E-2</v>
      </c>
      <c r="C43" s="14">
        <v>0.23076923076923078</v>
      </c>
      <c r="D43" s="14">
        <f>SQRT(Table2[[#This Row],[AVG GPG]]*Table2[[#This Row],[AVG APG]])</f>
        <v>0.13323467750529824</v>
      </c>
    </row>
    <row r="44" spans="1:4" x14ac:dyDescent="0.55000000000000004">
      <c r="A44" s="8" t="s">
        <v>482</v>
      </c>
      <c r="B44" s="14">
        <v>7.6923076923076927E-2</v>
      </c>
      <c r="C44" s="14">
        <v>0.23076923076923078</v>
      </c>
      <c r="D44" s="14">
        <f>SQRT(Table2[[#This Row],[AVG GPG]]*Table2[[#This Row],[AVG APG]])</f>
        <v>0.13323467750529824</v>
      </c>
    </row>
    <row r="45" spans="1:4" x14ac:dyDescent="0.55000000000000004">
      <c r="A45" s="8" t="s">
        <v>291</v>
      </c>
      <c r="B45" s="14">
        <v>0.18181818181818182</v>
      </c>
      <c r="C45" s="14">
        <v>9.0909090909090912E-2</v>
      </c>
      <c r="D45" s="14">
        <f>SQRT(Table2[[#This Row],[AVG GPG]]*Table2[[#This Row],[AVG APG]])</f>
        <v>0.12856486930664501</v>
      </c>
    </row>
    <row r="46" spans="1:4" x14ac:dyDescent="0.55000000000000004">
      <c r="A46" s="8" t="s">
        <v>59</v>
      </c>
      <c r="B46" s="14">
        <v>9.0909090909090912E-2</v>
      </c>
      <c r="C46" s="14">
        <v>0.18181818181818182</v>
      </c>
      <c r="D46" s="14">
        <f>SQRT(Table2[[#This Row],[AVG GPG]]*Table2[[#This Row],[AVG APG]])</f>
        <v>0.12856486930664501</v>
      </c>
    </row>
    <row r="47" spans="1:4" x14ac:dyDescent="0.55000000000000004">
      <c r="A47" s="8" t="s">
        <v>475</v>
      </c>
      <c r="B47" s="14">
        <v>0.16666666666666666</v>
      </c>
      <c r="C47" s="14">
        <v>8.3333333333333329E-2</v>
      </c>
      <c r="D47" s="14">
        <f>SQRT(Table2[[#This Row],[AVG GPG]]*Table2[[#This Row],[AVG APG]])</f>
        <v>0.11785113019775792</v>
      </c>
    </row>
    <row r="48" spans="1:4" x14ac:dyDescent="0.55000000000000004">
      <c r="A48" s="8" t="s">
        <v>241</v>
      </c>
      <c r="B48" s="14">
        <v>8.3333333333333329E-2</v>
      </c>
      <c r="C48" s="14">
        <v>0.16666666666666666</v>
      </c>
      <c r="D48" s="14">
        <f>SQRT(Table2[[#This Row],[AVG GPG]]*Table2[[#This Row],[AVG APG]])</f>
        <v>0.11785113019775792</v>
      </c>
    </row>
    <row r="49" spans="1:4" x14ac:dyDescent="0.55000000000000004">
      <c r="A49" s="8" t="s">
        <v>64</v>
      </c>
      <c r="B49" s="14">
        <v>8.3333333333333329E-2</v>
      </c>
      <c r="C49" s="14">
        <v>0.16666666666666666</v>
      </c>
      <c r="D49" s="14">
        <f>SQRT(Table2[[#This Row],[AVG GPG]]*Table2[[#This Row],[AVG APG]])</f>
        <v>0.11785113019775792</v>
      </c>
    </row>
    <row r="50" spans="1:4" x14ac:dyDescent="0.55000000000000004">
      <c r="A50" s="8" t="s">
        <v>293</v>
      </c>
      <c r="B50" s="14">
        <v>0.15384615384615385</v>
      </c>
      <c r="C50" s="14">
        <v>7.6923076923076927E-2</v>
      </c>
      <c r="D50" s="14">
        <f>SQRT(Table2[[#This Row],[AVG GPG]]*Table2[[#This Row],[AVG APG]])</f>
        <v>0.10878565864408424</v>
      </c>
    </row>
    <row r="51" spans="1:4" x14ac:dyDescent="0.55000000000000004">
      <c r="A51" s="8" t="s">
        <v>680</v>
      </c>
      <c r="B51" s="14">
        <v>7.6923076923076927E-2</v>
      </c>
      <c r="C51" s="14">
        <v>0.15384615384615385</v>
      </c>
      <c r="D51" s="14">
        <f>SQRT(Table2[[#This Row],[AVG GPG]]*Table2[[#This Row],[AVG APG]])</f>
        <v>0.10878565864408424</v>
      </c>
    </row>
    <row r="52" spans="1:4" x14ac:dyDescent="0.55000000000000004">
      <c r="A52" s="8" t="s">
        <v>405</v>
      </c>
      <c r="B52" s="14">
        <v>7.6923076923076927E-2</v>
      </c>
      <c r="C52" s="14">
        <v>0.15384615384615385</v>
      </c>
      <c r="D52" s="14">
        <f>SQRT(Table2[[#This Row],[AVG GPG]]*Table2[[#This Row],[AVG APG]])</f>
        <v>0.10878565864408424</v>
      </c>
    </row>
    <row r="53" spans="1:4" x14ac:dyDescent="0.55000000000000004">
      <c r="A53" s="8" t="s">
        <v>375</v>
      </c>
      <c r="B53" s="14">
        <v>7.6923076923076927E-2</v>
      </c>
      <c r="C53" s="14">
        <v>0.15384615384615385</v>
      </c>
      <c r="D53" s="14">
        <f>SQRT(Table2[[#This Row],[AVG GPG]]*Table2[[#This Row],[AVG APG]])</f>
        <v>0.10878565864408424</v>
      </c>
    </row>
    <row r="54" spans="1:4" x14ac:dyDescent="0.55000000000000004">
      <c r="A54" s="8" t="s">
        <v>621</v>
      </c>
      <c r="B54" s="14">
        <v>7.6923076923076927E-2</v>
      </c>
      <c r="C54" s="14">
        <v>0.15384615384615385</v>
      </c>
      <c r="D54" s="14">
        <f>SQRT(Table2[[#This Row],[AVG GPG]]*Table2[[#This Row],[AVG APG]])</f>
        <v>0.10878565864408424</v>
      </c>
    </row>
    <row r="55" spans="1:4" x14ac:dyDescent="0.55000000000000004">
      <c r="A55" s="8" t="s">
        <v>548</v>
      </c>
      <c r="B55" s="14">
        <v>0.1</v>
      </c>
      <c r="C55" s="14">
        <v>0.1</v>
      </c>
      <c r="D55" s="14">
        <f>SQRT(Table2[[#This Row],[AVG GPG]]*Table2[[#This Row],[AVG APG]])</f>
        <v>0.1</v>
      </c>
    </row>
    <row r="56" spans="1:4" x14ac:dyDescent="0.55000000000000004">
      <c r="A56" s="8" t="s">
        <v>331</v>
      </c>
      <c r="B56" s="14">
        <v>0.1</v>
      </c>
      <c r="C56" s="14">
        <v>0.1</v>
      </c>
      <c r="D56" s="14">
        <f>SQRT(Table2[[#This Row],[AVG GPG]]*Table2[[#This Row],[AVG APG]])</f>
        <v>0.1</v>
      </c>
    </row>
    <row r="57" spans="1:4" x14ac:dyDescent="0.55000000000000004">
      <c r="A57" s="8" t="s">
        <v>35</v>
      </c>
      <c r="B57" s="14">
        <v>0.1</v>
      </c>
      <c r="C57" s="14">
        <v>0.1</v>
      </c>
      <c r="D57" s="14">
        <f>SQRT(Table2[[#This Row],[AVG GPG]]*Table2[[#This Row],[AVG APG]])</f>
        <v>0.1</v>
      </c>
    </row>
    <row r="58" spans="1:4" x14ac:dyDescent="0.55000000000000004">
      <c r="A58" s="8" t="s">
        <v>686</v>
      </c>
      <c r="B58" s="14">
        <v>9.0909090909090912E-2</v>
      </c>
      <c r="C58" s="14">
        <v>9.0909090909090912E-2</v>
      </c>
      <c r="D58" s="14">
        <f>SQRT(Table2[[#This Row],[AVG GPG]]*Table2[[#This Row],[AVG APG]])</f>
        <v>9.0909090909090912E-2</v>
      </c>
    </row>
    <row r="59" spans="1:4" x14ac:dyDescent="0.55000000000000004">
      <c r="A59" s="8" t="s">
        <v>572</v>
      </c>
      <c r="B59" s="14">
        <v>9.0909090909090912E-2</v>
      </c>
      <c r="C59" s="14">
        <v>9.0909090909090912E-2</v>
      </c>
      <c r="D59" s="14">
        <f>SQRT(Table2[[#This Row],[AVG GPG]]*Table2[[#This Row],[AVG APG]])</f>
        <v>9.0909090909090912E-2</v>
      </c>
    </row>
    <row r="60" spans="1:4" x14ac:dyDescent="0.55000000000000004">
      <c r="A60" s="8" t="s">
        <v>323</v>
      </c>
      <c r="B60" s="14">
        <v>8.3333333333333329E-2</v>
      </c>
      <c r="C60" s="14">
        <v>8.3333333333333329E-2</v>
      </c>
      <c r="D60" s="14">
        <f>SQRT(Table2[[#This Row],[AVG GPG]]*Table2[[#This Row],[AVG APG]])</f>
        <v>8.3333333333333329E-2</v>
      </c>
    </row>
    <row r="61" spans="1:4" x14ac:dyDescent="0.55000000000000004">
      <c r="A61" s="8" t="s">
        <v>87</v>
      </c>
      <c r="B61" s="14">
        <v>8.3333333333333329E-2</v>
      </c>
      <c r="C61" s="14">
        <v>8.3333333333333329E-2</v>
      </c>
      <c r="D61" s="14">
        <f>SQRT(Table2[[#This Row],[AVG GPG]]*Table2[[#This Row],[AVG APG]])</f>
        <v>8.3333333333333329E-2</v>
      </c>
    </row>
    <row r="62" spans="1:4" x14ac:dyDescent="0.55000000000000004">
      <c r="A62" s="8" t="s">
        <v>588</v>
      </c>
      <c r="B62" s="14">
        <v>7.6923076923076927E-2</v>
      </c>
      <c r="C62" s="14">
        <v>7.6923076923076927E-2</v>
      </c>
      <c r="D62" s="14">
        <f>SQRT(Table2[[#This Row],[AVG GPG]]*Table2[[#This Row],[AVG APG]])</f>
        <v>7.6923076923076927E-2</v>
      </c>
    </row>
    <row r="63" spans="1:4" x14ac:dyDescent="0.55000000000000004">
      <c r="A63" s="8" t="s">
        <v>663</v>
      </c>
      <c r="B63" s="14">
        <v>7.6923076923076927E-2</v>
      </c>
      <c r="C63" s="14">
        <v>7.6923076923076927E-2</v>
      </c>
      <c r="D63" s="14">
        <f>SQRT(Table2[[#This Row],[AVG GPG]]*Table2[[#This Row],[AVG APG]])</f>
        <v>7.6923076923076927E-2</v>
      </c>
    </row>
    <row r="64" spans="1:4" x14ac:dyDescent="0.55000000000000004">
      <c r="A64" s="8" t="s">
        <v>419</v>
      </c>
      <c r="B64" s="14">
        <v>7.6923076923076927E-2</v>
      </c>
      <c r="C64" s="14">
        <v>7.6923076923076927E-2</v>
      </c>
      <c r="D64" s="14">
        <f>SQRT(Table2[[#This Row],[AVG GPG]]*Table2[[#This Row],[AVG APG]])</f>
        <v>7.6923076923076927E-2</v>
      </c>
    </row>
    <row r="65" spans="1:4" x14ac:dyDescent="0.55000000000000004">
      <c r="A65" s="8" t="s">
        <v>594</v>
      </c>
      <c r="B65" s="14">
        <v>7.6923076923076927E-2</v>
      </c>
      <c r="C65" s="14">
        <v>7.6923076923076927E-2</v>
      </c>
      <c r="D65" s="14">
        <f>SQRT(Table2[[#This Row],[AVG GPG]]*Table2[[#This Row],[AVG APG]])</f>
        <v>7.6923076923076927E-2</v>
      </c>
    </row>
    <row r="66" spans="1:4" x14ac:dyDescent="0.55000000000000004">
      <c r="A66" s="8" t="s">
        <v>592</v>
      </c>
      <c r="B66" s="14">
        <v>7.6923076923076927E-2</v>
      </c>
      <c r="C66" s="14">
        <v>7.6923076923076927E-2</v>
      </c>
      <c r="D66" s="14">
        <f>SQRT(Table2[[#This Row],[AVG GPG]]*Table2[[#This Row],[AVG APG]])</f>
        <v>7.6923076923076927E-2</v>
      </c>
    </row>
    <row r="67" spans="1:4" x14ac:dyDescent="0.55000000000000004">
      <c r="A67" s="8" t="s">
        <v>552</v>
      </c>
      <c r="B67" s="14">
        <v>7.6923076923076927E-2</v>
      </c>
      <c r="C67" s="14">
        <v>7.6923076923076927E-2</v>
      </c>
      <c r="D67" s="14">
        <f>SQRT(Table2[[#This Row],[AVG GPG]]*Table2[[#This Row],[AVG APG]])</f>
        <v>7.6923076923076927E-2</v>
      </c>
    </row>
    <row r="68" spans="1:4" x14ac:dyDescent="0.55000000000000004">
      <c r="A68" s="8" t="s">
        <v>657</v>
      </c>
      <c r="B68" s="14">
        <v>7.6923076923076927E-2</v>
      </c>
      <c r="C68" s="14">
        <v>7.6923076923076927E-2</v>
      </c>
      <c r="D68" s="14">
        <f>SQRT(Table2[[#This Row],[AVG GPG]]*Table2[[#This Row],[AVG APG]])</f>
        <v>7.6923076923076927E-2</v>
      </c>
    </row>
    <row r="69" spans="1:4" x14ac:dyDescent="0.55000000000000004">
      <c r="A69" s="8" t="s">
        <v>128</v>
      </c>
      <c r="B69" s="14">
        <v>7.6923076923076927E-2</v>
      </c>
      <c r="C69" s="14">
        <v>7.6923076923076927E-2</v>
      </c>
      <c r="D69" s="14">
        <f>SQRT(Table2[[#This Row],[AVG GPG]]*Table2[[#This Row],[AVG APG]])</f>
        <v>7.6923076923076927E-2</v>
      </c>
    </row>
    <row r="70" spans="1:4" x14ac:dyDescent="0.55000000000000004">
      <c r="A70" s="8" t="s">
        <v>484</v>
      </c>
      <c r="B70" s="14">
        <v>7.6923076923076927E-2</v>
      </c>
      <c r="C70" s="14">
        <v>7.6923076923076927E-2</v>
      </c>
      <c r="D70" s="14">
        <f>SQRT(Table2[[#This Row],[AVG GPG]]*Table2[[#This Row],[AVG APG]])</f>
        <v>7.6923076923076927E-2</v>
      </c>
    </row>
    <row r="71" spans="1:4" x14ac:dyDescent="0.55000000000000004">
      <c r="A71" s="8" t="s">
        <v>558</v>
      </c>
      <c r="B71" s="14">
        <v>7.6923076923076927E-2</v>
      </c>
      <c r="C71" s="14">
        <v>7.6923076923076927E-2</v>
      </c>
      <c r="D71" s="14">
        <f>SQRT(Table2[[#This Row],[AVG GPG]]*Table2[[#This Row],[AVG APG]])</f>
        <v>7.6923076923076927E-2</v>
      </c>
    </row>
    <row r="72" spans="1:4" x14ac:dyDescent="0.55000000000000004">
      <c r="A72" s="8" t="s">
        <v>678</v>
      </c>
      <c r="B72" s="14">
        <v>7.6923076923076927E-2</v>
      </c>
      <c r="C72" s="14">
        <v>7.6923076923076927E-2</v>
      </c>
      <c r="D72" s="14">
        <f>SQRT(Table2[[#This Row],[AVG GPG]]*Table2[[#This Row],[AVG APG]])</f>
        <v>7.6923076923076927E-2</v>
      </c>
    </row>
    <row r="73" spans="1:4" x14ac:dyDescent="0.55000000000000004">
      <c r="A73" s="8" t="s">
        <v>275</v>
      </c>
      <c r="B73" s="14">
        <v>0.76923076923076927</v>
      </c>
      <c r="C73" s="14">
        <v>0</v>
      </c>
      <c r="D73" s="14">
        <f>SQRT(Table2[[#This Row],[AVG GPG]]*Table2[[#This Row],[AVG APG]])</f>
        <v>0</v>
      </c>
    </row>
    <row r="74" spans="1:4" x14ac:dyDescent="0.55000000000000004">
      <c r="A74" s="8" t="s">
        <v>586</v>
      </c>
      <c r="B74" s="14">
        <v>0.46153846153846156</v>
      </c>
      <c r="C74" s="14">
        <v>0</v>
      </c>
      <c r="D74" s="14">
        <f>SQRT(Table2[[#This Row],[AVG GPG]]*Table2[[#This Row],[AVG APG]])</f>
        <v>0</v>
      </c>
    </row>
    <row r="75" spans="1:4" x14ac:dyDescent="0.55000000000000004">
      <c r="A75" s="8" t="s">
        <v>31</v>
      </c>
      <c r="B75" s="14">
        <v>0.4</v>
      </c>
      <c r="C75" s="14">
        <v>0</v>
      </c>
      <c r="D75" s="14">
        <f>SQRT(Table2[[#This Row],[AVG GPG]]*Table2[[#This Row],[AVG APG]])</f>
        <v>0</v>
      </c>
    </row>
    <row r="76" spans="1:4" x14ac:dyDescent="0.55000000000000004">
      <c r="A76" s="8" t="s">
        <v>401</v>
      </c>
      <c r="B76" s="14">
        <v>0.36363636363636365</v>
      </c>
      <c r="C76" s="14">
        <v>0</v>
      </c>
      <c r="D76" s="14">
        <f>SQRT(Table2[[#This Row],[AVG GPG]]*Table2[[#This Row],[AVG APG]])</f>
        <v>0</v>
      </c>
    </row>
    <row r="77" spans="1:4" x14ac:dyDescent="0.55000000000000004">
      <c r="A77" s="8" t="s">
        <v>514</v>
      </c>
      <c r="B77" s="14">
        <v>0.33333333333333331</v>
      </c>
      <c r="C77" s="14">
        <v>0</v>
      </c>
      <c r="D77" s="14">
        <f>SQRT(Table2[[#This Row],[AVG GPG]]*Table2[[#This Row],[AVG APG]])</f>
        <v>0</v>
      </c>
    </row>
    <row r="78" spans="1:4" x14ac:dyDescent="0.55000000000000004">
      <c r="A78" s="8" t="s">
        <v>505</v>
      </c>
      <c r="B78" s="14">
        <v>0.33333333333333331</v>
      </c>
      <c r="C78" s="14">
        <v>0</v>
      </c>
      <c r="D78" s="14">
        <f>SQRT(Table2[[#This Row],[AVG GPG]]*Table2[[#This Row],[AVG APG]])</f>
        <v>0</v>
      </c>
    </row>
    <row r="79" spans="1:4" x14ac:dyDescent="0.55000000000000004">
      <c r="A79" s="8" t="s">
        <v>217</v>
      </c>
      <c r="B79" s="14">
        <v>0.33333333333333331</v>
      </c>
      <c r="C79" s="14">
        <v>0</v>
      </c>
      <c r="D79" s="14">
        <f>SQRT(Table2[[#This Row],[AVG GPG]]*Table2[[#This Row],[AVG APG]])</f>
        <v>0</v>
      </c>
    </row>
    <row r="80" spans="1:4" x14ac:dyDescent="0.55000000000000004">
      <c r="A80" s="8" t="s">
        <v>123</v>
      </c>
      <c r="B80" s="14">
        <v>0.33333333333333331</v>
      </c>
      <c r="C80" s="14">
        <v>0</v>
      </c>
      <c r="D80" s="14">
        <f>SQRT(Table2[[#This Row],[AVG GPG]]*Table2[[#This Row],[AVG APG]])</f>
        <v>0</v>
      </c>
    </row>
    <row r="81" spans="1:4" x14ac:dyDescent="0.55000000000000004">
      <c r="A81" s="8" t="s">
        <v>619</v>
      </c>
      <c r="B81" s="14">
        <v>0.3</v>
      </c>
      <c r="C81" s="14">
        <v>0</v>
      </c>
      <c r="D81" s="14">
        <f>SQRT(Table2[[#This Row],[AVG GPG]]*Table2[[#This Row],[AVG APG]])</f>
        <v>0</v>
      </c>
    </row>
    <row r="82" spans="1:4" x14ac:dyDescent="0.55000000000000004">
      <c r="A82" s="8" t="s">
        <v>379</v>
      </c>
      <c r="B82" s="14">
        <v>0.3</v>
      </c>
      <c r="C82" s="14">
        <v>0</v>
      </c>
      <c r="D82" s="14">
        <f>SQRT(Table2[[#This Row],[AVG GPG]]*Table2[[#This Row],[AVG APG]])</f>
        <v>0</v>
      </c>
    </row>
    <row r="83" spans="1:4" x14ac:dyDescent="0.55000000000000004">
      <c r="A83" s="8" t="s">
        <v>486</v>
      </c>
      <c r="B83" s="14">
        <v>0.25</v>
      </c>
      <c r="C83" s="14">
        <v>0</v>
      </c>
      <c r="D83" s="14">
        <f>SQRT(Table2[[#This Row],[AVG GPG]]*Table2[[#This Row],[AVG APG]])</f>
        <v>0</v>
      </c>
    </row>
    <row r="84" spans="1:4" x14ac:dyDescent="0.55000000000000004">
      <c r="A84" s="8" t="s">
        <v>644</v>
      </c>
      <c r="B84" s="14">
        <v>0.25</v>
      </c>
      <c r="C84" s="14">
        <v>0</v>
      </c>
      <c r="D84" s="14">
        <f>SQRT(Table2[[#This Row],[AVG GPG]]*Table2[[#This Row],[AVG APG]])</f>
        <v>0</v>
      </c>
    </row>
    <row r="85" spans="1:4" x14ac:dyDescent="0.55000000000000004">
      <c r="A85" s="8" t="s">
        <v>454</v>
      </c>
      <c r="B85" s="14">
        <v>0.25</v>
      </c>
      <c r="C85" s="14">
        <v>0</v>
      </c>
      <c r="D85" s="14">
        <f>SQRT(Table2[[#This Row],[AVG GPG]]*Table2[[#This Row],[AVG APG]])</f>
        <v>0</v>
      </c>
    </row>
    <row r="86" spans="1:4" x14ac:dyDescent="0.55000000000000004">
      <c r="A86" s="8" t="s">
        <v>355</v>
      </c>
      <c r="B86" s="14">
        <v>0.2</v>
      </c>
      <c r="C86" s="14">
        <v>0</v>
      </c>
      <c r="D86" s="14">
        <f>SQRT(Table2[[#This Row],[AVG GPG]]*Table2[[#This Row],[AVG APG]])</f>
        <v>0</v>
      </c>
    </row>
    <row r="87" spans="1:4" x14ac:dyDescent="0.55000000000000004">
      <c r="A87" s="8" t="s">
        <v>529</v>
      </c>
      <c r="B87" s="14">
        <v>0.18181818181818182</v>
      </c>
      <c r="C87" s="14">
        <v>0</v>
      </c>
      <c r="D87" s="14">
        <f>SQRT(Table2[[#This Row],[AVG GPG]]*Table2[[#This Row],[AVG APG]])</f>
        <v>0</v>
      </c>
    </row>
    <row r="88" spans="1:4" x14ac:dyDescent="0.55000000000000004">
      <c r="A88" s="8" t="s">
        <v>383</v>
      </c>
      <c r="B88" s="14">
        <v>0.18181818181818182</v>
      </c>
      <c r="C88" s="14">
        <v>0</v>
      </c>
      <c r="D88" s="14">
        <f>SQRT(Table2[[#This Row],[AVG GPG]]*Table2[[#This Row],[AVG APG]])</f>
        <v>0</v>
      </c>
    </row>
    <row r="89" spans="1:4" x14ac:dyDescent="0.55000000000000004">
      <c r="A89" s="8" t="s">
        <v>525</v>
      </c>
      <c r="B89" s="14">
        <v>0.18181818181818182</v>
      </c>
      <c r="C89" s="14">
        <v>0</v>
      </c>
      <c r="D89" s="14">
        <f>SQRT(Table2[[#This Row],[AVG GPG]]*Table2[[#This Row],[AVG APG]])</f>
        <v>0</v>
      </c>
    </row>
    <row r="90" spans="1:4" x14ac:dyDescent="0.55000000000000004">
      <c r="A90" s="8" t="s">
        <v>40</v>
      </c>
      <c r="B90" s="14">
        <v>0.16666666666666666</v>
      </c>
      <c r="C90" s="14">
        <v>0</v>
      </c>
      <c r="D90" s="14">
        <f>SQRT(Table2[[#This Row],[AVG GPG]]*Table2[[#This Row],[AVG APG]])</f>
        <v>0</v>
      </c>
    </row>
    <row r="91" spans="1:4" x14ac:dyDescent="0.55000000000000004">
      <c r="A91" s="8" t="s">
        <v>661</v>
      </c>
      <c r="B91" s="14">
        <v>0.16666666666666666</v>
      </c>
      <c r="C91" s="14">
        <v>0</v>
      </c>
      <c r="D91" s="14">
        <f>SQRT(Table2[[#This Row],[AVG GPG]]*Table2[[#This Row],[AVG APG]])</f>
        <v>0</v>
      </c>
    </row>
    <row r="92" spans="1:4" x14ac:dyDescent="0.55000000000000004">
      <c r="A92" s="8" t="s">
        <v>684</v>
      </c>
      <c r="B92" s="14">
        <v>0.16666666666666666</v>
      </c>
      <c r="C92" s="14">
        <v>0</v>
      </c>
      <c r="D92" s="14">
        <f>SQRT(Table2[[#This Row],[AVG GPG]]*Table2[[#This Row],[AVG APG]])</f>
        <v>0</v>
      </c>
    </row>
    <row r="93" spans="1:4" x14ac:dyDescent="0.55000000000000004">
      <c r="A93" s="8" t="s">
        <v>575</v>
      </c>
      <c r="B93" s="14">
        <v>0.15384615384615385</v>
      </c>
      <c r="C93" s="14">
        <v>0</v>
      </c>
      <c r="D93" s="14">
        <f>SQRT(Table2[[#This Row],[AVG GPG]]*Table2[[#This Row],[AVG APG]])</f>
        <v>0</v>
      </c>
    </row>
    <row r="94" spans="1:4" x14ac:dyDescent="0.55000000000000004">
      <c r="A94" s="8" t="s">
        <v>134</v>
      </c>
      <c r="B94" s="14">
        <v>0.15384615384615385</v>
      </c>
      <c r="C94" s="14">
        <v>0</v>
      </c>
      <c r="D94" s="14">
        <f>SQRT(Table2[[#This Row],[AVG GPG]]*Table2[[#This Row],[AVG APG]])</f>
        <v>0</v>
      </c>
    </row>
    <row r="95" spans="1:4" x14ac:dyDescent="0.55000000000000004">
      <c r="A95" s="8" t="s">
        <v>590</v>
      </c>
      <c r="B95" s="14">
        <v>0.15384615384615385</v>
      </c>
      <c r="C95" s="14">
        <v>0</v>
      </c>
      <c r="D95" s="14">
        <f>SQRT(Table2[[#This Row],[AVG GPG]]*Table2[[#This Row],[AVG APG]])</f>
        <v>0</v>
      </c>
    </row>
    <row r="96" spans="1:4" x14ac:dyDescent="0.55000000000000004">
      <c r="A96" s="8" t="s">
        <v>272</v>
      </c>
      <c r="B96" s="14">
        <v>0.14285714285714285</v>
      </c>
      <c r="C96" s="14">
        <v>0</v>
      </c>
      <c r="D96" s="14">
        <f>SQRT(Table2[[#This Row],[AVG GPG]]*Table2[[#This Row],[AVG APG]])</f>
        <v>0</v>
      </c>
    </row>
    <row r="97" spans="1:4" x14ac:dyDescent="0.55000000000000004">
      <c r="A97" s="8" t="s">
        <v>70</v>
      </c>
      <c r="B97" s="14">
        <v>0.1111111111111111</v>
      </c>
      <c r="C97" s="14">
        <v>0</v>
      </c>
      <c r="D97" s="14">
        <f>SQRT(Table2[[#This Row],[AVG GPG]]*Table2[[#This Row],[AVG APG]])</f>
        <v>0</v>
      </c>
    </row>
    <row r="98" spans="1:4" x14ac:dyDescent="0.55000000000000004">
      <c r="A98" s="8" t="s">
        <v>130</v>
      </c>
      <c r="B98" s="14">
        <v>0.1111111111111111</v>
      </c>
      <c r="C98" s="14">
        <v>0</v>
      </c>
      <c r="D98" s="14">
        <f>SQRT(Table2[[#This Row],[AVG GPG]]*Table2[[#This Row],[AVG APG]])</f>
        <v>0</v>
      </c>
    </row>
    <row r="99" spans="1:4" x14ac:dyDescent="0.55000000000000004">
      <c r="A99" s="8" t="s">
        <v>343</v>
      </c>
      <c r="B99" s="14">
        <v>0.1</v>
      </c>
      <c r="C99" s="14">
        <v>0</v>
      </c>
      <c r="D99" s="14">
        <f>SQRT(Table2[[#This Row],[AVG GPG]]*Table2[[#This Row],[AVG APG]])</f>
        <v>0</v>
      </c>
    </row>
    <row r="100" spans="1:4" x14ac:dyDescent="0.55000000000000004">
      <c r="A100" s="8" t="s">
        <v>669</v>
      </c>
      <c r="B100" s="14">
        <v>0.1</v>
      </c>
      <c r="C100" s="14">
        <v>0</v>
      </c>
      <c r="D100" s="14">
        <f>SQRT(Table2[[#This Row],[AVG GPG]]*Table2[[#This Row],[AVG APG]])</f>
        <v>0</v>
      </c>
    </row>
    <row r="101" spans="1:4" x14ac:dyDescent="0.55000000000000004">
      <c r="A101" s="8" t="s">
        <v>319</v>
      </c>
      <c r="B101" s="14">
        <v>0.1</v>
      </c>
      <c r="C101" s="14">
        <v>0</v>
      </c>
      <c r="D101" s="14">
        <f>SQRT(Table2[[#This Row],[AVG GPG]]*Table2[[#This Row],[AVG APG]])</f>
        <v>0</v>
      </c>
    </row>
    <row r="102" spans="1:4" x14ac:dyDescent="0.55000000000000004">
      <c r="A102" s="8" t="s">
        <v>633</v>
      </c>
      <c r="B102" s="14">
        <v>0.1</v>
      </c>
      <c r="C102" s="14">
        <v>0</v>
      </c>
      <c r="D102" s="14">
        <f>SQRT(Table2[[#This Row],[AVG GPG]]*Table2[[#This Row],[AVG APG]])</f>
        <v>0</v>
      </c>
    </row>
    <row r="103" spans="1:4" x14ac:dyDescent="0.55000000000000004">
      <c r="A103" s="8" t="s">
        <v>391</v>
      </c>
      <c r="B103" s="14">
        <v>0.1</v>
      </c>
      <c r="C103" s="14">
        <v>0</v>
      </c>
      <c r="D103" s="14">
        <f>SQRT(Table2[[#This Row],[AVG GPG]]*Table2[[#This Row],[AVG APG]])</f>
        <v>0</v>
      </c>
    </row>
    <row r="104" spans="1:4" x14ac:dyDescent="0.55000000000000004">
      <c r="A104" s="8" t="s">
        <v>535</v>
      </c>
      <c r="B104" s="14">
        <v>9.0909090909090912E-2</v>
      </c>
      <c r="C104" s="14">
        <v>0</v>
      </c>
      <c r="D104" s="14">
        <f>SQRT(Table2[[#This Row],[AVG GPG]]*Table2[[#This Row],[AVG APG]])</f>
        <v>0</v>
      </c>
    </row>
    <row r="105" spans="1:4" x14ac:dyDescent="0.55000000000000004">
      <c r="A105" s="8" t="s">
        <v>109</v>
      </c>
      <c r="B105" s="14">
        <v>9.0909090909090912E-2</v>
      </c>
      <c r="C105" s="14">
        <v>0</v>
      </c>
      <c r="D105" s="14">
        <f>SQRT(Table2[[#This Row],[AVG GPG]]*Table2[[#This Row],[AVG APG]])</f>
        <v>0</v>
      </c>
    </row>
    <row r="106" spans="1:4" x14ac:dyDescent="0.55000000000000004">
      <c r="A106" s="8" t="s">
        <v>161</v>
      </c>
      <c r="B106" s="14">
        <v>9.0909090909090912E-2</v>
      </c>
      <c r="C106" s="14">
        <v>0</v>
      </c>
      <c r="D106" s="14">
        <f>SQRT(Table2[[#This Row],[AVG GPG]]*Table2[[#This Row],[AVG APG]])</f>
        <v>0</v>
      </c>
    </row>
    <row r="107" spans="1:4" x14ac:dyDescent="0.55000000000000004">
      <c r="A107" s="8" t="s">
        <v>282</v>
      </c>
      <c r="B107" s="14">
        <v>9.0909090909090912E-2</v>
      </c>
      <c r="C107" s="14">
        <v>0</v>
      </c>
      <c r="D107" s="14">
        <f>SQRT(Table2[[#This Row],[AVG GPG]]*Table2[[#This Row],[AVG APG]])</f>
        <v>0</v>
      </c>
    </row>
    <row r="108" spans="1:4" x14ac:dyDescent="0.55000000000000004">
      <c r="A108" s="8" t="s">
        <v>363</v>
      </c>
      <c r="B108" s="14">
        <v>8.3333333333333329E-2</v>
      </c>
      <c r="C108" s="14">
        <v>0</v>
      </c>
      <c r="D108" s="14">
        <f>SQRT(Table2[[#This Row],[AVG GPG]]*Table2[[#This Row],[AVG APG]])</f>
        <v>0</v>
      </c>
    </row>
    <row r="109" spans="1:4" x14ac:dyDescent="0.55000000000000004">
      <c r="A109" s="8" t="s">
        <v>227</v>
      </c>
      <c r="B109" s="14">
        <v>8.3333333333333329E-2</v>
      </c>
      <c r="C109" s="14">
        <v>0</v>
      </c>
      <c r="D109" s="14">
        <f>SQRT(Table2[[#This Row],[AVG GPG]]*Table2[[#This Row],[AVG APG]])</f>
        <v>0</v>
      </c>
    </row>
    <row r="110" spans="1:4" x14ac:dyDescent="0.55000000000000004">
      <c r="A110" s="8" t="s">
        <v>151</v>
      </c>
      <c r="B110" s="14">
        <v>8.3333333333333329E-2</v>
      </c>
      <c r="C110" s="14">
        <v>0</v>
      </c>
      <c r="D110" s="14">
        <f>SQRT(Table2[[#This Row],[AVG GPG]]*Table2[[#This Row],[AVG APG]])</f>
        <v>0</v>
      </c>
    </row>
    <row r="111" spans="1:4" x14ac:dyDescent="0.55000000000000004">
      <c r="A111" s="8" t="s">
        <v>325</v>
      </c>
      <c r="B111" s="14">
        <v>8.3333333333333329E-2</v>
      </c>
      <c r="C111" s="14">
        <v>0</v>
      </c>
      <c r="D111" s="14">
        <f>SQRT(Table2[[#This Row],[AVG GPG]]*Table2[[#This Row],[AVG APG]])</f>
        <v>0</v>
      </c>
    </row>
    <row r="112" spans="1:4" x14ac:dyDescent="0.55000000000000004">
      <c r="A112" s="8" t="s">
        <v>284</v>
      </c>
      <c r="B112" s="14">
        <v>8.3333333333333329E-2</v>
      </c>
      <c r="C112" s="14">
        <v>0</v>
      </c>
      <c r="D112" s="14">
        <f>SQRT(Table2[[#This Row],[AVG GPG]]*Table2[[#This Row],[AVG APG]])</f>
        <v>0</v>
      </c>
    </row>
    <row r="113" spans="1:4" x14ac:dyDescent="0.55000000000000004">
      <c r="A113" s="8" t="s">
        <v>450</v>
      </c>
      <c r="B113" s="14">
        <v>8.3333333333333329E-2</v>
      </c>
      <c r="C113" s="14">
        <v>0</v>
      </c>
      <c r="D113" s="14">
        <f>SQRT(Table2[[#This Row],[AVG GPG]]*Table2[[#This Row],[AVG APG]])</f>
        <v>0</v>
      </c>
    </row>
    <row r="114" spans="1:4" x14ac:dyDescent="0.55000000000000004">
      <c r="A114" s="8" t="s">
        <v>313</v>
      </c>
      <c r="B114" s="14">
        <v>8.3333333333333329E-2</v>
      </c>
      <c r="C114" s="14">
        <v>0</v>
      </c>
      <c r="D114" s="14">
        <f>SQRT(Table2[[#This Row],[AVG GPG]]*Table2[[#This Row],[AVG APG]])</f>
        <v>0</v>
      </c>
    </row>
    <row r="115" spans="1:4" x14ac:dyDescent="0.55000000000000004">
      <c r="A115" s="8" t="s">
        <v>321</v>
      </c>
      <c r="B115" s="14">
        <v>8.3333333333333329E-2</v>
      </c>
      <c r="C115" s="14">
        <v>0</v>
      </c>
      <c r="D115" s="14">
        <f>SQRT(Table2[[#This Row],[AVG GPG]]*Table2[[#This Row],[AVG APG]])</f>
        <v>0</v>
      </c>
    </row>
    <row r="116" spans="1:4" x14ac:dyDescent="0.55000000000000004">
      <c r="A116" s="8" t="s">
        <v>580</v>
      </c>
      <c r="B116" s="14">
        <v>7.6923076923076927E-2</v>
      </c>
      <c r="C116" s="14">
        <v>0</v>
      </c>
      <c r="D116" s="14">
        <f>SQRT(Table2[[#This Row],[AVG GPG]]*Table2[[#This Row],[AVG APG]])</f>
        <v>0</v>
      </c>
    </row>
    <row r="117" spans="1:4" x14ac:dyDescent="0.55000000000000004">
      <c r="A117" s="8" t="s">
        <v>377</v>
      </c>
      <c r="B117" s="14">
        <v>7.6923076923076927E-2</v>
      </c>
      <c r="C117" s="14">
        <v>0</v>
      </c>
      <c r="D117" s="14">
        <f>SQRT(Table2[[#This Row],[AVG GPG]]*Table2[[#This Row],[AVG APG]])</f>
        <v>0</v>
      </c>
    </row>
    <row r="118" spans="1:4" x14ac:dyDescent="0.55000000000000004">
      <c r="A118" s="8" t="s">
        <v>479</v>
      </c>
      <c r="B118" s="14">
        <v>7.6923076923076927E-2</v>
      </c>
      <c r="C118" s="14">
        <v>0</v>
      </c>
      <c r="D118" s="14">
        <f>SQRT(Table2[[#This Row],[AVG GPG]]*Table2[[#This Row],[AVG APG]])</f>
        <v>0</v>
      </c>
    </row>
    <row r="119" spans="1:4" x14ac:dyDescent="0.55000000000000004">
      <c r="A119" s="8" t="s">
        <v>496</v>
      </c>
      <c r="B119" s="14">
        <v>7.6923076923076927E-2</v>
      </c>
      <c r="C119" s="14">
        <v>0</v>
      </c>
      <c r="D119" s="14">
        <f>SQRT(Table2[[#This Row],[AVG GPG]]*Table2[[#This Row],[AVG APG]])</f>
        <v>0</v>
      </c>
    </row>
    <row r="120" spans="1:4" x14ac:dyDescent="0.55000000000000004">
      <c r="A120" s="8" t="s">
        <v>335</v>
      </c>
      <c r="B120" s="14">
        <v>7.6923076923076927E-2</v>
      </c>
      <c r="C120" s="14">
        <v>0</v>
      </c>
      <c r="D120" s="14">
        <f>SQRT(Table2[[#This Row],[AVG GPG]]*Table2[[#This Row],[AVG APG]])</f>
        <v>0</v>
      </c>
    </row>
    <row r="121" spans="1:4" x14ac:dyDescent="0.55000000000000004">
      <c r="A121" s="8" t="s">
        <v>667</v>
      </c>
      <c r="B121" s="14">
        <v>7.6923076923076927E-2</v>
      </c>
      <c r="C121" s="14">
        <v>0</v>
      </c>
      <c r="D121" s="14">
        <f>SQRT(Table2[[#This Row],[AVG GPG]]*Table2[[#This Row],[AVG APG]])</f>
        <v>0</v>
      </c>
    </row>
    <row r="122" spans="1:4" customFormat="1" ht="14.5" hidden="1" x14ac:dyDescent="0.35">
      <c r="A122" t="s">
        <v>194</v>
      </c>
      <c r="B122" s="2">
        <v>0</v>
      </c>
      <c r="C122" s="2">
        <v>0</v>
      </c>
      <c r="D122">
        <f>SQRT(Table2[[#This Row],[AVG GPG]]*Table2[[#This Row],[AVG APG]])</f>
        <v>0</v>
      </c>
    </row>
    <row r="123" spans="1:4" customFormat="1" ht="14.5" hidden="1" x14ac:dyDescent="0.35">
      <c r="A123" t="s">
        <v>604</v>
      </c>
      <c r="B123" s="2">
        <v>0</v>
      </c>
      <c r="C123" s="2">
        <v>0</v>
      </c>
      <c r="D123">
        <f>SQRT(Table2[[#This Row],[AVG GPG]]*Table2[[#This Row],[AVG APG]])</f>
        <v>0</v>
      </c>
    </row>
    <row r="124" spans="1:4" customFormat="1" ht="14.5" hidden="1" x14ac:dyDescent="0.35">
      <c r="A124" t="s">
        <v>436</v>
      </c>
      <c r="B124" s="2">
        <v>0</v>
      </c>
      <c r="C124" s="2">
        <v>0</v>
      </c>
      <c r="D124">
        <f>SQRT(Table2[[#This Row],[AVG GPG]]*Table2[[#This Row],[AVG APG]])</f>
        <v>0</v>
      </c>
    </row>
    <row r="125" spans="1:4" customFormat="1" ht="14.5" hidden="1" x14ac:dyDescent="0.35">
      <c r="A125" t="s">
        <v>608</v>
      </c>
      <c r="B125" s="2">
        <v>0</v>
      </c>
      <c r="C125" s="2">
        <v>0</v>
      </c>
      <c r="D125">
        <f>SQRT(Table2[[#This Row],[AVG GPG]]*Table2[[#This Row],[AVG APG]])</f>
        <v>0</v>
      </c>
    </row>
    <row r="126" spans="1:4" customFormat="1" ht="14.5" hidden="1" x14ac:dyDescent="0.35">
      <c r="A126" t="s">
        <v>172</v>
      </c>
      <c r="B126" s="2">
        <v>0</v>
      </c>
      <c r="C126" s="2">
        <v>0</v>
      </c>
      <c r="D126">
        <f>SQRT(Table2[[#This Row],[AVG GPG]]*Table2[[#This Row],[AVG APG]])</f>
        <v>0</v>
      </c>
    </row>
    <row r="127" spans="1:4" customFormat="1" ht="14.5" hidden="1" x14ac:dyDescent="0.35">
      <c r="A127" t="s">
        <v>357</v>
      </c>
      <c r="B127" s="2">
        <v>0</v>
      </c>
      <c r="C127" s="2">
        <v>7.6923076923076927E-2</v>
      </c>
      <c r="D127">
        <f>SQRT(Table2[[#This Row],[AVG GPG]]*Table2[[#This Row],[AVG APG]])</f>
        <v>0</v>
      </c>
    </row>
    <row r="128" spans="1:4" customFormat="1" ht="14.5" hidden="1" x14ac:dyDescent="0.35">
      <c r="A128" t="s">
        <v>393</v>
      </c>
      <c r="B128" s="2">
        <v>0</v>
      </c>
      <c r="C128" s="2">
        <v>0</v>
      </c>
      <c r="D128">
        <f>SQRT(Table2[[#This Row],[AVG GPG]]*Table2[[#This Row],[AVG APG]])</f>
        <v>0</v>
      </c>
    </row>
    <row r="129" spans="1:4" customFormat="1" ht="14.5" hidden="1" x14ac:dyDescent="0.35">
      <c r="A129" t="s">
        <v>615</v>
      </c>
      <c r="B129" s="2">
        <v>0</v>
      </c>
      <c r="C129" s="2">
        <v>0</v>
      </c>
      <c r="D129">
        <f>SQRT(Table2[[#This Row],[AVG GPG]]*Table2[[#This Row],[AVG APG]])</f>
        <v>0</v>
      </c>
    </row>
    <row r="130" spans="1:4" customFormat="1" ht="14.5" hidden="1" x14ac:dyDescent="0.35">
      <c r="A130" t="s">
        <v>385</v>
      </c>
      <c r="B130" s="2">
        <v>0</v>
      </c>
      <c r="C130" s="2">
        <v>0</v>
      </c>
      <c r="D130">
        <f>SQRT(Table2[[#This Row],[AVG GPG]]*Table2[[#This Row],[AVG APG]])</f>
        <v>0</v>
      </c>
    </row>
    <row r="131" spans="1:4" customFormat="1" ht="14.5" hidden="1" x14ac:dyDescent="0.35">
      <c r="A131" t="s">
        <v>490</v>
      </c>
      <c r="B131" s="2">
        <v>0</v>
      </c>
      <c r="C131" s="2">
        <v>0</v>
      </c>
      <c r="D131">
        <f>SQRT(Table2[[#This Row],[AVG GPG]]*Table2[[#This Row],[AVG APG]])</f>
        <v>0</v>
      </c>
    </row>
    <row r="132" spans="1:4" customFormat="1" ht="14.5" hidden="1" x14ac:dyDescent="0.35">
      <c r="A132" t="s">
        <v>442</v>
      </c>
      <c r="B132" s="2">
        <v>0</v>
      </c>
      <c r="C132" s="2">
        <v>7.6923076923076927E-2</v>
      </c>
      <c r="D132">
        <f>SQRT(Table2[[#This Row],[AVG GPG]]*Table2[[#This Row],[AVG APG]])</f>
        <v>0</v>
      </c>
    </row>
    <row r="133" spans="1:4" customFormat="1" ht="14.5" hidden="1" x14ac:dyDescent="0.35">
      <c r="A133" t="s">
        <v>286</v>
      </c>
      <c r="B133" s="2">
        <v>0</v>
      </c>
      <c r="C133" s="2">
        <v>0</v>
      </c>
      <c r="D133">
        <f>SQRT(Table2[[#This Row],[AVG GPG]]*Table2[[#This Row],[AVG APG]])</f>
        <v>0</v>
      </c>
    </row>
    <row r="134" spans="1:4" customFormat="1" ht="14.5" hidden="1" x14ac:dyDescent="0.35">
      <c r="A134" t="s">
        <v>635</v>
      </c>
      <c r="B134" s="2">
        <v>0</v>
      </c>
      <c r="C134" s="2">
        <v>0</v>
      </c>
      <c r="D134">
        <f>SQRT(Table2[[#This Row],[AVG GPG]]*Table2[[#This Row],[AVG APG]])</f>
        <v>0</v>
      </c>
    </row>
    <row r="135" spans="1:4" customFormat="1" ht="14.5" hidden="1" x14ac:dyDescent="0.35">
      <c r="A135" t="s">
        <v>185</v>
      </c>
      <c r="B135" s="2">
        <v>0</v>
      </c>
      <c r="C135" s="2">
        <v>0</v>
      </c>
      <c r="D135">
        <f>SQRT(Table2[[#This Row],[AVG GPG]]*Table2[[#This Row],[AVG APG]])</f>
        <v>0</v>
      </c>
    </row>
    <row r="136" spans="1:4" customFormat="1" ht="14.5" hidden="1" x14ac:dyDescent="0.35">
      <c r="A136" t="s">
        <v>61</v>
      </c>
      <c r="B136" s="2">
        <v>0</v>
      </c>
      <c r="C136" s="2">
        <v>8.3333333333333329E-2</v>
      </c>
      <c r="D136">
        <f>SQRT(Table2[[#This Row],[AVG GPG]]*Table2[[#This Row],[AVG APG]])</f>
        <v>0</v>
      </c>
    </row>
    <row r="137" spans="1:4" customFormat="1" ht="14.5" hidden="1" x14ac:dyDescent="0.35">
      <c r="A137" t="s">
        <v>53</v>
      </c>
      <c r="B137" s="2">
        <v>0</v>
      </c>
      <c r="C137" s="2">
        <v>0</v>
      </c>
      <c r="D137">
        <f>SQRT(Table2[[#This Row],[AVG GPG]]*Table2[[#This Row],[AVG APG]])</f>
        <v>0</v>
      </c>
    </row>
    <row r="138" spans="1:4" customFormat="1" ht="14.5" hidden="1" x14ac:dyDescent="0.35">
      <c r="A138" t="s">
        <v>341</v>
      </c>
      <c r="B138" s="2">
        <v>0</v>
      </c>
      <c r="C138" s="2">
        <v>0</v>
      </c>
      <c r="D138">
        <f>SQRT(Table2[[#This Row],[AVG GPG]]*Table2[[#This Row],[AVG APG]])</f>
        <v>0</v>
      </c>
    </row>
    <row r="139" spans="1:4" customFormat="1" ht="14.5" hidden="1" x14ac:dyDescent="0.35">
      <c r="A139" t="s">
        <v>471</v>
      </c>
      <c r="B139" s="2">
        <v>0</v>
      </c>
      <c r="C139" s="2">
        <v>0</v>
      </c>
      <c r="D139">
        <f>SQRT(Table2[[#This Row],[AVG GPG]]*Table2[[#This Row],[AVG APG]])</f>
        <v>0</v>
      </c>
    </row>
    <row r="140" spans="1:4" customFormat="1" ht="14.5" hidden="1" x14ac:dyDescent="0.35">
      <c r="A140" t="s">
        <v>99</v>
      </c>
      <c r="B140" s="2">
        <v>0</v>
      </c>
      <c r="C140" s="2">
        <v>0</v>
      </c>
      <c r="D140">
        <f>SQRT(Table2[[#This Row],[AVG GPG]]*Table2[[#This Row],[AVG APG]])</f>
        <v>0</v>
      </c>
    </row>
    <row r="141" spans="1:4" customFormat="1" ht="14.5" hidden="1" x14ac:dyDescent="0.35">
      <c r="A141" t="s">
        <v>492</v>
      </c>
      <c r="B141" s="2">
        <v>0</v>
      </c>
      <c r="C141" s="2">
        <v>0</v>
      </c>
      <c r="D141">
        <f>SQRT(Table2[[#This Row],[AVG GPG]]*Table2[[#This Row],[AVG APG]])</f>
        <v>0</v>
      </c>
    </row>
    <row r="142" spans="1:4" customFormat="1" ht="14.5" hidden="1" x14ac:dyDescent="0.35">
      <c r="A142" t="s">
        <v>511</v>
      </c>
      <c r="B142" s="2">
        <v>0</v>
      </c>
      <c r="C142" s="2">
        <v>0</v>
      </c>
      <c r="D142">
        <f>SQRT(Table2[[#This Row],[AVG GPG]]*Table2[[#This Row],[AVG APG]])</f>
        <v>0</v>
      </c>
    </row>
    <row r="143" spans="1:4" customFormat="1" ht="14.5" hidden="1" x14ac:dyDescent="0.35">
      <c r="A143" t="s">
        <v>361</v>
      </c>
      <c r="B143" s="2">
        <v>0</v>
      </c>
      <c r="C143" s="2">
        <v>0</v>
      </c>
      <c r="D143">
        <f>SQRT(Table2[[#This Row],[AVG GPG]]*Table2[[#This Row],[AVG APG]])</f>
        <v>0</v>
      </c>
    </row>
    <row r="144" spans="1:4" customFormat="1" ht="14.5" hidden="1" x14ac:dyDescent="0.35">
      <c r="A144" t="s">
        <v>174</v>
      </c>
      <c r="B144" s="2">
        <v>0</v>
      </c>
      <c r="C144" s="2">
        <v>0</v>
      </c>
      <c r="D144">
        <f>SQRT(Table2[[#This Row],[AVG GPG]]*Table2[[#This Row],[AVG APG]])</f>
        <v>0</v>
      </c>
    </row>
    <row r="145" spans="1:4" customFormat="1" ht="14.5" hidden="1" x14ac:dyDescent="0.35">
      <c r="A145" t="s">
        <v>234</v>
      </c>
      <c r="B145" s="2">
        <v>0</v>
      </c>
      <c r="C145" s="2">
        <v>0</v>
      </c>
      <c r="D145">
        <f>SQRT(Table2[[#This Row],[AVG GPG]]*Table2[[#This Row],[AVG APG]])</f>
        <v>0</v>
      </c>
    </row>
    <row r="146" spans="1:4" customFormat="1" ht="14.5" hidden="1" x14ac:dyDescent="0.35">
      <c r="A146" t="s">
        <v>250</v>
      </c>
      <c r="B146" s="2">
        <v>0</v>
      </c>
      <c r="C146" s="2">
        <v>9.0909090909090912E-2</v>
      </c>
      <c r="D146">
        <f>SQRT(Table2[[#This Row],[AVG GPG]]*Table2[[#This Row],[AVG APG]])</f>
        <v>0</v>
      </c>
    </row>
    <row r="147" spans="1:4" customFormat="1" ht="14.5" hidden="1" x14ac:dyDescent="0.35">
      <c r="A147" t="s">
        <v>117</v>
      </c>
      <c r="B147" s="2">
        <v>0</v>
      </c>
      <c r="C147" s="2">
        <v>0</v>
      </c>
      <c r="D147">
        <f>SQRT(Table2[[#This Row],[AVG GPG]]*Table2[[#This Row],[AVG APG]])</f>
        <v>0</v>
      </c>
    </row>
    <row r="148" spans="1:4" customFormat="1" ht="14.5" hidden="1" x14ac:dyDescent="0.35">
      <c r="A148" t="s">
        <v>428</v>
      </c>
      <c r="B148" s="2">
        <v>0</v>
      </c>
      <c r="C148" s="2">
        <v>0</v>
      </c>
      <c r="D148">
        <f>SQRT(Table2[[#This Row],[AVG GPG]]*Table2[[#This Row],[AVG APG]])</f>
        <v>0</v>
      </c>
    </row>
    <row r="149" spans="1:4" customFormat="1" ht="14.5" hidden="1" x14ac:dyDescent="0.35">
      <c r="A149" t="s">
        <v>182</v>
      </c>
      <c r="B149" s="2">
        <v>0</v>
      </c>
      <c r="C149" s="2">
        <v>0</v>
      </c>
      <c r="D149">
        <f>SQRT(Table2[[#This Row],[AVG GPG]]*Table2[[#This Row],[AVG APG]])</f>
        <v>0</v>
      </c>
    </row>
    <row r="150" spans="1:4" customFormat="1" ht="14.5" hidden="1" x14ac:dyDescent="0.35">
      <c r="A150" t="s">
        <v>132</v>
      </c>
      <c r="B150" s="2">
        <v>0</v>
      </c>
      <c r="C150" s="2">
        <v>9.0909090909090912E-2</v>
      </c>
      <c r="D150">
        <f>SQRT(Table2[[#This Row],[AVG GPG]]*Table2[[#This Row],[AVG APG]])</f>
        <v>0</v>
      </c>
    </row>
    <row r="151" spans="1:4" customFormat="1" ht="14.5" hidden="1" x14ac:dyDescent="0.35">
      <c r="A151" t="s">
        <v>113</v>
      </c>
      <c r="B151" s="2">
        <v>0</v>
      </c>
      <c r="C151" s="2">
        <v>9.0909090909090912E-2</v>
      </c>
      <c r="D151">
        <f>SQRT(Table2[[#This Row],[AVG GPG]]*Table2[[#This Row],[AVG APG]])</f>
        <v>0</v>
      </c>
    </row>
    <row r="152" spans="1:4" customFormat="1" ht="14.5" hidden="1" x14ac:dyDescent="0.35">
      <c r="A152" t="s">
        <v>225</v>
      </c>
      <c r="B152" s="2">
        <v>0</v>
      </c>
      <c r="C152" s="2">
        <v>0</v>
      </c>
      <c r="D152">
        <f>SQRT(Table2[[#This Row],[AVG GPG]]*Table2[[#This Row],[AVG APG]])</f>
        <v>0</v>
      </c>
    </row>
    <row r="153" spans="1:4" customFormat="1" ht="14.5" hidden="1" x14ac:dyDescent="0.35">
      <c r="A153" t="s">
        <v>564</v>
      </c>
      <c r="B153" s="2">
        <v>0</v>
      </c>
      <c r="C153" s="2">
        <v>0</v>
      </c>
      <c r="D153">
        <f>SQRT(Table2[[#This Row],[AVG GPG]]*Table2[[#This Row],[AVG APG]])</f>
        <v>0</v>
      </c>
    </row>
    <row r="154" spans="1:4" customFormat="1" ht="14.5" hidden="1" x14ac:dyDescent="0.35">
      <c r="A154" t="s">
        <v>523</v>
      </c>
      <c r="B154" s="2">
        <v>0</v>
      </c>
      <c r="C154" s="2">
        <v>0.2</v>
      </c>
      <c r="D154">
        <f>SQRT(Table2[[#This Row],[AVG GPG]]*Table2[[#This Row],[AVG APG]])</f>
        <v>0</v>
      </c>
    </row>
    <row r="155" spans="1:4" customFormat="1" ht="14.5" hidden="1" x14ac:dyDescent="0.35">
      <c r="A155" t="s">
        <v>488</v>
      </c>
      <c r="B155" s="2">
        <v>0</v>
      </c>
      <c r="C155" s="2">
        <v>0</v>
      </c>
      <c r="D155">
        <f>SQRT(Table2[[#This Row],[AVG GPG]]*Table2[[#This Row],[AVG APG]])</f>
        <v>0</v>
      </c>
    </row>
    <row r="156" spans="1:4" customFormat="1" ht="14.5" hidden="1" x14ac:dyDescent="0.35">
      <c r="A156" t="s">
        <v>520</v>
      </c>
      <c r="B156" s="2">
        <v>0</v>
      </c>
      <c r="C156" s="2">
        <v>0</v>
      </c>
      <c r="D156">
        <f>SQRT(Table2[[#This Row],[AVG GPG]]*Table2[[#This Row],[AVG APG]])</f>
        <v>0</v>
      </c>
    </row>
    <row r="157" spans="1:4" customFormat="1" ht="14.5" hidden="1" x14ac:dyDescent="0.35">
      <c r="A157" t="s">
        <v>91</v>
      </c>
      <c r="B157" s="2">
        <v>0</v>
      </c>
      <c r="C157" s="2">
        <v>0</v>
      </c>
      <c r="D157">
        <f>SQRT(Table2[[#This Row],[AVG GPG]]*Table2[[#This Row],[AVG APG]])</f>
        <v>0</v>
      </c>
    </row>
    <row r="158" spans="1:4" customFormat="1" ht="14.5" hidden="1" x14ac:dyDescent="0.35">
      <c r="A158" t="s">
        <v>188</v>
      </c>
      <c r="B158" s="2">
        <v>0</v>
      </c>
      <c r="C158" s="2">
        <v>0</v>
      </c>
      <c r="D158">
        <f>SQRT(Table2[[#This Row],[AVG GPG]]*Table2[[#This Row],[AVG APG]])</f>
        <v>0</v>
      </c>
    </row>
    <row r="159" spans="1:4" customFormat="1" ht="14.5" hidden="1" x14ac:dyDescent="0.35">
      <c r="A159" t="s">
        <v>560</v>
      </c>
      <c r="B159" s="2">
        <v>0</v>
      </c>
      <c r="C159" s="2">
        <v>0</v>
      </c>
      <c r="D159">
        <f>SQRT(Table2[[#This Row],[AVG GPG]]*Table2[[#This Row],[AVG APG]])</f>
        <v>0</v>
      </c>
    </row>
    <row r="160" spans="1:4" customFormat="1" ht="14.5" hidden="1" x14ac:dyDescent="0.35">
      <c r="A160" t="s">
        <v>670</v>
      </c>
      <c r="B160" s="2">
        <v>0</v>
      </c>
      <c r="C160" s="2">
        <v>0</v>
      </c>
      <c r="D160">
        <f>SQRT(Table2[[#This Row],[AVG GPG]]*Table2[[#This Row],[AVG APG]])</f>
        <v>0</v>
      </c>
    </row>
    <row r="161" spans="1:4" customFormat="1" ht="14.5" hidden="1" x14ac:dyDescent="0.35">
      <c r="A161" t="s">
        <v>231</v>
      </c>
      <c r="B161" s="2">
        <v>0</v>
      </c>
      <c r="C161" s="2">
        <v>0.125</v>
      </c>
      <c r="D161">
        <f>SQRT(Table2[[#This Row],[AVG GPG]]*Table2[[#This Row],[AVG APG]])</f>
        <v>0</v>
      </c>
    </row>
    <row r="162" spans="1:4" customFormat="1" ht="14.5" hidden="1" x14ac:dyDescent="0.35">
      <c r="A162" t="s">
        <v>333</v>
      </c>
      <c r="B162" s="2">
        <v>0</v>
      </c>
      <c r="C162" s="2">
        <v>0.15384615384615385</v>
      </c>
      <c r="D162">
        <f>SQRT(Table2[[#This Row],[AVG GPG]]*Table2[[#This Row],[AVG APG]])</f>
        <v>0</v>
      </c>
    </row>
    <row r="163" spans="1:4" customFormat="1" ht="14.5" hidden="1" x14ac:dyDescent="0.35">
      <c r="A163" t="s">
        <v>211</v>
      </c>
      <c r="B163" s="2">
        <v>0</v>
      </c>
      <c r="C163" s="2">
        <v>0</v>
      </c>
      <c r="D163">
        <f>SQRT(Table2[[#This Row],[AVG GPG]]*Table2[[#This Row],[AVG APG]])</f>
        <v>0</v>
      </c>
    </row>
    <row r="164" spans="1:4" customFormat="1" ht="14.5" hidden="1" x14ac:dyDescent="0.35">
      <c r="A164" t="s">
        <v>518</v>
      </c>
      <c r="B164" s="2">
        <v>0</v>
      </c>
      <c r="C164" s="2">
        <v>0.15384615384615385</v>
      </c>
      <c r="D164">
        <f>SQRT(Table2[[#This Row],[AVG GPG]]*Table2[[#This Row],[AVG APG]])</f>
        <v>0</v>
      </c>
    </row>
    <row r="165" spans="1:4" customFormat="1" ht="14.5" hidden="1" x14ac:dyDescent="0.35">
      <c r="A165" t="s">
        <v>111</v>
      </c>
      <c r="B165" s="2">
        <v>0</v>
      </c>
      <c r="C165" s="2">
        <v>0</v>
      </c>
      <c r="D165">
        <f>SQRT(Table2[[#This Row],[AVG GPG]]*Table2[[#This Row],[AVG APG]])</f>
        <v>0</v>
      </c>
    </row>
    <row r="166" spans="1:4" customFormat="1" ht="14.5" hidden="1" x14ac:dyDescent="0.35">
      <c r="A166" t="s">
        <v>196</v>
      </c>
      <c r="B166" s="2">
        <v>0</v>
      </c>
      <c r="C166" s="2">
        <v>0</v>
      </c>
      <c r="D166">
        <f>SQRT(Table2[[#This Row],[AVG GPG]]*Table2[[#This Row],[AVG APG]])</f>
        <v>0</v>
      </c>
    </row>
    <row r="167" spans="1:4" customFormat="1" ht="14.5" hidden="1" x14ac:dyDescent="0.35">
      <c r="A167" t="s">
        <v>247</v>
      </c>
      <c r="B167" s="2">
        <v>0</v>
      </c>
      <c r="C167" s="2">
        <v>0</v>
      </c>
      <c r="D167">
        <f>SQRT(Table2[[#This Row],[AVG GPG]]*Table2[[#This Row],[AVG APG]])</f>
        <v>0</v>
      </c>
    </row>
    <row r="168" spans="1:4" customFormat="1" ht="14.5" hidden="1" x14ac:dyDescent="0.35">
      <c r="A168" t="s">
        <v>665</v>
      </c>
      <c r="B168" s="2">
        <v>0</v>
      </c>
      <c r="C168" s="2">
        <v>0</v>
      </c>
      <c r="D168">
        <f>SQRT(Table2[[#This Row],[AVG GPG]]*Table2[[#This Row],[AVG APG]])</f>
        <v>0</v>
      </c>
    </row>
    <row r="169" spans="1:4" customFormat="1" ht="14.5" hidden="1" x14ac:dyDescent="0.35">
      <c r="A169" t="s">
        <v>168</v>
      </c>
      <c r="B169" s="2">
        <v>0</v>
      </c>
      <c r="C169" s="2">
        <v>0</v>
      </c>
      <c r="D169">
        <f>SQRT(Table2[[#This Row],[AVG GPG]]*Table2[[#This Row],[AVG APG]])</f>
        <v>0</v>
      </c>
    </row>
    <row r="170" spans="1:4" customFormat="1" ht="14.5" hidden="1" x14ac:dyDescent="0.35">
      <c r="A170" t="s">
        <v>501</v>
      </c>
      <c r="B170" s="2">
        <v>0</v>
      </c>
      <c r="C170" s="2">
        <v>0.15384615384615385</v>
      </c>
      <c r="D170">
        <f>SQRT(Table2[[#This Row],[AVG GPG]]*Table2[[#This Row],[AVG APG]])</f>
        <v>0</v>
      </c>
    </row>
    <row r="171" spans="1:4" customFormat="1" ht="14.5" hidden="1" x14ac:dyDescent="0.35">
      <c r="A171" t="s">
        <v>509</v>
      </c>
      <c r="B171" s="2">
        <v>0</v>
      </c>
      <c r="C171" s="2">
        <v>0</v>
      </c>
      <c r="D171">
        <f>SQRT(Table2[[#This Row],[AVG GPG]]*Table2[[#This Row],[AVG APG]])</f>
        <v>0</v>
      </c>
    </row>
    <row r="172" spans="1:4" customFormat="1" ht="14.5" hidden="1" x14ac:dyDescent="0.35">
      <c r="A172" t="s">
        <v>78</v>
      </c>
      <c r="B172" s="2">
        <v>0</v>
      </c>
      <c r="C172" s="2">
        <v>0</v>
      </c>
      <c r="D172">
        <f>SQRT(Table2[[#This Row],[AVG GPG]]*Table2[[#This Row],[AVG APG]])</f>
        <v>0</v>
      </c>
    </row>
    <row r="173" spans="1:4" customFormat="1" ht="14.5" hidden="1" x14ac:dyDescent="0.35">
      <c r="A173" t="s">
        <v>80</v>
      </c>
      <c r="B173" s="2">
        <v>0</v>
      </c>
      <c r="C173" s="2">
        <v>0</v>
      </c>
      <c r="D173">
        <f>SQRT(Table2[[#This Row],[AVG GPG]]*Table2[[#This Row],[AVG APG]])</f>
        <v>0</v>
      </c>
    </row>
    <row r="174" spans="1:4" customFormat="1" ht="14.5" hidden="1" x14ac:dyDescent="0.35">
      <c r="A174" t="s">
        <v>300</v>
      </c>
      <c r="B174" s="2">
        <v>0</v>
      </c>
      <c r="C174" s="2">
        <v>0</v>
      </c>
      <c r="D174">
        <f>SQRT(Table2[[#This Row],[AVG GPG]]*Table2[[#This Row],[AVG APG]])</f>
        <v>0</v>
      </c>
    </row>
    <row r="175" spans="1:4" customFormat="1" ht="14.5" hidden="1" x14ac:dyDescent="0.35">
      <c r="A175" t="s">
        <v>626</v>
      </c>
      <c r="B175" s="2">
        <v>0</v>
      </c>
      <c r="C175" s="2">
        <v>0.1</v>
      </c>
      <c r="D175">
        <f>SQRT(Table2[[#This Row],[AVG GPG]]*Table2[[#This Row],[AVG APG]])</f>
        <v>0</v>
      </c>
    </row>
    <row r="176" spans="1:4" customFormat="1" ht="14.5" hidden="1" x14ac:dyDescent="0.35">
      <c r="A176" t="s">
        <v>527</v>
      </c>
      <c r="B176" s="2">
        <v>0</v>
      </c>
      <c r="C176" s="2">
        <v>0</v>
      </c>
      <c r="D176">
        <f>SQRT(Table2[[#This Row],[AVG GPG]]*Table2[[#This Row],[AVG APG]])</f>
        <v>0</v>
      </c>
    </row>
    <row r="177" spans="1:4" customFormat="1" ht="14.5" hidden="1" x14ac:dyDescent="0.35">
      <c r="A177" t="s">
        <v>672</v>
      </c>
      <c r="B177" s="2">
        <v>0</v>
      </c>
      <c r="C177" s="2">
        <v>0</v>
      </c>
      <c r="D177">
        <f>SQRT(Table2[[#This Row],[AVG GPG]]*Table2[[#This Row],[AVG APG]])</f>
        <v>0</v>
      </c>
    </row>
    <row r="178" spans="1:4" customFormat="1" ht="14.5" hidden="1" x14ac:dyDescent="0.35">
      <c r="A178" t="s">
        <v>430</v>
      </c>
      <c r="B178" s="2">
        <v>0</v>
      </c>
      <c r="C178" s="2">
        <v>0</v>
      </c>
      <c r="D178">
        <f>SQRT(Table2[[#This Row],[AVG GPG]]*Table2[[#This Row],[AVG APG]])</f>
        <v>0</v>
      </c>
    </row>
    <row r="179" spans="1:4" customFormat="1" ht="14.5" hidden="1" x14ac:dyDescent="0.35">
      <c r="A179" t="s">
        <v>452</v>
      </c>
      <c r="B179" s="2">
        <v>0</v>
      </c>
      <c r="C179" s="2">
        <v>0</v>
      </c>
      <c r="D179">
        <f>SQRT(Table2[[#This Row],[AVG GPG]]*Table2[[#This Row],[AVG APG]])</f>
        <v>0</v>
      </c>
    </row>
    <row r="180" spans="1:4" customFormat="1" ht="14.5" hidden="1" x14ac:dyDescent="0.35">
      <c r="A180" t="s">
        <v>573</v>
      </c>
      <c r="B180" s="2">
        <v>0</v>
      </c>
      <c r="C180" s="2">
        <v>0</v>
      </c>
      <c r="D180">
        <f>SQRT(Table2[[#This Row],[AVG GPG]]*Table2[[#This Row],[AVG APG]])</f>
        <v>0</v>
      </c>
    </row>
    <row r="181" spans="1:4" customFormat="1" ht="14.5" hidden="1" x14ac:dyDescent="0.35">
      <c r="A181" t="s">
        <v>613</v>
      </c>
      <c r="B181" s="2">
        <v>0</v>
      </c>
      <c r="C181" s="2">
        <v>0</v>
      </c>
      <c r="D181">
        <f>SQRT(Table2[[#This Row],[AVG GPG]]*Table2[[#This Row],[AVG APG]])</f>
        <v>0</v>
      </c>
    </row>
    <row r="182" spans="1:4" customFormat="1" ht="14.5" hidden="1" x14ac:dyDescent="0.35">
      <c r="A182" t="s">
        <v>44</v>
      </c>
      <c r="B182" s="2">
        <v>0</v>
      </c>
      <c r="C182" s="2">
        <v>0</v>
      </c>
      <c r="D182">
        <f>SQRT(Table2[[#This Row],[AVG GPG]]*Table2[[#This Row],[AVG APG]])</f>
        <v>0</v>
      </c>
    </row>
    <row r="183" spans="1:4" customFormat="1" ht="14.5" hidden="1" x14ac:dyDescent="0.35">
      <c r="A183" t="s">
        <v>222</v>
      </c>
      <c r="B183" s="2">
        <v>0</v>
      </c>
      <c r="C183" s="2">
        <v>0</v>
      </c>
      <c r="D183">
        <f>SQRT(Table2[[#This Row],[AVG GPG]]*Table2[[#This Row],[AVG APG]])</f>
        <v>0</v>
      </c>
    </row>
    <row r="184" spans="1:4" customFormat="1" ht="14.5" hidden="1" x14ac:dyDescent="0.35">
      <c r="A184" t="s">
        <v>229</v>
      </c>
      <c r="B184" s="2">
        <v>0</v>
      </c>
      <c r="C184" s="2">
        <v>0</v>
      </c>
      <c r="D184">
        <f>SQRT(Table2[[#This Row],[AVG GPG]]*Table2[[#This Row],[AVG APG]])</f>
        <v>0</v>
      </c>
    </row>
    <row r="185" spans="1:4" customFormat="1" ht="14.5" hidden="1" x14ac:dyDescent="0.35">
      <c r="A185" t="s">
        <v>140</v>
      </c>
      <c r="B185" s="2">
        <v>0</v>
      </c>
      <c r="C185" s="2">
        <v>0</v>
      </c>
      <c r="D185">
        <f>SQRT(Table2[[#This Row],[AVG GPG]]*Table2[[#This Row],[AVG APG]])</f>
        <v>0</v>
      </c>
    </row>
    <row r="186" spans="1:4" customFormat="1" ht="14.5" hidden="1" x14ac:dyDescent="0.35">
      <c r="A186" t="s">
        <v>154</v>
      </c>
      <c r="B186" s="2">
        <v>0</v>
      </c>
      <c r="C186" s="2">
        <v>0</v>
      </c>
      <c r="D186">
        <f>SQRT(Table2[[#This Row],[AVG GPG]]*Table2[[#This Row],[AVG APG]])</f>
        <v>0</v>
      </c>
    </row>
    <row r="187" spans="1:4" customFormat="1" ht="14.5" hidden="1" x14ac:dyDescent="0.35">
      <c r="A187" t="s">
        <v>409</v>
      </c>
      <c r="B187" s="2">
        <v>0</v>
      </c>
      <c r="C187" s="2">
        <v>0.33333333333333331</v>
      </c>
      <c r="D187">
        <f>SQRT(Table2[[#This Row],[AVG GPG]]*Table2[[#This Row],[AVG APG]])</f>
        <v>0</v>
      </c>
    </row>
    <row r="188" spans="1:4" customFormat="1" ht="14.5" hidden="1" x14ac:dyDescent="0.35">
      <c r="A188" t="s">
        <v>309</v>
      </c>
      <c r="B188" s="2">
        <v>0</v>
      </c>
      <c r="C188" s="2">
        <v>0</v>
      </c>
      <c r="D188">
        <f>SQRT(Table2[[#This Row],[AVG GPG]]*Table2[[#This Row],[AVG APG]])</f>
        <v>0</v>
      </c>
    </row>
    <row r="189" spans="1:4" customFormat="1" ht="14.5" hidden="1" x14ac:dyDescent="0.35">
      <c r="A189" t="s">
        <v>413</v>
      </c>
      <c r="B189" s="2">
        <v>0</v>
      </c>
      <c r="C189" s="2">
        <v>0</v>
      </c>
      <c r="D189">
        <f>SQRT(Table2[[#This Row],[AVG GPG]]*Table2[[#This Row],[AVG APG]])</f>
        <v>0</v>
      </c>
    </row>
    <row r="190" spans="1:4" customFormat="1" ht="14.5" hidden="1" x14ac:dyDescent="0.35">
      <c r="A190" t="s">
        <v>270</v>
      </c>
      <c r="B190" s="2">
        <v>0</v>
      </c>
      <c r="C190" s="2">
        <v>0</v>
      </c>
      <c r="D190">
        <f>SQRT(Table2[[#This Row],[AVG GPG]]*Table2[[#This Row],[AVG APG]])</f>
        <v>0</v>
      </c>
    </row>
    <row r="191" spans="1:4" customFormat="1" ht="14.5" hidden="1" x14ac:dyDescent="0.35">
      <c r="A191" t="s">
        <v>56</v>
      </c>
      <c r="B191" s="2">
        <v>0</v>
      </c>
      <c r="C191" s="2">
        <v>0</v>
      </c>
      <c r="D191">
        <f>SQRT(Table2[[#This Row],[AVG GPG]]*Table2[[#This Row],[AVG APG]])</f>
        <v>0</v>
      </c>
    </row>
    <row r="192" spans="1:4" customFormat="1" ht="14.5" hidden="1" x14ac:dyDescent="0.35">
      <c r="A192" t="s">
        <v>95</v>
      </c>
      <c r="B192" s="2">
        <v>0</v>
      </c>
      <c r="C192" s="2">
        <v>0.2</v>
      </c>
      <c r="D192">
        <f>SQRT(Table2[[#This Row],[AVG GPG]]*Table2[[#This Row],[AVG APG]])</f>
        <v>0</v>
      </c>
    </row>
    <row r="193" spans="1:4" customFormat="1" ht="14.5" hidden="1" x14ac:dyDescent="0.35">
      <c r="A193" t="s">
        <v>348</v>
      </c>
      <c r="B193" s="2">
        <v>0</v>
      </c>
      <c r="C193" s="2">
        <v>0</v>
      </c>
      <c r="D193">
        <f>SQRT(Table2[[#This Row],[AVG GPG]]*Table2[[#This Row],[AVG APG]])</f>
        <v>0</v>
      </c>
    </row>
    <row r="194" spans="1:4" customFormat="1" ht="14.5" hidden="1" x14ac:dyDescent="0.35">
      <c r="A194" t="s">
        <v>623</v>
      </c>
      <c r="B194" s="2">
        <v>0</v>
      </c>
      <c r="C194" s="2">
        <v>0</v>
      </c>
      <c r="D194">
        <f>SQRT(Table2[[#This Row],[AVG GPG]]*Table2[[#This Row],[AVG APG]])</f>
        <v>0</v>
      </c>
    </row>
    <row r="195" spans="1:4" customFormat="1" ht="14.5" hidden="1" x14ac:dyDescent="0.35">
      <c r="A195" t="s">
        <v>630</v>
      </c>
      <c r="B195" s="2">
        <v>0</v>
      </c>
      <c r="C195" s="2">
        <v>0.15384615384615385</v>
      </c>
      <c r="D195">
        <f>SQRT(Table2[[#This Row],[AVG GPG]]*Table2[[#This Row],[AVG APG]])</f>
        <v>0</v>
      </c>
    </row>
    <row r="196" spans="1:4" customFormat="1" ht="14.5" hidden="1" x14ac:dyDescent="0.35">
      <c r="A196" t="s">
        <v>215</v>
      </c>
      <c r="B196" s="2">
        <v>0</v>
      </c>
      <c r="C196" s="2">
        <v>0</v>
      </c>
      <c r="D196">
        <f>SQRT(Table2[[#This Row],[AVG GPG]]*Table2[[#This Row],[AVG APG]])</f>
        <v>0</v>
      </c>
    </row>
    <row r="197" spans="1:4" customFormat="1" ht="14.5" hidden="1" x14ac:dyDescent="0.35">
      <c r="A197" t="s">
        <v>567</v>
      </c>
      <c r="B197" s="2">
        <v>0</v>
      </c>
      <c r="C197" s="2">
        <v>0.23076923076923078</v>
      </c>
      <c r="D197">
        <f>SQRT(Table2[[#This Row],[AVG GPG]]*Table2[[#This Row],[AVG APG]])</f>
        <v>0</v>
      </c>
    </row>
    <row r="198" spans="1:4" customFormat="1" ht="14.5" hidden="1" x14ac:dyDescent="0.35">
      <c r="A198" t="s">
        <v>503</v>
      </c>
      <c r="B198" s="2">
        <v>0</v>
      </c>
      <c r="C198" s="2">
        <v>0</v>
      </c>
      <c r="D198">
        <f>SQRT(Table2[[#This Row],[AVG GPG]]*Table2[[#This Row],[AVG APG]])</f>
        <v>0</v>
      </c>
    </row>
    <row r="199" spans="1:4" customFormat="1" ht="14.5" hidden="1" x14ac:dyDescent="0.35">
      <c r="A199" t="s">
        <v>596</v>
      </c>
      <c r="B199" s="2">
        <v>0</v>
      </c>
      <c r="C199" s="2">
        <v>0</v>
      </c>
      <c r="D199">
        <f>SQRT(Table2[[#This Row],[AVG GPG]]*Table2[[#This Row],[AVG APG]])</f>
        <v>0</v>
      </c>
    </row>
    <row r="200" spans="1:4" customFormat="1" ht="14.5" hidden="1" x14ac:dyDescent="0.35">
      <c r="A200" t="s">
        <v>136</v>
      </c>
      <c r="B200" s="2">
        <v>0</v>
      </c>
      <c r="C200" s="2">
        <v>0</v>
      </c>
      <c r="D200">
        <f>SQRT(Table2[[#This Row],[AVG GPG]]*Table2[[#This Row],[AVG APG]])</f>
        <v>0</v>
      </c>
    </row>
    <row r="201" spans="1:4" customFormat="1" ht="14.5" hidden="1" x14ac:dyDescent="0.35">
      <c r="A201" t="s">
        <v>640</v>
      </c>
      <c r="B201" s="2">
        <v>0</v>
      </c>
      <c r="C201" s="2">
        <v>0</v>
      </c>
      <c r="D201">
        <f>SQRT(Table2[[#This Row],[AVG GPG]]*Table2[[#This Row],[AVG APG]])</f>
        <v>0</v>
      </c>
    </row>
    <row r="202" spans="1:4" customFormat="1" ht="14.5" hidden="1" x14ac:dyDescent="0.35">
      <c r="A202" t="s">
        <v>115</v>
      </c>
      <c r="B202" s="2">
        <v>0</v>
      </c>
      <c r="C202" s="2">
        <v>0</v>
      </c>
      <c r="D202">
        <f>SQRT(Table2[[#This Row],[AVG GPG]]*Table2[[#This Row],[AVG APG]])</f>
        <v>0</v>
      </c>
    </row>
    <row r="203" spans="1:4" customFormat="1" ht="14.5" hidden="1" x14ac:dyDescent="0.35">
      <c r="A203" t="s">
        <v>142</v>
      </c>
      <c r="B203" s="2">
        <v>0</v>
      </c>
      <c r="C203" s="2">
        <v>0</v>
      </c>
      <c r="D203">
        <f>SQRT(Table2[[#This Row],[AVG GPG]]*Table2[[#This Row],[AVG APG]])</f>
        <v>0</v>
      </c>
    </row>
    <row r="204" spans="1:4" customFormat="1" ht="14.5" hidden="1" x14ac:dyDescent="0.35">
      <c r="A204" t="s">
        <v>602</v>
      </c>
      <c r="B204" s="2">
        <v>0</v>
      </c>
      <c r="C204" s="2">
        <v>0</v>
      </c>
      <c r="D204">
        <f>SQRT(Table2[[#This Row],[AVG GPG]]*Table2[[#This Row],[AVG APG]])</f>
        <v>0</v>
      </c>
    </row>
    <row r="205" spans="1:4" customFormat="1" ht="14.5" hidden="1" x14ac:dyDescent="0.35">
      <c r="A205" t="s">
        <v>126</v>
      </c>
      <c r="B205" s="2">
        <v>0</v>
      </c>
      <c r="C205" s="2">
        <v>0</v>
      </c>
      <c r="D205">
        <f>SQRT(Table2[[#This Row],[AVG GPG]]*Table2[[#This Row],[AVG APG]])</f>
        <v>0</v>
      </c>
    </row>
    <row r="206" spans="1:4" customFormat="1" ht="14.5" hidden="1" x14ac:dyDescent="0.35">
      <c r="A206" t="s">
        <v>260</v>
      </c>
      <c r="B206" s="2">
        <v>0</v>
      </c>
      <c r="C206" s="2">
        <v>0</v>
      </c>
      <c r="D206">
        <f>SQRT(Table2[[#This Row],[AVG GPG]]*Table2[[#This Row],[AVG APG]])</f>
        <v>0</v>
      </c>
    </row>
    <row r="207" spans="1:4" customFormat="1" ht="14.5" hidden="1" x14ac:dyDescent="0.35">
      <c r="A207" t="s">
        <v>600</v>
      </c>
      <c r="B207" s="2">
        <v>0</v>
      </c>
      <c r="C207" s="2">
        <v>0</v>
      </c>
      <c r="D207">
        <f>SQRT(Table2[[#This Row],[AVG GPG]]*Table2[[#This Row],[AVG APG]])</f>
        <v>0</v>
      </c>
    </row>
    <row r="208" spans="1:4" customFormat="1" ht="14.5" hidden="1" x14ac:dyDescent="0.35">
      <c r="A208" t="s">
        <v>121</v>
      </c>
      <c r="B208" s="2">
        <v>0</v>
      </c>
      <c r="C208" s="2">
        <v>0</v>
      </c>
      <c r="D208">
        <f>SQRT(Table2[[#This Row],[AVG GPG]]*Table2[[#This Row],[AVG APG]])</f>
        <v>0</v>
      </c>
    </row>
    <row r="209" spans="1:4" customFormat="1" ht="14.5" hidden="1" x14ac:dyDescent="0.35">
      <c r="A209" t="s">
        <v>297</v>
      </c>
      <c r="B209" s="2">
        <v>0</v>
      </c>
      <c r="C209" s="2">
        <v>0</v>
      </c>
      <c r="D209">
        <f>SQRT(Table2[[#This Row],[AVG GPG]]*Table2[[#This Row],[AVG APG]])</f>
        <v>0</v>
      </c>
    </row>
    <row r="210" spans="1:4" customFormat="1" ht="14.5" hidden="1" x14ac:dyDescent="0.35">
      <c r="A210" t="s">
        <v>219</v>
      </c>
      <c r="B210" s="2">
        <v>0</v>
      </c>
      <c r="C210" s="2">
        <v>0</v>
      </c>
      <c r="D210">
        <f>SQRT(Table2[[#This Row],[AVG GPG]]*Table2[[#This Row],[AVG APG]])</f>
        <v>0</v>
      </c>
    </row>
    <row r="211" spans="1:4" customFormat="1" ht="14.5" hidden="1" x14ac:dyDescent="0.35">
      <c r="A211" t="s">
        <v>266</v>
      </c>
      <c r="B211" s="2">
        <v>0</v>
      </c>
      <c r="C211" s="2">
        <v>0</v>
      </c>
      <c r="D211">
        <f>SQRT(Table2[[#This Row],[AVG GPG]]*Table2[[#This Row],[AVG APG]])</f>
        <v>0</v>
      </c>
    </row>
    <row r="212" spans="1:4" customFormat="1" ht="14.5" hidden="1" x14ac:dyDescent="0.35">
      <c r="A212" t="s">
        <v>598</v>
      </c>
      <c r="B212" s="2">
        <v>0</v>
      </c>
      <c r="C212" s="2">
        <v>0</v>
      </c>
      <c r="D212">
        <f>SQRT(Table2[[#This Row],[AVG GPG]]*Table2[[#This Row],[AVG APG]])</f>
        <v>0</v>
      </c>
    </row>
    <row r="213" spans="1:4" customFormat="1" ht="14.5" hidden="1" x14ac:dyDescent="0.35">
      <c r="A213" t="s">
        <v>646</v>
      </c>
      <c r="B213" s="2">
        <v>0</v>
      </c>
      <c r="C213" s="2">
        <v>0</v>
      </c>
      <c r="D213">
        <f>SQRT(Table2[[#This Row],[AVG GPG]]*Table2[[#This Row],[AVG APG]])</f>
        <v>0</v>
      </c>
    </row>
    <row r="214" spans="1:4" customFormat="1" ht="14.5" hidden="1" x14ac:dyDescent="0.35">
      <c r="A214" t="s">
        <v>562</v>
      </c>
      <c r="B214" s="2">
        <v>0</v>
      </c>
      <c r="C214" s="2">
        <v>0</v>
      </c>
      <c r="D214">
        <f>SQRT(Table2[[#This Row],[AVG GPG]]*Table2[[#This Row],[AVG APG]])</f>
        <v>0</v>
      </c>
    </row>
    <row r="215" spans="1:4" customFormat="1" ht="14.5" hidden="1" x14ac:dyDescent="0.35">
      <c r="A215" t="s">
        <v>204</v>
      </c>
      <c r="B215" s="2">
        <v>0</v>
      </c>
      <c r="C215" s="2">
        <v>7.6923076923076927E-2</v>
      </c>
      <c r="D215">
        <f>SQRT(Table2[[#This Row],[AVG GPG]]*Table2[[#This Row],[AVG APG]])</f>
        <v>0</v>
      </c>
    </row>
    <row r="216" spans="1:4" customFormat="1" ht="14.5" hidden="1" x14ac:dyDescent="0.35">
      <c r="A216" t="s">
        <v>676</v>
      </c>
      <c r="B216" s="2">
        <v>0</v>
      </c>
      <c r="C216" s="2">
        <v>0</v>
      </c>
      <c r="D216">
        <f>SQRT(Table2[[#This Row],[AVG GPG]]*Table2[[#This Row],[AVG APG]])</f>
        <v>0</v>
      </c>
    </row>
    <row r="217" spans="1:4" customFormat="1" ht="14.5" hidden="1" x14ac:dyDescent="0.35">
      <c r="A217" t="s">
        <v>389</v>
      </c>
      <c r="B217" s="2">
        <v>0</v>
      </c>
      <c r="C217" s="2">
        <v>0</v>
      </c>
      <c r="D217">
        <f>SQRT(Table2[[#This Row],[AVG GPG]]*Table2[[#This Row],[AVG APG]])</f>
        <v>0</v>
      </c>
    </row>
    <row r="218" spans="1:4" customFormat="1" ht="14.5" hidden="1" x14ac:dyDescent="0.35">
      <c r="A218" t="s">
        <v>403</v>
      </c>
      <c r="B218" s="2">
        <v>0</v>
      </c>
      <c r="C218" s="2">
        <v>0</v>
      </c>
      <c r="D218">
        <f>SQRT(Table2[[#This Row],[AVG GPG]]*Table2[[#This Row],[AVG APG]])</f>
        <v>0</v>
      </c>
    </row>
    <row r="219" spans="1:4" customFormat="1" ht="14.5" hidden="1" x14ac:dyDescent="0.35">
      <c r="A219" t="s">
        <v>513</v>
      </c>
      <c r="B219" s="2">
        <v>0</v>
      </c>
      <c r="C219" s="2">
        <v>7.6923076923076927E-2</v>
      </c>
      <c r="D219">
        <f>SQRT(Table2[[#This Row],[AVG GPG]]*Table2[[#This Row],[AVG APG]])</f>
        <v>0</v>
      </c>
    </row>
    <row r="220" spans="1:4" customFormat="1" ht="14.5" hidden="1" x14ac:dyDescent="0.35">
      <c r="A220" t="s">
        <v>327</v>
      </c>
      <c r="B220" s="2">
        <v>0</v>
      </c>
      <c r="C220" s="2">
        <v>0</v>
      </c>
      <c r="D220">
        <f>SQRT(Table2[[#This Row],[AVG GPG]]*Table2[[#This Row],[AVG APG]])</f>
        <v>0</v>
      </c>
    </row>
    <row r="221" spans="1:4" customFormat="1" ht="14.5" hidden="1" x14ac:dyDescent="0.35">
      <c r="A221" t="s">
        <v>26</v>
      </c>
      <c r="B221" s="2">
        <v>0</v>
      </c>
      <c r="C221" s="2">
        <v>0</v>
      </c>
      <c r="D221">
        <f>SQRT(Table2[[#This Row],[AVG GPG]]*Table2[[#This Row],[AVG APG]])</f>
        <v>0</v>
      </c>
    </row>
    <row r="222" spans="1:4" customFormat="1" ht="14.5" hidden="1" x14ac:dyDescent="0.35">
      <c r="A222" t="s">
        <v>295</v>
      </c>
      <c r="B222" s="2">
        <v>0</v>
      </c>
      <c r="C222" s="2">
        <v>0</v>
      </c>
      <c r="D222">
        <f>SQRT(Table2[[#This Row],[AVG GPG]]*Table2[[#This Row],[AVG APG]])</f>
        <v>0</v>
      </c>
    </row>
    <row r="223" spans="1:4" customFormat="1" ht="14.5" hidden="1" x14ac:dyDescent="0.35">
      <c r="A223" t="s">
        <v>654</v>
      </c>
      <c r="B223" s="2">
        <v>0</v>
      </c>
      <c r="C223" s="2">
        <v>0</v>
      </c>
      <c r="D223">
        <f>SQRT(Table2[[#This Row],[AVG GPG]]*Table2[[#This Row],[AVG APG]])</f>
        <v>0</v>
      </c>
    </row>
    <row r="224" spans="1:4" customFormat="1" ht="14.5" hidden="1" x14ac:dyDescent="0.35">
      <c r="A224" t="s">
        <v>221</v>
      </c>
      <c r="B224" s="2">
        <v>0</v>
      </c>
      <c r="C224" s="2">
        <v>0</v>
      </c>
      <c r="D224">
        <f>SQRT(Table2[[#This Row],[AVG GPG]]*Table2[[#This Row],[AVG APG]])</f>
        <v>0</v>
      </c>
    </row>
    <row r="225" spans="1:4" customFormat="1" ht="14.5" hidden="1" x14ac:dyDescent="0.35">
      <c r="A225" t="s">
        <v>554</v>
      </c>
      <c r="B225" s="2">
        <v>0</v>
      </c>
      <c r="C225" s="2">
        <v>0</v>
      </c>
      <c r="D225">
        <f>SQRT(Table2[[#This Row],[AVG GPG]]*Table2[[#This Row],[AVG APG]])</f>
        <v>0</v>
      </c>
    </row>
    <row r="226" spans="1:4" customFormat="1" ht="14.5" hidden="1" x14ac:dyDescent="0.35">
      <c r="A226" t="s">
        <v>628</v>
      </c>
      <c r="B226" s="2">
        <v>0</v>
      </c>
      <c r="C226" s="2">
        <v>0</v>
      </c>
      <c r="D226">
        <f>SQRT(Table2[[#This Row],[AVG GPG]]*Table2[[#This Row],[AVG APG]])</f>
        <v>0</v>
      </c>
    </row>
    <row r="227" spans="1:4" customFormat="1" ht="14.5" hidden="1" x14ac:dyDescent="0.35">
      <c r="A227" t="s">
        <v>145</v>
      </c>
      <c r="B227" s="2">
        <v>0</v>
      </c>
      <c r="C227" s="2">
        <v>0</v>
      </c>
      <c r="D227">
        <f>SQRT(Table2[[#This Row],[AVG GPG]]*Table2[[#This Row],[AVG APG]])</f>
        <v>0</v>
      </c>
    </row>
    <row r="228" spans="1:4" customFormat="1" ht="14.5" hidden="1" x14ac:dyDescent="0.35">
      <c r="A228" t="s">
        <v>631</v>
      </c>
      <c r="B228" s="2">
        <v>0</v>
      </c>
      <c r="C228" s="2">
        <v>0</v>
      </c>
      <c r="D228">
        <f>SQRT(Table2[[#This Row],[AVG GPG]]*Table2[[#This Row],[AVG APG]])</f>
        <v>0</v>
      </c>
    </row>
    <row r="229" spans="1:4" customFormat="1" ht="14.5" hidden="1" x14ac:dyDescent="0.35">
      <c r="A229" t="s">
        <v>423</v>
      </c>
      <c r="B229" s="2">
        <v>0</v>
      </c>
      <c r="C229" s="2">
        <v>0</v>
      </c>
      <c r="D229">
        <f>SQRT(Table2[[#This Row],[AVG GPG]]*Table2[[#This Row],[AVG APG]])</f>
        <v>0</v>
      </c>
    </row>
    <row r="230" spans="1:4" customFormat="1" ht="14.5" hidden="1" x14ac:dyDescent="0.35">
      <c r="A230" t="s">
        <v>89</v>
      </c>
      <c r="B230" s="2">
        <v>0</v>
      </c>
      <c r="C230" s="2">
        <v>0.1</v>
      </c>
      <c r="D230">
        <f>SQRT(Table2[[#This Row],[AVG GPG]]*Table2[[#This Row],[AVG APG]])</f>
        <v>0</v>
      </c>
    </row>
    <row r="231" spans="1:4" customFormat="1" ht="14.5" hidden="1" x14ac:dyDescent="0.35">
      <c r="A231" t="s">
        <v>245</v>
      </c>
      <c r="B231" s="2">
        <v>0</v>
      </c>
      <c r="C231" s="2">
        <v>0</v>
      </c>
      <c r="D231">
        <f>SQRT(Table2[[#This Row],[AVG GPG]]*Table2[[#This Row],[AVG APG]])</f>
        <v>0</v>
      </c>
    </row>
    <row r="232" spans="1:4" customFormat="1" ht="14.5" hidden="1" x14ac:dyDescent="0.35">
      <c r="A232" t="s">
        <v>460</v>
      </c>
      <c r="B232" s="2">
        <v>0</v>
      </c>
      <c r="C232" s="2">
        <v>7.6923076923076927E-2</v>
      </c>
      <c r="D232">
        <f>SQRT(Table2[[#This Row],[AVG GPG]]*Table2[[#This Row],[AVG APG]])</f>
        <v>0</v>
      </c>
    </row>
    <row r="233" spans="1:4" customFormat="1" ht="14.5" hidden="1" x14ac:dyDescent="0.35">
      <c r="A233" t="s">
        <v>493</v>
      </c>
      <c r="B233" s="2">
        <v>0</v>
      </c>
      <c r="C233" s="2">
        <v>0</v>
      </c>
      <c r="D233">
        <f>SQRT(Table2[[#This Row],[AVG GPG]]*Table2[[#This Row],[AVG APG]])</f>
        <v>0</v>
      </c>
    </row>
    <row r="234" spans="1:4" customFormat="1" ht="14.5" hidden="1" x14ac:dyDescent="0.35">
      <c r="A234" t="s">
        <v>399</v>
      </c>
      <c r="B234" s="2">
        <v>0</v>
      </c>
      <c r="C234" s="2">
        <v>0</v>
      </c>
      <c r="D234">
        <f>SQRT(Table2[[#This Row],[AVG GPG]]*Table2[[#This Row],[AVG APG]])</f>
        <v>0</v>
      </c>
    </row>
    <row r="235" spans="1:4" customFormat="1" ht="14.5" hidden="1" x14ac:dyDescent="0.35">
      <c r="A235" t="s">
        <v>253</v>
      </c>
      <c r="B235" s="2">
        <v>0</v>
      </c>
      <c r="C235" s="2">
        <v>0</v>
      </c>
      <c r="D235">
        <f>SQRT(Table2[[#This Row],[AVG GPG]]*Table2[[#This Row],[AVG APG]])</f>
        <v>0</v>
      </c>
    </row>
    <row r="236" spans="1:4" customFormat="1" ht="14.5" hidden="1" x14ac:dyDescent="0.35">
      <c r="A236" t="s">
        <v>67</v>
      </c>
      <c r="B236" s="2">
        <v>0</v>
      </c>
      <c r="C236" s="2">
        <v>0</v>
      </c>
      <c r="D236">
        <f>SQRT(Table2[[#This Row],[AVG GPG]]*Table2[[#This Row],[AVG APG]])</f>
        <v>0</v>
      </c>
    </row>
    <row r="237" spans="1:4" customFormat="1" ht="14.5" hidden="1" x14ac:dyDescent="0.35">
      <c r="A237" t="s">
        <v>456</v>
      </c>
      <c r="B237" s="2">
        <v>0</v>
      </c>
      <c r="C237" s="2">
        <v>9.0909090909090912E-2</v>
      </c>
      <c r="D237">
        <f>SQRT(Table2[[#This Row],[AVG GPG]]*Table2[[#This Row],[AVG APG]])</f>
        <v>0</v>
      </c>
    </row>
    <row r="238" spans="1:4" customFormat="1" ht="14.5" hidden="1" x14ac:dyDescent="0.35">
      <c r="A238" t="s">
        <v>473</v>
      </c>
      <c r="B238" s="2">
        <v>0</v>
      </c>
      <c r="C238" s="2">
        <v>0</v>
      </c>
      <c r="D238">
        <f>SQRT(Table2[[#This Row],[AVG GPG]]*Table2[[#This Row],[AVG APG]])</f>
        <v>0</v>
      </c>
    </row>
    <row r="239" spans="1:4" customFormat="1" ht="14.5" hidden="1" x14ac:dyDescent="0.35">
      <c r="A239" t="s">
        <v>190</v>
      </c>
      <c r="B239" s="2">
        <v>0</v>
      </c>
      <c r="C239" s="2">
        <v>0</v>
      </c>
      <c r="D239">
        <f>SQRT(Table2[[#This Row],[AVG GPG]]*Table2[[#This Row],[AVG APG]])</f>
        <v>0</v>
      </c>
    </row>
    <row r="240" spans="1:4" customFormat="1" ht="14.5" hidden="1" x14ac:dyDescent="0.35">
      <c r="A240" t="s">
        <v>289</v>
      </c>
      <c r="B240" s="2">
        <v>0</v>
      </c>
      <c r="C240" s="2">
        <v>0</v>
      </c>
      <c r="D240">
        <f>SQRT(Table2[[#This Row],[AVG GPG]]*Table2[[#This Row],[AVG APG]])</f>
        <v>0</v>
      </c>
    </row>
    <row r="241" spans="1:4" customFormat="1" ht="14.5" hidden="1" x14ac:dyDescent="0.35">
      <c r="A241" t="s">
        <v>531</v>
      </c>
      <c r="B241" s="2">
        <v>0</v>
      </c>
      <c r="C241" s="2">
        <v>0</v>
      </c>
      <c r="D241">
        <f>SQRT(Table2[[#This Row],[AVG GPG]]*Table2[[#This Row],[AVG APG]])</f>
        <v>0</v>
      </c>
    </row>
    <row r="242" spans="1:4" customFormat="1" ht="14.5" hidden="1" x14ac:dyDescent="0.35">
      <c r="A242" t="s">
        <v>415</v>
      </c>
      <c r="B242" s="2">
        <v>0</v>
      </c>
      <c r="C242" s="2">
        <v>0</v>
      </c>
      <c r="D242">
        <f>SQRT(Table2[[#This Row],[AVG GPG]]*Table2[[#This Row],[AVG APG]])</f>
        <v>0</v>
      </c>
    </row>
    <row r="243" spans="1:4" customFormat="1" ht="14.5" hidden="1" x14ac:dyDescent="0.35">
      <c r="A243" t="s">
        <v>397</v>
      </c>
      <c r="B243" s="2">
        <v>0</v>
      </c>
      <c r="C243" s="2">
        <v>0.16666666666666666</v>
      </c>
      <c r="D243">
        <f>SQRT(Table2[[#This Row],[AVG GPG]]*Table2[[#This Row],[AVG APG]])</f>
        <v>0</v>
      </c>
    </row>
    <row r="244" spans="1:4" customFormat="1" ht="14.5" hidden="1" x14ac:dyDescent="0.35">
      <c r="A244" t="s">
        <v>674</v>
      </c>
      <c r="B244" s="2">
        <v>0</v>
      </c>
      <c r="C244" s="2">
        <v>0</v>
      </c>
      <c r="D244">
        <f>SQRT(Table2[[#This Row],[AVG GPG]]*Table2[[#This Row],[AVG APG]])</f>
        <v>0</v>
      </c>
    </row>
    <row r="245" spans="1:4" customFormat="1" ht="14.5" hidden="1" x14ac:dyDescent="0.35">
      <c r="A245" t="s">
        <v>214</v>
      </c>
      <c r="B245" s="2">
        <v>0</v>
      </c>
      <c r="C245" s="2">
        <v>0</v>
      </c>
      <c r="D245">
        <f>SQRT(Table2[[#This Row],[AVG GPG]]*Table2[[#This Row],[AVG APG]])</f>
        <v>0</v>
      </c>
    </row>
    <row r="246" spans="1:4" customFormat="1" ht="14.5" hidden="1" x14ac:dyDescent="0.35">
      <c r="A246" t="s">
        <v>103</v>
      </c>
      <c r="B246" s="2">
        <v>0</v>
      </c>
      <c r="C246" s="2">
        <v>0.16666666666666666</v>
      </c>
      <c r="D246">
        <f>SQRT(Table2[[#This Row],[AVG GPG]]*Table2[[#This Row],[AVG APG]])</f>
        <v>0</v>
      </c>
    </row>
    <row r="247" spans="1:4" customFormat="1" ht="14.5" hidden="1" x14ac:dyDescent="0.35">
      <c r="A247" t="s">
        <v>444</v>
      </c>
      <c r="B247" s="2">
        <v>0</v>
      </c>
      <c r="C247" s="2">
        <v>0</v>
      </c>
      <c r="D247">
        <f>SQRT(Table2[[#This Row],[AVG GPG]]*Table2[[#This Row],[AVG APG]])</f>
        <v>0</v>
      </c>
    </row>
    <row r="248" spans="1:4" customFormat="1" ht="14.5" hidden="1" x14ac:dyDescent="0.35">
      <c r="A248" t="s">
        <v>304</v>
      </c>
      <c r="B248" s="2">
        <v>0</v>
      </c>
      <c r="C248" s="2">
        <v>0</v>
      </c>
      <c r="D248">
        <f>SQRT(Table2[[#This Row],[AVG GPG]]*Table2[[#This Row],[AVG APG]])</f>
        <v>0</v>
      </c>
    </row>
    <row r="249" spans="1:4" customFormat="1" ht="14.5" hidden="1" x14ac:dyDescent="0.35">
      <c r="A249" t="s">
        <v>256</v>
      </c>
      <c r="B249" s="2">
        <v>0</v>
      </c>
      <c r="C249" s="2">
        <v>0</v>
      </c>
      <c r="D249">
        <f>SQRT(Table2[[#This Row],[AVG GPG]]*Table2[[#This Row],[AVG APG]])</f>
        <v>0</v>
      </c>
    </row>
    <row r="250" spans="1:4" customFormat="1" ht="14.5" hidden="1" x14ac:dyDescent="0.35">
      <c r="A250" t="s">
        <v>542</v>
      </c>
      <c r="B250" s="2">
        <v>0</v>
      </c>
      <c r="C250" s="2">
        <v>0</v>
      </c>
      <c r="D250">
        <f>SQRT(Table2[[#This Row],[AVG GPG]]*Table2[[#This Row],[AVG APG]])</f>
        <v>0</v>
      </c>
    </row>
    <row r="251" spans="1:4" customFormat="1" ht="14.5" hidden="1" x14ac:dyDescent="0.35">
      <c r="A251" t="s">
        <v>208</v>
      </c>
      <c r="B251" s="2">
        <v>0</v>
      </c>
      <c r="C251" s="2">
        <v>0</v>
      </c>
      <c r="D251">
        <f>SQRT(Table2[[#This Row],[AVG GPG]]*Table2[[#This Row],[AVG APG]])</f>
        <v>0</v>
      </c>
    </row>
    <row r="252" spans="1:4" customFormat="1" ht="14.5" hidden="1" x14ac:dyDescent="0.35">
      <c r="A252" t="s">
        <v>213</v>
      </c>
      <c r="B252" s="2">
        <v>0</v>
      </c>
      <c r="C252" s="2">
        <v>0</v>
      </c>
      <c r="D252">
        <f>SQRT(Table2[[#This Row],[AVG GPG]]*Table2[[#This Row],[AVG APG]])</f>
        <v>0</v>
      </c>
    </row>
    <row r="253" spans="1:4" customFormat="1" ht="14.5" hidden="1" x14ac:dyDescent="0.35">
      <c r="A253" t="s">
        <v>395</v>
      </c>
      <c r="B253" s="2">
        <v>0</v>
      </c>
      <c r="C253" s="2">
        <v>0</v>
      </c>
      <c r="D253">
        <f>SQRT(Table2[[#This Row],[AVG GPG]]*Table2[[#This Row],[AVG APG]])</f>
        <v>0</v>
      </c>
    </row>
    <row r="254" spans="1:4" customFormat="1" ht="14.5" hidden="1" x14ac:dyDescent="0.35">
      <c r="A254" t="s">
        <v>97</v>
      </c>
      <c r="B254" s="2">
        <v>0</v>
      </c>
      <c r="C254" s="2">
        <v>0</v>
      </c>
      <c r="D254">
        <f>SQRT(Table2[[#This Row],[AVG GPG]]*Table2[[#This Row],[AVG APG]])</f>
        <v>0</v>
      </c>
    </row>
    <row r="255" spans="1:4" customFormat="1" ht="14.5" hidden="1" x14ac:dyDescent="0.35">
      <c r="A255" t="s">
        <v>187</v>
      </c>
      <c r="B255" s="2">
        <v>0</v>
      </c>
      <c r="C255" s="2">
        <v>0</v>
      </c>
      <c r="D255">
        <f>SQRT(Table2[[#This Row],[AVG GPG]]*Table2[[#This Row],[AVG APG]])</f>
        <v>0</v>
      </c>
    </row>
    <row r="256" spans="1:4" customFormat="1" ht="14.5" hidden="1" x14ac:dyDescent="0.35">
      <c r="A256" t="s">
        <v>556</v>
      </c>
      <c r="B256" s="2">
        <v>0</v>
      </c>
      <c r="C256" s="2">
        <v>0</v>
      </c>
      <c r="D256">
        <f>SQRT(Table2[[#This Row],[AVG GPG]]*Table2[[#This Row],[AVG APG]])</f>
        <v>0</v>
      </c>
    </row>
    <row r="257" spans="1:4" customFormat="1" ht="14.5" hidden="1" x14ac:dyDescent="0.35">
      <c r="A257" t="s">
        <v>617</v>
      </c>
      <c r="B257" s="2">
        <v>0</v>
      </c>
      <c r="C257" s="2">
        <v>0.16666666666666666</v>
      </c>
      <c r="D257">
        <f>SQRT(Table2[[#This Row],[AVG GPG]]*Table2[[#This Row],[AVG APG]])</f>
        <v>0</v>
      </c>
    </row>
    <row r="258" spans="1:4" customFormat="1" ht="14.5" hidden="1" x14ac:dyDescent="0.35">
      <c r="A258" t="s">
        <v>350</v>
      </c>
      <c r="B258" s="2">
        <v>0</v>
      </c>
      <c r="C258" s="2">
        <v>0</v>
      </c>
      <c r="D258">
        <f>SQRT(Table2[[#This Row],[AVG GPG]]*Table2[[#This Row],[AVG APG]])</f>
        <v>0</v>
      </c>
    </row>
    <row r="259" spans="1:4" customFormat="1" ht="14.5" hidden="1" x14ac:dyDescent="0.35">
      <c r="A259" t="s">
        <v>48</v>
      </c>
      <c r="B259" s="2">
        <v>0</v>
      </c>
      <c r="C259" s="2">
        <v>0</v>
      </c>
      <c r="D259">
        <f>SQRT(Table2[[#This Row],[AVG GPG]]*Table2[[#This Row],[AVG APG]])</f>
        <v>0</v>
      </c>
    </row>
    <row r="260" spans="1:4" customFormat="1" ht="14.5" hidden="1" x14ac:dyDescent="0.35">
      <c r="A260" t="s">
        <v>163</v>
      </c>
      <c r="B260" s="2">
        <v>0</v>
      </c>
      <c r="C260" s="2">
        <v>0</v>
      </c>
      <c r="D260">
        <f>SQRT(Table2[[#This Row],[AVG GPG]]*Table2[[#This Row],[AVG APG]])</f>
        <v>0</v>
      </c>
    </row>
    <row r="261" spans="1:4" customFormat="1" ht="14.5" hidden="1" x14ac:dyDescent="0.35">
      <c r="A261" t="s">
        <v>477</v>
      </c>
      <c r="B261" s="2">
        <v>0</v>
      </c>
      <c r="C261" s="2">
        <v>0</v>
      </c>
      <c r="D261">
        <f>SQRT(Table2[[#This Row],[AVG GPG]]*Table2[[#This Row],[AVG APG]])</f>
        <v>0</v>
      </c>
    </row>
    <row r="262" spans="1:4" customFormat="1" ht="14.5" hidden="1" x14ac:dyDescent="0.35">
      <c r="A262" t="s">
        <v>264</v>
      </c>
      <c r="B262" s="2">
        <v>0</v>
      </c>
      <c r="C262" s="2">
        <v>0.1111111111111111</v>
      </c>
      <c r="D262">
        <f>SQRT(Table2[[#This Row],[AVG GPG]]*Table2[[#This Row],[AVG APG]])</f>
        <v>0</v>
      </c>
    </row>
    <row r="263" spans="1:4" customFormat="1" ht="14.5" hidden="1" x14ac:dyDescent="0.35">
      <c r="A263" t="s">
        <v>345</v>
      </c>
      <c r="B263" s="2">
        <v>0</v>
      </c>
      <c r="C263" s="2">
        <v>0</v>
      </c>
      <c r="D263">
        <f>SQRT(Table2[[#This Row],[AVG GPG]]*Table2[[#This Row],[AVG APG]])</f>
        <v>0</v>
      </c>
    </row>
    <row r="264" spans="1:4" customFormat="1" ht="14.5" hidden="1" x14ac:dyDescent="0.35">
      <c r="A264" t="s">
        <v>462</v>
      </c>
      <c r="B264" s="2">
        <v>0</v>
      </c>
      <c r="C264" s="2">
        <v>0.15384615384615385</v>
      </c>
      <c r="D264">
        <f>SQRT(Table2[[#This Row],[AVG GPG]]*Table2[[#This Row],[AVG APG]])</f>
        <v>0</v>
      </c>
    </row>
    <row r="265" spans="1:4" customFormat="1" ht="14.5" hidden="1" x14ac:dyDescent="0.35">
      <c r="A265" t="s">
        <v>372</v>
      </c>
      <c r="B265" s="2">
        <v>0</v>
      </c>
      <c r="C265" s="2">
        <v>0</v>
      </c>
      <c r="D265">
        <f>SQRT(Table2[[#This Row],[AVG GPG]]*Table2[[#This Row],[AVG APG]])</f>
        <v>0</v>
      </c>
    </row>
    <row r="266" spans="1:4" customFormat="1" ht="14.5" hidden="1" x14ac:dyDescent="0.35">
      <c r="A266" t="s">
        <v>339</v>
      </c>
      <c r="B266" s="2">
        <v>0</v>
      </c>
      <c r="C266" s="2">
        <v>0</v>
      </c>
      <c r="D266">
        <f>SQRT(Table2[[#This Row],[AVG GPG]]*Table2[[#This Row],[AVG APG]])</f>
        <v>0</v>
      </c>
    </row>
    <row r="267" spans="1:4" customFormat="1" ht="14.5" hidden="1" x14ac:dyDescent="0.35">
      <c r="A267" t="s">
        <v>426</v>
      </c>
      <c r="B267" s="2">
        <v>0</v>
      </c>
      <c r="C267" s="2">
        <v>7.6923076923076927E-2</v>
      </c>
      <c r="D267">
        <f>SQRT(Table2[[#This Row],[AVG GPG]]*Table2[[#This Row],[AVG APG]])</f>
        <v>0</v>
      </c>
    </row>
    <row r="268" spans="1:4" customFormat="1" ht="14.5" hidden="1" x14ac:dyDescent="0.35">
      <c r="A268" t="s">
        <v>468</v>
      </c>
      <c r="B268" s="2">
        <v>0</v>
      </c>
      <c r="C268" s="2">
        <v>0</v>
      </c>
      <c r="D268">
        <f>SQRT(Table2[[#This Row],[AVG GPG]]*Table2[[#This Row],[AVG APG]])</f>
        <v>0</v>
      </c>
    </row>
    <row r="269" spans="1:4" customFormat="1" ht="14.5" hidden="1" x14ac:dyDescent="0.35">
      <c r="A269" t="s">
        <v>537</v>
      </c>
      <c r="B269" s="2">
        <v>0</v>
      </c>
      <c r="C269" s="2">
        <v>0</v>
      </c>
      <c r="D269">
        <f>SQRT(Table2[[#This Row],[AVG GPG]]*Table2[[#This Row],[AVG APG]])</f>
        <v>0</v>
      </c>
    </row>
    <row r="270" spans="1:4" customFormat="1" ht="14.5" hidden="1" x14ac:dyDescent="0.35">
      <c r="A270" t="s">
        <v>544</v>
      </c>
      <c r="B270" s="2">
        <v>0</v>
      </c>
      <c r="C270" s="2">
        <v>0</v>
      </c>
      <c r="D270">
        <f>SQRT(Table2[[#This Row],[AVG GPG]]*Table2[[#This Row],[AVG APG]])</f>
        <v>0</v>
      </c>
    </row>
    <row r="271" spans="1:4" customFormat="1" ht="14.5" hidden="1" x14ac:dyDescent="0.35">
      <c r="A271" t="s">
        <v>307</v>
      </c>
      <c r="B271" s="2">
        <v>0</v>
      </c>
      <c r="C271" s="2">
        <v>0.1</v>
      </c>
      <c r="D271">
        <f>SQRT(Table2[[#This Row],[AVG GPG]]*Table2[[#This Row],[AVG APG]])</f>
        <v>0</v>
      </c>
    </row>
    <row r="272" spans="1:4" customFormat="1" ht="14.5" hidden="1" x14ac:dyDescent="0.35">
      <c r="A272" t="s">
        <v>652</v>
      </c>
      <c r="B272" s="2">
        <v>0</v>
      </c>
      <c r="C272" s="2">
        <v>0</v>
      </c>
      <c r="D272">
        <f>SQRT(Table2[[#This Row],[AVG GPG]]*Table2[[#This Row],[AVG APG]])</f>
        <v>0</v>
      </c>
    </row>
    <row r="273" spans="1:4" customFormat="1" ht="14.5" hidden="1" x14ac:dyDescent="0.35">
      <c r="A273" t="s">
        <v>464</v>
      </c>
      <c r="B273" s="2">
        <v>0</v>
      </c>
      <c r="C273" s="2">
        <v>0</v>
      </c>
      <c r="D273">
        <f>SQRT(Table2[[#This Row],[AVG GPG]]*Table2[[#This Row],[AVG APG]])</f>
        <v>0</v>
      </c>
    </row>
    <row r="274" spans="1:4" customFormat="1" ht="14.5" hidden="1" x14ac:dyDescent="0.35">
      <c r="A274" t="s">
        <v>440</v>
      </c>
      <c r="B274" s="2">
        <v>0</v>
      </c>
      <c r="C274" s="2">
        <v>0</v>
      </c>
      <c r="D274">
        <f>SQRT(Table2[[#This Row],[AVG GPG]]*Table2[[#This Row],[AVG APG]])</f>
        <v>0</v>
      </c>
    </row>
    <row r="275" spans="1:4" customFormat="1" ht="14.5" hidden="1" x14ac:dyDescent="0.35">
      <c r="A275" t="s">
        <v>448</v>
      </c>
      <c r="B275" s="2">
        <v>0</v>
      </c>
      <c r="C275" s="2">
        <v>0</v>
      </c>
      <c r="D275">
        <f>SQRT(Table2[[#This Row],[AVG GPG]]*Table2[[#This Row],[AVG APG]])</f>
        <v>0</v>
      </c>
    </row>
    <row r="276" spans="1:4" customFormat="1" ht="14.5" hidden="1" x14ac:dyDescent="0.35">
      <c r="A276" t="s">
        <v>546</v>
      </c>
      <c r="B276" s="2">
        <v>0</v>
      </c>
      <c r="C276" s="2">
        <v>0</v>
      </c>
      <c r="D276">
        <f>SQRT(Table2[[#This Row],[AVG GPG]]*Table2[[#This Row],[AVG APG]])</f>
        <v>0</v>
      </c>
    </row>
    <row r="277" spans="1:4" customFormat="1" ht="14.5" hidden="1" x14ac:dyDescent="0.35">
      <c r="A277" t="s">
        <v>75</v>
      </c>
      <c r="B277" s="2">
        <v>0</v>
      </c>
      <c r="C277" s="2">
        <v>0</v>
      </c>
      <c r="D277">
        <f>SQRT(Table2[[#This Row],[AVG GPG]]*Table2[[#This Row],[AVG APG]])</f>
        <v>0</v>
      </c>
    </row>
    <row r="278" spans="1:4" customFormat="1" ht="14.5" hidden="1" x14ac:dyDescent="0.35">
      <c r="A278" t="s">
        <v>569</v>
      </c>
      <c r="B278" s="2">
        <v>0</v>
      </c>
      <c r="C278" s="2">
        <v>0</v>
      </c>
      <c r="D278">
        <f>SQRT(Table2[[#This Row],[AVG GPG]]*Table2[[#This Row],[AVG APG]])</f>
        <v>0</v>
      </c>
    </row>
    <row r="279" spans="1:4" customFormat="1" ht="14.5" hidden="1" x14ac:dyDescent="0.35">
      <c r="A279" t="s">
        <v>105</v>
      </c>
      <c r="B279" s="2">
        <v>0</v>
      </c>
      <c r="C279" s="2">
        <v>0</v>
      </c>
      <c r="D279">
        <f>SQRT(Table2[[#This Row],[AVG GPG]]*Table2[[#This Row],[AVG APG]])</f>
        <v>0</v>
      </c>
    </row>
    <row r="280" spans="1:4" customFormat="1" ht="14.5" hidden="1" x14ac:dyDescent="0.35">
      <c r="A280" t="s">
        <v>381</v>
      </c>
      <c r="B280" s="2">
        <v>0</v>
      </c>
      <c r="C280" s="2">
        <v>0</v>
      </c>
      <c r="D280">
        <f>SQRT(Table2[[#This Row],[AVG GPG]]*Table2[[#This Row],[AVG APG]])</f>
        <v>0</v>
      </c>
    </row>
    <row r="281" spans="1:4" customFormat="1" ht="14.5" hidden="1" x14ac:dyDescent="0.35">
      <c r="A281" t="s">
        <v>138</v>
      </c>
      <c r="B281" s="2">
        <v>0</v>
      </c>
      <c r="C281" s="2">
        <v>0</v>
      </c>
      <c r="D281">
        <f>SQRT(Table2[[#This Row],[AVG GPG]]*Table2[[#This Row],[AVG APG]])</f>
        <v>0</v>
      </c>
    </row>
    <row r="282" spans="1:4" customFormat="1" ht="14.5" hidden="1" x14ac:dyDescent="0.35">
      <c r="A282" t="s">
        <v>262</v>
      </c>
      <c r="B282" s="2">
        <v>0</v>
      </c>
      <c r="C282" s="2">
        <v>0.23076923076923078</v>
      </c>
      <c r="D282">
        <f>SQRT(Table2[[#This Row],[AVG GPG]]*Table2[[#This Row],[AVG APG]])</f>
        <v>0</v>
      </c>
    </row>
    <row r="283" spans="1:4" customFormat="1" ht="14.5" hidden="1" x14ac:dyDescent="0.35">
      <c r="A283" t="s">
        <v>311</v>
      </c>
      <c r="B283" s="2">
        <v>0</v>
      </c>
      <c r="C283" s="2">
        <v>0</v>
      </c>
      <c r="D283">
        <f>SQRT(Table2[[#This Row],[AVG GPG]]*Table2[[#This Row],[AVG APG]])</f>
        <v>0</v>
      </c>
    </row>
    <row r="284" spans="1:4" customFormat="1" ht="14.5" hidden="1" x14ac:dyDescent="0.35">
      <c r="A284" t="s">
        <v>458</v>
      </c>
      <c r="B284" s="2">
        <v>0</v>
      </c>
      <c r="C284" s="2">
        <v>7.6923076923076927E-2</v>
      </c>
      <c r="D284">
        <f>SQRT(Table2[[#This Row],[AVG GPG]]*Table2[[#This Row],[AVG APG]])</f>
        <v>0</v>
      </c>
    </row>
    <row r="285" spans="1:4" customFormat="1" ht="14.5" hidden="1" x14ac:dyDescent="0.35">
      <c r="A285" t="s">
        <v>411</v>
      </c>
      <c r="B285" s="2">
        <v>0</v>
      </c>
      <c r="C285" s="2">
        <v>0</v>
      </c>
      <c r="D285">
        <f>SQRT(Table2[[#This Row],[AVG GPG]]*Table2[[#This Row],[AVG APG]])</f>
        <v>0</v>
      </c>
    </row>
    <row r="286" spans="1:4" customFormat="1" ht="14.5" hidden="1" x14ac:dyDescent="0.35">
      <c r="A286" t="s">
        <v>278</v>
      </c>
      <c r="B286" s="2">
        <v>0</v>
      </c>
      <c r="C286" s="2">
        <v>0</v>
      </c>
      <c r="D286">
        <f>SQRT(Table2[[#This Row],[AVG GPG]]*Table2[[#This Row],[AVG APG]])</f>
        <v>0</v>
      </c>
    </row>
    <row r="287" spans="1:4" customFormat="1" ht="14.5" hidden="1" x14ac:dyDescent="0.35">
      <c r="A287" t="s">
        <v>539</v>
      </c>
      <c r="B287" s="2">
        <v>0</v>
      </c>
      <c r="C287" s="2">
        <v>0</v>
      </c>
      <c r="D287">
        <f>SQRT(Table2[[#This Row],[AVG GPG]]*Table2[[#This Row],[AVG APG]])</f>
        <v>0</v>
      </c>
    </row>
    <row r="288" spans="1:4" customFormat="1" ht="14.5" hidden="1" x14ac:dyDescent="0.35">
      <c r="A288" t="s">
        <v>359</v>
      </c>
      <c r="B288" s="2">
        <v>0</v>
      </c>
      <c r="C288" s="2">
        <v>0</v>
      </c>
      <c r="D288">
        <f>SQRT(Table2[[#This Row],[AVG GPG]]*Table2[[#This Row],[AVG APG]])</f>
        <v>0</v>
      </c>
    </row>
    <row r="289" spans="1:4" customFormat="1" ht="14.5" hidden="1" x14ac:dyDescent="0.35">
      <c r="A289" t="s">
        <v>438</v>
      </c>
      <c r="B289" s="2">
        <v>0</v>
      </c>
      <c r="C289" s="2">
        <v>0</v>
      </c>
      <c r="D289">
        <f>SQRT(Table2[[#This Row],[AVG GPG]]*Table2[[#This Row],[AVG APG]])</f>
        <v>0</v>
      </c>
    </row>
    <row r="290" spans="1:4" customFormat="1" ht="14.5" hidden="1" x14ac:dyDescent="0.35">
      <c r="A290" t="s">
        <v>368</v>
      </c>
      <c r="B290" s="2">
        <v>0</v>
      </c>
      <c r="C290" s="2">
        <v>7.6923076923076927E-2</v>
      </c>
      <c r="D290">
        <f>SQRT(Table2[[#This Row],[AVG GPG]]*Table2[[#This Row],[AVG APG]])</f>
        <v>0</v>
      </c>
    </row>
    <row r="291" spans="1:4" customFormat="1" ht="14.5" hidden="1" x14ac:dyDescent="0.35">
      <c r="A291" t="s">
        <v>337</v>
      </c>
      <c r="B291" s="2">
        <v>0</v>
      </c>
      <c r="C291" s="2">
        <v>0</v>
      </c>
      <c r="D291">
        <f>SQRT(Table2[[#This Row],[AVG GPG]]*Table2[[#This Row],[AVG APG]])</f>
        <v>0</v>
      </c>
    </row>
    <row r="292" spans="1:4" customFormat="1" ht="14.5" hidden="1" x14ac:dyDescent="0.35">
      <c r="A292" t="s">
        <v>176</v>
      </c>
      <c r="B292" s="2">
        <v>0</v>
      </c>
      <c r="C292" s="2">
        <v>0</v>
      </c>
      <c r="D292">
        <f>SQRT(Table2[[#This Row],[AVG GPG]]*Table2[[#This Row],[AVG APG]])</f>
        <v>0</v>
      </c>
    </row>
    <row r="293" spans="1:4" customFormat="1" ht="14.5" hidden="1" x14ac:dyDescent="0.35">
      <c r="A293" t="s">
        <v>434</v>
      </c>
      <c r="B293" s="2">
        <v>0</v>
      </c>
      <c r="C293" s="2">
        <v>0</v>
      </c>
      <c r="D293">
        <f>SQRT(Table2[[#This Row],[AVG GPG]]*Table2[[#This Row],[AVG APG]])</f>
        <v>0</v>
      </c>
    </row>
    <row r="294" spans="1:4" customFormat="1" ht="14.5" hidden="1" x14ac:dyDescent="0.35">
      <c r="A294" t="s">
        <v>315</v>
      </c>
      <c r="B294" s="2">
        <v>0</v>
      </c>
      <c r="C294" s="2">
        <v>0</v>
      </c>
      <c r="D294">
        <f>SQRT(Table2[[#This Row],[AVG GPG]]*Table2[[#This Row],[AVG APG]])</f>
        <v>0</v>
      </c>
    </row>
    <row r="295" spans="1:4" customFormat="1" ht="14.5" hidden="1" x14ac:dyDescent="0.35">
      <c r="A295" t="s">
        <v>582</v>
      </c>
      <c r="B295" s="2">
        <v>0</v>
      </c>
      <c r="C295" s="2">
        <v>0</v>
      </c>
      <c r="D295">
        <f>SQRT(Table2[[#This Row],[AVG GPG]]*Table2[[#This Row],[AVG APG]])</f>
        <v>0</v>
      </c>
    </row>
    <row r="296" spans="1:4" customFormat="1" ht="14.5" hidden="1" x14ac:dyDescent="0.35">
      <c r="A296" t="s">
        <v>498</v>
      </c>
      <c r="B296" s="2">
        <v>0</v>
      </c>
      <c r="C296" s="2">
        <v>0</v>
      </c>
      <c r="D296">
        <f>SQRT(Table2[[#This Row],[AVG GPG]]*Table2[[#This Row],[AVG APG]])</f>
        <v>0</v>
      </c>
    </row>
    <row r="297" spans="1:4" customFormat="1" ht="14.5" hidden="1" x14ac:dyDescent="0.35">
      <c r="A297" t="s">
        <v>682</v>
      </c>
      <c r="B297" s="2">
        <v>0</v>
      </c>
      <c r="C297" s="2">
        <v>0.125</v>
      </c>
      <c r="D297">
        <f>SQRT(Table2[[#This Row],[AVG GPG]]*Table2[[#This Row],[AVG APG]])</f>
        <v>0</v>
      </c>
    </row>
    <row r="298" spans="1:4" customFormat="1" ht="14.5" hidden="1" x14ac:dyDescent="0.35">
      <c r="A298" t="s">
        <v>352</v>
      </c>
      <c r="B298" s="2">
        <v>0</v>
      </c>
      <c r="C298" s="2">
        <v>0</v>
      </c>
      <c r="D298">
        <f>SQRT(Table2[[#This Row],[AVG GPG]]*Table2[[#This Row],[AVG APG]])</f>
        <v>0</v>
      </c>
    </row>
    <row r="299" spans="1:4" customFormat="1" ht="14.5" hidden="1" x14ac:dyDescent="0.35">
      <c r="A299" t="s">
        <v>624</v>
      </c>
      <c r="B299" s="2">
        <v>0</v>
      </c>
      <c r="C299" s="2">
        <v>0</v>
      </c>
      <c r="D299">
        <f>SQRT(Table2[[#This Row],[AVG GPG]]*Table2[[#This Row],[AVG APG]])</f>
        <v>0</v>
      </c>
    </row>
    <row r="300" spans="1:4" customFormat="1" ht="14.5" hidden="1" x14ac:dyDescent="0.35">
      <c r="A300" t="s">
        <v>446</v>
      </c>
      <c r="B300" s="2">
        <v>0</v>
      </c>
      <c r="C300" s="2">
        <v>0.15384615384615385</v>
      </c>
      <c r="D300">
        <f>SQRT(Table2[[#This Row],[AVG GPG]]*Table2[[#This Row],[AVG APG]])</f>
        <v>0</v>
      </c>
    </row>
    <row r="301" spans="1:4" customFormat="1" ht="14.5" hidden="1" x14ac:dyDescent="0.35">
      <c r="A301" t="s">
        <v>648</v>
      </c>
      <c r="B301" s="2">
        <v>0</v>
      </c>
      <c r="C301" s="2">
        <v>0</v>
      </c>
      <c r="D301">
        <f>SQRT(Table2[[#This Row],[AVG GPG]]*Table2[[#This Row],[AVG APG]])</f>
        <v>0</v>
      </c>
    </row>
    <row r="302" spans="1:4" customFormat="1" ht="14.5" hidden="1" x14ac:dyDescent="0.35">
      <c r="A302" t="s">
        <v>329</v>
      </c>
      <c r="B302" s="2">
        <v>0</v>
      </c>
      <c r="C302" s="2">
        <v>7.6923076923076927E-2</v>
      </c>
      <c r="D302">
        <f>SQRT(Table2[[#This Row],[AVG GPG]]*Table2[[#This Row],[AVG APG]])</f>
        <v>0</v>
      </c>
    </row>
    <row r="303" spans="1:4" customFormat="1" ht="14.5" hidden="1" x14ac:dyDescent="0.35">
      <c r="A303" t="s">
        <v>417</v>
      </c>
      <c r="B303" s="2">
        <v>0</v>
      </c>
      <c r="C303" s="2">
        <v>0</v>
      </c>
      <c r="D303">
        <f>SQRT(Table2[[#This Row],[AVG GPG]]*Table2[[#This Row],[AVG APG]])</f>
        <v>0</v>
      </c>
    </row>
    <row r="304" spans="1:4" customFormat="1" ht="14.5" hidden="1" x14ac:dyDescent="0.35">
      <c r="A304" t="s">
        <v>124</v>
      </c>
      <c r="B304" s="2">
        <v>0</v>
      </c>
      <c r="C304" s="2">
        <v>0</v>
      </c>
      <c r="D304">
        <f>SQRT(Table2[[#This Row],[AVG GPG]]*Table2[[#This Row],[AVG APG]])</f>
        <v>0</v>
      </c>
    </row>
    <row r="305" spans="1:4" customFormat="1" ht="14.5" hidden="1" x14ac:dyDescent="0.35">
      <c r="A305" t="s">
        <v>200</v>
      </c>
      <c r="B305" s="2">
        <v>0</v>
      </c>
      <c r="C305" s="2">
        <v>0</v>
      </c>
      <c r="D305">
        <f>SQRT(Table2[[#This Row],[AVG GPG]]*Table2[[#This Row],[AVG APG]])</f>
        <v>0</v>
      </c>
    </row>
    <row r="306" spans="1:4" customFormat="1" ht="14.5" hidden="1" x14ac:dyDescent="0.35">
      <c r="A306" t="s">
        <v>566</v>
      </c>
      <c r="B306" s="2">
        <v>0</v>
      </c>
      <c r="C306" s="2">
        <v>0</v>
      </c>
      <c r="D306">
        <f>SQRT(Table2[[#This Row],[AVG GPG]]*Table2[[#This Row],[AVG APG]])</f>
        <v>0</v>
      </c>
    </row>
    <row r="307" spans="1:4" customFormat="1" ht="14.5" hidden="1" x14ac:dyDescent="0.35">
      <c r="A307" t="s">
        <v>407</v>
      </c>
      <c r="B307" s="2">
        <v>0</v>
      </c>
      <c r="C307" s="2">
        <v>0</v>
      </c>
      <c r="D307">
        <f>SQRT(Table2[[#This Row],[AVG GPG]]*Table2[[#This Row],[AVG APG]])</f>
        <v>0</v>
      </c>
    </row>
    <row r="308" spans="1:4" customFormat="1" ht="14.5" hidden="1" x14ac:dyDescent="0.35">
      <c r="A308" t="s">
        <v>209</v>
      </c>
      <c r="B308" s="2">
        <v>0</v>
      </c>
      <c r="C308" s="2">
        <v>7.6923076923076927E-2</v>
      </c>
      <c r="D308">
        <f>SQRT(Table2[[#This Row],[AVG GPG]]*Table2[[#This Row],[AVG APG]])</f>
        <v>0</v>
      </c>
    </row>
    <row r="309" spans="1:4" customFormat="1" ht="14.5" hidden="1" x14ac:dyDescent="0.35">
      <c r="A309" t="s">
        <v>659</v>
      </c>
      <c r="B309" s="2">
        <v>0</v>
      </c>
      <c r="C309" s="2">
        <v>0</v>
      </c>
      <c r="D309">
        <f>SQRT(Table2[[#This Row],[AVG GPG]]*Table2[[#This Row],[AVG APG]])</f>
        <v>0</v>
      </c>
    </row>
    <row r="310" spans="1:4" customFormat="1" ht="14.5" hidden="1" x14ac:dyDescent="0.35">
      <c r="A310" t="s">
        <v>156</v>
      </c>
      <c r="B310" s="2">
        <v>0</v>
      </c>
      <c r="C310" s="2">
        <v>0</v>
      </c>
      <c r="D310">
        <f>SQRT(Table2[[#This Row],[AVG GPG]]*Table2[[#This Row],[AVG APG]])</f>
        <v>0</v>
      </c>
    </row>
  </sheetData>
  <conditionalFormatting sqref="B2:B3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B791-42B8-464E-A373-9EBAEEF4772A}">
  <dimension ref="A1:C310"/>
  <sheetViews>
    <sheetView workbookViewId="0">
      <selection activeCell="A2" sqref="A2:C38"/>
    </sheetView>
  </sheetViews>
  <sheetFormatPr defaultRowHeight="14.5" x14ac:dyDescent="0.35"/>
  <cols>
    <col min="1" max="1" width="20.36328125" bestFit="1" customWidth="1"/>
    <col min="2" max="2" width="8.7265625" style="1"/>
    <col min="3" max="3" width="12.453125" style="1" customWidth="1"/>
  </cols>
  <sheetData>
    <row r="1" spans="1:3" x14ac:dyDescent="0.35">
      <c r="A1" t="s">
        <v>701</v>
      </c>
      <c r="B1" s="1" t="s">
        <v>7</v>
      </c>
      <c r="C1" s="1" t="s">
        <v>705</v>
      </c>
    </row>
    <row r="2" spans="1:3" x14ac:dyDescent="0.35">
      <c r="A2" t="s">
        <v>194</v>
      </c>
      <c r="B2" s="1">
        <v>13</v>
      </c>
      <c r="C2" s="2">
        <v>1</v>
      </c>
    </row>
    <row r="3" spans="1:3" x14ac:dyDescent="0.35">
      <c r="A3" t="s">
        <v>357</v>
      </c>
      <c r="B3" s="1">
        <v>13</v>
      </c>
      <c r="C3" s="2">
        <v>1</v>
      </c>
    </row>
    <row r="4" spans="1:3" x14ac:dyDescent="0.35">
      <c r="A4" t="s">
        <v>588</v>
      </c>
      <c r="B4" s="1">
        <v>13</v>
      </c>
      <c r="C4" s="2">
        <v>1</v>
      </c>
    </row>
    <row r="5" spans="1:3" x14ac:dyDescent="0.35">
      <c r="A5" t="s">
        <v>442</v>
      </c>
      <c r="B5" s="1">
        <v>13</v>
      </c>
      <c r="C5" s="2">
        <v>1</v>
      </c>
    </row>
    <row r="6" spans="1:3" x14ac:dyDescent="0.35">
      <c r="A6" t="s">
        <v>53</v>
      </c>
      <c r="B6" s="1">
        <v>13</v>
      </c>
      <c r="C6" s="2">
        <v>1</v>
      </c>
    </row>
    <row r="7" spans="1:3" x14ac:dyDescent="0.35">
      <c r="A7" t="s">
        <v>471</v>
      </c>
      <c r="B7" s="1">
        <v>13</v>
      </c>
      <c r="C7" s="2">
        <v>1</v>
      </c>
    </row>
    <row r="8" spans="1:3" x14ac:dyDescent="0.35">
      <c r="A8" t="s">
        <v>99</v>
      </c>
      <c r="B8" s="1">
        <v>13</v>
      </c>
      <c r="C8" s="2">
        <v>1</v>
      </c>
    </row>
    <row r="9" spans="1:3" x14ac:dyDescent="0.35">
      <c r="A9" t="s">
        <v>680</v>
      </c>
      <c r="B9" s="1">
        <v>13</v>
      </c>
      <c r="C9" s="2">
        <v>1</v>
      </c>
    </row>
    <row r="10" spans="1:3" x14ac:dyDescent="0.35">
      <c r="A10" t="s">
        <v>225</v>
      </c>
      <c r="B10" s="1">
        <v>13</v>
      </c>
      <c r="C10" s="2">
        <v>1</v>
      </c>
    </row>
    <row r="11" spans="1:3" x14ac:dyDescent="0.35">
      <c r="A11" t="s">
        <v>564</v>
      </c>
      <c r="B11" s="1">
        <v>13</v>
      </c>
      <c r="C11" s="2">
        <v>1</v>
      </c>
    </row>
    <row r="12" spans="1:3" x14ac:dyDescent="0.35">
      <c r="A12" t="s">
        <v>488</v>
      </c>
      <c r="B12" s="1">
        <v>13</v>
      </c>
      <c r="C12" s="2">
        <v>1</v>
      </c>
    </row>
    <row r="13" spans="1:3" x14ac:dyDescent="0.35">
      <c r="A13" t="s">
        <v>211</v>
      </c>
      <c r="B13" s="1">
        <v>13</v>
      </c>
      <c r="C13" s="2">
        <v>1</v>
      </c>
    </row>
    <row r="14" spans="1:3" x14ac:dyDescent="0.35">
      <c r="A14" t="s">
        <v>168</v>
      </c>
      <c r="B14" s="1">
        <v>13</v>
      </c>
      <c r="C14" s="2">
        <v>1</v>
      </c>
    </row>
    <row r="15" spans="1:3" x14ac:dyDescent="0.35">
      <c r="A15" t="s">
        <v>148</v>
      </c>
      <c r="B15" s="1">
        <v>13</v>
      </c>
      <c r="C15" s="2">
        <v>1</v>
      </c>
    </row>
    <row r="16" spans="1:3" x14ac:dyDescent="0.35">
      <c r="A16" t="s">
        <v>501</v>
      </c>
      <c r="B16" s="1">
        <v>13</v>
      </c>
      <c r="C16" s="2">
        <v>1</v>
      </c>
    </row>
    <row r="17" spans="1:3" x14ac:dyDescent="0.35">
      <c r="A17" t="s">
        <v>613</v>
      </c>
      <c r="B17" s="1">
        <v>13</v>
      </c>
      <c r="C17" s="2">
        <v>1</v>
      </c>
    </row>
    <row r="18" spans="1:3" x14ac:dyDescent="0.35">
      <c r="A18" t="s">
        <v>586</v>
      </c>
      <c r="B18" s="1">
        <v>13</v>
      </c>
      <c r="C18" s="2">
        <v>1</v>
      </c>
    </row>
    <row r="19" spans="1:3" x14ac:dyDescent="0.35">
      <c r="A19" t="s">
        <v>275</v>
      </c>
      <c r="B19" s="1">
        <v>13</v>
      </c>
      <c r="C19" s="2">
        <v>1</v>
      </c>
    </row>
    <row r="20" spans="1:3" x14ac:dyDescent="0.35">
      <c r="A20" t="s">
        <v>140</v>
      </c>
      <c r="B20" s="1">
        <v>13</v>
      </c>
      <c r="C20" s="2">
        <v>1</v>
      </c>
    </row>
    <row r="21" spans="1:3" x14ac:dyDescent="0.35">
      <c r="A21" t="s">
        <v>134</v>
      </c>
      <c r="B21" s="1">
        <v>13</v>
      </c>
      <c r="C21" s="2">
        <v>1</v>
      </c>
    </row>
    <row r="22" spans="1:3" x14ac:dyDescent="0.35">
      <c r="A22" t="s">
        <v>598</v>
      </c>
      <c r="B22" s="1">
        <v>13</v>
      </c>
      <c r="C22" s="2">
        <v>1</v>
      </c>
    </row>
    <row r="23" spans="1:3" x14ac:dyDescent="0.35">
      <c r="A23" t="s">
        <v>377</v>
      </c>
      <c r="B23" s="1">
        <v>13</v>
      </c>
      <c r="C23" s="2">
        <v>1</v>
      </c>
    </row>
    <row r="24" spans="1:3" x14ac:dyDescent="0.35">
      <c r="A24" t="s">
        <v>204</v>
      </c>
      <c r="B24" s="1">
        <v>13</v>
      </c>
      <c r="C24" s="2">
        <v>1</v>
      </c>
    </row>
    <row r="25" spans="1:3" x14ac:dyDescent="0.35">
      <c r="A25" t="s">
        <v>590</v>
      </c>
      <c r="B25" s="1">
        <v>13</v>
      </c>
      <c r="C25" s="2">
        <v>1</v>
      </c>
    </row>
    <row r="26" spans="1:3" x14ac:dyDescent="0.35">
      <c r="A26" t="s">
        <v>198</v>
      </c>
      <c r="B26" s="1">
        <v>13</v>
      </c>
      <c r="C26" s="2">
        <v>1</v>
      </c>
    </row>
    <row r="27" spans="1:3" x14ac:dyDescent="0.35">
      <c r="A27" t="s">
        <v>460</v>
      </c>
      <c r="B27" s="1">
        <v>13</v>
      </c>
      <c r="C27" s="2">
        <v>1</v>
      </c>
    </row>
    <row r="28" spans="1:3" x14ac:dyDescent="0.35">
      <c r="A28" t="s">
        <v>399</v>
      </c>
      <c r="B28" s="1">
        <v>13</v>
      </c>
      <c r="C28" s="2">
        <v>1</v>
      </c>
    </row>
    <row r="29" spans="1:3" x14ac:dyDescent="0.35">
      <c r="A29" t="s">
        <v>657</v>
      </c>
      <c r="B29" s="1">
        <v>13</v>
      </c>
      <c r="C29" s="2">
        <v>1</v>
      </c>
    </row>
    <row r="30" spans="1:3" x14ac:dyDescent="0.35">
      <c r="A30" t="s">
        <v>462</v>
      </c>
      <c r="B30" s="1">
        <v>13</v>
      </c>
      <c r="C30" s="2">
        <v>1</v>
      </c>
    </row>
    <row r="31" spans="1:3" x14ac:dyDescent="0.35">
      <c r="A31" t="s">
        <v>482</v>
      </c>
      <c r="B31" s="1">
        <v>13</v>
      </c>
      <c r="C31" s="2">
        <v>1</v>
      </c>
    </row>
    <row r="32" spans="1:3" x14ac:dyDescent="0.35">
      <c r="A32" t="s">
        <v>440</v>
      </c>
      <c r="B32" s="1">
        <v>13</v>
      </c>
      <c r="C32" s="2">
        <v>1</v>
      </c>
    </row>
    <row r="33" spans="1:3" x14ac:dyDescent="0.35">
      <c r="A33" t="s">
        <v>642</v>
      </c>
      <c r="B33" s="1">
        <v>13</v>
      </c>
      <c r="C33" s="2">
        <v>1</v>
      </c>
    </row>
    <row r="34" spans="1:3" x14ac:dyDescent="0.35">
      <c r="A34" t="s">
        <v>678</v>
      </c>
      <c r="B34" s="1">
        <v>13</v>
      </c>
      <c r="C34" s="2">
        <v>1</v>
      </c>
    </row>
    <row r="35" spans="1:3" x14ac:dyDescent="0.35">
      <c r="A35" t="s">
        <v>278</v>
      </c>
      <c r="B35" s="1">
        <v>13</v>
      </c>
      <c r="C35" s="2">
        <v>1</v>
      </c>
    </row>
    <row r="36" spans="1:3" x14ac:dyDescent="0.35">
      <c r="A36" t="s">
        <v>438</v>
      </c>
      <c r="B36" s="1">
        <v>13</v>
      </c>
      <c r="C36" s="2">
        <v>1</v>
      </c>
    </row>
    <row r="37" spans="1:3" x14ac:dyDescent="0.35">
      <c r="A37" t="s">
        <v>329</v>
      </c>
      <c r="B37" s="1">
        <v>13</v>
      </c>
      <c r="C37" s="2">
        <v>1</v>
      </c>
    </row>
    <row r="38" spans="1:3" x14ac:dyDescent="0.35">
      <c r="A38" t="s">
        <v>417</v>
      </c>
      <c r="B38" s="1">
        <v>13</v>
      </c>
      <c r="C38" s="2">
        <v>1</v>
      </c>
    </row>
    <row r="39" spans="1:3" x14ac:dyDescent="0.35">
      <c r="A39" t="s">
        <v>83</v>
      </c>
      <c r="B39" s="1">
        <v>13</v>
      </c>
      <c r="C39" s="2">
        <v>0.92307692307692313</v>
      </c>
    </row>
    <row r="40" spans="1:3" x14ac:dyDescent="0.35">
      <c r="A40" t="s">
        <v>518</v>
      </c>
      <c r="B40" s="1">
        <v>13</v>
      </c>
      <c r="C40" s="2">
        <v>0.92307692307692313</v>
      </c>
    </row>
    <row r="41" spans="1:3" x14ac:dyDescent="0.35">
      <c r="A41" t="s">
        <v>594</v>
      </c>
      <c r="B41" s="1">
        <v>13</v>
      </c>
      <c r="C41" s="2">
        <v>0.92307692307692313</v>
      </c>
    </row>
    <row r="42" spans="1:3" x14ac:dyDescent="0.35">
      <c r="A42" t="s">
        <v>573</v>
      </c>
      <c r="B42" s="1">
        <v>13</v>
      </c>
      <c r="C42" s="2">
        <v>0.92307692307692313</v>
      </c>
    </row>
    <row r="43" spans="1:3" x14ac:dyDescent="0.35">
      <c r="A43" t="s">
        <v>293</v>
      </c>
      <c r="B43" s="1">
        <v>13</v>
      </c>
      <c r="C43" s="2">
        <v>0.92307692307692313</v>
      </c>
    </row>
    <row r="44" spans="1:3" x14ac:dyDescent="0.35">
      <c r="A44" t="s">
        <v>405</v>
      </c>
      <c r="B44" s="1">
        <v>13</v>
      </c>
      <c r="C44" s="2">
        <v>0.92307692307692313</v>
      </c>
    </row>
    <row r="45" spans="1:3" x14ac:dyDescent="0.35">
      <c r="A45" t="s">
        <v>630</v>
      </c>
      <c r="B45" s="1">
        <v>13</v>
      </c>
      <c r="C45" s="2">
        <v>0.92307692307692313</v>
      </c>
    </row>
    <row r="46" spans="1:3" x14ac:dyDescent="0.35">
      <c r="A46" t="s">
        <v>258</v>
      </c>
      <c r="B46" s="1">
        <v>13</v>
      </c>
      <c r="C46" s="2">
        <v>0.92307692307692313</v>
      </c>
    </row>
    <row r="47" spans="1:3" x14ac:dyDescent="0.35">
      <c r="A47" t="s">
        <v>552</v>
      </c>
      <c r="B47" s="1">
        <v>13</v>
      </c>
      <c r="C47" s="2">
        <v>0.92307692307692313</v>
      </c>
    </row>
    <row r="48" spans="1:3" x14ac:dyDescent="0.35">
      <c r="A48" t="s">
        <v>192</v>
      </c>
      <c r="B48" s="1">
        <v>13</v>
      </c>
      <c r="C48" s="2">
        <v>0.92307692307692313</v>
      </c>
    </row>
    <row r="49" spans="1:3" x14ac:dyDescent="0.35">
      <c r="A49" t="s">
        <v>105</v>
      </c>
      <c r="B49" s="1">
        <v>13</v>
      </c>
      <c r="C49" s="2">
        <v>0.92307692307692313</v>
      </c>
    </row>
    <row r="50" spans="1:3" x14ac:dyDescent="0.35">
      <c r="A50" t="s">
        <v>558</v>
      </c>
      <c r="B50" s="1">
        <v>13</v>
      </c>
      <c r="C50" s="2">
        <v>0.92307692307692313</v>
      </c>
    </row>
    <row r="51" spans="1:3" x14ac:dyDescent="0.35">
      <c r="A51" t="s">
        <v>621</v>
      </c>
      <c r="B51" s="1">
        <v>13</v>
      </c>
      <c r="C51" s="2">
        <v>0.92307692307692313</v>
      </c>
    </row>
    <row r="52" spans="1:3" x14ac:dyDescent="0.35">
      <c r="A52" t="s">
        <v>446</v>
      </c>
      <c r="B52" s="1">
        <v>13</v>
      </c>
      <c r="C52" s="2">
        <v>0.92307692307692313</v>
      </c>
    </row>
    <row r="53" spans="1:3" x14ac:dyDescent="0.35">
      <c r="A53" t="s">
        <v>158</v>
      </c>
      <c r="B53" s="1">
        <v>13</v>
      </c>
      <c r="C53" s="2">
        <v>0.92307692307692313</v>
      </c>
    </row>
    <row r="54" spans="1:3" x14ac:dyDescent="0.35">
      <c r="A54" t="s">
        <v>580</v>
      </c>
      <c r="B54" s="1">
        <v>13</v>
      </c>
      <c r="C54" s="2">
        <v>0.84615384615384615</v>
      </c>
    </row>
    <row r="55" spans="1:3" x14ac:dyDescent="0.35">
      <c r="A55" t="s">
        <v>419</v>
      </c>
      <c r="B55" s="1">
        <v>13</v>
      </c>
      <c r="C55" s="2">
        <v>0.84615384615384615</v>
      </c>
    </row>
    <row r="56" spans="1:3" x14ac:dyDescent="0.35">
      <c r="A56" t="s">
        <v>333</v>
      </c>
      <c r="B56" s="1">
        <v>13</v>
      </c>
      <c r="C56" s="2">
        <v>0.84615384615384615</v>
      </c>
    </row>
    <row r="57" spans="1:3" x14ac:dyDescent="0.35">
      <c r="A57" t="s">
        <v>640</v>
      </c>
      <c r="B57" s="1">
        <v>13</v>
      </c>
      <c r="C57" s="2">
        <v>0.84615384615384615</v>
      </c>
    </row>
    <row r="58" spans="1:3" x14ac:dyDescent="0.35">
      <c r="A58" t="s">
        <v>190</v>
      </c>
      <c r="B58" s="1">
        <v>13</v>
      </c>
      <c r="C58" s="2">
        <v>0.84615384615384615</v>
      </c>
    </row>
    <row r="59" spans="1:3" x14ac:dyDescent="0.35">
      <c r="A59" t="s">
        <v>432</v>
      </c>
      <c r="B59" s="1">
        <v>13</v>
      </c>
      <c r="C59" s="2">
        <v>0.84615384615384615</v>
      </c>
    </row>
    <row r="60" spans="1:3" x14ac:dyDescent="0.35">
      <c r="A60" t="s">
        <v>421</v>
      </c>
      <c r="B60" s="1">
        <v>13</v>
      </c>
      <c r="C60" s="2">
        <v>0.84615384615384615</v>
      </c>
    </row>
    <row r="61" spans="1:3" x14ac:dyDescent="0.35">
      <c r="A61" t="s">
        <v>426</v>
      </c>
      <c r="B61" s="1">
        <v>13</v>
      </c>
      <c r="C61" s="2">
        <v>0.84615384615384615</v>
      </c>
    </row>
    <row r="62" spans="1:3" x14ac:dyDescent="0.35">
      <c r="A62" t="s">
        <v>484</v>
      </c>
      <c r="B62" s="1">
        <v>13</v>
      </c>
      <c r="C62" s="2">
        <v>0.84615384615384615</v>
      </c>
    </row>
    <row r="63" spans="1:3" x14ac:dyDescent="0.35">
      <c r="A63" t="s">
        <v>496</v>
      </c>
      <c r="B63" s="1">
        <v>13</v>
      </c>
      <c r="C63" s="2">
        <v>0.84615384615384615</v>
      </c>
    </row>
    <row r="64" spans="1:3" x14ac:dyDescent="0.35">
      <c r="A64" t="s">
        <v>375</v>
      </c>
      <c r="B64" s="1">
        <v>13</v>
      </c>
      <c r="C64" s="2">
        <v>0.84615384615384615</v>
      </c>
    </row>
    <row r="65" spans="1:3" x14ac:dyDescent="0.35">
      <c r="A65" t="s">
        <v>335</v>
      </c>
      <c r="B65" s="1">
        <v>13</v>
      </c>
      <c r="C65" s="2">
        <v>0.84615384615384615</v>
      </c>
    </row>
    <row r="66" spans="1:3" x14ac:dyDescent="0.35">
      <c r="A66" t="s">
        <v>262</v>
      </c>
      <c r="B66" s="1">
        <v>13</v>
      </c>
      <c r="C66" s="2">
        <v>0.84615384615384615</v>
      </c>
    </row>
    <row r="67" spans="1:3" x14ac:dyDescent="0.35">
      <c r="A67" t="s">
        <v>584</v>
      </c>
      <c r="B67" s="1">
        <v>13</v>
      </c>
      <c r="C67" s="2">
        <v>0.84615384615384615</v>
      </c>
    </row>
    <row r="68" spans="1:3" x14ac:dyDescent="0.35">
      <c r="A68" t="s">
        <v>209</v>
      </c>
      <c r="B68" s="1">
        <v>13</v>
      </c>
      <c r="C68" s="2">
        <v>0.84615384615384615</v>
      </c>
    </row>
    <row r="69" spans="1:3" x14ac:dyDescent="0.35">
      <c r="A69" t="s">
        <v>663</v>
      </c>
      <c r="B69" s="1">
        <v>13</v>
      </c>
      <c r="C69" s="2">
        <v>0.76923076923076927</v>
      </c>
    </row>
    <row r="70" spans="1:3" x14ac:dyDescent="0.35">
      <c r="A70" t="s">
        <v>575</v>
      </c>
      <c r="B70" s="1">
        <v>13</v>
      </c>
      <c r="C70" s="2">
        <v>0.76923076923076927</v>
      </c>
    </row>
    <row r="71" spans="1:3" x14ac:dyDescent="0.35">
      <c r="A71" t="s">
        <v>507</v>
      </c>
      <c r="B71" s="1">
        <v>13</v>
      </c>
      <c r="C71" s="2">
        <v>0.76923076923076927</v>
      </c>
    </row>
    <row r="72" spans="1:3" x14ac:dyDescent="0.35">
      <c r="A72" t="s">
        <v>567</v>
      </c>
      <c r="B72" s="1">
        <v>13</v>
      </c>
      <c r="C72" s="2">
        <v>0.76923076923076927</v>
      </c>
    </row>
    <row r="73" spans="1:3" x14ac:dyDescent="0.35">
      <c r="A73" t="s">
        <v>611</v>
      </c>
      <c r="B73" s="1">
        <v>13</v>
      </c>
      <c r="C73" s="2">
        <v>0.76923076923076927</v>
      </c>
    </row>
    <row r="74" spans="1:3" x14ac:dyDescent="0.35">
      <c r="A74" t="s">
        <v>26</v>
      </c>
      <c r="B74" s="1">
        <v>13</v>
      </c>
      <c r="C74" s="2">
        <v>0.76923076923076927</v>
      </c>
    </row>
    <row r="75" spans="1:3" x14ac:dyDescent="0.35">
      <c r="A75" t="s">
        <v>479</v>
      </c>
      <c r="B75" s="1">
        <v>13</v>
      </c>
      <c r="C75" s="2">
        <v>0.76923076923076927</v>
      </c>
    </row>
    <row r="76" spans="1:3" x14ac:dyDescent="0.35">
      <c r="A76" t="s">
        <v>247</v>
      </c>
      <c r="B76" s="1">
        <v>13</v>
      </c>
      <c r="C76" s="2">
        <v>0.69230769230769229</v>
      </c>
    </row>
    <row r="77" spans="1:3" x14ac:dyDescent="0.35">
      <c r="A77" t="s">
        <v>280</v>
      </c>
      <c r="B77" s="1">
        <v>13</v>
      </c>
      <c r="C77" s="2">
        <v>0.69230769230769229</v>
      </c>
    </row>
    <row r="78" spans="1:3" x14ac:dyDescent="0.35">
      <c r="A78" t="s">
        <v>458</v>
      </c>
      <c r="B78" s="1">
        <v>13</v>
      </c>
      <c r="C78" s="2">
        <v>0.69230769230769229</v>
      </c>
    </row>
    <row r="79" spans="1:3" x14ac:dyDescent="0.35">
      <c r="A79" t="s">
        <v>387</v>
      </c>
      <c r="B79" s="1">
        <v>13</v>
      </c>
      <c r="C79" s="2">
        <v>0.61538461538461542</v>
      </c>
    </row>
    <row r="80" spans="1:3" x14ac:dyDescent="0.35">
      <c r="A80" t="s">
        <v>592</v>
      </c>
      <c r="B80" s="1">
        <v>13</v>
      </c>
      <c r="C80" s="2">
        <v>0.61538461538461542</v>
      </c>
    </row>
    <row r="81" spans="1:3" x14ac:dyDescent="0.35">
      <c r="A81" t="s">
        <v>513</v>
      </c>
      <c r="B81" s="1">
        <v>13</v>
      </c>
      <c r="C81" s="2">
        <v>0.61538461538461542</v>
      </c>
    </row>
    <row r="82" spans="1:3" x14ac:dyDescent="0.35">
      <c r="A82" t="s">
        <v>73</v>
      </c>
      <c r="B82" s="1">
        <v>13</v>
      </c>
      <c r="C82" s="2">
        <v>0.53846153846153844</v>
      </c>
    </row>
    <row r="83" spans="1:3" x14ac:dyDescent="0.35">
      <c r="A83" t="s">
        <v>128</v>
      </c>
      <c r="B83" s="1">
        <v>13</v>
      </c>
      <c r="C83" s="2">
        <v>0.53846153846153844</v>
      </c>
    </row>
    <row r="84" spans="1:3" x14ac:dyDescent="0.35">
      <c r="A84" t="s">
        <v>667</v>
      </c>
      <c r="B84" s="1">
        <v>13</v>
      </c>
      <c r="C84" s="2">
        <v>0.46153846153846156</v>
      </c>
    </row>
    <row r="85" spans="1:3" x14ac:dyDescent="0.35">
      <c r="A85" t="s">
        <v>368</v>
      </c>
      <c r="B85" s="1">
        <v>13</v>
      </c>
      <c r="C85" s="2">
        <v>0.46153846153846156</v>
      </c>
    </row>
    <row r="86" spans="1:3" x14ac:dyDescent="0.35">
      <c r="A86" t="s">
        <v>385</v>
      </c>
      <c r="B86" s="1">
        <v>13</v>
      </c>
      <c r="C86" s="2">
        <v>0.30769230769230771</v>
      </c>
    </row>
    <row r="87" spans="1:3" x14ac:dyDescent="0.35">
      <c r="A87" t="s">
        <v>531</v>
      </c>
      <c r="B87" s="1">
        <v>13</v>
      </c>
      <c r="C87" s="2">
        <v>0.30769230769230771</v>
      </c>
    </row>
    <row r="88" spans="1:3" x14ac:dyDescent="0.35">
      <c r="A88" t="s">
        <v>637</v>
      </c>
      <c r="B88" s="1">
        <v>12</v>
      </c>
      <c r="C88" s="2">
        <v>1</v>
      </c>
    </row>
    <row r="89" spans="1:3" x14ac:dyDescent="0.35">
      <c r="A89" t="s">
        <v>635</v>
      </c>
      <c r="B89" s="1">
        <v>12</v>
      </c>
      <c r="C89" s="2">
        <v>1</v>
      </c>
    </row>
    <row r="90" spans="1:3" x14ac:dyDescent="0.35">
      <c r="A90" t="s">
        <v>361</v>
      </c>
      <c r="B90" s="1">
        <v>12</v>
      </c>
      <c r="C90" s="2">
        <v>1</v>
      </c>
    </row>
    <row r="91" spans="1:3" x14ac:dyDescent="0.35">
      <c r="A91" t="s">
        <v>639</v>
      </c>
      <c r="B91" s="1">
        <v>12</v>
      </c>
      <c r="C91" s="2">
        <v>1</v>
      </c>
    </row>
    <row r="92" spans="1:3" x14ac:dyDescent="0.35">
      <c r="A92" t="s">
        <v>325</v>
      </c>
      <c r="B92" s="1">
        <v>12</v>
      </c>
      <c r="C92" s="2">
        <v>1</v>
      </c>
    </row>
    <row r="93" spans="1:3" x14ac:dyDescent="0.35">
      <c r="A93" t="s">
        <v>284</v>
      </c>
      <c r="B93" s="1">
        <v>12</v>
      </c>
      <c r="C93" s="2">
        <v>1</v>
      </c>
    </row>
    <row r="94" spans="1:3" x14ac:dyDescent="0.35">
      <c r="A94" t="s">
        <v>389</v>
      </c>
      <c r="B94" s="1">
        <v>12</v>
      </c>
      <c r="C94" s="2">
        <v>1</v>
      </c>
    </row>
    <row r="95" spans="1:3" x14ac:dyDescent="0.35">
      <c r="A95" t="s">
        <v>628</v>
      </c>
      <c r="B95" s="1">
        <v>12</v>
      </c>
      <c r="C95" s="2">
        <v>1</v>
      </c>
    </row>
    <row r="96" spans="1:3" x14ac:dyDescent="0.35">
      <c r="A96" t="s">
        <v>166</v>
      </c>
      <c r="B96" s="1">
        <v>12</v>
      </c>
      <c r="C96" s="2">
        <v>1</v>
      </c>
    </row>
    <row r="97" spans="1:3" x14ac:dyDescent="0.35">
      <c r="A97" t="s">
        <v>243</v>
      </c>
      <c r="B97" s="1">
        <v>12</v>
      </c>
      <c r="C97" s="2">
        <v>1</v>
      </c>
    </row>
    <row r="98" spans="1:3" x14ac:dyDescent="0.35">
      <c r="A98" t="s">
        <v>475</v>
      </c>
      <c r="B98" s="1">
        <v>12</v>
      </c>
      <c r="C98" s="2">
        <v>0.91666666666666663</v>
      </c>
    </row>
    <row r="99" spans="1:3" x14ac:dyDescent="0.35">
      <c r="A99" t="s">
        <v>180</v>
      </c>
      <c r="B99" s="1">
        <v>12</v>
      </c>
      <c r="C99" s="2">
        <v>0.91666666666666663</v>
      </c>
    </row>
    <row r="100" spans="1:3" x14ac:dyDescent="0.35">
      <c r="A100" t="s">
        <v>61</v>
      </c>
      <c r="B100" s="1">
        <v>12</v>
      </c>
      <c r="C100" s="2">
        <v>0.83333333333333337</v>
      </c>
    </row>
    <row r="101" spans="1:3" x14ac:dyDescent="0.35">
      <c r="A101" t="s">
        <v>397</v>
      </c>
      <c r="B101" s="1">
        <v>12</v>
      </c>
      <c r="C101" s="2">
        <v>0.83333333333333337</v>
      </c>
    </row>
    <row r="102" spans="1:3" x14ac:dyDescent="0.35">
      <c r="A102" t="s">
        <v>650</v>
      </c>
      <c r="B102" s="1">
        <v>12</v>
      </c>
      <c r="C102" s="2">
        <v>0.83333333333333337</v>
      </c>
    </row>
    <row r="103" spans="1:3" x14ac:dyDescent="0.35">
      <c r="A103" t="s">
        <v>64</v>
      </c>
      <c r="B103" s="1">
        <v>12</v>
      </c>
      <c r="C103" s="2">
        <v>0.83333333333333337</v>
      </c>
    </row>
    <row r="104" spans="1:3" x14ac:dyDescent="0.35">
      <c r="A104" t="s">
        <v>486</v>
      </c>
      <c r="B104" s="1">
        <v>12</v>
      </c>
      <c r="C104" s="2">
        <v>0.75</v>
      </c>
    </row>
    <row r="105" spans="1:3" x14ac:dyDescent="0.35">
      <c r="A105" t="s">
        <v>450</v>
      </c>
      <c r="B105" s="1">
        <v>12</v>
      </c>
      <c r="C105" s="2">
        <v>0.75</v>
      </c>
    </row>
    <row r="106" spans="1:3" x14ac:dyDescent="0.35">
      <c r="A106" t="s">
        <v>151</v>
      </c>
      <c r="B106" s="1">
        <v>12</v>
      </c>
      <c r="C106" s="2">
        <v>0.66666666666666663</v>
      </c>
    </row>
    <row r="107" spans="1:3" x14ac:dyDescent="0.35">
      <c r="A107" t="s">
        <v>672</v>
      </c>
      <c r="B107" s="1">
        <v>12</v>
      </c>
      <c r="C107" s="2">
        <v>0.66666666666666663</v>
      </c>
    </row>
    <row r="108" spans="1:3" x14ac:dyDescent="0.35">
      <c r="A108" t="s">
        <v>409</v>
      </c>
      <c r="B108" s="1">
        <v>12</v>
      </c>
      <c r="C108" s="2">
        <v>0.58333333333333337</v>
      </c>
    </row>
    <row r="109" spans="1:3" x14ac:dyDescent="0.35">
      <c r="A109" t="s">
        <v>241</v>
      </c>
      <c r="B109" s="1">
        <v>12</v>
      </c>
      <c r="C109" s="2">
        <v>0.58333333333333337</v>
      </c>
    </row>
    <row r="110" spans="1:3" x14ac:dyDescent="0.35">
      <c r="A110" t="s">
        <v>576</v>
      </c>
      <c r="B110" s="1">
        <v>12</v>
      </c>
      <c r="C110" s="2">
        <v>0.58333333333333337</v>
      </c>
    </row>
    <row r="111" spans="1:3" x14ac:dyDescent="0.35">
      <c r="A111" t="s">
        <v>227</v>
      </c>
      <c r="B111" s="1">
        <v>12</v>
      </c>
      <c r="C111" s="2">
        <v>0.5</v>
      </c>
    </row>
    <row r="112" spans="1:3" x14ac:dyDescent="0.35">
      <c r="A112" t="s">
        <v>684</v>
      </c>
      <c r="B112" s="1">
        <v>12</v>
      </c>
      <c r="C112" s="2">
        <v>0.5</v>
      </c>
    </row>
    <row r="113" spans="1:3" x14ac:dyDescent="0.35">
      <c r="A113" t="s">
        <v>313</v>
      </c>
      <c r="B113" s="1">
        <v>12</v>
      </c>
      <c r="C113" s="2">
        <v>0.41666666666666669</v>
      </c>
    </row>
    <row r="114" spans="1:3" x14ac:dyDescent="0.35">
      <c r="A114" t="s">
        <v>321</v>
      </c>
      <c r="B114" s="1">
        <v>12</v>
      </c>
      <c r="C114" s="2">
        <v>0.41666666666666669</v>
      </c>
    </row>
    <row r="115" spans="1:3" x14ac:dyDescent="0.35">
      <c r="A115" t="s">
        <v>87</v>
      </c>
      <c r="B115" s="1">
        <v>12</v>
      </c>
      <c r="C115" s="2">
        <v>0.25</v>
      </c>
    </row>
    <row r="116" spans="1:3" x14ac:dyDescent="0.35">
      <c r="A116" t="s">
        <v>477</v>
      </c>
      <c r="B116" s="1">
        <v>12</v>
      </c>
      <c r="C116" s="2">
        <v>0.25</v>
      </c>
    </row>
    <row r="117" spans="1:3" x14ac:dyDescent="0.35">
      <c r="A117" t="s">
        <v>323</v>
      </c>
      <c r="B117" s="1">
        <v>12</v>
      </c>
      <c r="C117" s="2">
        <v>0.16666666666666666</v>
      </c>
    </row>
    <row r="118" spans="1:3" x14ac:dyDescent="0.35">
      <c r="A118" t="s">
        <v>289</v>
      </c>
      <c r="B118" s="1">
        <v>12</v>
      </c>
      <c r="C118" s="2">
        <v>0.16666666666666666</v>
      </c>
    </row>
    <row r="119" spans="1:3" x14ac:dyDescent="0.35">
      <c r="A119" t="s">
        <v>644</v>
      </c>
      <c r="B119" s="1">
        <v>12</v>
      </c>
      <c r="C119" s="2">
        <v>0.16666666666666666</v>
      </c>
    </row>
    <row r="120" spans="1:3" x14ac:dyDescent="0.35">
      <c r="A120" t="s">
        <v>686</v>
      </c>
      <c r="B120" s="1">
        <v>11</v>
      </c>
      <c r="C120" s="2">
        <v>1</v>
      </c>
    </row>
    <row r="121" spans="1:3" x14ac:dyDescent="0.35">
      <c r="A121" t="s">
        <v>600</v>
      </c>
      <c r="B121" s="1">
        <v>11</v>
      </c>
      <c r="C121" s="2">
        <v>1</v>
      </c>
    </row>
    <row r="122" spans="1:3" x14ac:dyDescent="0.35">
      <c r="A122" t="s">
        <v>401</v>
      </c>
      <c r="B122" s="1">
        <v>11</v>
      </c>
      <c r="C122" s="2">
        <v>1</v>
      </c>
    </row>
    <row r="123" spans="1:3" x14ac:dyDescent="0.35">
      <c r="A123" t="s">
        <v>572</v>
      </c>
      <c r="B123" s="1">
        <v>11</v>
      </c>
      <c r="C123" s="2">
        <v>1</v>
      </c>
    </row>
    <row r="124" spans="1:3" x14ac:dyDescent="0.35">
      <c r="A124" t="s">
        <v>250</v>
      </c>
      <c r="B124" s="1">
        <v>11</v>
      </c>
      <c r="C124" s="2">
        <v>0.90909090909090906</v>
      </c>
    </row>
    <row r="125" spans="1:3" x14ac:dyDescent="0.35">
      <c r="A125" t="s">
        <v>97</v>
      </c>
      <c r="B125" s="1">
        <v>11</v>
      </c>
      <c r="C125" s="2">
        <v>0.90909090909090906</v>
      </c>
    </row>
    <row r="126" spans="1:3" x14ac:dyDescent="0.35">
      <c r="A126" t="s">
        <v>206</v>
      </c>
      <c r="B126" s="1">
        <v>11</v>
      </c>
      <c r="C126" s="2">
        <v>0.90909090909090906</v>
      </c>
    </row>
    <row r="127" spans="1:3" x14ac:dyDescent="0.35">
      <c r="A127" t="s">
        <v>93</v>
      </c>
      <c r="B127" s="1">
        <v>11</v>
      </c>
      <c r="C127" s="2">
        <v>0.81818181818181823</v>
      </c>
    </row>
    <row r="128" spans="1:3" x14ac:dyDescent="0.35">
      <c r="A128" t="s">
        <v>113</v>
      </c>
      <c r="B128" s="1">
        <v>11</v>
      </c>
      <c r="C128" s="2">
        <v>0.81818181818181823</v>
      </c>
    </row>
    <row r="129" spans="1:3" x14ac:dyDescent="0.35">
      <c r="A129" t="s">
        <v>525</v>
      </c>
      <c r="B129" s="1">
        <v>11</v>
      </c>
      <c r="C129" s="2">
        <v>0.81818181818181823</v>
      </c>
    </row>
    <row r="130" spans="1:3" x14ac:dyDescent="0.35">
      <c r="A130" t="s">
        <v>170</v>
      </c>
      <c r="B130" s="1">
        <v>11</v>
      </c>
      <c r="C130" s="2">
        <v>0.72727272727272729</v>
      </c>
    </row>
    <row r="131" spans="1:3" x14ac:dyDescent="0.35">
      <c r="A131" t="s">
        <v>59</v>
      </c>
      <c r="B131" s="1">
        <v>11</v>
      </c>
      <c r="C131" s="2">
        <v>0.72727272727272729</v>
      </c>
    </row>
    <row r="132" spans="1:3" x14ac:dyDescent="0.35">
      <c r="A132" t="s">
        <v>132</v>
      </c>
      <c r="B132" s="1">
        <v>11</v>
      </c>
      <c r="C132" s="2">
        <v>0.63636363636363635</v>
      </c>
    </row>
    <row r="133" spans="1:3" x14ac:dyDescent="0.35">
      <c r="A133" t="s">
        <v>291</v>
      </c>
      <c r="B133" s="1">
        <v>11</v>
      </c>
      <c r="C133" s="2">
        <v>0.63636363636363635</v>
      </c>
    </row>
    <row r="134" spans="1:3" x14ac:dyDescent="0.35">
      <c r="A134" t="s">
        <v>78</v>
      </c>
      <c r="B134" s="1">
        <v>11</v>
      </c>
      <c r="C134" s="2">
        <v>0.63636363636363635</v>
      </c>
    </row>
    <row r="135" spans="1:3" x14ac:dyDescent="0.35">
      <c r="A135" t="s">
        <v>383</v>
      </c>
      <c r="B135" s="1">
        <v>11</v>
      </c>
      <c r="C135" s="2">
        <v>0.63636363636363635</v>
      </c>
    </row>
    <row r="136" spans="1:3" x14ac:dyDescent="0.35">
      <c r="A136" t="s">
        <v>282</v>
      </c>
      <c r="B136" s="1">
        <v>11</v>
      </c>
      <c r="C136" s="2">
        <v>0.63636363636363635</v>
      </c>
    </row>
    <row r="137" spans="1:3" x14ac:dyDescent="0.35">
      <c r="A137" t="s">
        <v>648</v>
      </c>
      <c r="B137" s="1">
        <v>11</v>
      </c>
      <c r="C137" s="2">
        <v>0.63636363636363635</v>
      </c>
    </row>
    <row r="138" spans="1:3" x14ac:dyDescent="0.35">
      <c r="A138" t="s">
        <v>317</v>
      </c>
      <c r="B138" s="1">
        <v>11</v>
      </c>
      <c r="C138" s="2">
        <v>0.54545454545454541</v>
      </c>
    </row>
    <row r="139" spans="1:3" x14ac:dyDescent="0.35">
      <c r="A139" t="s">
        <v>511</v>
      </c>
      <c r="B139" s="1">
        <v>11</v>
      </c>
      <c r="C139" s="2">
        <v>0.45454545454545453</v>
      </c>
    </row>
    <row r="140" spans="1:3" x14ac:dyDescent="0.35">
      <c r="A140" t="s">
        <v>556</v>
      </c>
      <c r="B140" s="1">
        <v>11</v>
      </c>
      <c r="C140" s="2">
        <v>0.45454545454545453</v>
      </c>
    </row>
    <row r="141" spans="1:3" x14ac:dyDescent="0.35">
      <c r="A141" t="s">
        <v>456</v>
      </c>
      <c r="B141" s="1">
        <v>11</v>
      </c>
      <c r="C141" s="2">
        <v>0.36363636363636365</v>
      </c>
    </row>
    <row r="142" spans="1:3" x14ac:dyDescent="0.35">
      <c r="A142" t="s">
        <v>109</v>
      </c>
      <c r="B142" s="1">
        <v>11</v>
      </c>
      <c r="C142" s="2">
        <v>0.27272727272727271</v>
      </c>
    </row>
    <row r="143" spans="1:3" x14ac:dyDescent="0.35">
      <c r="A143" t="s">
        <v>444</v>
      </c>
      <c r="B143" s="1">
        <v>11</v>
      </c>
      <c r="C143" s="2">
        <v>0.27272727272727271</v>
      </c>
    </row>
    <row r="144" spans="1:3" x14ac:dyDescent="0.35">
      <c r="A144" t="s">
        <v>529</v>
      </c>
      <c r="B144" s="1">
        <v>11</v>
      </c>
      <c r="C144" s="2">
        <v>9.0909090909090912E-2</v>
      </c>
    </row>
    <row r="145" spans="1:3" x14ac:dyDescent="0.35">
      <c r="A145" t="s">
        <v>535</v>
      </c>
      <c r="B145" s="1">
        <v>11</v>
      </c>
      <c r="C145" s="2">
        <v>9.0909090909090912E-2</v>
      </c>
    </row>
    <row r="146" spans="1:3" x14ac:dyDescent="0.35">
      <c r="A146" t="s">
        <v>161</v>
      </c>
      <c r="B146" s="1">
        <v>11</v>
      </c>
      <c r="C146" s="2">
        <v>9.0909090909090912E-2</v>
      </c>
    </row>
    <row r="147" spans="1:3" x14ac:dyDescent="0.35">
      <c r="A147" t="s">
        <v>490</v>
      </c>
      <c r="B147" s="1">
        <v>10</v>
      </c>
      <c r="C147" s="2">
        <v>1</v>
      </c>
    </row>
    <row r="148" spans="1:3" x14ac:dyDescent="0.35">
      <c r="A148" t="s">
        <v>343</v>
      </c>
      <c r="B148" s="1">
        <v>10</v>
      </c>
      <c r="C148" s="2">
        <v>1</v>
      </c>
    </row>
    <row r="149" spans="1:3" x14ac:dyDescent="0.35">
      <c r="A149" t="s">
        <v>142</v>
      </c>
      <c r="B149" s="1">
        <v>10</v>
      </c>
      <c r="C149" s="2">
        <v>1</v>
      </c>
    </row>
    <row r="150" spans="1:3" x14ac:dyDescent="0.35">
      <c r="A150" t="s">
        <v>646</v>
      </c>
      <c r="B150" s="1">
        <v>10</v>
      </c>
      <c r="C150" s="2">
        <v>1</v>
      </c>
    </row>
    <row r="151" spans="1:3" x14ac:dyDescent="0.35">
      <c r="A151" t="s">
        <v>236</v>
      </c>
      <c r="B151" s="1">
        <v>10</v>
      </c>
      <c r="C151" s="2">
        <v>1</v>
      </c>
    </row>
    <row r="152" spans="1:3" x14ac:dyDescent="0.35">
      <c r="A152" t="s">
        <v>379</v>
      </c>
      <c r="B152" s="1">
        <v>10</v>
      </c>
      <c r="C152" s="2">
        <v>1</v>
      </c>
    </row>
    <row r="153" spans="1:3" x14ac:dyDescent="0.35">
      <c r="A153" t="s">
        <v>311</v>
      </c>
      <c r="B153" s="1">
        <v>10</v>
      </c>
      <c r="C153" s="2">
        <v>1</v>
      </c>
    </row>
    <row r="154" spans="1:3" x14ac:dyDescent="0.35">
      <c r="A154" t="s">
        <v>341</v>
      </c>
      <c r="B154" s="1">
        <v>10</v>
      </c>
      <c r="C154" s="2">
        <v>0.9</v>
      </c>
    </row>
    <row r="155" spans="1:3" x14ac:dyDescent="0.35">
      <c r="A155" t="s">
        <v>302</v>
      </c>
      <c r="B155" s="1">
        <v>10</v>
      </c>
      <c r="C155" s="2">
        <v>0.9</v>
      </c>
    </row>
    <row r="156" spans="1:3" x14ac:dyDescent="0.35">
      <c r="A156" t="s">
        <v>353</v>
      </c>
      <c r="B156" s="1">
        <v>10</v>
      </c>
      <c r="C156" s="2">
        <v>0.9</v>
      </c>
    </row>
    <row r="157" spans="1:3" x14ac:dyDescent="0.35">
      <c r="A157" t="s">
        <v>89</v>
      </c>
      <c r="B157" s="1">
        <v>10</v>
      </c>
      <c r="C157" s="2">
        <v>0.9</v>
      </c>
    </row>
    <row r="158" spans="1:3" x14ac:dyDescent="0.35">
      <c r="A158" t="s">
        <v>633</v>
      </c>
      <c r="B158" s="1">
        <v>10</v>
      </c>
      <c r="C158" s="2">
        <v>0.9</v>
      </c>
    </row>
    <row r="159" spans="1:3" x14ac:dyDescent="0.35">
      <c r="A159" t="s">
        <v>339</v>
      </c>
      <c r="B159" s="1">
        <v>10</v>
      </c>
      <c r="C159" s="2">
        <v>0.9</v>
      </c>
    </row>
    <row r="160" spans="1:3" x14ac:dyDescent="0.35">
      <c r="A160" t="s">
        <v>544</v>
      </c>
      <c r="B160" s="1">
        <v>10</v>
      </c>
      <c r="C160" s="2">
        <v>0.9</v>
      </c>
    </row>
    <row r="161" spans="1:3" x14ac:dyDescent="0.35">
      <c r="A161" t="s">
        <v>619</v>
      </c>
      <c r="B161" s="1">
        <v>10</v>
      </c>
      <c r="C161" s="2">
        <v>0.8</v>
      </c>
    </row>
    <row r="162" spans="1:3" x14ac:dyDescent="0.35">
      <c r="A162" t="s">
        <v>466</v>
      </c>
      <c r="B162" s="1">
        <v>10</v>
      </c>
      <c r="C162" s="2">
        <v>0.8</v>
      </c>
    </row>
    <row r="163" spans="1:3" x14ac:dyDescent="0.35">
      <c r="A163" t="s">
        <v>331</v>
      </c>
      <c r="B163" s="1">
        <v>10</v>
      </c>
      <c r="C163" s="2">
        <v>0.8</v>
      </c>
    </row>
    <row r="164" spans="1:3" x14ac:dyDescent="0.35">
      <c r="A164" t="s">
        <v>669</v>
      </c>
      <c r="B164" s="1">
        <v>10</v>
      </c>
      <c r="C164" s="2">
        <v>0.8</v>
      </c>
    </row>
    <row r="165" spans="1:3" x14ac:dyDescent="0.35">
      <c r="A165" t="s">
        <v>626</v>
      </c>
      <c r="B165" s="1">
        <v>10</v>
      </c>
      <c r="C165" s="2">
        <v>0.7</v>
      </c>
    </row>
    <row r="166" spans="1:3" x14ac:dyDescent="0.35">
      <c r="A166" t="s">
        <v>268</v>
      </c>
      <c r="B166" s="1">
        <v>10</v>
      </c>
      <c r="C166" s="2">
        <v>0.7</v>
      </c>
    </row>
    <row r="167" spans="1:3" x14ac:dyDescent="0.35">
      <c r="A167" t="s">
        <v>606</v>
      </c>
      <c r="B167" s="1">
        <v>10</v>
      </c>
      <c r="C167" s="2">
        <v>0.7</v>
      </c>
    </row>
    <row r="168" spans="1:3" x14ac:dyDescent="0.35">
      <c r="A168" t="s">
        <v>119</v>
      </c>
      <c r="B168" s="1">
        <v>10</v>
      </c>
      <c r="C168" s="2">
        <v>0.7</v>
      </c>
    </row>
    <row r="169" spans="1:3" x14ac:dyDescent="0.35">
      <c r="A169" t="s">
        <v>307</v>
      </c>
      <c r="B169" s="1">
        <v>10</v>
      </c>
      <c r="C169" s="2">
        <v>0.7</v>
      </c>
    </row>
    <row r="170" spans="1:3" x14ac:dyDescent="0.35">
      <c r="A170" t="s">
        <v>523</v>
      </c>
      <c r="B170" s="1">
        <v>10</v>
      </c>
      <c r="C170" s="2">
        <v>0.6</v>
      </c>
    </row>
    <row r="171" spans="1:3" x14ac:dyDescent="0.35">
      <c r="A171" t="s">
        <v>319</v>
      </c>
      <c r="B171" s="1">
        <v>10</v>
      </c>
      <c r="C171" s="2">
        <v>0.6</v>
      </c>
    </row>
    <row r="172" spans="1:3" x14ac:dyDescent="0.35">
      <c r="A172" t="s">
        <v>548</v>
      </c>
      <c r="B172" s="1">
        <v>10</v>
      </c>
      <c r="C172" s="2">
        <v>0.4</v>
      </c>
    </row>
    <row r="173" spans="1:3" x14ac:dyDescent="0.35">
      <c r="A173" t="s">
        <v>300</v>
      </c>
      <c r="B173" s="1">
        <v>10</v>
      </c>
      <c r="C173" s="2">
        <v>0.4</v>
      </c>
    </row>
    <row r="174" spans="1:3" x14ac:dyDescent="0.35">
      <c r="A174" t="s">
        <v>31</v>
      </c>
      <c r="B174" s="1">
        <v>10</v>
      </c>
      <c r="C174" s="2">
        <v>0.4</v>
      </c>
    </row>
    <row r="175" spans="1:3" x14ac:dyDescent="0.35">
      <c r="A175" t="s">
        <v>35</v>
      </c>
      <c r="B175" s="1">
        <v>10</v>
      </c>
      <c r="C175" s="2">
        <v>0.4</v>
      </c>
    </row>
    <row r="176" spans="1:3" x14ac:dyDescent="0.35">
      <c r="A176" t="s">
        <v>391</v>
      </c>
      <c r="B176" s="1">
        <v>10</v>
      </c>
      <c r="C176" s="2">
        <v>0.4</v>
      </c>
    </row>
    <row r="177" spans="1:3" x14ac:dyDescent="0.35">
      <c r="A177" t="s">
        <v>569</v>
      </c>
      <c r="B177" s="1">
        <v>10</v>
      </c>
      <c r="C177" s="2">
        <v>0.4</v>
      </c>
    </row>
    <row r="178" spans="1:3" x14ac:dyDescent="0.35">
      <c r="A178" t="s">
        <v>213</v>
      </c>
      <c r="B178" s="1">
        <v>10</v>
      </c>
      <c r="C178" s="2">
        <v>0.3</v>
      </c>
    </row>
    <row r="179" spans="1:3" x14ac:dyDescent="0.35">
      <c r="A179" t="s">
        <v>48</v>
      </c>
      <c r="B179" s="1">
        <v>10</v>
      </c>
      <c r="C179" s="2">
        <v>0.1</v>
      </c>
    </row>
    <row r="180" spans="1:3" x14ac:dyDescent="0.35">
      <c r="A180" t="s">
        <v>350</v>
      </c>
      <c r="B180" s="1">
        <v>10</v>
      </c>
      <c r="C180" s="2">
        <v>0</v>
      </c>
    </row>
    <row r="181" spans="1:3" x14ac:dyDescent="0.35">
      <c r="A181" t="s">
        <v>514</v>
      </c>
      <c r="B181" s="1">
        <v>9</v>
      </c>
      <c r="C181" s="2">
        <v>1</v>
      </c>
    </row>
    <row r="182" spans="1:3" x14ac:dyDescent="0.35">
      <c r="A182" t="s">
        <v>503</v>
      </c>
      <c r="B182" s="1">
        <v>9</v>
      </c>
      <c r="C182" s="2">
        <v>1</v>
      </c>
    </row>
    <row r="183" spans="1:3" x14ac:dyDescent="0.35">
      <c r="A183" t="s">
        <v>202</v>
      </c>
      <c r="B183" s="1">
        <v>9</v>
      </c>
      <c r="C183" s="2">
        <v>0.88888888888888884</v>
      </c>
    </row>
    <row r="184" spans="1:3" x14ac:dyDescent="0.35">
      <c r="A184" t="s">
        <v>550</v>
      </c>
      <c r="B184" s="1">
        <v>9</v>
      </c>
      <c r="C184" s="2">
        <v>0.88888888888888884</v>
      </c>
    </row>
    <row r="185" spans="1:3" x14ac:dyDescent="0.35">
      <c r="A185" t="s">
        <v>264</v>
      </c>
      <c r="B185" s="1">
        <v>9</v>
      </c>
      <c r="C185" s="2">
        <v>0.88888888888888884</v>
      </c>
    </row>
    <row r="186" spans="1:3" x14ac:dyDescent="0.35">
      <c r="A186" t="s">
        <v>363</v>
      </c>
      <c r="B186" s="1">
        <v>9</v>
      </c>
      <c r="C186" s="2">
        <v>0.83333333333333337</v>
      </c>
    </row>
    <row r="187" spans="1:3" x14ac:dyDescent="0.35">
      <c r="A187" t="s">
        <v>370</v>
      </c>
      <c r="B187" s="1">
        <v>9</v>
      </c>
      <c r="C187" s="2">
        <v>0.77777777777777779</v>
      </c>
    </row>
    <row r="188" spans="1:3" x14ac:dyDescent="0.35">
      <c r="A188" t="s">
        <v>80</v>
      </c>
      <c r="B188" s="1">
        <v>9</v>
      </c>
      <c r="C188" s="2">
        <v>0.77777777777777779</v>
      </c>
    </row>
    <row r="189" spans="1:3" x14ac:dyDescent="0.35">
      <c r="A189" t="s">
        <v>70</v>
      </c>
      <c r="B189" s="1">
        <v>9</v>
      </c>
      <c r="C189" s="2">
        <v>0.66666666666666663</v>
      </c>
    </row>
    <row r="190" spans="1:3" x14ac:dyDescent="0.35">
      <c r="A190" t="s">
        <v>256</v>
      </c>
      <c r="B190" s="1">
        <v>9</v>
      </c>
      <c r="C190" s="2">
        <v>0.66666666666666663</v>
      </c>
    </row>
    <row r="191" spans="1:3" x14ac:dyDescent="0.35">
      <c r="A191" t="s">
        <v>185</v>
      </c>
      <c r="B191" s="1">
        <v>9</v>
      </c>
      <c r="C191" s="2">
        <v>0.55555555555555558</v>
      </c>
    </row>
    <row r="192" spans="1:3" x14ac:dyDescent="0.35">
      <c r="A192" t="s">
        <v>365</v>
      </c>
      <c r="B192" s="1">
        <v>9</v>
      </c>
      <c r="C192" s="2">
        <v>0.55555555555555558</v>
      </c>
    </row>
    <row r="193" spans="1:3" x14ac:dyDescent="0.35">
      <c r="A193" t="s">
        <v>130</v>
      </c>
      <c r="B193" s="1">
        <v>9</v>
      </c>
      <c r="C193" s="2">
        <v>0.44444444444444442</v>
      </c>
    </row>
    <row r="194" spans="1:3" x14ac:dyDescent="0.35">
      <c r="A194" t="s">
        <v>219</v>
      </c>
      <c r="B194" s="1">
        <v>9</v>
      </c>
      <c r="C194" s="2">
        <v>0.44444444444444442</v>
      </c>
    </row>
    <row r="195" spans="1:3" x14ac:dyDescent="0.35">
      <c r="A195" t="s">
        <v>542</v>
      </c>
      <c r="B195" s="1">
        <v>9</v>
      </c>
      <c r="C195" s="2">
        <v>0.33333333333333331</v>
      </c>
    </row>
    <row r="196" spans="1:3" x14ac:dyDescent="0.35">
      <c r="A196" t="s">
        <v>537</v>
      </c>
      <c r="B196" s="1">
        <v>9</v>
      </c>
      <c r="C196" s="2">
        <v>0.33333333333333331</v>
      </c>
    </row>
    <row r="197" spans="1:3" x14ac:dyDescent="0.35">
      <c r="A197" t="s">
        <v>631</v>
      </c>
      <c r="B197" s="1">
        <v>9</v>
      </c>
      <c r="C197" s="2">
        <v>0</v>
      </c>
    </row>
    <row r="198" spans="1:3" x14ac:dyDescent="0.35">
      <c r="A198" t="s">
        <v>136</v>
      </c>
      <c r="B198" s="1">
        <v>8</v>
      </c>
      <c r="C198" s="2">
        <v>1</v>
      </c>
    </row>
    <row r="199" spans="1:3" x14ac:dyDescent="0.35">
      <c r="A199" t="s">
        <v>516</v>
      </c>
      <c r="B199" s="1">
        <v>8</v>
      </c>
      <c r="C199" s="2">
        <v>1</v>
      </c>
    </row>
    <row r="200" spans="1:3" x14ac:dyDescent="0.35">
      <c r="A200" t="s">
        <v>359</v>
      </c>
      <c r="B200" s="1">
        <v>8</v>
      </c>
      <c r="C200" s="2">
        <v>1</v>
      </c>
    </row>
    <row r="201" spans="1:3" x14ac:dyDescent="0.35">
      <c r="A201" t="s">
        <v>670</v>
      </c>
      <c r="B201" s="1">
        <v>8</v>
      </c>
      <c r="C201" s="2">
        <v>0.875</v>
      </c>
    </row>
    <row r="202" spans="1:3" x14ac:dyDescent="0.35">
      <c r="A202" t="s">
        <v>231</v>
      </c>
      <c r="B202" s="1">
        <v>8</v>
      </c>
      <c r="C202" s="2">
        <v>0.875</v>
      </c>
    </row>
    <row r="203" spans="1:3" x14ac:dyDescent="0.35">
      <c r="A203" t="s">
        <v>178</v>
      </c>
      <c r="B203" s="1">
        <v>8</v>
      </c>
      <c r="C203" s="2">
        <v>0.875</v>
      </c>
    </row>
    <row r="204" spans="1:3" x14ac:dyDescent="0.35">
      <c r="A204" t="s">
        <v>111</v>
      </c>
      <c r="B204" s="1">
        <v>8</v>
      </c>
      <c r="C204" s="2">
        <v>0.625</v>
      </c>
    </row>
    <row r="205" spans="1:3" x14ac:dyDescent="0.35">
      <c r="A205" t="s">
        <v>608</v>
      </c>
      <c r="B205" s="1">
        <v>8</v>
      </c>
      <c r="C205" s="2">
        <v>0.5</v>
      </c>
    </row>
    <row r="206" spans="1:3" x14ac:dyDescent="0.35">
      <c r="A206" t="s">
        <v>468</v>
      </c>
      <c r="B206" s="1">
        <v>8</v>
      </c>
      <c r="C206" s="2">
        <v>0.5</v>
      </c>
    </row>
    <row r="207" spans="1:3" x14ac:dyDescent="0.35">
      <c r="A207" t="s">
        <v>682</v>
      </c>
      <c r="B207" s="1">
        <v>8</v>
      </c>
      <c r="C207" s="2">
        <v>0.5</v>
      </c>
    </row>
    <row r="208" spans="1:3" x14ac:dyDescent="0.35">
      <c r="A208" t="s">
        <v>407</v>
      </c>
      <c r="B208" s="1">
        <v>8</v>
      </c>
      <c r="C208" s="2">
        <v>0.5</v>
      </c>
    </row>
    <row r="209" spans="1:3" x14ac:dyDescent="0.35">
      <c r="A209" t="s">
        <v>56</v>
      </c>
      <c r="B209" s="1">
        <v>8</v>
      </c>
      <c r="C209" s="2">
        <v>0.375</v>
      </c>
    </row>
    <row r="210" spans="1:3" x14ac:dyDescent="0.35">
      <c r="A210" t="s">
        <v>430</v>
      </c>
      <c r="B210" s="1">
        <v>8</v>
      </c>
      <c r="C210" s="2">
        <v>0.25</v>
      </c>
    </row>
    <row r="211" spans="1:3" x14ac:dyDescent="0.35">
      <c r="A211" t="s">
        <v>615</v>
      </c>
      <c r="B211" s="1">
        <v>8</v>
      </c>
      <c r="C211" s="2">
        <v>0.125</v>
      </c>
    </row>
    <row r="212" spans="1:3" x14ac:dyDescent="0.35">
      <c r="A212" t="s">
        <v>214</v>
      </c>
      <c r="B212" s="1">
        <v>8</v>
      </c>
      <c r="C212" s="2">
        <v>0</v>
      </c>
    </row>
    <row r="213" spans="1:3" x14ac:dyDescent="0.35">
      <c r="A213" t="s">
        <v>172</v>
      </c>
      <c r="B213" s="1">
        <v>7</v>
      </c>
      <c r="C213" s="2">
        <v>1</v>
      </c>
    </row>
    <row r="214" spans="1:3" x14ac:dyDescent="0.35">
      <c r="A214" t="s">
        <v>117</v>
      </c>
      <c r="B214" s="1">
        <v>7</v>
      </c>
      <c r="C214" s="2">
        <v>1</v>
      </c>
    </row>
    <row r="215" spans="1:3" x14ac:dyDescent="0.35">
      <c r="A215" t="s">
        <v>121</v>
      </c>
      <c r="B215" s="1">
        <v>7</v>
      </c>
      <c r="C215" s="2">
        <v>1</v>
      </c>
    </row>
    <row r="216" spans="1:3" x14ac:dyDescent="0.35">
      <c r="A216" t="s">
        <v>624</v>
      </c>
      <c r="B216" s="1">
        <v>7</v>
      </c>
      <c r="C216" s="2">
        <v>1</v>
      </c>
    </row>
    <row r="217" spans="1:3" x14ac:dyDescent="0.35">
      <c r="A217" t="s">
        <v>533</v>
      </c>
      <c r="B217" s="1">
        <v>7</v>
      </c>
      <c r="C217" s="2">
        <v>0.8571428571428571</v>
      </c>
    </row>
    <row r="218" spans="1:3" x14ac:dyDescent="0.35">
      <c r="A218" t="s">
        <v>245</v>
      </c>
      <c r="B218" s="1">
        <v>7</v>
      </c>
      <c r="C218" s="2">
        <v>0.8571428571428571</v>
      </c>
    </row>
    <row r="219" spans="1:3" x14ac:dyDescent="0.35">
      <c r="A219" t="s">
        <v>623</v>
      </c>
      <c r="B219" s="1">
        <v>7</v>
      </c>
      <c r="C219" s="2">
        <v>0.5714285714285714</v>
      </c>
    </row>
    <row r="220" spans="1:3" x14ac:dyDescent="0.35">
      <c r="A220" t="s">
        <v>436</v>
      </c>
      <c r="B220" s="1">
        <v>7</v>
      </c>
      <c r="C220" s="2">
        <v>0.42857142857142855</v>
      </c>
    </row>
    <row r="221" spans="1:3" x14ac:dyDescent="0.35">
      <c r="A221" t="s">
        <v>560</v>
      </c>
      <c r="B221" s="1">
        <v>7</v>
      </c>
      <c r="C221" s="2">
        <v>0.2857142857142857</v>
      </c>
    </row>
    <row r="222" spans="1:3" x14ac:dyDescent="0.35">
      <c r="A222" t="s">
        <v>222</v>
      </c>
      <c r="B222" s="1">
        <v>7</v>
      </c>
      <c r="C222" s="2">
        <v>0.2857142857142857</v>
      </c>
    </row>
    <row r="223" spans="1:3" x14ac:dyDescent="0.35">
      <c r="A223" t="s">
        <v>124</v>
      </c>
      <c r="B223" s="1">
        <v>7</v>
      </c>
      <c r="C223" s="2">
        <v>0.2857142857142857</v>
      </c>
    </row>
    <row r="224" spans="1:3" x14ac:dyDescent="0.35">
      <c r="A224" t="s">
        <v>215</v>
      </c>
      <c r="B224" s="1">
        <v>7</v>
      </c>
      <c r="C224" s="2">
        <v>0.14285714285714285</v>
      </c>
    </row>
    <row r="225" spans="1:3" x14ac:dyDescent="0.35">
      <c r="A225" t="s">
        <v>554</v>
      </c>
      <c r="B225" s="1">
        <v>7</v>
      </c>
      <c r="C225" s="2">
        <v>0.14285714285714285</v>
      </c>
    </row>
    <row r="226" spans="1:3" x14ac:dyDescent="0.35">
      <c r="A226" t="s">
        <v>145</v>
      </c>
      <c r="B226" s="1">
        <v>7</v>
      </c>
      <c r="C226" s="2">
        <v>0.14285714285714285</v>
      </c>
    </row>
    <row r="227" spans="1:3" x14ac:dyDescent="0.35">
      <c r="A227" t="s">
        <v>163</v>
      </c>
      <c r="B227" s="1">
        <v>7</v>
      </c>
      <c r="C227" s="2">
        <v>0.14285714285714285</v>
      </c>
    </row>
    <row r="228" spans="1:3" x14ac:dyDescent="0.35">
      <c r="A228" t="s">
        <v>272</v>
      </c>
      <c r="B228" s="1">
        <v>7</v>
      </c>
      <c r="C228" s="2">
        <v>0.14285714285714285</v>
      </c>
    </row>
    <row r="229" spans="1:3" x14ac:dyDescent="0.35">
      <c r="A229" t="s">
        <v>234</v>
      </c>
      <c r="B229" s="1">
        <v>7</v>
      </c>
      <c r="C229" s="2">
        <v>0</v>
      </c>
    </row>
    <row r="230" spans="1:3" x14ac:dyDescent="0.35">
      <c r="A230" t="s">
        <v>403</v>
      </c>
      <c r="B230" s="1">
        <v>6</v>
      </c>
      <c r="C230" s="2">
        <v>1</v>
      </c>
    </row>
    <row r="231" spans="1:3" x14ac:dyDescent="0.35">
      <c r="A231" t="s">
        <v>67</v>
      </c>
      <c r="B231" s="1">
        <v>6</v>
      </c>
      <c r="C231" s="2">
        <v>1</v>
      </c>
    </row>
    <row r="232" spans="1:3" x14ac:dyDescent="0.35">
      <c r="A232" t="s">
        <v>103</v>
      </c>
      <c r="B232" s="1">
        <v>6</v>
      </c>
      <c r="C232" s="2">
        <v>1</v>
      </c>
    </row>
    <row r="233" spans="1:3" x14ac:dyDescent="0.35">
      <c r="A233" t="s">
        <v>309</v>
      </c>
      <c r="B233" s="1">
        <v>6</v>
      </c>
      <c r="C233" s="2">
        <v>0.66666666666666663</v>
      </c>
    </row>
    <row r="234" spans="1:3" x14ac:dyDescent="0.35">
      <c r="A234" t="s">
        <v>578</v>
      </c>
      <c r="B234" s="1">
        <v>6</v>
      </c>
      <c r="C234" s="2">
        <v>0.66666666666666663</v>
      </c>
    </row>
    <row r="235" spans="1:3" x14ac:dyDescent="0.35">
      <c r="A235" t="s">
        <v>661</v>
      </c>
      <c r="B235" s="1">
        <v>6</v>
      </c>
      <c r="C235" s="2">
        <v>0.5</v>
      </c>
    </row>
    <row r="236" spans="1:3" x14ac:dyDescent="0.35">
      <c r="A236" t="s">
        <v>304</v>
      </c>
      <c r="B236" s="1">
        <v>6</v>
      </c>
      <c r="C236" s="2">
        <v>0.5</v>
      </c>
    </row>
    <row r="237" spans="1:3" x14ac:dyDescent="0.35">
      <c r="A237" t="s">
        <v>617</v>
      </c>
      <c r="B237" s="1">
        <v>6</v>
      </c>
      <c r="C237" s="2">
        <v>0.33333333333333331</v>
      </c>
    </row>
    <row r="238" spans="1:3" x14ac:dyDescent="0.35">
      <c r="A238" t="s">
        <v>40</v>
      </c>
      <c r="B238" s="1">
        <v>6</v>
      </c>
      <c r="C238" s="2">
        <v>0.16666666666666666</v>
      </c>
    </row>
    <row r="239" spans="1:3" x14ac:dyDescent="0.35">
      <c r="A239" t="s">
        <v>539</v>
      </c>
      <c r="B239" s="1">
        <v>6</v>
      </c>
      <c r="C239" s="2">
        <v>0.16666666666666666</v>
      </c>
    </row>
    <row r="240" spans="1:3" x14ac:dyDescent="0.35">
      <c r="A240" t="s">
        <v>174</v>
      </c>
      <c r="B240" s="1">
        <v>6</v>
      </c>
      <c r="C240" s="2">
        <v>0</v>
      </c>
    </row>
    <row r="241" spans="1:3" x14ac:dyDescent="0.35">
      <c r="A241" t="s">
        <v>188</v>
      </c>
      <c r="B241" s="1">
        <v>6</v>
      </c>
      <c r="C241" s="2">
        <v>0</v>
      </c>
    </row>
    <row r="242" spans="1:3" x14ac:dyDescent="0.35">
      <c r="A242" t="s">
        <v>596</v>
      </c>
      <c r="B242" s="1">
        <v>6</v>
      </c>
      <c r="C242" s="2">
        <v>0</v>
      </c>
    </row>
    <row r="243" spans="1:3" x14ac:dyDescent="0.35">
      <c r="A243" t="s">
        <v>295</v>
      </c>
      <c r="B243" s="1">
        <v>6</v>
      </c>
      <c r="C243" s="2">
        <v>0</v>
      </c>
    </row>
    <row r="244" spans="1:3" x14ac:dyDescent="0.35">
      <c r="A244" t="s">
        <v>674</v>
      </c>
      <c r="B244" s="1">
        <v>6</v>
      </c>
      <c r="C244" s="2">
        <v>0</v>
      </c>
    </row>
    <row r="245" spans="1:3" x14ac:dyDescent="0.35">
      <c r="A245" t="s">
        <v>604</v>
      </c>
      <c r="B245" s="1">
        <v>5</v>
      </c>
      <c r="C245" s="2">
        <v>1</v>
      </c>
    </row>
    <row r="246" spans="1:3" x14ac:dyDescent="0.35">
      <c r="A246" t="s">
        <v>95</v>
      </c>
      <c r="B246" s="1">
        <v>5</v>
      </c>
      <c r="C246" s="2">
        <v>0.8</v>
      </c>
    </row>
    <row r="247" spans="1:3" x14ac:dyDescent="0.35">
      <c r="A247" t="s">
        <v>452</v>
      </c>
      <c r="B247" s="1">
        <v>5</v>
      </c>
      <c r="C247" s="2">
        <v>0.6</v>
      </c>
    </row>
    <row r="248" spans="1:3" x14ac:dyDescent="0.35">
      <c r="A248" t="s">
        <v>582</v>
      </c>
      <c r="B248" s="1">
        <v>5</v>
      </c>
      <c r="C248" s="2">
        <v>0.6</v>
      </c>
    </row>
    <row r="249" spans="1:3" x14ac:dyDescent="0.35">
      <c r="A249" t="s">
        <v>253</v>
      </c>
      <c r="B249" s="1">
        <v>5</v>
      </c>
      <c r="C249" s="2">
        <v>0.4</v>
      </c>
    </row>
    <row r="250" spans="1:3" x14ac:dyDescent="0.35">
      <c r="A250" t="s">
        <v>654</v>
      </c>
      <c r="B250" s="1">
        <v>5</v>
      </c>
      <c r="C250" s="2">
        <v>0.2</v>
      </c>
    </row>
    <row r="251" spans="1:3" x14ac:dyDescent="0.35">
      <c r="A251" t="s">
        <v>423</v>
      </c>
      <c r="B251" s="1">
        <v>5</v>
      </c>
      <c r="C251" s="2">
        <v>0.2</v>
      </c>
    </row>
    <row r="252" spans="1:3" x14ac:dyDescent="0.35">
      <c r="A252" t="s">
        <v>286</v>
      </c>
      <c r="B252" s="1">
        <v>5</v>
      </c>
      <c r="C252" s="2">
        <v>0</v>
      </c>
    </row>
    <row r="253" spans="1:3" x14ac:dyDescent="0.35">
      <c r="A253" t="s">
        <v>520</v>
      </c>
      <c r="B253" s="1">
        <v>5</v>
      </c>
      <c r="C253" s="2">
        <v>0</v>
      </c>
    </row>
    <row r="254" spans="1:3" x14ac:dyDescent="0.35">
      <c r="A254" t="s">
        <v>176</v>
      </c>
      <c r="B254" s="1">
        <v>5</v>
      </c>
      <c r="C254" s="2">
        <v>0</v>
      </c>
    </row>
    <row r="255" spans="1:3" x14ac:dyDescent="0.35">
      <c r="A255" t="s">
        <v>355</v>
      </c>
      <c r="B255" s="1">
        <v>5</v>
      </c>
      <c r="C255" s="2">
        <v>0</v>
      </c>
    </row>
    <row r="256" spans="1:3" x14ac:dyDescent="0.35">
      <c r="A256" t="s">
        <v>413</v>
      </c>
      <c r="B256" s="1">
        <v>4</v>
      </c>
      <c r="C256" s="2">
        <v>0.75</v>
      </c>
    </row>
    <row r="257" spans="1:3" x14ac:dyDescent="0.35">
      <c r="A257" t="s">
        <v>115</v>
      </c>
      <c r="B257" s="1">
        <v>4</v>
      </c>
      <c r="C257" s="2">
        <v>0.75</v>
      </c>
    </row>
    <row r="258" spans="1:3" x14ac:dyDescent="0.35">
      <c r="A258" t="s">
        <v>454</v>
      </c>
      <c r="B258" s="1">
        <v>4</v>
      </c>
      <c r="C258" s="2">
        <v>0.75</v>
      </c>
    </row>
    <row r="259" spans="1:3" x14ac:dyDescent="0.35">
      <c r="A259" t="s">
        <v>238</v>
      </c>
      <c r="B259" s="1">
        <v>4</v>
      </c>
      <c r="C259" s="2">
        <v>0.5</v>
      </c>
    </row>
    <row r="260" spans="1:3" x14ac:dyDescent="0.35">
      <c r="A260" t="s">
        <v>473</v>
      </c>
      <c r="B260" s="1">
        <v>4</v>
      </c>
      <c r="C260" s="2">
        <v>0.5</v>
      </c>
    </row>
    <row r="261" spans="1:3" x14ac:dyDescent="0.35">
      <c r="A261" t="s">
        <v>464</v>
      </c>
      <c r="B261" s="1">
        <v>4</v>
      </c>
      <c r="C261" s="2">
        <v>0.5</v>
      </c>
    </row>
    <row r="262" spans="1:3" x14ac:dyDescent="0.35">
      <c r="A262" t="s">
        <v>156</v>
      </c>
      <c r="B262" s="1">
        <v>4</v>
      </c>
      <c r="C262" s="2">
        <v>0.5</v>
      </c>
    </row>
    <row r="263" spans="1:3" x14ac:dyDescent="0.35">
      <c r="A263" t="s">
        <v>566</v>
      </c>
      <c r="B263" s="1">
        <v>4</v>
      </c>
      <c r="C263" s="2">
        <v>0.25</v>
      </c>
    </row>
    <row r="264" spans="1:3" x14ac:dyDescent="0.35">
      <c r="A264" t="s">
        <v>91</v>
      </c>
      <c r="B264" s="1">
        <v>4</v>
      </c>
      <c r="C264" s="2">
        <v>0</v>
      </c>
    </row>
    <row r="265" spans="1:3" x14ac:dyDescent="0.35">
      <c r="A265" t="s">
        <v>493</v>
      </c>
      <c r="B265" s="1">
        <v>4</v>
      </c>
      <c r="C265" s="2">
        <v>0</v>
      </c>
    </row>
    <row r="266" spans="1:3" x14ac:dyDescent="0.35">
      <c r="A266" t="s">
        <v>395</v>
      </c>
      <c r="B266" s="1">
        <v>4</v>
      </c>
      <c r="C266" s="2">
        <v>0</v>
      </c>
    </row>
    <row r="267" spans="1:3" x14ac:dyDescent="0.35">
      <c r="A267" t="s">
        <v>448</v>
      </c>
      <c r="B267" s="1">
        <v>4</v>
      </c>
      <c r="C267" s="2">
        <v>0</v>
      </c>
    </row>
    <row r="268" spans="1:3" x14ac:dyDescent="0.35">
      <c r="A268" t="s">
        <v>659</v>
      </c>
      <c r="B268" s="1">
        <v>4</v>
      </c>
      <c r="C268" s="2">
        <v>0</v>
      </c>
    </row>
    <row r="269" spans="1:3" x14ac:dyDescent="0.35">
      <c r="A269" t="s">
        <v>200</v>
      </c>
      <c r="B269" s="1">
        <v>3</v>
      </c>
      <c r="C269" s="2">
        <v>1</v>
      </c>
    </row>
    <row r="270" spans="1:3" x14ac:dyDescent="0.35">
      <c r="A270" t="s">
        <v>327</v>
      </c>
      <c r="B270" s="1">
        <v>3</v>
      </c>
      <c r="C270" s="2">
        <v>0.66666666666666663</v>
      </c>
    </row>
    <row r="271" spans="1:3" x14ac:dyDescent="0.35">
      <c r="A271" t="s">
        <v>123</v>
      </c>
      <c r="B271" s="1">
        <v>3</v>
      </c>
      <c r="C271" s="2">
        <v>0.66666666666666663</v>
      </c>
    </row>
    <row r="272" spans="1:3" x14ac:dyDescent="0.35">
      <c r="A272" t="s">
        <v>372</v>
      </c>
      <c r="B272" s="1">
        <v>3</v>
      </c>
      <c r="C272" s="2">
        <v>0.66666666666666663</v>
      </c>
    </row>
    <row r="273" spans="1:3" x14ac:dyDescent="0.35">
      <c r="A273" t="s">
        <v>505</v>
      </c>
      <c r="B273" s="1">
        <v>3</v>
      </c>
      <c r="C273" s="2">
        <v>0.33333333333333331</v>
      </c>
    </row>
    <row r="274" spans="1:3" x14ac:dyDescent="0.35">
      <c r="A274" t="s">
        <v>509</v>
      </c>
      <c r="B274" s="1">
        <v>3</v>
      </c>
      <c r="C274" s="2">
        <v>0.33333333333333331</v>
      </c>
    </row>
    <row r="275" spans="1:3" x14ac:dyDescent="0.35">
      <c r="A275" t="s">
        <v>602</v>
      </c>
      <c r="B275" s="1">
        <v>3</v>
      </c>
      <c r="C275" s="2">
        <v>0.33333333333333331</v>
      </c>
    </row>
    <row r="276" spans="1:3" x14ac:dyDescent="0.35">
      <c r="A276" t="s">
        <v>217</v>
      </c>
      <c r="B276" s="1">
        <v>3</v>
      </c>
      <c r="C276" s="2">
        <v>0.33333333333333331</v>
      </c>
    </row>
    <row r="277" spans="1:3" x14ac:dyDescent="0.35">
      <c r="A277" t="s">
        <v>381</v>
      </c>
      <c r="B277" s="1">
        <v>3</v>
      </c>
      <c r="C277" s="2">
        <v>0.33333333333333331</v>
      </c>
    </row>
    <row r="278" spans="1:3" x14ac:dyDescent="0.35">
      <c r="A278" t="s">
        <v>665</v>
      </c>
      <c r="B278" s="1">
        <v>3</v>
      </c>
      <c r="C278" s="2">
        <v>0</v>
      </c>
    </row>
    <row r="279" spans="1:3" x14ac:dyDescent="0.35">
      <c r="A279" t="s">
        <v>154</v>
      </c>
      <c r="B279" s="1">
        <v>3</v>
      </c>
      <c r="C279" s="2">
        <v>0</v>
      </c>
    </row>
    <row r="280" spans="1:3" x14ac:dyDescent="0.35">
      <c r="A280" t="s">
        <v>652</v>
      </c>
      <c r="B280" s="1">
        <v>3</v>
      </c>
      <c r="C280" s="2">
        <v>0</v>
      </c>
    </row>
    <row r="281" spans="1:3" x14ac:dyDescent="0.35">
      <c r="A281" t="s">
        <v>434</v>
      </c>
      <c r="B281" s="1">
        <v>3</v>
      </c>
      <c r="C281" s="2">
        <v>0</v>
      </c>
    </row>
    <row r="282" spans="1:3" x14ac:dyDescent="0.35">
      <c r="A282" t="s">
        <v>315</v>
      </c>
      <c r="B282" s="1">
        <v>3</v>
      </c>
      <c r="C282" s="2">
        <v>0</v>
      </c>
    </row>
    <row r="283" spans="1:3" x14ac:dyDescent="0.35">
      <c r="A283" t="s">
        <v>44</v>
      </c>
      <c r="B283" s="1">
        <v>2</v>
      </c>
      <c r="C283" s="2">
        <v>1</v>
      </c>
    </row>
    <row r="284" spans="1:3" x14ac:dyDescent="0.35">
      <c r="A284" t="s">
        <v>546</v>
      </c>
      <c r="B284" s="1">
        <v>2</v>
      </c>
      <c r="C284" s="2">
        <v>1</v>
      </c>
    </row>
    <row r="285" spans="1:3" x14ac:dyDescent="0.35">
      <c r="A285" t="s">
        <v>229</v>
      </c>
      <c r="B285" s="1">
        <v>2</v>
      </c>
      <c r="C285" s="2">
        <v>0.5</v>
      </c>
    </row>
    <row r="286" spans="1:3" x14ac:dyDescent="0.35">
      <c r="A286" t="s">
        <v>266</v>
      </c>
      <c r="B286" s="1">
        <v>2</v>
      </c>
      <c r="C286" s="2">
        <v>0.5</v>
      </c>
    </row>
    <row r="287" spans="1:3" x14ac:dyDescent="0.35">
      <c r="A287" t="s">
        <v>182</v>
      </c>
      <c r="B287" s="1">
        <v>2</v>
      </c>
      <c r="C287" s="2">
        <v>0</v>
      </c>
    </row>
    <row r="288" spans="1:3" x14ac:dyDescent="0.35">
      <c r="A288" t="s">
        <v>562</v>
      </c>
      <c r="B288" s="1">
        <v>2</v>
      </c>
      <c r="C288" s="2">
        <v>0</v>
      </c>
    </row>
    <row r="289" spans="1:3" x14ac:dyDescent="0.35">
      <c r="A289" t="s">
        <v>208</v>
      </c>
      <c r="B289" s="1">
        <v>2</v>
      </c>
      <c r="C289" s="2">
        <v>0</v>
      </c>
    </row>
    <row r="290" spans="1:3" x14ac:dyDescent="0.35">
      <c r="A290" t="s">
        <v>75</v>
      </c>
      <c r="B290" s="1">
        <v>2</v>
      </c>
      <c r="C290" s="2">
        <v>0</v>
      </c>
    </row>
    <row r="291" spans="1:3" x14ac:dyDescent="0.35">
      <c r="A291" t="s">
        <v>498</v>
      </c>
      <c r="B291" s="1">
        <v>2</v>
      </c>
      <c r="C291" s="2">
        <v>0</v>
      </c>
    </row>
    <row r="292" spans="1:3" x14ac:dyDescent="0.35">
      <c r="A292" t="s">
        <v>126</v>
      </c>
      <c r="B292" s="1">
        <v>1</v>
      </c>
      <c r="C292" s="2">
        <v>1</v>
      </c>
    </row>
    <row r="293" spans="1:3" x14ac:dyDescent="0.35">
      <c r="A293" t="s">
        <v>411</v>
      </c>
      <c r="B293" s="1">
        <v>1</v>
      </c>
      <c r="C293" s="2">
        <v>1</v>
      </c>
    </row>
    <row r="294" spans="1:3" x14ac:dyDescent="0.35">
      <c r="A294" t="s">
        <v>393</v>
      </c>
      <c r="B294" s="1">
        <v>1</v>
      </c>
      <c r="C294" s="2">
        <v>0</v>
      </c>
    </row>
    <row r="295" spans="1:3" x14ac:dyDescent="0.35">
      <c r="A295" t="s">
        <v>492</v>
      </c>
      <c r="B295" s="1">
        <v>1</v>
      </c>
      <c r="C295" s="2">
        <v>0</v>
      </c>
    </row>
    <row r="296" spans="1:3" x14ac:dyDescent="0.35">
      <c r="A296" t="s">
        <v>428</v>
      </c>
      <c r="B296" s="1">
        <v>1</v>
      </c>
      <c r="C296" s="2">
        <v>0</v>
      </c>
    </row>
    <row r="297" spans="1:3" x14ac:dyDescent="0.35">
      <c r="A297" t="s">
        <v>196</v>
      </c>
      <c r="B297" s="1">
        <v>1</v>
      </c>
      <c r="C297" s="2">
        <v>0</v>
      </c>
    </row>
    <row r="298" spans="1:3" x14ac:dyDescent="0.35">
      <c r="A298" t="s">
        <v>527</v>
      </c>
      <c r="B298" s="1">
        <v>1</v>
      </c>
      <c r="C298" s="2">
        <v>0</v>
      </c>
    </row>
    <row r="299" spans="1:3" x14ac:dyDescent="0.35">
      <c r="A299" t="s">
        <v>270</v>
      </c>
      <c r="B299" s="1">
        <v>1</v>
      </c>
      <c r="C299" s="2">
        <v>0</v>
      </c>
    </row>
    <row r="300" spans="1:3" x14ac:dyDescent="0.35">
      <c r="A300" t="s">
        <v>348</v>
      </c>
      <c r="B300" s="1">
        <v>1</v>
      </c>
      <c r="C300" s="2">
        <v>0</v>
      </c>
    </row>
    <row r="301" spans="1:3" x14ac:dyDescent="0.35">
      <c r="A301" t="s">
        <v>260</v>
      </c>
      <c r="B301" s="1">
        <v>1</v>
      </c>
      <c r="C301" s="2">
        <v>0</v>
      </c>
    </row>
    <row r="302" spans="1:3" x14ac:dyDescent="0.35">
      <c r="A302" t="s">
        <v>297</v>
      </c>
      <c r="B302" s="1">
        <v>1</v>
      </c>
      <c r="C302" s="2">
        <v>0</v>
      </c>
    </row>
    <row r="303" spans="1:3" x14ac:dyDescent="0.35">
      <c r="A303" t="s">
        <v>676</v>
      </c>
      <c r="B303" s="1">
        <v>1</v>
      </c>
      <c r="C303" s="2">
        <v>0</v>
      </c>
    </row>
    <row r="304" spans="1:3" x14ac:dyDescent="0.35">
      <c r="A304" t="s">
        <v>221</v>
      </c>
      <c r="B304" s="1">
        <v>1</v>
      </c>
      <c r="C304" s="2">
        <v>0</v>
      </c>
    </row>
    <row r="305" spans="1:3" x14ac:dyDescent="0.35">
      <c r="A305" t="s">
        <v>415</v>
      </c>
      <c r="B305" s="1">
        <v>1</v>
      </c>
      <c r="C305" s="2">
        <v>0</v>
      </c>
    </row>
    <row r="306" spans="1:3" x14ac:dyDescent="0.35">
      <c r="A306" t="s">
        <v>187</v>
      </c>
      <c r="B306" s="1">
        <v>1</v>
      </c>
      <c r="C306" s="2">
        <v>0</v>
      </c>
    </row>
    <row r="307" spans="1:3" x14ac:dyDescent="0.35">
      <c r="A307" t="s">
        <v>345</v>
      </c>
      <c r="B307" s="1">
        <v>1</v>
      </c>
      <c r="C307" s="2">
        <v>0</v>
      </c>
    </row>
    <row r="308" spans="1:3" x14ac:dyDescent="0.35">
      <c r="A308" t="s">
        <v>138</v>
      </c>
      <c r="B308" s="1">
        <v>1</v>
      </c>
      <c r="C308" s="2">
        <v>0</v>
      </c>
    </row>
    <row r="309" spans="1:3" x14ac:dyDescent="0.35">
      <c r="A309" t="s">
        <v>337</v>
      </c>
      <c r="B309" s="1">
        <v>1</v>
      </c>
      <c r="C309" s="2">
        <v>0</v>
      </c>
    </row>
    <row r="310" spans="1:3" x14ac:dyDescent="0.35">
      <c r="A310" t="s">
        <v>352</v>
      </c>
      <c r="B310" s="1">
        <v>1</v>
      </c>
      <c r="C310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PLAYER_DATA</vt:lpstr>
      <vt:lpstr>PIVOT_TABLE</vt:lpstr>
      <vt:lpstr>TOP_10_POINTS</vt:lpstr>
      <vt:lpstr>GPG_XGPG</vt:lpstr>
      <vt:lpstr>GPG_APG</vt:lpstr>
      <vt:lpstr>PCT_STARTS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2025-07-15T22:15:10Z</dcterms:created>
  <dcterms:modified xsi:type="dcterms:W3CDTF">2025-07-20T19:58:09Z</dcterms:modified>
</cp:coreProperties>
</file>