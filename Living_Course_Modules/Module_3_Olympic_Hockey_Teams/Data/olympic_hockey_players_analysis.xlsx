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DPH_Data_Stories/Olympic_Hockey_Teams/Data_Analysis/"/>
    </mc:Choice>
  </mc:AlternateContent>
  <xr:revisionPtr revIDLastSave="473" documentId="8_{6A901C79-18CF-46E8-886A-D07C53BF1B49}" xr6:coauthVersionLast="47" xr6:coauthVersionMax="47" xr10:uidLastSave="{339FC8CF-EE9C-4AA7-8B91-0251EC7527B8}"/>
  <bookViews>
    <workbookView xWindow="-108" yWindow="-108" windowWidth="30936" windowHeight="18696" xr2:uid="{3EE75F4B-32A8-474D-AB2C-57F71498AF72}"/>
  </bookViews>
  <sheets>
    <sheet name="raw_player_data" sheetId="5" r:id="rId1"/>
    <sheet name="hockey_ref_25_26_data" sheetId="6" r:id="rId2"/>
    <sheet name="---" sheetId="7" r:id="rId3"/>
    <sheet name="back_up_data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5" l="1"/>
  <c r="AA79" i="5"/>
  <c r="AA56" i="5"/>
  <c r="AA45" i="5"/>
  <c r="AA71" i="5"/>
  <c r="AA8" i="5"/>
  <c r="AA35" i="5"/>
  <c r="AA74" i="5"/>
  <c r="AA51" i="5"/>
  <c r="AA77" i="5"/>
  <c r="AA75" i="5"/>
  <c r="AA32" i="5"/>
  <c r="AA23" i="5"/>
  <c r="AA85" i="5"/>
  <c r="AA34" i="5"/>
  <c r="AA28" i="5"/>
  <c r="AA55" i="5"/>
  <c r="AA63" i="5"/>
  <c r="AA73" i="5"/>
  <c r="AA49" i="5"/>
  <c r="AA44" i="5"/>
  <c r="AA6" i="5"/>
  <c r="AA72" i="5"/>
  <c r="AA24" i="5"/>
  <c r="AA10" i="5"/>
  <c r="AA88" i="5"/>
  <c r="AA82" i="5"/>
  <c r="AA38" i="5"/>
  <c r="AA87" i="5"/>
  <c r="AA46" i="5"/>
  <c r="AA61" i="5"/>
  <c r="AA80" i="5"/>
  <c r="AA16" i="5"/>
  <c r="AA83" i="5"/>
  <c r="AA39" i="5"/>
  <c r="AA52" i="5"/>
  <c r="AA57" i="5"/>
  <c r="AA29" i="5"/>
  <c r="AA30" i="5"/>
  <c r="AA36" i="5"/>
  <c r="AA62" i="5"/>
  <c r="AA21" i="5"/>
  <c r="AA76" i="5"/>
  <c r="AA53" i="5"/>
  <c r="AA33" i="5"/>
  <c r="AA69" i="5"/>
  <c r="AA86" i="5"/>
  <c r="AA47" i="5"/>
  <c r="AA13" i="5"/>
  <c r="AA7" i="5"/>
  <c r="AA81" i="5"/>
  <c r="AA50" i="5"/>
  <c r="AA37" i="5"/>
  <c r="AA40" i="5"/>
  <c r="AA9" i="5"/>
  <c r="AA65" i="5"/>
  <c r="AA12" i="5"/>
  <c r="AA2" i="5"/>
  <c r="AA27" i="5"/>
  <c r="AA11" i="5"/>
  <c r="AA68" i="5"/>
  <c r="AA31" i="5"/>
  <c r="AA54" i="5"/>
  <c r="AA64" i="5"/>
  <c r="AA60" i="5"/>
  <c r="AA22" i="5"/>
  <c r="AA25" i="5"/>
  <c r="AA19" i="5"/>
  <c r="AA48" i="5"/>
  <c r="AA67" i="5"/>
  <c r="AA78" i="5"/>
  <c r="AA70" i="5"/>
  <c r="AA66" i="5"/>
  <c r="AA26" i="5"/>
  <c r="AA14" i="5"/>
  <c r="AA84" i="5"/>
  <c r="AA41" i="5"/>
  <c r="AA15" i="5"/>
  <c r="AA3" i="5"/>
  <c r="AA17" i="5"/>
  <c r="AA58" i="5"/>
  <c r="AA42" i="5"/>
  <c r="AA59" i="5"/>
  <c r="AA43" i="5"/>
  <c r="AA20" i="5"/>
  <c r="AA4" i="5"/>
  <c r="AA18" i="5"/>
  <c r="AB5" i="5"/>
  <c r="AB79" i="5"/>
  <c r="AB56" i="5"/>
  <c r="AB45" i="5"/>
  <c r="AB71" i="5"/>
  <c r="AB8" i="5"/>
  <c r="AB35" i="5"/>
  <c r="AB74" i="5"/>
  <c r="AB51" i="5"/>
  <c r="AB77" i="5"/>
  <c r="AB75" i="5"/>
  <c r="AB32" i="5"/>
  <c r="AB23" i="5"/>
  <c r="AB85" i="5"/>
  <c r="AB34" i="5"/>
  <c r="AB28" i="5"/>
  <c r="AB55" i="5"/>
  <c r="AB63" i="5"/>
  <c r="AB73" i="5"/>
  <c r="AB49" i="5"/>
  <c r="AB44" i="5"/>
  <c r="AB6" i="5"/>
  <c r="AB72" i="5"/>
  <c r="AB24" i="5"/>
  <c r="AB10" i="5"/>
  <c r="AB88" i="5"/>
  <c r="AB82" i="5"/>
  <c r="AB38" i="5"/>
  <c r="AB87" i="5"/>
  <c r="AB46" i="5"/>
  <c r="AB61" i="5"/>
  <c r="AB80" i="5"/>
  <c r="AB16" i="5"/>
  <c r="AB83" i="5"/>
  <c r="AB39" i="5"/>
  <c r="AB52" i="5"/>
  <c r="AB57" i="5"/>
  <c r="AB29" i="5"/>
  <c r="AB30" i="5"/>
  <c r="AB36" i="5"/>
  <c r="AB62" i="5"/>
  <c r="AB21" i="5"/>
  <c r="AB76" i="5"/>
  <c r="AB53" i="5"/>
  <c r="AB33" i="5"/>
  <c r="AB69" i="5"/>
  <c r="AB86" i="5"/>
  <c r="AB47" i="5"/>
  <c r="AB13" i="5"/>
  <c r="AB7" i="5"/>
  <c r="AB81" i="5"/>
  <c r="AB50" i="5"/>
  <c r="AB37" i="5"/>
  <c r="AB40" i="5"/>
  <c r="AB9" i="5"/>
  <c r="AB65" i="5"/>
  <c r="AB12" i="5"/>
  <c r="AB2" i="5"/>
  <c r="AB27" i="5"/>
  <c r="AB11" i="5"/>
  <c r="AB68" i="5"/>
  <c r="AB31" i="5"/>
  <c r="AB54" i="5"/>
  <c r="AB64" i="5"/>
  <c r="AB60" i="5"/>
  <c r="AB22" i="5"/>
  <c r="AB25" i="5"/>
  <c r="AB19" i="5"/>
  <c r="AB48" i="5"/>
  <c r="AB67" i="5"/>
  <c r="AB78" i="5"/>
  <c r="AB70" i="5"/>
  <c r="AB66" i="5"/>
  <c r="AB26" i="5"/>
  <c r="AB14" i="5"/>
  <c r="AB84" i="5"/>
  <c r="AB41" i="5"/>
  <c r="AB15" i="5"/>
  <c r="AB3" i="5"/>
  <c r="AB17" i="5"/>
  <c r="AB58" i="5"/>
  <c r="AB42" i="5"/>
  <c r="AB59" i="5"/>
  <c r="AB43" i="5"/>
  <c r="AB20" i="5"/>
  <c r="AB4" i="5"/>
  <c r="AB18" i="5"/>
  <c r="Q5" i="5"/>
  <c r="Q79" i="5"/>
  <c r="Q56" i="5"/>
  <c r="Q45" i="5"/>
  <c r="Q71" i="5"/>
  <c r="Q8" i="5"/>
  <c r="Q35" i="5"/>
  <c r="Q74" i="5"/>
  <c r="Q51" i="5"/>
  <c r="Q77" i="5"/>
  <c r="Q75" i="5"/>
  <c r="Q32" i="5"/>
  <c r="Q23" i="5"/>
  <c r="Q85" i="5"/>
  <c r="Q34" i="5"/>
  <c r="Q28" i="5"/>
  <c r="Q55" i="5"/>
  <c r="Q63" i="5"/>
  <c r="Q73" i="5"/>
  <c r="Q49" i="5"/>
  <c r="Q44" i="5"/>
  <c r="Q6" i="5"/>
  <c r="Q72" i="5"/>
  <c r="Q24" i="5"/>
  <c r="Q10" i="5"/>
  <c r="Q88" i="5"/>
  <c r="Q82" i="5"/>
  <c r="Q38" i="5"/>
  <c r="Q87" i="5"/>
  <c r="Q46" i="5"/>
  <c r="Q61" i="5"/>
  <c r="Q80" i="5"/>
  <c r="Q16" i="5"/>
  <c r="Q83" i="5"/>
  <c r="Q39" i="5"/>
  <c r="Q52" i="5"/>
  <c r="Q57" i="5"/>
  <c r="Q29" i="5"/>
  <c r="Q30" i="5"/>
  <c r="Q36" i="5"/>
  <c r="Q62" i="5"/>
  <c r="Q21" i="5"/>
  <c r="Q76" i="5"/>
  <c r="Q53" i="5"/>
  <c r="Q33" i="5"/>
  <c r="Q69" i="5"/>
  <c r="Q86" i="5"/>
  <c r="Q47" i="5"/>
  <c r="Q13" i="5"/>
  <c r="Q7" i="5"/>
  <c r="Q81" i="5"/>
  <c r="Q50" i="5"/>
  <c r="Q37" i="5"/>
  <c r="Q40" i="5"/>
  <c r="Q9" i="5"/>
  <c r="Q65" i="5"/>
  <c r="Q12" i="5"/>
  <c r="Q2" i="5"/>
  <c r="Q27" i="5"/>
  <c r="Q11" i="5"/>
  <c r="Q68" i="5"/>
  <c r="Q31" i="5"/>
  <c r="Q54" i="5"/>
  <c r="Q64" i="5"/>
  <c r="Q60" i="5"/>
  <c r="Q22" i="5"/>
  <c r="Q25" i="5"/>
  <c r="Q19" i="5"/>
  <c r="Q48" i="5"/>
  <c r="Q67" i="5"/>
  <c r="Q78" i="5"/>
  <c r="Q70" i="5"/>
  <c r="Q66" i="5"/>
  <c r="Q26" i="5"/>
  <c r="Q14" i="5"/>
  <c r="Q84" i="5"/>
  <c r="Q41" i="5"/>
  <c r="Q15" i="5"/>
  <c r="Q3" i="5"/>
  <c r="Q17" i="5"/>
  <c r="Q58" i="5"/>
  <c r="Q42" i="5"/>
  <c r="Q59" i="5"/>
  <c r="Q43" i="5"/>
  <c r="Q20" i="5"/>
  <c r="Q4" i="5"/>
  <c r="Q18" i="5"/>
  <c r="P5" i="5"/>
  <c r="P79" i="5"/>
  <c r="P56" i="5"/>
  <c r="P45" i="5"/>
  <c r="P71" i="5"/>
  <c r="P8" i="5"/>
  <c r="P35" i="5"/>
  <c r="P74" i="5"/>
  <c r="P51" i="5"/>
  <c r="P77" i="5"/>
  <c r="P75" i="5"/>
  <c r="P32" i="5"/>
  <c r="P23" i="5"/>
  <c r="P85" i="5"/>
  <c r="P34" i="5"/>
  <c r="P28" i="5"/>
  <c r="P55" i="5"/>
  <c r="P63" i="5"/>
  <c r="P73" i="5"/>
  <c r="P49" i="5"/>
  <c r="P44" i="5"/>
  <c r="P6" i="5"/>
  <c r="P72" i="5"/>
  <c r="P24" i="5"/>
  <c r="P10" i="5"/>
  <c r="P88" i="5"/>
  <c r="P82" i="5"/>
  <c r="P38" i="5"/>
  <c r="P87" i="5"/>
  <c r="P46" i="5"/>
  <c r="P61" i="5"/>
  <c r="P80" i="5"/>
  <c r="P16" i="5"/>
  <c r="P83" i="5"/>
  <c r="P39" i="5"/>
  <c r="P52" i="5"/>
  <c r="P57" i="5"/>
  <c r="P29" i="5"/>
  <c r="P30" i="5"/>
  <c r="P36" i="5"/>
  <c r="P62" i="5"/>
  <c r="P21" i="5"/>
  <c r="P76" i="5"/>
  <c r="P53" i="5"/>
  <c r="P33" i="5"/>
  <c r="P69" i="5"/>
  <c r="P86" i="5"/>
  <c r="P47" i="5"/>
  <c r="P13" i="5"/>
  <c r="P7" i="5"/>
  <c r="P81" i="5"/>
  <c r="P50" i="5"/>
  <c r="P37" i="5"/>
  <c r="P40" i="5"/>
  <c r="P9" i="5"/>
  <c r="P65" i="5"/>
  <c r="P12" i="5"/>
  <c r="P2" i="5"/>
  <c r="P27" i="5"/>
  <c r="P11" i="5"/>
  <c r="P68" i="5"/>
  <c r="P31" i="5"/>
  <c r="P54" i="5"/>
  <c r="P64" i="5"/>
  <c r="P60" i="5"/>
  <c r="P22" i="5"/>
  <c r="P25" i="5"/>
  <c r="P19" i="5"/>
  <c r="P48" i="5"/>
  <c r="P67" i="5"/>
  <c r="P78" i="5"/>
  <c r="P70" i="5"/>
  <c r="P66" i="5"/>
  <c r="P26" i="5"/>
  <c r="P14" i="5"/>
  <c r="P84" i="5"/>
  <c r="P41" i="5"/>
  <c r="P15" i="5"/>
  <c r="P3" i="5"/>
  <c r="P17" i="5"/>
  <c r="P58" i="5"/>
  <c r="P42" i="5"/>
  <c r="P59" i="5"/>
  <c r="P43" i="5"/>
  <c r="P20" i="5"/>
  <c r="P4" i="5"/>
  <c r="P18" i="5"/>
  <c r="O5" i="5"/>
  <c r="O79" i="5"/>
  <c r="O56" i="5"/>
  <c r="O45" i="5"/>
  <c r="O71" i="5"/>
  <c r="O8" i="5"/>
  <c r="O35" i="5"/>
  <c r="O74" i="5"/>
  <c r="O51" i="5"/>
  <c r="O77" i="5"/>
  <c r="O75" i="5"/>
  <c r="O32" i="5"/>
  <c r="O23" i="5"/>
  <c r="O85" i="5"/>
  <c r="O34" i="5"/>
  <c r="O28" i="5"/>
  <c r="O55" i="5"/>
  <c r="O63" i="5"/>
  <c r="O73" i="5"/>
  <c r="O49" i="5"/>
  <c r="O44" i="5"/>
  <c r="O6" i="5"/>
  <c r="O72" i="5"/>
  <c r="O24" i="5"/>
  <c r="O10" i="5"/>
  <c r="O88" i="5"/>
  <c r="O82" i="5"/>
  <c r="O38" i="5"/>
  <c r="O87" i="5"/>
  <c r="O46" i="5"/>
  <c r="O61" i="5"/>
  <c r="O80" i="5"/>
  <c r="O16" i="5"/>
  <c r="O83" i="5"/>
  <c r="O39" i="5"/>
  <c r="O52" i="5"/>
  <c r="O57" i="5"/>
  <c r="O29" i="5"/>
  <c r="O30" i="5"/>
  <c r="O36" i="5"/>
  <c r="O62" i="5"/>
  <c r="O21" i="5"/>
  <c r="O76" i="5"/>
  <c r="O53" i="5"/>
  <c r="O33" i="5"/>
  <c r="O69" i="5"/>
  <c r="O86" i="5"/>
  <c r="O47" i="5"/>
  <c r="O13" i="5"/>
  <c r="O7" i="5"/>
  <c r="O81" i="5"/>
  <c r="O50" i="5"/>
  <c r="O37" i="5"/>
  <c r="O40" i="5"/>
  <c r="O9" i="5"/>
  <c r="O65" i="5"/>
  <c r="O12" i="5"/>
  <c r="O2" i="5"/>
  <c r="O27" i="5"/>
  <c r="O11" i="5"/>
  <c r="O68" i="5"/>
  <c r="O31" i="5"/>
  <c r="O54" i="5"/>
  <c r="O64" i="5"/>
  <c r="O60" i="5"/>
  <c r="O22" i="5"/>
  <c r="O25" i="5"/>
  <c r="O19" i="5"/>
  <c r="O48" i="5"/>
  <c r="O67" i="5"/>
  <c r="O78" i="5"/>
  <c r="O70" i="5"/>
  <c r="O66" i="5"/>
  <c r="O26" i="5"/>
  <c r="O14" i="5"/>
  <c r="O84" i="5"/>
  <c r="O41" i="5"/>
  <c r="O15" i="5"/>
  <c r="O3" i="5"/>
  <c r="O17" i="5"/>
  <c r="O58" i="5"/>
  <c r="O42" i="5"/>
  <c r="O59" i="5"/>
  <c r="O43" i="5"/>
  <c r="O20" i="5"/>
  <c r="O4" i="5"/>
  <c r="O18" i="5"/>
</calcChain>
</file>

<file path=xl/sharedStrings.xml><?xml version="1.0" encoding="utf-8"?>
<sst xmlns="http://schemas.openxmlformats.org/spreadsheetml/2006/main" count="5865" uniqueCount="2159">
  <si>
    <t>season_id</t>
  </si>
  <si>
    <t>snapshot_date</t>
  </si>
  <si>
    <t>team_id</t>
  </si>
  <si>
    <t>team_abbr</t>
  </si>
  <si>
    <t>player_id</t>
  </si>
  <si>
    <t>name</t>
  </si>
  <si>
    <t>status</t>
  </si>
  <si>
    <t>age</t>
  </si>
  <si>
    <t>height</t>
  </si>
  <si>
    <t>weight</t>
  </si>
  <si>
    <t>birth_country</t>
  </si>
  <si>
    <t>birth_city</t>
  </si>
  <si>
    <t>rookie</t>
  </si>
  <si>
    <t>position</t>
  </si>
  <si>
    <t>games_played</t>
  </si>
  <si>
    <t>goals</t>
  </si>
  <si>
    <t>assists</t>
  </si>
  <si>
    <t>points</t>
  </si>
  <si>
    <t>sogpg</t>
  </si>
  <si>
    <t>apg</t>
  </si>
  <si>
    <t>gpg</t>
  </si>
  <si>
    <t>pgp</t>
  </si>
  <si>
    <t>def_wall</t>
  </si>
  <si>
    <t>physical</t>
  </si>
  <si>
    <t>hat_tricks</t>
  </si>
  <si>
    <t>pp_goals</t>
  </si>
  <si>
    <t>pp_assists</t>
  </si>
  <si>
    <t>pp_points</t>
  </si>
  <si>
    <t>sh_goals</t>
  </si>
  <si>
    <t>sh_assists</t>
  </si>
  <si>
    <t>sh_points</t>
  </si>
  <si>
    <t>gw_goals</t>
  </si>
  <si>
    <t>gt_goals</t>
  </si>
  <si>
    <t>ot_goals</t>
  </si>
  <si>
    <t>so_attempts</t>
  </si>
  <si>
    <t>so_misses</t>
  </si>
  <si>
    <t>so_goals</t>
  </si>
  <si>
    <t>so_goal_pct</t>
  </si>
  <si>
    <t>plus_minus</t>
  </si>
  <si>
    <t>shot_attempts</t>
  </si>
  <si>
    <t>shots_on_goal</t>
  </si>
  <si>
    <t>shot_pct</t>
  </si>
  <si>
    <t>blocked_shots</t>
  </si>
  <si>
    <t>blocked_shots_against</t>
  </si>
  <si>
    <t>missed_shots</t>
  </si>
  <si>
    <t>hits</t>
  </si>
  <si>
    <t>hits_received</t>
  </si>
  <si>
    <t>giveaways</t>
  </si>
  <si>
    <t>takeaways</t>
  </si>
  <si>
    <t>faceoffs</t>
  </si>
  <si>
    <t>faceoff_wins</t>
  </si>
  <si>
    <t>faceoff_losses</t>
  </si>
  <si>
    <t>faceoff_pct</t>
  </si>
  <si>
    <t>penalties</t>
  </si>
  <si>
    <t>pim</t>
  </si>
  <si>
    <t>penalties_drawn</t>
  </si>
  <si>
    <t>penalty_min_drawn</t>
  </si>
  <si>
    <t>fights</t>
  </si>
  <si>
    <t>shifts</t>
  </si>
  <si>
    <t>even_str_shifts</t>
  </si>
  <si>
    <t>pp_shifts</t>
  </si>
  <si>
    <t>sh_shifts</t>
  </si>
  <si>
    <t>time_on_ice</t>
  </si>
  <si>
    <t>event_toi</t>
  </si>
  <si>
    <t>pp_toi</t>
  </si>
  <si>
    <t>sh_toi</t>
  </si>
  <si>
    <t>team_abbr_canon</t>
  </si>
  <si>
    <t>division</t>
  </si>
  <si>
    <t>conference</t>
  </si>
  <si>
    <t>country</t>
  </si>
  <si>
    <t>team</t>
  </si>
  <si>
    <t>2025-2026</t>
  </si>
  <si>
    <t>CAR</t>
  </si>
  <si>
    <t>Sebastian Aho</t>
  </si>
  <si>
    <t>ROSTER</t>
  </si>
  <si>
    <t>6'0"</t>
  </si>
  <si>
    <t>Finland</t>
  </si>
  <si>
    <t>Rauma</t>
  </si>
  <si>
    <t>C</t>
  </si>
  <si>
    <t>Metropolitan</t>
  </si>
  <si>
    <t>Eastern</t>
  </si>
  <si>
    <t>Carolina Hurricanes</t>
  </si>
  <si>
    <t>CGY</t>
  </si>
  <si>
    <t>Rasmus Andersson</t>
  </si>
  <si>
    <t>6'1"</t>
  </si>
  <si>
    <t>Sweden</t>
  </si>
  <si>
    <t>MalmÃ¶</t>
  </si>
  <si>
    <t>D</t>
  </si>
  <si>
    <t>Pacific</t>
  </si>
  <si>
    <t>Western</t>
  </si>
  <si>
    <t>Calgary Flames</t>
  </si>
  <si>
    <t>LAK</t>
  </si>
  <si>
    <t>Joel Armia</t>
  </si>
  <si>
    <t>6'4"</t>
  </si>
  <si>
    <t>Pori</t>
  </si>
  <si>
    <t>RW</t>
  </si>
  <si>
    <t>Los Angeles Kings</t>
  </si>
  <si>
    <t>NJD</t>
  </si>
  <si>
    <t>Jesper Bratt</t>
  </si>
  <si>
    <t>5'10"</t>
  </si>
  <si>
    <t>Stockholm</t>
  </si>
  <si>
    <t>LW</t>
  </si>
  <si>
    <t>New Jersey Devils</t>
  </si>
  <si>
    <t>STL</t>
  </si>
  <si>
    <t>Philip Broberg</t>
  </si>
  <si>
    <t>6'3"</t>
  </si>
  <si>
    <t>Orebro</t>
  </si>
  <si>
    <t>Central</t>
  </si>
  <si>
    <t>St. Louis Blues</t>
  </si>
  <si>
    <t>MIN</t>
  </si>
  <si>
    <t>Jonas Brodin</t>
  </si>
  <si>
    <t>Karlstad</t>
  </si>
  <si>
    <t>Minnesota Wild</t>
  </si>
  <si>
    <t>ANA</t>
  </si>
  <si>
    <t>Leo Carlsson</t>
  </si>
  <si>
    <t>Anaheim Ducks</t>
  </si>
  <si>
    <t>SJS</t>
  </si>
  <si>
    <t>Macklin Celebrini</t>
  </si>
  <si>
    <t>Canada</t>
  </si>
  <si>
    <t>North Vancouver, BC</t>
  </si>
  <si>
    <t>San Jose Sharks</t>
  </si>
  <si>
    <t>TBL</t>
  </si>
  <si>
    <t>Anthony Cirelli</t>
  </si>
  <si>
    <t>Etobicoke, ON</t>
  </si>
  <si>
    <t>Atlantic</t>
  </si>
  <si>
    <t>Tampa Bay Lightning</t>
  </si>
  <si>
    <t>WPJ</t>
  </si>
  <si>
    <t>Kyle Connor</t>
  </si>
  <si>
    <t>USA</t>
  </si>
  <si>
    <t>Clinton Township, MI</t>
  </si>
  <si>
    <t>WPG</t>
  </si>
  <si>
    <t>NA</t>
  </si>
  <si>
    <t>United States</t>
  </si>
  <si>
    <t>Winnipeg Jets</t>
  </si>
  <si>
    <t>PIT</t>
  </si>
  <si>
    <t>Sidney Crosby</t>
  </si>
  <si>
    <t>5'11"</t>
  </si>
  <si>
    <t>Cole Harbour, NS</t>
  </si>
  <si>
    <t>Pittsburgh Penguins</t>
  </si>
  <si>
    <t>BUF</t>
  </si>
  <si>
    <t>Rasmus Dahlin</t>
  </si>
  <si>
    <t>TrollhÃ¤ttan</t>
  </si>
  <si>
    <t>Buffalo Sabres</t>
  </si>
  <si>
    <t>Drew Doughty</t>
  </si>
  <si>
    <t>London, ON</t>
  </si>
  <si>
    <t>VGK</t>
  </si>
  <si>
    <t>Jack Eichel</t>
  </si>
  <si>
    <t>6'2"</t>
  </si>
  <si>
    <t>Chelmsford, MA</t>
  </si>
  <si>
    <t>Vegas Golden Knights</t>
  </si>
  <si>
    <t>TOR</t>
  </si>
  <si>
    <t>Oliver Ekman-Larsson</t>
  </si>
  <si>
    <t>Karlskrona</t>
  </si>
  <si>
    <t>Toronto Maple Leafs</t>
  </si>
  <si>
    <t>Joel Eriksson Ek</t>
  </si>
  <si>
    <t>Brock Faber</t>
  </si>
  <si>
    <t>Maple Grove, MN</t>
  </si>
  <si>
    <t>NSH</t>
  </si>
  <si>
    <t>Filip Forsberg</t>
  </si>
  <si>
    <t>Ostervala</t>
  </si>
  <si>
    <t>Nashville Predators</t>
  </si>
  <si>
    <t>FLO</t>
  </si>
  <si>
    <t>Gustav Forsling</t>
  </si>
  <si>
    <t>Linkping</t>
  </si>
  <si>
    <t>FLA</t>
  </si>
  <si>
    <t>Florida Panthers</t>
  </si>
  <si>
    <t>Mikael Granlund</t>
  </si>
  <si>
    <t>Oulu</t>
  </si>
  <si>
    <t>Jake Guentzel</t>
  </si>
  <si>
    <t>Omaha, NE</t>
  </si>
  <si>
    <t>Brandon Hagel</t>
  </si>
  <si>
    <t>Saskatoon, SK</t>
  </si>
  <si>
    <t>Noah Hanifin</t>
  </si>
  <si>
    <t>Boston, MA</t>
  </si>
  <si>
    <t>DAL</t>
  </si>
  <si>
    <t>Thomas Harley</t>
  </si>
  <si>
    <t>Syracuse, NY</t>
  </si>
  <si>
    <t>Dallas Stars</t>
  </si>
  <si>
    <t>Erik Haula</t>
  </si>
  <si>
    <t>Victor Hedman</t>
  </si>
  <si>
    <t>6'6"</t>
  </si>
  <si>
    <t>Ornskoldsvik</t>
  </si>
  <si>
    <t>Miro Heiskanen</t>
  </si>
  <si>
    <t>Espoo</t>
  </si>
  <si>
    <t>Roope Hintz</t>
  </si>
  <si>
    <t>Tampere</t>
  </si>
  <si>
    <t>Pontus Holmberg</t>
  </si>
  <si>
    <t>VÃ¤sterÃ¥s</t>
  </si>
  <si>
    <t>NYI</t>
  </si>
  <si>
    <t>Bo Horvat</t>
  </si>
  <si>
    <t>New York Islanders</t>
  </si>
  <si>
    <t>Jack Hughes</t>
  </si>
  <si>
    <t>Orlando, FL</t>
  </si>
  <si>
    <t>VAN</t>
  </si>
  <si>
    <t>Quinn Hughes</t>
  </si>
  <si>
    <t>BOS</t>
  </si>
  <si>
    <t>Henri Jokiharju</t>
  </si>
  <si>
    <t>Boston Bruins</t>
  </si>
  <si>
    <t>Seth Jones</t>
  </si>
  <si>
    <t>Arlington, TX</t>
  </si>
  <si>
    <t>SEA</t>
  </si>
  <si>
    <t>Kaapo Kakko</t>
  </si>
  <si>
    <t>Turku</t>
  </si>
  <si>
    <t>Seattle Kraken</t>
  </si>
  <si>
    <t>MTL</t>
  </si>
  <si>
    <t>Oliver Kapanen</t>
  </si>
  <si>
    <t>Sundsvall, Sweden</t>
  </si>
  <si>
    <t>Montreal Canadiens</t>
  </si>
  <si>
    <t>Erik Karlsson</t>
  </si>
  <si>
    <t>Landsbro</t>
  </si>
  <si>
    <t>UTA</t>
  </si>
  <si>
    <t>Clayton Keller</t>
  </si>
  <si>
    <t>Chesterfield, MO</t>
  </si>
  <si>
    <t>Utah Hockey Club</t>
  </si>
  <si>
    <t>Adrian Kempe</t>
  </si>
  <si>
    <t>Kramfors</t>
  </si>
  <si>
    <t>COL</t>
  </si>
  <si>
    <t>Joel Kiviranta</t>
  </si>
  <si>
    <t>Vantaa</t>
  </si>
  <si>
    <t>Colorado Avalanche</t>
  </si>
  <si>
    <t>Gabriel Landeskog</t>
  </si>
  <si>
    <t>DET</t>
  </si>
  <si>
    <t>Dylan Larkin</t>
  </si>
  <si>
    <t>Waterford, MI</t>
  </si>
  <si>
    <t>Detroit Red Wings</t>
  </si>
  <si>
    <t>Artturi Lehkonen</t>
  </si>
  <si>
    <t>PiikkiÃ¶</t>
  </si>
  <si>
    <t>Esa Lindell</t>
  </si>
  <si>
    <t>Helsinki</t>
  </si>
  <si>
    <t>Elias Lindholm</t>
  </si>
  <si>
    <t>Boden</t>
  </si>
  <si>
    <t>Anton Lundell</t>
  </si>
  <si>
    <t>Eetu Luostarinen</t>
  </si>
  <si>
    <t>Siilinjrvi</t>
  </si>
  <si>
    <t>Olli Maatta</t>
  </si>
  <si>
    <t>JyvÃ¤skylÃ¤</t>
  </si>
  <si>
    <t>Utah Mammoth</t>
  </si>
  <si>
    <t>Nathan MacKinnon</t>
  </si>
  <si>
    <t>Halifax, NS</t>
  </si>
  <si>
    <t>Cale Makar</t>
  </si>
  <si>
    <t>Calgary, AB</t>
  </si>
  <si>
    <t>Brad Marchand</t>
  </si>
  <si>
    <t>5'9"</t>
  </si>
  <si>
    <t>OTT</t>
  </si>
  <si>
    <t>Nikolas Matinpalo</t>
  </si>
  <si>
    <t>Ottawa Senators</t>
  </si>
  <si>
    <t>Auston Matthews</t>
  </si>
  <si>
    <t>San Ramon, CA</t>
  </si>
  <si>
    <t>Charlie McAvoy</t>
  </si>
  <si>
    <t>Long Beach, NY</t>
  </si>
  <si>
    <t>EDM</t>
  </si>
  <si>
    <t>Connor McDavid</t>
  </si>
  <si>
    <t>Richmond Hill, ON</t>
  </si>
  <si>
    <t>Edmonton Oilers</t>
  </si>
  <si>
    <t>Niko Mikkola</t>
  </si>
  <si>
    <t>Kiiminki</t>
  </si>
  <si>
    <t>NYR</t>
  </si>
  <si>
    <t>J.T. Miller</t>
  </si>
  <si>
    <t>East Palestine, OH</t>
  </si>
  <si>
    <t>New York Rangers</t>
  </si>
  <si>
    <t>Josh Morrissey</t>
  </si>
  <si>
    <t>Brock Nelson</t>
  </si>
  <si>
    <t>Warroad, MN</t>
  </si>
  <si>
    <t>William Nylander</t>
  </si>
  <si>
    <t>INJURY_LIST</t>
  </si>
  <si>
    <t>Colton Parayko</t>
  </si>
  <si>
    <t>St. Albert, AB</t>
  </si>
  <si>
    <t>Elias Pettersson</t>
  </si>
  <si>
    <t>Sundsvall</t>
  </si>
  <si>
    <t>Vancouver Canucks</t>
  </si>
  <si>
    <t>Brayden Point</t>
  </si>
  <si>
    <t>Rickard Rakell</t>
  </si>
  <si>
    <t>Sundbyberg</t>
  </si>
  <si>
    <t>Mikko Rantanen</t>
  </si>
  <si>
    <t>Nousiainen</t>
  </si>
  <si>
    <t>Lucas Raymond</t>
  </si>
  <si>
    <t>Goteborg</t>
  </si>
  <si>
    <t>Sam Reinhart</t>
  </si>
  <si>
    <t>PHI</t>
  </si>
  <si>
    <t>Rasmus Ristolainen</t>
  </si>
  <si>
    <t>Philadelphia Flyers</t>
  </si>
  <si>
    <t>Jake Sanderson</t>
  </si>
  <si>
    <t>Whitefish, MT</t>
  </si>
  <si>
    <t>Travis Sanheim</t>
  </si>
  <si>
    <t>Elkhorn, MB</t>
  </si>
  <si>
    <t>Jaccob Slavin</t>
  </si>
  <si>
    <t>Erie, CO</t>
  </si>
  <si>
    <t>Mark Stone</t>
  </si>
  <si>
    <t>Winnipeg, MB</t>
  </si>
  <si>
    <t>Nick Suzuki</t>
  </si>
  <si>
    <t>CHI</t>
  </si>
  <si>
    <t>Teuvo Teravainen</t>
  </si>
  <si>
    <t>Chicago Blackhawks</t>
  </si>
  <si>
    <t>Shea Theodore</t>
  </si>
  <si>
    <t>Langley, BC</t>
  </si>
  <si>
    <t>Tage Thompson</t>
  </si>
  <si>
    <t>Oyster Bay, NY</t>
  </si>
  <si>
    <t>Brady Tkachuk</t>
  </si>
  <si>
    <t>St. Louis, MO</t>
  </si>
  <si>
    <t>Devon Toews</t>
  </si>
  <si>
    <t>Abbotsford, BC</t>
  </si>
  <si>
    <t>Eeli Tolvanen</t>
  </si>
  <si>
    <t>Vihti</t>
  </si>
  <si>
    <t>Vincent Trocheck</t>
  </si>
  <si>
    <t>Pittsburgh, PA</t>
  </si>
  <si>
    <t>Alexander Wennberg</t>
  </si>
  <si>
    <t>CBJ</t>
  </si>
  <si>
    <t>Zach Werenski</t>
  </si>
  <si>
    <t>Grosse Pointe, MI</t>
  </si>
  <si>
    <t>Columbus Blue Jackets</t>
  </si>
  <si>
    <t>WSH</t>
  </si>
  <si>
    <t>Tom Wilson</t>
  </si>
  <si>
    <t>Toronto, ON</t>
  </si>
  <si>
    <t>Washington Capitals</t>
  </si>
  <si>
    <t>Mika Zibanejad</t>
  </si>
  <si>
    <t>COUNTRY</t>
  </si>
  <si>
    <t>NAME</t>
  </si>
  <si>
    <t>TEAM</t>
  </si>
  <si>
    <t>Filip Gustavsson</t>
  </si>
  <si>
    <t>Jesper Wallstedt</t>
  </si>
  <si>
    <t>Ukko-Pekka Luukkonen</t>
  </si>
  <si>
    <t>Kevin Lankinen</t>
  </si>
  <si>
    <t>Juuse Saros</t>
  </si>
  <si>
    <t>Mikko Lehtonen</t>
  </si>
  <si>
    <t>Jordan Binnington</t>
  </si>
  <si>
    <t>Darcy Kuemper</t>
  </si>
  <si>
    <t>Logan Thompson</t>
  </si>
  <si>
    <t>Mitch Marner</t>
  </si>
  <si>
    <t>Jake Oettinger</t>
  </si>
  <si>
    <t>Connor Hellebuyck</t>
  </si>
  <si>
    <t>Jeremy Swayman</t>
  </si>
  <si>
    <t>Matt Boldy</t>
  </si>
  <si>
    <t>G</t>
  </si>
  <si>
    <t>ABB</t>
  </si>
  <si>
    <t>DIVISION</t>
  </si>
  <si>
    <t>CONFERENCE</t>
  </si>
  <si>
    <t>AGE</t>
  </si>
  <si>
    <t>HEIGHT</t>
  </si>
  <si>
    <t>WEIGHT</t>
  </si>
  <si>
    <t>POSITION</t>
  </si>
  <si>
    <t>GP</t>
  </si>
  <si>
    <t>A</t>
  </si>
  <si>
    <t>PTS</t>
  </si>
  <si>
    <t>HAT_TRICKS</t>
  </si>
  <si>
    <t>PLUS_MINUS</t>
  </si>
  <si>
    <t>SOG</t>
  </si>
  <si>
    <t>SHT_PCT</t>
  </si>
  <si>
    <t>BLOCKED_SHOTS</t>
  </si>
  <si>
    <t>HITS</t>
  </si>
  <si>
    <t>GIVES</t>
  </si>
  <si>
    <t>TAKES</t>
  </si>
  <si>
    <t>FO_PCT</t>
  </si>
  <si>
    <t>PIM</t>
  </si>
  <si>
    <t>TOI</t>
  </si>
  <si>
    <t>Rk</t>
  </si>
  <si>
    <t>Player</t>
  </si>
  <si>
    <t>Age</t>
  </si>
  <si>
    <t>Team</t>
  </si>
  <si>
    <t>Pos</t>
  </si>
  <si>
    <t>+/-</t>
  </si>
  <si>
    <t>EVG</t>
  </si>
  <si>
    <t>PPG</t>
  </si>
  <si>
    <t>SHG</t>
  </si>
  <si>
    <t>GWG</t>
  </si>
  <si>
    <t>EV</t>
  </si>
  <si>
    <t>PP</t>
  </si>
  <si>
    <t>SH</t>
  </si>
  <si>
    <t>SPCT</t>
  </si>
  <si>
    <t>TSA</t>
  </si>
  <si>
    <t>ATOI</t>
  </si>
  <si>
    <t>FOW</t>
  </si>
  <si>
    <t>FOL</t>
  </si>
  <si>
    <t>FO%</t>
  </si>
  <si>
    <t>BLK</t>
  </si>
  <si>
    <t>HIT</t>
  </si>
  <si>
    <t>TAKE</t>
  </si>
  <si>
    <t>GIVE</t>
  </si>
  <si>
    <t>Awards</t>
  </si>
  <si>
    <t>mackina01</t>
  </si>
  <si>
    <t>mcdavco01</t>
  </si>
  <si>
    <t>F</t>
  </si>
  <si>
    <t>celebma01</t>
  </si>
  <si>
    <t>Leon Draisaitl</t>
  </si>
  <si>
    <t>draisle01</t>
  </si>
  <si>
    <t>Nikita Kucherov</t>
  </si>
  <si>
    <t>kucheni01</t>
  </si>
  <si>
    <t>rantami01</t>
  </si>
  <si>
    <t>Martin NeÄas</t>
  </si>
  <si>
    <t>necasma01</t>
  </si>
  <si>
    <t>connoky01</t>
  </si>
  <si>
    <t>Jason Robertson</t>
  </si>
  <si>
    <t>roberja01</t>
  </si>
  <si>
    <t>Mark Scheifele</t>
  </si>
  <si>
    <t>scheima01</t>
  </si>
  <si>
    <t>Kirill Kaprizov</t>
  </si>
  <si>
    <t>kapriki01</t>
  </si>
  <si>
    <t>makarca01</t>
  </si>
  <si>
    <t>Wyatt Johnston</t>
  </si>
  <si>
    <t>johnswy01</t>
  </si>
  <si>
    <t>boldyma01</t>
  </si>
  <si>
    <t>crosbsi01</t>
  </si>
  <si>
    <t>David PastrÅˆÃ¡k</t>
  </si>
  <si>
    <t>pastrda01</t>
  </si>
  <si>
    <t>Artemi Panarin</t>
  </si>
  <si>
    <t>panarar01</t>
  </si>
  <si>
    <t>suzukni01</t>
  </si>
  <si>
    <t>raymolu01</t>
  </si>
  <si>
    <t>marchbr03</t>
  </si>
  <si>
    <t>werenza01</t>
  </si>
  <si>
    <t>VEG</t>
  </si>
  <si>
    <t>eicheja01</t>
  </si>
  <si>
    <t>Tim StÃ¼tzle</t>
  </si>
  <si>
    <t>stuetti02</t>
  </si>
  <si>
    <t>Connor Bedard</t>
  </si>
  <si>
    <t>bedarco01</t>
  </si>
  <si>
    <t>guentja01</t>
  </si>
  <si>
    <t>Lane Hutson</t>
  </si>
  <si>
    <t>hutsola01</t>
  </si>
  <si>
    <t>marnemi01</t>
  </si>
  <si>
    <t>reinhsa01</t>
  </si>
  <si>
    <t>ahose01</t>
  </si>
  <si>
    <t>Alex DeBrincat</t>
  </si>
  <si>
    <t>debrial01</t>
  </si>
  <si>
    <t>carlsle01</t>
  </si>
  <si>
    <t>Cole Caufield</t>
  </si>
  <si>
    <t>caufico01</t>
  </si>
  <si>
    <t>Troy Terry</t>
  </si>
  <si>
    <t>terrytr01</t>
  </si>
  <si>
    <t>wilsoto01</t>
  </si>
  <si>
    <t>Evan Bouchard</t>
  </si>
  <si>
    <t>bouchev01</t>
  </si>
  <si>
    <t>Morgan Geekie</t>
  </si>
  <si>
    <t>geekimo01</t>
  </si>
  <si>
    <t>kellecl01</t>
  </si>
  <si>
    <t>nylanwi01</t>
  </si>
  <si>
    <t>Trevor Zegras</t>
  </si>
  <si>
    <t>zegratr01</t>
  </si>
  <si>
    <t>Cutter Gauthier</t>
  </si>
  <si>
    <t>gauthcu01</t>
  </si>
  <si>
    <t>larkidy01</t>
  </si>
  <si>
    <t>Nick Schmaltz</t>
  </si>
  <si>
    <t>schmani01</t>
  </si>
  <si>
    <t>Drake Batherson</t>
  </si>
  <si>
    <t>bathedr01</t>
  </si>
  <si>
    <t>John Tavares</t>
  </si>
  <si>
    <t>tavarjo01</t>
  </si>
  <si>
    <t>thompta01</t>
  </si>
  <si>
    <t>Gabriel Vilardi</t>
  </si>
  <si>
    <t>vilarga01</t>
  </si>
  <si>
    <t>hagelbr01</t>
  </si>
  <si>
    <t>Matthew Knies</t>
  </si>
  <si>
    <t>kniesma01</t>
  </si>
  <si>
    <t>Travis Konecny</t>
  </si>
  <si>
    <t>konectr01</t>
  </si>
  <si>
    <t>Alex Ovechkin</t>
  </si>
  <si>
    <t>ovechal01</t>
  </si>
  <si>
    <t>zibanmi01</t>
  </si>
  <si>
    <t>Dylan Guenther</t>
  </si>
  <si>
    <t>guentdy01</t>
  </si>
  <si>
    <t>nelsobr01</t>
  </si>
  <si>
    <t>Ryan O'Reilly</t>
  </si>
  <si>
    <t>oreilry01</t>
  </si>
  <si>
    <t>stonema01</t>
  </si>
  <si>
    <t>Mathew Barzal</t>
  </si>
  <si>
    <t>barzama01</t>
  </si>
  <si>
    <t>Ivan Demidov</t>
  </si>
  <si>
    <t>demidiv01</t>
  </si>
  <si>
    <t>heiskmi01</t>
  </si>
  <si>
    <t>Darren Raddysh</t>
  </si>
  <si>
    <t>raddyda01</t>
  </si>
  <si>
    <t>Bryan Rust</t>
  </si>
  <si>
    <t>rustbr01</t>
  </si>
  <si>
    <t>2TM</t>
  </si>
  <si>
    <t>hughequ01</t>
  </si>
  <si>
    <t>Kirill Marchenko</t>
  </si>
  <si>
    <t>marchki01</t>
  </si>
  <si>
    <t>Ryan Nugent-Hopkins</t>
  </si>
  <si>
    <t>nugenry01</t>
  </si>
  <si>
    <t>Juraj Slafkovsky</t>
  </si>
  <si>
    <t>slafkju01</t>
  </si>
  <si>
    <t>Andrei Svechnikov</t>
  </si>
  <si>
    <t>svechan01</t>
  </si>
  <si>
    <t>Alex Tuch</t>
  </si>
  <si>
    <t>tuchal01</t>
  </si>
  <si>
    <t>Tyler Bertuzzi</t>
  </si>
  <si>
    <t>bertuty01</t>
  </si>
  <si>
    <t>John Carlson</t>
  </si>
  <si>
    <t>carlsjo01</t>
  </si>
  <si>
    <t>Nikolaj Ehlers</t>
  </si>
  <si>
    <t>ehlerni01</t>
  </si>
  <si>
    <t>TomÃ¡Å¡ Hertl</t>
  </si>
  <si>
    <t>hertlto01</t>
  </si>
  <si>
    <t>kempead01</t>
  </si>
  <si>
    <t>lehkoar01</t>
  </si>
  <si>
    <t>matthau01</t>
  </si>
  <si>
    <t>morrijo04</t>
  </si>
  <si>
    <t>Sam Bennett</t>
  </si>
  <si>
    <t>bennesa01</t>
  </si>
  <si>
    <t>W</t>
  </si>
  <si>
    <t>brattje01</t>
  </si>
  <si>
    <t>hintzro01</t>
  </si>
  <si>
    <t>horvabo01</t>
  </si>
  <si>
    <t>karlser01</t>
  </si>
  <si>
    <t>Beckett Sennecke</t>
  </si>
  <si>
    <t>sennebe01</t>
  </si>
  <si>
    <t>Dylan Strome</t>
  </si>
  <si>
    <t>stromdy01</t>
  </si>
  <si>
    <t>Jakob Chychrun</t>
  </si>
  <si>
    <t>chychja01</t>
  </si>
  <si>
    <t>eriksjo02</t>
  </si>
  <si>
    <t>Nico Hischier</t>
  </si>
  <si>
    <t>hischni01</t>
  </si>
  <si>
    <t>Marcus Johansson</t>
  </si>
  <si>
    <t>johanma03</t>
  </si>
  <si>
    <t>Nazem Kadri</t>
  </si>
  <si>
    <t>kadrina01</t>
  </si>
  <si>
    <t>sandeja01</t>
  </si>
  <si>
    <t>Ivan Barbashev</t>
  </si>
  <si>
    <t>barbaiv01</t>
  </si>
  <si>
    <t>Dylan Cozens</t>
  </si>
  <si>
    <t>cozendy01</t>
  </si>
  <si>
    <t>Luke Evangelista</t>
  </si>
  <si>
    <t>evanglu01</t>
  </si>
  <si>
    <t>Kevin Fiala</t>
  </si>
  <si>
    <t>fialake01</t>
  </si>
  <si>
    <t>forsbfi01</t>
  </si>
  <si>
    <t>Shayne Gostisbehere</t>
  </si>
  <si>
    <t>gostish01</t>
  </si>
  <si>
    <t>Seth Jarvis</t>
  </si>
  <si>
    <t>jarvise01</t>
  </si>
  <si>
    <t>lundean01</t>
  </si>
  <si>
    <t>Aliaksei Protas</t>
  </si>
  <si>
    <t>protaal01</t>
  </si>
  <si>
    <t>Moritz Seider</t>
  </si>
  <si>
    <t>seidemo01</t>
  </si>
  <si>
    <t>Mikhail Sergachev</t>
  </si>
  <si>
    <t>sergami01</t>
  </si>
  <si>
    <t>Robert Thomas</t>
  </si>
  <si>
    <t>thomaro01</t>
  </si>
  <si>
    <t>Pavel Dorofeyev</t>
  </si>
  <si>
    <t>dorofpa01</t>
  </si>
  <si>
    <t>Claude Giroux</t>
  </si>
  <si>
    <t>giroucl01</t>
  </si>
  <si>
    <t>Evgeni Malkin</t>
  </si>
  <si>
    <t>malkiev01</t>
  </si>
  <si>
    <t>JJ Peterka</t>
  </si>
  <si>
    <t>peterjo01</t>
  </si>
  <si>
    <t>wennbal01</t>
  </si>
  <si>
    <t>AndrÃ© Burakovsky</t>
  </si>
  <si>
    <t>burakan01</t>
  </si>
  <si>
    <t>dahlira01</t>
  </si>
  <si>
    <t>Josh Doan</t>
  </si>
  <si>
    <t>doanjo01</t>
  </si>
  <si>
    <t>Anthony Mantha</t>
  </si>
  <si>
    <t>manthan01</t>
  </si>
  <si>
    <t>Matthew Schaefer</t>
  </si>
  <si>
    <t>schaema01</t>
  </si>
  <si>
    <t>Will Smith</t>
  </si>
  <si>
    <t>smithwi01</t>
  </si>
  <si>
    <t>Carter Verhaeghe</t>
  </si>
  <si>
    <t>verhaca01</t>
  </si>
  <si>
    <t>Noah Dobson</t>
  </si>
  <si>
    <t>dobsono01</t>
  </si>
  <si>
    <t>Jordan Eberle</t>
  </si>
  <si>
    <t>eberljo01</t>
  </si>
  <si>
    <t>William Eklund</t>
  </si>
  <si>
    <t>eklunwi01</t>
  </si>
  <si>
    <t>Adam Fox</t>
  </si>
  <si>
    <t>foxad01</t>
  </si>
  <si>
    <t>lindhel01</t>
  </si>
  <si>
    <t>Steven Stamkos</t>
  </si>
  <si>
    <t>stamkst01</t>
  </si>
  <si>
    <t>Tyler Toffoli</t>
  </si>
  <si>
    <t>toffoty01</t>
  </si>
  <si>
    <t>Dmitri Voronkov</t>
  </si>
  <si>
    <t>vorondi01</t>
  </si>
  <si>
    <t>Pavel Zacha</t>
  </si>
  <si>
    <t>zachapa01</t>
  </si>
  <si>
    <t>anderra01</t>
  </si>
  <si>
    <t>Matty Beniers</t>
  </si>
  <si>
    <t>beniema01</t>
  </si>
  <si>
    <t>Christian Dvorak</t>
  </si>
  <si>
    <t>dvorach01</t>
  </si>
  <si>
    <t>Adam Fantilli</t>
  </si>
  <si>
    <t>fantiad01</t>
  </si>
  <si>
    <t>Jackson LaCombe</t>
  </si>
  <si>
    <t>lacomja01</t>
  </si>
  <si>
    <t>Ryan Leonard</t>
  </si>
  <si>
    <t>leonary01</t>
  </si>
  <si>
    <t>Connor McMichael</t>
  </si>
  <si>
    <t>mcmicco01</t>
  </si>
  <si>
    <t>Mason McTavish</t>
  </si>
  <si>
    <t>mctavma01</t>
  </si>
  <si>
    <t>Chandler Stephenson</t>
  </si>
  <si>
    <t>stephch02</t>
  </si>
  <si>
    <t>Mikael Backlund</t>
  </si>
  <si>
    <t>backlmi01</t>
  </si>
  <si>
    <t>faberbr01</t>
  </si>
  <si>
    <t>Filip Hronek</t>
  </si>
  <si>
    <t>hronefi01</t>
  </si>
  <si>
    <t>Patrick Kane</t>
  </si>
  <si>
    <t>kanepa01</t>
  </si>
  <si>
    <t>kapanol01</t>
  </si>
  <si>
    <t>Dawson Mercer</t>
  </si>
  <si>
    <t>merceda01</t>
  </si>
  <si>
    <t>Valeri Nichushkin</t>
  </si>
  <si>
    <t>nichuva01</t>
  </si>
  <si>
    <t>petteel01</t>
  </si>
  <si>
    <t>pointbr01</t>
  </si>
  <si>
    <t>Morgan Rielly</t>
  </si>
  <si>
    <t>riellmo01</t>
  </si>
  <si>
    <t>trochvi01</t>
  </si>
  <si>
    <t>Jackson Blake</t>
  </si>
  <si>
    <t>blakeja02</t>
  </si>
  <si>
    <t>Michael Bunting</t>
  </si>
  <si>
    <t>buntimi01</t>
  </si>
  <si>
    <t>Quinton Byfield</t>
  </si>
  <si>
    <t>byfiequ01</t>
  </si>
  <si>
    <t>cirelan01</t>
  </si>
  <si>
    <t>Charlie Coyle</t>
  </si>
  <si>
    <t>coylech01</t>
  </si>
  <si>
    <t>Vince Dunn</t>
  </si>
  <si>
    <t>dunnvi02</t>
  </si>
  <si>
    <t>ekmanol01</t>
  </si>
  <si>
    <t>hugheja03</t>
  </si>
  <si>
    <t>Anders Lee</t>
  </si>
  <si>
    <t>leean01</t>
  </si>
  <si>
    <t>Ryan McLeod</t>
  </si>
  <si>
    <t>mcleory01</t>
  </si>
  <si>
    <t>Timo Meier</t>
  </si>
  <si>
    <t>meierti01</t>
  </si>
  <si>
    <t>Owen Tippett</t>
  </si>
  <si>
    <t>tippeow01</t>
  </si>
  <si>
    <t>tolvaee01</t>
  </si>
  <si>
    <t>Pavel Buchnevich</t>
  </si>
  <si>
    <t>buchnpa01</t>
  </si>
  <si>
    <t>Noah Cates</t>
  </si>
  <si>
    <t>catesno01</t>
  </si>
  <si>
    <t>Andrew Copp</t>
  </si>
  <si>
    <t>coppan01</t>
  </si>
  <si>
    <t>Matthew Coronato</t>
  </si>
  <si>
    <t>coronma01</t>
  </si>
  <si>
    <t>Sean Couturier</t>
  </si>
  <si>
    <t>coutuse01</t>
  </si>
  <si>
    <t>jonesse01</t>
  </si>
  <si>
    <t>Chris Kreider</t>
  </si>
  <si>
    <t>kreidch01</t>
  </si>
  <si>
    <t>Alexis LafreniÃ¨re</t>
  </si>
  <si>
    <t>lafreal01</t>
  </si>
  <si>
    <t>Bowen Byram</t>
  </si>
  <si>
    <t>byrambo01</t>
  </si>
  <si>
    <t>Logan Cooley</t>
  </si>
  <si>
    <t>coolelo01</t>
  </si>
  <si>
    <t>William Cuylle</t>
  </si>
  <si>
    <t>cuyllwi01</t>
  </si>
  <si>
    <t>haulaer01</t>
  </si>
  <si>
    <t>Zach Hyman</t>
  </si>
  <si>
    <t>hymanza01</t>
  </si>
  <si>
    <t>Sam Malinski</t>
  </si>
  <si>
    <t>malinsa01</t>
  </si>
  <si>
    <t>mcavoch01</t>
  </si>
  <si>
    <t>Bobby McMann</t>
  </si>
  <si>
    <t>mcmanbo02</t>
  </si>
  <si>
    <t>Matvei Michkov</t>
  </si>
  <si>
    <t>michkma01</t>
  </si>
  <si>
    <t>millejt01</t>
  </si>
  <si>
    <t>Kiefer Sherwood</t>
  </si>
  <si>
    <t>sherwki01</t>
  </si>
  <si>
    <t>Lawson Crouse</t>
  </si>
  <si>
    <t>crousla01</t>
  </si>
  <si>
    <t>Jake DeBrusk</t>
  </si>
  <si>
    <t>debruja01</t>
  </si>
  <si>
    <t>Conor Garland</t>
  </si>
  <si>
    <t>garlaco01</t>
  </si>
  <si>
    <t>Collin Graf</t>
  </si>
  <si>
    <t>grafco01</t>
  </si>
  <si>
    <t>Taylor Hall</t>
  </si>
  <si>
    <t>hallta02</t>
  </si>
  <si>
    <t>Luke Hughes</t>
  </si>
  <si>
    <t>hughelu01</t>
  </si>
  <si>
    <t>landega01</t>
  </si>
  <si>
    <t>Kris Letang</t>
  </si>
  <si>
    <t>letankr01</t>
  </si>
  <si>
    <t>Sean Monahan</t>
  </si>
  <si>
    <t>monahse01</t>
  </si>
  <si>
    <t>Shane Pinto</t>
  </si>
  <si>
    <t>pintosh01</t>
  </si>
  <si>
    <t>Jack Quinn</t>
  </si>
  <si>
    <t>quinnja01</t>
  </si>
  <si>
    <t>Mattias Samuelsson</t>
  </si>
  <si>
    <t>samuema02</t>
  </si>
  <si>
    <t>Brock Boeser</t>
  </si>
  <si>
    <t>boesebr01</t>
  </si>
  <si>
    <t>Brent Burns</t>
  </si>
  <si>
    <t>burnsbr01</t>
  </si>
  <si>
    <t>Blake Coleman</t>
  </si>
  <si>
    <t>colembl01</t>
  </si>
  <si>
    <t>Justin Faulk</t>
  </si>
  <si>
    <t>faulkju01</t>
  </si>
  <si>
    <t>Jonathan Huberdeau</t>
  </si>
  <si>
    <t>huberjo01</t>
  </si>
  <si>
    <t>Boone Jenner</t>
  </si>
  <si>
    <t>jennebo01</t>
  </si>
  <si>
    <t>AnÅ¾e Kopitar</t>
  </si>
  <si>
    <t>kopitan01</t>
  </si>
  <si>
    <t>Alex Laferriere</t>
  </si>
  <si>
    <t>laferal01</t>
  </si>
  <si>
    <t>Denton Mateychuk</t>
  </si>
  <si>
    <t>mateyde01</t>
  </si>
  <si>
    <t>Frank Nazar</t>
  </si>
  <si>
    <t>nazarfr01</t>
  </si>
  <si>
    <t>Thomas Novak</t>
  </si>
  <si>
    <t>novakth01</t>
  </si>
  <si>
    <t>Dmitry Orlov</t>
  </si>
  <si>
    <t>orlovdm01</t>
  </si>
  <si>
    <t>David Perron</t>
  </si>
  <si>
    <t>perroda01</t>
  </si>
  <si>
    <t>Corey Perry</t>
  </si>
  <si>
    <t>perryco01</t>
  </si>
  <si>
    <t>Nicholas Robertson</t>
  </si>
  <si>
    <t>roberni01</t>
  </si>
  <si>
    <t>Logan Stankoven</t>
  </si>
  <si>
    <t>stanklo01</t>
  </si>
  <si>
    <t>Teuvo TerÃ¤vÃ¤inen</t>
  </si>
  <si>
    <t>teravte01</t>
  </si>
  <si>
    <t>tkachbr01</t>
  </si>
  <si>
    <t>Viktor Arvidsson</t>
  </si>
  <si>
    <t>arvidvi01</t>
  </si>
  <si>
    <t>Oliver Bjorkstrand</t>
  </si>
  <si>
    <t>bjorkol01</t>
  </si>
  <si>
    <t>Justin Brazeau</t>
  </si>
  <si>
    <t>brazeju01</t>
  </si>
  <si>
    <t>Bobby Brink</t>
  </si>
  <si>
    <t>brinkbo01</t>
  </si>
  <si>
    <t>Morgan Frost</t>
  </si>
  <si>
    <t>frostmo01</t>
  </si>
  <si>
    <t>Emil Heineman</t>
  </si>
  <si>
    <t>heineem01</t>
  </si>
  <si>
    <t>Simon HolmstrÃ¶m</t>
  </si>
  <si>
    <t>holmssi01</t>
  </si>
  <si>
    <t>Evander Kane</t>
  </si>
  <si>
    <t>kaneev01</t>
  </si>
  <si>
    <t>Artyom Levshunov</t>
  </si>
  <si>
    <t>levshar01</t>
  </si>
  <si>
    <t>John Marino</t>
  </si>
  <si>
    <t>marinjo01</t>
  </si>
  <si>
    <t>Mike Matheson</t>
  </si>
  <si>
    <t>mathemi01</t>
  </si>
  <si>
    <t>K'Andre Miller</t>
  </si>
  <si>
    <t>milleka01</t>
  </si>
  <si>
    <t>Evan Rodrigues</t>
  </si>
  <si>
    <t>rodriev01</t>
  </si>
  <si>
    <t>Jack Roslovic</t>
  </si>
  <si>
    <t>rosloja01</t>
  </si>
  <si>
    <t>Cole Sillinger</t>
  </si>
  <si>
    <t>sillico01</t>
  </si>
  <si>
    <t>Vladimir Tarasenko</t>
  </si>
  <si>
    <t>tarasvl01</t>
  </si>
  <si>
    <t>theodsh01</t>
  </si>
  <si>
    <t>Mats Zuccarello</t>
  </si>
  <si>
    <t>zuccama01</t>
  </si>
  <si>
    <t>Jason Zucker</t>
  </si>
  <si>
    <t>zuckeja01</t>
  </si>
  <si>
    <t>Mason Marchment</t>
  </si>
  <si>
    <t>marchma01</t>
  </si>
  <si>
    <t>Brandt Clarke</t>
  </si>
  <si>
    <t>clarkbr02</t>
  </si>
  <si>
    <t>Ross Colton</t>
  </si>
  <si>
    <t>coltoro01</t>
  </si>
  <si>
    <t>Max Domi</t>
  </si>
  <si>
    <t>domima01</t>
  </si>
  <si>
    <t>Jonathan Drouin</t>
  </si>
  <si>
    <t>drouijo01</t>
  </si>
  <si>
    <t>Mattias Ekholm</t>
  </si>
  <si>
    <t>ekholma01</t>
  </si>
  <si>
    <t>Joel Farabee</t>
  </si>
  <si>
    <t>farabjo01</t>
  </si>
  <si>
    <t>Emmitt Finnie</t>
  </si>
  <si>
    <t>finniem01</t>
  </si>
  <si>
    <t>Linus Karlsson</t>
  </si>
  <si>
    <t>karlsli01</t>
  </si>
  <si>
    <t>Josh Manson</t>
  </si>
  <si>
    <t>mansojo01</t>
  </si>
  <si>
    <t>Victor Olofsson</t>
  </si>
  <si>
    <t>olofsvi01</t>
  </si>
  <si>
    <t>Vasily Podkolzin</t>
  </si>
  <si>
    <t>podkova01</t>
  </si>
  <si>
    <t>Ryan Pulock</t>
  </si>
  <si>
    <t>pulocry01</t>
  </si>
  <si>
    <t>sanhetr01</t>
  </si>
  <si>
    <t>Justin Sourdif</t>
  </si>
  <si>
    <t>sourdju01</t>
  </si>
  <si>
    <t>Fabian Zetterlund</t>
  </si>
  <si>
    <t>zettefa01</t>
  </si>
  <si>
    <t>Nick Blankenburg</t>
  </si>
  <si>
    <t>blankni01</t>
  </si>
  <si>
    <t>Ryan Donato</t>
  </si>
  <si>
    <t>donatry01</t>
  </si>
  <si>
    <t>Jamie Drysdale</t>
  </si>
  <si>
    <t>drysdja01</t>
  </si>
  <si>
    <t>Anthony Duclair</t>
  </si>
  <si>
    <t>duclaan01</t>
  </si>
  <si>
    <t>Arseny Gritsyuk</t>
  </si>
  <si>
    <t>gritsar01</t>
  </si>
  <si>
    <t>Ryan Hartman</t>
  </si>
  <si>
    <t>hartmry01</t>
  </si>
  <si>
    <t>Roman Josi</t>
  </si>
  <si>
    <t>josiro01</t>
  </si>
  <si>
    <t>Benjamin Kindel</t>
  </si>
  <si>
    <t>kindebe01</t>
  </si>
  <si>
    <t>lindees01</t>
  </si>
  <si>
    <t>Mason Lohrei</t>
  </si>
  <si>
    <t>lohrema01</t>
  </si>
  <si>
    <t>luostee01</t>
  </si>
  <si>
    <t>Casey Mittelstadt</t>
  </si>
  <si>
    <t>mitteca01</t>
  </si>
  <si>
    <t>Simon Nemec</t>
  </si>
  <si>
    <t>nemecsi01</t>
  </si>
  <si>
    <t>Kyle Palmieri</t>
  </si>
  <si>
    <t>palmiky01</t>
  </si>
  <si>
    <t>Mackie Samoskevich</t>
  </si>
  <si>
    <t>samosma01</t>
  </si>
  <si>
    <t>Brayden Schenn</t>
  </si>
  <si>
    <t>schenbr01</t>
  </si>
  <si>
    <t>Jacob Trouba</t>
  </si>
  <si>
    <t>troubja01</t>
  </si>
  <si>
    <t>Cameron York</t>
  </si>
  <si>
    <t>yorkca01</t>
  </si>
  <si>
    <t>Zeev Buium</t>
  </si>
  <si>
    <t>buiumze01</t>
  </si>
  <si>
    <t>Zach Benson</t>
  </si>
  <si>
    <t>bensoza01</t>
  </si>
  <si>
    <t>Zachary Bolduc</t>
  </si>
  <si>
    <t>bolduza01</t>
  </si>
  <si>
    <t>Connor Brown</t>
  </si>
  <si>
    <t>brownco02</t>
  </si>
  <si>
    <t>Tony DeAngelo</t>
  </si>
  <si>
    <t>deangan01</t>
  </si>
  <si>
    <t>granlmi01</t>
  </si>
  <si>
    <t>Dylan Holloway</t>
  </si>
  <si>
    <t>hollody01</t>
  </si>
  <si>
    <t>Tanner Jeannot</t>
  </si>
  <si>
    <t>jeannta01</t>
  </si>
  <si>
    <t>Jordan Kyrou</t>
  </si>
  <si>
    <t>kyroujo01</t>
  </si>
  <si>
    <t>Fraser Minten</t>
  </si>
  <si>
    <t>mintefr01</t>
  </si>
  <si>
    <t>Jake Neighbours</t>
  </si>
  <si>
    <t>neighja01</t>
  </si>
  <si>
    <t>Alexander Nikishin</t>
  </si>
  <si>
    <t>nikisal01</t>
  </si>
  <si>
    <t>Ivan Provorov</t>
  </si>
  <si>
    <t>provoiv01</t>
  </si>
  <si>
    <t>rakelri01</t>
  </si>
  <si>
    <t>Nicolas Roy</t>
  </si>
  <si>
    <t>royni01</t>
  </si>
  <si>
    <t>Axel Sandin Pellikka</t>
  </si>
  <si>
    <t>sandiax01</t>
  </si>
  <si>
    <t>Tyler Seguin</t>
  </si>
  <si>
    <t>seguity01</t>
  </si>
  <si>
    <t>Damon Severson</t>
  </si>
  <si>
    <t>severda01</t>
  </si>
  <si>
    <t>Jordan Staal</t>
  </si>
  <si>
    <t>staaljo01</t>
  </si>
  <si>
    <t>James van Riemsdyk</t>
  </si>
  <si>
    <t>vanrija01</t>
  </si>
  <si>
    <t>Michael Amadio</t>
  </si>
  <si>
    <t>amadimi01</t>
  </si>
  <si>
    <t>armiajo01</t>
  </si>
  <si>
    <t>J.T. Compher</t>
  </si>
  <si>
    <t>comphj.01</t>
  </si>
  <si>
    <t>Connor Dewar</t>
  </si>
  <si>
    <t>dewarco01</t>
  </si>
  <si>
    <t>Joel Edmundson</t>
  </si>
  <si>
    <t>edmunjo01</t>
  </si>
  <si>
    <t>Simon Edvinsson</t>
  </si>
  <si>
    <t>edvinsi01</t>
  </si>
  <si>
    <t>Aaron Ekblad</t>
  </si>
  <si>
    <t>ekblaaa01</t>
  </si>
  <si>
    <t>Radek Faksa</t>
  </si>
  <si>
    <t>faksara01</t>
  </si>
  <si>
    <t>Martin FehÃ©rvÃ¡ry</t>
  </si>
  <si>
    <t>feherma01</t>
  </si>
  <si>
    <t>Ryan Greene</t>
  </si>
  <si>
    <t>greenry01</t>
  </si>
  <si>
    <t>Ridly Greig</t>
  </si>
  <si>
    <t>greigri01</t>
  </si>
  <si>
    <t>hanifno01</t>
  </si>
  <si>
    <t>harleth01</t>
  </si>
  <si>
    <t>John Klingberg</t>
  </si>
  <si>
    <t>klingjo01</t>
  </si>
  <si>
    <t>Andrei Kuzmenko</t>
  </si>
  <si>
    <t>kuzmean01</t>
  </si>
  <si>
    <t>Matias Maccelli</t>
  </si>
  <si>
    <t>maccema01</t>
  </si>
  <si>
    <t>Jake McCabe</t>
  </si>
  <si>
    <t>mccabja01</t>
  </si>
  <si>
    <t>Brandon Montour</t>
  </si>
  <si>
    <t>montobr01</t>
  </si>
  <si>
    <t>Nino Niederreiter</t>
  </si>
  <si>
    <t>niedeni01</t>
  </si>
  <si>
    <t>Darnell Nurse</t>
  </si>
  <si>
    <t>nurseda01</t>
  </si>
  <si>
    <t>Drew O'Connor</t>
  </si>
  <si>
    <t>oconndr01</t>
  </si>
  <si>
    <t>Jean-Gabriel Pageau</t>
  </si>
  <si>
    <t>pageaje01</t>
  </si>
  <si>
    <t>Ryan Shea</t>
  </si>
  <si>
    <t>sheary01</t>
  </si>
  <si>
    <t>Sam Steel</t>
  </si>
  <si>
    <t>steelsa01</t>
  </si>
  <si>
    <t>MacKenzie Weegar</t>
  </si>
  <si>
    <t>weegama01</t>
  </si>
  <si>
    <t>Danila Yurov</t>
  </si>
  <si>
    <t>yurovda01</t>
  </si>
  <si>
    <t>Olen Zellweger</t>
  </si>
  <si>
    <t>zellwol01</t>
  </si>
  <si>
    <t>Anthony Beauvillier</t>
  </si>
  <si>
    <t>beauvan01</t>
  </si>
  <si>
    <t>Michael Carcone</t>
  </si>
  <si>
    <t>carcomi01</t>
  </si>
  <si>
    <t>Thomas Chabot</t>
  </si>
  <si>
    <t>chaboth01</t>
  </si>
  <si>
    <t>Dylan DeMelo</t>
  </si>
  <si>
    <t>demeldy01</t>
  </si>
  <si>
    <t>Cam Fowler</t>
  </si>
  <si>
    <t>fowleca01</t>
  </si>
  <si>
    <t>Ethen Frank</t>
  </si>
  <si>
    <t>franket01</t>
  </si>
  <si>
    <t>Adam Gaudette</t>
  </si>
  <si>
    <t>gaudead01</t>
  </si>
  <si>
    <t>Vladislav Gavrikov</t>
  </si>
  <si>
    <t>gavrivl01</t>
  </si>
  <si>
    <t>A.J. Greer</t>
  </si>
  <si>
    <t>greeraj01</t>
  </si>
  <si>
    <t>Brett Howden</t>
  </si>
  <si>
    <t>howdebr01</t>
  </si>
  <si>
    <t>Alex Iafallo</t>
  </si>
  <si>
    <t>iafalal01</t>
  </si>
  <si>
    <t>Marat Khusnutdinov</t>
  </si>
  <si>
    <t>khusnma01</t>
  </si>
  <si>
    <t>Philipp Kurashev</t>
  </si>
  <si>
    <t>kurasph01</t>
  </si>
  <si>
    <t>Jared McCann</t>
  </si>
  <si>
    <t>mccanja01</t>
  </si>
  <si>
    <t>Joshua Norris</t>
  </si>
  <si>
    <t>norrijo01</t>
  </si>
  <si>
    <t>Ryan Poehling</t>
  </si>
  <si>
    <t>poehlry01</t>
  </si>
  <si>
    <t>Jaden Schwartz</t>
  </si>
  <si>
    <t>schwaja01</t>
  </si>
  <si>
    <t>Max Shabanov</t>
  </si>
  <si>
    <t>shabama01</t>
  </si>
  <si>
    <t>Parker Wotherspoon</t>
  </si>
  <si>
    <t>wothepa01</t>
  </si>
  <si>
    <t>Shane Wright</t>
  </si>
  <si>
    <t>wrighsh01</t>
  </si>
  <si>
    <t>Alexandre Texier</t>
  </si>
  <si>
    <t>texieal01</t>
  </si>
  <si>
    <t>Marco Rossi</t>
  </si>
  <si>
    <t>rossima01</t>
  </si>
  <si>
    <t>Morgan Barron</t>
  </si>
  <si>
    <t>barromo01</t>
  </si>
  <si>
    <t>Jamie Benn</t>
  </si>
  <si>
    <t>bennja01</t>
  </si>
  <si>
    <t>Mavrik Bourque</t>
  </si>
  <si>
    <t>bourqma01</t>
  </si>
  <si>
    <t>Braeden Bowman</t>
  </si>
  <si>
    <t>bowmabr01</t>
  </si>
  <si>
    <t>brobeph01</t>
  </si>
  <si>
    <t>brodijo01</t>
  </si>
  <si>
    <t>Louis Crevier</t>
  </si>
  <si>
    <t>crevilo01</t>
  </si>
  <si>
    <t>Charle-Edouard D'Astous</t>
  </si>
  <si>
    <t>dastoch01</t>
  </si>
  <si>
    <t>Jack Drury</t>
  </si>
  <si>
    <t>druryja01</t>
  </si>
  <si>
    <t>Michael Eyssimont</t>
  </si>
  <si>
    <t>eyssimi01</t>
  </si>
  <si>
    <t>forslgu02</t>
  </si>
  <si>
    <t>Brendan Gallagher</t>
  </si>
  <si>
    <t>gallabr01</t>
  </si>
  <si>
    <t>Yanni Gourde</t>
  </si>
  <si>
    <t>gourdya01</t>
  </si>
  <si>
    <t>kakkoka01</t>
  </si>
  <si>
    <t>Parker Kelly</t>
  </si>
  <si>
    <t>kellypa01</t>
  </si>
  <si>
    <t>Peyton Krebs</t>
  </si>
  <si>
    <t>krebspe01</t>
  </si>
  <si>
    <t>Hampus Lindholm</t>
  </si>
  <si>
    <t>lindhha01</t>
  </si>
  <si>
    <t>Ilya Mikheyev</t>
  </si>
  <si>
    <t>mikheil01</t>
  </si>
  <si>
    <t>Oliver Moore</t>
  </si>
  <si>
    <t>mooreol01</t>
  </si>
  <si>
    <t>J.J. Moser</t>
  </si>
  <si>
    <t>moserja01</t>
  </si>
  <si>
    <t>Michael Rasmussen</t>
  </si>
  <si>
    <t>rasmumi01</t>
  </si>
  <si>
    <t>Eric Robinson</t>
  </si>
  <si>
    <t>robiner01</t>
  </si>
  <si>
    <t>Matthew Savoie</t>
  </si>
  <si>
    <t>savoima01</t>
  </si>
  <si>
    <t>Yegor Sharangovich</t>
  </si>
  <si>
    <t>sharaye01</t>
  </si>
  <si>
    <t>Jimmy Snuggerud</t>
  </si>
  <si>
    <t>snuggji01</t>
  </si>
  <si>
    <t>Jordan Spence</t>
  </si>
  <si>
    <t>spencjo01</t>
  </si>
  <si>
    <t>Logan Stanley</t>
  </si>
  <si>
    <t>stanllo01</t>
  </si>
  <si>
    <t>Pius Suter</t>
  </si>
  <si>
    <t>suterpi01</t>
  </si>
  <si>
    <t>Jonathan Toews</t>
  </si>
  <si>
    <t>toewsjo01</t>
  </si>
  <si>
    <t>Yakov Trenin</t>
  </si>
  <si>
    <t>treniya01</t>
  </si>
  <si>
    <t>Matthew Wood</t>
  </si>
  <si>
    <t>woodma01</t>
  </si>
  <si>
    <t>Nikita Zadorov</t>
  </si>
  <si>
    <t>zadorni01</t>
  </si>
  <si>
    <t>Connor Zary</t>
  </si>
  <si>
    <t>zaryco01</t>
  </si>
  <si>
    <t>Josh Anderson</t>
  </si>
  <si>
    <t>anderjo05</t>
  </si>
  <si>
    <t>Ian Cole</t>
  </si>
  <si>
    <t>coleia01</t>
  </si>
  <si>
    <t>Easton Cowan</t>
  </si>
  <si>
    <t>cowanea01</t>
  </si>
  <si>
    <t>doughdr01</t>
  </si>
  <si>
    <t>Sean Durzi</t>
  </si>
  <si>
    <t>durzise01</t>
  </si>
  <si>
    <t>Tyson Foerster</t>
  </si>
  <si>
    <t>foersty01</t>
  </si>
  <si>
    <t>Gage Goncalves</t>
  </si>
  <si>
    <t>goncaga01</t>
  </si>
  <si>
    <t>holmbpo01</t>
  </si>
  <si>
    <t>Justin Hryckowian</t>
  </si>
  <si>
    <t>hryckju01</t>
  </si>
  <si>
    <t>Ben Hutton</t>
  </si>
  <si>
    <t>huttobe01</t>
  </si>
  <si>
    <t>Mark Kastelic</t>
  </si>
  <si>
    <t>kastema01</t>
  </si>
  <si>
    <t>Alex Killorn</t>
  </si>
  <si>
    <t>killoal01</t>
  </si>
  <si>
    <t>Sean Kuraly</t>
  </si>
  <si>
    <t>kuralse01</t>
  </si>
  <si>
    <t>Jordan Martinook</t>
  </si>
  <si>
    <t>martijo01</t>
  </si>
  <si>
    <t>Trevor Moore</t>
  </si>
  <si>
    <t>mooretr01</t>
  </si>
  <si>
    <t>Owen Power</t>
  </si>
  <si>
    <t>powerow01</t>
  </si>
  <si>
    <t>Matt Roy</t>
  </si>
  <si>
    <t>royma04</t>
  </si>
  <si>
    <t>Rasmus Sandin</t>
  </si>
  <si>
    <t>sandira01</t>
  </si>
  <si>
    <t>Nate Schmidt</t>
  </si>
  <si>
    <t>schmina01</t>
  </si>
  <si>
    <t>Brady Skjei</t>
  </si>
  <si>
    <t>skjeibr01</t>
  </si>
  <si>
    <t>Reilly Smith</t>
  </si>
  <si>
    <t>smithre01</t>
  </si>
  <si>
    <t>Jared Spurgeon</t>
  </si>
  <si>
    <t>spurgja01</t>
  </si>
  <si>
    <t>Alex Steeves</t>
  </si>
  <si>
    <t>steeval02</t>
  </si>
  <si>
    <t>Oskar Sundqvist</t>
  </si>
  <si>
    <t>sundqos01</t>
  </si>
  <si>
    <t>toewsde01</t>
  </si>
  <si>
    <t>Artem Zub</t>
  </si>
  <si>
    <t>zubar01</t>
  </si>
  <si>
    <t>Alexandre Carrier</t>
  </si>
  <si>
    <t>carrial01</t>
  </si>
  <si>
    <t>Barrett Hayton</t>
  </si>
  <si>
    <t>haytoba01</t>
  </si>
  <si>
    <t>hedmavi01</t>
  </si>
  <si>
    <t>Kent Johnson</t>
  </si>
  <si>
    <t>johnske01</t>
  </si>
  <si>
    <t>Ross Johnston</t>
  </si>
  <si>
    <t>johnsro02</t>
  </si>
  <si>
    <t>Noah Laba</t>
  </si>
  <si>
    <t>labano01</t>
  </si>
  <si>
    <t>Alex Newhook</t>
  </si>
  <si>
    <t>newhoal01</t>
  </si>
  <si>
    <t>Noah Ostlund</t>
  </si>
  <si>
    <t>ostluno01</t>
  </si>
  <si>
    <t>Sean Walker</t>
  </si>
  <si>
    <t>walkese01</t>
  </si>
  <si>
    <t>Tom Willander</t>
  </si>
  <si>
    <t>willato01</t>
  </si>
  <si>
    <t>Miles Wood</t>
  </si>
  <si>
    <t>woodmi01</t>
  </si>
  <si>
    <t>Mason Appleton</t>
  </si>
  <si>
    <t>applema01</t>
  </si>
  <si>
    <t>Casey Cizikas</t>
  </si>
  <si>
    <t>cizikca01</t>
  </si>
  <si>
    <t>Ty Dellandrea</t>
  </si>
  <si>
    <t>dellaty01</t>
  </si>
  <si>
    <t>Brenden Dillon</t>
  </si>
  <si>
    <t>dillobr01</t>
  </si>
  <si>
    <t>Nic Dowd</t>
  </si>
  <si>
    <t>dowdni01</t>
  </si>
  <si>
    <t>Mario Ferraro</t>
  </si>
  <si>
    <t>ferrama01</t>
  </si>
  <si>
    <t>FrÃ©dÃ©rick Gaudreau</t>
  </si>
  <si>
    <t>gaudrfr01</t>
  </si>
  <si>
    <t>Samuel Girard</t>
  </si>
  <si>
    <t>girarsa01</t>
  </si>
  <si>
    <t>Matt Grzelcyk</t>
  </si>
  <si>
    <t>grzelma01</t>
  </si>
  <si>
    <t>Nicolas Hague</t>
  </si>
  <si>
    <t>hagueni01</t>
  </si>
  <si>
    <t>Steven Lorentz</t>
  </si>
  <si>
    <t>lorenst01</t>
  </si>
  <si>
    <t>Andrew Mangiapane</t>
  </si>
  <si>
    <t>mangian01</t>
  </si>
  <si>
    <t>Jack McBain</t>
  </si>
  <si>
    <t>mcbaija03</t>
  </si>
  <si>
    <t>Pavel Mintyukov</t>
  </si>
  <si>
    <t>mintypa01</t>
  </si>
  <si>
    <t>Mathieu Olivier</t>
  </si>
  <si>
    <t>olivima01</t>
  </si>
  <si>
    <t>parayco01</t>
  </si>
  <si>
    <t>Cole Perfetti</t>
  </si>
  <si>
    <t>perfeco01</t>
  </si>
  <si>
    <t>Taylor Raddysh</t>
  </si>
  <si>
    <t>raddyta01</t>
  </si>
  <si>
    <t>Aatu RÃ¤ty</t>
  </si>
  <si>
    <t>ratyaa01</t>
  </si>
  <si>
    <t>Calum Ritchie</t>
  </si>
  <si>
    <t>ritchca01</t>
  </si>
  <si>
    <t>Jeff Skinner</t>
  </si>
  <si>
    <t>skinnje01</t>
  </si>
  <si>
    <t>Nathan Walker</t>
  </si>
  <si>
    <t>walkena01</t>
  </si>
  <si>
    <t>Jonatan Berggren</t>
  </si>
  <si>
    <t>berggjo02</t>
  </si>
  <si>
    <t>Noel Acciari</t>
  </si>
  <si>
    <t>acciano01</t>
  </si>
  <si>
    <t>Emil Andrae</t>
  </si>
  <si>
    <t>andraem01</t>
  </si>
  <si>
    <t>Jalen Chatfield</t>
  </si>
  <si>
    <t>chatfja01</t>
  </si>
  <si>
    <t>Paul Cotter</t>
  </si>
  <si>
    <t>cottepa01</t>
  </si>
  <si>
    <t>Nick Cousins</t>
  </si>
  <si>
    <t>cousini01</t>
  </si>
  <si>
    <t>Maxwell Crozier</t>
  </si>
  <si>
    <t>crozima01</t>
  </si>
  <si>
    <t>Brian Dumoulin</t>
  </si>
  <si>
    <t>dumoubr01</t>
  </si>
  <si>
    <t>Jake Evans</t>
  </si>
  <si>
    <t>evansja02</t>
  </si>
  <si>
    <t>Ryker Evans</t>
  </si>
  <si>
    <t>evansry01</t>
  </si>
  <si>
    <t>Nikita Grebenkin</t>
  </si>
  <si>
    <t>grebeni01</t>
  </si>
  <si>
    <t>Dougie Hamilton</t>
  </si>
  <si>
    <t>hamildo01</t>
  </si>
  <si>
    <t>Adam Henrique</t>
  </si>
  <si>
    <t>henriad01</t>
  </si>
  <si>
    <t>Nick Jensen</t>
  </si>
  <si>
    <t>jenseni02</t>
  </si>
  <si>
    <t>Mathieu Joseph</t>
  </si>
  <si>
    <t>josepma01</t>
  </si>
  <si>
    <t>Dakota Joshua</t>
  </si>
  <si>
    <t>joshuda01</t>
  </si>
  <si>
    <t>Kaedan Korczak</t>
  </si>
  <si>
    <t>korczka01</t>
  </si>
  <si>
    <t>Adam Larsson</t>
  </si>
  <si>
    <t>larssad01</t>
  </si>
  <si>
    <t>Blake Lizotte</t>
  </si>
  <si>
    <t>lizotbl01</t>
  </si>
  <si>
    <t>Jonathan Marchessault</t>
  </si>
  <si>
    <t>audymjo01</t>
  </si>
  <si>
    <t>Nick Paul</t>
  </si>
  <si>
    <t>paulni01</t>
  </si>
  <si>
    <t>Max Sasson</t>
  </si>
  <si>
    <t>sassoma01</t>
  </si>
  <si>
    <t>Kevin Stenlund</t>
  </si>
  <si>
    <t>stenlke01</t>
  </si>
  <si>
    <t>Alex Turcotte</t>
  </si>
  <si>
    <t>turcoal02</t>
  </si>
  <si>
    <t>Alex Vlasic</t>
  </si>
  <si>
    <t>vlasial01</t>
  </si>
  <si>
    <t>Jake Walman</t>
  </si>
  <si>
    <t>walmaja01</t>
  </si>
  <si>
    <t>Gavin Brindley</t>
  </si>
  <si>
    <t>brindga01</t>
  </si>
  <si>
    <t>Jonny Brodzinski</t>
  </si>
  <si>
    <t>brodzjo01</t>
  </si>
  <si>
    <t>William Carrier</t>
  </si>
  <si>
    <t>carriwi01</t>
  </si>
  <si>
    <t>Ben Chiarot</t>
  </si>
  <si>
    <t>chiarbe01</t>
  </si>
  <si>
    <t>Jason Dickinson</t>
  </si>
  <si>
    <t>dickija01</t>
  </si>
  <si>
    <t>Matt Duchene</t>
  </si>
  <si>
    <t>duchema01</t>
  </si>
  <si>
    <t>Dalibor Dvorsky</t>
  </si>
  <si>
    <t>dvorsda01</t>
  </si>
  <si>
    <t>Cody Glass</t>
  </si>
  <si>
    <t>glassco01</t>
  </si>
  <si>
    <t>Drew Helleson</t>
  </si>
  <si>
    <t>helledr01</t>
  </si>
  <si>
    <t>Wyatt Kaiser</t>
  </si>
  <si>
    <t>kaisewy01</t>
  </si>
  <si>
    <t>Adam Klapka</t>
  </si>
  <si>
    <t>klapkad01</t>
  </si>
  <si>
    <t>Adam Lowry</t>
  </si>
  <si>
    <t>lowryad01</t>
  </si>
  <si>
    <t>Jacob Middleton</t>
  </si>
  <si>
    <t>middlja01</t>
  </si>
  <si>
    <t>Vladislav Namestnikov</t>
  </si>
  <si>
    <t>namesvl01</t>
  </si>
  <si>
    <t>Nikita Nesterenko</t>
  </si>
  <si>
    <t>nesteni02</t>
  </si>
  <si>
    <t>Andrew Peeke</t>
  </si>
  <si>
    <t>peekean01</t>
  </si>
  <si>
    <t>Alexander Petrovic</t>
  </si>
  <si>
    <t>petroal01</t>
  </si>
  <si>
    <t>Marcus Pettersson</t>
  </si>
  <si>
    <t>pettema01</t>
  </si>
  <si>
    <t>Conor Sheary</t>
  </si>
  <si>
    <t>shearco01</t>
  </si>
  <si>
    <t>Spencer Stastney</t>
  </si>
  <si>
    <t>stastsp01</t>
  </si>
  <si>
    <t>Fedor Svechkov</t>
  </si>
  <si>
    <t>svechfe01</t>
  </si>
  <si>
    <t>Ryan Winterton</t>
  </si>
  <si>
    <t>wintery01</t>
  </si>
  <si>
    <t>Kailer Yamamoto</t>
  </si>
  <si>
    <t>yamamka01</t>
  </si>
  <si>
    <t>Rodrigo Abols</t>
  </si>
  <si>
    <t>abolsro01</t>
  </si>
  <si>
    <t>Michael Anderson</t>
  </si>
  <si>
    <t>andermi02</t>
  </si>
  <si>
    <t>Kevin Bahl</t>
  </si>
  <si>
    <t>bahlke01</t>
  </si>
  <si>
    <t>Cody Ceci</t>
  </si>
  <si>
    <t>cecico01</t>
  </si>
  <si>
    <t>Igor Chernyshov</t>
  </si>
  <si>
    <t>chernig01</t>
  </si>
  <si>
    <t>Colton Dach</t>
  </si>
  <si>
    <t>dachco01</t>
  </si>
  <si>
    <t>Ty Emberson</t>
  </si>
  <si>
    <t>emberty01</t>
  </si>
  <si>
    <t>Warren Foegele</t>
  </si>
  <si>
    <t>foegewa01</t>
  </si>
  <si>
    <t>Nick Foligno</t>
  </si>
  <si>
    <t>foligni01</t>
  </si>
  <si>
    <t>Zemgus Girgensons</t>
  </si>
  <si>
    <t>girgeze01</t>
  </si>
  <si>
    <t>Barclay Goodrow</t>
  </si>
  <si>
    <t>goodrba01</t>
  </si>
  <si>
    <t>Carl GrundstrÃ¶m</t>
  </si>
  <si>
    <t>grundca01</t>
  </si>
  <si>
    <t>Radko Gudas</t>
  </si>
  <si>
    <t>gudasra01</t>
  </si>
  <si>
    <t>Dominic James</t>
  </si>
  <si>
    <t>jamesdo01</t>
  </si>
  <si>
    <t>Cole Koepke</t>
  </si>
  <si>
    <t>koepkco01</t>
  </si>
  <si>
    <t>Keegan Kolesar</t>
  </si>
  <si>
    <t>koleske01</t>
  </si>
  <si>
    <t>Yan Kuznetsov</t>
  </si>
  <si>
    <t>kuzneya01</t>
  </si>
  <si>
    <t>Michael McCarron</t>
  </si>
  <si>
    <t>mccarmi01</t>
  </si>
  <si>
    <t>Ryan McDonagh</t>
  </si>
  <si>
    <t>mcdonry01</t>
  </si>
  <si>
    <t>Ben Meyers</t>
  </si>
  <si>
    <t>meyerbe01</t>
  </si>
  <si>
    <t>Connor Murphy</t>
  </si>
  <si>
    <t>murphco02</t>
  </si>
  <si>
    <t>Tyler Myers</t>
  </si>
  <si>
    <t>myersty01</t>
  </si>
  <si>
    <t>Gustav Nyquist</t>
  </si>
  <si>
    <t>nyquigu01</t>
  </si>
  <si>
    <t>Joel Nystrom</t>
  </si>
  <si>
    <t>nystrjo01</t>
  </si>
  <si>
    <t>Jamie Oleksiak</t>
  </si>
  <si>
    <t>oleksja01</t>
  </si>
  <si>
    <t>OndÅ™ej PalÃ¡t</t>
  </si>
  <si>
    <t>palaton01</t>
  </si>
  <si>
    <t>Tanner Pearson</t>
  </si>
  <si>
    <t>pearsta01</t>
  </si>
  <si>
    <t>Nicklaus Perbix</t>
  </si>
  <si>
    <t>perbini01</t>
  </si>
  <si>
    <t>Jeff Petry</t>
  </si>
  <si>
    <t>petryje01</t>
  </si>
  <si>
    <t>Sam Rinzel</t>
  </si>
  <si>
    <t>rinzesa01</t>
  </si>
  <si>
    <t>Braden Schneider</t>
  </si>
  <si>
    <t>schnebr01</t>
  </si>
  <si>
    <t>Troy Stecher</t>
  </si>
  <si>
    <t>stechtr01</t>
  </si>
  <si>
    <t>Nico Sturm</t>
  </si>
  <si>
    <t>sturmni01</t>
  </si>
  <si>
    <t>Tyler Tucker</t>
  </si>
  <si>
    <t>tuckety01</t>
  </si>
  <si>
    <t>Yegor Chinakhov</t>
  </si>
  <si>
    <t>chinaye01</t>
  </si>
  <si>
    <t>Sammy Blais</t>
  </si>
  <si>
    <t>blaissa01</t>
  </si>
  <si>
    <t>Phillip Danault</t>
  </si>
  <si>
    <t>danauph01</t>
  </si>
  <si>
    <t>Oskar Back</t>
  </si>
  <si>
    <t>backos01</t>
  </si>
  <si>
    <t>Uvis Balinskis</t>
  </si>
  <si>
    <t>balinuv01</t>
  </si>
  <si>
    <t>Zakhar Bardakov</t>
  </si>
  <si>
    <t>bardaza01</t>
  </si>
  <si>
    <t>Colin Blackwell</t>
  </si>
  <si>
    <t>blackco01</t>
  </si>
  <si>
    <t>Jesper Boqvist</t>
  </si>
  <si>
    <t>boqvije01</t>
  </si>
  <si>
    <t>Sam Carrick</t>
  </si>
  <si>
    <t>carrisa01</t>
  </si>
  <si>
    <t>Berkly Catton</t>
  </si>
  <si>
    <t>cattobe01</t>
  </si>
  <si>
    <t>Kirby Dach</t>
  </si>
  <si>
    <t>dachki01</t>
  </si>
  <si>
    <t>Nate Danielson</t>
  </si>
  <si>
    <t>daniena01</t>
  </si>
  <si>
    <t>Mark Jankowski</t>
  </si>
  <si>
    <t>jankoma01</t>
  </si>
  <si>
    <t>Mattias Janmark</t>
  </si>
  <si>
    <t>janmama02</t>
  </si>
  <si>
    <t>Tyson Jost</t>
  </si>
  <si>
    <t>jostty01</t>
  </si>
  <si>
    <t>William Karlsson</t>
  </si>
  <si>
    <t>karlswi01</t>
  </si>
  <si>
    <t>Tye Kartye</t>
  </si>
  <si>
    <t>kartyty01</t>
  </si>
  <si>
    <t>Scott Laughton</t>
  </si>
  <si>
    <t>laughsc01</t>
  </si>
  <si>
    <t>Timothy Liljegren</t>
  </si>
  <si>
    <t>liljeti01</t>
  </si>
  <si>
    <t>Ilya Lyubushkin</t>
  </si>
  <si>
    <t>lyubuil01</t>
  </si>
  <si>
    <t>Beck Malenstyn</t>
  </si>
  <si>
    <t>malenbe01</t>
  </si>
  <si>
    <t>Scott Mayfield</t>
  </si>
  <si>
    <t>mayfisc01</t>
  </si>
  <si>
    <t>mikkoni01</t>
  </si>
  <si>
    <t>Sonny Milano</t>
  </si>
  <si>
    <t>milanso01</t>
  </si>
  <si>
    <t>Stefan Noesen</t>
  </si>
  <si>
    <t>noesest01</t>
  </si>
  <si>
    <t>Adam Pelech</t>
  </si>
  <si>
    <t>pelecad01</t>
  </si>
  <si>
    <t>Neal Pionk</t>
  </si>
  <si>
    <t>pionkne01</t>
  </si>
  <si>
    <t>Matthew Robertson</t>
  </si>
  <si>
    <t>roberma02</t>
  </si>
  <si>
    <t>Isak Rosen</t>
  </si>
  <si>
    <t>rosenis01</t>
  </si>
  <si>
    <t>Brandon Saad</t>
  </si>
  <si>
    <t>saadbr01</t>
  </si>
  <si>
    <t>Brandon Duhaime</t>
  </si>
  <si>
    <t>duhaibr01</t>
  </si>
  <si>
    <t>Lars Eller</t>
  </si>
  <si>
    <t>ellerla01</t>
  </si>
  <si>
    <t>Dante Fabbro</t>
  </si>
  <si>
    <t>fabbrda01</t>
  </si>
  <si>
    <t>Stephen Halliday</t>
  </si>
  <si>
    <t>hallist01</t>
  </si>
  <si>
    <t>Joel Hanley</t>
  </si>
  <si>
    <t>hanlejo01</t>
  </si>
  <si>
    <t>Vinnie Hinostroza</t>
  </si>
  <si>
    <t>hinosvi01</t>
  </si>
  <si>
    <t>Albert Johansson</t>
  </si>
  <si>
    <t>johanal01</t>
  </si>
  <si>
    <t>jokihhe01</t>
  </si>
  <si>
    <t>Marco Kasper</t>
  </si>
  <si>
    <t>kaspema01</t>
  </si>
  <si>
    <t>Tyler Kleven</t>
  </si>
  <si>
    <t>klevety01</t>
  </si>
  <si>
    <t>Jesperi Kotkaniemi</t>
  </si>
  <si>
    <t>kotkaje01</t>
  </si>
  <si>
    <t>Hendrix Lapierre</t>
  </si>
  <si>
    <t>lapiehe01</t>
  </si>
  <si>
    <t>Ryan Lindgren</t>
  </si>
  <si>
    <t>lindgry01</t>
  </si>
  <si>
    <t>Ryan Lomberg</t>
  </si>
  <si>
    <t>lombery01</t>
  </si>
  <si>
    <t>Emil Martinsen Lilleberg</t>
  </si>
  <si>
    <t>martiem01</t>
  </si>
  <si>
    <t>Ian Moore</t>
  </si>
  <si>
    <t>mooreia01</t>
  </si>
  <si>
    <t>Shakir Mukhamadullin</t>
  </si>
  <si>
    <t>mukhash01</t>
  </si>
  <si>
    <t>Jani Nyman</t>
  </si>
  <si>
    <t>nymanja01</t>
  </si>
  <si>
    <t>Brett Pesce</t>
  </si>
  <si>
    <t>pescebr01</t>
  </si>
  <si>
    <t>petteel02</t>
  </si>
  <si>
    <t>Pavol Regenda</t>
  </si>
  <si>
    <t>regenpa01</t>
  </si>
  <si>
    <t>Mike Reilly</t>
  </si>
  <si>
    <t>reillmi01</t>
  </si>
  <si>
    <t>Dylan Samberg</t>
  </si>
  <si>
    <t>sambedy01</t>
  </si>
  <si>
    <t>Nick Seeler</t>
  </si>
  <si>
    <t>seeleni01</t>
  </si>
  <si>
    <t>Colton Sissons</t>
  </si>
  <si>
    <t>sissoco01</t>
  </si>
  <si>
    <t>Cole Smith</t>
  </si>
  <si>
    <t>smithco02</t>
  </si>
  <si>
    <t>Carson Soucy</t>
  </si>
  <si>
    <t>soucyca01</t>
  </si>
  <si>
    <t>Otto Stenberg</t>
  </si>
  <si>
    <t>stenbot01</t>
  </si>
  <si>
    <t>Ryan Strome</t>
  </si>
  <si>
    <t>stromry01</t>
  </si>
  <si>
    <t>Jayden Struble</t>
  </si>
  <si>
    <t>strubja01</t>
  </si>
  <si>
    <t>Conor Timmins</t>
  </si>
  <si>
    <t>timmico01</t>
  </si>
  <si>
    <t>Alexey Toropchenko</t>
  </si>
  <si>
    <t>toropal01</t>
  </si>
  <si>
    <t>Trevor van Riemsdyk</t>
  </si>
  <si>
    <t>vanritr01</t>
  </si>
  <si>
    <t>Frank Vatrano</t>
  </si>
  <si>
    <t>vatrafr01</t>
  </si>
  <si>
    <t>Adam Wilsby</t>
  </si>
  <si>
    <t>wilsbad01</t>
  </si>
  <si>
    <t>Arshdeep Bains</t>
  </si>
  <si>
    <t>bainsar01</t>
  </si>
  <si>
    <t>Nick Bjugstad</t>
  </si>
  <si>
    <t>bjugsni01</t>
  </si>
  <si>
    <t>Marcus Foligno</t>
  </si>
  <si>
    <t>foligma01</t>
  </si>
  <si>
    <t>Brendan Gaunce</t>
  </si>
  <si>
    <t>gauncbr01</t>
  </si>
  <si>
    <t>Jordan Greenway</t>
  </si>
  <si>
    <t>greenjo02</t>
  </si>
  <si>
    <t>Kevin Hayes</t>
  </si>
  <si>
    <t>hayeske01</t>
  </si>
  <si>
    <t>Calle JÃ¤rnkrok</t>
  </si>
  <si>
    <t>jarnkca01</t>
  </si>
  <si>
    <t>Noah Juulsen</t>
  </si>
  <si>
    <t>juulsno01</t>
  </si>
  <si>
    <t>Kasperi Kapanen</t>
  </si>
  <si>
    <t>kapanka01</t>
  </si>
  <si>
    <t>Ville Koivunen</t>
  </si>
  <si>
    <t>koivuvi01</t>
  </si>
  <si>
    <t>Jiri Kulich</t>
  </si>
  <si>
    <t>kulicji01</t>
  </si>
  <si>
    <t>Jeremy Lauzon</t>
  </si>
  <si>
    <t>lauzoje01</t>
  </si>
  <si>
    <t>Isac LundestrÃ¶m</t>
  </si>
  <si>
    <t>lundeis01</t>
  </si>
  <si>
    <t>Liam Ohgren</t>
  </si>
  <si>
    <t>ohgreli01</t>
  </si>
  <si>
    <t>Gabriel Perreault</t>
  </si>
  <si>
    <t>perrega01</t>
  </si>
  <si>
    <t>Reid Schaefer</t>
  </si>
  <si>
    <t>schaere01</t>
  </si>
  <si>
    <t>Luke Schenn</t>
  </si>
  <si>
    <t>schenlu01</t>
  </si>
  <si>
    <t>David Tomasek</t>
  </si>
  <si>
    <t>tomasda01</t>
  </si>
  <si>
    <t>Zach Whitecloud</t>
  </si>
  <si>
    <t>whiteza01</t>
  </si>
  <si>
    <t>Lukas Reichel</t>
  </si>
  <si>
    <t>reichlu01</t>
  </si>
  <si>
    <t>Zach Aston-Reese</t>
  </si>
  <si>
    <t>astonza01</t>
  </si>
  <si>
    <t>Justin Barron</t>
  </si>
  <si>
    <t>barroju01</t>
  </si>
  <si>
    <t>Zach Bogosian</t>
  </si>
  <si>
    <t>bogosza01</t>
  </si>
  <si>
    <t>William Borgen</t>
  </si>
  <si>
    <t>borgewi01</t>
  </si>
  <si>
    <t>Jacob Bryson</t>
  </si>
  <si>
    <t>brysoja01</t>
  </si>
  <si>
    <t>Danil But</t>
  </si>
  <si>
    <t>butda01</t>
  </si>
  <si>
    <t>Kyle Capobianco</t>
  </si>
  <si>
    <t>capobky01</t>
  </si>
  <si>
    <t>Erik ÄŒernÃ¡k</t>
  </si>
  <si>
    <t>cernaer01</t>
  </si>
  <si>
    <t>Sam Dickinson</t>
  </si>
  <si>
    <t>dickisa01</t>
  </si>
  <si>
    <t>Joshua Dunne</t>
  </si>
  <si>
    <t>dunnejo01</t>
  </si>
  <si>
    <t>Adam Edstrom</t>
  </si>
  <si>
    <t>edstrad01</t>
  </si>
  <si>
    <t>Adam Erne</t>
  </si>
  <si>
    <t>ernead01</t>
  </si>
  <si>
    <t>Luke Glendening</t>
  </si>
  <si>
    <t>glendlu01</t>
  </si>
  <si>
    <t>Filip Hallander</t>
  </si>
  <si>
    <t>hallafi01</t>
  </si>
  <si>
    <t>Samuel Honzek</t>
  </si>
  <si>
    <t>honzesa01</t>
  </si>
  <si>
    <t>kivirjo01</t>
  </si>
  <si>
    <t>Tyson Kozak</t>
  </si>
  <si>
    <t>kozakty01</t>
  </si>
  <si>
    <t>Nick Lardis</t>
  </si>
  <si>
    <t>lardini01</t>
  </si>
  <si>
    <t>John Leonard</t>
  </si>
  <si>
    <t>leonajo01</t>
  </si>
  <si>
    <t>Nils Lundkvist</t>
  </si>
  <si>
    <t>lundkni01</t>
  </si>
  <si>
    <t>Mackenzie MacEachern</t>
  </si>
  <si>
    <t>maceama01</t>
  </si>
  <si>
    <t>Jeff Malott</t>
  </si>
  <si>
    <t>malotje01</t>
  </si>
  <si>
    <t>matinni01</t>
  </si>
  <si>
    <t>Jacob Melanson</t>
  </si>
  <si>
    <t>melanja01</t>
  </si>
  <si>
    <t>Cole Reinhardt</t>
  </si>
  <si>
    <t>reinhco01</t>
  </si>
  <si>
    <t>Jonas Siegenthaler</t>
  </si>
  <si>
    <t>siegejo01</t>
  </si>
  <si>
    <t>Landon Slaggert</t>
  </si>
  <si>
    <t>slaggla01</t>
  </si>
  <si>
    <t>Joe Veleno</t>
  </si>
  <si>
    <t>velenjo01</t>
  </si>
  <si>
    <t>Colton White</t>
  </si>
  <si>
    <t>whiteco03</t>
  </si>
  <si>
    <t>Ozzy Wiesblatt</t>
  </si>
  <si>
    <t>wiesboz01</t>
  </si>
  <si>
    <t>Brett Kulak</t>
  </si>
  <si>
    <t>kulakbr01</t>
  </si>
  <si>
    <t>Denver Barkey</t>
  </si>
  <si>
    <t>barkede01</t>
  </si>
  <si>
    <t>Nathan Bastian</t>
  </si>
  <si>
    <t>bastina01</t>
  </si>
  <si>
    <t>Simon Benoit</t>
  </si>
  <si>
    <t>benoisi01</t>
  </si>
  <si>
    <t>Lian Bichsel</t>
  </si>
  <si>
    <t>bichsli01</t>
  </si>
  <si>
    <t>Declan Carlile</t>
  </si>
  <si>
    <t>carlide01</t>
  </si>
  <si>
    <t>Declan Chisholm</t>
  </si>
  <si>
    <t>chishde01</t>
  </si>
  <si>
    <t>Filip Chytil</t>
  </si>
  <si>
    <t>chytifi01</t>
  </si>
  <si>
    <t>Joey Daccord</t>
  </si>
  <si>
    <t>daccojo01</t>
  </si>
  <si>
    <t>Nick DeSimone</t>
  </si>
  <si>
    <t>desimni01</t>
  </si>
  <si>
    <t>Mathew Dumba</t>
  </si>
  <si>
    <t>dumbama01</t>
  </si>
  <si>
    <t>Robby Fabbri</t>
  </si>
  <si>
    <t>fabbrro01</t>
  </si>
  <si>
    <t>Jack Finley</t>
  </si>
  <si>
    <t>finleja01</t>
  </si>
  <si>
    <t>Trent Frederic</t>
  </si>
  <si>
    <t>fredetr01</t>
  </si>
  <si>
    <t>Jonah Gadjovich</t>
  </si>
  <si>
    <t>gadjojo01</t>
  </si>
  <si>
    <t>Noah Gregor</t>
  </si>
  <si>
    <t>gregono01</t>
  </si>
  <si>
    <t>Jansen Harkins</t>
  </si>
  <si>
    <t>harkija01</t>
  </si>
  <si>
    <t>Alexander Holtz</t>
  </si>
  <si>
    <t>holtzal01</t>
  </si>
  <si>
    <t>Isaac Howard</t>
  </si>
  <si>
    <t>howaris01</t>
  </si>
  <si>
    <t>Vincent Iorio</t>
  </si>
  <si>
    <t>ioriovi01</t>
  </si>
  <si>
    <t>David KÃ¤mpf</t>
  </si>
  <si>
    <t>kampfda01</t>
  </si>
  <si>
    <t>Matthew Kessel</t>
  </si>
  <si>
    <t>kessema01</t>
  </si>
  <si>
    <t>Vladislav Kolyachonok</t>
  </si>
  <si>
    <t>kolyavl01</t>
  </si>
  <si>
    <t>Luke Kunin</t>
  </si>
  <si>
    <t>kuninlu01</t>
  </si>
  <si>
    <t>Curtis Lazar</t>
  </si>
  <si>
    <t>lazarcu01</t>
  </si>
  <si>
    <t>Nick Leddy</t>
  </si>
  <si>
    <t>leddyni01</t>
  </si>
  <si>
    <t>Kyle MacLean</t>
  </si>
  <si>
    <t>macleky01</t>
  </si>
  <si>
    <t>Josh Mahura</t>
  </si>
  <si>
    <t>mahurjo01</t>
  </si>
  <si>
    <t>Rutger McGroarty</t>
  </si>
  <si>
    <t>mcgroru01</t>
  </si>
  <si>
    <t>Brayden McNabb</t>
  </si>
  <si>
    <t>mcnabbr01</t>
  </si>
  <si>
    <t>Michael Misa</t>
  </si>
  <si>
    <t>misami01</t>
  </si>
  <si>
    <t>Scott Morrow</t>
  </si>
  <si>
    <t>morrosc02</t>
  </si>
  <si>
    <t>Liam O'Brien</t>
  </si>
  <si>
    <t>obrieli01</t>
  </si>
  <si>
    <t>Zack Ostapchuk</t>
  </si>
  <si>
    <t>ostapza01</t>
  </si>
  <si>
    <t>Brayden Pachal</t>
  </si>
  <si>
    <t>pachabr01</t>
  </si>
  <si>
    <t>Juuso PÃ¤rssinen</t>
  </si>
  <si>
    <t>parssju01</t>
  </si>
  <si>
    <t>Noah Philp</t>
  </si>
  <si>
    <t>philpno01</t>
  </si>
  <si>
    <t>Ryan Reaves</t>
  </si>
  <si>
    <t>reavery01</t>
  </si>
  <si>
    <t>Alec Regula</t>
  </si>
  <si>
    <t>regulal01</t>
  </si>
  <si>
    <t>ristora01</t>
  </si>
  <si>
    <t>Scott Sabourin</t>
  </si>
  <si>
    <t>sabousc01</t>
  </si>
  <si>
    <t>Elmer SÃ¶derblom</t>
  </si>
  <si>
    <t>soderel01</t>
  </si>
  <si>
    <t>Jack St. Ivany</t>
  </si>
  <si>
    <t>stivajo01</t>
  </si>
  <si>
    <t>Urho Vaakanainen</t>
  </si>
  <si>
    <t>vaakaur01</t>
  </si>
  <si>
    <t>Marshall Warren</t>
  </si>
  <si>
    <t>warrema01</t>
  </si>
  <si>
    <t>John Beecher</t>
  </si>
  <si>
    <t>beechjo01</t>
  </si>
  <si>
    <t>Jonathan Aspirot</t>
  </si>
  <si>
    <t>aspirjo01</t>
  </si>
  <si>
    <t>Jake Bean</t>
  </si>
  <si>
    <t>beanja01</t>
  </si>
  <si>
    <t>Jacob Bernard-Docker</t>
  </si>
  <si>
    <t>bernaja01</t>
  </si>
  <si>
    <t>Brandon Carlo</t>
  </si>
  <si>
    <t>carlobr01</t>
  </si>
  <si>
    <t>Vincent Desharnais</t>
  </si>
  <si>
    <t>deshavi01</t>
  </si>
  <si>
    <t>Curtis Douglas</t>
  </si>
  <si>
    <t>douglcu01</t>
  </si>
  <si>
    <t>Cale Fleury</t>
  </si>
  <si>
    <t>fleurca01</t>
  </si>
  <si>
    <t>Marc Gatcomb</t>
  </si>
  <si>
    <t>gatcoma01</t>
  </si>
  <si>
    <t>Kaiden Guhle</t>
  </si>
  <si>
    <t>guhleka01</t>
  </si>
  <si>
    <t>Jordan Harris</t>
  </si>
  <si>
    <t>harrijo01</t>
  </si>
  <si>
    <t>Danton Heinen</t>
  </si>
  <si>
    <t>heineda01</t>
  </si>
  <si>
    <t>Daemon Hunt</t>
  </si>
  <si>
    <t>huntda01</t>
  </si>
  <si>
    <t>Max Jones</t>
  </si>
  <si>
    <t>jonesma03</t>
  </si>
  <si>
    <t>Sam Lafferty</t>
  </si>
  <si>
    <t>laffesa01</t>
  </si>
  <si>
    <t>Juho Lammikko</t>
  </si>
  <si>
    <t>lammiju01</t>
  </si>
  <si>
    <t>Charles-Alexis Legault</t>
  </si>
  <si>
    <t>legauch01</t>
  </si>
  <si>
    <t>Jonathan LekkerimÃ¤ki</t>
  </si>
  <si>
    <t>lekkejo01</t>
  </si>
  <si>
    <t>Olle Lycksell</t>
  </si>
  <si>
    <t>lycksol01</t>
  </si>
  <si>
    <t>Logan Mailloux</t>
  </si>
  <si>
    <t>mailllo01</t>
  </si>
  <si>
    <t>Jacob MarkstrÃ¶m</t>
  </si>
  <si>
    <t>marksja02</t>
  </si>
  <si>
    <t>Hugh McGing</t>
  </si>
  <si>
    <t>mcginhu01</t>
  </si>
  <si>
    <t>Philippe Myers</t>
  </si>
  <si>
    <t>myersph01</t>
  </si>
  <si>
    <t>Bradly Nadeau</t>
  </si>
  <si>
    <t>nadeabr01</t>
  </si>
  <si>
    <t>Cole Schwindt</t>
  </si>
  <si>
    <t>schwico01</t>
  </si>
  <si>
    <t>Donovan Sebrango</t>
  </si>
  <si>
    <t>sebrado01</t>
  </si>
  <si>
    <t>Arturs Silovs</t>
  </si>
  <si>
    <t>silovar01</t>
  </si>
  <si>
    <t>Brendan Smith</t>
  </si>
  <si>
    <t>smithbr05</t>
  </si>
  <si>
    <t>Ilya Solovyov</t>
  </si>
  <si>
    <t>solovil01</t>
  </si>
  <si>
    <t>Brandon Tanev</t>
  </si>
  <si>
    <t>tanevbr01</t>
  </si>
  <si>
    <t>Chris Tanev</t>
  </si>
  <si>
    <t>tanevch01</t>
  </si>
  <si>
    <t>Arber Xhekaj</t>
  </si>
  <si>
    <t>xhekaar01</t>
  </si>
  <si>
    <t>Jack Ahcan</t>
  </si>
  <si>
    <t>ahcanja01</t>
  </si>
  <si>
    <t>Nicolas AubÃ©-Kubel</t>
  </si>
  <si>
    <t>aubekni01</t>
  </si>
  <si>
    <t>Owen Beck</t>
  </si>
  <si>
    <t>beckow01</t>
  </si>
  <si>
    <t>binnijo01</t>
  </si>
  <si>
    <t>Teddy Blueger</t>
  </si>
  <si>
    <t>bluegte01</t>
  </si>
  <si>
    <t>Sergei Bobrovsky</t>
  </si>
  <si>
    <t>bobrose01</t>
  </si>
  <si>
    <t>Adam Boqvist</t>
  </si>
  <si>
    <t>boqviad01</t>
  </si>
  <si>
    <t>Michael Brandsegg-Nygard</t>
  </si>
  <si>
    <t>brandmi01</t>
  </si>
  <si>
    <t>Harrison Brunicke</t>
  </si>
  <si>
    <t>bruniha01</t>
  </si>
  <si>
    <t>Hunter Brzustewicz</t>
  </si>
  <si>
    <t>brzushu01</t>
  </si>
  <si>
    <t>Brandon Bussi</t>
  </si>
  <si>
    <t>bussibr01</t>
  </si>
  <si>
    <t>Ethan Cardwell</t>
  </si>
  <si>
    <t>cardwet01</t>
  </si>
  <si>
    <t>Dennis Cholowski</t>
  </si>
  <si>
    <t>cholode01</t>
  </si>
  <si>
    <t>Jake Christiansen</t>
  </si>
  <si>
    <t>chrisja01</t>
  </si>
  <si>
    <t>Connor Clattenburg</t>
  </si>
  <si>
    <t>clattco01</t>
  </si>
  <si>
    <t>Sam Colangelo</t>
  </si>
  <si>
    <t>colansa01</t>
  </si>
  <si>
    <t>Angus Crookshank</t>
  </si>
  <si>
    <t>crookan01</t>
  </si>
  <si>
    <t>Jared Davidson</t>
  </si>
  <si>
    <t>davidja01</t>
  </si>
  <si>
    <t>Luca Del Bel Belluz</t>
  </si>
  <si>
    <t>delbelu01</t>
  </si>
  <si>
    <t>Thatcher Demko</t>
  </si>
  <si>
    <t>demkoth01</t>
  </si>
  <si>
    <t>Colten Ellis</t>
  </si>
  <si>
    <t>ellisco01</t>
  </si>
  <si>
    <t>Parker Ford</t>
  </si>
  <si>
    <t>fordpa01</t>
  </si>
  <si>
    <t>Conor Geekie</t>
  </si>
  <si>
    <t>geekico01</t>
  </si>
  <si>
    <t>John Gibson</t>
  </si>
  <si>
    <t>gibsojo02</t>
  </si>
  <si>
    <t>Patrick Giles</t>
  </si>
  <si>
    <t>gilespa01</t>
  </si>
  <si>
    <t>Ryan Graves</t>
  </si>
  <si>
    <t>gravery01</t>
  </si>
  <si>
    <t>Matvei Gridin</t>
  </si>
  <si>
    <t>gridima01</t>
  </si>
  <si>
    <t>Maxim Groshev</t>
  </si>
  <si>
    <t>groshma01</t>
  </si>
  <si>
    <t>Brian Halonen</t>
  </si>
  <si>
    <t>halonbr01</t>
  </si>
  <si>
    <t>Travis Hamonic</t>
  </si>
  <si>
    <t>hamontr01</t>
  </si>
  <si>
    <t>Samuel Helenius</t>
  </si>
  <si>
    <t>helensa02</t>
  </si>
  <si>
    <t>Quinn Hutson</t>
  </si>
  <si>
    <t>hutsoqu01</t>
  </si>
  <si>
    <t>Connor Ingram</t>
  </si>
  <si>
    <t>ingraco01</t>
  </si>
  <si>
    <t>Ivan Ivan</t>
  </si>
  <si>
    <t>ivaniv01</t>
  </si>
  <si>
    <t>Caleb Jones</t>
  </si>
  <si>
    <t>jonesca01</t>
  </si>
  <si>
    <t>Pierre-Olivier Joseph</t>
  </si>
  <si>
    <t>joseppi01</t>
  </si>
  <si>
    <t>Arthur Kaliyev</t>
  </si>
  <si>
    <t>kaliyar01</t>
  </si>
  <si>
    <t>Alexander Kerfoot</t>
  </si>
  <si>
    <t>kerfoal01</t>
  </si>
  <si>
    <t>Matt Kiersted</t>
  </si>
  <si>
    <t>kiersma01</t>
  </si>
  <si>
    <t>Justin Kirkland</t>
  </si>
  <si>
    <t>kirklju01</t>
  </si>
  <si>
    <t>Spencer Knight</t>
  </si>
  <si>
    <t>knighsp01</t>
  </si>
  <si>
    <t>Joona Koppanen</t>
  </si>
  <si>
    <t>koppajo01</t>
  </si>
  <si>
    <t>Patrik Laine</t>
  </si>
  <si>
    <t>lainepa01</t>
  </si>
  <si>
    <t>Brad Lambert</t>
  </si>
  <si>
    <t>lambebr01</t>
  </si>
  <si>
    <t>Maveric Lamoureux</t>
  </si>
  <si>
    <t>lamouma01</t>
  </si>
  <si>
    <t>lankike01</t>
  </si>
  <si>
    <t>Charlie Lindgren</t>
  </si>
  <si>
    <t>lindgch01</t>
  </si>
  <si>
    <t>Matt Luff</t>
  </si>
  <si>
    <t>luffma01</t>
  </si>
  <si>
    <t>Alex Lyon</t>
  </si>
  <si>
    <t>lyonal01</t>
  </si>
  <si>
    <t>Olli MÃ¤Ã¤ttÃ¤</t>
  </si>
  <si>
    <t>maattol01</t>
  </si>
  <si>
    <t>Kurtis MacDermid</t>
  </si>
  <si>
    <t>macdeku01</t>
  </si>
  <si>
    <t>Brady Martin</t>
  </si>
  <si>
    <t>martibr02</t>
  </si>
  <si>
    <t>Dysin Mayo</t>
  </si>
  <si>
    <t>mayody01</t>
  </si>
  <si>
    <t>Dakota Mermis</t>
  </si>
  <si>
    <t>mermida01</t>
  </si>
  <si>
    <t>Elvis MerzÄ¼ikins</t>
  </si>
  <si>
    <t>merzlel01</t>
  </si>
  <si>
    <t>Zach Metsa</t>
  </si>
  <si>
    <t>metsaza01</t>
  </si>
  <si>
    <t>Colin Miller</t>
  </si>
  <si>
    <t>milleco02</t>
  </si>
  <si>
    <t>Travis Mitchell</t>
  </si>
  <si>
    <t>mitchtr01</t>
  </si>
  <si>
    <t>Oscar Fisker Molgaard</t>
  </si>
  <si>
    <t>fiskeos01</t>
  </si>
  <si>
    <t>Alex Nedeljkovic</t>
  </si>
  <si>
    <t>nedelal01</t>
  </si>
  <si>
    <t>Tristen Nielsen</t>
  </si>
  <si>
    <t>nielstr01</t>
  </si>
  <si>
    <t>oettija01</t>
  </si>
  <si>
    <t>Zayne Parekh</t>
  </si>
  <si>
    <t>parekza01</t>
  </si>
  <si>
    <t>Tyler Pitlick</t>
  </si>
  <si>
    <t>pitlity01</t>
  </si>
  <si>
    <t>Matt Rempe</t>
  </si>
  <si>
    <t>rempema01</t>
  </si>
  <si>
    <t>Justin Robidas</t>
  </si>
  <si>
    <t>robidju01</t>
  </si>
  <si>
    <t>Alexander Romanov</t>
  </si>
  <si>
    <t>romanal01</t>
  </si>
  <si>
    <t>Kevin Rooney</t>
  </si>
  <si>
    <t>rooneke01</t>
  </si>
  <si>
    <t>Steven Santini</t>
  </si>
  <si>
    <t>santist01</t>
  </si>
  <si>
    <t>Dmitriy Simashev</t>
  </si>
  <si>
    <t>simasdm01</t>
  </si>
  <si>
    <t>Victor SÃ¶derstrÃ¶m</t>
  </si>
  <si>
    <t>sodervi01</t>
  </si>
  <si>
    <t>Cam Talbot</t>
  </si>
  <si>
    <t>talboca01</t>
  </si>
  <si>
    <t>58:60</t>
  </si>
  <si>
    <t>thomplo01</t>
  </si>
  <si>
    <t>Philip Tomasino</t>
  </si>
  <si>
    <t>tomasph01</t>
  </si>
  <si>
    <t>Dominic Toninato</t>
  </si>
  <si>
    <t>tonindo01</t>
  </si>
  <si>
    <t>Maxim Tsyplakov</t>
  </si>
  <si>
    <t>tsyplma01</t>
  </si>
  <si>
    <t>Riley Tufte</t>
  </si>
  <si>
    <t>tufteri01</t>
  </si>
  <si>
    <t>VÃ­tek VanÄ›Äek</t>
  </si>
  <si>
    <t>vanecvi01</t>
  </si>
  <si>
    <t>Andrei Vasilevskiy</t>
  </si>
  <si>
    <t>vasilan02</t>
  </si>
  <si>
    <t>Karel Vejmelka</t>
  </si>
  <si>
    <t>vejmeka01</t>
  </si>
  <si>
    <t>Taylor Ward</t>
  </si>
  <si>
    <t>wardta01</t>
  </si>
  <si>
    <t>Scott Wedgewood</t>
  </si>
  <si>
    <t>wedgesc01</t>
  </si>
  <si>
    <t>Florian Xhekaj</t>
  </si>
  <si>
    <t>xhekafl01</t>
  </si>
  <si>
    <t>Egor Zamula</t>
  </si>
  <si>
    <t>zamulye01</t>
  </si>
  <si>
    <t>Andrew Agozzino</t>
  </si>
  <si>
    <t>agozzan01</t>
  </si>
  <si>
    <t>Artur Akhtyamov</t>
  </si>
  <si>
    <t>akhtyar01</t>
  </si>
  <si>
    <t>Jake Allen</t>
  </si>
  <si>
    <t>allenja01</t>
  </si>
  <si>
    <t>Nils Ã…man</t>
  </si>
  <si>
    <t>amanni01</t>
  </si>
  <si>
    <t>Frederik Andersen</t>
  </si>
  <si>
    <t>anderfr01</t>
  </si>
  <si>
    <t>Justus Annunen</t>
  </si>
  <si>
    <t>annunju01</t>
  </si>
  <si>
    <t>Yaroslav Askarov</t>
  </si>
  <si>
    <t>askarya01</t>
  </si>
  <si>
    <t>Matt Benning</t>
  </si>
  <si>
    <t>bennima01</t>
  </si>
  <si>
    <t>Brett Berard</t>
  </si>
  <si>
    <t>berarbr02</t>
  </si>
  <si>
    <t>Mackenzie Blackwood</t>
  </si>
  <si>
    <t>blackma01</t>
  </si>
  <si>
    <t>Anton Blidh</t>
  </si>
  <si>
    <t>blidhan01</t>
  </si>
  <si>
    <t>MatÄ›j BlÃ¼mel</t>
  </si>
  <si>
    <t>blumema01</t>
  </si>
  <si>
    <t>Xavier Bourgault</t>
  </si>
  <si>
    <t>bourgxa01</t>
  </si>
  <si>
    <t>Tristan Broz</t>
  </si>
  <si>
    <t>broztr01</t>
  </si>
  <si>
    <t>Vyacheslav Buteyets</t>
  </si>
  <si>
    <t>buteyvy01</t>
  </si>
  <si>
    <t>Michael Callahan</t>
  </si>
  <si>
    <t>callami02</t>
  </si>
  <si>
    <t>Seamus Casey</t>
  </si>
  <si>
    <t>caseyse01</t>
  </si>
  <si>
    <t>Mitchell Chaffee</t>
  </si>
  <si>
    <t>chaffmi01</t>
  </si>
  <si>
    <t>Nikita Chibrikov</t>
  </si>
  <si>
    <t>chibrni01</t>
  </si>
  <si>
    <t>Jaroslav Chmelar</t>
  </si>
  <si>
    <t>chmelja01</t>
  </si>
  <si>
    <t>Connor Clifton</t>
  </si>
  <si>
    <t>cliftco01</t>
  </si>
  <si>
    <t>Dylan Coghlan</t>
  </si>
  <si>
    <t>coghldy01</t>
  </si>
  <si>
    <t>Drew Commesso</t>
  </si>
  <si>
    <t>commedr01</t>
  </si>
  <si>
    <t>Eric Comrie</t>
  </si>
  <si>
    <t>comrier01</t>
  </si>
  <si>
    <t>Devin Cooley</t>
  </si>
  <si>
    <t>coolede01</t>
  </si>
  <si>
    <t>Braeden Cootes</t>
  </si>
  <si>
    <t>cootebr01</t>
  </si>
  <si>
    <t>Pheonix Copley</t>
  </si>
  <si>
    <t>copleph01</t>
  </si>
  <si>
    <t>Evgenii Dadonov</t>
  </si>
  <si>
    <t>dadonev01</t>
  </si>
  <si>
    <t>Justin Danforth</t>
  </si>
  <si>
    <t>danfoju01</t>
  </si>
  <si>
    <t>Nico Daws</t>
  </si>
  <si>
    <t>dawsni01</t>
  </si>
  <si>
    <t>Ethan Del Mastro</t>
  </si>
  <si>
    <t>delmaet01</t>
  </si>
  <si>
    <t>Nicolas Deslauriers</t>
  </si>
  <si>
    <t>deslani01</t>
  </si>
  <si>
    <t>Casey DeSmith</t>
  </si>
  <si>
    <t>desmica01</t>
  </si>
  <si>
    <t>Jack Devine</t>
  </si>
  <si>
    <t>devinja01</t>
  </si>
  <si>
    <t>Jakub Dobes</t>
  </si>
  <si>
    <t>dobesja01</t>
  </si>
  <si>
    <t>LukÃ¡Å¡ DostÃ¡l</t>
  </si>
  <si>
    <t>dostalu01</t>
  </si>
  <si>
    <t>Justin Dowling</t>
  </si>
  <si>
    <t>dowliju01</t>
  </si>
  <si>
    <t>Pierre-Luc Dubois</t>
  </si>
  <si>
    <t>duboipi01</t>
  </si>
  <si>
    <t>Adam Engstrom</t>
  </si>
  <si>
    <t>engstad01</t>
  </si>
  <si>
    <t>Samuel Ersson</t>
  </si>
  <si>
    <t>erssosa01</t>
  </si>
  <si>
    <t>Domenick Fensore</t>
  </si>
  <si>
    <t>fensodo01</t>
  </si>
  <si>
    <t>Haydn Fleury</t>
  </si>
  <si>
    <t>fleurha01</t>
  </si>
  <si>
    <t>Derek Forbort</t>
  </si>
  <si>
    <t>forbode01</t>
  </si>
  <si>
    <t>Anton Forsberg</t>
  </si>
  <si>
    <t>forsban01</t>
  </si>
  <si>
    <t>Jacob Fowler</t>
  </si>
  <si>
    <t>fowleja01</t>
  </si>
  <si>
    <t>Jacob Gaucher</t>
  </si>
  <si>
    <t>gauchja01</t>
  </si>
  <si>
    <t>Mason Geertsen</t>
  </si>
  <si>
    <t>geertma01</t>
  </si>
  <si>
    <t>Dennis Gilbert</t>
  </si>
  <si>
    <t>gilbede01</t>
  </si>
  <si>
    <t>Adam Ginning</t>
  </si>
  <si>
    <t>ginniad01</t>
  </si>
  <si>
    <t>Jet Greaves</t>
  </si>
  <si>
    <t>greavje01</t>
  </si>
  <si>
    <t>Philipp Grubauer</t>
  </si>
  <si>
    <t>grubaph01</t>
  </si>
  <si>
    <t>Erik Gudbranson</t>
  </si>
  <si>
    <t>gudbrer01</t>
  </si>
  <si>
    <t>Erik Gustafsson</t>
  </si>
  <si>
    <t>gustaer02</t>
  </si>
  <si>
    <t>gustafi01</t>
  </si>
  <si>
    <t>Hunter Haight</t>
  </si>
  <si>
    <t>haighhu01</t>
  </si>
  <si>
    <t>Brandon Halverson</t>
  </si>
  <si>
    <t>halvebr01</t>
  </si>
  <si>
    <t>Carter Hart</t>
  </si>
  <si>
    <t>hartca01</t>
  </si>
  <si>
    <t>Garnet Hathaway</t>
  </si>
  <si>
    <t>hathaga01</t>
  </si>
  <si>
    <t>John Hayden</t>
  </si>
  <si>
    <t>haydejo01</t>
  </si>
  <si>
    <t>helleco01</t>
  </si>
  <si>
    <t>Dennis Hildeby</t>
  </si>
  <si>
    <t>hildede01</t>
  </si>
  <si>
    <t>Adin Hill</t>
  </si>
  <si>
    <t>hillad01</t>
  </si>
  <si>
    <t>Hayden Hodgson</t>
  </si>
  <si>
    <t>hodgsha01</t>
  </si>
  <si>
    <t>Joel Hofer</t>
  </si>
  <si>
    <t>hoferjo01</t>
  </si>
  <si>
    <t>Marcus HÃ¶gberg</t>
  </si>
  <si>
    <t>hogbema01</t>
  </si>
  <si>
    <t>Nils HÃ¶glander</t>
  </si>
  <si>
    <t>hoglani01</t>
  </si>
  <si>
    <t>Dryden Hunt</t>
  </si>
  <si>
    <t>huntdr01</t>
  </si>
  <si>
    <t>Ville Husso</t>
  </si>
  <si>
    <t>hussovi01</t>
  </si>
  <si>
    <t>Bokondji Imama</t>
  </si>
  <si>
    <t>imamabo01</t>
  </si>
  <si>
    <t>Tristan Jarry</t>
  </si>
  <si>
    <t>jarrytr01</t>
  </si>
  <si>
    <t>David JiÅ™Ã­Äek</t>
  </si>
  <si>
    <t>jiricda01</t>
  </si>
  <si>
    <t>Jonas Johansson</t>
  </si>
  <si>
    <t>johanjo03</t>
  </si>
  <si>
    <t>Ryan Johnson</t>
  </si>
  <si>
    <t>johnsry03</t>
  </si>
  <si>
    <t>Ben Jones</t>
  </si>
  <si>
    <t>jonesbe01</t>
  </si>
  <si>
    <t>Aleksanteri Kaskimaki</t>
  </si>
  <si>
    <t>kaskial01</t>
  </si>
  <si>
    <t>Boris Katchouk</t>
  </si>
  <si>
    <t>katchbo01</t>
  </si>
  <si>
    <t>Joakim Kemell</t>
  </si>
  <si>
    <t>kemeljo01</t>
  </si>
  <si>
    <t>Rory Kerins</t>
  </si>
  <si>
    <t>kerinro01</t>
  </si>
  <si>
    <t>Michael Kesselring</t>
  </si>
  <si>
    <t>kessemi01</t>
  </si>
  <si>
    <t>Pyotr Kochetkov</t>
  </si>
  <si>
    <t>kochepy01</t>
  </si>
  <si>
    <t>Aleksei Kolosov</t>
  </si>
  <si>
    <t>kolosal01</t>
  </si>
  <si>
    <t>Kevin Korchinski</t>
  </si>
  <si>
    <t>korchke01</t>
  </si>
  <si>
    <t>Joonas Korpisalo</t>
  </si>
  <si>
    <t>korpijo01</t>
  </si>
  <si>
    <t>kuempda01</t>
  </si>
  <si>
    <t>Dmitry Kulikov</t>
  </si>
  <si>
    <t>kulikdm01</t>
  </si>
  <si>
    <t>Trevor Kuntar</t>
  </si>
  <si>
    <t>kuntatr01</t>
  </si>
  <si>
    <t>Joseph LaBate</t>
  </si>
  <si>
    <t>labatjo01</t>
  </si>
  <si>
    <t>Shane Lachance</t>
  </si>
  <si>
    <t>lachash01</t>
  </si>
  <si>
    <t>Carson Lambos</t>
  </si>
  <si>
    <t>lamboca01</t>
  </si>
  <si>
    <t>Brett Leason</t>
  </si>
  <si>
    <t>leasobr01</t>
  </si>
  <si>
    <t>Andre Lee</t>
  </si>
  <si>
    <t>leean02</t>
  </si>
  <si>
    <t>Nathan Legare</t>
  </si>
  <si>
    <t>legarna01</t>
  </si>
  <si>
    <t>Carl Lindbom</t>
  </si>
  <si>
    <t>lindbca01</t>
  </si>
  <si>
    <t>Jett Luchanko</t>
  </si>
  <si>
    <t>luchaje01</t>
  </si>
  <si>
    <t>luukkuk01</t>
  </si>
  <si>
    <t>Zack MacEwen</t>
  </si>
  <si>
    <t>macewza01</t>
  </si>
  <si>
    <t>Taylor Makar</t>
  </si>
  <si>
    <t>makarta01</t>
  </si>
  <si>
    <t>Victor Mancini</t>
  </si>
  <si>
    <t>mancivi01</t>
  </si>
  <si>
    <t>Dylan McIlrath</t>
  </si>
  <si>
    <t>mcilrdy01</t>
  </si>
  <si>
    <t>Cole McWard</t>
  </si>
  <si>
    <t>mcwarco01</t>
  </si>
  <si>
    <t>Jaycob Megna</t>
  </si>
  <si>
    <t>megnaja02</t>
  </si>
  <si>
    <t>Leevi Merilainen</t>
  </si>
  <si>
    <t>merille01</t>
  </si>
  <si>
    <t>Georgii Merkulov</t>
  </si>
  <si>
    <t>merkuge01</t>
  </si>
  <si>
    <t>Thomas Milic</t>
  </si>
  <si>
    <t>milicth01</t>
  </si>
  <si>
    <t>Trent Miner</t>
  </si>
  <si>
    <t>minertr01</t>
  </si>
  <si>
    <t>Daniil Miromanov</t>
  </si>
  <si>
    <t>miromda01</t>
  </si>
  <si>
    <t>Ivan Miroshnichenko</t>
  </si>
  <si>
    <t>mirosiv01</t>
  </si>
  <si>
    <t>Sam Montembeault</t>
  </si>
  <si>
    <t>montesa01</t>
  </si>
  <si>
    <t>Sam Morton</t>
  </si>
  <si>
    <t>mortosa01</t>
  </si>
  <si>
    <t>Jacob Moverare</t>
  </si>
  <si>
    <t>moverja01</t>
  </si>
  <si>
    <t>Petr MrÃ¡zek</t>
  </si>
  <si>
    <t>mrazepe01</t>
  </si>
  <si>
    <t>Sergey Murashov</t>
  </si>
  <si>
    <t>murasse01</t>
  </si>
  <si>
    <t>Ty Murchison</t>
  </si>
  <si>
    <t>murchty01</t>
  </si>
  <si>
    <t>Matt Murray</t>
  </si>
  <si>
    <t>murrama02</t>
  </si>
  <si>
    <t>Brennan Othmann</t>
  </si>
  <si>
    <t>othmabr01</t>
  </si>
  <si>
    <t>Xavier Parent</t>
  </si>
  <si>
    <t>parenxa01</t>
  </si>
  <si>
    <t>JiÅ™Ã­ Patera</t>
  </si>
  <si>
    <t>paterji01</t>
  </si>
  <si>
    <t>Jakob Pelletier</t>
  </si>
  <si>
    <t>pelleja01</t>
  </si>
  <si>
    <t>Calvin Pickard</t>
  </si>
  <si>
    <t>pickaca01</t>
  </si>
  <si>
    <t>Owen Pickering</t>
  </si>
  <si>
    <t>pickeow01</t>
  </si>
  <si>
    <t>Luca Pinelli</t>
  </si>
  <si>
    <t>pinellu01</t>
  </si>
  <si>
    <t>Jason Polin</t>
  </si>
  <si>
    <t>polinja01</t>
  </si>
  <si>
    <t>Samuel Poulin</t>
  </si>
  <si>
    <t>poulisa01</t>
  </si>
  <si>
    <t>Cayden Primeau</t>
  </si>
  <si>
    <t>primeca01</t>
  </si>
  <si>
    <t>Mikael Pyyhtia</t>
  </si>
  <si>
    <t>pyyhtmi01</t>
  </si>
  <si>
    <t>Jonathan Quick</t>
  </si>
  <si>
    <t>quickjo01</t>
  </si>
  <si>
    <t>Jacob Quillan</t>
  </si>
  <si>
    <t>quillja01</t>
  </si>
  <si>
    <t>David Rittich</t>
  </si>
  <si>
    <t>rittida01</t>
  </si>
  <si>
    <t>Joshua Roy</t>
  </si>
  <si>
    <t>royjo01</t>
  </si>
  <si>
    <t>Elias Salomonsson</t>
  </si>
  <si>
    <t>salomel01</t>
  </si>
  <si>
    <t>sarosju01</t>
  </si>
  <si>
    <t>Akira Schmid</t>
  </si>
  <si>
    <t>schmiak01</t>
  </si>
  <si>
    <t>Hunter Shepard</t>
  </si>
  <si>
    <t>shepahu01</t>
  </si>
  <si>
    <t>Igor Shesterkin</t>
  </si>
  <si>
    <t>shestig01</t>
  </si>
  <si>
    <t>Hunter Skinner</t>
  </si>
  <si>
    <t>skinnhu01</t>
  </si>
  <si>
    <t>Stuart Skinner</t>
  </si>
  <si>
    <t>skinnst01</t>
  </si>
  <si>
    <t>slavija01</t>
  </si>
  <si>
    <t>Arvid SÃ¶derblom</t>
  </si>
  <si>
    <t>soderar01</t>
  </si>
  <si>
    <t>Ilya Sorokin</t>
  </si>
  <si>
    <t>sorokil01</t>
  </si>
  <si>
    <t>Riley Stillman</t>
  </si>
  <si>
    <t>stillri01</t>
  </si>
  <si>
    <t>Anthony Stolarz</t>
  </si>
  <si>
    <t>stolaan01</t>
  </si>
  <si>
    <t>William Stromgren</t>
  </si>
  <si>
    <t>stromwi01</t>
  </si>
  <si>
    <t>Jack Studnicka</t>
  </si>
  <si>
    <t>studnja01</t>
  </si>
  <si>
    <t>swaymje01</t>
  </si>
  <si>
    <t>Mads SÃ¸gaard</t>
  </si>
  <si>
    <t>sogaama01</t>
  </si>
  <si>
    <t>Daniil Tarasov</t>
  </si>
  <si>
    <t>tarasda02</t>
  </si>
  <si>
    <t>Henry Thrun</t>
  </si>
  <si>
    <t>thrunhe01</t>
  </si>
  <si>
    <t>Nikita Tolopilo</t>
  </si>
  <si>
    <t>tolopni01</t>
  </si>
  <si>
    <t>Bogdan Trineyev</t>
  </si>
  <si>
    <t>trinebo01</t>
  </si>
  <si>
    <t>Linus Ullmark</t>
  </si>
  <si>
    <t>ullmali01</t>
  </si>
  <si>
    <t>Jeffrey Viel</t>
  </si>
  <si>
    <t>vielje01</t>
  </si>
  <si>
    <t>Daniel VladaÅ™</t>
  </si>
  <si>
    <t>vladada01</t>
  </si>
  <si>
    <t>wallsje01</t>
  </si>
  <si>
    <t>Tim Washe</t>
  </si>
  <si>
    <t>washeti01</t>
  </si>
  <si>
    <t>Dustin Wolf</t>
  </si>
  <si>
    <t>wolfdu01</t>
  </si>
  <si>
    <t>Joseph Woll</t>
  </si>
  <si>
    <t>wolljo01</t>
  </si>
  <si>
    <t>Danil Zhilkin</t>
  </si>
  <si>
    <t>zhilkda01</t>
  </si>
  <si>
    <t>League Average</t>
  </si>
  <si>
    <t>-9999</t>
  </si>
  <si>
    <t>Zurich</t>
  </si>
  <si>
    <t>SUI</t>
  </si>
  <si>
    <t>GPG</t>
  </si>
  <si>
    <t>APG</t>
  </si>
  <si>
    <t>POSSESSION</t>
  </si>
  <si>
    <t>NET_PUCK_DIFF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</si>
</sst>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6" fontId="0" fillId="0" borderId="0" xfId="0" applyNumberFormat="1"/>
    <xf numFmtId="20" fontId="0" fillId="0" borderId="0" xfId="0" applyNumberFormat="1"/>
    <xf numFmtId="0" fontId="0" fillId="33" borderId="0" xfId="0" applyFill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25" formatCode="h:mm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CB491B-EBCC-408C-991F-5EF45FC6D4A8}" name="Table4" displayName="Table4" ref="A1:AC88" totalsRowShown="0" headerRowDxfId="26" dataDxfId="25">
  <autoFilter ref="A1:AC88" xr:uid="{2ECB491B-EBCC-408C-991F-5EF45FC6D4A8}"/>
  <sortState xmlns:xlrd2="http://schemas.microsoft.com/office/spreadsheetml/2017/richdata2" ref="A2:AC88">
    <sortCondition descending="1" ref="AB1:AB88"/>
  </sortState>
  <tableColumns count="29">
    <tableColumn id="2" xr3:uid="{06CF55C2-2144-4FA5-8737-BE0834364746}" name="ABB"/>
    <tableColumn id="3" xr3:uid="{26D3B175-F7B1-4320-9D3D-021AEF4DB8E1}" name="DIVISION"/>
    <tableColumn id="4" xr3:uid="{C2FCF9D1-B72A-4680-8DB4-D45512AB1CEC}" name="CONFERENCE"/>
    <tableColumn id="5" xr3:uid="{14AFD623-AD1F-4806-A691-9A6D87329748}" name="TEAM"/>
    <tableColumn id="7" xr3:uid="{0DA267D8-8353-454D-BF8E-B46292CE7A12}" name="NAME"/>
    <tableColumn id="8" xr3:uid="{721929A6-EED1-4C32-9360-1385ED0B7132}" name="AGE" dataDxfId="24"/>
    <tableColumn id="9" xr3:uid="{9A02DD44-1BEF-404E-88B4-E07F34E10B06}" name="HEIGHT" dataDxfId="23"/>
    <tableColumn id="10" xr3:uid="{C7119E2A-A64F-4F96-A372-8CF5A9C02942}" name="WEIGHT" dataDxfId="22"/>
    <tableColumn id="11" xr3:uid="{2A1B9A43-994C-40D7-8E03-4D682F287BF3}" name="COUNTRY" dataDxfId="21"/>
    <tableColumn id="12" xr3:uid="{5187AE22-FEF8-4590-9FC6-3D196C811B07}" name="POSITION" dataDxfId="20"/>
    <tableColumn id="13" xr3:uid="{6A27A24E-269B-4B26-85FF-DC45D0449A85}" name="GP" dataDxfId="19"/>
    <tableColumn id="14" xr3:uid="{699664CA-494A-4FA4-957A-EE3FCAF48461}" name="G" dataDxfId="18"/>
    <tableColumn id="15" xr3:uid="{FA17004B-3574-4F06-AD1D-B053ACC1C8EE}" name="A" dataDxfId="17"/>
    <tableColumn id="16" xr3:uid="{CAEB0986-9884-4DC5-A868-7DEFABC494FE}" name="PTS" dataDxfId="16"/>
    <tableColumn id="36" xr3:uid="{A80C4A82-0987-4484-BFDC-F807E7127088}" name="GPG" dataDxfId="15">
      <calculatedColumnFormula>Table4[[#This Row],[G]]/Table4[[#This Row],[GP]]</calculatedColumnFormula>
    </tableColumn>
    <tableColumn id="35" xr3:uid="{21725BC2-DD81-445A-AD08-792E24FDE350}" name="APG" dataDxfId="14">
      <calculatedColumnFormula>Table4[[#This Row],[A]]/Table4[[#This Row],[GP]]</calculatedColumnFormula>
    </tableColumn>
    <tableColumn id="34" xr3:uid="{E4F59674-6E63-4C47-900F-B1B596D7DBCE}" name="PPG" dataDxfId="13">
      <calculatedColumnFormula>Table4[[#This Row],[PTS]]/Table4[[#This Row],[GP]]</calculatedColumnFormula>
    </tableColumn>
    <tableColumn id="17" xr3:uid="{02EC602E-29BA-4194-8ACF-F6C0AA4F5771}" name="PLUS_MINUS" dataDxfId="12"/>
    <tableColumn id="18" xr3:uid="{36F8CCCF-E5D1-4795-AC87-81E6397BD43E}" name="PIM" dataDxfId="11"/>
    <tableColumn id="19" xr3:uid="{CE0A7F9C-4C96-4C90-8201-7DFF4239AC9F}" name="HAT_TRICKS" dataDxfId="10"/>
    <tableColumn id="26" xr3:uid="{421C0BA0-4C24-497E-83C4-64958ED5559C}" name="SOG" dataDxfId="9"/>
    <tableColumn id="27" xr3:uid="{56803631-5F0B-41A1-970B-F55E705210BC}" name="SHT_PCT" dataDxfId="8"/>
    <tableColumn id="28" xr3:uid="{15DBC7EB-B98B-4DAA-BAED-7182A9E40B15}" name="BLOCKED_SHOTS" dataDxfId="7"/>
    <tableColumn id="29" xr3:uid="{08D112B5-0331-4F94-9E21-9D6D44D7851B}" name="HITS" dataDxfId="6"/>
    <tableColumn id="30" xr3:uid="{40D2A94C-1B9A-4250-9C1A-D96ADC8ABBE4}" name="GIVES" dataDxfId="5"/>
    <tableColumn id="31" xr3:uid="{CB96872C-EFD7-49A3-B967-0604848A384D}" name="TAKES" dataDxfId="4"/>
    <tableColumn id="38" xr3:uid="{429D0FF7-32D3-49F4-948C-BD5CBAAFD39F}" name="NET_PUCK_DIFF" dataDxfId="3">
      <calculatedColumnFormula>(Table4[[#This Row],[TAKES]])/(Table4[[#This Row],[GIVES]]+Table4[[#This Row],[TAKES]])</calculatedColumnFormula>
    </tableColumn>
    <tableColumn id="37" xr3:uid="{B5946F35-69CA-42ED-A109-608C37B45104}" name="POSSESSION" dataDxfId="2">
      <calculatedColumnFormula>Table4[[#This Row],[TAKES]]/Table4[[#This Row],[GIVES]]</calculatedColumnFormula>
    </tableColumn>
    <tableColumn id="32" xr3:uid="{F986E05B-0957-420D-B5D7-F7694AB1C5B4}" name="FO_PCT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60112B-EBB5-4265-9602-212F98595CC4}" name="Table3" displayName="Table3" ref="A1:AF978" totalsRowShown="0">
  <autoFilter ref="A1:AF978" xr:uid="{6060112B-EBB5-4265-9602-212F98595CC4}"/>
  <tableColumns count="32">
    <tableColumn id="1" xr3:uid="{5E3A2EE6-44D4-4C74-A2CA-C52C0DD33EEA}" name="Rk"/>
    <tableColumn id="2" xr3:uid="{B75706FE-7F53-4535-899C-F99F1128DA30}" name="Player"/>
    <tableColumn id="3" xr3:uid="{E4D0B158-13CA-4786-AE57-0B03EFF94094}" name="Age"/>
    <tableColumn id="4" xr3:uid="{BCB61033-BCAD-4D70-B3BE-DF7E49CCEE0D}" name="Team"/>
    <tableColumn id="5" xr3:uid="{695D7524-06C3-42E6-9DE0-D795946914B7}" name="Pos"/>
    <tableColumn id="6" xr3:uid="{51DDD5BD-BBEB-4008-B959-6D1A471A3827}" name="GP"/>
    <tableColumn id="7" xr3:uid="{40AEFAC8-1488-4CAA-9D93-386A0AC397AB}" name="G"/>
    <tableColumn id="8" xr3:uid="{F79EE5DF-56E9-4EAC-8222-3C857D6EEFDB}" name="A"/>
    <tableColumn id="9" xr3:uid="{00B0A662-8FEC-446F-BBE5-773D82298459}" name="PTS"/>
    <tableColumn id="10" xr3:uid="{4162210A-8957-4A72-A641-F3DD784DCCBD}" name="+/-"/>
    <tableColumn id="11" xr3:uid="{9966ECA0-39B0-4286-B542-ADA58DF58175}" name="PIM"/>
    <tableColumn id="12" xr3:uid="{E8322ADD-7A7B-459E-8601-C79C1BB415CC}" name="EVG"/>
    <tableColumn id="13" xr3:uid="{3315C787-395A-4AD5-B474-4968B6C0BC36}" name="PPG"/>
    <tableColumn id="14" xr3:uid="{8E7E15CE-933C-4490-8B46-EDBD3F01D77B}" name="SHG"/>
    <tableColumn id="15" xr3:uid="{2766464E-FAE1-4566-A2C4-7611A705A3B8}" name="GWG"/>
    <tableColumn id="16" xr3:uid="{3ED12A37-181B-42B7-A634-DFFE4E6C0CAC}" name="EV"/>
    <tableColumn id="17" xr3:uid="{99A3CFA9-1999-461F-A5B9-C7837F9FD7E0}" name="PP"/>
    <tableColumn id="18" xr3:uid="{070CB6B4-3405-4498-B2E0-A5E26ED79AC8}" name="SH"/>
    <tableColumn id="19" xr3:uid="{3E1C0D4C-3D4E-4873-9522-B1CEE32009FE}" name="SOG"/>
    <tableColumn id="20" xr3:uid="{CC8CCCCD-260F-4791-904B-A4CE66903731}" name="SPCT"/>
    <tableColumn id="21" xr3:uid="{BF464367-14A6-4EA9-B809-89CC918BD4DE}" name="TSA"/>
    <tableColumn id="22" xr3:uid="{4BEEBCB9-7283-49DA-B77D-B74A331C5327}" name="TOI"/>
    <tableColumn id="23" xr3:uid="{ECB63D36-25D8-43E1-96FD-CC5C86D276DC}" name="ATOI" dataDxfId="0"/>
    <tableColumn id="24" xr3:uid="{6D6668DE-7FAB-4F52-9171-568E211BE4F2}" name="FOW"/>
    <tableColumn id="25" xr3:uid="{084D5601-AA9E-41FD-8ECA-7E0F0CD9D673}" name="FOL"/>
    <tableColumn id="26" xr3:uid="{9DEA1A8B-55C4-453B-8673-08817D491F41}" name="FO%"/>
    <tableColumn id="27" xr3:uid="{308AD051-3ABE-4618-B9F0-7A3D14731EBC}" name="BLK"/>
    <tableColumn id="28" xr3:uid="{25613A84-DDE9-4849-B339-CF9D2CCEC1AF}" name="HIT"/>
    <tableColumn id="29" xr3:uid="{8C2559BE-3A5C-4FA3-B9AB-287FA6E1CA39}" name="TAKE"/>
    <tableColumn id="30" xr3:uid="{6B30E850-E1E8-4C7D-A9BE-24328B4DB423}" name="GIVE"/>
    <tableColumn id="31" xr3:uid="{7CEBBDE0-1010-456F-A845-7EF2462D8396}" name="Awards"/>
    <tableColumn id="32" xr3:uid="{5F241D6B-71FE-49C8-BB68-2155F0974E7A}" name="-999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EC69-A276-44A2-A004-3FCDFC91C9B3}">
  <dimension ref="A1:AC88"/>
  <sheetViews>
    <sheetView tabSelected="1" workbookViewId="0">
      <selection activeCell="AE6" sqref="AE6"/>
    </sheetView>
  </sheetViews>
  <sheetFormatPr defaultRowHeight="14.4" x14ac:dyDescent="0.3"/>
  <cols>
    <col min="2" max="2" width="11.109375" bestFit="1" customWidth="1"/>
    <col min="3" max="3" width="14.44140625" customWidth="1"/>
    <col min="4" max="4" width="19.5546875" bestFit="1" customWidth="1"/>
    <col min="5" max="5" width="33.6640625" bestFit="1" customWidth="1"/>
    <col min="6" max="6" width="8.88671875" style="1"/>
    <col min="7" max="7" width="9.21875" style="1" customWidth="1"/>
    <col min="8" max="8" width="9.5546875" style="1" customWidth="1"/>
    <col min="9" max="9" width="11" style="1" customWidth="1"/>
    <col min="10" max="10" width="10.77734375" style="1" customWidth="1"/>
    <col min="11" max="17" width="8.88671875" style="1"/>
    <col min="18" max="18" width="13.33203125" style="1" customWidth="1"/>
    <col min="19" max="19" width="8.88671875" style="1"/>
    <col min="20" max="20" width="12.6640625" style="1" customWidth="1"/>
    <col min="21" max="21" width="8.88671875" style="1"/>
    <col min="22" max="22" width="10.109375" style="1" customWidth="1"/>
    <col min="23" max="23" width="17" style="1" customWidth="1"/>
    <col min="24" max="24" width="8.88671875" style="1" customWidth="1"/>
    <col min="25" max="25" width="10.5546875" style="1" bestFit="1" customWidth="1"/>
    <col min="26" max="26" width="10.6640625" style="1" bestFit="1" customWidth="1"/>
    <col min="27" max="27" width="18.77734375" style="1" bestFit="1" customWidth="1"/>
    <col min="28" max="28" width="16.5546875" style="1" bestFit="1" customWidth="1"/>
    <col min="29" max="29" width="11.77734375" style="1" bestFit="1" customWidth="1"/>
  </cols>
  <sheetData>
    <row r="1" spans="1:29" x14ac:dyDescent="0.3">
      <c r="A1" t="s">
        <v>333</v>
      </c>
      <c r="B1" t="s">
        <v>334</v>
      </c>
      <c r="C1" t="s">
        <v>335</v>
      </c>
      <c r="D1" t="s">
        <v>317</v>
      </c>
      <c r="E1" t="s">
        <v>316</v>
      </c>
      <c r="F1" s="1" t="s">
        <v>336</v>
      </c>
      <c r="G1" s="1" t="s">
        <v>337</v>
      </c>
      <c r="H1" s="1" t="s">
        <v>338</v>
      </c>
      <c r="I1" s="1" t="s">
        <v>315</v>
      </c>
      <c r="J1" s="1" t="s">
        <v>339</v>
      </c>
      <c r="K1" s="1" t="s">
        <v>340</v>
      </c>
      <c r="L1" s="1" t="s">
        <v>332</v>
      </c>
      <c r="M1" s="1" t="s">
        <v>341</v>
      </c>
      <c r="N1" s="1" t="s">
        <v>342</v>
      </c>
      <c r="O1" s="1" t="s">
        <v>2155</v>
      </c>
      <c r="P1" s="1" t="s">
        <v>2156</v>
      </c>
      <c r="Q1" s="1" t="s">
        <v>361</v>
      </c>
      <c r="R1" s="1" t="s">
        <v>344</v>
      </c>
      <c r="S1" s="1" t="s">
        <v>352</v>
      </c>
      <c r="T1" s="1" t="s">
        <v>343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2158</v>
      </c>
      <c r="AB1" s="1" t="s">
        <v>2157</v>
      </c>
      <c r="AC1" s="1" t="s">
        <v>351</v>
      </c>
    </row>
    <row r="2" spans="1:29" x14ac:dyDescent="0.3">
      <c r="A2" t="s">
        <v>134</v>
      </c>
      <c r="B2" t="s">
        <v>79</v>
      </c>
      <c r="C2" t="s">
        <v>80</v>
      </c>
      <c r="D2" t="s">
        <v>138</v>
      </c>
      <c r="E2" s="4" t="s">
        <v>271</v>
      </c>
      <c r="F2" s="1">
        <v>32</v>
      </c>
      <c r="G2" s="1" t="s">
        <v>75</v>
      </c>
      <c r="H2" s="1">
        <v>196</v>
      </c>
      <c r="I2" s="1" t="s">
        <v>85</v>
      </c>
      <c r="J2" s="1" t="s">
        <v>95</v>
      </c>
      <c r="K2" s="1">
        <v>21</v>
      </c>
      <c r="L2" s="1">
        <v>6</v>
      </c>
      <c r="M2" s="1">
        <v>9</v>
      </c>
      <c r="N2" s="1">
        <v>15</v>
      </c>
      <c r="O2" s="5">
        <f>Table4[[#This Row],[G]]/Table4[[#This Row],[GP]]</f>
        <v>0.2857142857142857</v>
      </c>
      <c r="P2" s="5">
        <f>Table4[[#This Row],[A]]/Table4[[#This Row],[GP]]</f>
        <v>0.42857142857142855</v>
      </c>
      <c r="Q2" s="5">
        <f>Table4[[#This Row],[PTS]]/Table4[[#This Row],[GP]]</f>
        <v>0.7142857142857143</v>
      </c>
      <c r="R2" s="1">
        <v>0</v>
      </c>
      <c r="S2" s="1">
        <v>2</v>
      </c>
      <c r="T2" s="1">
        <v>2</v>
      </c>
      <c r="U2" s="1">
        <v>59</v>
      </c>
      <c r="V2" s="1">
        <v>10.199999999999999</v>
      </c>
      <c r="W2" s="1">
        <v>21</v>
      </c>
      <c r="X2" s="1">
        <v>32</v>
      </c>
      <c r="Y2" s="1">
        <v>15</v>
      </c>
      <c r="Z2" s="1">
        <v>13</v>
      </c>
      <c r="AA2" s="6">
        <f>(Table4[[#This Row],[TAKES]])/(Table4[[#This Row],[GIVES]]+Table4[[#This Row],[TAKES]])</f>
        <v>0.4642857142857143</v>
      </c>
      <c r="AB2" s="6">
        <f>Table4[[#This Row],[TAKES]]/Table4[[#This Row],[GIVES]]</f>
        <v>0.8666666666666667</v>
      </c>
      <c r="AC2" s="1">
        <v>5.9</v>
      </c>
    </row>
    <row r="3" spans="1:29" x14ac:dyDescent="0.3">
      <c r="A3" t="s">
        <v>72</v>
      </c>
      <c r="B3" t="s">
        <v>79</v>
      </c>
      <c r="C3" t="s">
        <v>80</v>
      </c>
      <c r="D3" t="s">
        <v>81</v>
      </c>
      <c r="E3" s="4" t="s">
        <v>285</v>
      </c>
      <c r="F3" s="1">
        <v>31</v>
      </c>
      <c r="G3" s="1" t="s">
        <v>105</v>
      </c>
      <c r="H3" s="1">
        <v>207</v>
      </c>
      <c r="I3" s="1" t="s">
        <v>128</v>
      </c>
      <c r="J3" s="1" t="s">
        <v>87</v>
      </c>
      <c r="K3" s="1">
        <v>5</v>
      </c>
      <c r="L3" s="1">
        <v>0</v>
      </c>
      <c r="M3" s="1">
        <v>0</v>
      </c>
      <c r="N3" s="1">
        <v>0</v>
      </c>
      <c r="O3" s="5">
        <f>Table4[[#This Row],[G]]/Table4[[#This Row],[GP]]</f>
        <v>0</v>
      </c>
      <c r="P3" s="5">
        <f>Table4[[#This Row],[A]]/Table4[[#This Row],[GP]]</f>
        <v>0</v>
      </c>
      <c r="Q3" s="5">
        <f>Table4[[#This Row],[PTS]]/Table4[[#This Row],[GP]]</f>
        <v>0</v>
      </c>
      <c r="R3" s="1">
        <v>-2</v>
      </c>
      <c r="S3" s="1">
        <v>0</v>
      </c>
      <c r="T3" s="1">
        <v>0</v>
      </c>
      <c r="U3" s="1">
        <v>4</v>
      </c>
      <c r="V3" s="1">
        <v>0</v>
      </c>
      <c r="W3" s="1">
        <v>8</v>
      </c>
      <c r="X3" s="1">
        <v>0</v>
      </c>
      <c r="Y3" s="1">
        <v>6</v>
      </c>
      <c r="Z3" s="1">
        <v>5</v>
      </c>
      <c r="AA3" s="6">
        <f>(Table4[[#This Row],[TAKES]])/(Table4[[#This Row],[GIVES]]+Table4[[#This Row],[TAKES]])</f>
        <v>0.45454545454545453</v>
      </c>
      <c r="AB3" s="6">
        <f>Table4[[#This Row],[TAKES]]/Table4[[#This Row],[GIVES]]</f>
        <v>0.83333333333333337</v>
      </c>
      <c r="AC3" s="1">
        <v>0</v>
      </c>
    </row>
    <row r="4" spans="1:29" x14ac:dyDescent="0.3">
      <c r="A4" t="s">
        <v>2154</v>
      </c>
      <c r="B4" t="s">
        <v>131</v>
      </c>
      <c r="C4" t="s">
        <v>131</v>
      </c>
      <c r="D4" t="s">
        <v>2153</v>
      </c>
      <c r="E4" s="4" t="s">
        <v>323</v>
      </c>
      <c r="F4" s="1">
        <v>31</v>
      </c>
      <c r="G4" s="1" t="s">
        <v>75</v>
      </c>
      <c r="H4" s="1">
        <v>196</v>
      </c>
      <c r="I4" s="1" t="s">
        <v>76</v>
      </c>
      <c r="J4" s="1" t="s">
        <v>87</v>
      </c>
      <c r="K4" s="1">
        <v>26</v>
      </c>
      <c r="L4" s="1">
        <v>0</v>
      </c>
      <c r="M4" s="1">
        <v>6</v>
      </c>
      <c r="N4" s="1">
        <v>6</v>
      </c>
      <c r="O4" s="5">
        <f>Table4[[#This Row],[G]]/Table4[[#This Row],[GP]]</f>
        <v>0</v>
      </c>
      <c r="P4" s="5">
        <f>Table4[[#This Row],[A]]/Table4[[#This Row],[GP]]</f>
        <v>0.23076923076923078</v>
      </c>
      <c r="Q4" s="5">
        <f>Table4[[#This Row],[PTS]]/Table4[[#This Row],[GP]]</f>
        <v>0.23076923076923078</v>
      </c>
      <c r="R4" s="1">
        <v>-2</v>
      </c>
      <c r="S4" s="1">
        <v>8</v>
      </c>
      <c r="T4" s="1">
        <v>0</v>
      </c>
      <c r="U4" s="1">
        <v>33</v>
      </c>
      <c r="V4" s="1">
        <v>0</v>
      </c>
      <c r="W4" s="1">
        <v>15</v>
      </c>
      <c r="X4" s="1">
        <v>30</v>
      </c>
      <c r="Y4" s="1">
        <v>10</v>
      </c>
      <c r="Z4" s="1">
        <v>8</v>
      </c>
      <c r="AA4" s="6">
        <f>(Table4[[#This Row],[TAKES]])/(Table4[[#This Row],[GIVES]]+Table4[[#This Row],[TAKES]])</f>
        <v>0.44444444444444442</v>
      </c>
      <c r="AB4" s="6">
        <f>Table4[[#This Row],[TAKES]]/Table4[[#This Row],[GIVES]]</f>
        <v>0.8</v>
      </c>
      <c r="AC4" s="1">
        <v>0</v>
      </c>
    </row>
    <row r="5" spans="1:29" x14ac:dyDescent="0.3">
      <c r="A5" t="s">
        <v>121</v>
      </c>
      <c r="B5" t="s">
        <v>124</v>
      </c>
      <c r="C5" t="s">
        <v>80</v>
      </c>
      <c r="D5" t="s">
        <v>125</v>
      </c>
      <c r="E5" s="4" t="s">
        <v>122</v>
      </c>
      <c r="F5" s="1">
        <v>28</v>
      </c>
      <c r="G5" s="1" t="s">
        <v>75</v>
      </c>
      <c r="H5" s="1">
        <v>193</v>
      </c>
      <c r="I5" s="1" t="s">
        <v>118</v>
      </c>
      <c r="J5" s="1" t="s">
        <v>78</v>
      </c>
      <c r="K5" s="1">
        <v>38</v>
      </c>
      <c r="L5" s="1">
        <v>12</v>
      </c>
      <c r="M5" s="1">
        <v>13</v>
      </c>
      <c r="N5" s="1">
        <v>25</v>
      </c>
      <c r="O5" s="5">
        <f>Table4[[#This Row],[G]]/Table4[[#This Row],[GP]]</f>
        <v>0.31578947368421051</v>
      </c>
      <c r="P5" s="5">
        <f>Table4[[#This Row],[A]]/Table4[[#This Row],[GP]]</f>
        <v>0.34210526315789475</v>
      </c>
      <c r="Q5" s="5">
        <f>Table4[[#This Row],[PTS]]/Table4[[#This Row],[GP]]</f>
        <v>0.65789473684210531</v>
      </c>
      <c r="R5" s="1">
        <v>22</v>
      </c>
      <c r="S5" s="1">
        <v>10</v>
      </c>
      <c r="T5" s="1">
        <v>4</v>
      </c>
      <c r="U5" s="1">
        <v>73</v>
      </c>
      <c r="V5" s="1">
        <v>16.399999999999999</v>
      </c>
      <c r="W5" s="1">
        <v>23</v>
      </c>
      <c r="X5" s="1">
        <v>26</v>
      </c>
      <c r="Y5" s="1">
        <v>25</v>
      </c>
      <c r="Z5" s="1">
        <v>17</v>
      </c>
      <c r="AA5" s="6">
        <f>(Table4[[#This Row],[TAKES]])/(Table4[[#This Row],[GIVES]]+Table4[[#This Row],[TAKES]])</f>
        <v>0.40476190476190477</v>
      </c>
      <c r="AB5" s="6">
        <f>Table4[[#This Row],[TAKES]]/Table4[[#This Row],[GIVES]]</f>
        <v>0.68</v>
      </c>
      <c r="AC5" s="1">
        <v>48</v>
      </c>
    </row>
    <row r="6" spans="1:29" x14ac:dyDescent="0.3">
      <c r="A6" t="s">
        <v>91</v>
      </c>
      <c r="B6" t="s">
        <v>88</v>
      </c>
      <c r="C6" t="s">
        <v>89</v>
      </c>
      <c r="D6" t="s">
        <v>96</v>
      </c>
      <c r="E6" s="4" t="s">
        <v>92</v>
      </c>
      <c r="F6" s="1">
        <v>32</v>
      </c>
      <c r="G6" s="1" t="s">
        <v>93</v>
      </c>
      <c r="H6" s="1">
        <v>218</v>
      </c>
      <c r="I6" s="1" t="s">
        <v>76</v>
      </c>
      <c r="J6" s="1" t="s">
        <v>95</v>
      </c>
      <c r="K6" s="1">
        <v>41</v>
      </c>
      <c r="L6" s="1">
        <v>9</v>
      </c>
      <c r="M6" s="1">
        <v>7</v>
      </c>
      <c r="N6" s="1">
        <v>16</v>
      </c>
      <c r="O6" s="5">
        <f>Table4[[#This Row],[G]]/Table4[[#This Row],[GP]]</f>
        <v>0.21951219512195122</v>
      </c>
      <c r="P6" s="5">
        <f>Table4[[#This Row],[A]]/Table4[[#This Row],[GP]]</f>
        <v>0.17073170731707318</v>
      </c>
      <c r="Q6" s="5">
        <f>Table4[[#This Row],[PTS]]/Table4[[#This Row],[GP]]</f>
        <v>0.3902439024390244</v>
      </c>
      <c r="R6" s="1">
        <v>5</v>
      </c>
      <c r="S6" s="1">
        <v>22</v>
      </c>
      <c r="T6" s="1">
        <v>3</v>
      </c>
      <c r="U6" s="1">
        <v>51</v>
      </c>
      <c r="V6" s="1">
        <v>17.600000000000001</v>
      </c>
      <c r="W6" s="1">
        <v>24</v>
      </c>
      <c r="X6" s="1">
        <v>38</v>
      </c>
      <c r="Y6" s="1">
        <v>33</v>
      </c>
      <c r="Z6" s="1">
        <v>22</v>
      </c>
      <c r="AA6" s="6">
        <f>(Table4[[#This Row],[TAKES]])/(Table4[[#This Row],[GIVES]]+Table4[[#This Row],[TAKES]])</f>
        <v>0.4</v>
      </c>
      <c r="AB6" s="6">
        <f>Table4[[#This Row],[TAKES]]/Table4[[#This Row],[GIVES]]</f>
        <v>0.66666666666666663</v>
      </c>
      <c r="AC6" s="1">
        <v>36.700000000000003</v>
      </c>
    </row>
    <row r="7" spans="1:29" x14ac:dyDescent="0.3">
      <c r="A7" t="s">
        <v>161</v>
      </c>
      <c r="B7" t="s">
        <v>124</v>
      </c>
      <c r="C7" t="s">
        <v>80</v>
      </c>
      <c r="D7" t="s">
        <v>165</v>
      </c>
      <c r="E7" s="4" t="s">
        <v>162</v>
      </c>
      <c r="F7" s="1">
        <v>29</v>
      </c>
      <c r="G7" s="1" t="s">
        <v>75</v>
      </c>
      <c r="H7" s="1">
        <v>186</v>
      </c>
      <c r="I7" s="1" t="s">
        <v>85</v>
      </c>
      <c r="J7" s="1" t="s">
        <v>87</v>
      </c>
      <c r="K7" s="1">
        <v>42</v>
      </c>
      <c r="L7" s="1">
        <v>1</v>
      </c>
      <c r="M7" s="1">
        <v>13</v>
      </c>
      <c r="N7" s="1">
        <v>14</v>
      </c>
      <c r="O7" s="5">
        <f>Table4[[#This Row],[G]]/Table4[[#This Row],[GP]]</f>
        <v>2.3809523809523808E-2</v>
      </c>
      <c r="P7" s="5">
        <f>Table4[[#This Row],[A]]/Table4[[#This Row],[GP]]</f>
        <v>0.30952380952380953</v>
      </c>
      <c r="Q7" s="5">
        <f>Table4[[#This Row],[PTS]]/Table4[[#This Row],[GP]]</f>
        <v>0.33333333333333331</v>
      </c>
      <c r="R7" s="1">
        <v>-3</v>
      </c>
      <c r="S7" s="1">
        <v>20</v>
      </c>
      <c r="T7" s="1">
        <v>0</v>
      </c>
      <c r="U7" s="1">
        <v>49</v>
      </c>
      <c r="V7" s="1">
        <v>2</v>
      </c>
      <c r="W7" s="1">
        <v>48</v>
      </c>
      <c r="X7" s="1">
        <v>31</v>
      </c>
      <c r="Y7" s="1">
        <v>24</v>
      </c>
      <c r="Z7" s="1">
        <v>16</v>
      </c>
      <c r="AA7" s="6">
        <f>(Table4[[#This Row],[TAKES]])/(Table4[[#This Row],[GIVES]]+Table4[[#This Row],[TAKES]])</f>
        <v>0.4</v>
      </c>
      <c r="AB7" s="6">
        <f>Table4[[#This Row],[TAKES]]/Table4[[#This Row],[GIVES]]</f>
        <v>0.66666666666666663</v>
      </c>
      <c r="AC7" s="1">
        <v>0</v>
      </c>
    </row>
    <row r="8" spans="1:29" x14ac:dyDescent="0.3">
      <c r="A8" t="s">
        <v>216</v>
      </c>
      <c r="B8" t="s">
        <v>107</v>
      </c>
      <c r="C8" t="s">
        <v>89</v>
      </c>
      <c r="D8" t="s">
        <v>219</v>
      </c>
      <c r="E8" s="4" t="s">
        <v>239</v>
      </c>
      <c r="F8" s="1">
        <v>27</v>
      </c>
      <c r="G8" s="1" t="s">
        <v>136</v>
      </c>
      <c r="H8" s="1">
        <v>187</v>
      </c>
      <c r="I8" s="1" t="s">
        <v>118</v>
      </c>
      <c r="J8" s="1" t="s">
        <v>87</v>
      </c>
      <c r="K8" s="1">
        <v>42</v>
      </c>
      <c r="L8" s="1">
        <v>12</v>
      </c>
      <c r="M8" s="1">
        <v>36</v>
      </c>
      <c r="N8" s="1">
        <v>48</v>
      </c>
      <c r="O8" s="5">
        <f>Table4[[#This Row],[G]]/Table4[[#This Row],[GP]]</f>
        <v>0.2857142857142857</v>
      </c>
      <c r="P8" s="5">
        <f>Table4[[#This Row],[A]]/Table4[[#This Row],[GP]]</f>
        <v>0.8571428571428571</v>
      </c>
      <c r="Q8" s="5">
        <f>Table4[[#This Row],[PTS]]/Table4[[#This Row],[GP]]</f>
        <v>1.1428571428571428</v>
      </c>
      <c r="R8" s="1">
        <v>30</v>
      </c>
      <c r="S8" s="1">
        <v>18</v>
      </c>
      <c r="T8" s="1">
        <v>4</v>
      </c>
      <c r="U8" s="1">
        <v>118</v>
      </c>
      <c r="V8" s="1">
        <v>10.199999999999999</v>
      </c>
      <c r="W8" s="1">
        <v>73</v>
      </c>
      <c r="X8" s="1">
        <v>20</v>
      </c>
      <c r="Y8" s="1">
        <v>42</v>
      </c>
      <c r="Z8" s="1">
        <v>25</v>
      </c>
      <c r="AA8" s="6">
        <f>(Table4[[#This Row],[TAKES]])/(Table4[[#This Row],[GIVES]]+Table4[[#This Row],[TAKES]])</f>
        <v>0.37313432835820898</v>
      </c>
      <c r="AB8" s="6">
        <f>Table4[[#This Row],[TAKES]]/Table4[[#This Row],[GIVES]]</f>
        <v>0.59523809523809523</v>
      </c>
      <c r="AC8" s="1">
        <v>0</v>
      </c>
    </row>
    <row r="9" spans="1:29" x14ac:dyDescent="0.3">
      <c r="A9" t="s">
        <v>216</v>
      </c>
      <c r="B9" t="s">
        <v>107</v>
      </c>
      <c r="C9" t="s">
        <v>89</v>
      </c>
      <c r="D9" t="s">
        <v>219</v>
      </c>
      <c r="E9" s="4" t="s">
        <v>220</v>
      </c>
      <c r="F9" s="1">
        <v>33</v>
      </c>
      <c r="G9" s="1" t="s">
        <v>84</v>
      </c>
      <c r="H9" s="1">
        <v>215</v>
      </c>
      <c r="I9" s="1" t="s">
        <v>85</v>
      </c>
      <c r="J9" s="1" t="s">
        <v>101</v>
      </c>
      <c r="K9" s="1">
        <v>41</v>
      </c>
      <c r="L9" s="1">
        <v>7</v>
      </c>
      <c r="M9" s="1">
        <v>15</v>
      </c>
      <c r="N9" s="1">
        <v>22</v>
      </c>
      <c r="O9" s="5">
        <f>Table4[[#This Row],[G]]/Table4[[#This Row],[GP]]</f>
        <v>0.17073170731707318</v>
      </c>
      <c r="P9" s="5">
        <f>Table4[[#This Row],[A]]/Table4[[#This Row],[GP]]</f>
        <v>0.36585365853658536</v>
      </c>
      <c r="Q9" s="5">
        <f>Table4[[#This Row],[PTS]]/Table4[[#This Row],[GP]]</f>
        <v>0.53658536585365857</v>
      </c>
      <c r="R9" s="1">
        <v>18</v>
      </c>
      <c r="S9" s="1">
        <v>27</v>
      </c>
      <c r="T9" s="1">
        <v>2</v>
      </c>
      <c r="U9" s="1">
        <v>87</v>
      </c>
      <c r="V9" s="1">
        <v>8</v>
      </c>
      <c r="W9" s="1">
        <v>18</v>
      </c>
      <c r="X9" s="1">
        <v>60</v>
      </c>
      <c r="Y9" s="1">
        <v>21</v>
      </c>
      <c r="Z9" s="1">
        <v>12</v>
      </c>
      <c r="AA9" s="6">
        <f>(Table4[[#This Row],[TAKES]])/(Table4[[#This Row],[GIVES]]+Table4[[#This Row],[TAKES]])</f>
        <v>0.36363636363636365</v>
      </c>
      <c r="AB9" s="6">
        <f>Table4[[#This Row],[TAKES]]/Table4[[#This Row],[GIVES]]</f>
        <v>0.5714285714285714</v>
      </c>
      <c r="AC9" s="1">
        <v>62.3</v>
      </c>
    </row>
    <row r="10" spans="1:29" x14ac:dyDescent="0.3">
      <c r="A10" t="s">
        <v>174</v>
      </c>
      <c r="B10" t="s">
        <v>107</v>
      </c>
      <c r="C10" t="s">
        <v>89</v>
      </c>
      <c r="D10" t="s">
        <v>177</v>
      </c>
      <c r="E10" s="4" t="s">
        <v>182</v>
      </c>
      <c r="F10" s="1">
        <v>26</v>
      </c>
      <c r="G10" s="1" t="s">
        <v>84</v>
      </c>
      <c r="H10" s="1">
        <v>190</v>
      </c>
      <c r="I10" s="1" t="s">
        <v>76</v>
      </c>
      <c r="J10" s="1" t="s">
        <v>87</v>
      </c>
      <c r="K10" s="1">
        <v>44</v>
      </c>
      <c r="L10" s="1">
        <v>7</v>
      </c>
      <c r="M10" s="1">
        <v>29</v>
      </c>
      <c r="N10" s="1">
        <v>36</v>
      </c>
      <c r="O10" s="5">
        <f>Table4[[#This Row],[G]]/Table4[[#This Row],[GP]]</f>
        <v>0.15909090909090909</v>
      </c>
      <c r="P10" s="5">
        <f>Table4[[#This Row],[A]]/Table4[[#This Row],[GP]]</f>
        <v>0.65909090909090906</v>
      </c>
      <c r="Q10" s="5">
        <f>Table4[[#This Row],[PTS]]/Table4[[#This Row],[GP]]</f>
        <v>0.81818181818181823</v>
      </c>
      <c r="R10" s="1">
        <v>6</v>
      </c>
      <c r="S10" s="1">
        <v>14</v>
      </c>
      <c r="T10" s="1">
        <v>2</v>
      </c>
      <c r="U10" s="1">
        <v>91</v>
      </c>
      <c r="V10" s="1">
        <v>7.7</v>
      </c>
      <c r="W10" s="1">
        <v>82</v>
      </c>
      <c r="X10" s="1">
        <v>9</v>
      </c>
      <c r="Y10" s="1">
        <v>53</v>
      </c>
      <c r="Z10" s="1">
        <v>29</v>
      </c>
      <c r="AA10" s="6">
        <f>(Table4[[#This Row],[TAKES]])/(Table4[[#This Row],[GIVES]]+Table4[[#This Row],[TAKES]])</f>
        <v>0.35365853658536583</v>
      </c>
      <c r="AB10" s="6">
        <f>Table4[[#This Row],[TAKES]]/Table4[[#This Row],[GIVES]]</f>
        <v>0.54716981132075471</v>
      </c>
      <c r="AC10" s="1">
        <v>0</v>
      </c>
    </row>
    <row r="11" spans="1:29" x14ac:dyDescent="0.3">
      <c r="A11" t="s">
        <v>116</v>
      </c>
      <c r="B11" t="s">
        <v>88</v>
      </c>
      <c r="C11" t="s">
        <v>89</v>
      </c>
      <c r="D11" t="s">
        <v>120</v>
      </c>
      <c r="E11" s="4" t="s">
        <v>305</v>
      </c>
      <c r="F11" s="1">
        <v>31</v>
      </c>
      <c r="G11" s="1" t="s">
        <v>147</v>
      </c>
      <c r="H11" s="1">
        <v>197</v>
      </c>
      <c r="I11" s="1" t="s">
        <v>85</v>
      </c>
      <c r="J11" s="1" t="s">
        <v>78</v>
      </c>
      <c r="K11" s="1">
        <v>43</v>
      </c>
      <c r="L11" s="1">
        <v>8</v>
      </c>
      <c r="M11" s="1">
        <v>22</v>
      </c>
      <c r="N11" s="1">
        <v>30</v>
      </c>
      <c r="O11" s="5">
        <f>Table4[[#This Row],[G]]/Table4[[#This Row],[GP]]</f>
        <v>0.18604651162790697</v>
      </c>
      <c r="P11" s="5">
        <f>Table4[[#This Row],[A]]/Table4[[#This Row],[GP]]</f>
        <v>0.51162790697674421</v>
      </c>
      <c r="Q11" s="5">
        <f>Table4[[#This Row],[PTS]]/Table4[[#This Row],[GP]]</f>
        <v>0.69767441860465118</v>
      </c>
      <c r="R11" s="1">
        <v>-10</v>
      </c>
      <c r="S11" s="1">
        <v>10</v>
      </c>
      <c r="T11" s="1">
        <v>2</v>
      </c>
      <c r="U11" s="1">
        <v>50</v>
      </c>
      <c r="V11" s="1">
        <v>16</v>
      </c>
      <c r="W11" s="1">
        <v>54</v>
      </c>
      <c r="X11" s="1">
        <v>13</v>
      </c>
      <c r="Y11" s="1">
        <v>35</v>
      </c>
      <c r="Z11" s="1">
        <v>19</v>
      </c>
      <c r="AA11" s="6">
        <f>(Table4[[#This Row],[TAKES]])/(Table4[[#This Row],[GIVES]]+Table4[[#This Row],[TAKES]])</f>
        <v>0.35185185185185186</v>
      </c>
      <c r="AB11" s="6">
        <f>Table4[[#This Row],[TAKES]]/Table4[[#This Row],[GIVES]]</f>
        <v>0.54285714285714282</v>
      </c>
      <c r="AC11" s="1">
        <v>45.7</v>
      </c>
    </row>
    <row r="12" spans="1:29" x14ac:dyDescent="0.3">
      <c r="A12" t="s">
        <v>193</v>
      </c>
      <c r="B12" t="s">
        <v>88</v>
      </c>
      <c r="C12" t="s">
        <v>89</v>
      </c>
      <c r="D12" t="s">
        <v>269</v>
      </c>
      <c r="E12" s="4" t="s">
        <v>267</v>
      </c>
      <c r="F12" s="1">
        <v>27</v>
      </c>
      <c r="G12" s="1" t="s">
        <v>147</v>
      </c>
      <c r="H12" s="1">
        <v>176</v>
      </c>
      <c r="I12" s="1" t="s">
        <v>85</v>
      </c>
      <c r="J12" s="1" t="s">
        <v>78</v>
      </c>
      <c r="K12" s="1">
        <v>34</v>
      </c>
      <c r="L12" s="1">
        <v>11</v>
      </c>
      <c r="M12" s="1">
        <v>15</v>
      </c>
      <c r="N12" s="1">
        <v>26</v>
      </c>
      <c r="O12" s="5">
        <f>Table4[[#This Row],[G]]/Table4[[#This Row],[GP]]</f>
        <v>0.3235294117647059</v>
      </c>
      <c r="P12" s="5">
        <f>Table4[[#This Row],[A]]/Table4[[#This Row],[GP]]</f>
        <v>0.44117647058823528</v>
      </c>
      <c r="Q12" s="5">
        <f>Table4[[#This Row],[PTS]]/Table4[[#This Row],[GP]]</f>
        <v>0.76470588235294112</v>
      </c>
      <c r="R12" s="1">
        <v>-11</v>
      </c>
      <c r="S12" s="1">
        <v>14</v>
      </c>
      <c r="T12" s="1">
        <v>3</v>
      </c>
      <c r="U12" s="1">
        <v>69</v>
      </c>
      <c r="V12" s="1">
        <v>15.9</v>
      </c>
      <c r="W12" s="1">
        <v>56</v>
      </c>
      <c r="X12" s="1">
        <v>32</v>
      </c>
      <c r="Y12" s="1">
        <v>35</v>
      </c>
      <c r="Z12" s="1">
        <v>18</v>
      </c>
      <c r="AA12" s="6">
        <f>(Table4[[#This Row],[TAKES]])/(Table4[[#This Row],[GIVES]]+Table4[[#This Row],[TAKES]])</f>
        <v>0.33962264150943394</v>
      </c>
      <c r="AB12" s="6">
        <f>Table4[[#This Row],[TAKES]]/Table4[[#This Row],[GIVES]]</f>
        <v>0.51428571428571423</v>
      </c>
      <c r="AC12" s="1">
        <v>47.2</v>
      </c>
    </row>
    <row r="13" spans="1:29" x14ac:dyDescent="0.3">
      <c r="A13" t="s">
        <v>157</v>
      </c>
      <c r="B13" t="s">
        <v>107</v>
      </c>
      <c r="C13" t="s">
        <v>89</v>
      </c>
      <c r="D13" t="s">
        <v>160</v>
      </c>
      <c r="E13" s="4" t="s">
        <v>158</v>
      </c>
      <c r="F13" s="1">
        <v>31</v>
      </c>
      <c r="G13" s="1" t="s">
        <v>84</v>
      </c>
      <c r="H13" s="1">
        <v>205</v>
      </c>
      <c r="I13" s="1" t="s">
        <v>85</v>
      </c>
      <c r="J13" s="1" t="s">
        <v>101</v>
      </c>
      <c r="K13" s="1">
        <v>42</v>
      </c>
      <c r="L13" s="1">
        <v>16</v>
      </c>
      <c r="M13" s="1">
        <v>15</v>
      </c>
      <c r="N13" s="1">
        <v>31</v>
      </c>
      <c r="O13" s="5">
        <f>Table4[[#This Row],[G]]/Table4[[#This Row],[GP]]</f>
        <v>0.38095238095238093</v>
      </c>
      <c r="P13" s="5">
        <f>Table4[[#This Row],[A]]/Table4[[#This Row],[GP]]</f>
        <v>0.35714285714285715</v>
      </c>
      <c r="Q13" s="5">
        <f>Table4[[#This Row],[PTS]]/Table4[[#This Row],[GP]]</f>
        <v>0.73809523809523814</v>
      </c>
      <c r="R13" s="1">
        <v>-6</v>
      </c>
      <c r="S13" s="1">
        <v>20</v>
      </c>
      <c r="T13" s="1">
        <v>5</v>
      </c>
      <c r="U13" s="1">
        <v>125</v>
      </c>
      <c r="V13" s="1">
        <v>12.8</v>
      </c>
      <c r="W13" s="1">
        <v>15</v>
      </c>
      <c r="X13" s="1">
        <v>84</v>
      </c>
      <c r="Y13" s="1">
        <v>56</v>
      </c>
      <c r="Z13" s="1">
        <v>28</v>
      </c>
      <c r="AA13" s="6">
        <f>(Table4[[#This Row],[TAKES]])/(Table4[[#This Row],[GIVES]]+Table4[[#This Row],[TAKES]])</f>
        <v>0.33333333333333331</v>
      </c>
      <c r="AB13" s="6">
        <f>Table4[[#This Row],[TAKES]]/Table4[[#This Row],[GIVES]]</f>
        <v>0.5</v>
      </c>
      <c r="AC13" s="1">
        <v>35</v>
      </c>
    </row>
    <row r="14" spans="1:29" x14ac:dyDescent="0.3">
      <c r="A14" t="s">
        <v>195</v>
      </c>
      <c r="B14" t="s">
        <v>124</v>
      </c>
      <c r="C14" t="s">
        <v>80</v>
      </c>
      <c r="D14" t="s">
        <v>197</v>
      </c>
      <c r="E14" s="4" t="s">
        <v>248</v>
      </c>
      <c r="F14" s="1">
        <v>28</v>
      </c>
      <c r="G14" s="1" t="s">
        <v>75</v>
      </c>
      <c r="H14" s="1">
        <v>208</v>
      </c>
      <c r="I14" s="1" t="s">
        <v>128</v>
      </c>
      <c r="J14" s="1" t="s">
        <v>87</v>
      </c>
      <c r="K14" s="1">
        <v>31</v>
      </c>
      <c r="L14" s="1">
        <v>1</v>
      </c>
      <c r="M14" s="1">
        <v>21</v>
      </c>
      <c r="N14" s="1">
        <v>22</v>
      </c>
      <c r="O14" s="5">
        <f>Table4[[#This Row],[G]]/Table4[[#This Row],[GP]]</f>
        <v>3.2258064516129031E-2</v>
      </c>
      <c r="P14" s="5">
        <f>Table4[[#This Row],[A]]/Table4[[#This Row],[GP]]</f>
        <v>0.67741935483870963</v>
      </c>
      <c r="Q14" s="5">
        <f>Table4[[#This Row],[PTS]]/Table4[[#This Row],[GP]]</f>
        <v>0.70967741935483875</v>
      </c>
      <c r="R14" s="1">
        <v>-6</v>
      </c>
      <c r="S14" s="1">
        <v>32</v>
      </c>
      <c r="T14" s="1">
        <v>0</v>
      </c>
      <c r="U14" s="1">
        <v>49</v>
      </c>
      <c r="V14" s="1">
        <v>2</v>
      </c>
      <c r="W14" s="1">
        <v>59</v>
      </c>
      <c r="X14" s="1">
        <v>41</v>
      </c>
      <c r="Y14" s="1">
        <v>34</v>
      </c>
      <c r="Z14" s="1">
        <v>16</v>
      </c>
      <c r="AA14" s="6">
        <f>(Table4[[#This Row],[TAKES]])/(Table4[[#This Row],[GIVES]]+Table4[[#This Row],[TAKES]])</f>
        <v>0.32</v>
      </c>
      <c r="AB14" s="6">
        <f>Table4[[#This Row],[TAKES]]/Table4[[#This Row],[GIVES]]</f>
        <v>0.47058823529411764</v>
      </c>
      <c r="AC14" s="1">
        <v>0</v>
      </c>
    </row>
    <row r="15" spans="1:29" x14ac:dyDescent="0.3">
      <c r="A15" t="s">
        <v>243</v>
      </c>
      <c r="B15" t="s">
        <v>124</v>
      </c>
      <c r="C15" t="s">
        <v>80</v>
      </c>
      <c r="D15" t="s">
        <v>245</v>
      </c>
      <c r="E15" s="4" t="s">
        <v>281</v>
      </c>
      <c r="F15" s="1">
        <v>23</v>
      </c>
      <c r="G15" s="1" t="s">
        <v>105</v>
      </c>
      <c r="H15" s="1">
        <v>195</v>
      </c>
      <c r="I15" s="1" t="s">
        <v>128</v>
      </c>
      <c r="J15" s="1" t="s">
        <v>87</v>
      </c>
      <c r="K15" s="1">
        <v>42</v>
      </c>
      <c r="L15" s="1">
        <v>8</v>
      </c>
      <c r="M15" s="1">
        <v>23</v>
      </c>
      <c r="N15" s="1">
        <v>31</v>
      </c>
      <c r="O15" s="5">
        <f>Table4[[#This Row],[G]]/Table4[[#This Row],[GP]]</f>
        <v>0.19047619047619047</v>
      </c>
      <c r="P15" s="5">
        <f>Table4[[#This Row],[A]]/Table4[[#This Row],[GP]]</f>
        <v>0.54761904761904767</v>
      </c>
      <c r="Q15" s="5">
        <f>Table4[[#This Row],[PTS]]/Table4[[#This Row],[GP]]</f>
        <v>0.73809523809523814</v>
      </c>
      <c r="R15" s="1">
        <v>6</v>
      </c>
      <c r="S15" s="1">
        <v>4</v>
      </c>
      <c r="T15" s="1">
        <v>2</v>
      </c>
      <c r="U15" s="1">
        <v>89</v>
      </c>
      <c r="V15" s="1">
        <v>9</v>
      </c>
      <c r="W15" s="1">
        <v>80</v>
      </c>
      <c r="X15" s="1">
        <v>15</v>
      </c>
      <c r="Y15" s="1">
        <v>49</v>
      </c>
      <c r="Z15" s="1">
        <v>23</v>
      </c>
      <c r="AA15" s="6">
        <f>(Table4[[#This Row],[TAKES]])/(Table4[[#This Row],[GIVES]]+Table4[[#This Row],[TAKES]])</f>
        <v>0.31944444444444442</v>
      </c>
      <c r="AB15" s="6">
        <f>Table4[[#This Row],[TAKES]]/Table4[[#This Row],[GIVES]]</f>
        <v>0.46938775510204084</v>
      </c>
      <c r="AC15" s="1">
        <v>0</v>
      </c>
    </row>
    <row r="16" spans="1:29" x14ac:dyDescent="0.3">
      <c r="A16" t="s">
        <v>161</v>
      </c>
      <c r="B16" t="s">
        <v>124</v>
      </c>
      <c r="C16" t="s">
        <v>80</v>
      </c>
      <c r="D16" t="s">
        <v>165</v>
      </c>
      <c r="E16" s="4" t="s">
        <v>232</v>
      </c>
      <c r="F16" s="1">
        <v>27</v>
      </c>
      <c r="G16" s="1" t="s">
        <v>105</v>
      </c>
      <c r="H16" s="1">
        <v>184</v>
      </c>
      <c r="I16" s="1" t="s">
        <v>76</v>
      </c>
      <c r="J16" s="1" t="s">
        <v>78</v>
      </c>
      <c r="K16" s="1">
        <v>34</v>
      </c>
      <c r="L16" s="1">
        <v>4</v>
      </c>
      <c r="M16" s="1">
        <v>14</v>
      </c>
      <c r="N16" s="1">
        <v>18</v>
      </c>
      <c r="O16" s="5">
        <f>Table4[[#This Row],[G]]/Table4[[#This Row],[GP]]</f>
        <v>0.11764705882352941</v>
      </c>
      <c r="P16" s="5">
        <f>Table4[[#This Row],[A]]/Table4[[#This Row],[GP]]</f>
        <v>0.41176470588235292</v>
      </c>
      <c r="Q16" s="5">
        <f>Table4[[#This Row],[PTS]]/Table4[[#This Row],[GP]]</f>
        <v>0.52941176470588236</v>
      </c>
      <c r="R16" s="1">
        <v>0</v>
      </c>
      <c r="S16" s="1">
        <v>12</v>
      </c>
      <c r="T16" s="1">
        <v>1</v>
      </c>
      <c r="U16" s="1">
        <v>55</v>
      </c>
      <c r="V16" s="1">
        <v>7.3</v>
      </c>
      <c r="W16" s="1">
        <v>26</v>
      </c>
      <c r="X16" s="1">
        <v>74</v>
      </c>
      <c r="Y16" s="1">
        <v>22</v>
      </c>
      <c r="Z16" s="1">
        <v>10</v>
      </c>
      <c r="AA16" s="6">
        <f>(Table4[[#This Row],[TAKES]])/(Table4[[#This Row],[GIVES]]+Table4[[#This Row],[TAKES]])</f>
        <v>0.3125</v>
      </c>
      <c r="AB16" s="6">
        <f>Table4[[#This Row],[TAKES]]/Table4[[#This Row],[GIVES]]</f>
        <v>0.45454545454545453</v>
      </c>
      <c r="AC16" s="1">
        <v>46.4</v>
      </c>
    </row>
    <row r="17" spans="1:29" x14ac:dyDescent="0.3">
      <c r="A17" t="s">
        <v>139</v>
      </c>
      <c r="B17" t="s">
        <v>124</v>
      </c>
      <c r="C17" t="s">
        <v>80</v>
      </c>
      <c r="D17" t="s">
        <v>142</v>
      </c>
      <c r="E17" s="4" t="s">
        <v>295</v>
      </c>
      <c r="F17" s="1">
        <v>28</v>
      </c>
      <c r="G17" s="1" t="s">
        <v>180</v>
      </c>
      <c r="H17" s="1">
        <v>215</v>
      </c>
      <c r="I17" s="1" t="s">
        <v>128</v>
      </c>
      <c r="J17" s="1" t="s">
        <v>78</v>
      </c>
      <c r="K17" s="1">
        <v>41</v>
      </c>
      <c r="L17" s="1">
        <v>21</v>
      </c>
      <c r="M17" s="1">
        <v>17</v>
      </c>
      <c r="N17" s="1">
        <v>38</v>
      </c>
      <c r="O17" s="5">
        <f>Table4[[#This Row],[G]]/Table4[[#This Row],[GP]]</f>
        <v>0.51219512195121952</v>
      </c>
      <c r="P17" s="5">
        <f>Table4[[#This Row],[A]]/Table4[[#This Row],[GP]]</f>
        <v>0.41463414634146339</v>
      </c>
      <c r="Q17" s="5">
        <f>Table4[[#This Row],[PTS]]/Table4[[#This Row],[GP]]</f>
        <v>0.92682926829268297</v>
      </c>
      <c r="R17" s="1">
        <v>-9</v>
      </c>
      <c r="S17" s="1">
        <v>23</v>
      </c>
      <c r="T17" s="1">
        <v>7</v>
      </c>
      <c r="U17" s="1">
        <v>144</v>
      </c>
      <c r="V17" s="1">
        <v>14.6</v>
      </c>
      <c r="W17" s="1">
        <v>24</v>
      </c>
      <c r="X17" s="1">
        <v>44</v>
      </c>
      <c r="Y17" s="1">
        <v>34</v>
      </c>
      <c r="Z17" s="1">
        <v>15</v>
      </c>
      <c r="AA17" s="6">
        <f>(Table4[[#This Row],[TAKES]])/(Table4[[#This Row],[GIVES]]+Table4[[#This Row],[TAKES]])</f>
        <v>0.30612244897959184</v>
      </c>
      <c r="AB17" s="6">
        <f>Table4[[#This Row],[TAKES]]/Table4[[#This Row],[GIVES]]</f>
        <v>0.44117647058823528</v>
      </c>
      <c r="AC17" s="1">
        <v>48.4</v>
      </c>
    </row>
    <row r="18" spans="1:29" x14ac:dyDescent="0.3">
      <c r="A18" t="s">
        <v>150</v>
      </c>
      <c r="B18" t="s">
        <v>124</v>
      </c>
      <c r="C18" t="s">
        <v>80</v>
      </c>
      <c r="D18" t="s">
        <v>153</v>
      </c>
      <c r="E18" s="4" t="s">
        <v>263</v>
      </c>
      <c r="F18" s="1">
        <v>29</v>
      </c>
      <c r="G18" s="1" t="s">
        <v>75</v>
      </c>
      <c r="H18" s="1">
        <v>200</v>
      </c>
      <c r="I18" s="1" t="s">
        <v>85</v>
      </c>
      <c r="J18" s="1" t="s">
        <v>78</v>
      </c>
      <c r="K18" s="1">
        <v>33</v>
      </c>
      <c r="L18" s="1">
        <v>14</v>
      </c>
      <c r="M18" s="1">
        <v>27</v>
      </c>
      <c r="N18" s="1">
        <v>41</v>
      </c>
      <c r="O18" s="5">
        <f>Table4[[#This Row],[G]]/Table4[[#This Row],[GP]]</f>
        <v>0.42424242424242425</v>
      </c>
      <c r="P18" s="5">
        <f>Table4[[#This Row],[A]]/Table4[[#This Row],[GP]]</f>
        <v>0.81818181818181823</v>
      </c>
      <c r="Q18" s="5">
        <f>Table4[[#This Row],[PTS]]/Table4[[#This Row],[GP]]</f>
        <v>1.2424242424242424</v>
      </c>
      <c r="R18" s="1">
        <v>-1</v>
      </c>
      <c r="S18" s="1">
        <v>12</v>
      </c>
      <c r="T18" s="1">
        <v>0</v>
      </c>
      <c r="U18" s="1">
        <v>68</v>
      </c>
      <c r="V18" s="1">
        <v>20.6</v>
      </c>
      <c r="W18" s="1">
        <v>12</v>
      </c>
      <c r="X18" s="1">
        <v>4</v>
      </c>
      <c r="Y18" s="1">
        <v>34</v>
      </c>
      <c r="Z18" s="1">
        <v>15</v>
      </c>
      <c r="AA18" s="6">
        <f>(Table4[[#This Row],[TAKES]])/(Table4[[#This Row],[GIVES]]+Table4[[#This Row],[TAKES]])</f>
        <v>0.30612244897959184</v>
      </c>
      <c r="AB18" s="6">
        <f>Table4[[#This Row],[TAKES]]/Table4[[#This Row],[GIVES]]</f>
        <v>0.44117647058823528</v>
      </c>
      <c r="AC18" s="1">
        <v>36.700000000000003</v>
      </c>
    </row>
    <row r="19" spans="1:29" x14ac:dyDescent="0.3">
      <c r="A19" t="s">
        <v>145</v>
      </c>
      <c r="B19" t="s">
        <v>88</v>
      </c>
      <c r="C19" t="s">
        <v>89</v>
      </c>
      <c r="D19" t="s">
        <v>149</v>
      </c>
      <c r="E19" s="4" t="s">
        <v>172</v>
      </c>
      <c r="F19" s="1">
        <v>28</v>
      </c>
      <c r="G19" s="1" t="s">
        <v>105</v>
      </c>
      <c r="H19" s="1">
        <v>215</v>
      </c>
      <c r="I19" s="1" t="s">
        <v>128</v>
      </c>
      <c r="J19" s="1" t="s">
        <v>87</v>
      </c>
      <c r="K19" s="1">
        <v>31</v>
      </c>
      <c r="L19" s="1">
        <v>2</v>
      </c>
      <c r="M19" s="1">
        <v>14</v>
      </c>
      <c r="N19" s="1">
        <v>16</v>
      </c>
      <c r="O19" s="5">
        <f>Table4[[#This Row],[G]]/Table4[[#This Row],[GP]]</f>
        <v>6.4516129032258063E-2</v>
      </c>
      <c r="P19" s="5">
        <f>Table4[[#This Row],[A]]/Table4[[#This Row],[GP]]</f>
        <v>0.45161290322580644</v>
      </c>
      <c r="Q19" s="5">
        <f>Table4[[#This Row],[PTS]]/Table4[[#This Row],[GP]]</f>
        <v>0.5161290322580645</v>
      </c>
      <c r="R19" s="1">
        <v>-7</v>
      </c>
      <c r="S19" s="1">
        <v>4</v>
      </c>
      <c r="T19" s="1">
        <v>0</v>
      </c>
      <c r="U19" s="1">
        <v>78</v>
      </c>
      <c r="V19" s="1">
        <v>2.6</v>
      </c>
      <c r="W19" s="1">
        <v>48</v>
      </c>
      <c r="X19" s="1">
        <v>19</v>
      </c>
      <c r="Y19" s="1">
        <v>41</v>
      </c>
      <c r="Z19" s="1">
        <v>18</v>
      </c>
      <c r="AA19" s="6">
        <f>(Table4[[#This Row],[TAKES]])/(Table4[[#This Row],[GIVES]]+Table4[[#This Row],[TAKES]])</f>
        <v>0.30508474576271188</v>
      </c>
      <c r="AB19" s="6">
        <f>Table4[[#This Row],[TAKES]]/Table4[[#This Row],[GIVES]]</f>
        <v>0.43902439024390244</v>
      </c>
      <c r="AC19" s="1">
        <v>0</v>
      </c>
    </row>
    <row r="20" spans="1:29" x14ac:dyDescent="0.3">
      <c r="A20" t="s">
        <v>204</v>
      </c>
      <c r="B20" t="s">
        <v>124</v>
      </c>
      <c r="C20" t="s">
        <v>80</v>
      </c>
      <c r="D20" t="s">
        <v>207</v>
      </c>
      <c r="E20" s="4" t="s">
        <v>205</v>
      </c>
      <c r="F20" s="1">
        <v>22</v>
      </c>
      <c r="G20" s="1" t="s">
        <v>147</v>
      </c>
      <c r="H20" s="1">
        <v>194</v>
      </c>
      <c r="I20" s="1" t="s">
        <v>76</v>
      </c>
      <c r="J20" s="1" t="s">
        <v>78</v>
      </c>
      <c r="K20" s="1">
        <v>44</v>
      </c>
      <c r="L20" s="1">
        <v>15</v>
      </c>
      <c r="M20" s="1">
        <v>11</v>
      </c>
      <c r="N20" s="1">
        <v>26</v>
      </c>
      <c r="O20" s="5">
        <f>Table4[[#This Row],[G]]/Table4[[#This Row],[GP]]</f>
        <v>0.34090909090909088</v>
      </c>
      <c r="P20" s="5">
        <f>Table4[[#This Row],[A]]/Table4[[#This Row],[GP]]</f>
        <v>0.25</v>
      </c>
      <c r="Q20" s="5">
        <f>Table4[[#This Row],[PTS]]/Table4[[#This Row],[GP]]</f>
        <v>0.59090909090909094</v>
      </c>
      <c r="R20" s="1">
        <v>4</v>
      </c>
      <c r="S20" s="1">
        <v>10</v>
      </c>
      <c r="T20" s="1">
        <v>0</v>
      </c>
      <c r="U20" s="1">
        <v>78</v>
      </c>
      <c r="V20" s="1">
        <v>19.2</v>
      </c>
      <c r="W20" s="1">
        <v>45</v>
      </c>
      <c r="X20" s="1">
        <v>16</v>
      </c>
      <c r="Y20" s="1">
        <v>16</v>
      </c>
      <c r="Z20" s="1">
        <v>7</v>
      </c>
      <c r="AA20" s="6">
        <f>(Table4[[#This Row],[TAKES]])/(Table4[[#This Row],[GIVES]]+Table4[[#This Row],[TAKES]])</f>
        <v>0.30434782608695654</v>
      </c>
      <c r="AB20" s="6">
        <f>Table4[[#This Row],[TAKES]]/Table4[[#This Row],[GIVES]]</f>
        <v>0.4375</v>
      </c>
      <c r="AC20" s="1">
        <v>46.2</v>
      </c>
    </row>
    <row r="21" spans="1:29" x14ac:dyDescent="0.3">
      <c r="A21" t="s">
        <v>97</v>
      </c>
      <c r="B21" t="s">
        <v>79</v>
      </c>
      <c r="C21" t="s">
        <v>80</v>
      </c>
      <c r="D21" t="s">
        <v>102</v>
      </c>
      <c r="E21" s="4" t="s">
        <v>98</v>
      </c>
      <c r="F21" s="1">
        <v>27</v>
      </c>
      <c r="G21" s="1" t="s">
        <v>99</v>
      </c>
      <c r="H21" s="1">
        <v>175</v>
      </c>
      <c r="I21" s="1" t="s">
        <v>85</v>
      </c>
      <c r="J21" s="1" t="s">
        <v>101</v>
      </c>
      <c r="K21" s="1">
        <v>43</v>
      </c>
      <c r="L21" s="1">
        <v>9</v>
      </c>
      <c r="M21" s="1">
        <v>24</v>
      </c>
      <c r="N21" s="1">
        <v>33</v>
      </c>
      <c r="O21" s="5">
        <f>Table4[[#This Row],[G]]/Table4[[#This Row],[GP]]</f>
        <v>0.20930232558139536</v>
      </c>
      <c r="P21" s="5">
        <f>Table4[[#This Row],[A]]/Table4[[#This Row],[GP]]</f>
        <v>0.55813953488372092</v>
      </c>
      <c r="Q21" s="5">
        <f>Table4[[#This Row],[PTS]]/Table4[[#This Row],[GP]]</f>
        <v>0.76744186046511631</v>
      </c>
      <c r="R21" s="1">
        <v>-11</v>
      </c>
      <c r="S21" s="1">
        <v>8</v>
      </c>
      <c r="T21" s="1">
        <v>3</v>
      </c>
      <c r="U21" s="1">
        <v>101</v>
      </c>
      <c r="V21" s="1">
        <v>8.9</v>
      </c>
      <c r="W21" s="1">
        <v>14</v>
      </c>
      <c r="X21" s="1">
        <v>41</v>
      </c>
      <c r="Y21" s="1">
        <v>39</v>
      </c>
      <c r="Z21" s="1">
        <v>17</v>
      </c>
      <c r="AA21" s="6">
        <f>(Table4[[#This Row],[TAKES]])/(Table4[[#This Row],[GIVES]]+Table4[[#This Row],[TAKES]])</f>
        <v>0.30357142857142855</v>
      </c>
      <c r="AB21" s="6">
        <f>Table4[[#This Row],[TAKES]]/Table4[[#This Row],[GIVES]]</f>
        <v>0.4358974358974359</v>
      </c>
      <c r="AC21" s="1">
        <v>33.299999999999997</v>
      </c>
    </row>
    <row r="22" spans="1:29" x14ac:dyDescent="0.3">
      <c r="A22" t="s">
        <v>109</v>
      </c>
      <c r="B22" t="s">
        <v>107</v>
      </c>
      <c r="C22" t="s">
        <v>89</v>
      </c>
      <c r="D22" t="s">
        <v>112</v>
      </c>
      <c r="E22" s="4" t="s">
        <v>155</v>
      </c>
      <c r="F22" s="1">
        <v>23</v>
      </c>
      <c r="G22" s="1" t="s">
        <v>75</v>
      </c>
      <c r="H22" s="1">
        <v>190</v>
      </c>
      <c r="I22" s="1" t="s">
        <v>128</v>
      </c>
      <c r="J22" s="1" t="s">
        <v>87</v>
      </c>
      <c r="K22" s="1">
        <v>44</v>
      </c>
      <c r="L22" s="1">
        <v>9</v>
      </c>
      <c r="M22" s="1">
        <v>15</v>
      </c>
      <c r="N22" s="1">
        <v>24</v>
      </c>
      <c r="O22" s="5">
        <f>Table4[[#This Row],[G]]/Table4[[#This Row],[GP]]</f>
        <v>0.20454545454545456</v>
      </c>
      <c r="P22" s="5">
        <f>Table4[[#This Row],[A]]/Table4[[#This Row],[GP]]</f>
        <v>0.34090909090909088</v>
      </c>
      <c r="Q22" s="5">
        <f>Table4[[#This Row],[PTS]]/Table4[[#This Row],[GP]]</f>
        <v>0.54545454545454541</v>
      </c>
      <c r="R22" s="1">
        <v>10</v>
      </c>
      <c r="S22" s="1">
        <v>10</v>
      </c>
      <c r="T22" s="1">
        <v>3</v>
      </c>
      <c r="U22" s="1">
        <v>94</v>
      </c>
      <c r="V22" s="1">
        <v>9.6</v>
      </c>
      <c r="W22" s="1">
        <v>103</v>
      </c>
      <c r="X22" s="1">
        <v>16</v>
      </c>
      <c r="Y22" s="1">
        <v>58</v>
      </c>
      <c r="Z22" s="1">
        <v>25</v>
      </c>
      <c r="AA22" s="6">
        <f>(Table4[[#This Row],[TAKES]])/(Table4[[#This Row],[GIVES]]+Table4[[#This Row],[TAKES]])</f>
        <v>0.30120481927710846</v>
      </c>
      <c r="AB22" s="6">
        <f>Table4[[#This Row],[TAKES]]/Table4[[#This Row],[GIVES]]</f>
        <v>0.43103448275862066</v>
      </c>
      <c r="AC22" s="1">
        <v>0</v>
      </c>
    </row>
    <row r="23" spans="1:29" x14ac:dyDescent="0.3">
      <c r="A23" t="s">
        <v>145</v>
      </c>
      <c r="B23" t="s">
        <v>88</v>
      </c>
      <c r="C23" t="s">
        <v>89</v>
      </c>
      <c r="D23" t="s">
        <v>149</v>
      </c>
      <c r="E23" s="4" t="s">
        <v>287</v>
      </c>
      <c r="F23" s="1">
        <v>33</v>
      </c>
      <c r="G23" s="1" t="s">
        <v>105</v>
      </c>
      <c r="H23" s="1">
        <v>202</v>
      </c>
      <c r="I23" s="1" t="s">
        <v>118</v>
      </c>
      <c r="J23" s="1" t="s">
        <v>95</v>
      </c>
      <c r="K23" s="1">
        <v>25</v>
      </c>
      <c r="L23" s="1">
        <v>13</v>
      </c>
      <c r="M23" s="1">
        <v>21</v>
      </c>
      <c r="N23" s="1">
        <v>34</v>
      </c>
      <c r="O23" s="5">
        <f>Table4[[#This Row],[G]]/Table4[[#This Row],[GP]]</f>
        <v>0.52</v>
      </c>
      <c r="P23" s="5">
        <f>Table4[[#This Row],[A]]/Table4[[#This Row],[GP]]</f>
        <v>0.84</v>
      </c>
      <c r="Q23" s="5">
        <f>Table4[[#This Row],[PTS]]/Table4[[#This Row],[GP]]</f>
        <v>1.36</v>
      </c>
      <c r="R23" s="1">
        <v>6</v>
      </c>
      <c r="S23" s="1">
        <v>2</v>
      </c>
      <c r="T23" s="1">
        <v>4</v>
      </c>
      <c r="U23" s="1">
        <v>61</v>
      </c>
      <c r="V23" s="1">
        <v>21.3</v>
      </c>
      <c r="W23" s="1">
        <v>16</v>
      </c>
      <c r="X23" s="1">
        <v>13</v>
      </c>
      <c r="Y23" s="1">
        <v>28</v>
      </c>
      <c r="Z23" s="1">
        <v>12</v>
      </c>
      <c r="AA23" s="6">
        <f>(Table4[[#This Row],[TAKES]])/(Table4[[#This Row],[GIVES]]+Table4[[#This Row],[TAKES]])</f>
        <v>0.3</v>
      </c>
      <c r="AB23" s="6">
        <f>Table4[[#This Row],[TAKES]]/Table4[[#This Row],[GIVES]]</f>
        <v>0.42857142857142855</v>
      </c>
      <c r="AC23" s="1">
        <v>16.7</v>
      </c>
    </row>
    <row r="24" spans="1:29" x14ac:dyDescent="0.3">
      <c r="A24" t="s">
        <v>157</v>
      </c>
      <c r="B24" t="s">
        <v>107</v>
      </c>
      <c r="C24" t="s">
        <v>89</v>
      </c>
      <c r="D24" t="s">
        <v>160</v>
      </c>
      <c r="E24" s="4" t="s">
        <v>178</v>
      </c>
      <c r="F24" s="1">
        <v>34</v>
      </c>
      <c r="G24" s="1" t="s">
        <v>75</v>
      </c>
      <c r="H24" s="1">
        <v>193</v>
      </c>
      <c r="I24" s="1" t="s">
        <v>76</v>
      </c>
      <c r="J24" s="1" t="s">
        <v>101</v>
      </c>
      <c r="K24" s="1">
        <v>42</v>
      </c>
      <c r="L24" s="1">
        <v>7</v>
      </c>
      <c r="M24" s="1">
        <v>16</v>
      </c>
      <c r="N24" s="1">
        <v>23</v>
      </c>
      <c r="O24" s="5">
        <f>Table4[[#This Row],[G]]/Table4[[#This Row],[GP]]</f>
        <v>0.16666666666666666</v>
      </c>
      <c r="P24" s="5">
        <f>Table4[[#This Row],[A]]/Table4[[#This Row],[GP]]</f>
        <v>0.38095238095238093</v>
      </c>
      <c r="Q24" s="5">
        <f>Table4[[#This Row],[PTS]]/Table4[[#This Row],[GP]]</f>
        <v>0.54761904761904767</v>
      </c>
      <c r="R24" s="1">
        <v>-9</v>
      </c>
      <c r="S24" s="1">
        <v>26</v>
      </c>
      <c r="T24" s="1">
        <v>2</v>
      </c>
      <c r="U24" s="1">
        <v>69</v>
      </c>
      <c r="V24" s="1">
        <v>10.1</v>
      </c>
      <c r="W24" s="1">
        <v>24</v>
      </c>
      <c r="X24" s="1">
        <v>54</v>
      </c>
      <c r="Y24" s="1">
        <v>28</v>
      </c>
      <c r="Z24" s="1">
        <v>12</v>
      </c>
      <c r="AA24" s="6">
        <f>(Table4[[#This Row],[TAKES]])/(Table4[[#This Row],[GIVES]]+Table4[[#This Row],[TAKES]])</f>
        <v>0.3</v>
      </c>
      <c r="AB24" s="6">
        <f>Table4[[#This Row],[TAKES]]/Table4[[#This Row],[GIVES]]</f>
        <v>0.42857142857142855</v>
      </c>
      <c r="AC24" s="1">
        <v>52.3</v>
      </c>
    </row>
    <row r="25" spans="1:29" x14ac:dyDescent="0.3">
      <c r="A25" t="s">
        <v>121</v>
      </c>
      <c r="B25" t="s">
        <v>124</v>
      </c>
      <c r="C25" t="s">
        <v>80</v>
      </c>
      <c r="D25" t="s">
        <v>125</v>
      </c>
      <c r="E25" s="4" t="s">
        <v>168</v>
      </c>
      <c r="F25" s="1">
        <v>31</v>
      </c>
      <c r="G25" s="1" t="s">
        <v>136</v>
      </c>
      <c r="H25" s="1">
        <v>180</v>
      </c>
      <c r="I25" s="1" t="s">
        <v>128</v>
      </c>
      <c r="J25" s="1" t="s">
        <v>78</v>
      </c>
      <c r="K25" s="1">
        <v>42</v>
      </c>
      <c r="L25" s="1">
        <v>19</v>
      </c>
      <c r="M25" s="1">
        <v>25</v>
      </c>
      <c r="N25" s="1">
        <v>44</v>
      </c>
      <c r="O25" s="5">
        <f>Table4[[#This Row],[G]]/Table4[[#This Row],[GP]]</f>
        <v>0.45238095238095238</v>
      </c>
      <c r="P25" s="5">
        <f>Table4[[#This Row],[A]]/Table4[[#This Row],[GP]]</f>
        <v>0.59523809523809523</v>
      </c>
      <c r="Q25" s="5">
        <f>Table4[[#This Row],[PTS]]/Table4[[#This Row],[GP]]</f>
        <v>1.0476190476190477</v>
      </c>
      <c r="R25" s="1">
        <v>8</v>
      </c>
      <c r="S25" s="1">
        <v>17</v>
      </c>
      <c r="T25" s="1">
        <v>6</v>
      </c>
      <c r="U25" s="1">
        <v>109</v>
      </c>
      <c r="V25" s="1">
        <v>17.399999999999999</v>
      </c>
      <c r="W25" s="1">
        <v>27</v>
      </c>
      <c r="X25" s="1">
        <v>18</v>
      </c>
      <c r="Y25" s="1">
        <v>35</v>
      </c>
      <c r="Z25" s="1">
        <v>15</v>
      </c>
      <c r="AA25" s="6">
        <f>(Table4[[#This Row],[TAKES]])/(Table4[[#This Row],[GIVES]]+Table4[[#This Row],[TAKES]])</f>
        <v>0.3</v>
      </c>
      <c r="AB25" s="6">
        <f>Table4[[#This Row],[TAKES]]/Table4[[#This Row],[GIVES]]</f>
        <v>0.42857142857142855</v>
      </c>
      <c r="AC25" s="1">
        <v>47.7</v>
      </c>
    </row>
    <row r="26" spans="1:29" x14ac:dyDescent="0.3">
      <c r="A26" t="s">
        <v>150</v>
      </c>
      <c r="B26" t="s">
        <v>124</v>
      </c>
      <c r="C26" t="s">
        <v>80</v>
      </c>
      <c r="D26" t="s">
        <v>153</v>
      </c>
      <c r="E26" s="4" t="s">
        <v>246</v>
      </c>
      <c r="F26" s="1">
        <v>28</v>
      </c>
      <c r="G26" s="1" t="s">
        <v>105</v>
      </c>
      <c r="H26" s="1">
        <v>220</v>
      </c>
      <c r="I26" s="1" t="s">
        <v>128</v>
      </c>
      <c r="J26" s="1" t="s">
        <v>78</v>
      </c>
      <c r="K26" s="1">
        <v>36</v>
      </c>
      <c r="L26" s="1">
        <v>21</v>
      </c>
      <c r="M26" s="1">
        <v>13</v>
      </c>
      <c r="N26" s="1">
        <v>34</v>
      </c>
      <c r="O26" s="5">
        <f>Table4[[#This Row],[G]]/Table4[[#This Row],[GP]]</f>
        <v>0.58333333333333337</v>
      </c>
      <c r="P26" s="5">
        <f>Table4[[#This Row],[A]]/Table4[[#This Row],[GP]]</f>
        <v>0.3611111111111111</v>
      </c>
      <c r="Q26" s="5">
        <f>Table4[[#This Row],[PTS]]/Table4[[#This Row],[GP]]</f>
        <v>0.94444444444444442</v>
      </c>
      <c r="R26" s="1">
        <v>7</v>
      </c>
      <c r="S26" s="1">
        <v>12</v>
      </c>
      <c r="T26" s="1">
        <v>7</v>
      </c>
      <c r="U26" s="1">
        <v>143</v>
      </c>
      <c r="V26" s="1">
        <v>14.7</v>
      </c>
      <c r="W26" s="1">
        <v>56</v>
      </c>
      <c r="X26" s="1">
        <v>21</v>
      </c>
      <c r="Y26" s="1">
        <v>35</v>
      </c>
      <c r="Z26" s="1">
        <v>15</v>
      </c>
      <c r="AA26" s="6">
        <f>(Table4[[#This Row],[TAKES]])/(Table4[[#This Row],[GIVES]]+Table4[[#This Row],[TAKES]])</f>
        <v>0.3</v>
      </c>
      <c r="AB26" s="6">
        <f>Table4[[#This Row],[TAKES]]/Table4[[#This Row],[GIVES]]</f>
        <v>0.42857142857142855</v>
      </c>
      <c r="AC26" s="1">
        <v>58.4</v>
      </c>
    </row>
    <row r="27" spans="1:29" x14ac:dyDescent="0.3">
      <c r="A27" t="s">
        <v>221</v>
      </c>
      <c r="B27" t="s">
        <v>124</v>
      </c>
      <c r="C27" t="s">
        <v>80</v>
      </c>
      <c r="D27" t="s">
        <v>224</v>
      </c>
      <c r="E27" s="4" t="s">
        <v>275</v>
      </c>
      <c r="F27" s="1">
        <v>23</v>
      </c>
      <c r="G27" s="1" t="s">
        <v>136</v>
      </c>
      <c r="H27" s="1">
        <v>170</v>
      </c>
      <c r="I27" s="1" t="s">
        <v>85</v>
      </c>
      <c r="J27" s="1" t="s">
        <v>101</v>
      </c>
      <c r="K27" s="1">
        <v>42</v>
      </c>
      <c r="L27" s="1">
        <v>12</v>
      </c>
      <c r="M27" s="1">
        <v>33</v>
      </c>
      <c r="N27" s="1">
        <v>45</v>
      </c>
      <c r="O27" s="5">
        <f>Table4[[#This Row],[G]]/Table4[[#This Row],[GP]]</f>
        <v>0.2857142857142857</v>
      </c>
      <c r="P27" s="5">
        <f>Table4[[#This Row],[A]]/Table4[[#This Row],[GP]]</f>
        <v>0.7857142857142857</v>
      </c>
      <c r="Q27" s="5">
        <f>Table4[[#This Row],[PTS]]/Table4[[#This Row],[GP]]</f>
        <v>1.0714285714285714</v>
      </c>
      <c r="R27" s="1">
        <v>3</v>
      </c>
      <c r="S27" s="1">
        <v>10</v>
      </c>
      <c r="T27" s="1">
        <v>4</v>
      </c>
      <c r="U27" s="1">
        <v>91</v>
      </c>
      <c r="V27" s="1">
        <v>13.2</v>
      </c>
      <c r="W27" s="1">
        <v>17</v>
      </c>
      <c r="X27" s="1">
        <v>20</v>
      </c>
      <c r="Y27" s="1">
        <v>44</v>
      </c>
      <c r="Z27" s="1">
        <v>18</v>
      </c>
      <c r="AA27" s="6">
        <f>(Table4[[#This Row],[TAKES]])/(Table4[[#This Row],[GIVES]]+Table4[[#This Row],[TAKES]])</f>
        <v>0.29032258064516131</v>
      </c>
      <c r="AB27" s="6">
        <f>Table4[[#This Row],[TAKES]]/Table4[[#This Row],[GIVES]]</f>
        <v>0.40909090909090912</v>
      </c>
      <c r="AC27" s="1">
        <v>100</v>
      </c>
    </row>
    <row r="28" spans="1:29" x14ac:dyDescent="0.3">
      <c r="A28" t="s">
        <v>161</v>
      </c>
      <c r="B28" t="s">
        <v>124</v>
      </c>
      <c r="C28" t="s">
        <v>80</v>
      </c>
      <c r="D28" t="s">
        <v>165</v>
      </c>
      <c r="E28" s="4" t="s">
        <v>277</v>
      </c>
      <c r="F28" s="1">
        <v>30</v>
      </c>
      <c r="G28" s="1" t="s">
        <v>84</v>
      </c>
      <c r="H28" s="1">
        <v>194</v>
      </c>
      <c r="I28" s="1" t="s">
        <v>118</v>
      </c>
      <c r="J28" s="1" t="s">
        <v>78</v>
      </c>
      <c r="K28" s="1">
        <v>42</v>
      </c>
      <c r="L28" s="1">
        <v>23</v>
      </c>
      <c r="M28" s="1">
        <v>21</v>
      </c>
      <c r="N28" s="1">
        <v>44</v>
      </c>
      <c r="O28" s="5">
        <f>Table4[[#This Row],[G]]/Table4[[#This Row],[GP]]</f>
        <v>0.54761904761904767</v>
      </c>
      <c r="P28" s="5">
        <f>Table4[[#This Row],[A]]/Table4[[#This Row],[GP]]</f>
        <v>0.5</v>
      </c>
      <c r="Q28" s="5">
        <f>Table4[[#This Row],[PTS]]/Table4[[#This Row],[GP]]</f>
        <v>1.0476190476190477</v>
      </c>
      <c r="R28" s="1">
        <v>-9</v>
      </c>
      <c r="S28" s="1">
        <v>4</v>
      </c>
      <c r="T28" s="1">
        <v>7</v>
      </c>
      <c r="U28" s="1">
        <v>111</v>
      </c>
      <c r="V28" s="1">
        <v>20.7</v>
      </c>
      <c r="W28" s="1">
        <v>26</v>
      </c>
      <c r="X28" s="1">
        <v>40</v>
      </c>
      <c r="Y28" s="1">
        <v>30</v>
      </c>
      <c r="Z28" s="1">
        <v>12</v>
      </c>
      <c r="AA28" s="6">
        <f>(Table4[[#This Row],[TAKES]])/(Table4[[#This Row],[GIVES]]+Table4[[#This Row],[TAKES]])</f>
        <v>0.2857142857142857</v>
      </c>
      <c r="AB28" s="6">
        <f>Table4[[#This Row],[TAKES]]/Table4[[#This Row],[GIVES]]</f>
        <v>0.4</v>
      </c>
      <c r="AC28" s="1">
        <v>36.1</v>
      </c>
    </row>
    <row r="29" spans="1:29" x14ac:dyDescent="0.3">
      <c r="A29" t="s">
        <v>278</v>
      </c>
      <c r="B29" t="s">
        <v>79</v>
      </c>
      <c r="C29" t="s">
        <v>80</v>
      </c>
      <c r="D29" t="s">
        <v>280</v>
      </c>
      <c r="E29" s="4" t="s">
        <v>279</v>
      </c>
      <c r="F29" s="1">
        <v>31</v>
      </c>
      <c r="G29" s="1" t="s">
        <v>93</v>
      </c>
      <c r="H29" s="1">
        <v>220</v>
      </c>
      <c r="I29" s="1" t="s">
        <v>76</v>
      </c>
      <c r="J29" s="1" t="s">
        <v>87</v>
      </c>
      <c r="K29" s="1">
        <v>10</v>
      </c>
      <c r="L29" s="1">
        <v>0</v>
      </c>
      <c r="M29" s="1">
        <v>2</v>
      </c>
      <c r="N29" s="1">
        <v>2</v>
      </c>
      <c r="O29" s="5">
        <f>Table4[[#This Row],[G]]/Table4[[#This Row],[GP]]</f>
        <v>0</v>
      </c>
      <c r="P29" s="5">
        <f>Table4[[#This Row],[A]]/Table4[[#This Row],[GP]]</f>
        <v>0.2</v>
      </c>
      <c r="Q29" s="5">
        <f>Table4[[#This Row],[PTS]]/Table4[[#This Row],[GP]]</f>
        <v>0.2</v>
      </c>
      <c r="R29" s="1">
        <v>3</v>
      </c>
      <c r="S29" s="1">
        <v>4</v>
      </c>
      <c r="T29" s="1">
        <v>0</v>
      </c>
      <c r="U29" s="1">
        <v>19</v>
      </c>
      <c r="V29" s="1">
        <v>0</v>
      </c>
      <c r="W29" s="1">
        <v>21</v>
      </c>
      <c r="X29" s="1">
        <v>13</v>
      </c>
      <c r="Y29" s="1">
        <v>5</v>
      </c>
      <c r="Z29" s="1">
        <v>2</v>
      </c>
      <c r="AA29" s="6">
        <f>(Table4[[#This Row],[TAKES]])/(Table4[[#This Row],[GIVES]]+Table4[[#This Row],[TAKES]])</f>
        <v>0.2857142857142857</v>
      </c>
      <c r="AB29" s="6">
        <f>Table4[[#This Row],[TAKES]]/Table4[[#This Row],[GIVES]]</f>
        <v>0.4</v>
      </c>
      <c r="AC29" s="1">
        <v>0</v>
      </c>
    </row>
    <row r="30" spans="1:29" x14ac:dyDescent="0.3">
      <c r="A30" t="s">
        <v>290</v>
      </c>
      <c r="B30" t="s">
        <v>107</v>
      </c>
      <c r="C30" t="s">
        <v>89</v>
      </c>
      <c r="D30" t="s">
        <v>292</v>
      </c>
      <c r="E30" s="4" t="s">
        <v>291</v>
      </c>
      <c r="F30" s="1">
        <v>31</v>
      </c>
      <c r="G30" s="1" t="s">
        <v>136</v>
      </c>
      <c r="H30" s="1">
        <v>191</v>
      </c>
      <c r="I30" s="1" t="s">
        <v>76</v>
      </c>
      <c r="J30" s="1" t="s">
        <v>78</v>
      </c>
      <c r="K30" s="1">
        <v>42</v>
      </c>
      <c r="L30" s="1">
        <v>9</v>
      </c>
      <c r="M30" s="1">
        <v>12</v>
      </c>
      <c r="N30" s="1">
        <v>21</v>
      </c>
      <c r="O30" s="5">
        <f>Table4[[#This Row],[G]]/Table4[[#This Row],[GP]]</f>
        <v>0.21428571428571427</v>
      </c>
      <c r="P30" s="5">
        <f>Table4[[#This Row],[A]]/Table4[[#This Row],[GP]]</f>
        <v>0.2857142857142857</v>
      </c>
      <c r="Q30" s="5">
        <f>Table4[[#This Row],[PTS]]/Table4[[#This Row],[GP]]</f>
        <v>0.5</v>
      </c>
      <c r="R30" s="1">
        <v>-11</v>
      </c>
      <c r="S30" s="1">
        <v>4</v>
      </c>
      <c r="T30" s="1">
        <v>3</v>
      </c>
      <c r="U30" s="1">
        <v>52</v>
      </c>
      <c r="V30" s="1">
        <v>17.3</v>
      </c>
      <c r="W30" s="1">
        <v>27</v>
      </c>
      <c r="X30" s="1">
        <v>17</v>
      </c>
      <c r="Y30" s="1">
        <v>40</v>
      </c>
      <c r="Z30" s="1">
        <v>16</v>
      </c>
      <c r="AA30" s="6">
        <f>(Table4[[#This Row],[TAKES]])/(Table4[[#This Row],[GIVES]]+Table4[[#This Row],[TAKES]])</f>
        <v>0.2857142857142857</v>
      </c>
      <c r="AB30" s="6">
        <f>Table4[[#This Row],[TAKES]]/Table4[[#This Row],[GIVES]]</f>
        <v>0.4</v>
      </c>
      <c r="AC30" s="1">
        <v>48.6</v>
      </c>
    </row>
    <row r="31" spans="1:29" x14ac:dyDescent="0.3">
      <c r="A31" t="s">
        <v>174</v>
      </c>
      <c r="B31" t="s">
        <v>107</v>
      </c>
      <c r="C31" t="s">
        <v>89</v>
      </c>
      <c r="D31" t="s">
        <v>177</v>
      </c>
      <c r="E31" s="4" t="s">
        <v>175</v>
      </c>
      <c r="F31" s="1">
        <v>24</v>
      </c>
      <c r="G31" s="1" t="s">
        <v>105</v>
      </c>
      <c r="H31" s="1">
        <v>188</v>
      </c>
      <c r="I31" s="1" t="s">
        <v>118</v>
      </c>
      <c r="J31" s="1" t="s">
        <v>87</v>
      </c>
      <c r="K31" s="1">
        <v>32</v>
      </c>
      <c r="L31" s="1">
        <v>2</v>
      </c>
      <c r="M31" s="1">
        <v>14</v>
      </c>
      <c r="N31" s="1">
        <v>16</v>
      </c>
      <c r="O31" s="5">
        <f>Table4[[#This Row],[G]]/Table4[[#This Row],[GP]]</f>
        <v>6.25E-2</v>
      </c>
      <c r="P31" s="5">
        <f>Table4[[#This Row],[A]]/Table4[[#This Row],[GP]]</f>
        <v>0.4375</v>
      </c>
      <c r="Q31" s="5">
        <f>Table4[[#This Row],[PTS]]/Table4[[#This Row],[GP]]</f>
        <v>0.5</v>
      </c>
      <c r="R31" s="1">
        <v>-4</v>
      </c>
      <c r="S31" s="1">
        <v>10</v>
      </c>
      <c r="T31" s="1">
        <v>0</v>
      </c>
      <c r="U31" s="1">
        <v>42</v>
      </c>
      <c r="V31" s="1">
        <v>4.8</v>
      </c>
      <c r="W31" s="1">
        <v>70</v>
      </c>
      <c r="X31" s="1">
        <v>22</v>
      </c>
      <c r="Y31" s="1">
        <v>43</v>
      </c>
      <c r="Z31" s="1">
        <v>17</v>
      </c>
      <c r="AA31" s="6">
        <f>(Table4[[#This Row],[TAKES]])/(Table4[[#This Row],[GIVES]]+Table4[[#This Row],[TAKES]])</f>
        <v>0.28333333333333333</v>
      </c>
      <c r="AB31" s="6">
        <f>Table4[[#This Row],[TAKES]]/Table4[[#This Row],[GIVES]]</f>
        <v>0.39534883720930231</v>
      </c>
      <c r="AC31" s="1">
        <v>0</v>
      </c>
    </row>
    <row r="32" spans="1:29" x14ac:dyDescent="0.3">
      <c r="A32" t="s">
        <v>116</v>
      </c>
      <c r="B32" t="s">
        <v>88</v>
      </c>
      <c r="C32" t="s">
        <v>89</v>
      </c>
      <c r="D32" t="s">
        <v>120</v>
      </c>
      <c r="E32" s="4" t="s">
        <v>117</v>
      </c>
      <c r="F32" s="1">
        <v>19</v>
      </c>
      <c r="G32" s="1" t="s">
        <v>75</v>
      </c>
      <c r="H32" s="1">
        <v>190</v>
      </c>
      <c r="I32" s="1" t="s">
        <v>118</v>
      </c>
      <c r="J32" s="1" t="s">
        <v>78</v>
      </c>
      <c r="K32" s="1">
        <v>43</v>
      </c>
      <c r="L32" s="1">
        <v>24</v>
      </c>
      <c r="M32" s="1">
        <v>43</v>
      </c>
      <c r="N32" s="1">
        <v>67</v>
      </c>
      <c r="O32" s="5">
        <f>Table4[[#This Row],[G]]/Table4[[#This Row],[GP]]</f>
        <v>0.55813953488372092</v>
      </c>
      <c r="P32" s="5">
        <f>Table4[[#This Row],[A]]/Table4[[#This Row],[GP]]</f>
        <v>1</v>
      </c>
      <c r="Q32" s="5">
        <f>Table4[[#This Row],[PTS]]/Table4[[#This Row],[GP]]</f>
        <v>1.558139534883721</v>
      </c>
      <c r="R32" s="1">
        <v>17</v>
      </c>
      <c r="S32" s="1">
        <v>28</v>
      </c>
      <c r="T32" s="1">
        <v>8</v>
      </c>
      <c r="U32" s="1">
        <v>143</v>
      </c>
      <c r="V32" s="1">
        <v>16.8</v>
      </c>
      <c r="W32" s="1">
        <v>25</v>
      </c>
      <c r="X32" s="1">
        <v>25</v>
      </c>
      <c r="Y32" s="1">
        <v>66</v>
      </c>
      <c r="Z32" s="1">
        <v>25</v>
      </c>
      <c r="AA32" s="6">
        <f>(Table4[[#This Row],[TAKES]])/(Table4[[#This Row],[GIVES]]+Table4[[#This Row],[TAKES]])</f>
        <v>0.27472527472527475</v>
      </c>
      <c r="AB32" s="6">
        <f>Table4[[#This Row],[TAKES]]/Table4[[#This Row],[GIVES]]</f>
        <v>0.37878787878787878</v>
      </c>
      <c r="AC32" s="1">
        <v>48.5</v>
      </c>
    </row>
    <row r="33" spans="1:29" x14ac:dyDescent="0.3">
      <c r="A33" t="s">
        <v>113</v>
      </c>
      <c r="B33" t="s">
        <v>88</v>
      </c>
      <c r="C33" t="s">
        <v>89</v>
      </c>
      <c r="D33" t="s">
        <v>115</v>
      </c>
      <c r="E33" s="4" t="s">
        <v>114</v>
      </c>
      <c r="F33" s="1">
        <v>21</v>
      </c>
      <c r="G33" s="1" t="s">
        <v>105</v>
      </c>
      <c r="H33" s="1">
        <v>198</v>
      </c>
      <c r="I33" s="1" t="s">
        <v>85</v>
      </c>
      <c r="J33" s="1" t="s">
        <v>78</v>
      </c>
      <c r="K33" s="1">
        <v>42</v>
      </c>
      <c r="L33" s="1">
        <v>17</v>
      </c>
      <c r="M33" s="1">
        <v>25</v>
      </c>
      <c r="N33" s="1">
        <v>42</v>
      </c>
      <c r="O33" s="5">
        <f>Table4[[#This Row],[G]]/Table4[[#This Row],[GP]]</f>
        <v>0.40476190476190477</v>
      </c>
      <c r="P33" s="5">
        <f>Table4[[#This Row],[A]]/Table4[[#This Row],[GP]]</f>
        <v>0.59523809523809523</v>
      </c>
      <c r="Q33" s="5">
        <f>Table4[[#This Row],[PTS]]/Table4[[#This Row],[GP]]</f>
        <v>1</v>
      </c>
      <c r="R33" s="1">
        <v>4</v>
      </c>
      <c r="S33" s="1">
        <v>29</v>
      </c>
      <c r="T33" s="1">
        <v>5</v>
      </c>
      <c r="U33" s="1">
        <v>100</v>
      </c>
      <c r="V33" s="1">
        <v>17</v>
      </c>
      <c r="W33" s="1">
        <v>15</v>
      </c>
      <c r="X33" s="1">
        <v>7</v>
      </c>
      <c r="Y33" s="1">
        <v>48</v>
      </c>
      <c r="Z33" s="1">
        <v>18</v>
      </c>
      <c r="AA33" s="6">
        <f>(Table4[[#This Row],[TAKES]])/(Table4[[#This Row],[GIVES]]+Table4[[#This Row],[TAKES]])</f>
        <v>0.27272727272727271</v>
      </c>
      <c r="AB33" s="6">
        <f>Table4[[#This Row],[TAKES]]/Table4[[#This Row],[GIVES]]</f>
        <v>0.375</v>
      </c>
      <c r="AC33" s="1">
        <v>45.3</v>
      </c>
    </row>
    <row r="34" spans="1:29" x14ac:dyDescent="0.3">
      <c r="A34" t="s">
        <v>204</v>
      </c>
      <c r="B34" t="s">
        <v>124</v>
      </c>
      <c r="C34" t="s">
        <v>80</v>
      </c>
      <c r="D34" t="s">
        <v>207</v>
      </c>
      <c r="E34" s="4" t="s">
        <v>289</v>
      </c>
      <c r="F34" s="1">
        <v>26</v>
      </c>
      <c r="G34" s="1" t="s">
        <v>136</v>
      </c>
      <c r="H34" s="1">
        <v>208</v>
      </c>
      <c r="I34" s="1" t="s">
        <v>118</v>
      </c>
      <c r="J34" s="1" t="s">
        <v>78</v>
      </c>
      <c r="K34" s="1">
        <v>43</v>
      </c>
      <c r="L34" s="1">
        <v>14</v>
      </c>
      <c r="M34" s="1">
        <v>33</v>
      </c>
      <c r="N34" s="1">
        <v>47</v>
      </c>
      <c r="O34" s="5">
        <f>Table4[[#This Row],[G]]/Table4[[#This Row],[GP]]</f>
        <v>0.32558139534883723</v>
      </c>
      <c r="P34" s="5">
        <f>Table4[[#This Row],[A]]/Table4[[#This Row],[GP]]</f>
        <v>0.76744186046511631</v>
      </c>
      <c r="Q34" s="5">
        <f>Table4[[#This Row],[PTS]]/Table4[[#This Row],[GP]]</f>
        <v>1.0930232558139534</v>
      </c>
      <c r="R34" s="1">
        <v>16</v>
      </c>
      <c r="S34" s="1">
        <v>8</v>
      </c>
      <c r="T34" s="1">
        <v>4</v>
      </c>
      <c r="U34" s="1">
        <v>93</v>
      </c>
      <c r="V34" s="1">
        <v>15.1</v>
      </c>
      <c r="W34" s="1">
        <v>37</v>
      </c>
      <c r="X34" s="1">
        <v>33</v>
      </c>
      <c r="Y34" s="1">
        <v>35</v>
      </c>
      <c r="Z34" s="1">
        <v>13</v>
      </c>
      <c r="AA34" s="6">
        <f>(Table4[[#This Row],[TAKES]])/(Table4[[#This Row],[GIVES]]+Table4[[#This Row],[TAKES]])</f>
        <v>0.27083333333333331</v>
      </c>
      <c r="AB34" s="6">
        <f>Table4[[#This Row],[TAKES]]/Table4[[#This Row],[GIVES]]</f>
        <v>0.37142857142857144</v>
      </c>
      <c r="AC34" s="1">
        <v>48.6</v>
      </c>
    </row>
    <row r="35" spans="1:29" x14ac:dyDescent="0.3">
      <c r="A35" t="s">
        <v>103</v>
      </c>
      <c r="B35" t="s">
        <v>107</v>
      </c>
      <c r="C35" t="s">
        <v>89</v>
      </c>
      <c r="D35" t="s">
        <v>108</v>
      </c>
      <c r="E35" s="4" t="s">
        <v>265</v>
      </c>
      <c r="F35" s="1">
        <v>32</v>
      </c>
      <c r="G35" s="1" t="s">
        <v>180</v>
      </c>
      <c r="H35" s="1">
        <v>230</v>
      </c>
      <c r="I35" s="1" t="s">
        <v>118</v>
      </c>
      <c r="J35" s="1" t="s">
        <v>87</v>
      </c>
      <c r="K35" s="1">
        <v>44</v>
      </c>
      <c r="L35" s="1">
        <v>0</v>
      </c>
      <c r="M35" s="1">
        <v>11</v>
      </c>
      <c r="N35" s="1">
        <v>11</v>
      </c>
      <c r="O35" s="5">
        <f>Table4[[#This Row],[G]]/Table4[[#This Row],[GP]]</f>
        <v>0</v>
      </c>
      <c r="P35" s="5">
        <f>Table4[[#This Row],[A]]/Table4[[#This Row],[GP]]</f>
        <v>0.25</v>
      </c>
      <c r="Q35" s="5">
        <f>Table4[[#This Row],[PTS]]/Table4[[#This Row],[GP]]</f>
        <v>0.25</v>
      </c>
      <c r="R35" s="1">
        <v>-8</v>
      </c>
      <c r="S35" s="1">
        <v>16</v>
      </c>
      <c r="T35" s="1">
        <v>0</v>
      </c>
      <c r="U35" s="1">
        <v>48</v>
      </c>
      <c r="V35" s="1">
        <v>0</v>
      </c>
      <c r="W35" s="1">
        <v>105</v>
      </c>
      <c r="X35" s="1">
        <v>44</v>
      </c>
      <c r="Y35" s="1">
        <v>53</v>
      </c>
      <c r="Z35" s="1">
        <v>19</v>
      </c>
      <c r="AA35" s="6">
        <f>(Table4[[#This Row],[TAKES]])/(Table4[[#This Row],[GIVES]]+Table4[[#This Row],[TAKES]])</f>
        <v>0.2638888888888889</v>
      </c>
      <c r="AB35" s="6">
        <f>Table4[[#This Row],[TAKES]]/Table4[[#This Row],[GIVES]]</f>
        <v>0.35849056603773582</v>
      </c>
      <c r="AC35" s="1">
        <v>0</v>
      </c>
    </row>
    <row r="36" spans="1:29" x14ac:dyDescent="0.3">
      <c r="A36" t="s">
        <v>200</v>
      </c>
      <c r="B36" t="s">
        <v>88</v>
      </c>
      <c r="C36" t="s">
        <v>89</v>
      </c>
      <c r="D36" t="s">
        <v>203</v>
      </c>
      <c r="E36" s="4" t="s">
        <v>301</v>
      </c>
      <c r="F36" s="1">
        <v>26</v>
      </c>
      <c r="G36" s="1" t="s">
        <v>99</v>
      </c>
      <c r="H36" s="1">
        <v>191</v>
      </c>
      <c r="I36" s="1" t="s">
        <v>76</v>
      </c>
      <c r="J36" s="1" t="s">
        <v>95</v>
      </c>
      <c r="K36" s="1">
        <v>40</v>
      </c>
      <c r="L36" s="1">
        <v>7</v>
      </c>
      <c r="M36" s="1">
        <v>18</v>
      </c>
      <c r="N36" s="1">
        <v>25</v>
      </c>
      <c r="O36" s="5">
        <f>Table4[[#This Row],[G]]/Table4[[#This Row],[GP]]</f>
        <v>0.17499999999999999</v>
      </c>
      <c r="P36" s="5">
        <f>Table4[[#This Row],[A]]/Table4[[#This Row],[GP]]</f>
        <v>0.45</v>
      </c>
      <c r="Q36" s="5">
        <f>Table4[[#This Row],[PTS]]/Table4[[#This Row],[GP]]</f>
        <v>0.625</v>
      </c>
      <c r="R36" s="1">
        <v>-7</v>
      </c>
      <c r="S36" s="1">
        <v>14</v>
      </c>
      <c r="T36" s="1">
        <v>2</v>
      </c>
      <c r="U36" s="1">
        <v>69</v>
      </c>
      <c r="V36" s="1">
        <v>10.1</v>
      </c>
      <c r="W36" s="1">
        <v>43</v>
      </c>
      <c r="X36" s="1">
        <v>106</v>
      </c>
      <c r="Y36" s="1">
        <v>28</v>
      </c>
      <c r="Z36" s="1">
        <v>10</v>
      </c>
      <c r="AA36" s="6">
        <f>(Table4[[#This Row],[TAKES]])/(Table4[[#This Row],[GIVES]]+Table4[[#This Row],[TAKES]])</f>
        <v>0.26315789473684209</v>
      </c>
      <c r="AB36" s="6">
        <f>Table4[[#This Row],[TAKES]]/Table4[[#This Row],[GIVES]]</f>
        <v>0.35714285714285715</v>
      </c>
      <c r="AC36" s="1">
        <v>0</v>
      </c>
    </row>
    <row r="37" spans="1:29" x14ac:dyDescent="0.3">
      <c r="A37" t="s">
        <v>134</v>
      </c>
      <c r="B37" t="s">
        <v>79</v>
      </c>
      <c r="C37" t="s">
        <v>80</v>
      </c>
      <c r="D37" t="s">
        <v>138</v>
      </c>
      <c r="E37" s="4" t="s">
        <v>208</v>
      </c>
      <c r="F37" s="1">
        <v>35</v>
      </c>
      <c r="G37" s="1" t="s">
        <v>75</v>
      </c>
      <c r="H37" s="1">
        <v>190</v>
      </c>
      <c r="I37" s="1" t="s">
        <v>85</v>
      </c>
      <c r="J37" s="1" t="s">
        <v>87</v>
      </c>
      <c r="K37" s="1">
        <v>41</v>
      </c>
      <c r="L37" s="1">
        <v>3</v>
      </c>
      <c r="M37" s="1">
        <v>28</v>
      </c>
      <c r="N37" s="1">
        <v>31</v>
      </c>
      <c r="O37" s="5">
        <f>Table4[[#This Row],[G]]/Table4[[#This Row],[GP]]</f>
        <v>7.3170731707317069E-2</v>
      </c>
      <c r="P37" s="5">
        <f>Table4[[#This Row],[A]]/Table4[[#This Row],[GP]]</f>
        <v>0.68292682926829273</v>
      </c>
      <c r="Q37" s="5">
        <f>Table4[[#This Row],[PTS]]/Table4[[#This Row],[GP]]</f>
        <v>0.75609756097560976</v>
      </c>
      <c r="R37" s="1">
        <v>-1</v>
      </c>
      <c r="S37" s="1">
        <v>14</v>
      </c>
      <c r="T37" s="1">
        <v>1</v>
      </c>
      <c r="U37" s="1">
        <v>90</v>
      </c>
      <c r="V37" s="1">
        <v>3.3</v>
      </c>
      <c r="W37" s="1">
        <v>40</v>
      </c>
      <c r="X37" s="1">
        <v>9</v>
      </c>
      <c r="Y37" s="1">
        <v>59</v>
      </c>
      <c r="Z37" s="1">
        <v>21</v>
      </c>
      <c r="AA37" s="6">
        <f>(Table4[[#This Row],[TAKES]])/(Table4[[#This Row],[GIVES]]+Table4[[#This Row],[TAKES]])</f>
        <v>0.26250000000000001</v>
      </c>
      <c r="AB37" s="6">
        <f>Table4[[#This Row],[TAKES]]/Table4[[#This Row],[GIVES]]</f>
        <v>0.3559322033898305</v>
      </c>
      <c r="AC37" s="1">
        <v>0</v>
      </c>
    </row>
    <row r="38" spans="1:29" x14ac:dyDescent="0.3">
      <c r="A38" t="s">
        <v>200</v>
      </c>
      <c r="B38" t="s">
        <v>88</v>
      </c>
      <c r="C38" t="s">
        <v>89</v>
      </c>
      <c r="D38" t="s">
        <v>203</v>
      </c>
      <c r="E38" s="4" t="s">
        <v>201</v>
      </c>
      <c r="F38" s="1">
        <v>24</v>
      </c>
      <c r="G38" s="1" t="s">
        <v>105</v>
      </c>
      <c r="H38" s="1">
        <v>199</v>
      </c>
      <c r="I38" s="1" t="s">
        <v>76</v>
      </c>
      <c r="J38" s="1" t="s">
        <v>95</v>
      </c>
      <c r="K38" s="1">
        <v>25</v>
      </c>
      <c r="L38" s="1">
        <v>4</v>
      </c>
      <c r="M38" s="1">
        <v>10</v>
      </c>
      <c r="N38" s="1">
        <v>14</v>
      </c>
      <c r="O38" s="5">
        <f>Table4[[#This Row],[G]]/Table4[[#This Row],[GP]]</f>
        <v>0.16</v>
      </c>
      <c r="P38" s="5">
        <f>Table4[[#This Row],[A]]/Table4[[#This Row],[GP]]</f>
        <v>0.4</v>
      </c>
      <c r="Q38" s="5">
        <f>Table4[[#This Row],[PTS]]/Table4[[#This Row],[GP]]</f>
        <v>0.56000000000000005</v>
      </c>
      <c r="R38" s="1">
        <v>3</v>
      </c>
      <c r="S38" s="1">
        <v>6</v>
      </c>
      <c r="T38" s="1">
        <v>1</v>
      </c>
      <c r="U38" s="1">
        <v>40</v>
      </c>
      <c r="V38" s="1">
        <v>10</v>
      </c>
      <c r="W38" s="1">
        <v>3</v>
      </c>
      <c r="X38" s="1">
        <v>12</v>
      </c>
      <c r="Y38" s="1">
        <v>17</v>
      </c>
      <c r="Z38" s="1">
        <v>6</v>
      </c>
      <c r="AA38" s="6">
        <f>(Table4[[#This Row],[TAKES]])/(Table4[[#This Row],[GIVES]]+Table4[[#This Row],[TAKES]])</f>
        <v>0.2608695652173913</v>
      </c>
      <c r="AB38" s="6">
        <f>Table4[[#This Row],[TAKES]]/Table4[[#This Row],[GIVES]]</f>
        <v>0.35294117647058826</v>
      </c>
      <c r="AC38" s="1">
        <v>58.8</v>
      </c>
    </row>
    <row r="39" spans="1:29" x14ac:dyDescent="0.3">
      <c r="A39" t="s">
        <v>243</v>
      </c>
      <c r="B39" t="s">
        <v>124</v>
      </c>
      <c r="C39" t="s">
        <v>80</v>
      </c>
      <c r="D39" t="s">
        <v>245</v>
      </c>
      <c r="E39" s="4" t="s">
        <v>244</v>
      </c>
      <c r="F39" s="1">
        <v>27</v>
      </c>
      <c r="G39" s="1" t="s">
        <v>105</v>
      </c>
      <c r="H39" s="1">
        <v>207</v>
      </c>
      <c r="I39" s="1" t="s">
        <v>76</v>
      </c>
      <c r="J39" s="1" t="s">
        <v>87</v>
      </c>
      <c r="K39" s="1">
        <v>28</v>
      </c>
      <c r="L39" s="1">
        <v>0</v>
      </c>
      <c r="M39" s="1">
        <v>4</v>
      </c>
      <c r="N39" s="1">
        <v>4</v>
      </c>
      <c r="O39" s="5">
        <f>Table4[[#This Row],[G]]/Table4[[#This Row],[GP]]</f>
        <v>0</v>
      </c>
      <c r="P39" s="5">
        <f>Table4[[#This Row],[A]]/Table4[[#This Row],[GP]]</f>
        <v>0.14285714285714285</v>
      </c>
      <c r="Q39" s="5">
        <f>Table4[[#This Row],[PTS]]/Table4[[#This Row],[GP]]</f>
        <v>0.14285714285714285</v>
      </c>
      <c r="R39" s="1">
        <v>-1</v>
      </c>
      <c r="S39" s="1">
        <v>10</v>
      </c>
      <c r="T39" s="1">
        <v>0</v>
      </c>
      <c r="U39" s="1">
        <v>19</v>
      </c>
      <c r="V39" s="1">
        <v>0</v>
      </c>
      <c r="W39" s="1">
        <v>32</v>
      </c>
      <c r="X39" s="1">
        <v>24</v>
      </c>
      <c r="Y39" s="1">
        <v>17</v>
      </c>
      <c r="Z39" s="1">
        <v>6</v>
      </c>
      <c r="AA39" s="6">
        <f>(Table4[[#This Row],[TAKES]])/(Table4[[#This Row],[GIVES]]+Table4[[#This Row],[TAKES]])</f>
        <v>0.2608695652173913</v>
      </c>
      <c r="AB39" s="6">
        <f>Table4[[#This Row],[TAKES]]/Table4[[#This Row],[GIVES]]</f>
        <v>0.35294117647058826</v>
      </c>
      <c r="AC39" s="1">
        <v>0</v>
      </c>
    </row>
    <row r="40" spans="1:29" x14ac:dyDescent="0.3">
      <c r="A40" t="s">
        <v>91</v>
      </c>
      <c r="B40" t="s">
        <v>88</v>
      </c>
      <c r="C40" t="s">
        <v>89</v>
      </c>
      <c r="D40" t="s">
        <v>96</v>
      </c>
      <c r="E40" s="4" t="s">
        <v>214</v>
      </c>
      <c r="F40" s="1">
        <v>29</v>
      </c>
      <c r="G40" s="1" t="s">
        <v>147</v>
      </c>
      <c r="H40" s="1">
        <v>201</v>
      </c>
      <c r="I40" s="1" t="s">
        <v>85</v>
      </c>
      <c r="J40" s="1" t="s">
        <v>95</v>
      </c>
      <c r="K40" s="1">
        <v>42</v>
      </c>
      <c r="L40" s="1">
        <v>15</v>
      </c>
      <c r="M40" s="1">
        <v>19</v>
      </c>
      <c r="N40" s="1">
        <v>34</v>
      </c>
      <c r="O40" s="5">
        <f>Table4[[#This Row],[G]]/Table4[[#This Row],[GP]]</f>
        <v>0.35714285714285715</v>
      </c>
      <c r="P40" s="5">
        <f>Table4[[#This Row],[A]]/Table4[[#This Row],[GP]]</f>
        <v>0.45238095238095238</v>
      </c>
      <c r="Q40" s="5">
        <f>Table4[[#This Row],[PTS]]/Table4[[#This Row],[GP]]</f>
        <v>0.80952380952380953</v>
      </c>
      <c r="R40" s="1">
        <v>10</v>
      </c>
      <c r="S40" s="1">
        <v>36</v>
      </c>
      <c r="T40" s="1">
        <v>5</v>
      </c>
      <c r="U40" s="1">
        <v>121</v>
      </c>
      <c r="V40" s="1">
        <v>12.4</v>
      </c>
      <c r="W40" s="1">
        <v>29</v>
      </c>
      <c r="X40" s="1">
        <v>84</v>
      </c>
      <c r="Y40" s="1">
        <v>34</v>
      </c>
      <c r="Z40" s="1">
        <v>12</v>
      </c>
      <c r="AA40" s="6">
        <f>(Table4[[#This Row],[TAKES]])/(Table4[[#This Row],[GIVES]]+Table4[[#This Row],[TAKES]])</f>
        <v>0.2608695652173913</v>
      </c>
      <c r="AB40" s="6">
        <f>Table4[[#This Row],[TAKES]]/Table4[[#This Row],[GIVES]]</f>
        <v>0.35294117647058826</v>
      </c>
      <c r="AC40" s="1">
        <v>40.700000000000003</v>
      </c>
    </row>
    <row r="41" spans="1:29" x14ac:dyDescent="0.3">
      <c r="A41" t="s">
        <v>216</v>
      </c>
      <c r="B41" t="s">
        <v>107</v>
      </c>
      <c r="C41" t="s">
        <v>89</v>
      </c>
      <c r="D41" t="s">
        <v>219</v>
      </c>
      <c r="E41" s="4" t="s">
        <v>261</v>
      </c>
      <c r="F41" s="1">
        <v>34</v>
      </c>
      <c r="G41" s="1" t="s">
        <v>105</v>
      </c>
      <c r="H41" s="1">
        <v>212</v>
      </c>
      <c r="I41" s="1" t="s">
        <v>128</v>
      </c>
      <c r="J41" s="1" t="s">
        <v>78</v>
      </c>
      <c r="K41" s="1">
        <v>42</v>
      </c>
      <c r="L41" s="1">
        <v>19</v>
      </c>
      <c r="M41" s="1">
        <v>15</v>
      </c>
      <c r="N41" s="1">
        <v>34</v>
      </c>
      <c r="O41" s="5">
        <f>Table4[[#This Row],[G]]/Table4[[#This Row],[GP]]</f>
        <v>0.45238095238095238</v>
      </c>
      <c r="P41" s="5">
        <f>Table4[[#This Row],[A]]/Table4[[#This Row],[GP]]</f>
        <v>0.35714285714285715</v>
      </c>
      <c r="Q41" s="5">
        <f>Table4[[#This Row],[PTS]]/Table4[[#This Row],[GP]]</f>
        <v>0.80952380952380953</v>
      </c>
      <c r="R41" s="1">
        <v>12</v>
      </c>
      <c r="S41" s="1">
        <v>16</v>
      </c>
      <c r="T41" s="1">
        <v>6</v>
      </c>
      <c r="U41" s="1">
        <v>91</v>
      </c>
      <c r="V41" s="1">
        <v>20.9</v>
      </c>
      <c r="W41" s="1">
        <v>34</v>
      </c>
      <c r="X41" s="1">
        <v>22</v>
      </c>
      <c r="Y41" s="1">
        <v>34</v>
      </c>
      <c r="Z41" s="1">
        <v>12</v>
      </c>
      <c r="AA41" s="6">
        <f>(Table4[[#This Row],[TAKES]])/(Table4[[#This Row],[GIVES]]+Table4[[#This Row],[TAKES]])</f>
        <v>0.2608695652173913</v>
      </c>
      <c r="AB41" s="6">
        <f>Table4[[#This Row],[TAKES]]/Table4[[#This Row],[GIVES]]</f>
        <v>0.35294117647058826</v>
      </c>
      <c r="AC41" s="1">
        <v>50.6</v>
      </c>
    </row>
    <row r="42" spans="1:29" x14ac:dyDescent="0.3">
      <c r="A42" t="s">
        <v>256</v>
      </c>
      <c r="B42" t="s">
        <v>79</v>
      </c>
      <c r="C42" t="s">
        <v>80</v>
      </c>
      <c r="D42" t="s">
        <v>259</v>
      </c>
      <c r="E42" s="4" t="s">
        <v>303</v>
      </c>
      <c r="F42" s="1">
        <v>32</v>
      </c>
      <c r="G42" s="1" t="s">
        <v>99</v>
      </c>
      <c r="H42" s="1">
        <v>183</v>
      </c>
      <c r="I42" s="1" t="s">
        <v>128</v>
      </c>
      <c r="J42" s="1" t="s">
        <v>78</v>
      </c>
      <c r="K42" s="1">
        <v>30</v>
      </c>
      <c r="L42" s="1">
        <v>10</v>
      </c>
      <c r="M42" s="1">
        <v>15</v>
      </c>
      <c r="N42" s="1">
        <v>25</v>
      </c>
      <c r="O42" s="5">
        <f>Table4[[#This Row],[G]]/Table4[[#This Row],[GP]]</f>
        <v>0.33333333333333331</v>
      </c>
      <c r="P42" s="5">
        <f>Table4[[#This Row],[A]]/Table4[[#This Row],[GP]]</f>
        <v>0.5</v>
      </c>
      <c r="Q42" s="5">
        <f>Table4[[#This Row],[PTS]]/Table4[[#This Row],[GP]]</f>
        <v>0.83333333333333337</v>
      </c>
      <c r="R42" s="1">
        <v>-8</v>
      </c>
      <c r="S42" s="1">
        <v>18</v>
      </c>
      <c r="T42" s="1">
        <v>3</v>
      </c>
      <c r="U42" s="1">
        <v>51</v>
      </c>
      <c r="V42" s="1">
        <v>19.600000000000001</v>
      </c>
      <c r="W42" s="1">
        <v>24</v>
      </c>
      <c r="X42" s="1">
        <v>100</v>
      </c>
      <c r="Y42" s="1">
        <v>34</v>
      </c>
      <c r="Z42" s="1">
        <v>12</v>
      </c>
      <c r="AA42" s="6">
        <f>(Table4[[#This Row],[TAKES]])/(Table4[[#This Row],[GIVES]]+Table4[[#This Row],[TAKES]])</f>
        <v>0.2608695652173913</v>
      </c>
      <c r="AB42" s="6">
        <f>Table4[[#This Row],[TAKES]]/Table4[[#This Row],[GIVES]]</f>
        <v>0.35294117647058826</v>
      </c>
      <c r="AC42" s="1">
        <v>54.8</v>
      </c>
    </row>
    <row r="43" spans="1:29" x14ac:dyDescent="0.3">
      <c r="A43" t="s">
        <v>109</v>
      </c>
      <c r="B43" t="s">
        <v>107</v>
      </c>
      <c r="C43" t="s">
        <v>89</v>
      </c>
      <c r="D43" t="s">
        <v>112</v>
      </c>
      <c r="E43" s="4" t="s">
        <v>331</v>
      </c>
      <c r="F43" s="1">
        <v>24</v>
      </c>
      <c r="G43" s="1" t="s">
        <v>147</v>
      </c>
      <c r="H43" s="1">
        <v>201</v>
      </c>
      <c r="I43" s="1" t="s">
        <v>128</v>
      </c>
      <c r="J43" s="1" t="s">
        <v>101</v>
      </c>
      <c r="K43" s="1">
        <v>45</v>
      </c>
      <c r="L43" s="1">
        <v>26</v>
      </c>
      <c r="M43" s="1">
        <v>23</v>
      </c>
      <c r="N43" s="1">
        <v>49</v>
      </c>
      <c r="O43" s="5">
        <f>Table4[[#This Row],[G]]/Table4[[#This Row],[GP]]</f>
        <v>0.57777777777777772</v>
      </c>
      <c r="P43" s="5">
        <f>Table4[[#This Row],[A]]/Table4[[#This Row],[GP]]</f>
        <v>0.51111111111111107</v>
      </c>
      <c r="Q43" s="5">
        <f>Table4[[#This Row],[PTS]]/Table4[[#This Row],[GP]]</f>
        <v>1.0888888888888888</v>
      </c>
      <c r="R43" s="1">
        <v>16</v>
      </c>
      <c r="S43" s="1">
        <v>20</v>
      </c>
      <c r="T43" s="1">
        <v>0</v>
      </c>
      <c r="U43" s="1">
        <v>146</v>
      </c>
      <c r="V43" s="1">
        <v>17.8</v>
      </c>
      <c r="W43" s="1">
        <v>31</v>
      </c>
      <c r="X43" s="1">
        <v>31</v>
      </c>
      <c r="Y43" s="1">
        <v>51</v>
      </c>
      <c r="Z43" s="1">
        <v>18</v>
      </c>
      <c r="AA43" s="6">
        <f>(Table4[[#This Row],[TAKES]])/(Table4[[#This Row],[GIVES]]+Table4[[#This Row],[TAKES]])</f>
        <v>0.2608695652173913</v>
      </c>
      <c r="AB43" s="6">
        <f>Table4[[#This Row],[TAKES]]/Table4[[#This Row],[GIVES]]</f>
        <v>0.35294117647058826</v>
      </c>
      <c r="AC43" s="1">
        <v>45.7</v>
      </c>
    </row>
    <row r="44" spans="1:29" x14ac:dyDescent="0.3">
      <c r="A44" t="s">
        <v>72</v>
      </c>
      <c r="B44" t="s">
        <v>79</v>
      </c>
      <c r="C44" t="s">
        <v>80</v>
      </c>
      <c r="D44" t="s">
        <v>81</v>
      </c>
      <c r="E44" s="4" t="s">
        <v>73</v>
      </c>
      <c r="F44" s="1">
        <v>28</v>
      </c>
      <c r="G44" s="1" t="s">
        <v>75</v>
      </c>
      <c r="H44" s="1">
        <v>176</v>
      </c>
      <c r="I44" s="1" t="s">
        <v>76</v>
      </c>
      <c r="J44" s="1" t="s">
        <v>78</v>
      </c>
      <c r="K44" s="1">
        <v>43</v>
      </c>
      <c r="L44" s="1">
        <v>17</v>
      </c>
      <c r="M44" s="1">
        <v>26</v>
      </c>
      <c r="N44" s="1">
        <v>43</v>
      </c>
      <c r="O44" s="5">
        <f>Table4[[#This Row],[G]]/Table4[[#This Row],[GP]]</f>
        <v>0.39534883720930231</v>
      </c>
      <c r="P44" s="5">
        <f>Table4[[#This Row],[A]]/Table4[[#This Row],[GP]]</f>
        <v>0.60465116279069764</v>
      </c>
      <c r="Q44" s="5">
        <f>Table4[[#This Row],[PTS]]/Table4[[#This Row],[GP]]</f>
        <v>1</v>
      </c>
      <c r="R44" s="1">
        <v>6</v>
      </c>
      <c r="S44" s="1">
        <v>18</v>
      </c>
      <c r="T44" s="1">
        <v>5</v>
      </c>
      <c r="U44" s="1">
        <v>102</v>
      </c>
      <c r="V44" s="1">
        <v>16.7</v>
      </c>
      <c r="W44" s="1">
        <v>16</v>
      </c>
      <c r="X44" s="1">
        <v>37</v>
      </c>
      <c r="Y44" s="1">
        <v>54</v>
      </c>
      <c r="Z44" s="1">
        <v>19</v>
      </c>
      <c r="AA44" s="6">
        <f>(Table4[[#This Row],[TAKES]])/(Table4[[#This Row],[GIVES]]+Table4[[#This Row],[TAKES]])</f>
        <v>0.26027397260273971</v>
      </c>
      <c r="AB44" s="6">
        <f>Table4[[#This Row],[TAKES]]/Table4[[#This Row],[GIVES]]</f>
        <v>0.35185185185185186</v>
      </c>
      <c r="AC44" s="1">
        <v>48.6</v>
      </c>
    </row>
    <row r="45" spans="1:29" x14ac:dyDescent="0.3">
      <c r="A45" t="s">
        <v>121</v>
      </c>
      <c r="B45" t="s">
        <v>124</v>
      </c>
      <c r="C45" t="s">
        <v>80</v>
      </c>
      <c r="D45" t="s">
        <v>125</v>
      </c>
      <c r="E45" s="4" t="s">
        <v>170</v>
      </c>
      <c r="F45" s="1">
        <v>27</v>
      </c>
      <c r="G45" s="1" t="s">
        <v>75</v>
      </c>
      <c r="H45" s="1">
        <v>175</v>
      </c>
      <c r="I45" s="1" t="s">
        <v>118</v>
      </c>
      <c r="J45" s="1" t="s">
        <v>101</v>
      </c>
      <c r="K45" s="1">
        <v>37</v>
      </c>
      <c r="L45" s="1">
        <v>20</v>
      </c>
      <c r="M45" s="1">
        <v>18</v>
      </c>
      <c r="N45" s="1">
        <v>38</v>
      </c>
      <c r="O45" s="5">
        <f>Table4[[#This Row],[G]]/Table4[[#This Row],[GP]]</f>
        <v>0.54054054054054057</v>
      </c>
      <c r="P45" s="5">
        <f>Table4[[#This Row],[A]]/Table4[[#This Row],[GP]]</f>
        <v>0.48648648648648651</v>
      </c>
      <c r="Q45" s="5">
        <f>Table4[[#This Row],[PTS]]/Table4[[#This Row],[GP]]</f>
        <v>1.027027027027027</v>
      </c>
      <c r="R45" s="1">
        <v>22</v>
      </c>
      <c r="S45" s="1">
        <v>24</v>
      </c>
      <c r="T45" s="1">
        <v>6</v>
      </c>
      <c r="U45" s="1">
        <v>109</v>
      </c>
      <c r="V45" s="1">
        <v>18.3</v>
      </c>
      <c r="W45" s="1">
        <v>21</v>
      </c>
      <c r="X45" s="1">
        <v>30</v>
      </c>
      <c r="Y45" s="1">
        <v>43</v>
      </c>
      <c r="Z45" s="1">
        <v>15</v>
      </c>
      <c r="AA45" s="6">
        <f>(Table4[[#This Row],[TAKES]])/(Table4[[#This Row],[GIVES]]+Table4[[#This Row],[TAKES]])</f>
        <v>0.25862068965517243</v>
      </c>
      <c r="AB45" s="6">
        <f>Table4[[#This Row],[TAKES]]/Table4[[#This Row],[GIVES]]</f>
        <v>0.34883720930232559</v>
      </c>
      <c r="AC45" s="1">
        <v>44.4</v>
      </c>
    </row>
    <row r="46" spans="1:29" x14ac:dyDescent="0.3">
      <c r="A46" t="s">
        <v>216</v>
      </c>
      <c r="B46" t="s">
        <v>107</v>
      </c>
      <c r="C46" t="s">
        <v>89</v>
      </c>
      <c r="D46" t="s">
        <v>219</v>
      </c>
      <c r="E46" s="4" t="s">
        <v>225</v>
      </c>
      <c r="F46" s="1">
        <v>30</v>
      </c>
      <c r="G46" s="1" t="s">
        <v>75</v>
      </c>
      <c r="H46" s="1">
        <v>180</v>
      </c>
      <c r="I46" s="1" t="s">
        <v>76</v>
      </c>
      <c r="J46" s="1" t="s">
        <v>101</v>
      </c>
      <c r="K46" s="1">
        <v>42</v>
      </c>
      <c r="L46" s="1">
        <v>15</v>
      </c>
      <c r="M46" s="1">
        <v>19</v>
      </c>
      <c r="N46" s="1">
        <v>34</v>
      </c>
      <c r="O46" s="5">
        <f>Table4[[#This Row],[G]]/Table4[[#This Row],[GP]]</f>
        <v>0.35714285714285715</v>
      </c>
      <c r="P46" s="5">
        <f>Table4[[#This Row],[A]]/Table4[[#This Row],[GP]]</f>
        <v>0.45238095238095238</v>
      </c>
      <c r="Q46" s="5">
        <f>Table4[[#This Row],[PTS]]/Table4[[#This Row],[GP]]</f>
        <v>0.80952380952380953</v>
      </c>
      <c r="R46" s="1">
        <v>34</v>
      </c>
      <c r="S46" s="1">
        <v>6</v>
      </c>
      <c r="T46" s="1">
        <v>5</v>
      </c>
      <c r="U46" s="1">
        <v>104</v>
      </c>
      <c r="V46" s="1">
        <v>14.4</v>
      </c>
      <c r="W46" s="1">
        <v>25</v>
      </c>
      <c r="X46" s="1">
        <v>31</v>
      </c>
      <c r="Y46" s="1">
        <v>29</v>
      </c>
      <c r="Z46" s="1">
        <v>10</v>
      </c>
      <c r="AA46" s="6">
        <f>(Table4[[#This Row],[TAKES]])/(Table4[[#This Row],[GIVES]]+Table4[[#This Row],[TAKES]])</f>
        <v>0.25641025641025639</v>
      </c>
      <c r="AB46" s="6">
        <f>Table4[[#This Row],[TAKES]]/Table4[[#This Row],[GIVES]]</f>
        <v>0.34482758620689657</v>
      </c>
      <c r="AC46" s="1">
        <v>25</v>
      </c>
    </row>
    <row r="47" spans="1:29" x14ac:dyDescent="0.3">
      <c r="A47" t="s">
        <v>109</v>
      </c>
      <c r="B47" t="s">
        <v>107</v>
      </c>
      <c r="C47" t="s">
        <v>89</v>
      </c>
      <c r="D47" t="s">
        <v>112</v>
      </c>
      <c r="E47" s="4" t="s">
        <v>154</v>
      </c>
      <c r="F47" s="1">
        <v>28</v>
      </c>
      <c r="G47" s="1" t="s">
        <v>84</v>
      </c>
      <c r="H47" s="1">
        <v>210</v>
      </c>
      <c r="I47" s="1" t="s">
        <v>85</v>
      </c>
      <c r="J47" s="1" t="s">
        <v>78</v>
      </c>
      <c r="K47" s="1">
        <v>44</v>
      </c>
      <c r="L47" s="1">
        <v>11</v>
      </c>
      <c r="M47" s="1">
        <v>21</v>
      </c>
      <c r="N47" s="1">
        <v>32</v>
      </c>
      <c r="O47" s="5">
        <f>Table4[[#This Row],[G]]/Table4[[#This Row],[GP]]</f>
        <v>0.25</v>
      </c>
      <c r="P47" s="5">
        <f>Table4[[#This Row],[A]]/Table4[[#This Row],[GP]]</f>
        <v>0.47727272727272729</v>
      </c>
      <c r="Q47" s="5">
        <f>Table4[[#This Row],[PTS]]/Table4[[#This Row],[GP]]</f>
        <v>0.72727272727272729</v>
      </c>
      <c r="R47" s="1">
        <v>12</v>
      </c>
      <c r="S47" s="1">
        <v>20</v>
      </c>
      <c r="T47" s="1">
        <v>3</v>
      </c>
      <c r="U47" s="1">
        <v>130</v>
      </c>
      <c r="V47" s="1">
        <v>8.5</v>
      </c>
      <c r="W47" s="1">
        <v>19</v>
      </c>
      <c r="X47" s="1">
        <v>68</v>
      </c>
      <c r="Y47" s="1">
        <v>32</v>
      </c>
      <c r="Z47" s="1">
        <v>11</v>
      </c>
      <c r="AA47" s="6">
        <f>(Table4[[#This Row],[TAKES]])/(Table4[[#This Row],[GIVES]]+Table4[[#This Row],[TAKES]])</f>
        <v>0.2558139534883721</v>
      </c>
      <c r="AB47" s="6">
        <f>Table4[[#This Row],[TAKES]]/Table4[[#This Row],[GIVES]]</f>
        <v>0.34375</v>
      </c>
      <c r="AC47" s="1">
        <v>49.5</v>
      </c>
    </row>
    <row r="48" spans="1:29" x14ac:dyDescent="0.3">
      <c r="A48" t="s">
        <v>97</v>
      </c>
      <c r="B48" t="s">
        <v>79</v>
      </c>
      <c r="C48" t="s">
        <v>80</v>
      </c>
      <c r="D48" t="s">
        <v>102</v>
      </c>
      <c r="E48" s="4" t="s">
        <v>191</v>
      </c>
      <c r="F48" s="1">
        <v>24</v>
      </c>
      <c r="G48" s="1" t="s">
        <v>136</v>
      </c>
      <c r="H48" s="1">
        <v>170</v>
      </c>
      <c r="I48" s="1" t="s">
        <v>128</v>
      </c>
      <c r="J48" s="1" t="s">
        <v>78</v>
      </c>
      <c r="K48" s="1">
        <v>25</v>
      </c>
      <c r="L48" s="1">
        <v>11</v>
      </c>
      <c r="M48" s="1">
        <v>13</v>
      </c>
      <c r="N48" s="1">
        <v>24</v>
      </c>
      <c r="O48" s="5">
        <f>Table4[[#This Row],[G]]/Table4[[#This Row],[GP]]</f>
        <v>0.44</v>
      </c>
      <c r="P48" s="5">
        <f>Table4[[#This Row],[A]]/Table4[[#This Row],[GP]]</f>
        <v>0.52</v>
      </c>
      <c r="Q48" s="5">
        <f>Table4[[#This Row],[PTS]]/Table4[[#This Row],[GP]]</f>
        <v>0.96</v>
      </c>
      <c r="R48" s="1">
        <v>-4</v>
      </c>
      <c r="S48" s="1">
        <v>0</v>
      </c>
      <c r="T48" s="1">
        <v>3</v>
      </c>
      <c r="U48" s="1">
        <v>93</v>
      </c>
      <c r="V48" s="1">
        <v>11.8</v>
      </c>
      <c r="W48" s="1">
        <v>11</v>
      </c>
      <c r="X48" s="1">
        <v>2</v>
      </c>
      <c r="Y48" s="1">
        <v>47</v>
      </c>
      <c r="Z48" s="1">
        <v>15</v>
      </c>
      <c r="AA48" s="6">
        <f>(Table4[[#This Row],[TAKES]])/(Table4[[#This Row],[GIVES]]+Table4[[#This Row],[TAKES]])</f>
        <v>0.24193548387096775</v>
      </c>
      <c r="AB48" s="6">
        <f>Table4[[#This Row],[TAKES]]/Table4[[#This Row],[GIVES]]</f>
        <v>0.31914893617021278</v>
      </c>
      <c r="AC48" s="1">
        <v>34</v>
      </c>
    </row>
    <row r="49" spans="1:29" x14ac:dyDescent="0.3">
      <c r="A49" t="s">
        <v>278</v>
      </c>
      <c r="B49" t="s">
        <v>79</v>
      </c>
      <c r="C49" t="s">
        <v>80</v>
      </c>
      <c r="D49" t="s">
        <v>280</v>
      </c>
      <c r="E49" s="4" t="s">
        <v>283</v>
      </c>
      <c r="F49" s="1">
        <v>29</v>
      </c>
      <c r="G49" s="1" t="s">
        <v>105</v>
      </c>
      <c r="H49" s="1">
        <v>181</v>
      </c>
      <c r="I49" s="1" t="s">
        <v>118</v>
      </c>
      <c r="J49" s="1" t="s">
        <v>87</v>
      </c>
      <c r="K49" s="1">
        <v>41</v>
      </c>
      <c r="L49" s="1">
        <v>5</v>
      </c>
      <c r="M49" s="1">
        <v>14</v>
      </c>
      <c r="N49" s="1">
        <v>19</v>
      </c>
      <c r="O49" s="5">
        <f>Table4[[#This Row],[G]]/Table4[[#This Row],[GP]]</f>
        <v>0.12195121951219512</v>
      </c>
      <c r="P49" s="5">
        <f>Table4[[#This Row],[A]]/Table4[[#This Row],[GP]]</f>
        <v>0.34146341463414637</v>
      </c>
      <c r="Q49" s="5">
        <f>Table4[[#This Row],[PTS]]/Table4[[#This Row],[GP]]</f>
        <v>0.46341463414634149</v>
      </c>
      <c r="R49" s="1">
        <v>7</v>
      </c>
      <c r="S49" s="1">
        <v>12</v>
      </c>
      <c r="T49" s="1">
        <v>1</v>
      </c>
      <c r="U49" s="1">
        <v>54</v>
      </c>
      <c r="V49" s="1">
        <v>9.3000000000000007</v>
      </c>
      <c r="W49" s="1">
        <v>78</v>
      </c>
      <c r="X49" s="1">
        <v>25</v>
      </c>
      <c r="Y49" s="1">
        <v>57</v>
      </c>
      <c r="Z49" s="1">
        <v>18</v>
      </c>
      <c r="AA49" s="6">
        <f>(Table4[[#This Row],[TAKES]])/(Table4[[#This Row],[GIVES]]+Table4[[#This Row],[TAKES]])</f>
        <v>0.24</v>
      </c>
      <c r="AB49" s="6">
        <f>Table4[[#This Row],[TAKES]]/Table4[[#This Row],[GIVES]]</f>
        <v>0.31578947368421051</v>
      </c>
      <c r="AC49" s="1">
        <v>0</v>
      </c>
    </row>
    <row r="50" spans="1:29" x14ac:dyDescent="0.3">
      <c r="A50" t="s">
        <v>121</v>
      </c>
      <c r="B50" t="s">
        <v>124</v>
      </c>
      <c r="C50" t="s">
        <v>80</v>
      </c>
      <c r="D50" t="s">
        <v>125</v>
      </c>
      <c r="E50" s="4" t="s">
        <v>186</v>
      </c>
      <c r="F50" s="1">
        <v>26</v>
      </c>
      <c r="G50" s="1" t="s">
        <v>99</v>
      </c>
      <c r="H50" s="1">
        <v>175</v>
      </c>
      <c r="I50" s="1" t="s">
        <v>85</v>
      </c>
      <c r="J50" s="1" t="s">
        <v>95</v>
      </c>
      <c r="K50" s="1">
        <v>35</v>
      </c>
      <c r="L50" s="1">
        <v>6</v>
      </c>
      <c r="M50" s="1">
        <v>7</v>
      </c>
      <c r="N50" s="1">
        <v>13</v>
      </c>
      <c r="O50" s="5">
        <f>Table4[[#This Row],[G]]/Table4[[#This Row],[GP]]</f>
        <v>0.17142857142857143</v>
      </c>
      <c r="P50" s="5">
        <f>Table4[[#This Row],[A]]/Table4[[#This Row],[GP]]</f>
        <v>0.2</v>
      </c>
      <c r="Q50" s="5">
        <f>Table4[[#This Row],[PTS]]/Table4[[#This Row],[GP]]</f>
        <v>0.37142857142857144</v>
      </c>
      <c r="R50" s="1">
        <v>7</v>
      </c>
      <c r="S50" s="1">
        <v>12</v>
      </c>
      <c r="T50" s="1">
        <v>2</v>
      </c>
      <c r="U50" s="1">
        <v>45</v>
      </c>
      <c r="V50" s="1">
        <v>13.3</v>
      </c>
      <c r="W50" s="1">
        <v>17</v>
      </c>
      <c r="X50" s="1">
        <v>36</v>
      </c>
      <c r="Y50" s="1">
        <v>19</v>
      </c>
      <c r="Z50" s="1">
        <v>6</v>
      </c>
      <c r="AA50" s="6">
        <f>(Table4[[#This Row],[TAKES]])/(Table4[[#This Row],[GIVES]]+Table4[[#This Row],[TAKES]])</f>
        <v>0.24</v>
      </c>
      <c r="AB50" s="6">
        <f>Table4[[#This Row],[TAKES]]/Table4[[#This Row],[GIVES]]</f>
        <v>0.31578947368421051</v>
      </c>
      <c r="AC50" s="1">
        <v>37.200000000000003</v>
      </c>
    </row>
    <row r="51" spans="1:29" x14ac:dyDescent="0.3">
      <c r="A51" t="s">
        <v>216</v>
      </c>
      <c r="B51" t="s">
        <v>107</v>
      </c>
      <c r="C51" t="s">
        <v>89</v>
      </c>
      <c r="D51" t="s">
        <v>219</v>
      </c>
      <c r="E51" s="4" t="s">
        <v>299</v>
      </c>
      <c r="F51" s="1">
        <v>31</v>
      </c>
      <c r="G51" s="1" t="s">
        <v>84</v>
      </c>
      <c r="H51" s="1">
        <v>191</v>
      </c>
      <c r="I51" s="1" t="s">
        <v>118</v>
      </c>
      <c r="J51" s="1" t="s">
        <v>87</v>
      </c>
      <c r="K51" s="1">
        <v>40</v>
      </c>
      <c r="L51" s="1">
        <v>1</v>
      </c>
      <c r="M51" s="1">
        <v>12</v>
      </c>
      <c r="N51" s="1">
        <v>13</v>
      </c>
      <c r="O51" s="5">
        <f>Table4[[#This Row],[G]]/Table4[[#This Row],[GP]]</f>
        <v>2.5000000000000001E-2</v>
      </c>
      <c r="P51" s="5">
        <f>Table4[[#This Row],[A]]/Table4[[#This Row],[GP]]</f>
        <v>0.3</v>
      </c>
      <c r="Q51" s="5">
        <f>Table4[[#This Row],[PTS]]/Table4[[#This Row],[GP]]</f>
        <v>0.32500000000000001</v>
      </c>
      <c r="R51" s="1">
        <v>26</v>
      </c>
      <c r="S51" s="1">
        <v>18</v>
      </c>
      <c r="T51" s="1">
        <v>0</v>
      </c>
      <c r="U51" s="1">
        <v>68</v>
      </c>
      <c r="V51" s="1">
        <v>1.5</v>
      </c>
      <c r="W51" s="1">
        <v>58</v>
      </c>
      <c r="X51" s="1">
        <v>14</v>
      </c>
      <c r="Y51" s="1">
        <v>45</v>
      </c>
      <c r="Z51" s="1">
        <v>14</v>
      </c>
      <c r="AA51" s="6">
        <f>(Table4[[#This Row],[TAKES]])/(Table4[[#This Row],[GIVES]]+Table4[[#This Row],[TAKES]])</f>
        <v>0.23728813559322035</v>
      </c>
      <c r="AB51" s="6">
        <f>Table4[[#This Row],[TAKES]]/Table4[[#This Row],[GIVES]]</f>
        <v>0.31111111111111112</v>
      </c>
      <c r="AC51" s="1">
        <v>0</v>
      </c>
    </row>
    <row r="52" spans="1:29" x14ac:dyDescent="0.3">
      <c r="A52" t="s">
        <v>161</v>
      </c>
      <c r="B52" t="s">
        <v>124</v>
      </c>
      <c r="C52" t="s">
        <v>80</v>
      </c>
      <c r="D52" t="s">
        <v>165</v>
      </c>
      <c r="E52" s="4" t="s">
        <v>254</v>
      </c>
      <c r="F52" s="1">
        <v>29</v>
      </c>
      <c r="G52" s="1" t="s">
        <v>93</v>
      </c>
      <c r="H52" s="1">
        <v>185</v>
      </c>
      <c r="I52" s="1" t="s">
        <v>76</v>
      </c>
      <c r="J52" s="1" t="s">
        <v>87</v>
      </c>
      <c r="K52" s="1">
        <v>42</v>
      </c>
      <c r="L52" s="1">
        <v>1</v>
      </c>
      <c r="M52" s="1">
        <v>5</v>
      </c>
      <c r="N52" s="1">
        <v>6</v>
      </c>
      <c r="O52" s="5">
        <f>Table4[[#This Row],[G]]/Table4[[#This Row],[GP]]</f>
        <v>2.3809523809523808E-2</v>
      </c>
      <c r="P52" s="5">
        <f>Table4[[#This Row],[A]]/Table4[[#This Row],[GP]]</f>
        <v>0.11904761904761904</v>
      </c>
      <c r="Q52" s="5">
        <f>Table4[[#This Row],[PTS]]/Table4[[#This Row],[GP]]</f>
        <v>0.14285714285714285</v>
      </c>
      <c r="R52" s="1">
        <v>6</v>
      </c>
      <c r="S52" s="1">
        <v>35</v>
      </c>
      <c r="T52" s="1">
        <v>0</v>
      </c>
      <c r="U52" s="1">
        <v>44</v>
      </c>
      <c r="V52" s="1">
        <v>2.2999999999999998</v>
      </c>
      <c r="W52" s="1">
        <v>47</v>
      </c>
      <c r="X52" s="1">
        <v>70</v>
      </c>
      <c r="Y52" s="1">
        <v>45</v>
      </c>
      <c r="Z52" s="1">
        <v>14</v>
      </c>
      <c r="AA52" s="6">
        <f>(Table4[[#This Row],[TAKES]])/(Table4[[#This Row],[GIVES]]+Table4[[#This Row],[TAKES]])</f>
        <v>0.23728813559322035</v>
      </c>
      <c r="AB52" s="6">
        <f>Table4[[#This Row],[TAKES]]/Table4[[#This Row],[GIVES]]</f>
        <v>0.31111111111111112</v>
      </c>
      <c r="AC52" s="1">
        <v>0</v>
      </c>
    </row>
    <row r="53" spans="1:29" x14ac:dyDescent="0.3">
      <c r="A53" t="s">
        <v>109</v>
      </c>
      <c r="B53" t="s">
        <v>107</v>
      </c>
      <c r="C53" t="s">
        <v>89</v>
      </c>
      <c r="D53" t="s">
        <v>112</v>
      </c>
      <c r="E53" s="4" t="s">
        <v>110</v>
      </c>
      <c r="F53" s="1">
        <v>32</v>
      </c>
      <c r="G53" s="1" t="s">
        <v>84</v>
      </c>
      <c r="H53" s="1">
        <v>194</v>
      </c>
      <c r="I53" s="1" t="s">
        <v>85</v>
      </c>
      <c r="J53" s="1" t="s">
        <v>87</v>
      </c>
      <c r="K53" s="1">
        <v>39</v>
      </c>
      <c r="L53" s="1">
        <v>3</v>
      </c>
      <c r="M53" s="1">
        <v>11</v>
      </c>
      <c r="N53" s="1">
        <v>14</v>
      </c>
      <c r="O53" s="5">
        <f>Table4[[#This Row],[G]]/Table4[[#This Row],[GP]]</f>
        <v>7.6923076923076927E-2</v>
      </c>
      <c r="P53" s="5">
        <f>Table4[[#This Row],[A]]/Table4[[#This Row],[GP]]</f>
        <v>0.28205128205128205</v>
      </c>
      <c r="Q53" s="5">
        <f>Table4[[#This Row],[PTS]]/Table4[[#This Row],[GP]]</f>
        <v>0.35897435897435898</v>
      </c>
      <c r="R53" s="1">
        <v>16</v>
      </c>
      <c r="S53" s="1">
        <v>8</v>
      </c>
      <c r="T53" s="1">
        <v>1</v>
      </c>
      <c r="U53" s="1">
        <v>38</v>
      </c>
      <c r="V53" s="1">
        <v>7.9</v>
      </c>
      <c r="W53" s="1">
        <v>86</v>
      </c>
      <c r="X53" s="1">
        <v>8</v>
      </c>
      <c r="Y53" s="1">
        <v>29</v>
      </c>
      <c r="Z53" s="1">
        <v>9</v>
      </c>
      <c r="AA53" s="6">
        <f>(Table4[[#This Row],[TAKES]])/(Table4[[#This Row],[GIVES]]+Table4[[#This Row],[TAKES]])</f>
        <v>0.23684210526315788</v>
      </c>
      <c r="AB53" s="6">
        <f>Table4[[#This Row],[TAKES]]/Table4[[#This Row],[GIVES]]</f>
        <v>0.31034482758620691</v>
      </c>
      <c r="AC53" s="1">
        <v>0</v>
      </c>
    </row>
    <row r="54" spans="1:29" x14ac:dyDescent="0.3">
      <c r="A54" t="s">
        <v>145</v>
      </c>
      <c r="B54" t="s">
        <v>88</v>
      </c>
      <c r="C54" t="s">
        <v>89</v>
      </c>
      <c r="D54" t="s">
        <v>149</v>
      </c>
      <c r="E54" s="4" t="s">
        <v>327</v>
      </c>
      <c r="F54" s="1">
        <v>28</v>
      </c>
      <c r="G54" s="1" t="s">
        <v>75</v>
      </c>
      <c r="H54" s="1">
        <v>180</v>
      </c>
      <c r="I54" s="1" t="s">
        <v>118</v>
      </c>
      <c r="J54" s="1" t="s">
        <v>95</v>
      </c>
      <c r="K54" s="1">
        <v>42</v>
      </c>
      <c r="L54" s="1">
        <v>9</v>
      </c>
      <c r="M54" s="1">
        <v>35</v>
      </c>
      <c r="N54" s="1">
        <v>44</v>
      </c>
      <c r="O54" s="5">
        <f>Table4[[#This Row],[G]]/Table4[[#This Row],[GP]]</f>
        <v>0.21428571428571427</v>
      </c>
      <c r="P54" s="5">
        <f>Table4[[#This Row],[A]]/Table4[[#This Row],[GP]]</f>
        <v>0.83333333333333337</v>
      </c>
      <c r="Q54" s="5">
        <f>Table4[[#This Row],[PTS]]/Table4[[#This Row],[GP]]</f>
        <v>1.0476190476190477</v>
      </c>
      <c r="R54" s="1">
        <v>8</v>
      </c>
      <c r="S54" s="1">
        <v>12</v>
      </c>
      <c r="T54" s="1">
        <v>0</v>
      </c>
      <c r="U54" s="1">
        <v>77</v>
      </c>
      <c r="V54" s="1">
        <v>11.7</v>
      </c>
      <c r="W54" s="1">
        <v>27</v>
      </c>
      <c r="X54" s="1">
        <v>15</v>
      </c>
      <c r="Y54" s="1">
        <v>58</v>
      </c>
      <c r="Z54" s="1">
        <v>18</v>
      </c>
      <c r="AA54" s="6">
        <f>(Table4[[#This Row],[TAKES]])/(Table4[[#This Row],[GIVES]]+Table4[[#This Row],[TAKES]])</f>
        <v>0.23684210526315788</v>
      </c>
      <c r="AB54" s="6">
        <f>Table4[[#This Row],[TAKES]]/Table4[[#This Row],[GIVES]]</f>
        <v>0.31034482758620691</v>
      </c>
      <c r="AC54" s="1">
        <v>40</v>
      </c>
    </row>
    <row r="55" spans="1:29" x14ac:dyDescent="0.3">
      <c r="A55" t="s">
        <v>145</v>
      </c>
      <c r="B55" t="s">
        <v>88</v>
      </c>
      <c r="C55" t="s">
        <v>89</v>
      </c>
      <c r="D55" t="s">
        <v>149</v>
      </c>
      <c r="E55" s="4" t="s">
        <v>293</v>
      </c>
      <c r="F55" s="1">
        <v>30</v>
      </c>
      <c r="G55" s="1" t="s">
        <v>147</v>
      </c>
      <c r="H55" s="1">
        <v>195</v>
      </c>
      <c r="I55" s="1" t="s">
        <v>118</v>
      </c>
      <c r="J55" s="1" t="s">
        <v>87</v>
      </c>
      <c r="K55" s="1">
        <v>31</v>
      </c>
      <c r="L55" s="1">
        <v>4</v>
      </c>
      <c r="M55" s="1">
        <v>16</v>
      </c>
      <c r="N55" s="1">
        <v>20</v>
      </c>
      <c r="O55" s="5">
        <f>Table4[[#This Row],[G]]/Table4[[#This Row],[GP]]</f>
        <v>0.12903225806451613</v>
      </c>
      <c r="P55" s="5">
        <f>Table4[[#This Row],[A]]/Table4[[#This Row],[GP]]</f>
        <v>0.5161290322580645</v>
      </c>
      <c r="Q55" s="5">
        <f>Table4[[#This Row],[PTS]]/Table4[[#This Row],[GP]]</f>
        <v>0.64516129032258063</v>
      </c>
      <c r="R55" s="1">
        <v>5</v>
      </c>
      <c r="S55" s="1">
        <v>6</v>
      </c>
      <c r="T55" s="1">
        <v>1</v>
      </c>
      <c r="U55" s="1">
        <v>74</v>
      </c>
      <c r="V55" s="1">
        <v>5.4</v>
      </c>
      <c r="W55" s="1">
        <v>48</v>
      </c>
      <c r="X55" s="1">
        <v>1</v>
      </c>
      <c r="Y55" s="1">
        <v>39</v>
      </c>
      <c r="Z55" s="1">
        <v>12</v>
      </c>
      <c r="AA55" s="6">
        <f>(Table4[[#This Row],[TAKES]])/(Table4[[#This Row],[GIVES]]+Table4[[#This Row],[TAKES]])</f>
        <v>0.23529411764705882</v>
      </c>
      <c r="AB55" s="6">
        <f>Table4[[#This Row],[TAKES]]/Table4[[#This Row],[GIVES]]</f>
        <v>0.30769230769230771</v>
      </c>
      <c r="AC55" s="1">
        <v>0</v>
      </c>
    </row>
    <row r="56" spans="1:29" x14ac:dyDescent="0.3">
      <c r="A56" t="s">
        <v>161</v>
      </c>
      <c r="B56" t="s">
        <v>124</v>
      </c>
      <c r="C56" t="s">
        <v>80</v>
      </c>
      <c r="D56" t="s">
        <v>165</v>
      </c>
      <c r="E56" s="4" t="s">
        <v>241</v>
      </c>
      <c r="F56" s="1">
        <v>37</v>
      </c>
      <c r="G56" s="1" t="s">
        <v>242</v>
      </c>
      <c r="H56" s="1">
        <v>181</v>
      </c>
      <c r="I56" s="1" t="s">
        <v>118</v>
      </c>
      <c r="J56" s="1" t="s">
        <v>101</v>
      </c>
      <c r="K56" s="1">
        <v>41</v>
      </c>
      <c r="L56" s="1">
        <v>23</v>
      </c>
      <c r="M56" s="1">
        <v>23</v>
      </c>
      <c r="N56" s="1">
        <v>46</v>
      </c>
      <c r="O56" s="5">
        <f>Table4[[#This Row],[G]]/Table4[[#This Row],[GP]]</f>
        <v>0.56097560975609762</v>
      </c>
      <c r="P56" s="5">
        <f>Table4[[#This Row],[A]]/Table4[[#This Row],[GP]]</f>
        <v>0.56097560975609762</v>
      </c>
      <c r="Q56" s="5">
        <f>Table4[[#This Row],[PTS]]/Table4[[#This Row],[GP]]</f>
        <v>1.1219512195121952</v>
      </c>
      <c r="R56" s="1">
        <v>-8</v>
      </c>
      <c r="S56" s="1">
        <v>32</v>
      </c>
      <c r="T56" s="1">
        <v>7</v>
      </c>
      <c r="U56" s="1">
        <v>115</v>
      </c>
      <c r="V56" s="1">
        <v>20</v>
      </c>
      <c r="W56" s="1">
        <v>16</v>
      </c>
      <c r="X56" s="1">
        <v>33</v>
      </c>
      <c r="Y56" s="1">
        <v>43</v>
      </c>
      <c r="Z56" s="1">
        <v>13</v>
      </c>
      <c r="AA56" s="6">
        <f>(Table4[[#This Row],[TAKES]])/(Table4[[#This Row],[GIVES]]+Table4[[#This Row],[TAKES]])</f>
        <v>0.23214285714285715</v>
      </c>
      <c r="AB56" s="6">
        <f>Table4[[#This Row],[TAKES]]/Table4[[#This Row],[GIVES]]</f>
        <v>0.30232558139534882</v>
      </c>
      <c r="AC56" s="1">
        <v>12.5</v>
      </c>
    </row>
    <row r="57" spans="1:29" x14ac:dyDescent="0.3">
      <c r="A57" t="s">
        <v>174</v>
      </c>
      <c r="B57" t="s">
        <v>107</v>
      </c>
      <c r="C57" t="s">
        <v>89</v>
      </c>
      <c r="D57" t="s">
        <v>177</v>
      </c>
      <c r="E57" s="4" t="s">
        <v>273</v>
      </c>
      <c r="F57" s="1">
        <v>29</v>
      </c>
      <c r="G57" s="1" t="s">
        <v>93</v>
      </c>
      <c r="H57" s="1">
        <v>215</v>
      </c>
      <c r="I57" s="1" t="s">
        <v>76</v>
      </c>
      <c r="J57" s="1" t="s">
        <v>95</v>
      </c>
      <c r="K57" s="1">
        <v>43</v>
      </c>
      <c r="L57" s="1">
        <v>17</v>
      </c>
      <c r="M57" s="1">
        <v>42</v>
      </c>
      <c r="N57" s="1">
        <v>59</v>
      </c>
      <c r="O57" s="5">
        <f>Table4[[#This Row],[G]]/Table4[[#This Row],[GP]]</f>
        <v>0.39534883720930231</v>
      </c>
      <c r="P57" s="5">
        <f>Table4[[#This Row],[A]]/Table4[[#This Row],[GP]]</f>
        <v>0.97674418604651159</v>
      </c>
      <c r="Q57" s="5">
        <f>Table4[[#This Row],[PTS]]/Table4[[#This Row],[GP]]</f>
        <v>1.3720930232558139</v>
      </c>
      <c r="R57" s="1">
        <v>1</v>
      </c>
      <c r="S57" s="1">
        <v>75</v>
      </c>
      <c r="T57" s="1">
        <v>5</v>
      </c>
      <c r="U57" s="1">
        <v>104</v>
      </c>
      <c r="V57" s="1">
        <v>16.3</v>
      </c>
      <c r="W57" s="1">
        <v>20</v>
      </c>
      <c r="X57" s="1">
        <v>30</v>
      </c>
      <c r="Y57" s="1">
        <v>50</v>
      </c>
      <c r="Z57" s="1">
        <v>15</v>
      </c>
      <c r="AA57" s="6">
        <f>(Table4[[#This Row],[TAKES]])/(Table4[[#This Row],[GIVES]]+Table4[[#This Row],[TAKES]])</f>
        <v>0.23076923076923078</v>
      </c>
      <c r="AB57" s="6">
        <f>Table4[[#This Row],[TAKES]]/Table4[[#This Row],[GIVES]]</f>
        <v>0.3</v>
      </c>
      <c r="AC57" s="1">
        <v>51.9</v>
      </c>
    </row>
    <row r="58" spans="1:29" x14ac:dyDescent="0.3">
      <c r="A58" t="s">
        <v>243</v>
      </c>
      <c r="B58" t="s">
        <v>124</v>
      </c>
      <c r="C58" t="s">
        <v>80</v>
      </c>
      <c r="D58" t="s">
        <v>245</v>
      </c>
      <c r="E58" s="4" t="s">
        <v>297</v>
      </c>
      <c r="F58" s="1">
        <v>26</v>
      </c>
      <c r="G58" s="1" t="s">
        <v>93</v>
      </c>
      <c r="H58" s="1">
        <v>212</v>
      </c>
      <c r="I58" s="1" t="s">
        <v>128</v>
      </c>
      <c r="J58" s="1" t="s">
        <v>101</v>
      </c>
      <c r="K58" s="1">
        <v>22</v>
      </c>
      <c r="L58" s="1">
        <v>7</v>
      </c>
      <c r="M58" s="1">
        <v>13</v>
      </c>
      <c r="N58" s="1">
        <v>20</v>
      </c>
      <c r="O58" s="5">
        <f>Table4[[#This Row],[G]]/Table4[[#This Row],[GP]]</f>
        <v>0.31818181818181818</v>
      </c>
      <c r="P58" s="5">
        <f>Table4[[#This Row],[A]]/Table4[[#This Row],[GP]]</f>
        <v>0.59090909090909094</v>
      </c>
      <c r="Q58" s="5">
        <f>Table4[[#This Row],[PTS]]/Table4[[#This Row],[GP]]</f>
        <v>0.90909090909090906</v>
      </c>
      <c r="R58" s="1">
        <v>-5</v>
      </c>
      <c r="S58" s="1">
        <v>26</v>
      </c>
      <c r="T58" s="1">
        <v>2</v>
      </c>
      <c r="U58" s="1">
        <v>88</v>
      </c>
      <c r="V58" s="1">
        <v>8</v>
      </c>
      <c r="W58" s="1">
        <v>6</v>
      </c>
      <c r="X58" s="1">
        <v>67</v>
      </c>
      <c r="Y58" s="1">
        <v>17</v>
      </c>
      <c r="Z58" s="1">
        <v>5</v>
      </c>
      <c r="AA58" s="6">
        <f>(Table4[[#This Row],[TAKES]])/(Table4[[#This Row],[GIVES]]+Table4[[#This Row],[TAKES]])</f>
        <v>0.22727272727272727</v>
      </c>
      <c r="AB58" s="6">
        <f>Table4[[#This Row],[TAKES]]/Table4[[#This Row],[GIVES]]</f>
        <v>0.29411764705882354</v>
      </c>
      <c r="AC58" s="1">
        <v>57.7</v>
      </c>
    </row>
    <row r="59" spans="1:29" x14ac:dyDescent="0.3">
      <c r="A59" t="s">
        <v>306</v>
      </c>
      <c r="B59" t="s">
        <v>79</v>
      </c>
      <c r="C59" t="s">
        <v>80</v>
      </c>
      <c r="D59" t="s">
        <v>309</v>
      </c>
      <c r="E59" s="4" t="s">
        <v>307</v>
      </c>
      <c r="F59" s="1">
        <v>28</v>
      </c>
      <c r="G59" s="1" t="s">
        <v>147</v>
      </c>
      <c r="H59" s="1">
        <v>212</v>
      </c>
      <c r="I59" s="1" t="s">
        <v>128</v>
      </c>
      <c r="J59" s="1" t="s">
        <v>87</v>
      </c>
      <c r="K59" s="1">
        <v>38</v>
      </c>
      <c r="L59" s="1">
        <v>16</v>
      </c>
      <c r="M59" s="1">
        <v>29</v>
      </c>
      <c r="N59" s="1">
        <v>45</v>
      </c>
      <c r="O59" s="5">
        <f>Table4[[#This Row],[G]]/Table4[[#This Row],[GP]]</f>
        <v>0.42105263157894735</v>
      </c>
      <c r="P59" s="5">
        <f>Table4[[#This Row],[A]]/Table4[[#This Row],[GP]]</f>
        <v>0.76315789473684215</v>
      </c>
      <c r="Q59" s="5">
        <f>Table4[[#This Row],[PTS]]/Table4[[#This Row],[GP]]</f>
        <v>1.1842105263157894</v>
      </c>
      <c r="R59" s="1">
        <v>5</v>
      </c>
      <c r="S59" s="1">
        <v>6</v>
      </c>
      <c r="T59" s="1">
        <v>5</v>
      </c>
      <c r="U59" s="1">
        <v>141</v>
      </c>
      <c r="V59" s="1">
        <v>11.3</v>
      </c>
      <c r="W59" s="1">
        <v>54</v>
      </c>
      <c r="X59" s="1">
        <v>18</v>
      </c>
      <c r="Y59" s="1">
        <v>68</v>
      </c>
      <c r="Z59" s="1">
        <v>20</v>
      </c>
      <c r="AA59" s="6">
        <f>(Table4[[#This Row],[TAKES]])/(Table4[[#This Row],[GIVES]]+Table4[[#This Row],[TAKES]])</f>
        <v>0.22727272727272727</v>
      </c>
      <c r="AB59" s="6">
        <f>Table4[[#This Row],[TAKES]]/Table4[[#This Row],[GIVES]]</f>
        <v>0.29411764705882354</v>
      </c>
      <c r="AC59" s="1">
        <v>0</v>
      </c>
    </row>
    <row r="60" spans="1:29" x14ac:dyDescent="0.3">
      <c r="A60" t="s">
        <v>145</v>
      </c>
      <c r="B60" t="s">
        <v>88</v>
      </c>
      <c r="C60" t="s">
        <v>89</v>
      </c>
      <c r="D60" t="s">
        <v>149</v>
      </c>
      <c r="E60" s="4" t="s">
        <v>146</v>
      </c>
      <c r="F60" s="1">
        <v>29</v>
      </c>
      <c r="G60" s="1" t="s">
        <v>147</v>
      </c>
      <c r="H60" s="1">
        <v>203</v>
      </c>
      <c r="I60" s="1" t="s">
        <v>128</v>
      </c>
      <c r="J60" s="1" t="s">
        <v>78</v>
      </c>
      <c r="K60" s="1">
        <v>34</v>
      </c>
      <c r="L60" s="1">
        <v>12</v>
      </c>
      <c r="M60" s="1">
        <v>31</v>
      </c>
      <c r="N60" s="1">
        <v>43</v>
      </c>
      <c r="O60" s="5">
        <f>Table4[[#This Row],[G]]/Table4[[#This Row],[GP]]</f>
        <v>0.35294117647058826</v>
      </c>
      <c r="P60" s="5">
        <f>Table4[[#This Row],[A]]/Table4[[#This Row],[GP]]</f>
        <v>0.91176470588235292</v>
      </c>
      <c r="Q60" s="5">
        <f>Table4[[#This Row],[PTS]]/Table4[[#This Row],[GP]]</f>
        <v>1.2647058823529411</v>
      </c>
      <c r="R60" s="1">
        <v>2</v>
      </c>
      <c r="S60" s="1">
        <v>2</v>
      </c>
      <c r="T60" s="1">
        <v>4</v>
      </c>
      <c r="U60" s="1">
        <v>124</v>
      </c>
      <c r="V60" s="1">
        <v>9.6999999999999993</v>
      </c>
      <c r="W60" s="1">
        <v>23</v>
      </c>
      <c r="X60" s="1">
        <v>21</v>
      </c>
      <c r="Y60" s="1">
        <v>58</v>
      </c>
      <c r="Z60" s="1">
        <v>17</v>
      </c>
      <c r="AA60" s="6">
        <f>(Table4[[#This Row],[TAKES]])/(Table4[[#This Row],[GIVES]]+Table4[[#This Row],[TAKES]])</f>
        <v>0.22666666666666666</v>
      </c>
      <c r="AB60" s="6">
        <f>Table4[[#This Row],[TAKES]]/Table4[[#This Row],[GIVES]]</f>
        <v>0.29310344827586204</v>
      </c>
      <c r="AC60" s="1">
        <v>47.7</v>
      </c>
    </row>
    <row r="61" spans="1:29" x14ac:dyDescent="0.3">
      <c r="A61" t="s">
        <v>174</v>
      </c>
      <c r="B61" t="s">
        <v>107</v>
      </c>
      <c r="C61" t="s">
        <v>89</v>
      </c>
      <c r="D61" t="s">
        <v>177</v>
      </c>
      <c r="E61" s="4" t="s">
        <v>227</v>
      </c>
      <c r="F61" s="1">
        <v>31</v>
      </c>
      <c r="G61" s="1" t="s">
        <v>105</v>
      </c>
      <c r="H61" s="1">
        <v>215</v>
      </c>
      <c r="I61" s="1" t="s">
        <v>76</v>
      </c>
      <c r="J61" s="1" t="s">
        <v>87</v>
      </c>
      <c r="K61" s="1">
        <v>44</v>
      </c>
      <c r="L61" s="1">
        <v>4</v>
      </c>
      <c r="M61" s="1">
        <v>14</v>
      </c>
      <c r="N61" s="1">
        <v>18</v>
      </c>
      <c r="O61" s="5">
        <f>Table4[[#This Row],[G]]/Table4[[#This Row],[GP]]</f>
        <v>9.0909090909090912E-2</v>
      </c>
      <c r="P61" s="5">
        <f>Table4[[#This Row],[A]]/Table4[[#This Row],[GP]]</f>
        <v>0.31818181818181818</v>
      </c>
      <c r="Q61" s="5">
        <f>Table4[[#This Row],[PTS]]/Table4[[#This Row],[GP]]</f>
        <v>0.40909090909090912</v>
      </c>
      <c r="R61" s="1">
        <v>20</v>
      </c>
      <c r="S61" s="1">
        <v>10</v>
      </c>
      <c r="T61" s="1">
        <v>1</v>
      </c>
      <c r="U61" s="1">
        <v>42</v>
      </c>
      <c r="V61" s="1">
        <v>9.5</v>
      </c>
      <c r="W61" s="1">
        <v>94</v>
      </c>
      <c r="X61" s="1">
        <v>19</v>
      </c>
      <c r="Y61" s="1">
        <v>72</v>
      </c>
      <c r="Z61" s="1">
        <v>21</v>
      </c>
      <c r="AA61" s="6">
        <f>(Table4[[#This Row],[TAKES]])/(Table4[[#This Row],[GIVES]]+Table4[[#This Row],[TAKES]])</f>
        <v>0.22580645161290322</v>
      </c>
      <c r="AB61" s="6">
        <f>Table4[[#This Row],[TAKES]]/Table4[[#This Row],[GIVES]]</f>
        <v>0.29166666666666669</v>
      </c>
      <c r="AC61" s="1">
        <v>0</v>
      </c>
    </row>
    <row r="62" spans="1:29" x14ac:dyDescent="0.3">
      <c r="A62" t="s">
        <v>82</v>
      </c>
      <c r="B62" t="s">
        <v>88</v>
      </c>
      <c r="C62" t="s">
        <v>89</v>
      </c>
      <c r="D62" t="s">
        <v>90</v>
      </c>
      <c r="E62" s="4" t="s">
        <v>83</v>
      </c>
      <c r="F62" s="1">
        <v>29</v>
      </c>
      <c r="G62" s="1" t="s">
        <v>84</v>
      </c>
      <c r="H62" s="1">
        <v>214</v>
      </c>
      <c r="I62" s="1" t="s">
        <v>85</v>
      </c>
      <c r="J62" s="1" t="s">
        <v>87</v>
      </c>
      <c r="K62" s="1">
        <v>43</v>
      </c>
      <c r="L62" s="1">
        <v>9</v>
      </c>
      <c r="M62" s="1">
        <v>18</v>
      </c>
      <c r="N62" s="1">
        <v>27</v>
      </c>
      <c r="O62" s="5">
        <f>Table4[[#This Row],[G]]/Table4[[#This Row],[GP]]</f>
        <v>0.20930232558139536</v>
      </c>
      <c r="P62" s="5">
        <f>Table4[[#This Row],[A]]/Table4[[#This Row],[GP]]</f>
        <v>0.41860465116279072</v>
      </c>
      <c r="Q62" s="5">
        <f>Table4[[#This Row],[PTS]]/Table4[[#This Row],[GP]]</f>
        <v>0.62790697674418605</v>
      </c>
      <c r="R62" s="1">
        <v>2</v>
      </c>
      <c r="S62" s="1">
        <v>46</v>
      </c>
      <c r="T62" s="1">
        <v>3</v>
      </c>
      <c r="U62" s="1">
        <v>103</v>
      </c>
      <c r="V62" s="1">
        <v>8.6999999999999993</v>
      </c>
      <c r="W62" s="1">
        <v>80</v>
      </c>
      <c r="X62" s="1">
        <v>23</v>
      </c>
      <c r="Y62" s="1">
        <v>60</v>
      </c>
      <c r="Z62" s="1">
        <v>17</v>
      </c>
      <c r="AA62" s="6">
        <f>(Table4[[#This Row],[TAKES]])/(Table4[[#This Row],[GIVES]]+Table4[[#This Row],[TAKES]])</f>
        <v>0.22077922077922077</v>
      </c>
      <c r="AB62" s="6">
        <f>Table4[[#This Row],[TAKES]]/Table4[[#This Row],[GIVES]]</f>
        <v>0.28333333333333333</v>
      </c>
      <c r="AC62" s="1">
        <v>0</v>
      </c>
    </row>
    <row r="63" spans="1:29" x14ac:dyDescent="0.3">
      <c r="A63" t="s">
        <v>134</v>
      </c>
      <c r="B63" t="s">
        <v>79</v>
      </c>
      <c r="C63" t="s">
        <v>80</v>
      </c>
      <c r="D63" t="s">
        <v>138</v>
      </c>
      <c r="E63" s="4" t="s">
        <v>135</v>
      </c>
      <c r="F63" s="1">
        <v>38</v>
      </c>
      <c r="G63" s="1" t="s">
        <v>136</v>
      </c>
      <c r="H63" s="1">
        <v>200</v>
      </c>
      <c r="I63" s="1" t="s">
        <v>118</v>
      </c>
      <c r="J63" s="1" t="s">
        <v>78</v>
      </c>
      <c r="K63" s="1">
        <v>41</v>
      </c>
      <c r="L63" s="1">
        <v>24</v>
      </c>
      <c r="M63" s="1">
        <v>23</v>
      </c>
      <c r="N63" s="1">
        <v>47</v>
      </c>
      <c r="O63" s="5">
        <f>Table4[[#This Row],[G]]/Table4[[#This Row],[GP]]</f>
        <v>0.58536585365853655</v>
      </c>
      <c r="P63" s="5">
        <f>Table4[[#This Row],[A]]/Table4[[#This Row],[GP]]</f>
        <v>0.56097560975609762</v>
      </c>
      <c r="Q63" s="5">
        <f>Table4[[#This Row],[PTS]]/Table4[[#This Row],[GP]]</f>
        <v>1.1463414634146341</v>
      </c>
      <c r="R63" s="1">
        <v>0</v>
      </c>
      <c r="S63" s="1">
        <v>30</v>
      </c>
      <c r="T63" s="1">
        <v>8</v>
      </c>
      <c r="U63" s="1">
        <v>99</v>
      </c>
      <c r="V63" s="1">
        <v>24.2</v>
      </c>
      <c r="W63" s="1">
        <v>17</v>
      </c>
      <c r="X63" s="1">
        <v>35</v>
      </c>
      <c r="Y63" s="1">
        <v>46</v>
      </c>
      <c r="Z63" s="1">
        <v>13</v>
      </c>
      <c r="AA63" s="6">
        <f>(Table4[[#This Row],[TAKES]])/(Table4[[#This Row],[GIVES]]+Table4[[#This Row],[TAKES]])</f>
        <v>0.22033898305084745</v>
      </c>
      <c r="AB63" s="6">
        <f>Table4[[#This Row],[TAKES]]/Table4[[#This Row],[GIVES]]</f>
        <v>0.28260869565217389</v>
      </c>
      <c r="AC63" s="1">
        <v>56</v>
      </c>
    </row>
    <row r="64" spans="1:29" x14ac:dyDescent="0.3">
      <c r="A64" t="s">
        <v>126</v>
      </c>
      <c r="B64" t="s">
        <v>107</v>
      </c>
      <c r="C64" t="s">
        <v>89</v>
      </c>
      <c r="D64" t="s">
        <v>133</v>
      </c>
      <c r="E64" s="4" t="s">
        <v>127</v>
      </c>
      <c r="F64" s="1">
        <v>29</v>
      </c>
      <c r="G64" s="1" t="s">
        <v>84</v>
      </c>
      <c r="H64" s="1">
        <v>182</v>
      </c>
      <c r="I64" s="1" t="s">
        <v>128</v>
      </c>
      <c r="J64" s="1" t="s">
        <v>101</v>
      </c>
      <c r="K64" s="1">
        <v>41</v>
      </c>
      <c r="L64" s="1">
        <v>20</v>
      </c>
      <c r="M64" s="1">
        <v>29</v>
      </c>
      <c r="N64" s="1">
        <v>49</v>
      </c>
      <c r="O64" s="5">
        <f>Table4[[#This Row],[G]]/Table4[[#This Row],[GP]]</f>
        <v>0.48780487804878048</v>
      </c>
      <c r="P64" s="5">
        <f>Table4[[#This Row],[A]]/Table4[[#This Row],[GP]]</f>
        <v>0.70731707317073167</v>
      </c>
      <c r="Q64" s="5">
        <f>Table4[[#This Row],[PTS]]/Table4[[#This Row],[GP]]</f>
        <v>1.1951219512195121</v>
      </c>
      <c r="R64" s="1">
        <v>5</v>
      </c>
      <c r="S64" s="1">
        <v>8</v>
      </c>
      <c r="T64" s="1">
        <v>6</v>
      </c>
      <c r="U64" s="1">
        <v>141</v>
      </c>
      <c r="V64" s="1">
        <v>14.2</v>
      </c>
      <c r="W64" s="1">
        <v>6</v>
      </c>
      <c r="X64" s="1">
        <v>10</v>
      </c>
      <c r="Y64" s="1">
        <v>32</v>
      </c>
      <c r="Z64" s="1">
        <v>9</v>
      </c>
      <c r="AA64" s="6">
        <f>(Table4[[#This Row],[TAKES]])/(Table4[[#This Row],[GIVES]]+Table4[[#This Row],[TAKES]])</f>
        <v>0.21951219512195122</v>
      </c>
      <c r="AB64" s="6">
        <f>Table4[[#This Row],[TAKES]]/Table4[[#This Row],[GIVES]]</f>
        <v>0.28125</v>
      </c>
      <c r="AC64" s="1">
        <v>0</v>
      </c>
    </row>
    <row r="65" spans="1:29" x14ac:dyDescent="0.3">
      <c r="A65" t="s">
        <v>195</v>
      </c>
      <c r="B65" t="s">
        <v>124</v>
      </c>
      <c r="C65" t="s">
        <v>80</v>
      </c>
      <c r="D65" t="s">
        <v>197</v>
      </c>
      <c r="E65" s="4" t="s">
        <v>229</v>
      </c>
      <c r="F65" s="1">
        <v>31</v>
      </c>
      <c r="G65" s="1" t="s">
        <v>84</v>
      </c>
      <c r="H65" s="1">
        <v>195</v>
      </c>
      <c r="I65" s="1" t="s">
        <v>85</v>
      </c>
      <c r="J65" s="1" t="s">
        <v>78</v>
      </c>
      <c r="K65" s="1">
        <v>33</v>
      </c>
      <c r="L65" s="1">
        <v>7</v>
      </c>
      <c r="M65" s="1">
        <v>20</v>
      </c>
      <c r="N65" s="1">
        <v>27</v>
      </c>
      <c r="O65" s="5">
        <f>Table4[[#This Row],[G]]/Table4[[#This Row],[GP]]</f>
        <v>0.21212121212121213</v>
      </c>
      <c r="P65" s="5">
        <f>Table4[[#This Row],[A]]/Table4[[#This Row],[GP]]</f>
        <v>0.60606060606060608</v>
      </c>
      <c r="Q65" s="5">
        <f>Table4[[#This Row],[PTS]]/Table4[[#This Row],[GP]]</f>
        <v>0.81818181818181823</v>
      </c>
      <c r="R65" s="1">
        <v>-3</v>
      </c>
      <c r="S65" s="1">
        <v>30</v>
      </c>
      <c r="T65" s="1">
        <v>2</v>
      </c>
      <c r="U65" s="1">
        <v>57</v>
      </c>
      <c r="V65" s="1">
        <v>12.3</v>
      </c>
      <c r="W65" s="1">
        <v>30</v>
      </c>
      <c r="X65" s="1">
        <v>26</v>
      </c>
      <c r="Y65" s="1">
        <v>25</v>
      </c>
      <c r="Z65" s="1">
        <v>7</v>
      </c>
      <c r="AA65" s="6">
        <f>(Table4[[#This Row],[TAKES]])/(Table4[[#This Row],[GIVES]]+Table4[[#This Row],[TAKES]])</f>
        <v>0.21875</v>
      </c>
      <c r="AB65" s="6">
        <f>Table4[[#This Row],[TAKES]]/Table4[[#This Row],[GIVES]]</f>
        <v>0.28000000000000003</v>
      </c>
      <c r="AC65" s="1">
        <v>55.2</v>
      </c>
    </row>
    <row r="66" spans="1:29" x14ac:dyDescent="0.3">
      <c r="A66" t="s">
        <v>221</v>
      </c>
      <c r="B66" t="s">
        <v>124</v>
      </c>
      <c r="C66" t="s">
        <v>80</v>
      </c>
      <c r="D66" t="s">
        <v>224</v>
      </c>
      <c r="E66" s="4" t="s">
        <v>222</v>
      </c>
      <c r="F66" s="1">
        <v>29</v>
      </c>
      <c r="G66" s="1" t="s">
        <v>84</v>
      </c>
      <c r="H66" s="1">
        <v>198</v>
      </c>
      <c r="I66" s="1" t="s">
        <v>128</v>
      </c>
      <c r="J66" s="1" t="s">
        <v>78</v>
      </c>
      <c r="K66" s="1">
        <v>44</v>
      </c>
      <c r="L66" s="1">
        <v>22</v>
      </c>
      <c r="M66" s="1">
        <v>17</v>
      </c>
      <c r="N66" s="1">
        <v>39</v>
      </c>
      <c r="O66" s="5">
        <f>Table4[[#This Row],[G]]/Table4[[#This Row],[GP]]</f>
        <v>0.5</v>
      </c>
      <c r="P66" s="5">
        <f>Table4[[#This Row],[A]]/Table4[[#This Row],[GP]]</f>
        <v>0.38636363636363635</v>
      </c>
      <c r="Q66" s="5">
        <f>Table4[[#This Row],[PTS]]/Table4[[#This Row],[GP]]</f>
        <v>0.88636363636363635</v>
      </c>
      <c r="R66" s="1">
        <v>2</v>
      </c>
      <c r="S66" s="1">
        <v>32</v>
      </c>
      <c r="T66" s="1">
        <v>7</v>
      </c>
      <c r="U66" s="1">
        <v>123</v>
      </c>
      <c r="V66" s="1">
        <v>17.899999999999999</v>
      </c>
      <c r="W66" s="1">
        <v>26</v>
      </c>
      <c r="X66" s="1">
        <v>21</v>
      </c>
      <c r="Y66" s="1">
        <v>40</v>
      </c>
      <c r="Z66" s="1">
        <v>11</v>
      </c>
      <c r="AA66" s="6">
        <f>(Table4[[#This Row],[TAKES]])/(Table4[[#This Row],[GIVES]]+Table4[[#This Row],[TAKES]])</f>
        <v>0.21568627450980393</v>
      </c>
      <c r="AB66" s="6">
        <f>Table4[[#This Row],[TAKES]]/Table4[[#This Row],[GIVES]]</f>
        <v>0.27500000000000002</v>
      </c>
      <c r="AC66" s="1">
        <v>53.2</v>
      </c>
    </row>
    <row r="67" spans="1:29" x14ac:dyDescent="0.3">
      <c r="A67" t="s">
        <v>193</v>
      </c>
      <c r="B67" t="s">
        <v>88</v>
      </c>
      <c r="C67" t="s">
        <v>89</v>
      </c>
      <c r="D67" t="s">
        <v>112</v>
      </c>
      <c r="E67" s="4" t="s">
        <v>194</v>
      </c>
      <c r="F67" s="1">
        <v>26</v>
      </c>
      <c r="G67" s="1" t="s">
        <v>99</v>
      </c>
      <c r="H67" s="1">
        <v>170</v>
      </c>
      <c r="I67" s="1" t="s">
        <v>128</v>
      </c>
      <c r="J67" s="1" t="s">
        <v>87</v>
      </c>
      <c r="K67" s="1">
        <v>38</v>
      </c>
      <c r="L67" s="1">
        <v>3</v>
      </c>
      <c r="M67" s="1">
        <v>33</v>
      </c>
      <c r="N67" s="1">
        <v>36</v>
      </c>
      <c r="O67" s="5">
        <f>Table4[[#This Row],[G]]/Table4[[#This Row],[GP]]</f>
        <v>7.8947368421052627E-2</v>
      </c>
      <c r="P67" s="5">
        <f>Table4[[#This Row],[A]]/Table4[[#This Row],[GP]]</f>
        <v>0.86842105263157898</v>
      </c>
      <c r="Q67" s="5">
        <f>Table4[[#This Row],[PTS]]/Table4[[#This Row],[GP]]</f>
        <v>0.94736842105263153</v>
      </c>
      <c r="R67" s="1">
        <v>-4</v>
      </c>
      <c r="S67" s="1">
        <v>12</v>
      </c>
      <c r="T67" s="1">
        <v>0</v>
      </c>
      <c r="U67" s="1">
        <v>99</v>
      </c>
      <c r="V67" s="1">
        <v>3.35</v>
      </c>
      <c r="W67" s="1">
        <v>45</v>
      </c>
      <c r="X67" s="1">
        <v>5</v>
      </c>
      <c r="Y67" s="1">
        <v>55</v>
      </c>
      <c r="Z67" s="1">
        <v>15</v>
      </c>
      <c r="AA67" s="6">
        <f>(Table4[[#This Row],[TAKES]])/(Table4[[#This Row],[GIVES]]+Table4[[#This Row],[TAKES]])</f>
        <v>0.21428571428571427</v>
      </c>
      <c r="AB67" s="6">
        <f>Table4[[#This Row],[TAKES]]/Table4[[#This Row],[GIVES]]</f>
        <v>0.27272727272727271</v>
      </c>
      <c r="AC67" s="1">
        <v>0</v>
      </c>
    </row>
    <row r="68" spans="1:29" x14ac:dyDescent="0.3">
      <c r="A68" t="s">
        <v>256</v>
      </c>
      <c r="B68" t="s">
        <v>79</v>
      </c>
      <c r="C68" t="s">
        <v>80</v>
      </c>
      <c r="D68" t="s">
        <v>259</v>
      </c>
      <c r="E68" s="4" t="s">
        <v>314</v>
      </c>
      <c r="F68" s="1">
        <v>32</v>
      </c>
      <c r="G68" s="1" t="s">
        <v>147</v>
      </c>
      <c r="H68" s="1">
        <v>208</v>
      </c>
      <c r="I68" s="1" t="s">
        <v>85</v>
      </c>
      <c r="J68" s="1" t="s">
        <v>78</v>
      </c>
      <c r="K68" s="1">
        <v>43</v>
      </c>
      <c r="L68" s="1">
        <v>15</v>
      </c>
      <c r="M68" s="1">
        <v>22</v>
      </c>
      <c r="N68" s="1">
        <v>37</v>
      </c>
      <c r="O68" s="5">
        <f>Table4[[#This Row],[G]]/Table4[[#This Row],[GP]]</f>
        <v>0.34883720930232559</v>
      </c>
      <c r="P68" s="5">
        <f>Table4[[#This Row],[A]]/Table4[[#This Row],[GP]]</f>
        <v>0.51162790697674421</v>
      </c>
      <c r="Q68" s="5">
        <f>Table4[[#This Row],[PTS]]/Table4[[#This Row],[GP]]</f>
        <v>0.86046511627906974</v>
      </c>
      <c r="R68" s="1">
        <v>-10</v>
      </c>
      <c r="S68" s="1">
        <v>6</v>
      </c>
      <c r="T68" s="1">
        <v>5</v>
      </c>
      <c r="U68" s="1">
        <v>115</v>
      </c>
      <c r="V68" s="1">
        <v>13</v>
      </c>
      <c r="W68" s="1">
        <v>30</v>
      </c>
      <c r="X68" s="1">
        <v>65</v>
      </c>
      <c r="Y68" s="1">
        <v>59</v>
      </c>
      <c r="Z68" s="1">
        <v>16</v>
      </c>
      <c r="AA68" s="6">
        <f>(Table4[[#This Row],[TAKES]])/(Table4[[#This Row],[GIVES]]+Table4[[#This Row],[TAKES]])</f>
        <v>0.21333333333333335</v>
      </c>
      <c r="AB68" s="6">
        <f>Table4[[#This Row],[TAKES]]/Table4[[#This Row],[GIVES]]</f>
        <v>0.2711864406779661</v>
      </c>
      <c r="AC68" s="1">
        <v>51.6</v>
      </c>
    </row>
    <row r="69" spans="1:29" x14ac:dyDescent="0.3">
      <c r="A69" t="s">
        <v>139</v>
      </c>
      <c r="B69" t="s">
        <v>124</v>
      </c>
      <c r="C69" t="s">
        <v>80</v>
      </c>
      <c r="D69" t="s">
        <v>142</v>
      </c>
      <c r="E69" s="4" t="s">
        <v>140</v>
      </c>
      <c r="F69" s="1">
        <v>25</v>
      </c>
      <c r="G69" s="1" t="s">
        <v>105</v>
      </c>
      <c r="H69" s="1">
        <v>193</v>
      </c>
      <c r="I69" s="1" t="s">
        <v>85</v>
      </c>
      <c r="J69" s="1" t="s">
        <v>87</v>
      </c>
      <c r="K69" s="1">
        <v>37</v>
      </c>
      <c r="L69" s="1">
        <v>4</v>
      </c>
      <c r="M69" s="1">
        <v>24</v>
      </c>
      <c r="N69" s="1">
        <v>28</v>
      </c>
      <c r="O69" s="5">
        <f>Table4[[#This Row],[G]]/Table4[[#This Row],[GP]]</f>
        <v>0.10810810810810811</v>
      </c>
      <c r="P69" s="5">
        <f>Table4[[#This Row],[A]]/Table4[[#This Row],[GP]]</f>
        <v>0.64864864864864868</v>
      </c>
      <c r="Q69" s="5">
        <f>Table4[[#This Row],[PTS]]/Table4[[#This Row],[GP]]</f>
        <v>0.7567567567567568</v>
      </c>
      <c r="R69" s="1">
        <v>-9</v>
      </c>
      <c r="S69" s="1">
        <v>37</v>
      </c>
      <c r="T69" s="1">
        <v>1</v>
      </c>
      <c r="U69" s="1">
        <v>99</v>
      </c>
      <c r="V69" s="1">
        <v>4</v>
      </c>
      <c r="W69" s="1">
        <v>43</v>
      </c>
      <c r="X69" s="1">
        <v>30</v>
      </c>
      <c r="Y69" s="1">
        <v>64</v>
      </c>
      <c r="Z69" s="1">
        <v>17</v>
      </c>
      <c r="AA69" s="6">
        <f>(Table4[[#This Row],[TAKES]])/(Table4[[#This Row],[GIVES]]+Table4[[#This Row],[TAKES]])</f>
        <v>0.20987654320987653</v>
      </c>
      <c r="AB69" s="6">
        <f>Table4[[#This Row],[TAKES]]/Table4[[#This Row],[GIVES]]</f>
        <v>0.265625</v>
      </c>
      <c r="AC69" s="1">
        <v>0</v>
      </c>
    </row>
    <row r="70" spans="1:29" x14ac:dyDescent="0.3">
      <c r="A70" t="s">
        <v>210</v>
      </c>
      <c r="B70" t="s">
        <v>107</v>
      </c>
      <c r="C70" t="s">
        <v>89</v>
      </c>
      <c r="D70" t="s">
        <v>213</v>
      </c>
      <c r="E70" s="4" t="s">
        <v>211</v>
      </c>
      <c r="F70" s="1">
        <v>27</v>
      </c>
      <c r="G70" s="1" t="s">
        <v>99</v>
      </c>
      <c r="H70" s="1">
        <v>170</v>
      </c>
      <c r="I70" s="1" t="s">
        <v>128</v>
      </c>
      <c r="J70" s="1" t="s">
        <v>95</v>
      </c>
      <c r="K70" s="1">
        <v>44</v>
      </c>
      <c r="L70" s="1">
        <v>13</v>
      </c>
      <c r="M70" s="1">
        <v>25</v>
      </c>
      <c r="N70" s="1">
        <v>38</v>
      </c>
      <c r="O70" s="5">
        <f>Table4[[#This Row],[G]]/Table4[[#This Row],[GP]]</f>
        <v>0.29545454545454547</v>
      </c>
      <c r="P70" s="5">
        <f>Table4[[#This Row],[A]]/Table4[[#This Row],[GP]]</f>
        <v>0.56818181818181823</v>
      </c>
      <c r="Q70" s="5">
        <f>Table4[[#This Row],[PTS]]/Table4[[#This Row],[GP]]</f>
        <v>0.86363636363636365</v>
      </c>
      <c r="R70" s="1">
        <v>6</v>
      </c>
      <c r="S70" s="1">
        <v>14</v>
      </c>
      <c r="T70" s="1">
        <v>4</v>
      </c>
      <c r="U70" s="1">
        <v>122</v>
      </c>
      <c r="V70" s="1">
        <v>10.7</v>
      </c>
      <c r="W70" s="1">
        <v>18</v>
      </c>
      <c r="X70" s="1">
        <v>8</v>
      </c>
      <c r="Y70" s="1">
        <v>54</v>
      </c>
      <c r="Z70" s="1">
        <v>14</v>
      </c>
      <c r="AA70" s="6">
        <f>(Table4[[#This Row],[TAKES]])/(Table4[[#This Row],[GIVES]]+Table4[[#This Row],[TAKES]])</f>
        <v>0.20588235294117646</v>
      </c>
      <c r="AB70" s="6">
        <f>Table4[[#This Row],[TAKES]]/Table4[[#This Row],[GIVES]]</f>
        <v>0.25925925925925924</v>
      </c>
      <c r="AC70" s="1">
        <v>41.7</v>
      </c>
    </row>
    <row r="71" spans="1:29" x14ac:dyDescent="0.3">
      <c r="A71" t="s">
        <v>121</v>
      </c>
      <c r="B71" t="s">
        <v>124</v>
      </c>
      <c r="C71" t="s">
        <v>80</v>
      </c>
      <c r="D71" t="s">
        <v>125</v>
      </c>
      <c r="E71" s="4" t="s">
        <v>270</v>
      </c>
      <c r="F71" s="1">
        <v>29</v>
      </c>
      <c r="G71" s="1" t="s">
        <v>99</v>
      </c>
      <c r="H71" s="1">
        <v>166</v>
      </c>
      <c r="I71" s="1" t="s">
        <v>118</v>
      </c>
      <c r="J71" s="1" t="s">
        <v>78</v>
      </c>
      <c r="K71" s="1">
        <v>35</v>
      </c>
      <c r="L71" s="1">
        <v>10</v>
      </c>
      <c r="M71" s="1">
        <v>16</v>
      </c>
      <c r="N71" s="1">
        <v>26</v>
      </c>
      <c r="O71" s="5">
        <f>Table4[[#This Row],[G]]/Table4[[#This Row],[GP]]</f>
        <v>0.2857142857142857</v>
      </c>
      <c r="P71" s="5">
        <f>Table4[[#This Row],[A]]/Table4[[#This Row],[GP]]</f>
        <v>0.45714285714285713</v>
      </c>
      <c r="Q71" s="5">
        <f>Table4[[#This Row],[PTS]]/Table4[[#This Row],[GP]]</f>
        <v>0.74285714285714288</v>
      </c>
      <c r="R71" s="1">
        <v>0</v>
      </c>
      <c r="S71" s="1">
        <v>8</v>
      </c>
      <c r="T71" s="1">
        <v>3</v>
      </c>
      <c r="U71" s="1">
        <v>77</v>
      </c>
      <c r="V71" s="1">
        <v>13</v>
      </c>
      <c r="W71" s="1">
        <v>13</v>
      </c>
      <c r="X71" s="1">
        <v>4</v>
      </c>
      <c r="Y71" s="1">
        <v>20</v>
      </c>
      <c r="Z71" s="1">
        <v>5</v>
      </c>
      <c r="AA71" s="6">
        <f>(Table4[[#This Row],[TAKES]])/(Table4[[#This Row],[GIVES]]+Table4[[#This Row],[TAKES]])</f>
        <v>0.2</v>
      </c>
      <c r="AB71" s="6">
        <f>Table4[[#This Row],[TAKES]]/Table4[[#This Row],[GIVES]]</f>
        <v>0.25</v>
      </c>
      <c r="AC71" s="1">
        <v>45.3</v>
      </c>
    </row>
    <row r="72" spans="1:29" x14ac:dyDescent="0.3">
      <c r="A72" t="s">
        <v>113</v>
      </c>
      <c r="B72" t="s">
        <v>88</v>
      </c>
      <c r="C72" t="s">
        <v>89</v>
      </c>
      <c r="D72" t="s">
        <v>115</v>
      </c>
      <c r="E72" s="4" t="s">
        <v>166</v>
      </c>
      <c r="F72" s="1">
        <v>33</v>
      </c>
      <c r="G72" s="1" t="s">
        <v>99</v>
      </c>
      <c r="H72" s="1">
        <v>185</v>
      </c>
      <c r="I72" s="1" t="s">
        <v>76</v>
      </c>
      <c r="J72" s="1" t="s">
        <v>78</v>
      </c>
      <c r="K72" s="1">
        <v>25</v>
      </c>
      <c r="L72" s="1">
        <v>7</v>
      </c>
      <c r="M72" s="1">
        <v>9</v>
      </c>
      <c r="N72" s="1">
        <v>16</v>
      </c>
      <c r="O72" s="5">
        <f>Table4[[#This Row],[G]]/Table4[[#This Row],[GP]]</f>
        <v>0.28000000000000003</v>
      </c>
      <c r="P72" s="5">
        <f>Table4[[#This Row],[A]]/Table4[[#This Row],[GP]]</f>
        <v>0.36</v>
      </c>
      <c r="Q72" s="5">
        <f>Table4[[#This Row],[PTS]]/Table4[[#This Row],[GP]]</f>
        <v>0.64</v>
      </c>
      <c r="R72" s="1">
        <v>-9</v>
      </c>
      <c r="S72" s="1">
        <v>10</v>
      </c>
      <c r="T72" s="1">
        <v>2</v>
      </c>
      <c r="U72" s="1">
        <v>49</v>
      </c>
      <c r="V72" s="1">
        <v>14.3</v>
      </c>
      <c r="W72" s="1">
        <v>14</v>
      </c>
      <c r="X72" s="1">
        <v>17</v>
      </c>
      <c r="Y72" s="1">
        <v>22</v>
      </c>
      <c r="Z72" s="1">
        <v>5</v>
      </c>
      <c r="AA72" s="6">
        <f>(Table4[[#This Row],[TAKES]])/(Table4[[#This Row],[GIVES]]+Table4[[#This Row],[TAKES]])</f>
        <v>0.18518518518518517</v>
      </c>
      <c r="AB72" s="6">
        <f>Table4[[#This Row],[TAKES]]/Table4[[#This Row],[GIVES]]</f>
        <v>0.22727272727272727</v>
      </c>
      <c r="AC72" s="1">
        <v>50.5</v>
      </c>
    </row>
    <row r="73" spans="1:29" x14ac:dyDescent="0.3">
      <c r="A73" t="s">
        <v>310</v>
      </c>
      <c r="B73" t="s">
        <v>79</v>
      </c>
      <c r="C73" t="s">
        <v>80</v>
      </c>
      <c r="D73" t="s">
        <v>313</v>
      </c>
      <c r="E73" s="4" t="s">
        <v>311</v>
      </c>
      <c r="F73" s="1">
        <v>31</v>
      </c>
      <c r="G73" s="1" t="s">
        <v>93</v>
      </c>
      <c r="H73" s="1">
        <v>220</v>
      </c>
      <c r="I73" s="1" t="s">
        <v>118</v>
      </c>
      <c r="J73" s="1" t="s">
        <v>95</v>
      </c>
      <c r="K73" s="1">
        <v>41</v>
      </c>
      <c r="L73" s="1">
        <v>22</v>
      </c>
      <c r="M73" s="1">
        <v>20</v>
      </c>
      <c r="N73" s="1">
        <v>42</v>
      </c>
      <c r="O73" s="5">
        <f>Table4[[#This Row],[G]]/Table4[[#This Row],[GP]]</f>
        <v>0.53658536585365857</v>
      </c>
      <c r="P73" s="5">
        <f>Table4[[#This Row],[A]]/Table4[[#This Row],[GP]]</f>
        <v>0.48780487804878048</v>
      </c>
      <c r="Q73" s="5">
        <f>Table4[[#This Row],[PTS]]/Table4[[#This Row],[GP]]</f>
        <v>1.024390243902439</v>
      </c>
      <c r="R73" s="1">
        <v>20</v>
      </c>
      <c r="S73" s="1">
        <v>59</v>
      </c>
      <c r="T73" s="1">
        <v>7</v>
      </c>
      <c r="U73" s="1">
        <v>97</v>
      </c>
      <c r="V73" s="1">
        <v>22.7</v>
      </c>
      <c r="W73" s="1">
        <v>24</v>
      </c>
      <c r="X73" s="1">
        <v>110</v>
      </c>
      <c r="Y73" s="1">
        <v>49</v>
      </c>
      <c r="Z73" s="1">
        <v>11</v>
      </c>
      <c r="AA73" s="6">
        <f>(Table4[[#This Row],[TAKES]])/(Table4[[#This Row],[GIVES]]+Table4[[#This Row],[TAKES]])</f>
        <v>0.18333333333333332</v>
      </c>
      <c r="AB73" s="6">
        <f>Table4[[#This Row],[TAKES]]/Table4[[#This Row],[GIVES]]</f>
        <v>0.22448979591836735</v>
      </c>
      <c r="AC73" s="1">
        <v>45.8</v>
      </c>
    </row>
    <row r="74" spans="1:29" x14ac:dyDescent="0.3">
      <c r="A74" t="s">
        <v>250</v>
      </c>
      <c r="B74" t="s">
        <v>88</v>
      </c>
      <c r="C74" t="s">
        <v>89</v>
      </c>
      <c r="D74" t="s">
        <v>253</v>
      </c>
      <c r="E74" s="4" t="s">
        <v>251</v>
      </c>
      <c r="F74" s="1">
        <v>28</v>
      </c>
      <c r="G74" s="1" t="s">
        <v>84</v>
      </c>
      <c r="H74" s="1">
        <v>193</v>
      </c>
      <c r="I74" s="1" t="s">
        <v>118</v>
      </c>
      <c r="J74" s="1" t="s">
        <v>78</v>
      </c>
      <c r="K74" s="1">
        <v>43</v>
      </c>
      <c r="L74" s="1">
        <v>28</v>
      </c>
      <c r="M74" s="1">
        <v>47</v>
      </c>
      <c r="N74" s="1">
        <v>75</v>
      </c>
      <c r="O74" s="5">
        <f>Table4[[#This Row],[G]]/Table4[[#This Row],[GP]]</f>
        <v>0.65116279069767447</v>
      </c>
      <c r="P74" s="5">
        <f>Table4[[#This Row],[A]]/Table4[[#This Row],[GP]]</f>
        <v>1.0930232558139534</v>
      </c>
      <c r="Q74" s="5">
        <f>Table4[[#This Row],[PTS]]/Table4[[#This Row],[GP]]</f>
        <v>1.7441860465116279</v>
      </c>
      <c r="R74" s="1">
        <v>2</v>
      </c>
      <c r="S74" s="1">
        <v>16</v>
      </c>
      <c r="T74" s="1">
        <v>9</v>
      </c>
      <c r="U74" s="1">
        <v>161</v>
      </c>
      <c r="V74" s="1">
        <v>17.399999999999999</v>
      </c>
      <c r="W74" s="1">
        <v>18</v>
      </c>
      <c r="X74" s="1">
        <v>18</v>
      </c>
      <c r="Y74" s="1">
        <v>66</v>
      </c>
      <c r="Z74" s="1">
        <v>14</v>
      </c>
      <c r="AA74" s="6">
        <f>(Table4[[#This Row],[TAKES]])/(Table4[[#This Row],[GIVES]]+Table4[[#This Row],[TAKES]])</f>
        <v>0.17499999999999999</v>
      </c>
      <c r="AB74" s="6">
        <f>Table4[[#This Row],[TAKES]]/Table4[[#This Row],[GIVES]]</f>
        <v>0.21212121212121213</v>
      </c>
      <c r="AC74" s="1">
        <v>47.5</v>
      </c>
    </row>
    <row r="75" spans="1:29" x14ac:dyDescent="0.3">
      <c r="A75" t="s">
        <v>126</v>
      </c>
      <c r="B75" t="s">
        <v>107</v>
      </c>
      <c r="C75" t="s">
        <v>89</v>
      </c>
      <c r="D75" t="s">
        <v>133</v>
      </c>
      <c r="E75" s="4" t="s">
        <v>260</v>
      </c>
      <c r="F75" s="1">
        <v>30</v>
      </c>
      <c r="G75" s="1" t="s">
        <v>75</v>
      </c>
      <c r="H75" s="1">
        <v>195</v>
      </c>
      <c r="I75" s="1" t="s">
        <v>118</v>
      </c>
      <c r="J75" s="1" t="s">
        <v>87</v>
      </c>
      <c r="K75" s="1">
        <v>41</v>
      </c>
      <c r="L75" s="1">
        <v>6</v>
      </c>
      <c r="M75" s="1">
        <v>27</v>
      </c>
      <c r="N75" s="1">
        <v>33</v>
      </c>
      <c r="O75" s="5">
        <f>Table4[[#This Row],[G]]/Table4[[#This Row],[GP]]</f>
        <v>0.14634146341463414</v>
      </c>
      <c r="P75" s="5">
        <f>Table4[[#This Row],[A]]/Table4[[#This Row],[GP]]</f>
        <v>0.65853658536585369</v>
      </c>
      <c r="Q75" s="5">
        <f>Table4[[#This Row],[PTS]]/Table4[[#This Row],[GP]]</f>
        <v>0.80487804878048785</v>
      </c>
      <c r="R75" s="1">
        <v>7</v>
      </c>
      <c r="S75" s="1">
        <v>16</v>
      </c>
      <c r="T75" s="1">
        <v>2</v>
      </c>
      <c r="U75" s="1">
        <v>70</v>
      </c>
      <c r="V75" s="1">
        <v>8.6</v>
      </c>
      <c r="W75" s="1">
        <v>76</v>
      </c>
      <c r="X75" s="1">
        <v>21</v>
      </c>
      <c r="Y75" s="1">
        <v>48</v>
      </c>
      <c r="Z75" s="1">
        <v>10</v>
      </c>
      <c r="AA75" s="6">
        <f>(Table4[[#This Row],[TAKES]])/(Table4[[#This Row],[GIVES]]+Table4[[#This Row],[TAKES]])</f>
        <v>0.17241379310344829</v>
      </c>
      <c r="AB75" s="6">
        <f>Table4[[#This Row],[TAKES]]/Table4[[#This Row],[GIVES]]</f>
        <v>0.20833333333333334</v>
      </c>
      <c r="AC75" s="1">
        <v>0</v>
      </c>
    </row>
    <row r="76" spans="1:29" x14ac:dyDescent="0.3">
      <c r="A76" t="s">
        <v>103</v>
      </c>
      <c r="B76" t="s">
        <v>107</v>
      </c>
      <c r="C76" t="s">
        <v>89</v>
      </c>
      <c r="D76" t="s">
        <v>108</v>
      </c>
      <c r="E76" s="4" t="s">
        <v>104</v>
      </c>
      <c r="F76" s="1">
        <v>24</v>
      </c>
      <c r="G76" s="1" t="s">
        <v>105</v>
      </c>
      <c r="H76" s="1">
        <v>200</v>
      </c>
      <c r="I76" s="1" t="s">
        <v>85</v>
      </c>
      <c r="J76" s="1" t="s">
        <v>87</v>
      </c>
      <c r="K76" s="1">
        <v>44</v>
      </c>
      <c r="L76" s="1">
        <v>2</v>
      </c>
      <c r="M76" s="1">
        <v>12</v>
      </c>
      <c r="N76" s="1">
        <v>14</v>
      </c>
      <c r="O76" s="5">
        <f>Table4[[#This Row],[G]]/Table4[[#This Row],[GP]]</f>
        <v>4.5454545454545456E-2</v>
      </c>
      <c r="P76" s="5">
        <f>Table4[[#This Row],[A]]/Table4[[#This Row],[GP]]</f>
        <v>0.27272727272727271</v>
      </c>
      <c r="Q76" s="5">
        <f>Table4[[#This Row],[PTS]]/Table4[[#This Row],[GP]]</f>
        <v>0.31818181818181818</v>
      </c>
      <c r="R76" s="1">
        <v>-1</v>
      </c>
      <c r="S76" s="1">
        <v>4</v>
      </c>
      <c r="T76" s="1">
        <v>0</v>
      </c>
      <c r="U76" s="1">
        <v>55</v>
      </c>
      <c r="V76" s="1">
        <v>3.6</v>
      </c>
      <c r="W76" s="1">
        <v>70</v>
      </c>
      <c r="X76" s="1">
        <v>17</v>
      </c>
      <c r="Y76" s="1">
        <v>61</v>
      </c>
      <c r="Z76" s="1">
        <v>12</v>
      </c>
      <c r="AA76" s="6">
        <f>(Table4[[#This Row],[TAKES]])/(Table4[[#This Row],[GIVES]]+Table4[[#This Row],[TAKES]])</f>
        <v>0.16438356164383561</v>
      </c>
      <c r="AB76" s="6">
        <f>Table4[[#This Row],[TAKES]]/Table4[[#This Row],[GIVES]]</f>
        <v>0.19672131147540983</v>
      </c>
      <c r="AC76" s="1">
        <v>0</v>
      </c>
    </row>
    <row r="77" spans="1:29" x14ac:dyDescent="0.3">
      <c r="A77" t="s">
        <v>91</v>
      </c>
      <c r="B77" t="s">
        <v>88</v>
      </c>
      <c r="C77" t="s">
        <v>89</v>
      </c>
      <c r="D77" t="s">
        <v>96</v>
      </c>
      <c r="E77" s="4" t="s">
        <v>143</v>
      </c>
      <c r="F77" s="1">
        <v>36</v>
      </c>
      <c r="G77" s="1" t="s">
        <v>84</v>
      </c>
      <c r="H77" s="1">
        <v>202</v>
      </c>
      <c r="I77" s="1" t="s">
        <v>118</v>
      </c>
      <c r="J77" s="1" t="s">
        <v>87</v>
      </c>
      <c r="K77" s="1">
        <v>35</v>
      </c>
      <c r="L77" s="1">
        <v>3</v>
      </c>
      <c r="M77" s="1">
        <v>10</v>
      </c>
      <c r="N77" s="1">
        <v>13</v>
      </c>
      <c r="O77" s="5">
        <f>Table4[[#This Row],[G]]/Table4[[#This Row],[GP]]</f>
        <v>8.5714285714285715E-2</v>
      </c>
      <c r="P77" s="5">
        <f>Table4[[#This Row],[A]]/Table4[[#This Row],[GP]]</f>
        <v>0.2857142857142857</v>
      </c>
      <c r="Q77" s="5">
        <f>Table4[[#This Row],[PTS]]/Table4[[#This Row],[GP]]</f>
        <v>0.37142857142857144</v>
      </c>
      <c r="R77" s="1">
        <v>5</v>
      </c>
      <c r="S77" s="1">
        <v>20</v>
      </c>
      <c r="T77" s="1">
        <v>1</v>
      </c>
      <c r="U77" s="1">
        <v>53</v>
      </c>
      <c r="V77" s="1">
        <v>5.7</v>
      </c>
      <c r="W77" s="1">
        <v>44</v>
      </c>
      <c r="X77" s="1">
        <v>16</v>
      </c>
      <c r="Y77" s="1">
        <v>46</v>
      </c>
      <c r="Z77" s="1">
        <v>9</v>
      </c>
      <c r="AA77" s="6">
        <f>(Table4[[#This Row],[TAKES]])/(Table4[[#This Row],[GIVES]]+Table4[[#This Row],[TAKES]])</f>
        <v>0.16363636363636364</v>
      </c>
      <c r="AB77" s="6">
        <f>Table4[[#This Row],[TAKES]]/Table4[[#This Row],[GIVES]]</f>
        <v>0.19565217391304349</v>
      </c>
      <c r="AC77" s="1">
        <v>0</v>
      </c>
    </row>
    <row r="78" spans="1:29" x14ac:dyDescent="0.3">
      <c r="A78" t="s">
        <v>161</v>
      </c>
      <c r="B78" t="s">
        <v>124</v>
      </c>
      <c r="C78" t="s">
        <v>80</v>
      </c>
      <c r="D78" t="s">
        <v>165</v>
      </c>
      <c r="E78" s="4" t="s">
        <v>198</v>
      </c>
      <c r="F78" s="1">
        <v>31</v>
      </c>
      <c r="G78" s="1" t="s">
        <v>93</v>
      </c>
      <c r="H78" s="1">
        <v>209</v>
      </c>
      <c r="I78" s="1" t="s">
        <v>128</v>
      </c>
      <c r="J78" s="1" t="s">
        <v>87</v>
      </c>
      <c r="K78" s="1">
        <v>40</v>
      </c>
      <c r="L78" s="1">
        <v>6</v>
      </c>
      <c r="M78" s="1">
        <v>18</v>
      </c>
      <c r="N78" s="1">
        <v>24</v>
      </c>
      <c r="O78" s="5">
        <f>Table4[[#This Row],[G]]/Table4[[#This Row],[GP]]</f>
        <v>0.15</v>
      </c>
      <c r="P78" s="5">
        <f>Table4[[#This Row],[A]]/Table4[[#This Row],[GP]]</f>
        <v>0.45</v>
      </c>
      <c r="Q78" s="5">
        <f>Table4[[#This Row],[PTS]]/Table4[[#This Row],[GP]]</f>
        <v>0.6</v>
      </c>
      <c r="R78" s="1">
        <v>-2</v>
      </c>
      <c r="S78" s="1">
        <v>16</v>
      </c>
      <c r="T78" s="1">
        <v>2</v>
      </c>
      <c r="U78" s="1">
        <v>78</v>
      </c>
      <c r="V78" s="1">
        <v>7.7</v>
      </c>
      <c r="W78" s="1">
        <v>47</v>
      </c>
      <c r="X78" s="1">
        <v>38</v>
      </c>
      <c r="Y78" s="1">
        <v>52</v>
      </c>
      <c r="Z78" s="1">
        <v>10</v>
      </c>
      <c r="AA78" s="6">
        <f>(Table4[[#This Row],[TAKES]])/(Table4[[#This Row],[GIVES]]+Table4[[#This Row],[TAKES]])</f>
        <v>0.16129032258064516</v>
      </c>
      <c r="AB78" s="6">
        <f>Table4[[#This Row],[TAKES]]/Table4[[#This Row],[GIVES]]</f>
        <v>0.19230769230769232</v>
      </c>
      <c r="AC78" s="1">
        <v>0</v>
      </c>
    </row>
    <row r="79" spans="1:29" x14ac:dyDescent="0.3">
      <c r="A79" t="s">
        <v>188</v>
      </c>
      <c r="B79" t="s">
        <v>79</v>
      </c>
      <c r="C79" t="s">
        <v>80</v>
      </c>
      <c r="D79" t="s">
        <v>190</v>
      </c>
      <c r="E79" s="4" t="s">
        <v>189</v>
      </c>
      <c r="F79" s="1">
        <v>30</v>
      </c>
      <c r="G79" s="1" t="s">
        <v>75</v>
      </c>
      <c r="H79" s="1">
        <v>215</v>
      </c>
      <c r="I79" s="1" t="s">
        <v>118</v>
      </c>
      <c r="J79" s="1" t="s">
        <v>78</v>
      </c>
      <c r="K79" s="1">
        <v>36</v>
      </c>
      <c r="L79" s="1">
        <v>21</v>
      </c>
      <c r="M79" s="1">
        <v>12</v>
      </c>
      <c r="N79" s="1">
        <v>33</v>
      </c>
      <c r="O79" s="5">
        <f>Table4[[#This Row],[G]]/Table4[[#This Row],[GP]]</f>
        <v>0.58333333333333337</v>
      </c>
      <c r="P79" s="5">
        <f>Table4[[#This Row],[A]]/Table4[[#This Row],[GP]]</f>
        <v>0.33333333333333331</v>
      </c>
      <c r="Q79" s="5">
        <f>Table4[[#This Row],[PTS]]/Table4[[#This Row],[GP]]</f>
        <v>0.91666666666666663</v>
      </c>
      <c r="R79" s="1">
        <v>4</v>
      </c>
      <c r="S79" s="1">
        <v>32</v>
      </c>
      <c r="T79" s="1">
        <v>7</v>
      </c>
      <c r="U79" s="1">
        <v>122</v>
      </c>
      <c r="V79" s="1">
        <v>17.2</v>
      </c>
      <c r="W79" s="1">
        <v>19</v>
      </c>
      <c r="X79" s="1">
        <v>26</v>
      </c>
      <c r="Y79" s="1">
        <v>42</v>
      </c>
      <c r="Z79" s="1">
        <v>8</v>
      </c>
      <c r="AA79" s="6">
        <f>(Table4[[#This Row],[TAKES]])/(Table4[[#This Row],[GIVES]]+Table4[[#This Row],[TAKES]])</f>
        <v>0.16</v>
      </c>
      <c r="AB79" s="6">
        <f>Table4[[#This Row],[TAKES]]/Table4[[#This Row],[GIVES]]</f>
        <v>0.19047619047619047</v>
      </c>
      <c r="AC79" s="1">
        <v>57.6</v>
      </c>
    </row>
    <row r="80" spans="1:29" x14ac:dyDescent="0.3">
      <c r="A80" t="s">
        <v>161</v>
      </c>
      <c r="B80" t="s">
        <v>124</v>
      </c>
      <c r="C80" t="s">
        <v>80</v>
      </c>
      <c r="D80" t="s">
        <v>165</v>
      </c>
      <c r="E80" s="4" t="s">
        <v>231</v>
      </c>
      <c r="F80" s="1">
        <v>24</v>
      </c>
      <c r="G80" s="1" t="s">
        <v>84</v>
      </c>
      <c r="H80" s="1">
        <v>185</v>
      </c>
      <c r="I80" s="1" t="s">
        <v>76</v>
      </c>
      <c r="J80" s="1" t="s">
        <v>78</v>
      </c>
      <c r="K80" s="1">
        <v>42</v>
      </c>
      <c r="L80" s="1">
        <v>13</v>
      </c>
      <c r="M80" s="1">
        <v>18</v>
      </c>
      <c r="N80" s="1">
        <v>31</v>
      </c>
      <c r="O80" s="5">
        <f>Table4[[#This Row],[G]]/Table4[[#This Row],[GP]]</f>
        <v>0.30952380952380953</v>
      </c>
      <c r="P80" s="5">
        <f>Table4[[#This Row],[A]]/Table4[[#This Row],[GP]]</f>
        <v>0.42857142857142855</v>
      </c>
      <c r="Q80" s="5">
        <f>Table4[[#This Row],[PTS]]/Table4[[#This Row],[GP]]</f>
        <v>0.73809523809523814</v>
      </c>
      <c r="R80" s="1">
        <v>-7</v>
      </c>
      <c r="S80" s="1">
        <v>18</v>
      </c>
      <c r="T80" s="1">
        <v>4</v>
      </c>
      <c r="U80" s="1">
        <v>94</v>
      </c>
      <c r="V80" s="1">
        <v>13.8</v>
      </c>
      <c r="W80" s="1">
        <v>28</v>
      </c>
      <c r="X80" s="1">
        <v>50</v>
      </c>
      <c r="Y80" s="1">
        <v>44</v>
      </c>
      <c r="Z80" s="1">
        <v>8</v>
      </c>
      <c r="AA80" s="6">
        <f>(Table4[[#This Row],[TAKES]])/(Table4[[#This Row],[GIVES]]+Table4[[#This Row],[TAKES]])</f>
        <v>0.15384615384615385</v>
      </c>
      <c r="AB80" s="6">
        <f>Table4[[#This Row],[TAKES]]/Table4[[#This Row],[GIVES]]</f>
        <v>0.18181818181818182</v>
      </c>
      <c r="AC80" s="1">
        <v>51.6</v>
      </c>
    </row>
    <row r="81" spans="1:29" x14ac:dyDescent="0.3">
      <c r="A81" t="s">
        <v>121</v>
      </c>
      <c r="B81" t="s">
        <v>124</v>
      </c>
      <c r="C81" t="s">
        <v>80</v>
      </c>
      <c r="D81" t="s">
        <v>125</v>
      </c>
      <c r="E81" s="4" t="s">
        <v>179</v>
      </c>
      <c r="F81" s="1">
        <v>35</v>
      </c>
      <c r="G81" s="1" t="s">
        <v>180</v>
      </c>
      <c r="H81" s="1">
        <v>229</v>
      </c>
      <c r="I81" s="1" t="s">
        <v>85</v>
      </c>
      <c r="J81" s="1" t="s">
        <v>87</v>
      </c>
      <c r="K81" s="1">
        <v>18</v>
      </c>
      <c r="L81" s="1">
        <v>0</v>
      </c>
      <c r="M81" s="1">
        <v>12</v>
      </c>
      <c r="N81" s="1">
        <v>12</v>
      </c>
      <c r="O81" s="5">
        <f>Table4[[#This Row],[G]]/Table4[[#This Row],[GP]]</f>
        <v>0</v>
      </c>
      <c r="P81" s="5">
        <f>Table4[[#This Row],[A]]/Table4[[#This Row],[GP]]</f>
        <v>0.66666666666666663</v>
      </c>
      <c r="Q81" s="5">
        <f>Table4[[#This Row],[PTS]]/Table4[[#This Row],[GP]]</f>
        <v>0.66666666666666663</v>
      </c>
      <c r="R81" s="1">
        <v>0</v>
      </c>
      <c r="S81" s="1">
        <v>6</v>
      </c>
      <c r="T81" s="1">
        <v>0</v>
      </c>
      <c r="U81" s="1">
        <v>25</v>
      </c>
      <c r="V81" s="1">
        <v>0</v>
      </c>
      <c r="W81" s="1">
        <v>29</v>
      </c>
      <c r="X81" s="1">
        <v>8</v>
      </c>
      <c r="Y81" s="1">
        <v>28</v>
      </c>
      <c r="Z81" s="1">
        <v>5</v>
      </c>
      <c r="AA81" s="6">
        <f>(Table4[[#This Row],[TAKES]])/(Table4[[#This Row],[GIVES]]+Table4[[#This Row],[TAKES]])</f>
        <v>0.15151515151515152</v>
      </c>
      <c r="AB81" s="6">
        <f>Table4[[#This Row],[TAKES]]/Table4[[#This Row],[GIVES]]</f>
        <v>0.17857142857142858</v>
      </c>
      <c r="AC81" s="1">
        <v>0</v>
      </c>
    </row>
    <row r="82" spans="1:29" x14ac:dyDescent="0.3">
      <c r="A82" t="s">
        <v>195</v>
      </c>
      <c r="B82" t="s">
        <v>124</v>
      </c>
      <c r="C82" t="s">
        <v>80</v>
      </c>
      <c r="D82" t="s">
        <v>197</v>
      </c>
      <c r="E82" s="4" t="s">
        <v>196</v>
      </c>
      <c r="F82" s="1">
        <v>26</v>
      </c>
      <c r="G82" s="1" t="s">
        <v>75</v>
      </c>
      <c r="H82" s="1">
        <v>195</v>
      </c>
      <c r="I82" s="1" t="s">
        <v>76</v>
      </c>
      <c r="J82" s="1" t="s">
        <v>87</v>
      </c>
      <c r="K82" s="1">
        <v>26</v>
      </c>
      <c r="L82" s="1">
        <v>0</v>
      </c>
      <c r="M82" s="1">
        <v>6</v>
      </c>
      <c r="N82" s="1">
        <v>6</v>
      </c>
      <c r="O82" s="5">
        <f>Table4[[#This Row],[G]]/Table4[[#This Row],[GP]]</f>
        <v>0</v>
      </c>
      <c r="P82" s="5">
        <f>Table4[[#This Row],[A]]/Table4[[#This Row],[GP]]</f>
        <v>0.23076923076923078</v>
      </c>
      <c r="Q82" s="5">
        <f>Table4[[#This Row],[PTS]]/Table4[[#This Row],[GP]]</f>
        <v>0.23076923076923078</v>
      </c>
      <c r="R82" s="1">
        <v>-5</v>
      </c>
      <c r="S82" s="1">
        <v>10</v>
      </c>
      <c r="T82" s="1">
        <v>0</v>
      </c>
      <c r="U82" s="1">
        <v>22</v>
      </c>
      <c r="V82" s="1">
        <v>0</v>
      </c>
      <c r="W82" s="1">
        <v>19</v>
      </c>
      <c r="X82" s="1">
        <v>13</v>
      </c>
      <c r="Y82" s="1">
        <v>32</v>
      </c>
      <c r="Z82" s="1">
        <v>5</v>
      </c>
      <c r="AA82" s="6">
        <f>(Table4[[#This Row],[TAKES]])/(Table4[[#This Row],[GIVES]]+Table4[[#This Row],[TAKES]])</f>
        <v>0.13513513513513514</v>
      </c>
      <c r="AB82" s="6">
        <f>Table4[[#This Row],[TAKES]]/Table4[[#This Row],[GIVES]]</f>
        <v>0.15625</v>
      </c>
      <c r="AC82" s="1">
        <v>0</v>
      </c>
    </row>
    <row r="83" spans="1:29" x14ac:dyDescent="0.3">
      <c r="A83" t="s">
        <v>210</v>
      </c>
      <c r="B83" t="s">
        <v>107</v>
      </c>
      <c r="C83" t="s">
        <v>89</v>
      </c>
      <c r="D83" t="s">
        <v>236</v>
      </c>
      <c r="E83" s="4" t="s">
        <v>234</v>
      </c>
      <c r="F83" s="1">
        <v>31</v>
      </c>
      <c r="G83" s="1" t="s">
        <v>147</v>
      </c>
      <c r="H83" s="1">
        <v>206</v>
      </c>
      <c r="I83" s="1" t="s">
        <v>76</v>
      </c>
      <c r="J83" s="1" t="s">
        <v>87</v>
      </c>
      <c r="K83" s="1">
        <v>19</v>
      </c>
      <c r="L83" s="1">
        <v>0</v>
      </c>
      <c r="M83" s="1">
        <v>1</v>
      </c>
      <c r="N83" s="1">
        <v>1</v>
      </c>
      <c r="O83" s="5">
        <f>Table4[[#This Row],[G]]/Table4[[#This Row],[GP]]</f>
        <v>0</v>
      </c>
      <c r="P83" s="5">
        <f>Table4[[#This Row],[A]]/Table4[[#This Row],[GP]]</f>
        <v>5.2631578947368418E-2</v>
      </c>
      <c r="Q83" s="5">
        <f>Table4[[#This Row],[PTS]]/Table4[[#This Row],[GP]]</f>
        <v>5.2631578947368418E-2</v>
      </c>
      <c r="R83" s="1">
        <v>-4</v>
      </c>
      <c r="S83" s="1">
        <v>2</v>
      </c>
      <c r="T83" s="1">
        <v>0</v>
      </c>
      <c r="U83" s="1">
        <v>9</v>
      </c>
      <c r="V83" s="1">
        <v>0</v>
      </c>
      <c r="W83" s="1">
        <v>16</v>
      </c>
      <c r="X83" s="1">
        <v>1</v>
      </c>
      <c r="Y83" s="1">
        <v>14</v>
      </c>
      <c r="Z83" s="1">
        <v>2</v>
      </c>
      <c r="AA83" s="6">
        <f>(Table4[[#This Row],[TAKES]])/(Table4[[#This Row],[GIVES]]+Table4[[#This Row],[TAKES]])</f>
        <v>0.125</v>
      </c>
      <c r="AB83" s="6">
        <f>Table4[[#This Row],[TAKES]]/Table4[[#This Row],[GIVES]]</f>
        <v>0.14285714285714285</v>
      </c>
      <c r="AC83" s="1">
        <v>0</v>
      </c>
    </row>
    <row r="84" spans="1:29" x14ac:dyDescent="0.3">
      <c r="A84" t="s">
        <v>256</v>
      </c>
      <c r="B84" t="s">
        <v>79</v>
      </c>
      <c r="C84" t="s">
        <v>80</v>
      </c>
      <c r="D84" t="s">
        <v>259</v>
      </c>
      <c r="E84" s="4" t="s">
        <v>257</v>
      </c>
      <c r="F84" s="1">
        <v>32</v>
      </c>
      <c r="G84" s="1" t="s">
        <v>84</v>
      </c>
      <c r="H84" s="1">
        <v>218</v>
      </c>
      <c r="I84" s="1" t="s">
        <v>128</v>
      </c>
      <c r="J84" s="1" t="s">
        <v>78</v>
      </c>
      <c r="K84" s="1">
        <v>35</v>
      </c>
      <c r="L84" s="1">
        <v>10</v>
      </c>
      <c r="M84" s="1">
        <v>12</v>
      </c>
      <c r="N84" s="1">
        <v>22</v>
      </c>
      <c r="O84" s="5">
        <f>Table4[[#This Row],[G]]/Table4[[#This Row],[GP]]</f>
        <v>0.2857142857142857</v>
      </c>
      <c r="P84" s="5">
        <f>Table4[[#This Row],[A]]/Table4[[#This Row],[GP]]</f>
        <v>0.34285714285714286</v>
      </c>
      <c r="Q84" s="5">
        <f>Table4[[#This Row],[PTS]]/Table4[[#This Row],[GP]]</f>
        <v>0.62857142857142856</v>
      </c>
      <c r="R84" s="1">
        <v>-11</v>
      </c>
      <c r="S84" s="1">
        <v>10</v>
      </c>
      <c r="T84" s="1">
        <v>3</v>
      </c>
      <c r="U84" s="1">
        <v>77</v>
      </c>
      <c r="V84" s="1">
        <v>13</v>
      </c>
      <c r="W84" s="1">
        <v>12</v>
      </c>
      <c r="X84" s="1">
        <v>74</v>
      </c>
      <c r="Y84" s="1">
        <v>35</v>
      </c>
      <c r="Z84" s="1">
        <v>5</v>
      </c>
      <c r="AA84" s="6">
        <f>(Table4[[#This Row],[TAKES]])/(Table4[[#This Row],[GIVES]]+Table4[[#This Row],[TAKES]])</f>
        <v>0.125</v>
      </c>
      <c r="AB84" s="6">
        <f>Table4[[#This Row],[TAKES]]/Table4[[#This Row],[GIVES]]</f>
        <v>0.14285714285714285</v>
      </c>
      <c r="AC84" s="1">
        <v>59.9</v>
      </c>
    </row>
    <row r="85" spans="1:29" x14ac:dyDescent="0.3">
      <c r="A85" t="s">
        <v>216</v>
      </c>
      <c r="B85" t="s">
        <v>107</v>
      </c>
      <c r="C85" t="s">
        <v>89</v>
      </c>
      <c r="D85" t="s">
        <v>219</v>
      </c>
      <c r="E85" s="4" t="s">
        <v>237</v>
      </c>
      <c r="F85" s="1">
        <v>30</v>
      </c>
      <c r="G85" s="1" t="s">
        <v>75</v>
      </c>
      <c r="H85" s="1">
        <v>200</v>
      </c>
      <c r="I85" s="1" t="s">
        <v>118</v>
      </c>
      <c r="J85" s="1" t="s">
        <v>78</v>
      </c>
      <c r="K85" s="1">
        <v>42</v>
      </c>
      <c r="L85" s="1">
        <v>35</v>
      </c>
      <c r="M85" s="1">
        <v>39</v>
      </c>
      <c r="N85" s="1">
        <v>74</v>
      </c>
      <c r="O85" s="5">
        <f>Table4[[#This Row],[G]]/Table4[[#This Row],[GP]]</f>
        <v>0.83333333333333337</v>
      </c>
      <c r="P85" s="5">
        <f>Table4[[#This Row],[A]]/Table4[[#This Row],[GP]]</f>
        <v>0.9285714285714286</v>
      </c>
      <c r="Q85" s="5">
        <f>Table4[[#This Row],[PTS]]/Table4[[#This Row],[GP]]</f>
        <v>1.7619047619047619</v>
      </c>
      <c r="R85" s="1">
        <v>48</v>
      </c>
      <c r="S85" s="1">
        <v>14</v>
      </c>
      <c r="T85" s="1">
        <v>11</v>
      </c>
      <c r="U85" s="1">
        <v>192</v>
      </c>
      <c r="V85" s="1">
        <v>18.2</v>
      </c>
      <c r="W85" s="1">
        <v>23</v>
      </c>
      <c r="X85" s="1">
        <v>38</v>
      </c>
      <c r="Y85" s="1">
        <v>85</v>
      </c>
      <c r="Z85" s="1">
        <v>12</v>
      </c>
      <c r="AA85" s="6">
        <f>(Table4[[#This Row],[TAKES]])/(Table4[[#This Row],[GIVES]]+Table4[[#This Row],[TAKES]])</f>
        <v>0.12371134020618557</v>
      </c>
      <c r="AB85" s="6">
        <f>Table4[[#This Row],[TAKES]]/Table4[[#This Row],[GIVES]]</f>
        <v>0.14117647058823529</v>
      </c>
      <c r="AC85" s="1">
        <v>50</v>
      </c>
    </row>
    <row r="86" spans="1:29" x14ac:dyDescent="0.3">
      <c r="A86" t="s">
        <v>150</v>
      </c>
      <c r="B86" t="s">
        <v>124</v>
      </c>
      <c r="C86" t="s">
        <v>80</v>
      </c>
      <c r="D86" t="s">
        <v>153</v>
      </c>
      <c r="E86" s="4" t="s">
        <v>151</v>
      </c>
      <c r="F86" s="1">
        <v>34</v>
      </c>
      <c r="G86" s="1" t="s">
        <v>147</v>
      </c>
      <c r="H86" s="1">
        <v>200</v>
      </c>
      <c r="I86" s="1" t="s">
        <v>85</v>
      </c>
      <c r="J86" s="1" t="s">
        <v>87</v>
      </c>
      <c r="K86" s="1">
        <v>42</v>
      </c>
      <c r="L86" s="1">
        <v>7</v>
      </c>
      <c r="M86" s="1">
        <v>18</v>
      </c>
      <c r="N86" s="1">
        <v>25</v>
      </c>
      <c r="O86" s="5">
        <f>Table4[[#This Row],[G]]/Table4[[#This Row],[GP]]</f>
        <v>0.16666666666666666</v>
      </c>
      <c r="P86" s="5">
        <f>Table4[[#This Row],[A]]/Table4[[#This Row],[GP]]</f>
        <v>0.42857142857142855</v>
      </c>
      <c r="Q86" s="5">
        <f>Table4[[#This Row],[PTS]]/Table4[[#This Row],[GP]]</f>
        <v>0.59523809523809523</v>
      </c>
      <c r="R86" s="1">
        <v>0</v>
      </c>
      <c r="S86" s="1">
        <v>30</v>
      </c>
      <c r="T86" s="1">
        <v>2</v>
      </c>
      <c r="U86" s="1">
        <v>60</v>
      </c>
      <c r="V86" s="1">
        <v>11.7</v>
      </c>
      <c r="W86" s="1">
        <v>36</v>
      </c>
      <c r="X86" s="1">
        <v>56</v>
      </c>
      <c r="Y86" s="1">
        <v>64</v>
      </c>
      <c r="Z86" s="1">
        <v>9</v>
      </c>
      <c r="AA86" s="6">
        <f>(Table4[[#This Row],[TAKES]])/(Table4[[#This Row],[GIVES]]+Table4[[#This Row],[TAKES]])</f>
        <v>0.12328767123287671</v>
      </c>
      <c r="AB86" s="6">
        <f>Table4[[#This Row],[TAKES]]/Table4[[#This Row],[GIVES]]</f>
        <v>0.140625</v>
      </c>
      <c r="AC86" s="1">
        <v>0</v>
      </c>
    </row>
    <row r="87" spans="1:29" x14ac:dyDescent="0.3">
      <c r="A87" t="s">
        <v>216</v>
      </c>
      <c r="B87" t="s">
        <v>107</v>
      </c>
      <c r="C87" t="s">
        <v>89</v>
      </c>
      <c r="D87" t="s">
        <v>219</v>
      </c>
      <c r="E87" s="4" t="s">
        <v>217</v>
      </c>
      <c r="F87" s="1">
        <v>29</v>
      </c>
      <c r="G87" s="1" t="s">
        <v>99</v>
      </c>
      <c r="H87" s="1">
        <v>175</v>
      </c>
      <c r="I87" s="1" t="s">
        <v>76</v>
      </c>
      <c r="J87" s="1" t="s">
        <v>101</v>
      </c>
      <c r="K87" s="1">
        <v>21</v>
      </c>
      <c r="L87" s="1">
        <v>1</v>
      </c>
      <c r="M87" s="1">
        <v>3</v>
      </c>
      <c r="N87" s="1">
        <v>4</v>
      </c>
      <c r="O87" s="5">
        <f>Table4[[#This Row],[G]]/Table4[[#This Row],[GP]]</f>
        <v>4.7619047619047616E-2</v>
      </c>
      <c r="P87" s="5">
        <f>Table4[[#This Row],[A]]/Table4[[#This Row],[GP]]</f>
        <v>0.14285714285714285</v>
      </c>
      <c r="Q87" s="5">
        <f>Table4[[#This Row],[PTS]]/Table4[[#This Row],[GP]]</f>
        <v>0.19047619047619047</v>
      </c>
      <c r="R87" s="1">
        <v>0</v>
      </c>
      <c r="S87" s="1">
        <v>6</v>
      </c>
      <c r="T87" s="1">
        <v>0</v>
      </c>
      <c r="U87" s="1">
        <v>13</v>
      </c>
      <c r="V87" s="1">
        <v>7.7</v>
      </c>
      <c r="W87" s="1">
        <v>5</v>
      </c>
      <c r="X87" s="1">
        <v>30</v>
      </c>
      <c r="Y87" s="1">
        <v>8</v>
      </c>
      <c r="Z87" s="1">
        <v>1</v>
      </c>
      <c r="AA87" s="6">
        <f>(Table4[[#This Row],[TAKES]])/(Table4[[#This Row],[GIVES]]+Table4[[#This Row],[TAKES]])</f>
        <v>0.1111111111111111</v>
      </c>
      <c r="AB87" s="6">
        <f>Table4[[#This Row],[TAKES]]/Table4[[#This Row],[GIVES]]</f>
        <v>0.125</v>
      </c>
      <c r="AC87" s="1">
        <v>50</v>
      </c>
    </row>
    <row r="88" spans="1:29" x14ac:dyDescent="0.3">
      <c r="A88" t="s">
        <v>174</v>
      </c>
      <c r="B88" t="s">
        <v>107</v>
      </c>
      <c r="C88" t="s">
        <v>89</v>
      </c>
      <c r="D88" t="s">
        <v>177</v>
      </c>
      <c r="E88" s="4" t="s">
        <v>184</v>
      </c>
      <c r="F88" s="1">
        <v>29</v>
      </c>
      <c r="G88" s="1" t="s">
        <v>105</v>
      </c>
      <c r="H88" s="1">
        <v>220</v>
      </c>
      <c r="I88" s="1" t="s">
        <v>76</v>
      </c>
      <c r="J88" s="1" t="s">
        <v>78</v>
      </c>
      <c r="K88" s="1">
        <v>39</v>
      </c>
      <c r="L88" s="1">
        <v>13</v>
      </c>
      <c r="M88" s="1">
        <v>20</v>
      </c>
      <c r="N88" s="1">
        <v>33</v>
      </c>
      <c r="O88" s="5">
        <f>Table4[[#This Row],[G]]/Table4[[#This Row],[GP]]</f>
        <v>0.33333333333333331</v>
      </c>
      <c r="P88" s="5">
        <f>Table4[[#This Row],[A]]/Table4[[#This Row],[GP]]</f>
        <v>0.51282051282051277</v>
      </c>
      <c r="Q88" s="5">
        <f>Table4[[#This Row],[PTS]]/Table4[[#This Row],[GP]]</f>
        <v>0.84615384615384615</v>
      </c>
      <c r="R88" s="1">
        <v>14</v>
      </c>
      <c r="S88" s="1">
        <v>12</v>
      </c>
      <c r="T88" s="1">
        <v>4</v>
      </c>
      <c r="U88" s="1">
        <v>95</v>
      </c>
      <c r="V88" s="1">
        <v>13.7</v>
      </c>
      <c r="W88" s="1">
        <v>11</v>
      </c>
      <c r="X88" s="1">
        <v>40</v>
      </c>
      <c r="Y88" s="1">
        <v>30</v>
      </c>
      <c r="Z88" s="1">
        <v>2</v>
      </c>
      <c r="AA88" s="6">
        <f>(Table4[[#This Row],[TAKES]])/(Table4[[#This Row],[GIVES]]+Table4[[#This Row],[TAKES]])</f>
        <v>6.25E-2</v>
      </c>
      <c r="AB88" s="6">
        <f>Table4[[#This Row],[TAKES]]/Table4[[#This Row],[GIVES]]</f>
        <v>6.6666666666666666E-2</v>
      </c>
      <c r="AC88" s="1">
        <v>57.9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8C3D-20D3-48AE-8A59-6A37B588AAC3}">
  <dimension ref="A1:AF978"/>
  <sheetViews>
    <sheetView workbookViewId="0">
      <selection sqref="A1:AG39"/>
    </sheetView>
  </sheetViews>
  <sheetFormatPr defaultRowHeight="14.4" x14ac:dyDescent="0.3"/>
  <cols>
    <col min="2" max="2" width="22.77734375" bestFit="1" customWidth="1"/>
  </cols>
  <sheetData>
    <row r="1" spans="1:32" x14ac:dyDescent="0.3">
      <c r="A1" t="s">
        <v>354</v>
      </c>
      <c r="B1" t="s">
        <v>355</v>
      </c>
      <c r="C1" t="s">
        <v>356</v>
      </c>
      <c r="D1" t="s">
        <v>357</v>
      </c>
      <c r="E1" t="s">
        <v>358</v>
      </c>
      <c r="F1" t="s">
        <v>340</v>
      </c>
      <c r="G1" t="s">
        <v>332</v>
      </c>
      <c r="H1" t="s">
        <v>341</v>
      </c>
      <c r="I1" t="s">
        <v>342</v>
      </c>
      <c r="J1" t="s">
        <v>359</v>
      </c>
      <c r="K1" t="s">
        <v>352</v>
      </c>
      <c r="L1" t="s">
        <v>360</v>
      </c>
      <c r="M1" t="s">
        <v>361</v>
      </c>
      <c r="N1" t="s">
        <v>362</v>
      </c>
      <c r="O1" t="s">
        <v>363</v>
      </c>
      <c r="P1" t="s">
        <v>364</v>
      </c>
      <c r="Q1" t="s">
        <v>365</v>
      </c>
      <c r="R1" t="s">
        <v>366</v>
      </c>
      <c r="S1" t="s">
        <v>345</v>
      </c>
      <c r="T1" t="s">
        <v>367</v>
      </c>
      <c r="U1" t="s">
        <v>368</v>
      </c>
      <c r="V1" t="s">
        <v>353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2152</v>
      </c>
    </row>
    <row r="2" spans="1:32" x14ac:dyDescent="0.3">
      <c r="A2">
        <v>1</v>
      </c>
      <c r="B2" t="s">
        <v>237</v>
      </c>
      <c r="C2">
        <v>30</v>
      </c>
      <c r="D2" t="s">
        <v>216</v>
      </c>
      <c r="E2" t="s">
        <v>78</v>
      </c>
      <c r="F2">
        <v>43</v>
      </c>
      <c r="G2">
        <v>36</v>
      </c>
      <c r="H2">
        <v>42</v>
      </c>
      <c r="I2">
        <v>78</v>
      </c>
      <c r="J2">
        <v>48</v>
      </c>
      <c r="K2">
        <v>14</v>
      </c>
      <c r="L2">
        <v>29</v>
      </c>
      <c r="M2">
        <v>7</v>
      </c>
      <c r="N2">
        <v>0</v>
      </c>
      <c r="O2">
        <v>5</v>
      </c>
      <c r="P2">
        <v>29</v>
      </c>
      <c r="Q2">
        <v>13</v>
      </c>
      <c r="R2">
        <v>0</v>
      </c>
      <c r="S2">
        <v>197</v>
      </c>
      <c r="T2">
        <v>18.3</v>
      </c>
      <c r="U2">
        <v>329</v>
      </c>
      <c r="V2" s="2">
        <v>39.094444444444441</v>
      </c>
      <c r="W2" s="3">
        <v>0.90902777777777777</v>
      </c>
      <c r="X2">
        <v>406</v>
      </c>
      <c r="Y2">
        <v>401</v>
      </c>
      <c r="Z2">
        <v>50.3</v>
      </c>
      <c r="AA2">
        <v>24</v>
      </c>
      <c r="AB2">
        <v>38</v>
      </c>
      <c r="AC2">
        <v>12</v>
      </c>
      <c r="AD2">
        <v>85</v>
      </c>
      <c r="AF2" t="s">
        <v>378</v>
      </c>
    </row>
    <row r="3" spans="1:32" x14ac:dyDescent="0.3">
      <c r="A3">
        <v>2</v>
      </c>
      <c r="B3" t="s">
        <v>251</v>
      </c>
      <c r="C3">
        <v>29</v>
      </c>
      <c r="D3" t="s">
        <v>250</v>
      </c>
      <c r="E3" t="s">
        <v>78</v>
      </c>
      <c r="F3">
        <v>44</v>
      </c>
      <c r="G3">
        <v>29</v>
      </c>
      <c r="H3">
        <v>48</v>
      </c>
      <c r="I3">
        <v>77</v>
      </c>
      <c r="J3">
        <v>3</v>
      </c>
      <c r="K3">
        <v>16</v>
      </c>
      <c r="L3">
        <v>20</v>
      </c>
      <c r="M3">
        <v>8</v>
      </c>
      <c r="N3">
        <v>1</v>
      </c>
      <c r="O3">
        <v>1</v>
      </c>
      <c r="P3">
        <v>22</v>
      </c>
      <c r="Q3">
        <v>25</v>
      </c>
      <c r="R3">
        <v>1</v>
      </c>
      <c r="S3">
        <v>166</v>
      </c>
      <c r="T3">
        <v>17.5</v>
      </c>
      <c r="U3">
        <v>292</v>
      </c>
      <c r="V3" s="2">
        <v>41.684027777777779</v>
      </c>
      <c r="W3" s="3">
        <v>0.94722222222222219</v>
      </c>
      <c r="X3">
        <v>226</v>
      </c>
      <c r="Y3">
        <v>249</v>
      </c>
      <c r="Z3">
        <v>47.6</v>
      </c>
      <c r="AA3">
        <v>18</v>
      </c>
      <c r="AB3">
        <v>18</v>
      </c>
      <c r="AC3">
        <v>14</v>
      </c>
      <c r="AD3">
        <v>67</v>
      </c>
      <c r="AF3" t="s">
        <v>379</v>
      </c>
    </row>
    <row r="4" spans="1:32" x14ac:dyDescent="0.3">
      <c r="A4">
        <v>3</v>
      </c>
      <c r="B4" t="s">
        <v>117</v>
      </c>
      <c r="C4">
        <v>19</v>
      </c>
      <c r="D4" t="s">
        <v>116</v>
      </c>
      <c r="E4" t="s">
        <v>380</v>
      </c>
      <c r="F4">
        <v>43</v>
      </c>
      <c r="G4">
        <v>24</v>
      </c>
      <c r="H4">
        <v>43</v>
      </c>
      <c r="I4">
        <v>67</v>
      </c>
      <c r="J4">
        <v>17</v>
      </c>
      <c r="K4">
        <v>28</v>
      </c>
      <c r="L4">
        <v>20</v>
      </c>
      <c r="M4">
        <v>4</v>
      </c>
      <c r="N4">
        <v>0</v>
      </c>
      <c r="O4">
        <v>4</v>
      </c>
      <c r="P4">
        <v>29</v>
      </c>
      <c r="Q4">
        <v>14</v>
      </c>
      <c r="R4">
        <v>0</v>
      </c>
      <c r="S4">
        <v>143</v>
      </c>
      <c r="T4">
        <v>16.8</v>
      </c>
      <c r="U4">
        <v>271</v>
      </c>
      <c r="V4" s="2">
        <v>37.354861111111113</v>
      </c>
      <c r="W4" s="3">
        <v>0.86875000000000002</v>
      </c>
      <c r="X4">
        <v>322</v>
      </c>
      <c r="Y4">
        <v>342</v>
      </c>
      <c r="Z4">
        <v>48.5</v>
      </c>
      <c r="AA4">
        <v>25</v>
      </c>
      <c r="AB4">
        <v>25</v>
      </c>
      <c r="AC4">
        <v>25</v>
      </c>
      <c r="AD4">
        <v>66</v>
      </c>
      <c r="AF4" t="s">
        <v>381</v>
      </c>
    </row>
    <row r="5" spans="1:32" x14ac:dyDescent="0.3">
      <c r="A5">
        <v>4</v>
      </c>
      <c r="B5" t="s">
        <v>382</v>
      </c>
      <c r="C5">
        <v>30</v>
      </c>
      <c r="D5" t="s">
        <v>250</v>
      </c>
      <c r="E5" t="s">
        <v>78</v>
      </c>
      <c r="F5">
        <v>44</v>
      </c>
      <c r="G5">
        <v>21</v>
      </c>
      <c r="H5">
        <v>40</v>
      </c>
      <c r="I5">
        <v>61</v>
      </c>
      <c r="J5">
        <v>5</v>
      </c>
      <c r="K5">
        <v>20</v>
      </c>
      <c r="L5">
        <v>9</v>
      </c>
      <c r="M5">
        <v>11</v>
      </c>
      <c r="N5">
        <v>1</v>
      </c>
      <c r="O5">
        <v>2</v>
      </c>
      <c r="P5">
        <v>22</v>
      </c>
      <c r="Q5">
        <v>18</v>
      </c>
      <c r="R5">
        <v>0</v>
      </c>
      <c r="S5">
        <v>122</v>
      </c>
      <c r="T5">
        <v>17.2</v>
      </c>
      <c r="U5">
        <v>245</v>
      </c>
      <c r="V5" s="2">
        <v>40.121527777777779</v>
      </c>
      <c r="W5" s="3">
        <v>0.91180555555555554</v>
      </c>
      <c r="X5">
        <v>405</v>
      </c>
      <c r="Y5">
        <v>306</v>
      </c>
      <c r="Z5">
        <v>57</v>
      </c>
      <c r="AA5">
        <v>11</v>
      </c>
      <c r="AB5">
        <v>20</v>
      </c>
      <c r="AC5">
        <v>16</v>
      </c>
      <c r="AD5">
        <v>70</v>
      </c>
      <c r="AF5" t="s">
        <v>383</v>
      </c>
    </row>
    <row r="6" spans="1:32" x14ac:dyDescent="0.3">
      <c r="A6">
        <v>5</v>
      </c>
      <c r="B6" t="s">
        <v>384</v>
      </c>
      <c r="C6">
        <v>32</v>
      </c>
      <c r="D6" t="s">
        <v>121</v>
      </c>
      <c r="E6" t="s">
        <v>95</v>
      </c>
      <c r="F6">
        <v>38</v>
      </c>
      <c r="G6">
        <v>20</v>
      </c>
      <c r="H6">
        <v>41</v>
      </c>
      <c r="I6">
        <v>61</v>
      </c>
      <c r="J6">
        <v>19</v>
      </c>
      <c r="K6">
        <v>18</v>
      </c>
      <c r="L6">
        <v>15</v>
      </c>
      <c r="M6">
        <v>5</v>
      </c>
      <c r="N6">
        <v>0</v>
      </c>
      <c r="O6">
        <v>4</v>
      </c>
      <c r="P6">
        <v>27</v>
      </c>
      <c r="Q6">
        <v>14</v>
      </c>
      <c r="R6">
        <v>0</v>
      </c>
      <c r="S6">
        <v>112</v>
      </c>
      <c r="T6">
        <v>17.899999999999999</v>
      </c>
      <c r="U6">
        <v>275</v>
      </c>
      <c r="V6" s="2">
        <v>32.040972222222223</v>
      </c>
      <c r="W6" s="3">
        <v>0.84305555555555556</v>
      </c>
      <c r="X6">
        <v>0</v>
      </c>
      <c r="Y6">
        <v>1</v>
      </c>
      <c r="Z6">
        <v>0</v>
      </c>
      <c r="AA6">
        <v>13</v>
      </c>
      <c r="AB6">
        <v>15</v>
      </c>
      <c r="AC6">
        <v>10</v>
      </c>
      <c r="AD6">
        <v>65</v>
      </c>
      <c r="AF6" t="s">
        <v>385</v>
      </c>
    </row>
    <row r="7" spans="1:32" x14ac:dyDescent="0.3">
      <c r="A7">
        <v>6</v>
      </c>
      <c r="B7" t="s">
        <v>273</v>
      </c>
      <c r="C7">
        <v>29</v>
      </c>
      <c r="D7" t="s">
        <v>174</v>
      </c>
      <c r="E7" t="s">
        <v>95</v>
      </c>
      <c r="F7">
        <v>43</v>
      </c>
      <c r="G7">
        <v>17</v>
      </c>
      <c r="H7">
        <v>42</v>
      </c>
      <c r="I7">
        <v>59</v>
      </c>
      <c r="J7">
        <v>1</v>
      </c>
      <c r="K7">
        <v>75</v>
      </c>
      <c r="L7">
        <v>13</v>
      </c>
      <c r="M7">
        <v>4</v>
      </c>
      <c r="N7">
        <v>0</v>
      </c>
      <c r="O7">
        <v>1</v>
      </c>
      <c r="P7">
        <v>20</v>
      </c>
      <c r="Q7">
        <v>22</v>
      </c>
      <c r="R7">
        <v>0</v>
      </c>
      <c r="S7">
        <v>104</v>
      </c>
      <c r="T7">
        <v>16.3</v>
      </c>
      <c r="U7">
        <v>209</v>
      </c>
      <c r="V7" s="2">
        <v>36.036805555555553</v>
      </c>
      <c r="W7" s="3">
        <v>0.83819444444444446</v>
      </c>
      <c r="X7">
        <v>28</v>
      </c>
      <c r="Y7">
        <v>26</v>
      </c>
      <c r="Z7">
        <v>51.9</v>
      </c>
      <c r="AA7">
        <v>20</v>
      </c>
      <c r="AB7">
        <v>30</v>
      </c>
      <c r="AC7">
        <v>15</v>
      </c>
      <c r="AD7">
        <v>50</v>
      </c>
      <c r="AF7" t="s">
        <v>386</v>
      </c>
    </row>
    <row r="8" spans="1:32" x14ac:dyDescent="0.3">
      <c r="A8">
        <v>7</v>
      </c>
      <c r="B8" t="s">
        <v>387</v>
      </c>
      <c r="C8">
        <v>27</v>
      </c>
      <c r="D8" t="s">
        <v>216</v>
      </c>
      <c r="E8" t="s">
        <v>78</v>
      </c>
      <c r="F8">
        <v>43</v>
      </c>
      <c r="G8">
        <v>20</v>
      </c>
      <c r="H8">
        <v>35</v>
      </c>
      <c r="I8">
        <v>55</v>
      </c>
      <c r="J8">
        <v>39</v>
      </c>
      <c r="K8">
        <v>24</v>
      </c>
      <c r="L8">
        <v>16</v>
      </c>
      <c r="M8">
        <v>4</v>
      </c>
      <c r="N8">
        <v>0</v>
      </c>
      <c r="O8">
        <v>0</v>
      </c>
      <c r="P8">
        <v>29</v>
      </c>
      <c r="Q8">
        <v>6</v>
      </c>
      <c r="R8">
        <v>0</v>
      </c>
      <c r="S8">
        <v>97</v>
      </c>
      <c r="T8">
        <v>20.6</v>
      </c>
      <c r="U8">
        <v>209</v>
      </c>
      <c r="V8" s="2">
        <v>36.956249999999997</v>
      </c>
      <c r="W8" s="3">
        <v>0.85972222222222228</v>
      </c>
      <c r="X8">
        <v>9</v>
      </c>
      <c r="Y8">
        <v>9</v>
      </c>
      <c r="Z8">
        <v>50</v>
      </c>
      <c r="AA8">
        <v>13</v>
      </c>
      <c r="AB8">
        <v>46</v>
      </c>
      <c r="AC8">
        <v>11</v>
      </c>
      <c r="AD8">
        <v>71</v>
      </c>
      <c r="AF8" t="s">
        <v>388</v>
      </c>
    </row>
    <row r="9" spans="1:32" x14ac:dyDescent="0.3">
      <c r="A9">
        <v>8</v>
      </c>
      <c r="B9" t="s">
        <v>127</v>
      </c>
      <c r="C9">
        <v>29</v>
      </c>
      <c r="D9" t="s">
        <v>130</v>
      </c>
      <c r="E9" t="s">
        <v>101</v>
      </c>
      <c r="F9">
        <v>43</v>
      </c>
      <c r="G9">
        <v>21</v>
      </c>
      <c r="H9">
        <v>31</v>
      </c>
      <c r="I9">
        <v>52</v>
      </c>
      <c r="J9">
        <v>4</v>
      </c>
      <c r="K9">
        <v>10</v>
      </c>
      <c r="L9">
        <v>17</v>
      </c>
      <c r="M9">
        <v>2</v>
      </c>
      <c r="N9">
        <v>2</v>
      </c>
      <c r="O9">
        <v>1</v>
      </c>
      <c r="P9">
        <v>21</v>
      </c>
      <c r="Q9">
        <v>9</v>
      </c>
      <c r="R9">
        <v>1</v>
      </c>
      <c r="S9">
        <v>144</v>
      </c>
      <c r="T9">
        <v>14.6</v>
      </c>
      <c r="U9">
        <v>251</v>
      </c>
      <c r="V9" s="2">
        <v>37.538888888888891</v>
      </c>
      <c r="W9" s="3">
        <v>0.87291666666666667</v>
      </c>
      <c r="X9">
        <v>0</v>
      </c>
      <c r="Y9">
        <v>0</v>
      </c>
      <c r="AA9">
        <v>7</v>
      </c>
      <c r="AB9">
        <v>10</v>
      </c>
      <c r="AC9">
        <v>9</v>
      </c>
      <c r="AD9">
        <v>36</v>
      </c>
      <c r="AF9" t="s">
        <v>389</v>
      </c>
    </row>
    <row r="10" spans="1:32" x14ac:dyDescent="0.3">
      <c r="A10">
        <v>9</v>
      </c>
      <c r="B10" t="s">
        <v>390</v>
      </c>
      <c r="C10">
        <v>26</v>
      </c>
      <c r="D10" t="s">
        <v>174</v>
      </c>
      <c r="E10" t="s">
        <v>101</v>
      </c>
      <c r="F10">
        <v>44</v>
      </c>
      <c r="G10">
        <v>25</v>
      </c>
      <c r="H10">
        <v>27</v>
      </c>
      <c r="I10">
        <v>52</v>
      </c>
      <c r="J10">
        <v>18</v>
      </c>
      <c r="K10">
        <v>12</v>
      </c>
      <c r="L10">
        <v>15</v>
      </c>
      <c r="M10">
        <v>10</v>
      </c>
      <c r="N10">
        <v>0</v>
      </c>
      <c r="O10">
        <v>3</v>
      </c>
      <c r="P10">
        <v>15</v>
      </c>
      <c r="Q10">
        <v>12</v>
      </c>
      <c r="R10">
        <v>0</v>
      </c>
      <c r="S10">
        <v>164</v>
      </c>
      <c r="T10">
        <v>15.2</v>
      </c>
      <c r="U10">
        <v>288</v>
      </c>
      <c r="V10" s="2">
        <v>36.357638888888886</v>
      </c>
      <c r="W10" s="3">
        <v>0.82638888888888884</v>
      </c>
      <c r="X10">
        <v>0</v>
      </c>
      <c r="Y10">
        <v>2</v>
      </c>
      <c r="Z10">
        <v>0</v>
      </c>
      <c r="AA10">
        <v>18</v>
      </c>
      <c r="AB10">
        <v>25</v>
      </c>
      <c r="AC10">
        <v>12</v>
      </c>
      <c r="AD10">
        <v>63</v>
      </c>
      <c r="AF10" t="s">
        <v>391</v>
      </c>
    </row>
    <row r="11" spans="1:32" x14ac:dyDescent="0.3">
      <c r="A11">
        <v>10</v>
      </c>
      <c r="B11" t="s">
        <v>392</v>
      </c>
      <c r="C11">
        <v>32</v>
      </c>
      <c r="D11" t="s">
        <v>130</v>
      </c>
      <c r="E11" t="s">
        <v>78</v>
      </c>
      <c r="F11">
        <v>43</v>
      </c>
      <c r="G11">
        <v>22</v>
      </c>
      <c r="H11">
        <v>30</v>
      </c>
      <c r="I11">
        <v>52</v>
      </c>
      <c r="J11">
        <v>7</v>
      </c>
      <c r="K11">
        <v>22</v>
      </c>
      <c r="L11">
        <v>16</v>
      </c>
      <c r="M11">
        <v>6</v>
      </c>
      <c r="N11">
        <v>0</v>
      </c>
      <c r="O11">
        <v>2</v>
      </c>
      <c r="P11">
        <v>25</v>
      </c>
      <c r="Q11">
        <v>4</v>
      </c>
      <c r="R11">
        <v>1</v>
      </c>
      <c r="S11">
        <v>94</v>
      </c>
      <c r="T11">
        <v>23.4</v>
      </c>
      <c r="U11">
        <v>172</v>
      </c>
      <c r="V11" s="2">
        <v>37.306249999999999</v>
      </c>
      <c r="W11" s="3">
        <v>0.86736111111111114</v>
      </c>
      <c r="X11">
        <v>320</v>
      </c>
      <c r="Y11">
        <v>357</v>
      </c>
      <c r="Z11">
        <v>47.3</v>
      </c>
      <c r="AA11">
        <v>19</v>
      </c>
      <c r="AB11">
        <v>19</v>
      </c>
      <c r="AC11">
        <v>13</v>
      </c>
      <c r="AD11">
        <v>58</v>
      </c>
      <c r="AF11" t="s">
        <v>393</v>
      </c>
    </row>
    <row r="12" spans="1:32" x14ac:dyDescent="0.3">
      <c r="A12">
        <v>11</v>
      </c>
      <c r="B12" t="s">
        <v>394</v>
      </c>
      <c r="C12">
        <v>28</v>
      </c>
      <c r="D12" t="s">
        <v>109</v>
      </c>
      <c r="E12" t="s">
        <v>101</v>
      </c>
      <c r="F12">
        <v>45</v>
      </c>
      <c r="G12">
        <v>24</v>
      </c>
      <c r="H12">
        <v>27</v>
      </c>
      <c r="I12">
        <v>51</v>
      </c>
      <c r="J12">
        <v>7</v>
      </c>
      <c r="K12">
        <v>14</v>
      </c>
      <c r="L12">
        <v>15</v>
      </c>
      <c r="M12">
        <v>9</v>
      </c>
      <c r="N12">
        <v>0</v>
      </c>
      <c r="O12">
        <v>2</v>
      </c>
      <c r="P12">
        <v>20</v>
      </c>
      <c r="Q12">
        <v>7</v>
      </c>
      <c r="R12">
        <v>0</v>
      </c>
      <c r="S12">
        <v>158</v>
      </c>
      <c r="T12">
        <v>15.2</v>
      </c>
      <c r="U12">
        <v>296</v>
      </c>
      <c r="V12" s="2">
        <v>41.836805555555557</v>
      </c>
      <c r="W12" s="3">
        <v>0.92986111111111114</v>
      </c>
      <c r="X12">
        <v>0</v>
      </c>
      <c r="Y12">
        <v>2</v>
      </c>
      <c r="Z12">
        <v>0</v>
      </c>
      <c r="AA12">
        <v>18</v>
      </c>
      <c r="AB12">
        <v>23</v>
      </c>
      <c r="AC12">
        <v>11</v>
      </c>
      <c r="AD12">
        <v>66</v>
      </c>
      <c r="AF12" t="s">
        <v>395</v>
      </c>
    </row>
    <row r="13" spans="1:32" x14ac:dyDescent="0.3">
      <c r="A13">
        <v>12</v>
      </c>
      <c r="B13" t="s">
        <v>239</v>
      </c>
      <c r="C13">
        <v>27</v>
      </c>
      <c r="D13" t="s">
        <v>216</v>
      </c>
      <c r="E13" t="s">
        <v>87</v>
      </c>
      <c r="F13">
        <v>43</v>
      </c>
      <c r="G13">
        <v>13</v>
      </c>
      <c r="H13">
        <v>38</v>
      </c>
      <c r="I13">
        <v>51</v>
      </c>
      <c r="J13">
        <v>30</v>
      </c>
      <c r="K13">
        <v>18</v>
      </c>
      <c r="L13">
        <v>11</v>
      </c>
      <c r="M13">
        <v>2</v>
      </c>
      <c r="N13">
        <v>0</v>
      </c>
      <c r="O13">
        <v>4</v>
      </c>
      <c r="P13">
        <v>22</v>
      </c>
      <c r="Q13">
        <v>16</v>
      </c>
      <c r="R13">
        <v>0</v>
      </c>
      <c r="S13">
        <v>119</v>
      </c>
      <c r="T13">
        <v>10.9</v>
      </c>
      <c r="U13">
        <v>310</v>
      </c>
      <c r="V13" s="2">
        <v>44.711111111111109</v>
      </c>
      <c r="W13" s="2">
        <v>1.0395833333333333</v>
      </c>
      <c r="X13">
        <v>0</v>
      </c>
      <c r="Y13">
        <v>0</v>
      </c>
      <c r="AA13">
        <v>74</v>
      </c>
      <c r="AB13">
        <v>21</v>
      </c>
      <c r="AC13">
        <v>25</v>
      </c>
      <c r="AD13">
        <v>42</v>
      </c>
      <c r="AF13" t="s">
        <v>396</v>
      </c>
    </row>
    <row r="14" spans="1:32" x14ac:dyDescent="0.3">
      <c r="A14">
        <v>13</v>
      </c>
      <c r="B14" t="s">
        <v>397</v>
      </c>
      <c r="C14">
        <v>22</v>
      </c>
      <c r="D14" t="s">
        <v>174</v>
      </c>
      <c r="E14" t="s">
        <v>78</v>
      </c>
      <c r="F14">
        <v>44</v>
      </c>
      <c r="G14">
        <v>24</v>
      </c>
      <c r="H14">
        <v>26</v>
      </c>
      <c r="I14">
        <v>50</v>
      </c>
      <c r="J14">
        <v>-2</v>
      </c>
      <c r="K14">
        <v>12</v>
      </c>
      <c r="L14">
        <v>9</v>
      </c>
      <c r="M14">
        <v>15</v>
      </c>
      <c r="N14">
        <v>0</v>
      </c>
      <c r="O14">
        <v>3</v>
      </c>
      <c r="P14">
        <v>17</v>
      </c>
      <c r="Q14">
        <v>9</v>
      </c>
      <c r="R14">
        <v>0</v>
      </c>
      <c r="S14">
        <v>111</v>
      </c>
      <c r="T14">
        <v>21.6</v>
      </c>
      <c r="U14">
        <v>211</v>
      </c>
      <c r="V14" s="2">
        <v>36.942361111111111</v>
      </c>
      <c r="W14" s="3">
        <v>0.83958333333333335</v>
      </c>
      <c r="X14">
        <v>212</v>
      </c>
      <c r="Y14">
        <v>231</v>
      </c>
      <c r="Z14">
        <v>47.9</v>
      </c>
      <c r="AA14">
        <v>33</v>
      </c>
      <c r="AB14">
        <v>14</v>
      </c>
      <c r="AC14">
        <v>10</v>
      </c>
      <c r="AD14">
        <v>28</v>
      </c>
      <c r="AF14" t="s">
        <v>398</v>
      </c>
    </row>
    <row r="15" spans="1:32" x14ac:dyDescent="0.3">
      <c r="A15">
        <v>14</v>
      </c>
      <c r="B15" t="s">
        <v>331</v>
      </c>
      <c r="C15">
        <v>24</v>
      </c>
      <c r="D15" t="s">
        <v>109</v>
      </c>
      <c r="E15" t="s">
        <v>101</v>
      </c>
      <c r="F15">
        <v>45</v>
      </c>
      <c r="G15">
        <v>26</v>
      </c>
      <c r="H15">
        <v>23</v>
      </c>
      <c r="I15">
        <v>49</v>
      </c>
      <c r="J15">
        <v>16</v>
      </c>
      <c r="K15">
        <v>20</v>
      </c>
      <c r="L15">
        <v>18</v>
      </c>
      <c r="M15">
        <v>6</v>
      </c>
      <c r="N15">
        <v>2</v>
      </c>
      <c r="O15">
        <v>3</v>
      </c>
      <c r="P15">
        <v>15</v>
      </c>
      <c r="Q15">
        <v>8</v>
      </c>
      <c r="R15">
        <v>0</v>
      </c>
      <c r="S15">
        <v>146</v>
      </c>
      <c r="T15">
        <v>17.8</v>
      </c>
      <c r="U15">
        <v>304</v>
      </c>
      <c r="V15" s="2">
        <v>39.420833333333334</v>
      </c>
      <c r="W15" s="3">
        <v>0.87569444444444444</v>
      </c>
      <c r="X15">
        <v>32</v>
      </c>
      <c r="Y15">
        <v>38</v>
      </c>
      <c r="Z15">
        <v>45.7</v>
      </c>
      <c r="AA15">
        <v>31</v>
      </c>
      <c r="AB15">
        <v>31</v>
      </c>
      <c r="AC15">
        <v>18</v>
      </c>
      <c r="AD15">
        <v>51</v>
      </c>
      <c r="AF15" t="s">
        <v>399</v>
      </c>
    </row>
    <row r="16" spans="1:32" x14ac:dyDescent="0.3">
      <c r="A16">
        <v>15</v>
      </c>
      <c r="B16" t="s">
        <v>135</v>
      </c>
      <c r="C16">
        <v>38</v>
      </c>
      <c r="D16" t="s">
        <v>134</v>
      </c>
      <c r="E16" t="s">
        <v>78</v>
      </c>
      <c r="F16">
        <v>42</v>
      </c>
      <c r="G16">
        <v>24</v>
      </c>
      <c r="H16">
        <v>25</v>
      </c>
      <c r="I16">
        <v>49</v>
      </c>
      <c r="J16">
        <v>1</v>
      </c>
      <c r="K16">
        <v>30</v>
      </c>
      <c r="L16">
        <v>15</v>
      </c>
      <c r="M16">
        <v>9</v>
      </c>
      <c r="N16">
        <v>0</v>
      </c>
      <c r="O16">
        <v>3</v>
      </c>
      <c r="P16">
        <v>17</v>
      </c>
      <c r="Q16">
        <v>8</v>
      </c>
      <c r="R16">
        <v>0</v>
      </c>
      <c r="S16">
        <v>100</v>
      </c>
      <c r="T16">
        <v>24</v>
      </c>
      <c r="U16">
        <v>180</v>
      </c>
      <c r="V16" s="2">
        <v>34.354166666666664</v>
      </c>
      <c r="W16" s="3">
        <v>0.81805555555555554</v>
      </c>
      <c r="X16">
        <v>487</v>
      </c>
      <c r="Y16">
        <v>389</v>
      </c>
      <c r="Z16">
        <v>55.6</v>
      </c>
      <c r="AA16">
        <v>18</v>
      </c>
      <c r="AB16">
        <v>37</v>
      </c>
      <c r="AC16">
        <v>14</v>
      </c>
      <c r="AD16">
        <v>46</v>
      </c>
      <c r="AF16" t="s">
        <v>400</v>
      </c>
    </row>
    <row r="17" spans="1:32" x14ac:dyDescent="0.3">
      <c r="A17">
        <v>16</v>
      </c>
      <c r="B17" t="s">
        <v>401</v>
      </c>
      <c r="C17">
        <v>29</v>
      </c>
      <c r="D17" t="s">
        <v>195</v>
      </c>
      <c r="E17" t="s">
        <v>95</v>
      </c>
      <c r="F17">
        <v>39</v>
      </c>
      <c r="G17">
        <v>19</v>
      </c>
      <c r="H17">
        <v>30</v>
      </c>
      <c r="I17">
        <v>49</v>
      </c>
      <c r="J17">
        <v>-9</v>
      </c>
      <c r="K17">
        <v>32</v>
      </c>
      <c r="L17">
        <v>11</v>
      </c>
      <c r="M17">
        <v>8</v>
      </c>
      <c r="N17">
        <v>0</v>
      </c>
      <c r="O17">
        <v>2</v>
      </c>
      <c r="P17">
        <v>19</v>
      </c>
      <c r="Q17">
        <v>11</v>
      </c>
      <c r="R17">
        <v>0</v>
      </c>
      <c r="S17">
        <v>134</v>
      </c>
      <c r="T17">
        <v>14.2</v>
      </c>
      <c r="U17">
        <v>300</v>
      </c>
      <c r="V17" s="2">
        <v>32.454861111111114</v>
      </c>
      <c r="W17" s="3">
        <v>0.83194444444444449</v>
      </c>
      <c r="X17">
        <v>1</v>
      </c>
      <c r="Y17">
        <v>1</v>
      </c>
      <c r="Z17">
        <v>50</v>
      </c>
      <c r="AA17">
        <v>16</v>
      </c>
      <c r="AB17">
        <v>46</v>
      </c>
      <c r="AC17">
        <v>13</v>
      </c>
      <c r="AD17">
        <v>68</v>
      </c>
      <c r="AF17" t="s">
        <v>402</v>
      </c>
    </row>
    <row r="18" spans="1:32" x14ac:dyDescent="0.3">
      <c r="A18">
        <v>17</v>
      </c>
      <c r="B18" t="s">
        <v>403</v>
      </c>
      <c r="C18">
        <v>34</v>
      </c>
      <c r="D18" t="s">
        <v>256</v>
      </c>
      <c r="E18" t="s">
        <v>101</v>
      </c>
      <c r="F18">
        <v>44</v>
      </c>
      <c r="G18">
        <v>16</v>
      </c>
      <c r="H18">
        <v>32</v>
      </c>
      <c r="I18">
        <v>48</v>
      </c>
      <c r="J18">
        <v>-9</v>
      </c>
      <c r="K18">
        <v>14</v>
      </c>
      <c r="L18">
        <v>15</v>
      </c>
      <c r="M18">
        <v>1</v>
      </c>
      <c r="N18">
        <v>0</v>
      </c>
      <c r="O18">
        <v>3</v>
      </c>
      <c r="P18">
        <v>19</v>
      </c>
      <c r="Q18">
        <v>13</v>
      </c>
      <c r="R18">
        <v>0</v>
      </c>
      <c r="S18">
        <v>137</v>
      </c>
      <c r="T18">
        <v>11.7</v>
      </c>
      <c r="U18">
        <v>307</v>
      </c>
      <c r="V18" s="2">
        <v>38.252083333333331</v>
      </c>
      <c r="W18" s="3">
        <v>0.86944444444444446</v>
      </c>
      <c r="X18">
        <v>0</v>
      </c>
      <c r="Y18">
        <v>0</v>
      </c>
      <c r="AA18">
        <v>8</v>
      </c>
      <c r="AB18">
        <v>7</v>
      </c>
      <c r="AC18">
        <v>10</v>
      </c>
      <c r="AD18">
        <v>54</v>
      </c>
      <c r="AF18" t="s">
        <v>404</v>
      </c>
    </row>
    <row r="19" spans="1:32" x14ac:dyDescent="0.3">
      <c r="A19">
        <v>18</v>
      </c>
      <c r="B19" t="s">
        <v>289</v>
      </c>
      <c r="C19">
        <v>26</v>
      </c>
      <c r="D19" t="s">
        <v>204</v>
      </c>
      <c r="E19" t="s">
        <v>78</v>
      </c>
      <c r="F19">
        <v>44</v>
      </c>
      <c r="G19">
        <v>14</v>
      </c>
      <c r="H19">
        <v>34</v>
      </c>
      <c r="I19">
        <v>48</v>
      </c>
      <c r="J19">
        <v>18</v>
      </c>
      <c r="K19">
        <v>8</v>
      </c>
      <c r="L19">
        <v>6</v>
      </c>
      <c r="M19">
        <v>8</v>
      </c>
      <c r="N19">
        <v>0</v>
      </c>
      <c r="O19">
        <v>1</v>
      </c>
      <c r="P19">
        <v>20</v>
      </c>
      <c r="Q19">
        <v>14</v>
      </c>
      <c r="R19">
        <v>0</v>
      </c>
      <c r="S19">
        <v>94</v>
      </c>
      <c r="T19">
        <v>14.9</v>
      </c>
      <c r="U19">
        <v>208</v>
      </c>
      <c r="V19" s="2">
        <v>38.351388888888891</v>
      </c>
      <c r="W19" s="3">
        <v>0.87152777777777779</v>
      </c>
      <c r="X19">
        <v>375</v>
      </c>
      <c r="Y19">
        <v>399</v>
      </c>
      <c r="Z19">
        <v>48.4</v>
      </c>
      <c r="AA19">
        <v>37</v>
      </c>
      <c r="AB19">
        <v>34</v>
      </c>
      <c r="AC19">
        <v>14</v>
      </c>
      <c r="AD19">
        <v>38</v>
      </c>
      <c r="AF19" t="s">
        <v>405</v>
      </c>
    </row>
    <row r="20" spans="1:32" x14ac:dyDescent="0.3">
      <c r="A20">
        <v>19</v>
      </c>
      <c r="B20" t="s">
        <v>275</v>
      </c>
      <c r="C20">
        <v>23</v>
      </c>
      <c r="D20" t="s">
        <v>221</v>
      </c>
      <c r="E20" t="s">
        <v>101</v>
      </c>
      <c r="F20">
        <v>43</v>
      </c>
      <c r="G20">
        <v>13</v>
      </c>
      <c r="H20">
        <v>34</v>
      </c>
      <c r="I20">
        <v>47</v>
      </c>
      <c r="J20">
        <v>6</v>
      </c>
      <c r="K20">
        <v>10</v>
      </c>
      <c r="L20">
        <v>9</v>
      </c>
      <c r="M20">
        <v>4</v>
      </c>
      <c r="N20">
        <v>0</v>
      </c>
      <c r="O20">
        <v>4</v>
      </c>
      <c r="P20">
        <v>19</v>
      </c>
      <c r="Q20">
        <v>15</v>
      </c>
      <c r="R20">
        <v>0</v>
      </c>
      <c r="S20">
        <v>93</v>
      </c>
      <c r="T20">
        <v>14</v>
      </c>
      <c r="U20">
        <v>191</v>
      </c>
      <c r="V20" s="2">
        <v>33.702083333333334</v>
      </c>
      <c r="W20" s="3">
        <v>0.78402777777777777</v>
      </c>
      <c r="X20">
        <v>1</v>
      </c>
      <c r="Y20">
        <v>0</v>
      </c>
      <c r="Z20">
        <v>100</v>
      </c>
      <c r="AA20">
        <v>20</v>
      </c>
      <c r="AB20">
        <v>21</v>
      </c>
      <c r="AC20">
        <v>18</v>
      </c>
      <c r="AD20">
        <v>44</v>
      </c>
      <c r="AF20" t="s">
        <v>406</v>
      </c>
    </row>
    <row r="21" spans="1:32" x14ac:dyDescent="0.3">
      <c r="A21">
        <v>20</v>
      </c>
      <c r="B21" t="s">
        <v>241</v>
      </c>
      <c r="C21">
        <v>37</v>
      </c>
      <c r="D21" t="s">
        <v>164</v>
      </c>
      <c r="E21" t="s">
        <v>101</v>
      </c>
      <c r="F21">
        <v>41</v>
      </c>
      <c r="G21">
        <v>23</v>
      </c>
      <c r="H21">
        <v>23</v>
      </c>
      <c r="I21">
        <v>46</v>
      </c>
      <c r="J21">
        <v>-8</v>
      </c>
      <c r="K21">
        <v>32</v>
      </c>
      <c r="L21">
        <v>18</v>
      </c>
      <c r="M21">
        <v>5</v>
      </c>
      <c r="N21">
        <v>0</v>
      </c>
      <c r="O21">
        <v>2</v>
      </c>
      <c r="P21">
        <v>12</v>
      </c>
      <c r="Q21">
        <v>11</v>
      </c>
      <c r="R21">
        <v>0</v>
      </c>
      <c r="S21">
        <v>115</v>
      </c>
      <c r="T21">
        <v>20</v>
      </c>
      <c r="U21">
        <v>229</v>
      </c>
      <c r="V21" s="2">
        <v>31.787500000000001</v>
      </c>
      <c r="W21" s="3">
        <v>0.77500000000000002</v>
      </c>
      <c r="X21">
        <v>1</v>
      </c>
      <c r="Y21">
        <v>7</v>
      </c>
      <c r="Z21">
        <v>12.5</v>
      </c>
      <c r="AA21">
        <v>16</v>
      </c>
      <c r="AB21">
        <v>33</v>
      </c>
      <c r="AC21">
        <v>13</v>
      </c>
      <c r="AD21">
        <v>43</v>
      </c>
      <c r="AF21" t="s">
        <v>407</v>
      </c>
    </row>
    <row r="22" spans="1:32" x14ac:dyDescent="0.3">
      <c r="A22">
        <v>21</v>
      </c>
      <c r="B22" t="s">
        <v>307</v>
      </c>
      <c r="C22">
        <v>28</v>
      </c>
      <c r="D22" t="s">
        <v>306</v>
      </c>
      <c r="E22" t="s">
        <v>87</v>
      </c>
      <c r="F22">
        <v>39</v>
      </c>
      <c r="G22">
        <v>16</v>
      </c>
      <c r="H22">
        <v>30</v>
      </c>
      <c r="I22">
        <v>46</v>
      </c>
      <c r="J22">
        <v>6</v>
      </c>
      <c r="K22">
        <v>6</v>
      </c>
      <c r="L22">
        <v>15</v>
      </c>
      <c r="M22">
        <v>1</v>
      </c>
      <c r="N22">
        <v>0</v>
      </c>
      <c r="O22">
        <v>0</v>
      </c>
      <c r="P22">
        <v>20</v>
      </c>
      <c r="Q22">
        <v>9</v>
      </c>
      <c r="R22">
        <v>1</v>
      </c>
      <c r="S22">
        <v>142</v>
      </c>
      <c r="T22">
        <v>11.3</v>
      </c>
      <c r="U22">
        <v>299</v>
      </c>
      <c r="V22" s="2">
        <v>43.322222222222223</v>
      </c>
      <c r="W22" s="2">
        <v>1.1111111111111112</v>
      </c>
      <c r="X22">
        <v>0</v>
      </c>
      <c r="Y22">
        <v>0</v>
      </c>
      <c r="AA22">
        <v>55</v>
      </c>
      <c r="AB22">
        <v>18</v>
      </c>
      <c r="AC22">
        <v>20</v>
      </c>
      <c r="AD22">
        <v>68</v>
      </c>
      <c r="AF22" t="s">
        <v>408</v>
      </c>
    </row>
    <row r="23" spans="1:32" x14ac:dyDescent="0.3">
      <c r="A23">
        <v>22</v>
      </c>
      <c r="B23" t="s">
        <v>146</v>
      </c>
      <c r="C23">
        <v>29</v>
      </c>
      <c r="D23" t="s">
        <v>409</v>
      </c>
      <c r="E23" t="s">
        <v>78</v>
      </c>
      <c r="F23">
        <v>35</v>
      </c>
      <c r="G23">
        <v>13</v>
      </c>
      <c r="H23">
        <v>32</v>
      </c>
      <c r="I23">
        <v>45</v>
      </c>
      <c r="J23">
        <v>3</v>
      </c>
      <c r="K23">
        <v>2</v>
      </c>
      <c r="L23">
        <v>13</v>
      </c>
      <c r="M23">
        <v>0</v>
      </c>
      <c r="N23">
        <v>0</v>
      </c>
      <c r="O23">
        <v>3</v>
      </c>
      <c r="P23">
        <v>14</v>
      </c>
      <c r="Q23">
        <v>18</v>
      </c>
      <c r="R23">
        <v>0</v>
      </c>
      <c r="S23">
        <v>128</v>
      </c>
      <c r="T23">
        <v>10.199999999999999</v>
      </c>
      <c r="U23">
        <v>220</v>
      </c>
      <c r="V23" s="2">
        <v>31.318750000000001</v>
      </c>
      <c r="W23" s="3">
        <v>0.89513888888888893</v>
      </c>
      <c r="X23">
        <v>261</v>
      </c>
      <c r="Y23">
        <v>292</v>
      </c>
      <c r="Z23">
        <v>47.2</v>
      </c>
      <c r="AA23">
        <v>24</v>
      </c>
      <c r="AB23">
        <v>21</v>
      </c>
      <c r="AC23">
        <v>18</v>
      </c>
      <c r="AD23">
        <v>60</v>
      </c>
      <c r="AF23" t="s">
        <v>410</v>
      </c>
    </row>
    <row r="24" spans="1:32" x14ac:dyDescent="0.3">
      <c r="A24">
        <v>23</v>
      </c>
      <c r="B24" t="s">
        <v>411</v>
      </c>
      <c r="C24">
        <v>24</v>
      </c>
      <c r="D24" t="s">
        <v>243</v>
      </c>
      <c r="E24" t="s">
        <v>101</v>
      </c>
      <c r="F24">
        <v>43</v>
      </c>
      <c r="G24">
        <v>19</v>
      </c>
      <c r="H24">
        <v>26</v>
      </c>
      <c r="I24">
        <v>45</v>
      </c>
      <c r="J24">
        <v>2</v>
      </c>
      <c r="K24">
        <v>29</v>
      </c>
      <c r="L24">
        <v>12</v>
      </c>
      <c r="M24">
        <v>6</v>
      </c>
      <c r="N24">
        <v>1</v>
      </c>
      <c r="O24">
        <v>3</v>
      </c>
      <c r="P24">
        <v>16</v>
      </c>
      <c r="Q24">
        <v>10</v>
      </c>
      <c r="R24">
        <v>0</v>
      </c>
      <c r="S24">
        <v>106</v>
      </c>
      <c r="T24">
        <v>17.899999999999999</v>
      </c>
      <c r="U24">
        <v>198</v>
      </c>
      <c r="V24" s="2">
        <v>37.203472222222224</v>
      </c>
      <c r="W24" s="3">
        <v>0.86527777777777781</v>
      </c>
      <c r="X24">
        <v>217</v>
      </c>
      <c r="Y24">
        <v>179</v>
      </c>
      <c r="Z24">
        <v>54.8</v>
      </c>
      <c r="AA24">
        <v>30</v>
      </c>
      <c r="AB24">
        <v>77</v>
      </c>
      <c r="AC24">
        <v>21</v>
      </c>
      <c r="AD24">
        <v>60</v>
      </c>
      <c r="AF24" t="s">
        <v>412</v>
      </c>
    </row>
    <row r="25" spans="1:32" x14ac:dyDescent="0.3">
      <c r="A25">
        <v>24</v>
      </c>
      <c r="B25" t="s">
        <v>413</v>
      </c>
      <c r="C25">
        <v>20</v>
      </c>
      <c r="D25" t="s">
        <v>290</v>
      </c>
      <c r="E25" t="s">
        <v>78</v>
      </c>
      <c r="F25">
        <v>32</v>
      </c>
      <c r="G25">
        <v>19</v>
      </c>
      <c r="H25">
        <v>25</v>
      </c>
      <c r="I25">
        <v>44</v>
      </c>
      <c r="J25">
        <v>7</v>
      </c>
      <c r="K25">
        <v>30</v>
      </c>
      <c r="L25">
        <v>14</v>
      </c>
      <c r="M25">
        <v>5</v>
      </c>
      <c r="N25">
        <v>0</v>
      </c>
      <c r="O25">
        <v>3</v>
      </c>
      <c r="P25">
        <v>17</v>
      </c>
      <c r="Q25">
        <v>8</v>
      </c>
      <c r="R25">
        <v>0</v>
      </c>
      <c r="S25">
        <v>107</v>
      </c>
      <c r="T25">
        <v>17.8</v>
      </c>
      <c r="U25">
        <v>196</v>
      </c>
      <c r="V25" s="2">
        <v>27.913194444444443</v>
      </c>
      <c r="W25" s="3">
        <v>0.87222222222222223</v>
      </c>
      <c r="X25">
        <v>148</v>
      </c>
      <c r="Y25">
        <v>167</v>
      </c>
      <c r="Z25">
        <v>47</v>
      </c>
      <c r="AA25">
        <v>15</v>
      </c>
      <c r="AB25">
        <v>9</v>
      </c>
      <c r="AC25">
        <v>13</v>
      </c>
      <c r="AD25">
        <v>42</v>
      </c>
      <c r="AF25" t="s">
        <v>414</v>
      </c>
    </row>
    <row r="26" spans="1:32" x14ac:dyDescent="0.3">
      <c r="A26">
        <v>25</v>
      </c>
      <c r="B26" t="s">
        <v>168</v>
      </c>
      <c r="C26">
        <v>31</v>
      </c>
      <c r="D26" t="s">
        <v>121</v>
      </c>
      <c r="E26" t="s">
        <v>78</v>
      </c>
      <c r="F26">
        <v>42</v>
      </c>
      <c r="G26">
        <v>19</v>
      </c>
      <c r="H26">
        <v>25</v>
      </c>
      <c r="I26">
        <v>44</v>
      </c>
      <c r="J26">
        <v>8</v>
      </c>
      <c r="K26">
        <v>17</v>
      </c>
      <c r="L26">
        <v>12</v>
      </c>
      <c r="M26">
        <v>5</v>
      </c>
      <c r="N26">
        <v>2</v>
      </c>
      <c r="O26">
        <v>3</v>
      </c>
      <c r="P26">
        <v>14</v>
      </c>
      <c r="Q26">
        <v>11</v>
      </c>
      <c r="R26">
        <v>0</v>
      </c>
      <c r="S26">
        <v>109</v>
      </c>
      <c r="T26">
        <v>17.399999999999999</v>
      </c>
      <c r="U26">
        <v>196</v>
      </c>
      <c r="V26" s="2">
        <v>36.097222222222221</v>
      </c>
      <c r="W26" s="3">
        <v>0.85972222222222228</v>
      </c>
      <c r="X26">
        <v>84</v>
      </c>
      <c r="Y26">
        <v>91</v>
      </c>
      <c r="Z26">
        <v>48</v>
      </c>
      <c r="AA26">
        <v>27</v>
      </c>
      <c r="AB26">
        <v>18</v>
      </c>
      <c r="AC26">
        <v>15</v>
      </c>
      <c r="AD26">
        <v>35</v>
      </c>
      <c r="AF26" t="s">
        <v>415</v>
      </c>
    </row>
    <row r="27" spans="1:32" x14ac:dyDescent="0.3">
      <c r="A27">
        <v>26</v>
      </c>
      <c r="B27" t="s">
        <v>416</v>
      </c>
      <c r="C27">
        <v>21</v>
      </c>
      <c r="D27" t="s">
        <v>204</v>
      </c>
      <c r="E27" t="s">
        <v>87</v>
      </c>
      <c r="F27">
        <v>44</v>
      </c>
      <c r="G27">
        <v>8</v>
      </c>
      <c r="H27">
        <v>36</v>
      </c>
      <c r="I27">
        <v>44</v>
      </c>
      <c r="J27">
        <v>17</v>
      </c>
      <c r="K27">
        <v>8</v>
      </c>
      <c r="L27">
        <v>7</v>
      </c>
      <c r="M27">
        <v>1</v>
      </c>
      <c r="N27">
        <v>0</v>
      </c>
      <c r="O27">
        <v>3</v>
      </c>
      <c r="P27">
        <v>26</v>
      </c>
      <c r="Q27">
        <v>10</v>
      </c>
      <c r="R27">
        <v>0</v>
      </c>
      <c r="S27">
        <v>72</v>
      </c>
      <c r="T27">
        <v>11.1</v>
      </c>
      <c r="U27">
        <v>165</v>
      </c>
      <c r="V27" s="2">
        <v>43.630555555555553</v>
      </c>
      <c r="W27" s="3">
        <v>0.9916666666666667</v>
      </c>
      <c r="X27">
        <v>0</v>
      </c>
      <c r="Y27">
        <v>0</v>
      </c>
      <c r="AA27">
        <v>69</v>
      </c>
      <c r="AB27">
        <v>20</v>
      </c>
      <c r="AC27">
        <v>18</v>
      </c>
      <c r="AD27">
        <v>51</v>
      </c>
      <c r="AF27" t="s">
        <v>417</v>
      </c>
    </row>
    <row r="28" spans="1:32" x14ac:dyDescent="0.3">
      <c r="A28">
        <v>27</v>
      </c>
      <c r="B28" t="s">
        <v>327</v>
      </c>
      <c r="C28">
        <v>28</v>
      </c>
      <c r="D28" t="s">
        <v>409</v>
      </c>
      <c r="E28" t="s">
        <v>95</v>
      </c>
      <c r="F28">
        <v>42</v>
      </c>
      <c r="G28">
        <v>9</v>
      </c>
      <c r="H28">
        <v>35</v>
      </c>
      <c r="I28">
        <v>44</v>
      </c>
      <c r="J28">
        <v>8</v>
      </c>
      <c r="K28">
        <v>12</v>
      </c>
      <c r="L28">
        <v>7</v>
      </c>
      <c r="M28">
        <v>2</v>
      </c>
      <c r="N28">
        <v>0</v>
      </c>
      <c r="O28">
        <v>0</v>
      </c>
      <c r="P28">
        <v>24</v>
      </c>
      <c r="Q28">
        <v>11</v>
      </c>
      <c r="R28">
        <v>0</v>
      </c>
      <c r="S28">
        <v>77</v>
      </c>
      <c r="T28">
        <v>11.7</v>
      </c>
      <c r="U28">
        <v>182</v>
      </c>
      <c r="V28" s="2">
        <v>35.230555555555554</v>
      </c>
      <c r="W28" s="3">
        <v>0.83888888888888891</v>
      </c>
      <c r="X28">
        <v>42</v>
      </c>
      <c r="Y28">
        <v>63</v>
      </c>
      <c r="Z28">
        <v>40</v>
      </c>
      <c r="AA28">
        <v>27</v>
      </c>
      <c r="AB28">
        <v>15</v>
      </c>
      <c r="AC28">
        <v>18</v>
      </c>
      <c r="AD28">
        <v>58</v>
      </c>
      <c r="AF28" t="s">
        <v>418</v>
      </c>
    </row>
    <row r="29" spans="1:32" x14ac:dyDescent="0.3">
      <c r="A29">
        <v>28</v>
      </c>
      <c r="B29" t="s">
        <v>277</v>
      </c>
      <c r="C29">
        <v>30</v>
      </c>
      <c r="D29" t="s">
        <v>164</v>
      </c>
      <c r="E29" t="s">
        <v>78</v>
      </c>
      <c r="F29">
        <v>43</v>
      </c>
      <c r="G29">
        <v>23</v>
      </c>
      <c r="H29">
        <v>21</v>
      </c>
      <c r="I29">
        <v>44</v>
      </c>
      <c r="J29">
        <v>-11</v>
      </c>
      <c r="K29">
        <v>4</v>
      </c>
      <c r="L29">
        <v>12</v>
      </c>
      <c r="M29">
        <v>8</v>
      </c>
      <c r="N29">
        <v>3</v>
      </c>
      <c r="O29">
        <v>5</v>
      </c>
      <c r="P29">
        <v>13</v>
      </c>
      <c r="Q29">
        <v>8</v>
      </c>
      <c r="R29">
        <v>0</v>
      </c>
      <c r="S29">
        <v>113</v>
      </c>
      <c r="T29">
        <v>20.399999999999999</v>
      </c>
      <c r="U29">
        <v>254</v>
      </c>
      <c r="V29" s="2">
        <v>38.18472222222222</v>
      </c>
      <c r="W29" s="3">
        <v>0.8881944444444444</v>
      </c>
      <c r="X29">
        <v>39</v>
      </c>
      <c r="Y29">
        <v>69</v>
      </c>
      <c r="Z29">
        <v>36.1</v>
      </c>
      <c r="AA29">
        <v>27</v>
      </c>
      <c r="AB29">
        <v>42</v>
      </c>
      <c r="AC29">
        <v>12</v>
      </c>
      <c r="AD29">
        <v>30</v>
      </c>
      <c r="AF29" t="s">
        <v>419</v>
      </c>
    </row>
    <row r="30" spans="1:32" x14ac:dyDescent="0.3">
      <c r="A30">
        <v>29</v>
      </c>
      <c r="B30" t="s">
        <v>73</v>
      </c>
      <c r="C30">
        <v>28</v>
      </c>
      <c r="D30" t="s">
        <v>72</v>
      </c>
      <c r="E30" t="s">
        <v>380</v>
      </c>
      <c r="F30">
        <v>44</v>
      </c>
      <c r="G30">
        <v>17</v>
      </c>
      <c r="H30">
        <v>26</v>
      </c>
      <c r="I30">
        <v>43</v>
      </c>
      <c r="J30">
        <v>5</v>
      </c>
      <c r="K30">
        <v>18</v>
      </c>
      <c r="L30">
        <v>12</v>
      </c>
      <c r="M30">
        <v>4</v>
      </c>
      <c r="N30">
        <v>1</v>
      </c>
      <c r="O30">
        <v>2</v>
      </c>
      <c r="P30">
        <v>17</v>
      </c>
      <c r="Q30">
        <v>8</v>
      </c>
      <c r="R30">
        <v>1</v>
      </c>
      <c r="S30">
        <v>103</v>
      </c>
      <c r="T30">
        <v>16.5</v>
      </c>
      <c r="U30">
        <v>225</v>
      </c>
      <c r="V30" s="2">
        <v>36.265972222222224</v>
      </c>
      <c r="W30" s="3">
        <v>0.82430555555555551</v>
      </c>
      <c r="X30">
        <v>339</v>
      </c>
      <c r="Y30">
        <v>351</v>
      </c>
      <c r="Z30">
        <v>49.1</v>
      </c>
      <c r="AA30">
        <v>16</v>
      </c>
      <c r="AB30">
        <v>37</v>
      </c>
      <c r="AC30">
        <v>21</v>
      </c>
      <c r="AD30">
        <v>59</v>
      </c>
      <c r="AF30" t="s">
        <v>420</v>
      </c>
    </row>
    <row r="31" spans="1:32" x14ac:dyDescent="0.3">
      <c r="A31">
        <v>30</v>
      </c>
      <c r="B31" t="s">
        <v>421</v>
      </c>
      <c r="C31">
        <v>28</v>
      </c>
      <c r="D31" t="s">
        <v>221</v>
      </c>
      <c r="E31" t="s">
        <v>95</v>
      </c>
      <c r="F31">
        <v>45</v>
      </c>
      <c r="G31">
        <v>22</v>
      </c>
      <c r="H31">
        <v>21</v>
      </c>
      <c r="I31">
        <v>43</v>
      </c>
      <c r="J31">
        <v>3</v>
      </c>
      <c r="K31">
        <v>10</v>
      </c>
      <c r="L31">
        <v>12</v>
      </c>
      <c r="M31">
        <v>10</v>
      </c>
      <c r="N31">
        <v>0</v>
      </c>
      <c r="O31">
        <v>4</v>
      </c>
      <c r="P31">
        <v>17</v>
      </c>
      <c r="Q31">
        <v>4</v>
      </c>
      <c r="R31">
        <v>0</v>
      </c>
      <c r="S31">
        <v>154</v>
      </c>
      <c r="T31">
        <v>14.3</v>
      </c>
      <c r="U31">
        <v>303</v>
      </c>
      <c r="V31" s="2">
        <v>33.643749999999997</v>
      </c>
      <c r="W31" s="3">
        <v>0.74791666666666667</v>
      </c>
      <c r="X31">
        <v>8</v>
      </c>
      <c r="Y31">
        <v>18</v>
      </c>
      <c r="Z31">
        <v>30.8</v>
      </c>
      <c r="AA31">
        <v>18</v>
      </c>
      <c r="AB31">
        <v>22</v>
      </c>
      <c r="AC31">
        <v>20</v>
      </c>
      <c r="AD31">
        <v>41</v>
      </c>
      <c r="AF31" t="s">
        <v>422</v>
      </c>
    </row>
    <row r="32" spans="1:32" x14ac:dyDescent="0.3">
      <c r="A32">
        <v>31</v>
      </c>
      <c r="B32" t="s">
        <v>114</v>
      </c>
      <c r="C32">
        <v>21</v>
      </c>
      <c r="D32" t="s">
        <v>113</v>
      </c>
      <c r="E32" t="s">
        <v>78</v>
      </c>
      <c r="F32">
        <v>43</v>
      </c>
      <c r="G32">
        <v>17</v>
      </c>
      <c r="H32">
        <v>25</v>
      </c>
      <c r="I32">
        <v>42</v>
      </c>
      <c r="J32">
        <v>3</v>
      </c>
      <c r="K32">
        <v>29</v>
      </c>
      <c r="L32">
        <v>12</v>
      </c>
      <c r="M32">
        <v>3</v>
      </c>
      <c r="N32">
        <v>2</v>
      </c>
      <c r="O32">
        <v>3</v>
      </c>
      <c r="P32">
        <v>15</v>
      </c>
      <c r="Q32">
        <v>9</v>
      </c>
      <c r="R32">
        <v>1</v>
      </c>
      <c r="S32">
        <v>102</v>
      </c>
      <c r="T32">
        <v>16.7</v>
      </c>
      <c r="U32">
        <v>211</v>
      </c>
      <c r="V32" s="2">
        <v>34.867361111111109</v>
      </c>
      <c r="W32" s="3">
        <v>0.81111111111111112</v>
      </c>
      <c r="X32">
        <v>305</v>
      </c>
      <c r="Y32">
        <v>368</v>
      </c>
      <c r="Z32">
        <v>45.3</v>
      </c>
      <c r="AA32">
        <v>15</v>
      </c>
      <c r="AB32">
        <v>7</v>
      </c>
      <c r="AC32">
        <v>18</v>
      </c>
      <c r="AD32">
        <v>49</v>
      </c>
      <c r="AF32" t="s">
        <v>423</v>
      </c>
    </row>
    <row r="33" spans="1:32" x14ac:dyDescent="0.3">
      <c r="A33">
        <v>32</v>
      </c>
      <c r="B33" t="s">
        <v>424</v>
      </c>
      <c r="C33">
        <v>25</v>
      </c>
      <c r="D33" t="s">
        <v>204</v>
      </c>
      <c r="E33" t="s">
        <v>95</v>
      </c>
      <c r="F33">
        <v>44</v>
      </c>
      <c r="G33">
        <v>21</v>
      </c>
      <c r="H33">
        <v>21</v>
      </c>
      <c r="I33">
        <v>42</v>
      </c>
      <c r="J33">
        <v>13</v>
      </c>
      <c r="K33">
        <v>8</v>
      </c>
      <c r="L33">
        <v>17</v>
      </c>
      <c r="M33">
        <v>4</v>
      </c>
      <c r="N33">
        <v>0</v>
      </c>
      <c r="O33">
        <v>5</v>
      </c>
      <c r="P33">
        <v>11</v>
      </c>
      <c r="Q33">
        <v>10</v>
      </c>
      <c r="R33">
        <v>0</v>
      </c>
      <c r="S33">
        <v>123</v>
      </c>
      <c r="T33">
        <v>17.100000000000001</v>
      </c>
      <c r="U33">
        <v>239</v>
      </c>
      <c r="V33" s="2">
        <v>33.745138888888889</v>
      </c>
      <c r="W33" s="3">
        <v>0.76666666666666672</v>
      </c>
      <c r="X33">
        <v>4</v>
      </c>
      <c r="Y33">
        <v>8</v>
      </c>
      <c r="Z33">
        <v>33.299999999999997</v>
      </c>
      <c r="AA33">
        <v>11</v>
      </c>
      <c r="AB33">
        <v>33</v>
      </c>
      <c r="AC33">
        <v>16</v>
      </c>
      <c r="AD33">
        <v>23</v>
      </c>
      <c r="AF33" t="s">
        <v>425</v>
      </c>
    </row>
    <row r="34" spans="1:32" x14ac:dyDescent="0.3">
      <c r="A34">
        <v>33</v>
      </c>
      <c r="B34" t="s">
        <v>426</v>
      </c>
      <c r="C34">
        <v>28</v>
      </c>
      <c r="D34" t="s">
        <v>113</v>
      </c>
      <c r="E34" t="s">
        <v>78</v>
      </c>
      <c r="F34">
        <v>43</v>
      </c>
      <c r="G34">
        <v>13</v>
      </c>
      <c r="H34">
        <v>29</v>
      </c>
      <c r="I34">
        <v>42</v>
      </c>
      <c r="J34">
        <v>6</v>
      </c>
      <c r="K34">
        <v>12</v>
      </c>
      <c r="L34">
        <v>11</v>
      </c>
      <c r="M34">
        <v>0</v>
      </c>
      <c r="N34">
        <v>2</v>
      </c>
      <c r="O34">
        <v>1</v>
      </c>
      <c r="P34">
        <v>18</v>
      </c>
      <c r="Q34">
        <v>9</v>
      </c>
      <c r="R34">
        <v>2</v>
      </c>
      <c r="S34">
        <v>103</v>
      </c>
      <c r="T34">
        <v>12.6</v>
      </c>
      <c r="U34">
        <v>212</v>
      </c>
      <c r="V34" s="2">
        <v>33.356944444444444</v>
      </c>
      <c r="W34" s="3">
        <v>0.77569444444444446</v>
      </c>
      <c r="X34">
        <v>4</v>
      </c>
      <c r="Y34">
        <v>4</v>
      </c>
      <c r="Z34">
        <v>50</v>
      </c>
      <c r="AA34">
        <v>13</v>
      </c>
      <c r="AB34">
        <v>0</v>
      </c>
      <c r="AC34">
        <v>16</v>
      </c>
      <c r="AD34">
        <v>35</v>
      </c>
      <c r="AF34" t="s">
        <v>427</v>
      </c>
    </row>
    <row r="35" spans="1:32" x14ac:dyDescent="0.3">
      <c r="A35">
        <v>34</v>
      </c>
      <c r="B35" t="s">
        <v>311</v>
      </c>
      <c r="C35">
        <v>31</v>
      </c>
      <c r="D35" t="s">
        <v>310</v>
      </c>
      <c r="E35" t="s">
        <v>95</v>
      </c>
      <c r="F35">
        <v>41</v>
      </c>
      <c r="G35">
        <v>22</v>
      </c>
      <c r="H35">
        <v>20</v>
      </c>
      <c r="I35">
        <v>42</v>
      </c>
      <c r="J35">
        <v>20</v>
      </c>
      <c r="K35">
        <v>59</v>
      </c>
      <c r="L35">
        <v>15</v>
      </c>
      <c r="M35">
        <v>7</v>
      </c>
      <c r="N35">
        <v>0</v>
      </c>
      <c r="O35">
        <v>2</v>
      </c>
      <c r="P35">
        <v>18</v>
      </c>
      <c r="Q35">
        <v>2</v>
      </c>
      <c r="R35">
        <v>0</v>
      </c>
      <c r="S35">
        <v>97</v>
      </c>
      <c r="T35">
        <v>22.7</v>
      </c>
      <c r="U35">
        <v>181</v>
      </c>
      <c r="V35" s="2">
        <v>33.104166666666664</v>
      </c>
      <c r="W35" s="3">
        <v>0.80763888888888891</v>
      </c>
      <c r="X35">
        <v>11</v>
      </c>
      <c r="Y35">
        <v>13</v>
      </c>
      <c r="Z35">
        <v>45.8</v>
      </c>
      <c r="AA35">
        <v>24</v>
      </c>
      <c r="AB35">
        <v>110</v>
      </c>
      <c r="AC35">
        <v>11</v>
      </c>
      <c r="AD35">
        <v>49</v>
      </c>
      <c r="AF35" t="s">
        <v>428</v>
      </c>
    </row>
    <row r="36" spans="1:32" x14ac:dyDescent="0.3">
      <c r="A36">
        <v>35</v>
      </c>
      <c r="B36" t="s">
        <v>429</v>
      </c>
      <c r="C36">
        <v>26</v>
      </c>
      <c r="D36" t="s">
        <v>250</v>
      </c>
      <c r="E36" t="s">
        <v>87</v>
      </c>
      <c r="F36">
        <v>44</v>
      </c>
      <c r="G36">
        <v>9</v>
      </c>
      <c r="H36">
        <v>32</v>
      </c>
      <c r="I36">
        <v>41</v>
      </c>
      <c r="J36">
        <v>1</v>
      </c>
      <c r="K36">
        <v>16</v>
      </c>
      <c r="L36">
        <v>3</v>
      </c>
      <c r="M36">
        <v>6</v>
      </c>
      <c r="N36">
        <v>0</v>
      </c>
      <c r="O36">
        <v>2</v>
      </c>
      <c r="P36">
        <v>21</v>
      </c>
      <c r="Q36">
        <v>10</v>
      </c>
      <c r="R36">
        <v>1</v>
      </c>
      <c r="S36">
        <v>112</v>
      </c>
      <c r="T36">
        <v>8</v>
      </c>
      <c r="U36">
        <v>243</v>
      </c>
      <c r="V36" s="2">
        <v>44.914583333333333</v>
      </c>
      <c r="W36" s="2">
        <v>1.0208333333333333</v>
      </c>
      <c r="X36">
        <v>0</v>
      </c>
      <c r="Y36">
        <v>0</v>
      </c>
      <c r="AA36">
        <v>61</v>
      </c>
      <c r="AB36">
        <v>12</v>
      </c>
      <c r="AC36">
        <v>21</v>
      </c>
      <c r="AD36">
        <v>65</v>
      </c>
      <c r="AF36" t="s">
        <v>430</v>
      </c>
    </row>
    <row r="37" spans="1:32" x14ac:dyDescent="0.3">
      <c r="A37">
        <v>36</v>
      </c>
      <c r="B37" t="s">
        <v>431</v>
      </c>
      <c r="C37">
        <v>27</v>
      </c>
      <c r="D37" t="s">
        <v>195</v>
      </c>
      <c r="E37" t="s">
        <v>78</v>
      </c>
      <c r="F37">
        <v>44</v>
      </c>
      <c r="G37">
        <v>25</v>
      </c>
      <c r="H37">
        <v>16</v>
      </c>
      <c r="I37">
        <v>41</v>
      </c>
      <c r="J37">
        <v>-6</v>
      </c>
      <c r="K37">
        <v>14</v>
      </c>
      <c r="L37">
        <v>18</v>
      </c>
      <c r="M37">
        <v>7</v>
      </c>
      <c r="N37">
        <v>0</v>
      </c>
      <c r="O37">
        <v>4</v>
      </c>
      <c r="P37">
        <v>11</v>
      </c>
      <c r="Q37">
        <v>5</v>
      </c>
      <c r="R37">
        <v>0</v>
      </c>
      <c r="S37">
        <v>105</v>
      </c>
      <c r="T37">
        <v>23.8</v>
      </c>
      <c r="U37">
        <v>196</v>
      </c>
      <c r="V37" s="2">
        <v>32.240972222222226</v>
      </c>
      <c r="W37" s="3">
        <v>0.73263888888888884</v>
      </c>
      <c r="X37">
        <v>50</v>
      </c>
      <c r="Y37">
        <v>61</v>
      </c>
      <c r="Z37">
        <v>45</v>
      </c>
      <c r="AA37">
        <v>16</v>
      </c>
      <c r="AB37">
        <v>69</v>
      </c>
      <c r="AC37">
        <v>11</v>
      </c>
      <c r="AD37">
        <v>37</v>
      </c>
      <c r="AF37" t="s">
        <v>432</v>
      </c>
    </row>
    <row r="38" spans="1:32" x14ac:dyDescent="0.3">
      <c r="A38">
        <v>37</v>
      </c>
      <c r="B38" t="s">
        <v>211</v>
      </c>
      <c r="C38">
        <v>27</v>
      </c>
      <c r="D38" t="s">
        <v>210</v>
      </c>
      <c r="E38" t="s">
        <v>78</v>
      </c>
      <c r="F38">
        <v>45</v>
      </c>
      <c r="G38">
        <v>13</v>
      </c>
      <c r="H38">
        <v>28</v>
      </c>
      <c r="I38">
        <v>41</v>
      </c>
      <c r="J38">
        <v>8</v>
      </c>
      <c r="K38">
        <v>14</v>
      </c>
      <c r="L38">
        <v>12</v>
      </c>
      <c r="M38">
        <v>1</v>
      </c>
      <c r="N38">
        <v>0</v>
      </c>
      <c r="O38">
        <v>3</v>
      </c>
      <c r="P38">
        <v>15</v>
      </c>
      <c r="Q38">
        <v>13</v>
      </c>
      <c r="R38">
        <v>0</v>
      </c>
      <c r="S38">
        <v>126</v>
      </c>
      <c r="T38">
        <v>10.3</v>
      </c>
      <c r="U38">
        <v>221</v>
      </c>
      <c r="V38" s="2">
        <v>36.212499999999999</v>
      </c>
      <c r="W38" s="3">
        <v>0.80486111111111114</v>
      </c>
      <c r="X38">
        <v>11</v>
      </c>
      <c r="Y38">
        <v>13</v>
      </c>
      <c r="Z38">
        <v>45.8</v>
      </c>
      <c r="AA38">
        <v>18</v>
      </c>
      <c r="AB38">
        <v>8</v>
      </c>
      <c r="AC38">
        <v>14</v>
      </c>
      <c r="AD38">
        <v>54</v>
      </c>
      <c r="AF38" t="s">
        <v>433</v>
      </c>
    </row>
    <row r="39" spans="1:32" x14ac:dyDescent="0.3">
      <c r="A39">
        <v>38</v>
      </c>
      <c r="B39" t="s">
        <v>263</v>
      </c>
      <c r="C39">
        <v>29</v>
      </c>
      <c r="D39" t="s">
        <v>150</v>
      </c>
      <c r="E39" t="s">
        <v>78</v>
      </c>
      <c r="F39">
        <v>33</v>
      </c>
      <c r="G39">
        <v>14</v>
      </c>
      <c r="H39">
        <v>27</v>
      </c>
      <c r="I39">
        <v>41</v>
      </c>
      <c r="J39">
        <v>-1</v>
      </c>
      <c r="K39">
        <v>12</v>
      </c>
      <c r="L39">
        <v>11</v>
      </c>
      <c r="M39">
        <v>3</v>
      </c>
      <c r="N39">
        <v>0</v>
      </c>
      <c r="O39">
        <v>2</v>
      </c>
      <c r="P39">
        <v>22</v>
      </c>
      <c r="Q39">
        <v>5</v>
      </c>
      <c r="R39">
        <v>0</v>
      </c>
      <c r="S39">
        <v>68</v>
      </c>
      <c r="T39">
        <v>20.6</v>
      </c>
      <c r="U39">
        <v>149</v>
      </c>
      <c r="V39" s="2">
        <v>26.359027777777779</v>
      </c>
      <c r="W39" s="3">
        <v>0.79861111111111116</v>
      </c>
      <c r="X39">
        <v>18</v>
      </c>
      <c r="Y39">
        <v>31</v>
      </c>
      <c r="Z39">
        <v>36.700000000000003</v>
      </c>
      <c r="AA39">
        <v>12</v>
      </c>
      <c r="AB39">
        <v>4</v>
      </c>
      <c r="AC39">
        <v>15</v>
      </c>
      <c r="AD39">
        <v>34</v>
      </c>
      <c r="AF39" t="s">
        <v>434</v>
      </c>
    </row>
    <row r="40" spans="1:32" x14ac:dyDescent="0.3">
      <c r="A40">
        <v>39</v>
      </c>
      <c r="B40" t="s">
        <v>435</v>
      </c>
      <c r="C40">
        <v>24</v>
      </c>
      <c r="D40" t="s">
        <v>278</v>
      </c>
      <c r="E40" t="s">
        <v>78</v>
      </c>
      <c r="F40">
        <v>42</v>
      </c>
      <c r="G40">
        <v>17</v>
      </c>
      <c r="H40">
        <v>24</v>
      </c>
      <c r="I40">
        <v>41</v>
      </c>
      <c r="J40">
        <v>3</v>
      </c>
      <c r="K40">
        <v>32</v>
      </c>
      <c r="L40">
        <v>11</v>
      </c>
      <c r="M40">
        <v>6</v>
      </c>
      <c r="N40">
        <v>0</v>
      </c>
      <c r="O40">
        <v>2</v>
      </c>
      <c r="P40">
        <v>17</v>
      </c>
      <c r="Q40">
        <v>7</v>
      </c>
      <c r="R40">
        <v>0</v>
      </c>
      <c r="S40">
        <v>93</v>
      </c>
      <c r="T40">
        <v>18.3</v>
      </c>
      <c r="U40">
        <v>198</v>
      </c>
      <c r="V40" s="2">
        <v>32.931944444444447</v>
      </c>
      <c r="W40" s="3">
        <v>0.78402777777777777</v>
      </c>
      <c r="X40">
        <v>53</v>
      </c>
      <c r="Y40">
        <v>89</v>
      </c>
      <c r="Z40">
        <v>37.299999999999997</v>
      </c>
      <c r="AA40">
        <v>11</v>
      </c>
      <c r="AB40">
        <v>15</v>
      </c>
      <c r="AC40">
        <v>13</v>
      </c>
      <c r="AD40">
        <v>40</v>
      </c>
      <c r="AF40" t="s">
        <v>436</v>
      </c>
    </row>
    <row r="41" spans="1:32" x14ac:dyDescent="0.3">
      <c r="A41">
        <v>40</v>
      </c>
      <c r="B41" t="s">
        <v>437</v>
      </c>
      <c r="C41">
        <v>22</v>
      </c>
      <c r="D41" t="s">
        <v>113</v>
      </c>
      <c r="E41" t="s">
        <v>101</v>
      </c>
      <c r="F41">
        <v>44</v>
      </c>
      <c r="G41">
        <v>20</v>
      </c>
      <c r="H41">
        <v>20</v>
      </c>
      <c r="I41">
        <v>40</v>
      </c>
      <c r="J41">
        <v>4</v>
      </c>
      <c r="K41">
        <v>16</v>
      </c>
      <c r="L41">
        <v>15</v>
      </c>
      <c r="M41">
        <v>5</v>
      </c>
      <c r="N41">
        <v>0</v>
      </c>
      <c r="O41">
        <v>3</v>
      </c>
      <c r="P41">
        <v>16</v>
      </c>
      <c r="Q41">
        <v>4</v>
      </c>
      <c r="R41">
        <v>0</v>
      </c>
      <c r="S41">
        <v>165</v>
      </c>
      <c r="T41">
        <v>12.1</v>
      </c>
      <c r="U41">
        <v>323</v>
      </c>
      <c r="V41" s="2">
        <v>32.294444444444444</v>
      </c>
      <c r="W41" s="3">
        <v>0.73402777777777772</v>
      </c>
      <c r="X41">
        <v>31</v>
      </c>
      <c r="Y41">
        <v>42</v>
      </c>
      <c r="Z41">
        <v>42.5</v>
      </c>
      <c r="AA41">
        <v>12</v>
      </c>
      <c r="AB41">
        <v>31</v>
      </c>
      <c r="AC41">
        <v>12</v>
      </c>
      <c r="AD41">
        <v>44</v>
      </c>
      <c r="AF41" t="s">
        <v>438</v>
      </c>
    </row>
    <row r="42" spans="1:32" x14ac:dyDescent="0.3">
      <c r="A42">
        <v>41</v>
      </c>
      <c r="B42" t="s">
        <v>222</v>
      </c>
      <c r="C42">
        <v>29</v>
      </c>
      <c r="D42" t="s">
        <v>221</v>
      </c>
      <c r="E42" t="s">
        <v>78</v>
      </c>
      <c r="F42">
        <v>45</v>
      </c>
      <c r="G42">
        <v>22</v>
      </c>
      <c r="H42">
        <v>18</v>
      </c>
      <c r="I42">
        <v>40</v>
      </c>
      <c r="J42">
        <v>3</v>
      </c>
      <c r="K42">
        <v>32</v>
      </c>
      <c r="L42">
        <v>15</v>
      </c>
      <c r="M42">
        <v>7</v>
      </c>
      <c r="N42">
        <v>0</v>
      </c>
      <c r="O42">
        <v>5</v>
      </c>
      <c r="P42">
        <v>13</v>
      </c>
      <c r="Q42">
        <v>5</v>
      </c>
      <c r="R42">
        <v>0</v>
      </c>
      <c r="S42">
        <v>130</v>
      </c>
      <c r="T42">
        <v>16.899999999999999</v>
      </c>
      <c r="U42">
        <v>270</v>
      </c>
      <c r="V42" s="2">
        <v>38.440972222222221</v>
      </c>
      <c r="W42" s="3">
        <v>0.85416666666666663</v>
      </c>
      <c r="X42">
        <v>492</v>
      </c>
      <c r="Y42">
        <v>431</v>
      </c>
      <c r="Z42">
        <v>53.3</v>
      </c>
      <c r="AA42">
        <v>26</v>
      </c>
      <c r="AB42">
        <v>21</v>
      </c>
      <c r="AC42">
        <v>11</v>
      </c>
      <c r="AD42">
        <v>41</v>
      </c>
      <c r="AF42" t="s">
        <v>439</v>
      </c>
    </row>
    <row r="43" spans="1:32" x14ac:dyDescent="0.3">
      <c r="A43">
        <v>42</v>
      </c>
      <c r="B43" t="s">
        <v>440</v>
      </c>
      <c r="C43">
        <v>29</v>
      </c>
      <c r="D43" t="s">
        <v>210</v>
      </c>
      <c r="E43" t="s">
        <v>78</v>
      </c>
      <c r="F43">
        <v>45</v>
      </c>
      <c r="G43">
        <v>16</v>
      </c>
      <c r="H43">
        <v>24</v>
      </c>
      <c r="I43">
        <v>40</v>
      </c>
      <c r="J43">
        <v>7</v>
      </c>
      <c r="K43">
        <v>12</v>
      </c>
      <c r="L43">
        <v>12</v>
      </c>
      <c r="M43">
        <v>4</v>
      </c>
      <c r="N43">
        <v>0</v>
      </c>
      <c r="O43">
        <v>4</v>
      </c>
      <c r="P43">
        <v>19</v>
      </c>
      <c r="Q43">
        <v>5</v>
      </c>
      <c r="R43">
        <v>0</v>
      </c>
      <c r="S43">
        <v>114</v>
      </c>
      <c r="T43">
        <v>14</v>
      </c>
      <c r="U43">
        <v>218</v>
      </c>
      <c r="V43" s="2">
        <v>37.003472222222221</v>
      </c>
      <c r="W43" s="3">
        <v>0.82222222222222219</v>
      </c>
      <c r="X43">
        <v>211</v>
      </c>
      <c r="Y43">
        <v>233</v>
      </c>
      <c r="Z43">
        <v>47.5</v>
      </c>
      <c r="AA43">
        <v>29</v>
      </c>
      <c r="AB43">
        <v>11</v>
      </c>
      <c r="AC43">
        <v>22</v>
      </c>
      <c r="AD43">
        <v>50</v>
      </c>
      <c r="AF43" t="s">
        <v>441</v>
      </c>
    </row>
    <row r="44" spans="1:32" x14ac:dyDescent="0.3">
      <c r="A44">
        <v>43</v>
      </c>
      <c r="B44" t="s">
        <v>442</v>
      </c>
      <c r="C44">
        <v>27</v>
      </c>
      <c r="D44" t="s">
        <v>243</v>
      </c>
      <c r="E44" t="s">
        <v>78</v>
      </c>
      <c r="F44">
        <v>40</v>
      </c>
      <c r="G44">
        <v>16</v>
      </c>
      <c r="H44">
        <v>23</v>
      </c>
      <c r="I44">
        <v>39</v>
      </c>
      <c r="J44">
        <v>-3</v>
      </c>
      <c r="K44">
        <v>19</v>
      </c>
      <c r="L44">
        <v>10</v>
      </c>
      <c r="M44">
        <v>6</v>
      </c>
      <c r="N44">
        <v>0</v>
      </c>
      <c r="O44">
        <v>3</v>
      </c>
      <c r="P44">
        <v>15</v>
      </c>
      <c r="Q44">
        <v>8</v>
      </c>
      <c r="R44">
        <v>0</v>
      </c>
      <c r="S44">
        <v>89</v>
      </c>
      <c r="T44">
        <v>18</v>
      </c>
      <c r="U44">
        <v>177</v>
      </c>
      <c r="V44" s="2">
        <v>30.365972222222222</v>
      </c>
      <c r="W44" s="3">
        <v>0.75902777777777775</v>
      </c>
      <c r="X44">
        <v>6</v>
      </c>
      <c r="Y44">
        <v>4</v>
      </c>
      <c r="Z44">
        <v>60</v>
      </c>
      <c r="AA44">
        <v>14</v>
      </c>
      <c r="AB44">
        <v>58</v>
      </c>
      <c r="AC44">
        <v>16</v>
      </c>
      <c r="AD44">
        <v>33</v>
      </c>
      <c r="AF44" t="s">
        <v>443</v>
      </c>
    </row>
    <row r="45" spans="1:32" x14ac:dyDescent="0.3">
      <c r="A45">
        <v>44</v>
      </c>
      <c r="B45" t="s">
        <v>444</v>
      </c>
      <c r="C45">
        <v>35</v>
      </c>
      <c r="D45" t="s">
        <v>150</v>
      </c>
      <c r="E45" t="s">
        <v>78</v>
      </c>
      <c r="F45">
        <v>43</v>
      </c>
      <c r="G45">
        <v>15</v>
      </c>
      <c r="H45">
        <v>24</v>
      </c>
      <c r="I45">
        <v>39</v>
      </c>
      <c r="J45">
        <v>-4</v>
      </c>
      <c r="K45">
        <v>20</v>
      </c>
      <c r="L45">
        <v>13</v>
      </c>
      <c r="M45">
        <v>2</v>
      </c>
      <c r="N45">
        <v>0</v>
      </c>
      <c r="O45">
        <v>1</v>
      </c>
      <c r="P45">
        <v>21</v>
      </c>
      <c r="Q45">
        <v>3</v>
      </c>
      <c r="R45">
        <v>0</v>
      </c>
      <c r="S45">
        <v>109</v>
      </c>
      <c r="T45">
        <v>13.8</v>
      </c>
      <c r="U45">
        <v>217</v>
      </c>
      <c r="V45" s="2">
        <v>32.303472222222226</v>
      </c>
      <c r="W45" s="3">
        <v>0.75138888888888888</v>
      </c>
      <c r="X45">
        <v>399</v>
      </c>
      <c r="Y45">
        <v>275</v>
      </c>
      <c r="Z45">
        <v>59.2</v>
      </c>
      <c r="AA45">
        <v>8</v>
      </c>
      <c r="AB45">
        <v>38</v>
      </c>
      <c r="AC45">
        <v>18</v>
      </c>
      <c r="AD45">
        <v>43</v>
      </c>
      <c r="AF45" t="s">
        <v>445</v>
      </c>
    </row>
    <row r="46" spans="1:32" x14ac:dyDescent="0.3">
      <c r="A46">
        <v>45</v>
      </c>
      <c r="B46" t="s">
        <v>295</v>
      </c>
      <c r="C46">
        <v>28</v>
      </c>
      <c r="D46" t="s">
        <v>139</v>
      </c>
      <c r="E46" t="s">
        <v>78</v>
      </c>
      <c r="F46">
        <v>42</v>
      </c>
      <c r="G46">
        <v>21</v>
      </c>
      <c r="H46">
        <v>18</v>
      </c>
      <c r="I46">
        <v>39</v>
      </c>
      <c r="J46">
        <v>-10</v>
      </c>
      <c r="K46">
        <v>23</v>
      </c>
      <c r="L46">
        <v>18</v>
      </c>
      <c r="M46">
        <v>3</v>
      </c>
      <c r="N46">
        <v>0</v>
      </c>
      <c r="O46">
        <v>1</v>
      </c>
      <c r="P46">
        <v>11</v>
      </c>
      <c r="Q46">
        <v>7</v>
      </c>
      <c r="R46">
        <v>0</v>
      </c>
      <c r="S46">
        <v>146</v>
      </c>
      <c r="T46">
        <v>14.4</v>
      </c>
      <c r="U46">
        <v>293</v>
      </c>
      <c r="V46" s="2">
        <v>32.956249999999997</v>
      </c>
      <c r="W46" s="3">
        <v>0.78472222222222221</v>
      </c>
      <c r="X46">
        <v>200</v>
      </c>
      <c r="Y46">
        <v>219</v>
      </c>
      <c r="Z46">
        <v>47.7</v>
      </c>
      <c r="AA46">
        <v>25</v>
      </c>
      <c r="AB46">
        <v>45</v>
      </c>
      <c r="AC46">
        <v>16</v>
      </c>
      <c r="AD46">
        <v>34</v>
      </c>
      <c r="AF46" t="s">
        <v>446</v>
      </c>
    </row>
    <row r="47" spans="1:32" x14ac:dyDescent="0.3">
      <c r="A47">
        <v>46</v>
      </c>
      <c r="B47" t="s">
        <v>447</v>
      </c>
      <c r="C47">
        <v>26</v>
      </c>
      <c r="D47" t="s">
        <v>130</v>
      </c>
      <c r="E47" t="s">
        <v>78</v>
      </c>
      <c r="F47">
        <v>43</v>
      </c>
      <c r="G47">
        <v>17</v>
      </c>
      <c r="H47">
        <v>22</v>
      </c>
      <c r="I47">
        <v>39</v>
      </c>
      <c r="J47">
        <v>-1</v>
      </c>
      <c r="K47">
        <v>14</v>
      </c>
      <c r="L47">
        <v>11</v>
      </c>
      <c r="M47">
        <v>6</v>
      </c>
      <c r="N47">
        <v>0</v>
      </c>
      <c r="O47">
        <v>2</v>
      </c>
      <c r="P47">
        <v>17</v>
      </c>
      <c r="Q47">
        <v>5</v>
      </c>
      <c r="R47">
        <v>0</v>
      </c>
      <c r="S47">
        <v>86</v>
      </c>
      <c r="T47">
        <v>19.8</v>
      </c>
      <c r="U47">
        <v>168</v>
      </c>
      <c r="V47" s="2">
        <v>33.74861111111111</v>
      </c>
      <c r="W47" s="3">
        <v>0.78472222222222221</v>
      </c>
      <c r="X47">
        <v>29</v>
      </c>
      <c r="Y47">
        <v>34</v>
      </c>
      <c r="Z47">
        <v>46</v>
      </c>
      <c r="AA47">
        <v>17</v>
      </c>
      <c r="AB47">
        <v>11</v>
      </c>
      <c r="AC47">
        <v>8</v>
      </c>
      <c r="AD47">
        <v>35</v>
      </c>
      <c r="AF47" t="s">
        <v>448</v>
      </c>
    </row>
    <row r="48" spans="1:32" x14ac:dyDescent="0.3">
      <c r="A48">
        <v>47</v>
      </c>
      <c r="B48" t="s">
        <v>170</v>
      </c>
      <c r="C48">
        <v>27</v>
      </c>
      <c r="D48" t="s">
        <v>121</v>
      </c>
      <c r="E48" t="s">
        <v>101</v>
      </c>
      <c r="F48">
        <v>37</v>
      </c>
      <c r="G48">
        <v>20</v>
      </c>
      <c r="H48">
        <v>18</v>
      </c>
      <c r="I48">
        <v>38</v>
      </c>
      <c r="J48">
        <v>22</v>
      </c>
      <c r="K48">
        <v>24</v>
      </c>
      <c r="L48">
        <v>17</v>
      </c>
      <c r="M48">
        <v>2</v>
      </c>
      <c r="N48">
        <v>1</v>
      </c>
      <c r="O48">
        <v>5</v>
      </c>
      <c r="P48">
        <v>15</v>
      </c>
      <c r="Q48">
        <v>3</v>
      </c>
      <c r="R48">
        <v>0</v>
      </c>
      <c r="S48">
        <v>109</v>
      </c>
      <c r="T48">
        <v>18.3</v>
      </c>
      <c r="U48">
        <v>246</v>
      </c>
      <c r="V48" s="2">
        <v>29.413888888888888</v>
      </c>
      <c r="W48" s="3">
        <v>0.79513888888888884</v>
      </c>
      <c r="X48">
        <v>16</v>
      </c>
      <c r="Y48">
        <v>20</v>
      </c>
      <c r="Z48">
        <v>44.4</v>
      </c>
      <c r="AA48">
        <v>21</v>
      </c>
      <c r="AB48">
        <v>30</v>
      </c>
      <c r="AC48">
        <v>15</v>
      </c>
      <c r="AD48">
        <v>43</v>
      </c>
      <c r="AF48" t="s">
        <v>449</v>
      </c>
    </row>
    <row r="49" spans="1:32" x14ac:dyDescent="0.3">
      <c r="A49">
        <v>48</v>
      </c>
      <c r="B49" t="s">
        <v>450</v>
      </c>
      <c r="C49">
        <v>23</v>
      </c>
      <c r="D49" t="s">
        <v>150</v>
      </c>
      <c r="E49" t="s">
        <v>101</v>
      </c>
      <c r="F49">
        <v>40</v>
      </c>
      <c r="G49">
        <v>12</v>
      </c>
      <c r="H49">
        <v>26</v>
      </c>
      <c r="I49">
        <v>38</v>
      </c>
      <c r="J49">
        <v>-2</v>
      </c>
      <c r="K49">
        <v>17</v>
      </c>
      <c r="L49">
        <v>8</v>
      </c>
      <c r="M49">
        <v>4</v>
      </c>
      <c r="N49">
        <v>0</v>
      </c>
      <c r="O49">
        <v>2</v>
      </c>
      <c r="P49">
        <v>26</v>
      </c>
      <c r="Q49">
        <v>0</v>
      </c>
      <c r="R49">
        <v>0</v>
      </c>
      <c r="S49">
        <v>85</v>
      </c>
      <c r="T49">
        <v>14.1</v>
      </c>
      <c r="U49">
        <v>140</v>
      </c>
      <c r="V49" s="2">
        <v>32.300694444444446</v>
      </c>
      <c r="W49" s="3">
        <v>0.80763888888888891</v>
      </c>
      <c r="X49">
        <v>0</v>
      </c>
      <c r="Y49">
        <v>0</v>
      </c>
      <c r="AA49">
        <v>16</v>
      </c>
      <c r="AB49">
        <v>95</v>
      </c>
      <c r="AC49">
        <v>11</v>
      </c>
      <c r="AD49">
        <v>36</v>
      </c>
      <c r="AF49" t="s">
        <v>451</v>
      </c>
    </row>
    <row r="50" spans="1:32" x14ac:dyDescent="0.3">
      <c r="A50">
        <v>49</v>
      </c>
      <c r="B50" t="s">
        <v>452</v>
      </c>
      <c r="C50">
        <v>28</v>
      </c>
      <c r="D50" t="s">
        <v>278</v>
      </c>
      <c r="E50" t="s">
        <v>95</v>
      </c>
      <c r="F50">
        <v>42</v>
      </c>
      <c r="G50">
        <v>14</v>
      </c>
      <c r="H50">
        <v>24</v>
      </c>
      <c r="I50">
        <v>38</v>
      </c>
      <c r="J50">
        <v>14</v>
      </c>
      <c r="K50">
        <v>25</v>
      </c>
      <c r="L50">
        <v>13</v>
      </c>
      <c r="M50">
        <v>1</v>
      </c>
      <c r="N50">
        <v>0</v>
      </c>
      <c r="O50">
        <v>1</v>
      </c>
      <c r="P50">
        <v>18</v>
      </c>
      <c r="Q50">
        <v>6</v>
      </c>
      <c r="R50">
        <v>0</v>
      </c>
      <c r="S50">
        <v>97</v>
      </c>
      <c r="T50">
        <v>14.4</v>
      </c>
      <c r="U50">
        <v>169</v>
      </c>
      <c r="V50" s="2">
        <v>33.147916666666667</v>
      </c>
      <c r="W50" s="3">
        <v>0.7895833333333333</v>
      </c>
      <c r="X50">
        <v>10</v>
      </c>
      <c r="Y50">
        <v>27</v>
      </c>
      <c r="Z50">
        <v>27</v>
      </c>
      <c r="AA50">
        <v>23</v>
      </c>
      <c r="AB50">
        <v>54</v>
      </c>
      <c r="AC50">
        <v>10</v>
      </c>
      <c r="AD50">
        <v>63</v>
      </c>
      <c r="AF50" t="s">
        <v>453</v>
      </c>
    </row>
    <row r="51" spans="1:32" x14ac:dyDescent="0.3">
      <c r="A51">
        <v>50</v>
      </c>
      <c r="B51" t="s">
        <v>454</v>
      </c>
      <c r="C51">
        <v>40</v>
      </c>
      <c r="D51" t="s">
        <v>310</v>
      </c>
      <c r="E51" t="s">
        <v>101</v>
      </c>
      <c r="F51">
        <v>45</v>
      </c>
      <c r="G51">
        <v>19</v>
      </c>
      <c r="H51">
        <v>19</v>
      </c>
      <c r="I51">
        <v>38</v>
      </c>
      <c r="J51">
        <v>1</v>
      </c>
      <c r="K51">
        <v>12</v>
      </c>
      <c r="L51">
        <v>17</v>
      </c>
      <c r="M51">
        <v>2</v>
      </c>
      <c r="N51">
        <v>0</v>
      </c>
      <c r="O51">
        <v>4</v>
      </c>
      <c r="P51">
        <v>12</v>
      </c>
      <c r="Q51">
        <v>7</v>
      </c>
      <c r="R51">
        <v>0</v>
      </c>
      <c r="S51">
        <v>121</v>
      </c>
      <c r="T51">
        <v>15.7</v>
      </c>
      <c r="U51">
        <v>292</v>
      </c>
      <c r="V51" s="2">
        <v>33.336805555555557</v>
      </c>
      <c r="W51" s="3">
        <v>0.74097222222222225</v>
      </c>
      <c r="X51">
        <v>2</v>
      </c>
      <c r="Y51">
        <v>0</v>
      </c>
      <c r="Z51">
        <v>100</v>
      </c>
      <c r="AA51">
        <v>9</v>
      </c>
      <c r="AB51">
        <v>80</v>
      </c>
      <c r="AC51">
        <v>5</v>
      </c>
      <c r="AD51">
        <v>41</v>
      </c>
      <c r="AF51" t="s">
        <v>455</v>
      </c>
    </row>
    <row r="52" spans="1:32" x14ac:dyDescent="0.3">
      <c r="A52">
        <v>51</v>
      </c>
      <c r="B52" t="s">
        <v>314</v>
      </c>
      <c r="C52">
        <v>32</v>
      </c>
      <c r="D52" t="s">
        <v>256</v>
      </c>
      <c r="E52" t="s">
        <v>78</v>
      </c>
      <c r="F52">
        <v>44</v>
      </c>
      <c r="G52">
        <v>16</v>
      </c>
      <c r="H52">
        <v>22</v>
      </c>
      <c r="I52">
        <v>38</v>
      </c>
      <c r="J52">
        <v>-12</v>
      </c>
      <c r="K52">
        <v>6</v>
      </c>
      <c r="L52">
        <v>6</v>
      </c>
      <c r="M52">
        <v>8</v>
      </c>
      <c r="N52">
        <v>2</v>
      </c>
      <c r="O52">
        <v>2</v>
      </c>
      <c r="P52">
        <v>13</v>
      </c>
      <c r="Q52">
        <v>9</v>
      </c>
      <c r="R52">
        <v>0</v>
      </c>
      <c r="S52">
        <v>118</v>
      </c>
      <c r="T52">
        <v>13.6</v>
      </c>
      <c r="U52">
        <v>229</v>
      </c>
      <c r="V52" s="2">
        <v>38.170138888888886</v>
      </c>
      <c r="W52" s="3">
        <v>0.86736111111111114</v>
      </c>
      <c r="X52">
        <v>312</v>
      </c>
      <c r="Y52">
        <v>291</v>
      </c>
      <c r="Z52">
        <v>51.7</v>
      </c>
      <c r="AA52">
        <v>31</v>
      </c>
      <c r="AB52">
        <v>67</v>
      </c>
      <c r="AC52">
        <v>17</v>
      </c>
      <c r="AD52">
        <v>60</v>
      </c>
      <c r="AF52" t="s">
        <v>456</v>
      </c>
    </row>
    <row r="53" spans="1:32" x14ac:dyDescent="0.3">
      <c r="A53">
        <v>52</v>
      </c>
      <c r="B53" t="s">
        <v>457</v>
      </c>
      <c r="C53">
        <v>22</v>
      </c>
      <c r="D53" t="s">
        <v>210</v>
      </c>
      <c r="E53" t="s">
        <v>95</v>
      </c>
      <c r="F53">
        <v>45</v>
      </c>
      <c r="G53">
        <v>21</v>
      </c>
      <c r="H53">
        <v>16</v>
      </c>
      <c r="I53">
        <v>37</v>
      </c>
      <c r="J53">
        <v>0</v>
      </c>
      <c r="K53">
        <v>20</v>
      </c>
      <c r="L53">
        <v>17</v>
      </c>
      <c r="M53">
        <v>4</v>
      </c>
      <c r="N53">
        <v>0</v>
      </c>
      <c r="O53">
        <v>5</v>
      </c>
      <c r="P53">
        <v>10</v>
      </c>
      <c r="Q53">
        <v>6</v>
      </c>
      <c r="R53">
        <v>0</v>
      </c>
      <c r="S53">
        <v>145</v>
      </c>
      <c r="T53">
        <v>14.5</v>
      </c>
      <c r="U53">
        <v>287</v>
      </c>
      <c r="V53" s="2">
        <v>32.365972222222226</v>
      </c>
      <c r="W53" s="3">
        <v>0.71944444444444444</v>
      </c>
      <c r="X53">
        <v>21</v>
      </c>
      <c r="Y53">
        <v>28</v>
      </c>
      <c r="Z53">
        <v>42.9</v>
      </c>
      <c r="AA53">
        <v>16</v>
      </c>
      <c r="AB53">
        <v>39</v>
      </c>
      <c r="AC53">
        <v>9</v>
      </c>
      <c r="AD53">
        <v>39</v>
      </c>
      <c r="AF53" t="s">
        <v>458</v>
      </c>
    </row>
    <row r="54" spans="1:32" x14ac:dyDescent="0.3">
      <c r="A54">
        <v>53</v>
      </c>
      <c r="B54" t="s">
        <v>261</v>
      </c>
      <c r="C54">
        <v>34</v>
      </c>
      <c r="D54" t="s">
        <v>216</v>
      </c>
      <c r="E54" t="s">
        <v>78</v>
      </c>
      <c r="F54">
        <v>43</v>
      </c>
      <c r="G54">
        <v>21</v>
      </c>
      <c r="H54">
        <v>16</v>
      </c>
      <c r="I54">
        <v>37</v>
      </c>
      <c r="J54">
        <v>13</v>
      </c>
      <c r="K54">
        <v>16</v>
      </c>
      <c r="L54">
        <v>14</v>
      </c>
      <c r="M54">
        <v>7</v>
      </c>
      <c r="N54">
        <v>0</v>
      </c>
      <c r="O54">
        <v>5</v>
      </c>
      <c r="P54">
        <v>13</v>
      </c>
      <c r="Q54">
        <v>3</v>
      </c>
      <c r="R54">
        <v>0</v>
      </c>
      <c r="S54">
        <v>93</v>
      </c>
      <c r="T54">
        <v>22.6</v>
      </c>
      <c r="U54">
        <v>159</v>
      </c>
      <c r="V54" s="2">
        <v>33.945833333333333</v>
      </c>
      <c r="W54" s="3">
        <v>0.7895833333333333</v>
      </c>
      <c r="X54">
        <v>394</v>
      </c>
      <c r="Y54">
        <v>378</v>
      </c>
      <c r="Z54">
        <v>51</v>
      </c>
      <c r="AA54">
        <v>34</v>
      </c>
      <c r="AB54">
        <v>22</v>
      </c>
      <c r="AC54">
        <v>13</v>
      </c>
      <c r="AD54">
        <v>33</v>
      </c>
      <c r="AF54" t="s">
        <v>459</v>
      </c>
    </row>
    <row r="55" spans="1:32" x14ac:dyDescent="0.3">
      <c r="A55">
        <v>54</v>
      </c>
      <c r="B55" t="s">
        <v>460</v>
      </c>
      <c r="C55">
        <v>34</v>
      </c>
      <c r="D55" t="s">
        <v>157</v>
      </c>
      <c r="E55" t="s">
        <v>78</v>
      </c>
      <c r="F55">
        <v>43</v>
      </c>
      <c r="G55">
        <v>13</v>
      </c>
      <c r="H55">
        <v>24</v>
      </c>
      <c r="I55">
        <v>37</v>
      </c>
      <c r="J55">
        <v>1</v>
      </c>
      <c r="K55">
        <v>8</v>
      </c>
      <c r="L55">
        <v>9</v>
      </c>
      <c r="M55">
        <v>2</v>
      </c>
      <c r="N55">
        <v>2</v>
      </c>
      <c r="O55">
        <v>5</v>
      </c>
      <c r="P55">
        <v>18</v>
      </c>
      <c r="Q55">
        <v>6</v>
      </c>
      <c r="R55">
        <v>0</v>
      </c>
      <c r="S55">
        <v>75</v>
      </c>
      <c r="T55">
        <v>17.3</v>
      </c>
      <c r="U55">
        <v>129</v>
      </c>
      <c r="V55" s="2">
        <v>35.520138888888887</v>
      </c>
      <c r="W55" s="3">
        <v>0.82638888888888884</v>
      </c>
      <c r="X55">
        <v>407</v>
      </c>
      <c r="Y55">
        <v>326</v>
      </c>
      <c r="Z55">
        <v>55.5</v>
      </c>
      <c r="AA55">
        <v>33</v>
      </c>
      <c r="AB55">
        <v>9</v>
      </c>
      <c r="AC55">
        <v>29</v>
      </c>
      <c r="AD55">
        <v>24</v>
      </c>
      <c r="AF55" t="s">
        <v>461</v>
      </c>
    </row>
    <row r="56" spans="1:32" x14ac:dyDescent="0.3">
      <c r="A56">
        <v>55</v>
      </c>
      <c r="B56" t="s">
        <v>287</v>
      </c>
      <c r="C56">
        <v>33</v>
      </c>
      <c r="D56" t="s">
        <v>409</v>
      </c>
      <c r="E56" t="s">
        <v>95</v>
      </c>
      <c r="F56">
        <v>26</v>
      </c>
      <c r="G56">
        <v>14</v>
      </c>
      <c r="H56">
        <v>23</v>
      </c>
      <c r="I56">
        <v>37</v>
      </c>
      <c r="J56">
        <v>7</v>
      </c>
      <c r="K56">
        <v>2</v>
      </c>
      <c r="L56">
        <v>7</v>
      </c>
      <c r="M56">
        <v>7</v>
      </c>
      <c r="N56">
        <v>0</v>
      </c>
      <c r="O56">
        <v>2</v>
      </c>
      <c r="P56">
        <v>13</v>
      </c>
      <c r="Q56">
        <v>9</v>
      </c>
      <c r="R56">
        <v>1</v>
      </c>
      <c r="S56">
        <v>64</v>
      </c>
      <c r="T56">
        <v>21.9</v>
      </c>
      <c r="U56">
        <v>107</v>
      </c>
      <c r="V56" s="2">
        <v>21.209027777777777</v>
      </c>
      <c r="W56" s="3">
        <v>0.81597222222222221</v>
      </c>
      <c r="X56">
        <v>1</v>
      </c>
      <c r="Y56">
        <v>5</v>
      </c>
      <c r="Z56">
        <v>16.7</v>
      </c>
      <c r="AA56">
        <v>19</v>
      </c>
      <c r="AB56">
        <v>13</v>
      </c>
      <c r="AC56">
        <v>13</v>
      </c>
      <c r="AD56">
        <v>30</v>
      </c>
      <c r="AF56" t="s">
        <v>462</v>
      </c>
    </row>
    <row r="57" spans="1:32" x14ac:dyDescent="0.3">
      <c r="A57">
        <v>56</v>
      </c>
      <c r="B57" t="s">
        <v>463</v>
      </c>
      <c r="C57">
        <v>28</v>
      </c>
      <c r="D57" t="s">
        <v>188</v>
      </c>
      <c r="E57" t="s">
        <v>78</v>
      </c>
      <c r="F57">
        <v>43</v>
      </c>
      <c r="G57">
        <v>11</v>
      </c>
      <c r="H57">
        <v>25</v>
      </c>
      <c r="I57">
        <v>36</v>
      </c>
      <c r="J57">
        <v>11</v>
      </c>
      <c r="K57">
        <v>41</v>
      </c>
      <c r="L57">
        <v>10</v>
      </c>
      <c r="M57">
        <v>1</v>
      </c>
      <c r="N57">
        <v>0</v>
      </c>
      <c r="O57">
        <v>2</v>
      </c>
      <c r="P57">
        <v>17</v>
      </c>
      <c r="Q57">
        <v>8</v>
      </c>
      <c r="R57">
        <v>0</v>
      </c>
      <c r="S57">
        <v>99</v>
      </c>
      <c r="T57">
        <v>11.1</v>
      </c>
      <c r="U57">
        <v>195</v>
      </c>
      <c r="V57" s="2">
        <v>37.556944444444447</v>
      </c>
      <c r="W57" s="3">
        <v>0.87361111111111112</v>
      </c>
      <c r="X57">
        <v>147</v>
      </c>
      <c r="Y57">
        <v>240</v>
      </c>
      <c r="Z57">
        <v>38</v>
      </c>
      <c r="AA57">
        <v>28</v>
      </c>
      <c r="AB57">
        <v>17</v>
      </c>
      <c r="AC57">
        <v>23</v>
      </c>
      <c r="AD57">
        <v>51</v>
      </c>
      <c r="AF57" t="s">
        <v>464</v>
      </c>
    </row>
    <row r="58" spans="1:32" x14ac:dyDescent="0.3">
      <c r="A58">
        <v>57</v>
      </c>
      <c r="B58" t="s">
        <v>465</v>
      </c>
      <c r="C58">
        <v>20</v>
      </c>
      <c r="D58" t="s">
        <v>204</v>
      </c>
      <c r="E58" t="s">
        <v>95</v>
      </c>
      <c r="F58">
        <v>44</v>
      </c>
      <c r="G58">
        <v>10</v>
      </c>
      <c r="H58">
        <v>26</v>
      </c>
      <c r="I58">
        <v>36</v>
      </c>
      <c r="J58">
        <v>8</v>
      </c>
      <c r="K58">
        <v>22</v>
      </c>
      <c r="L58">
        <v>8</v>
      </c>
      <c r="M58">
        <v>2</v>
      </c>
      <c r="N58">
        <v>0</v>
      </c>
      <c r="O58">
        <v>2</v>
      </c>
      <c r="P58">
        <v>18</v>
      </c>
      <c r="Q58">
        <v>8</v>
      </c>
      <c r="R58">
        <v>0</v>
      </c>
      <c r="S58">
        <v>59</v>
      </c>
      <c r="T58">
        <v>16.899999999999999</v>
      </c>
      <c r="U58">
        <v>141</v>
      </c>
      <c r="V58" s="2">
        <v>27.943750000000001</v>
      </c>
      <c r="W58" s="3">
        <v>0.63541666666666663</v>
      </c>
      <c r="X58">
        <v>0</v>
      </c>
      <c r="Y58">
        <v>0</v>
      </c>
      <c r="AA58">
        <v>16</v>
      </c>
      <c r="AB58">
        <v>18</v>
      </c>
      <c r="AC58">
        <v>13</v>
      </c>
      <c r="AD58">
        <v>38</v>
      </c>
      <c r="AF58" t="s">
        <v>466</v>
      </c>
    </row>
    <row r="59" spans="1:32" x14ac:dyDescent="0.3">
      <c r="A59">
        <v>58</v>
      </c>
      <c r="B59" t="s">
        <v>182</v>
      </c>
      <c r="C59">
        <v>26</v>
      </c>
      <c r="D59" t="s">
        <v>174</v>
      </c>
      <c r="E59" t="s">
        <v>87</v>
      </c>
      <c r="F59">
        <v>44</v>
      </c>
      <c r="G59">
        <v>7</v>
      </c>
      <c r="H59">
        <v>29</v>
      </c>
      <c r="I59">
        <v>36</v>
      </c>
      <c r="J59">
        <v>6</v>
      </c>
      <c r="K59">
        <v>14</v>
      </c>
      <c r="L59">
        <v>5</v>
      </c>
      <c r="M59">
        <v>1</v>
      </c>
      <c r="N59">
        <v>1</v>
      </c>
      <c r="O59">
        <v>2</v>
      </c>
      <c r="P59">
        <v>16</v>
      </c>
      <c r="Q59">
        <v>13</v>
      </c>
      <c r="R59">
        <v>0</v>
      </c>
      <c r="S59">
        <v>91</v>
      </c>
      <c r="T59">
        <v>7.7</v>
      </c>
      <c r="U59">
        <v>194</v>
      </c>
      <c r="V59" s="2">
        <v>47.644444444444446</v>
      </c>
      <c r="W59" s="2">
        <v>1.0826388888888889</v>
      </c>
      <c r="X59">
        <v>0</v>
      </c>
      <c r="Y59">
        <v>0</v>
      </c>
      <c r="AA59">
        <v>82</v>
      </c>
      <c r="AB59">
        <v>9</v>
      </c>
      <c r="AC59">
        <v>29</v>
      </c>
      <c r="AD59">
        <v>53</v>
      </c>
      <c r="AF59" t="s">
        <v>467</v>
      </c>
    </row>
    <row r="60" spans="1:32" x14ac:dyDescent="0.3">
      <c r="A60">
        <v>59</v>
      </c>
      <c r="B60" t="s">
        <v>468</v>
      </c>
      <c r="C60">
        <v>29</v>
      </c>
      <c r="D60" t="s">
        <v>121</v>
      </c>
      <c r="E60" t="s">
        <v>87</v>
      </c>
      <c r="F60">
        <v>36</v>
      </c>
      <c r="G60">
        <v>12</v>
      </c>
      <c r="H60">
        <v>24</v>
      </c>
      <c r="I60">
        <v>36</v>
      </c>
      <c r="J60">
        <v>13</v>
      </c>
      <c r="K60">
        <v>21</v>
      </c>
      <c r="L60">
        <v>6</v>
      </c>
      <c r="M60">
        <v>6</v>
      </c>
      <c r="N60">
        <v>0</v>
      </c>
      <c r="O60">
        <v>3</v>
      </c>
      <c r="P60">
        <v>18</v>
      </c>
      <c r="Q60">
        <v>6</v>
      </c>
      <c r="R60">
        <v>0</v>
      </c>
      <c r="S60">
        <v>85</v>
      </c>
      <c r="T60">
        <v>14.1</v>
      </c>
      <c r="U60">
        <v>194</v>
      </c>
      <c r="V60" s="2">
        <v>32.399305555555557</v>
      </c>
      <c r="W60" s="3">
        <v>0.9</v>
      </c>
      <c r="X60">
        <v>0</v>
      </c>
      <c r="Y60">
        <v>0</v>
      </c>
      <c r="AA60">
        <v>32</v>
      </c>
      <c r="AB60">
        <v>34</v>
      </c>
      <c r="AC60">
        <v>6</v>
      </c>
      <c r="AD60">
        <v>31</v>
      </c>
      <c r="AF60" t="s">
        <v>469</v>
      </c>
    </row>
    <row r="61" spans="1:32" x14ac:dyDescent="0.3">
      <c r="A61">
        <v>60</v>
      </c>
      <c r="B61" t="s">
        <v>470</v>
      </c>
      <c r="C61">
        <v>33</v>
      </c>
      <c r="D61" t="s">
        <v>134</v>
      </c>
      <c r="E61" t="s">
        <v>95</v>
      </c>
      <c r="F61">
        <v>40</v>
      </c>
      <c r="G61">
        <v>16</v>
      </c>
      <c r="H61">
        <v>20</v>
      </c>
      <c r="I61">
        <v>36</v>
      </c>
      <c r="J61">
        <v>-2</v>
      </c>
      <c r="K61">
        <v>16</v>
      </c>
      <c r="L61">
        <v>13</v>
      </c>
      <c r="M61">
        <v>3</v>
      </c>
      <c r="N61">
        <v>0</v>
      </c>
      <c r="O61">
        <v>4</v>
      </c>
      <c r="P61">
        <v>7</v>
      </c>
      <c r="Q61">
        <v>13</v>
      </c>
      <c r="R61">
        <v>0</v>
      </c>
      <c r="S61">
        <v>104</v>
      </c>
      <c r="T61">
        <v>15.4</v>
      </c>
      <c r="U61">
        <v>202</v>
      </c>
      <c r="V61" s="2">
        <v>33.769444444444446</v>
      </c>
      <c r="W61" s="3">
        <v>0.84444444444444444</v>
      </c>
      <c r="X61">
        <v>0</v>
      </c>
      <c r="Y61">
        <v>4</v>
      </c>
      <c r="Z61">
        <v>0</v>
      </c>
      <c r="AA61">
        <v>44</v>
      </c>
      <c r="AB61">
        <v>12</v>
      </c>
      <c r="AC61">
        <v>6</v>
      </c>
      <c r="AD61">
        <v>39</v>
      </c>
      <c r="AF61" t="s">
        <v>471</v>
      </c>
    </row>
    <row r="62" spans="1:32" x14ac:dyDescent="0.3">
      <c r="A62">
        <v>61</v>
      </c>
      <c r="B62" t="s">
        <v>194</v>
      </c>
      <c r="C62">
        <v>26</v>
      </c>
      <c r="D62" t="s">
        <v>472</v>
      </c>
      <c r="E62" t="s">
        <v>87</v>
      </c>
      <c r="F62">
        <v>39</v>
      </c>
      <c r="G62">
        <v>3</v>
      </c>
      <c r="H62">
        <v>33</v>
      </c>
      <c r="I62">
        <v>36</v>
      </c>
      <c r="J62">
        <v>-3</v>
      </c>
      <c r="K62">
        <v>12</v>
      </c>
      <c r="L62">
        <v>1</v>
      </c>
      <c r="M62">
        <v>2</v>
      </c>
      <c r="N62">
        <v>0</v>
      </c>
      <c r="O62">
        <v>0</v>
      </c>
      <c r="P62">
        <v>18</v>
      </c>
      <c r="Q62">
        <v>15</v>
      </c>
      <c r="R62">
        <v>0</v>
      </c>
      <c r="S62">
        <v>103</v>
      </c>
      <c r="T62">
        <v>2.9</v>
      </c>
      <c r="U62">
        <v>262</v>
      </c>
      <c r="V62" s="2">
        <v>44.693750000000001</v>
      </c>
      <c r="W62" s="2">
        <v>1.1458333333333333</v>
      </c>
      <c r="X62">
        <v>0</v>
      </c>
      <c r="Y62">
        <v>0</v>
      </c>
      <c r="AA62">
        <v>46</v>
      </c>
      <c r="AB62">
        <v>5</v>
      </c>
      <c r="AC62">
        <v>15</v>
      </c>
      <c r="AD62">
        <v>56</v>
      </c>
      <c r="AF62" t="s">
        <v>473</v>
      </c>
    </row>
    <row r="63" spans="1:32" x14ac:dyDescent="0.3">
      <c r="A63">
        <v>61</v>
      </c>
      <c r="B63" t="s">
        <v>194</v>
      </c>
      <c r="C63">
        <v>26</v>
      </c>
      <c r="D63" t="s">
        <v>193</v>
      </c>
      <c r="E63" t="s">
        <v>87</v>
      </c>
      <c r="F63">
        <v>26</v>
      </c>
      <c r="G63">
        <v>2</v>
      </c>
      <c r="H63">
        <v>21</v>
      </c>
      <c r="I63">
        <v>23</v>
      </c>
      <c r="J63">
        <v>-10</v>
      </c>
      <c r="K63">
        <v>12</v>
      </c>
      <c r="L63">
        <v>0</v>
      </c>
      <c r="M63">
        <v>2</v>
      </c>
      <c r="N63">
        <v>0</v>
      </c>
      <c r="O63">
        <v>0</v>
      </c>
      <c r="P63">
        <v>11</v>
      </c>
      <c r="Q63">
        <v>10</v>
      </c>
      <c r="R63">
        <v>0</v>
      </c>
      <c r="S63">
        <v>74</v>
      </c>
      <c r="T63">
        <v>2.7</v>
      </c>
      <c r="U63">
        <v>190</v>
      </c>
      <c r="V63" s="2">
        <v>29.713888888888889</v>
      </c>
      <c r="W63" s="2">
        <v>1.1430555555555555</v>
      </c>
      <c r="X63">
        <v>0</v>
      </c>
      <c r="Y63">
        <v>0</v>
      </c>
      <c r="AA63">
        <v>32</v>
      </c>
      <c r="AB63">
        <v>1</v>
      </c>
      <c r="AC63">
        <v>10</v>
      </c>
      <c r="AD63">
        <v>41</v>
      </c>
      <c r="AF63" t="s">
        <v>473</v>
      </c>
    </row>
    <row r="64" spans="1:32" x14ac:dyDescent="0.3">
      <c r="A64">
        <v>61</v>
      </c>
      <c r="B64" t="s">
        <v>194</v>
      </c>
      <c r="C64">
        <v>26</v>
      </c>
      <c r="D64" t="s">
        <v>109</v>
      </c>
      <c r="E64" t="s">
        <v>87</v>
      </c>
      <c r="F64">
        <v>13</v>
      </c>
      <c r="G64">
        <v>1</v>
      </c>
      <c r="H64">
        <v>12</v>
      </c>
      <c r="I64">
        <v>13</v>
      </c>
      <c r="J64">
        <v>7</v>
      </c>
      <c r="K64">
        <v>0</v>
      </c>
      <c r="L64">
        <v>1</v>
      </c>
      <c r="M64">
        <v>0</v>
      </c>
      <c r="N64">
        <v>0</v>
      </c>
      <c r="O64">
        <v>0</v>
      </c>
      <c r="P64">
        <v>7</v>
      </c>
      <c r="Q64">
        <v>5</v>
      </c>
      <c r="R64">
        <v>0</v>
      </c>
      <c r="S64">
        <v>29</v>
      </c>
      <c r="T64">
        <v>3.4</v>
      </c>
      <c r="U64">
        <v>72</v>
      </c>
      <c r="V64" s="2">
        <v>14.979861111111111</v>
      </c>
      <c r="W64" s="2">
        <v>1.1520833333333333</v>
      </c>
      <c r="X64">
        <v>0</v>
      </c>
      <c r="Y64">
        <v>0</v>
      </c>
      <c r="AA64">
        <v>14</v>
      </c>
      <c r="AB64">
        <v>4</v>
      </c>
      <c r="AC64">
        <v>5</v>
      </c>
      <c r="AD64">
        <v>15</v>
      </c>
      <c r="AF64" t="s">
        <v>473</v>
      </c>
    </row>
    <row r="65" spans="1:32" x14ac:dyDescent="0.3">
      <c r="A65">
        <v>62</v>
      </c>
      <c r="B65" t="s">
        <v>474</v>
      </c>
      <c r="C65">
        <v>25</v>
      </c>
      <c r="D65" t="s">
        <v>306</v>
      </c>
      <c r="E65" t="s">
        <v>95</v>
      </c>
      <c r="F65">
        <v>39</v>
      </c>
      <c r="G65">
        <v>16</v>
      </c>
      <c r="H65">
        <v>19</v>
      </c>
      <c r="I65">
        <v>35</v>
      </c>
      <c r="J65">
        <v>5</v>
      </c>
      <c r="K65">
        <v>16</v>
      </c>
      <c r="L65">
        <v>12</v>
      </c>
      <c r="M65">
        <v>3</v>
      </c>
      <c r="N65">
        <v>1</v>
      </c>
      <c r="O65">
        <v>3</v>
      </c>
      <c r="P65">
        <v>11</v>
      </c>
      <c r="Q65">
        <v>8</v>
      </c>
      <c r="R65">
        <v>0</v>
      </c>
      <c r="S65">
        <v>123</v>
      </c>
      <c r="T65">
        <v>13</v>
      </c>
      <c r="U65">
        <v>259</v>
      </c>
      <c r="V65" s="2">
        <v>30.763194444444444</v>
      </c>
      <c r="W65" s="3">
        <v>0.78888888888888886</v>
      </c>
      <c r="X65">
        <v>1</v>
      </c>
      <c r="Y65">
        <v>2</v>
      </c>
      <c r="Z65">
        <v>33.299999999999997</v>
      </c>
      <c r="AA65">
        <v>24</v>
      </c>
      <c r="AB65">
        <v>33</v>
      </c>
      <c r="AC65">
        <v>23</v>
      </c>
      <c r="AD65">
        <v>55</v>
      </c>
      <c r="AF65" t="s">
        <v>475</v>
      </c>
    </row>
    <row r="66" spans="1:32" x14ac:dyDescent="0.3">
      <c r="A66">
        <v>63</v>
      </c>
      <c r="B66" t="s">
        <v>476</v>
      </c>
      <c r="C66">
        <v>32</v>
      </c>
      <c r="D66" t="s">
        <v>250</v>
      </c>
      <c r="E66" t="s">
        <v>78</v>
      </c>
      <c r="F66">
        <v>35</v>
      </c>
      <c r="G66">
        <v>11</v>
      </c>
      <c r="H66">
        <v>24</v>
      </c>
      <c r="I66">
        <v>35</v>
      </c>
      <c r="J66">
        <v>-5</v>
      </c>
      <c r="K66">
        <v>17</v>
      </c>
      <c r="L66">
        <v>5</v>
      </c>
      <c r="M66">
        <v>6</v>
      </c>
      <c r="N66">
        <v>0</v>
      </c>
      <c r="O66">
        <v>1</v>
      </c>
      <c r="P66">
        <v>10</v>
      </c>
      <c r="Q66">
        <v>13</v>
      </c>
      <c r="R66">
        <v>1</v>
      </c>
      <c r="S66">
        <v>60</v>
      </c>
      <c r="T66">
        <v>18.3</v>
      </c>
      <c r="U66">
        <v>120</v>
      </c>
      <c r="V66" s="2">
        <v>27.689583333333335</v>
      </c>
      <c r="W66" s="3">
        <v>0.79097222222222219</v>
      </c>
      <c r="X66">
        <v>70</v>
      </c>
      <c r="Y66">
        <v>82</v>
      </c>
      <c r="Z66">
        <v>46.1</v>
      </c>
      <c r="AA66">
        <v>14</v>
      </c>
      <c r="AB66">
        <v>14</v>
      </c>
      <c r="AC66">
        <v>6</v>
      </c>
      <c r="AD66">
        <v>19</v>
      </c>
      <c r="AF66" t="s">
        <v>477</v>
      </c>
    </row>
    <row r="67" spans="1:32" x14ac:dyDescent="0.3">
      <c r="A67">
        <v>64</v>
      </c>
      <c r="B67" t="s">
        <v>478</v>
      </c>
      <c r="C67">
        <v>21</v>
      </c>
      <c r="D67" t="s">
        <v>204</v>
      </c>
      <c r="E67" t="s">
        <v>101</v>
      </c>
      <c r="F67">
        <v>44</v>
      </c>
      <c r="G67">
        <v>16</v>
      </c>
      <c r="H67">
        <v>19</v>
      </c>
      <c r="I67">
        <v>35</v>
      </c>
      <c r="J67">
        <v>10</v>
      </c>
      <c r="K67">
        <v>42</v>
      </c>
      <c r="L67">
        <v>8</v>
      </c>
      <c r="M67">
        <v>8</v>
      </c>
      <c r="N67">
        <v>0</v>
      </c>
      <c r="O67">
        <v>2</v>
      </c>
      <c r="P67">
        <v>13</v>
      </c>
      <c r="Q67">
        <v>6</v>
      </c>
      <c r="R67">
        <v>0</v>
      </c>
      <c r="S67">
        <v>88</v>
      </c>
      <c r="T67">
        <v>18.2</v>
      </c>
      <c r="U67">
        <v>189</v>
      </c>
      <c r="V67" s="2">
        <v>33.136805555555554</v>
      </c>
      <c r="W67" s="3">
        <v>0.75277777777777777</v>
      </c>
      <c r="X67">
        <v>12</v>
      </c>
      <c r="Y67">
        <v>26</v>
      </c>
      <c r="Z67">
        <v>31.6</v>
      </c>
      <c r="AA67">
        <v>43</v>
      </c>
      <c r="AB67">
        <v>66</v>
      </c>
      <c r="AC67">
        <v>6</v>
      </c>
      <c r="AD67">
        <v>34</v>
      </c>
      <c r="AF67" t="s">
        <v>479</v>
      </c>
    </row>
    <row r="68" spans="1:32" x14ac:dyDescent="0.3">
      <c r="A68">
        <v>65</v>
      </c>
      <c r="B68" t="s">
        <v>480</v>
      </c>
      <c r="C68">
        <v>25</v>
      </c>
      <c r="D68" t="s">
        <v>72</v>
      </c>
      <c r="E68" t="s">
        <v>95</v>
      </c>
      <c r="F68">
        <v>44</v>
      </c>
      <c r="G68">
        <v>12</v>
      </c>
      <c r="H68">
        <v>23</v>
      </c>
      <c r="I68">
        <v>35</v>
      </c>
      <c r="J68">
        <v>0</v>
      </c>
      <c r="K68">
        <v>32</v>
      </c>
      <c r="L68">
        <v>8</v>
      </c>
      <c r="M68">
        <v>4</v>
      </c>
      <c r="N68">
        <v>0</v>
      </c>
      <c r="O68">
        <v>1</v>
      </c>
      <c r="P68">
        <v>16</v>
      </c>
      <c r="Q68">
        <v>7</v>
      </c>
      <c r="R68">
        <v>0</v>
      </c>
      <c r="S68">
        <v>123</v>
      </c>
      <c r="T68">
        <v>9.8000000000000007</v>
      </c>
      <c r="U68">
        <v>262</v>
      </c>
      <c r="V68" s="2">
        <v>30.803472222222222</v>
      </c>
      <c r="W68" s="3">
        <v>0.7</v>
      </c>
      <c r="X68">
        <v>7</v>
      </c>
      <c r="Y68">
        <v>5</v>
      </c>
      <c r="Z68">
        <v>58.3</v>
      </c>
      <c r="AA68">
        <v>9</v>
      </c>
      <c r="AB68">
        <v>73</v>
      </c>
      <c r="AC68">
        <v>11</v>
      </c>
      <c r="AD68">
        <v>50</v>
      </c>
      <c r="AF68" t="s">
        <v>481</v>
      </c>
    </row>
    <row r="69" spans="1:32" x14ac:dyDescent="0.3">
      <c r="A69">
        <v>66</v>
      </c>
      <c r="B69" t="s">
        <v>482</v>
      </c>
      <c r="C69">
        <v>29</v>
      </c>
      <c r="D69" t="s">
        <v>139</v>
      </c>
      <c r="E69" t="s">
        <v>95</v>
      </c>
      <c r="F69">
        <v>41</v>
      </c>
      <c r="G69">
        <v>14</v>
      </c>
      <c r="H69">
        <v>21</v>
      </c>
      <c r="I69">
        <v>35</v>
      </c>
      <c r="J69">
        <v>9</v>
      </c>
      <c r="K69">
        <v>43</v>
      </c>
      <c r="L69">
        <v>11</v>
      </c>
      <c r="M69">
        <v>2</v>
      </c>
      <c r="N69">
        <v>1</v>
      </c>
      <c r="O69">
        <v>1</v>
      </c>
      <c r="P69">
        <v>19</v>
      </c>
      <c r="Q69">
        <v>1</v>
      </c>
      <c r="R69">
        <v>1</v>
      </c>
      <c r="S69">
        <v>105</v>
      </c>
      <c r="T69">
        <v>13.3</v>
      </c>
      <c r="U69">
        <v>207</v>
      </c>
      <c r="V69" s="2">
        <v>31.652777777777779</v>
      </c>
      <c r="W69" s="3">
        <v>0.77222222222222225</v>
      </c>
      <c r="X69">
        <v>18</v>
      </c>
      <c r="Y69">
        <v>20</v>
      </c>
      <c r="Z69">
        <v>47.4</v>
      </c>
      <c r="AA69">
        <v>47</v>
      </c>
      <c r="AB69">
        <v>43</v>
      </c>
      <c r="AC69">
        <v>17</v>
      </c>
      <c r="AD69">
        <v>30</v>
      </c>
      <c r="AF69" t="s">
        <v>483</v>
      </c>
    </row>
    <row r="70" spans="1:32" x14ac:dyDescent="0.3">
      <c r="A70">
        <v>67</v>
      </c>
      <c r="B70" t="s">
        <v>484</v>
      </c>
      <c r="C70">
        <v>30</v>
      </c>
      <c r="D70" t="s">
        <v>290</v>
      </c>
      <c r="E70" t="s">
        <v>101</v>
      </c>
      <c r="F70">
        <v>41</v>
      </c>
      <c r="G70">
        <v>22</v>
      </c>
      <c r="H70">
        <v>12</v>
      </c>
      <c r="I70">
        <v>34</v>
      </c>
      <c r="J70">
        <v>-11</v>
      </c>
      <c r="K70">
        <v>32</v>
      </c>
      <c r="L70">
        <v>14</v>
      </c>
      <c r="M70">
        <v>8</v>
      </c>
      <c r="N70">
        <v>0</v>
      </c>
      <c r="O70">
        <v>2</v>
      </c>
      <c r="P70">
        <v>5</v>
      </c>
      <c r="Q70">
        <v>7</v>
      </c>
      <c r="R70">
        <v>0</v>
      </c>
      <c r="S70">
        <v>96</v>
      </c>
      <c r="T70">
        <v>22.9</v>
      </c>
      <c r="U70">
        <v>167</v>
      </c>
      <c r="V70" s="2">
        <v>31.084027777777777</v>
      </c>
      <c r="W70" s="3">
        <v>0.7583333333333333</v>
      </c>
      <c r="X70">
        <v>39</v>
      </c>
      <c r="Y70">
        <v>37</v>
      </c>
      <c r="Z70">
        <v>51.3</v>
      </c>
      <c r="AA70">
        <v>13</v>
      </c>
      <c r="AB70">
        <v>33</v>
      </c>
      <c r="AC70">
        <v>10</v>
      </c>
      <c r="AD70">
        <v>36</v>
      </c>
      <c r="AF70" t="s">
        <v>485</v>
      </c>
    </row>
    <row r="71" spans="1:32" x14ac:dyDescent="0.3">
      <c r="A71">
        <v>68</v>
      </c>
      <c r="B71" t="s">
        <v>486</v>
      </c>
      <c r="C71">
        <v>36</v>
      </c>
      <c r="D71" t="s">
        <v>310</v>
      </c>
      <c r="E71" t="s">
        <v>87</v>
      </c>
      <c r="F71">
        <v>41</v>
      </c>
      <c r="G71">
        <v>9</v>
      </c>
      <c r="H71">
        <v>25</v>
      </c>
      <c r="I71">
        <v>34</v>
      </c>
      <c r="J71">
        <v>11</v>
      </c>
      <c r="K71">
        <v>14</v>
      </c>
      <c r="L71">
        <v>9</v>
      </c>
      <c r="M71">
        <v>0</v>
      </c>
      <c r="N71">
        <v>0</v>
      </c>
      <c r="O71">
        <v>0</v>
      </c>
      <c r="P71">
        <v>19</v>
      </c>
      <c r="Q71">
        <v>6</v>
      </c>
      <c r="R71">
        <v>0</v>
      </c>
      <c r="S71">
        <v>80</v>
      </c>
      <c r="T71">
        <v>11.3</v>
      </c>
      <c r="U71">
        <v>195</v>
      </c>
      <c r="V71" s="2">
        <v>38.634722222222223</v>
      </c>
      <c r="W71" s="3">
        <v>0.94236111111111109</v>
      </c>
      <c r="X71">
        <v>0</v>
      </c>
      <c r="Y71">
        <v>0</v>
      </c>
      <c r="AA71">
        <v>59</v>
      </c>
      <c r="AB71">
        <v>16</v>
      </c>
      <c r="AC71">
        <v>27</v>
      </c>
      <c r="AD71">
        <v>67</v>
      </c>
      <c r="AF71" t="s">
        <v>487</v>
      </c>
    </row>
    <row r="72" spans="1:32" x14ac:dyDescent="0.3">
      <c r="A72">
        <v>69</v>
      </c>
      <c r="B72" t="s">
        <v>488</v>
      </c>
      <c r="C72">
        <v>29</v>
      </c>
      <c r="D72" t="s">
        <v>72</v>
      </c>
      <c r="E72" t="s">
        <v>101</v>
      </c>
      <c r="F72">
        <v>44</v>
      </c>
      <c r="G72">
        <v>11</v>
      </c>
      <c r="H72">
        <v>23</v>
      </c>
      <c r="I72">
        <v>34</v>
      </c>
      <c r="J72">
        <v>5</v>
      </c>
      <c r="K72">
        <v>10</v>
      </c>
      <c r="L72">
        <v>7</v>
      </c>
      <c r="M72">
        <v>4</v>
      </c>
      <c r="N72">
        <v>0</v>
      </c>
      <c r="O72">
        <v>3</v>
      </c>
      <c r="P72">
        <v>14</v>
      </c>
      <c r="Q72">
        <v>9</v>
      </c>
      <c r="R72">
        <v>0</v>
      </c>
      <c r="S72">
        <v>106</v>
      </c>
      <c r="T72">
        <v>10.4</v>
      </c>
      <c r="U72">
        <v>239</v>
      </c>
      <c r="V72" s="2">
        <v>30.404166666666665</v>
      </c>
      <c r="W72" s="3">
        <v>0.69097222222222221</v>
      </c>
      <c r="X72">
        <v>11</v>
      </c>
      <c r="Y72">
        <v>19</v>
      </c>
      <c r="Z72">
        <v>36.700000000000003</v>
      </c>
      <c r="AA72">
        <v>10</v>
      </c>
      <c r="AB72">
        <v>6</v>
      </c>
      <c r="AC72">
        <v>15</v>
      </c>
      <c r="AD72">
        <v>47</v>
      </c>
      <c r="AF72" t="s">
        <v>489</v>
      </c>
    </row>
    <row r="73" spans="1:32" x14ac:dyDescent="0.3">
      <c r="A73">
        <v>70</v>
      </c>
      <c r="B73" t="s">
        <v>490</v>
      </c>
      <c r="C73">
        <v>32</v>
      </c>
      <c r="D73" t="s">
        <v>409</v>
      </c>
      <c r="E73" t="s">
        <v>78</v>
      </c>
      <c r="F73">
        <v>42</v>
      </c>
      <c r="G73">
        <v>16</v>
      </c>
      <c r="H73">
        <v>18</v>
      </c>
      <c r="I73">
        <v>34</v>
      </c>
      <c r="J73">
        <v>-4</v>
      </c>
      <c r="K73">
        <v>23</v>
      </c>
      <c r="L73">
        <v>8</v>
      </c>
      <c r="M73">
        <v>8</v>
      </c>
      <c r="N73">
        <v>0</v>
      </c>
      <c r="O73">
        <v>3</v>
      </c>
      <c r="P73">
        <v>12</v>
      </c>
      <c r="Q73">
        <v>6</v>
      </c>
      <c r="R73">
        <v>0</v>
      </c>
      <c r="S73">
        <v>115</v>
      </c>
      <c r="T73">
        <v>13.9</v>
      </c>
      <c r="U73">
        <v>228</v>
      </c>
      <c r="V73" s="2">
        <v>30.581250000000001</v>
      </c>
      <c r="W73" s="3">
        <v>0.72847222222222219</v>
      </c>
      <c r="X73">
        <v>380</v>
      </c>
      <c r="Y73">
        <v>289</v>
      </c>
      <c r="Z73">
        <v>56.8</v>
      </c>
      <c r="AA73">
        <v>17</v>
      </c>
      <c r="AB73">
        <v>55</v>
      </c>
      <c r="AC73">
        <v>11</v>
      </c>
      <c r="AD73">
        <v>29</v>
      </c>
      <c r="AF73" t="s">
        <v>491</v>
      </c>
    </row>
    <row r="74" spans="1:32" x14ac:dyDescent="0.3">
      <c r="A74">
        <v>71</v>
      </c>
      <c r="B74" t="s">
        <v>214</v>
      </c>
      <c r="C74">
        <v>29</v>
      </c>
      <c r="D74" t="s">
        <v>91</v>
      </c>
      <c r="E74" t="s">
        <v>101</v>
      </c>
      <c r="F74">
        <v>43</v>
      </c>
      <c r="G74">
        <v>15</v>
      </c>
      <c r="H74">
        <v>19</v>
      </c>
      <c r="I74">
        <v>34</v>
      </c>
      <c r="J74">
        <v>8</v>
      </c>
      <c r="K74">
        <v>38</v>
      </c>
      <c r="L74">
        <v>14</v>
      </c>
      <c r="M74">
        <v>1</v>
      </c>
      <c r="N74">
        <v>0</v>
      </c>
      <c r="O74">
        <v>5</v>
      </c>
      <c r="P74">
        <v>12</v>
      </c>
      <c r="Q74">
        <v>5</v>
      </c>
      <c r="R74">
        <v>2</v>
      </c>
      <c r="S74">
        <v>123</v>
      </c>
      <c r="T74">
        <v>12.2</v>
      </c>
      <c r="U74">
        <v>284</v>
      </c>
      <c r="V74" s="2">
        <v>34.447916666666664</v>
      </c>
      <c r="W74" s="3">
        <v>0.80138888888888893</v>
      </c>
      <c r="X74">
        <v>23</v>
      </c>
      <c r="Y74">
        <v>33</v>
      </c>
      <c r="Z74">
        <v>41.1</v>
      </c>
      <c r="AA74">
        <v>29</v>
      </c>
      <c r="AB74">
        <v>88</v>
      </c>
      <c r="AC74">
        <v>12</v>
      </c>
      <c r="AD74">
        <v>35</v>
      </c>
      <c r="AF74" t="s">
        <v>492</v>
      </c>
    </row>
    <row r="75" spans="1:32" x14ac:dyDescent="0.3">
      <c r="A75">
        <v>72</v>
      </c>
      <c r="B75" t="s">
        <v>225</v>
      </c>
      <c r="C75">
        <v>30</v>
      </c>
      <c r="D75" t="s">
        <v>216</v>
      </c>
      <c r="E75" t="s">
        <v>101</v>
      </c>
      <c r="F75">
        <v>43</v>
      </c>
      <c r="G75">
        <v>15</v>
      </c>
      <c r="H75">
        <v>19</v>
      </c>
      <c r="I75">
        <v>34</v>
      </c>
      <c r="J75">
        <v>33</v>
      </c>
      <c r="K75">
        <v>6</v>
      </c>
      <c r="L75">
        <v>14</v>
      </c>
      <c r="M75">
        <v>1</v>
      </c>
      <c r="N75">
        <v>0</v>
      </c>
      <c r="O75">
        <v>0</v>
      </c>
      <c r="P75">
        <v>18</v>
      </c>
      <c r="Q75">
        <v>1</v>
      </c>
      <c r="R75">
        <v>0</v>
      </c>
      <c r="S75">
        <v>108</v>
      </c>
      <c r="T75">
        <v>13.9</v>
      </c>
      <c r="U75">
        <v>191</v>
      </c>
      <c r="V75" s="2">
        <v>34.634027777777774</v>
      </c>
      <c r="W75" s="3">
        <v>0.80555555555555558</v>
      </c>
      <c r="X75">
        <v>2</v>
      </c>
      <c r="Y75">
        <v>7</v>
      </c>
      <c r="Z75">
        <v>22.2</v>
      </c>
      <c r="AA75">
        <v>25</v>
      </c>
      <c r="AB75">
        <v>31</v>
      </c>
      <c r="AC75">
        <v>10</v>
      </c>
      <c r="AD75">
        <v>29</v>
      </c>
      <c r="AF75" t="s">
        <v>493</v>
      </c>
    </row>
    <row r="76" spans="1:32" x14ac:dyDescent="0.3">
      <c r="A76">
        <v>73</v>
      </c>
      <c r="B76" t="s">
        <v>246</v>
      </c>
      <c r="C76">
        <v>28</v>
      </c>
      <c r="D76" t="s">
        <v>150</v>
      </c>
      <c r="E76" t="s">
        <v>78</v>
      </c>
      <c r="F76">
        <v>37</v>
      </c>
      <c r="G76">
        <v>21</v>
      </c>
      <c r="H76">
        <v>13</v>
      </c>
      <c r="I76">
        <v>34</v>
      </c>
      <c r="J76">
        <v>6</v>
      </c>
      <c r="K76">
        <v>12</v>
      </c>
      <c r="L76">
        <v>17</v>
      </c>
      <c r="M76">
        <v>4</v>
      </c>
      <c r="N76">
        <v>0</v>
      </c>
      <c r="O76">
        <v>3</v>
      </c>
      <c r="P76">
        <v>10</v>
      </c>
      <c r="Q76">
        <v>3</v>
      </c>
      <c r="R76">
        <v>0</v>
      </c>
      <c r="S76">
        <v>146</v>
      </c>
      <c r="T76">
        <v>14.4</v>
      </c>
      <c r="U76">
        <v>250</v>
      </c>
      <c r="V76" s="2">
        <v>32.00277777777778</v>
      </c>
      <c r="W76" s="3">
        <v>0.86527777777777781</v>
      </c>
      <c r="X76">
        <v>358</v>
      </c>
      <c r="Y76">
        <v>259</v>
      </c>
      <c r="Z76">
        <v>58</v>
      </c>
      <c r="AA76">
        <v>57</v>
      </c>
      <c r="AB76">
        <v>22</v>
      </c>
      <c r="AC76">
        <v>15</v>
      </c>
      <c r="AD76">
        <v>36</v>
      </c>
      <c r="AF76" t="s">
        <v>494</v>
      </c>
    </row>
    <row r="77" spans="1:32" x14ac:dyDescent="0.3">
      <c r="A77">
        <v>74</v>
      </c>
      <c r="B77" t="s">
        <v>260</v>
      </c>
      <c r="C77">
        <v>30</v>
      </c>
      <c r="D77" t="s">
        <v>130</v>
      </c>
      <c r="E77" t="s">
        <v>87</v>
      </c>
      <c r="F77">
        <v>43</v>
      </c>
      <c r="G77">
        <v>7</v>
      </c>
      <c r="H77">
        <v>27</v>
      </c>
      <c r="I77">
        <v>34</v>
      </c>
      <c r="J77">
        <v>8</v>
      </c>
      <c r="K77">
        <v>16</v>
      </c>
      <c r="L77">
        <v>6</v>
      </c>
      <c r="M77">
        <v>1</v>
      </c>
      <c r="N77">
        <v>0</v>
      </c>
      <c r="O77">
        <v>0</v>
      </c>
      <c r="P77">
        <v>19</v>
      </c>
      <c r="Q77">
        <v>8</v>
      </c>
      <c r="R77">
        <v>0</v>
      </c>
      <c r="S77">
        <v>74</v>
      </c>
      <c r="T77">
        <v>9.5</v>
      </c>
      <c r="U77">
        <v>169</v>
      </c>
      <c r="V77" s="2">
        <v>43.825694444444444</v>
      </c>
      <c r="W77" s="2">
        <v>1.0194444444444444</v>
      </c>
      <c r="X77">
        <v>0</v>
      </c>
      <c r="Y77">
        <v>0</v>
      </c>
      <c r="AA77">
        <v>79</v>
      </c>
      <c r="AB77">
        <v>22</v>
      </c>
      <c r="AC77">
        <v>10</v>
      </c>
      <c r="AD77">
        <v>52</v>
      </c>
      <c r="AF77" t="s">
        <v>495</v>
      </c>
    </row>
    <row r="78" spans="1:32" x14ac:dyDescent="0.3">
      <c r="A78">
        <v>75</v>
      </c>
      <c r="B78" t="s">
        <v>496</v>
      </c>
      <c r="C78">
        <v>29</v>
      </c>
      <c r="D78" t="s">
        <v>164</v>
      </c>
      <c r="E78" t="s">
        <v>78</v>
      </c>
      <c r="F78">
        <v>43</v>
      </c>
      <c r="G78">
        <v>16</v>
      </c>
      <c r="H78">
        <v>17</v>
      </c>
      <c r="I78">
        <v>33</v>
      </c>
      <c r="J78">
        <v>-4</v>
      </c>
      <c r="K78">
        <v>40</v>
      </c>
      <c r="L78">
        <v>15</v>
      </c>
      <c r="M78">
        <v>1</v>
      </c>
      <c r="N78">
        <v>0</v>
      </c>
      <c r="O78">
        <v>4</v>
      </c>
      <c r="P78">
        <v>10</v>
      </c>
      <c r="Q78">
        <v>7</v>
      </c>
      <c r="R78">
        <v>0</v>
      </c>
      <c r="S78">
        <v>110</v>
      </c>
      <c r="T78">
        <v>14.5</v>
      </c>
      <c r="U78">
        <v>238</v>
      </c>
      <c r="V78" s="2">
        <v>32.659722222222221</v>
      </c>
      <c r="W78" s="3">
        <v>0.75972222222222219</v>
      </c>
      <c r="X78">
        <v>300</v>
      </c>
      <c r="Y78">
        <v>314</v>
      </c>
      <c r="Z78">
        <v>48.9</v>
      </c>
      <c r="AA78">
        <v>20</v>
      </c>
      <c r="AB78">
        <v>87</v>
      </c>
      <c r="AC78">
        <v>16</v>
      </c>
      <c r="AD78">
        <v>41</v>
      </c>
      <c r="AF78" t="s">
        <v>497</v>
      </c>
    </row>
    <row r="79" spans="1:32" x14ac:dyDescent="0.3">
      <c r="A79">
        <v>76</v>
      </c>
      <c r="B79" t="s">
        <v>98</v>
      </c>
      <c r="C79">
        <v>27</v>
      </c>
      <c r="D79" t="s">
        <v>97</v>
      </c>
      <c r="E79" t="s">
        <v>498</v>
      </c>
      <c r="F79">
        <v>44</v>
      </c>
      <c r="G79">
        <v>9</v>
      </c>
      <c r="H79">
        <v>24</v>
      </c>
      <c r="I79">
        <v>33</v>
      </c>
      <c r="J79">
        <v>-12</v>
      </c>
      <c r="K79">
        <v>8</v>
      </c>
      <c r="L79">
        <v>5</v>
      </c>
      <c r="M79">
        <v>3</v>
      </c>
      <c r="N79">
        <v>1</v>
      </c>
      <c r="O79">
        <v>2</v>
      </c>
      <c r="P79">
        <v>15</v>
      </c>
      <c r="Q79">
        <v>9</v>
      </c>
      <c r="R79">
        <v>0</v>
      </c>
      <c r="S79">
        <v>103</v>
      </c>
      <c r="T79">
        <v>8.6999999999999993</v>
      </c>
      <c r="U79">
        <v>205</v>
      </c>
      <c r="V79" s="2">
        <v>34.829861111111114</v>
      </c>
      <c r="W79">
        <v>0.79166666666666663</v>
      </c>
      <c r="X79">
        <v>1</v>
      </c>
      <c r="Y79">
        <v>2</v>
      </c>
      <c r="Z79">
        <v>33.299999999999997</v>
      </c>
      <c r="AA79">
        <v>14</v>
      </c>
      <c r="AB79">
        <v>41</v>
      </c>
      <c r="AC79">
        <v>17</v>
      </c>
      <c r="AD79">
        <v>41</v>
      </c>
      <c r="AF79" t="s">
        <v>499</v>
      </c>
    </row>
    <row r="80" spans="1:32" x14ac:dyDescent="0.3">
      <c r="A80">
        <v>77</v>
      </c>
      <c r="B80" t="s">
        <v>184</v>
      </c>
      <c r="C80">
        <v>29</v>
      </c>
      <c r="D80" t="s">
        <v>174</v>
      </c>
      <c r="E80" t="s">
        <v>101</v>
      </c>
      <c r="F80">
        <v>39</v>
      </c>
      <c r="G80">
        <v>13</v>
      </c>
      <c r="H80">
        <v>20</v>
      </c>
      <c r="I80">
        <v>33</v>
      </c>
      <c r="J80">
        <v>14</v>
      </c>
      <c r="K80">
        <v>12</v>
      </c>
      <c r="L80">
        <v>8</v>
      </c>
      <c r="M80">
        <v>5</v>
      </c>
      <c r="N80">
        <v>0</v>
      </c>
      <c r="O80">
        <v>1</v>
      </c>
      <c r="P80">
        <v>10</v>
      </c>
      <c r="Q80">
        <v>10</v>
      </c>
      <c r="R80">
        <v>0</v>
      </c>
      <c r="S80">
        <v>95</v>
      </c>
      <c r="T80">
        <v>13.7</v>
      </c>
      <c r="U80">
        <v>154</v>
      </c>
      <c r="V80" s="2">
        <v>28.287500000000001</v>
      </c>
      <c r="W80" s="3">
        <v>0.72499999999999998</v>
      </c>
      <c r="X80">
        <v>312</v>
      </c>
      <c r="Y80">
        <v>225</v>
      </c>
      <c r="Z80">
        <v>58.1</v>
      </c>
      <c r="AA80">
        <v>11</v>
      </c>
      <c r="AB80">
        <v>40</v>
      </c>
      <c r="AC80">
        <v>2</v>
      </c>
      <c r="AD80">
        <v>30</v>
      </c>
      <c r="AF80" t="s">
        <v>500</v>
      </c>
    </row>
    <row r="81" spans="1:32" x14ac:dyDescent="0.3">
      <c r="A81">
        <v>78</v>
      </c>
      <c r="B81" t="s">
        <v>189</v>
      </c>
      <c r="C81">
        <v>30</v>
      </c>
      <c r="D81" t="s">
        <v>188</v>
      </c>
      <c r="E81" t="s">
        <v>78</v>
      </c>
      <c r="F81">
        <v>36</v>
      </c>
      <c r="G81">
        <v>21</v>
      </c>
      <c r="H81">
        <v>12</v>
      </c>
      <c r="I81">
        <v>33</v>
      </c>
      <c r="J81">
        <v>4</v>
      </c>
      <c r="K81">
        <v>32</v>
      </c>
      <c r="L81">
        <v>14</v>
      </c>
      <c r="M81">
        <v>6</v>
      </c>
      <c r="N81">
        <v>1</v>
      </c>
      <c r="O81">
        <v>3</v>
      </c>
      <c r="P81">
        <v>6</v>
      </c>
      <c r="Q81">
        <v>6</v>
      </c>
      <c r="R81">
        <v>0</v>
      </c>
      <c r="S81">
        <v>122</v>
      </c>
      <c r="T81">
        <v>17.2</v>
      </c>
      <c r="U81">
        <v>213</v>
      </c>
      <c r="V81" s="2">
        <v>30.756944444444443</v>
      </c>
      <c r="W81" s="3">
        <v>0.85416666666666663</v>
      </c>
      <c r="X81">
        <v>377</v>
      </c>
      <c r="Y81">
        <v>277</v>
      </c>
      <c r="Z81">
        <v>57.6</v>
      </c>
      <c r="AA81">
        <v>19</v>
      </c>
      <c r="AB81">
        <v>26</v>
      </c>
      <c r="AC81">
        <v>8</v>
      </c>
      <c r="AD81">
        <v>42</v>
      </c>
      <c r="AF81" t="s">
        <v>501</v>
      </c>
    </row>
    <row r="82" spans="1:32" x14ac:dyDescent="0.3">
      <c r="A82">
        <v>79</v>
      </c>
      <c r="B82" t="s">
        <v>208</v>
      </c>
      <c r="C82">
        <v>35</v>
      </c>
      <c r="D82" t="s">
        <v>134</v>
      </c>
      <c r="E82" t="s">
        <v>87</v>
      </c>
      <c r="F82">
        <v>42</v>
      </c>
      <c r="G82">
        <v>4</v>
      </c>
      <c r="H82">
        <v>29</v>
      </c>
      <c r="I82">
        <v>33</v>
      </c>
      <c r="J82">
        <v>0</v>
      </c>
      <c r="K82">
        <v>14</v>
      </c>
      <c r="L82">
        <v>2</v>
      </c>
      <c r="M82">
        <v>2</v>
      </c>
      <c r="N82">
        <v>0</v>
      </c>
      <c r="O82">
        <v>0</v>
      </c>
      <c r="P82">
        <v>18</v>
      </c>
      <c r="Q82">
        <v>11</v>
      </c>
      <c r="R82">
        <v>0</v>
      </c>
      <c r="S82">
        <v>92</v>
      </c>
      <c r="T82">
        <v>4.3</v>
      </c>
      <c r="U82">
        <v>254</v>
      </c>
      <c r="V82" s="2">
        <v>41.547222222222224</v>
      </c>
      <c r="W82" s="3">
        <v>0.98888888888888893</v>
      </c>
      <c r="X82">
        <v>0</v>
      </c>
      <c r="Y82">
        <v>0</v>
      </c>
      <c r="AA82">
        <v>40</v>
      </c>
      <c r="AB82">
        <v>9</v>
      </c>
      <c r="AC82">
        <v>21</v>
      </c>
      <c r="AD82">
        <v>60</v>
      </c>
      <c r="AF82" t="s">
        <v>502</v>
      </c>
    </row>
    <row r="83" spans="1:32" x14ac:dyDescent="0.3">
      <c r="A83">
        <v>80</v>
      </c>
      <c r="B83" t="s">
        <v>503</v>
      </c>
      <c r="C83">
        <v>20</v>
      </c>
      <c r="D83" t="s">
        <v>113</v>
      </c>
      <c r="E83" t="s">
        <v>380</v>
      </c>
      <c r="F83">
        <v>44</v>
      </c>
      <c r="G83">
        <v>14</v>
      </c>
      <c r="H83">
        <v>19</v>
      </c>
      <c r="I83">
        <v>33</v>
      </c>
      <c r="J83">
        <v>-6</v>
      </c>
      <c r="K83">
        <v>34</v>
      </c>
      <c r="L83">
        <v>12</v>
      </c>
      <c r="M83">
        <v>1</v>
      </c>
      <c r="N83">
        <v>1</v>
      </c>
      <c r="O83">
        <v>0</v>
      </c>
      <c r="P83">
        <v>15</v>
      </c>
      <c r="Q83">
        <v>4</v>
      </c>
      <c r="R83">
        <v>0</v>
      </c>
      <c r="S83">
        <v>89</v>
      </c>
      <c r="T83">
        <v>15.7</v>
      </c>
      <c r="U83">
        <v>175</v>
      </c>
      <c r="V83" s="2">
        <v>30.912500000000001</v>
      </c>
      <c r="W83" s="3">
        <v>0.70277777777777772</v>
      </c>
      <c r="X83">
        <v>2</v>
      </c>
      <c r="Y83">
        <v>2</v>
      </c>
      <c r="Z83">
        <v>50</v>
      </c>
      <c r="AA83">
        <v>14</v>
      </c>
      <c r="AB83">
        <v>43</v>
      </c>
      <c r="AC83">
        <v>10</v>
      </c>
      <c r="AD83">
        <v>48</v>
      </c>
      <c r="AF83" t="s">
        <v>504</v>
      </c>
    </row>
    <row r="84" spans="1:32" x14ac:dyDescent="0.3">
      <c r="A84">
        <v>81</v>
      </c>
      <c r="B84" t="s">
        <v>505</v>
      </c>
      <c r="C84">
        <v>28</v>
      </c>
      <c r="D84" t="s">
        <v>310</v>
      </c>
      <c r="E84" t="s">
        <v>78</v>
      </c>
      <c r="F84">
        <v>43</v>
      </c>
      <c r="G84">
        <v>10</v>
      </c>
      <c r="H84">
        <v>23</v>
      </c>
      <c r="I84">
        <v>33</v>
      </c>
      <c r="J84">
        <v>10</v>
      </c>
      <c r="K84">
        <v>22</v>
      </c>
      <c r="L84">
        <v>8</v>
      </c>
      <c r="M84">
        <v>2</v>
      </c>
      <c r="N84">
        <v>0</v>
      </c>
      <c r="O84">
        <v>1</v>
      </c>
      <c r="P84">
        <v>16</v>
      </c>
      <c r="Q84">
        <v>7</v>
      </c>
      <c r="R84">
        <v>0</v>
      </c>
      <c r="S84">
        <v>78</v>
      </c>
      <c r="T84">
        <v>12.8</v>
      </c>
      <c r="U84">
        <v>135</v>
      </c>
      <c r="V84" s="2">
        <v>32.768055555555556</v>
      </c>
      <c r="W84" s="3">
        <v>0.76180555555555551</v>
      </c>
      <c r="X84">
        <v>441</v>
      </c>
      <c r="Y84">
        <v>305</v>
      </c>
      <c r="Z84">
        <v>59.1</v>
      </c>
      <c r="AA84">
        <v>28</v>
      </c>
      <c r="AB84">
        <v>10</v>
      </c>
      <c r="AC84">
        <v>10</v>
      </c>
      <c r="AD84">
        <v>33</v>
      </c>
      <c r="AF84" t="s">
        <v>506</v>
      </c>
    </row>
    <row r="85" spans="1:32" x14ac:dyDescent="0.3">
      <c r="A85">
        <v>82</v>
      </c>
      <c r="B85" t="s">
        <v>507</v>
      </c>
      <c r="C85">
        <v>27</v>
      </c>
      <c r="D85" t="s">
        <v>310</v>
      </c>
      <c r="E85" t="s">
        <v>87</v>
      </c>
      <c r="F85">
        <v>45</v>
      </c>
      <c r="G85">
        <v>15</v>
      </c>
      <c r="H85">
        <v>17</v>
      </c>
      <c r="I85">
        <v>32</v>
      </c>
      <c r="J85">
        <v>26</v>
      </c>
      <c r="K85">
        <v>37</v>
      </c>
      <c r="L85">
        <v>11</v>
      </c>
      <c r="M85">
        <v>4</v>
      </c>
      <c r="N85">
        <v>0</v>
      </c>
      <c r="O85">
        <v>4</v>
      </c>
      <c r="P85">
        <v>13</v>
      </c>
      <c r="Q85">
        <v>4</v>
      </c>
      <c r="R85">
        <v>0</v>
      </c>
      <c r="S85">
        <v>150</v>
      </c>
      <c r="T85">
        <v>10</v>
      </c>
      <c r="U85">
        <v>335</v>
      </c>
      <c r="V85" s="2">
        <v>43.579166666666666</v>
      </c>
      <c r="W85" s="3">
        <v>0.96875</v>
      </c>
      <c r="X85">
        <v>0</v>
      </c>
      <c r="Y85">
        <v>0</v>
      </c>
      <c r="AA85">
        <v>57</v>
      </c>
      <c r="AB85">
        <v>39</v>
      </c>
      <c r="AC85">
        <v>19</v>
      </c>
      <c r="AD85">
        <v>60</v>
      </c>
      <c r="AF85" t="s">
        <v>508</v>
      </c>
    </row>
    <row r="86" spans="1:32" x14ac:dyDescent="0.3">
      <c r="A86">
        <v>83</v>
      </c>
      <c r="B86" t="s">
        <v>154</v>
      </c>
      <c r="C86">
        <v>29</v>
      </c>
      <c r="D86" t="s">
        <v>109</v>
      </c>
      <c r="E86" t="s">
        <v>78</v>
      </c>
      <c r="F86">
        <v>45</v>
      </c>
      <c r="G86">
        <v>11</v>
      </c>
      <c r="H86">
        <v>21</v>
      </c>
      <c r="I86">
        <v>32</v>
      </c>
      <c r="J86">
        <v>13</v>
      </c>
      <c r="K86">
        <v>20</v>
      </c>
      <c r="L86">
        <v>8</v>
      </c>
      <c r="M86">
        <v>3</v>
      </c>
      <c r="N86">
        <v>0</v>
      </c>
      <c r="O86">
        <v>2</v>
      </c>
      <c r="P86">
        <v>14</v>
      </c>
      <c r="Q86">
        <v>7</v>
      </c>
      <c r="R86">
        <v>0</v>
      </c>
      <c r="S86">
        <v>133</v>
      </c>
      <c r="T86">
        <v>8.3000000000000007</v>
      </c>
      <c r="U86">
        <v>218</v>
      </c>
      <c r="V86" s="2">
        <v>36.68333333333333</v>
      </c>
      <c r="W86" s="3">
        <v>0.81527777777777777</v>
      </c>
      <c r="X86">
        <v>465</v>
      </c>
      <c r="Y86">
        <v>471</v>
      </c>
      <c r="Z86">
        <v>49.7</v>
      </c>
      <c r="AA86">
        <v>19</v>
      </c>
      <c r="AB86">
        <v>68</v>
      </c>
      <c r="AC86">
        <v>11</v>
      </c>
      <c r="AD86">
        <v>33</v>
      </c>
      <c r="AF86" t="s">
        <v>509</v>
      </c>
    </row>
    <row r="87" spans="1:32" x14ac:dyDescent="0.3">
      <c r="A87">
        <v>84</v>
      </c>
      <c r="B87" t="s">
        <v>510</v>
      </c>
      <c r="C87">
        <v>27</v>
      </c>
      <c r="D87" t="s">
        <v>97</v>
      </c>
      <c r="E87" t="s">
        <v>78</v>
      </c>
      <c r="F87">
        <v>44</v>
      </c>
      <c r="G87">
        <v>12</v>
      </c>
      <c r="H87">
        <v>20</v>
      </c>
      <c r="I87">
        <v>32</v>
      </c>
      <c r="J87">
        <v>-7</v>
      </c>
      <c r="K87">
        <v>19</v>
      </c>
      <c r="L87">
        <v>8</v>
      </c>
      <c r="M87">
        <v>4</v>
      </c>
      <c r="N87">
        <v>0</v>
      </c>
      <c r="O87">
        <v>1</v>
      </c>
      <c r="P87">
        <v>13</v>
      </c>
      <c r="Q87">
        <v>7</v>
      </c>
      <c r="R87">
        <v>0</v>
      </c>
      <c r="S87">
        <v>118</v>
      </c>
      <c r="T87">
        <v>10.199999999999999</v>
      </c>
      <c r="U87">
        <v>224</v>
      </c>
      <c r="V87" s="2">
        <v>38.24861111111111</v>
      </c>
      <c r="W87" s="3">
        <v>0.86944444444444446</v>
      </c>
      <c r="X87">
        <v>510</v>
      </c>
      <c r="Y87">
        <v>420</v>
      </c>
      <c r="Z87">
        <v>54.8</v>
      </c>
      <c r="AA87">
        <v>40</v>
      </c>
      <c r="AB87">
        <v>35</v>
      </c>
      <c r="AC87">
        <v>20</v>
      </c>
      <c r="AD87">
        <v>42</v>
      </c>
      <c r="AF87" t="s">
        <v>511</v>
      </c>
    </row>
    <row r="88" spans="1:32" x14ac:dyDescent="0.3">
      <c r="A88">
        <v>85</v>
      </c>
      <c r="B88" t="s">
        <v>512</v>
      </c>
      <c r="C88">
        <v>35</v>
      </c>
      <c r="D88" t="s">
        <v>109</v>
      </c>
      <c r="E88" t="s">
        <v>78</v>
      </c>
      <c r="F88">
        <v>43</v>
      </c>
      <c r="G88">
        <v>12</v>
      </c>
      <c r="H88">
        <v>20</v>
      </c>
      <c r="I88">
        <v>32</v>
      </c>
      <c r="J88">
        <v>21</v>
      </c>
      <c r="K88">
        <v>8</v>
      </c>
      <c r="L88">
        <v>9</v>
      </c>
      <c r="M88">
        <v>3</v>
      </c>
      <c r="N88">
        <v>0</v>
      </c>
      <c r="O88">
        <v>4</v>
      </c>
      <c r="P88">
        <v>15</v>
      </c>
      <c r="Q88">
        <v>4</v>
      </c>
      <c r="R88">
        <v>1</v>
      </c>
      <c r="S88">
        <v>65</v>
      </c>
      <c r="T88">
        <v>18.5</v>
      </c>
      <c r="U88">
        <v>119</v>
      </c>
      <c r="V88" s="2">
        <v>28.638888888888889</v>
      </c>
      <c r="W88" s="3">
        <v>0.66597222222222219</v>
      </c>
      <c r="X88">
        <v>5</v>
      </c>
      <c r="Y88">
        <v>7</v>
      </c>
      <c r="Z88">
        <v>41.7</v>
      </c>
      <c r="AA88">
        <v>11</v>
      </c>
      <c r="AB88">
        <v>19</v>
      </c>
      <c r="AC88">
        <v>13</v>
      </c>
      <c r="AD88">
        <v>35</v>
      </c>
      <c r="AF88" t="s">
        <v>513</v>
      </c>
    </row>
    <row r="89" spans="1:32" x14ac:dyDescent="0.3">
      <c r="A89">
        <v>86</v>
      </c>
      <c r="B89" t="s">
        <v>514</v>
      </c>
      <c r="C89">
        <v>35</v>
      </c>
      <c r="D89" t="s">
        <v>82</v>
      </c>
      <c r="E89" t="s">
        <v>78</v>
      </c>
      <c r="F89">
        <v>44</v>
      </c>
      <c r="G89">
        <v>8</v>
      </c>
      <c r="H89">
        <v>24</v>
      </c>
      <c r="I89">
        <v>32</v>
      </c>
      <c r="J89">
        <v>-16</v>
      </c>
      <c r="K89">
        <v>18</v>
      </c>
      <c r="L89">
        <v>6</v>
      </c>
      <c r="M89">
        <v>2</v>
      </c>
      <c r="N89">
        <v>0</v>
      </c>
      <c r="O89">
        <v>1</v>
      </c>
      <c r="P89">
        <v>14</v>
      </c>
      <c r="Q89">
        <v>10</v>
      </c>
      <c r="R89">
        <v>0</v>
      </c>
      <c r="S89">
        <v>128</v>
      </c>
      <c r="T89">
        <v>6.3</v>
      </c>
      <c r="U89">
        <v>273</v>
      </c>
      <c r="V89" s="2">
        <v>36.131250000000001</v>
      </c>
      <c r="W89" s="3">
        <v>0.8208333333333333</v>
      </c>
      <c r="X89">
        <v>301</v>
      </c>
      <c r="Y89">
        <v>308</v>
      </c>
      <c r="Z89">
        <v>49.4</v>
      </c>
      <c r="AA89">
        <v>17</v>
      </c>
      <c r="AB89">
        <v>28</v>
      </c>
      <c r="AC89">
        <v>10</v>
      </c>
      <c r="AD89">
        <v>49</v>
      </c>
      <c r="AF89" t="s">
        <v>515</v>
      </c>
    </row>
    <row r="90" spans="1:32" x14ac:dyDescent="0.3">
      <c r="A90">
        <v>87</v>
      </c>
      <c r="B90" t="s">
        <v>281</v>
      </c>
      <c r="C90">
        <v>23</v>
      </c>
      <c r="D90" t="s">
        <v>243</v>
      </c>
      <c r="E90" t="s">
        <v>87</v>
      </c>
      <c r="F90">
        <v>43</v>
      </c>
      <c r="G90">
        <v>8</v>
      </c>
      <c r="H90">
        <v>24</v>
      </c>
      <c r="I90">
        <v>32</v>
      </c>
      <c r="J90">
        <v>4</v>
      </c>
      <c r="K90">
        <v>4</v>
      </c>
      <c r="L90">
        <v>6</v>
      </c>
      <c r="M90">
        <v>2</v>
      </c>
      <c r="N90">
        <v>0</v>
      </c>
      <c r="O90">
        <v>1</v>
      </c>
      <c r="P90">
        <v>14</v>
      </c>
      <c r="Q90">
        <v>10</v>
      </c>
      <c r="R90">
        <v>0</v>
      </c>
      <c r="S90">
        <v>91</v>
      </c>
      <c r="T90">
        <v>8.8000000000000007</v>
      </c>
      <c r="U90">
        <v>250</v>
      </c>
      <c r="V90" s="2">
        <v>45.162500000000001</v>
      </c>
      <c r="W90" s="2">
        <v>1.05</v>
      </c>
      <c r="X90">
        <v>0</v>
      </c>
      <c r="Y90">
        <v>0</v>
      </c>
      <c r="AA90">
        <v>82</v>
      </c>
      <c r="AB90">
        <v>18</v>
      </c>
      <c r="AC90">
        <v>23</v>
      </c>
      <c r="AD90">
        <v>50</v>
      </c>
      <c r="AF90" t="s">
        <v>516</v>
      </c>
    </row>
    <row r="91" spans="1:32" x14ac:dyDescent="0.3">
      <c r="A91">
        <v>88</v>
      </c>
      <c r="B91" t="s">
        <v>517</v>
      </c>
      <c r="C91">
        <v>30</v>
      </c>
      <c r="D91" t="s">
        <v>409</v>
      </c>
      <c r="E91" t="s">
        <v>78</v>
      </c>
      <c r="F91">
        <v>42</v>
      </c>
      <c r="G91">
        <v>12</v>
      </c>
      <c r="H91">
        <v>19</v>
      </c>
      <c r="I91">
        <v>31</v>
      </c>
      <c r="J91">
        <v>4</v>
      </c>
      <c r="K91">
        <v>6</v>
      </c>
      <c r="L91">
        <v>11</v>
      </c>
      <c r="M91">
        <v>1</v>
      </c>
      <c r="N91">
        <v>0</v>
      </c>
      <c r="O91">
        <v>1</v>
      </c>
      <c r="P91">
        <v>18</v>
      </c>
      <c r="Q91">
        <v>1</v>
      </c>
      <c r="R91">
        <v>0</v>
      </c>
      <c r="S91">
        <v>63</v>
      </c>
      <c r="T91">
        <v>19</v>
      </c>
      <c r="U91">
        <v>115</v>
      </c>
      <c r="V91" s="2">
        <v>28.211805555555557</v>
      </c>
      <c r="W91" s="3">
        <v>0.67152777777777772</v>
      </c>
      <c r="X91">
        <v>7</v>
      </c>
      <c r="Y91">
        <v>23</v>
      </c>
      <c r="Z91">
        <v>23.3</v>
      </c>
      <c r="AA91">
        <v>20</v>
      </c>
      <c r="AB91">
        <v>67</v>
      </c>
      <c r="AC91">
        <v>9</v>
      </c>
      <c r="AD91">
        <v>45</v>
      </c>
      <c r="AF91" t="s">
        <v>518</v>
      </c>
    </row>
    <row r="92" spans="1:32" x14ac:dyDescent="0.3">
      <c r="A92">
        <v>89</v>
      </c>
      <c r="B92" t="s">
        <v>519</v>
      </c>
      <c r="C92">
        <v>24</v>
      </c>
      <c r="D92" t="s">
        <v>243</v>
      </c>
      <c r="E92" t="s">
        <v>78</v>
      </c>
      <c r="F92">
        <v>43</v>
      </c>
      <c r="G92">
        <v>12</v>
      </c>
      <c r="H92">
        <v>19</v>
      </c>
      <c r="I92">
        <v>31</v>
      </c>
      <c r="J92">
        <v>-16</v>
      </c>
      <c r="K92">
        <v>36</v>
      </c>
      <c r="L92">
        <v>5</v>
      </c>
      <c r="M92">
        <v>7</v>
      </c>
      <c r="N92">
        <v>0</v>
      </c>
      <c r="O92">
        <v>0</v>
      </c>
      <c r="P92">
        <v>8</v>
      </c>
      <c r="Q92">
        <v>11</v>
      </c>
      <c r="R92">
        <v>0</v>
      </c>
      <c r="S92">
        <v>101</v>
      </c>
      <c r="T92">
        <v>11.9</v>
      </c>
      <c r="U92">
        <v>190</v>
      </c>
      <c r="V92" s="2">
        <v>31.574305555555554</v>
      </c>
      <c r="W92" s="3">
        <v>0.73402777777777772</v>
      </c>
      <c r="X92">
        <v>267</v>
      </c>
      <c r="Y92">
        <v>229</v>
      </c>
      <c r="Z92">
        <v>53.8</v>
      </c>
      <c r="AA92">
        <v>15</v>
      </c>
      <c r="AB92">
        <v>123</v>
      </c>
      <c r="AC92">
        <v>9</v>
      </c>
      <c r="AD92">
        <v>27</v>
      </c>
      <c r="AF92" t="s">
        <v>520</v>
      </c>
    </row>
    <row r="93" spans="1:32" x14ac:dyDescent="0.3">
      <c r="A93">
        <v>90</v>
      </c>
      <c r="B93" t="s">
        <v>521</v>
      </c>
      <c r="C93">
        <v>23</v>
      </c>
      <c r="D93" t="s">
        <v>157</v>
      </c>
      <c r="E93" t="s">
        <v>95</v>
      </c>
      <c r="F93">
        <v>42</v>
      </c>
      <c r="G93">
        <v>6</v>
      </c>
      <c r="H93">
        <v>25</v>
      </c>
      <c r="I93">
        <v>31</v>
      </c>
      <c r="J93">
        <v>7</v>
      </c>
      <c r="K93">
        <v>10</v>
      </c>
      <c r="L93">
        <v>5</v>
      </c>
      <c r="M93">
        <v>1</v>
      </c>
      <c r="N93">
        <v>0</v>
      </c>
      <c r="O93">
        <v>0</v>
      </c>
      <c r="P93">
        <v>15</v>
      </c>
      <c r="Q93">
        <v>10</v>
      </c>
      <c r="R93">
        <v>0</v>
      </c>
      <c r="S93">
        <v>93</v>
      </c>
      <c r="T93">
        <v>6.5</v>
      </c>
      <c r="U93">
        <v>166</v>
      </c>
      <c r="V93" s="2">
        <v>28.926388888888887</v>
      </c>
      <c r="W93" s="3">
        <v>0.68888888888888888</v>
      </c>
      <c r="X93">
        <v>0</v>
      </c>
      <c r="Y93">
        <v>1</v>
      </c>
      <c r="Z93">
        <v>0</v>
      </c>
      <c r="AA93">
        <v>9</v>
      </c>
      <c r="AB93">
        <v>7</v>
      </c>
      <c r="AC93">
        <v>12</v>
      </c>
      <c r="AD93">
        <v>35</v>
      </c>
      <c r="AF93" t="s">
        <v>522</v>
      </c>
    </row>
    <row r="94" spans="1:32" x14ac:dyDescent="0.3">
      <c r="A94">
        <v>91</v>
      </c>
      <c r="B94" t="s">
        <v>523</v>
      </c>
      <c r="C94">
        <v>29</v>
      </c>
      <c r="D94" t="s">
        <v>91</v>
      </c>
      <c r="E94" t="s">
        <v>101</v>
      </c>
      <c r="F94">
        <v>43</v>
      </c>
      <c r="G94">
        <v>16</v>
      </c>
      <c r="H94">
        <v>15</v>
      </c>
      <c r="I94">
        <v>31</v>
      </c>
      <c r="J94">
        <v>-7</v>
      </c>
      <c r="K94">
        <v>26</v>
      </c>
      <c r="L94">
        <v>12</v>
      </c>
      <c r="M94">
        <v>4</v>
      </c>
      <c r="N94">
        <v>0</v>
      </c>
      <c r="O94">
        <v>2</v>
      </c>
      <c r="P94">
        <v>7</v>
      </c>
      <c r="Q94">
        <v>8</v>
      </c>
      <c r="R94">
        <v>0</v>
      </c>
      <c r="S94">
        <v>125</v>
      </c>
      <c r="T94">
        <v>12.8</v>
      </c>
      <c r="U94">
        <v>263</v>
      </c>
      <c r="V94" s="2">
        <v>34.215277777777779</v>
      </c>
      <c r="W94" s="3">
        <v>0.79583333333333328</v>
      </c>
      <c r="X94">
        <v>4</v>
      </c>
      <c r="Y94">
        <v>12</v>
      </c>
      <c r="Z94">
        <v>25</v>
      </c>
      <c r="AA94">
        <v>17</v>
      </c>
      <c r="AB94">
        <v>26</v>
      </c>
      <c r="AC94">
        <v>16</v>
      </c>
      <c r="AD94">
        <v>61</v>
      </c>
      <c r="AF94" t="s">
        <v>524</v>
      </c>
    </row>
    <row r="95" spans="1:32" x14ac:dyDescent="0.3">
      <c r="A95">
        <v>92</v>
      </c>
      <c r="B95" t="s">
        <v>158</v>
      </c>
      <c r="C95">
        <v>31</v>
      </c>
      <c r="D95" t="s">
        <v>157</v>
      </c>
      <c r="E95" t="s">
        <v>78</v>
      </c>
      <c r="F95">
        <v>43</v>
      </c>
      <c r="G95">
        <v>16</v>
      </c>
      <c r="H95">
        <v>15</v>
      </c>
      <c r="I95">
        <v>31</v>
      </c>
      <c r="J95">
        <v>-7</v>
      </c>
      <c r="K95">
        <v>20</v>
      </c>
      <c r="L95">
        <v>15</v>
      </c>
      <c r="M95">
        <v>1</v>
      </c>
      <c r="N95">
        <v>0</v>
      </c>
      <c r="O95">
        <v>1</v>
      </c>
      <c r="P95">
        <v>8</v>
      </c>
      <c r="Q95">
        <v>7</v>
      </c>
      <c r="R95">
        <v>0</v>
      </c>
      <c r="S95">
        <v>127</v>
      </c>
      <c r="T95">
        <v>12.6</v>
      </c>
      <c r="U95">
        <v>270</v>
      </c>
      <c r="V95" s="2">
        <v>33.525694444444447</v>
      </c>
      <c r="W95" s="3">
        <v>0.77986111111111112</v>
      </c>
      <c r="X95">
        <v>7</v>
      </c>
      <c r="Y95">
        <v>13</v>
      </c>
      <c r="Z95">
        <v>35</v>
      </c>
      <c r="AA95">
        <v>15</v>
      </c>
      <c r="AB95">
        <v>85</v>
      </c>
      <c r="AC95">
        <v>30</v>
      </c>
      <c r="AD95">
        <v>60</v>
      </c>
      <c r="AF95" t="s">
        <v>525</v>
      </c>
    </row>
    <row r="96" spans="1:32" x14ac:dyDescent="0.3">
      <c r="A96">
        <v>93</v>
      </c>
      <c r="B96" t="s">
        <v>526</v>
      </c>
      <c r="C96">
        <v>32</v>
      </c>
      <c r="D96" t="s">
        <v>72</v>
      </c>
      <c r="E96" t="s">
        <v>87</v>
      </c>
      <c r="F96">
        <v>32</v>
      </c>
      <c r="G96">
        <v>5</v>
      </c>
      <c r="H96">
        <v>26</v>
      </c>
      <c r="I96">
        <v>31</v>
      </c>
      <c r="J96">
        <v>13</v>
      </c>
      <c r="K96">
        <v>4</v>
      </c>
      <c r="L96">
        <v>2</v>
      </c>
      <c r="M96">
        <v>3</v>
      </c>
      <c r="N96">
        <v>0</v>
      </c>
      <c r="O96">
        <v>1</v>
      </c>
      <c r="P96">
        <v>20</v>
      </c>
      <c r="Q96">
        <v>6</v>
      </c>
      <c r="R96">
        <v>0</v>
      </c>
      <c r="S96">
        <v>57</v>
      </c>
      <c r="T96">
        <v>8.8000000000000007</v>
      </c>
      <c r="U96">
        <v>147</v>
      </c>
      <c r="V96" s="2">
        <v>27.011805555555554</v>
      </c>
      <c r="W96" s="3">
        <v>0.84444444444444444</v>
      </c>
      <c r="X96">
        <v>0</v>
      </c>
      <c r="Y96">
        <v>0</v>
      </c>
      <c r="AA96">
        <v>38</v>
      </c>
      <c r="AB96">
        <v>13</v>
      </c>
      <c r="AC96">
        <v>9</v>
      </c>
      <c r="AD96">
        <v>34</v>
      </c>
      <c r="AF96" t="s">
        <v>527</v>
      </c>
    </row>
    <row r="97" spans="1:32" x14ac:dyDescent="0.3">
      <c r="A97">
        <v>94</v>
      </c>
      <c r="B97" t="s">
        <v>528</v>
      </c>
      <c r="C97">
        <v>23</v>
      </c>
      <c r="D97" t="s">
        <v>72</v>
      </c>
      <c r="E97" t="s">
        <v>78</v>
      </c>
      <c r="F97">
        <v>36</v>
      </c>
      <c r="G97">
        <v>20</v>
      </c>
      <c r="H97">
        <v>11</v>
      </c>
      <c r="I97">
        <v>31</v>
      </c>
      <c r="J97">
        <v>0</v>
      </c>
      <c r="K97">
        <v>6</v>
      </c>
      <c r="L97">
        <v>16</v>
      </c>
      <c r="M97">
        <v>2</v>
      </c>
      <c r="N97">
        <v>2</v>
      </c>
      <c r="O97">
        <v>4</v>
      </c>
      <c r="P97">
        <v>8</v>
      </c>
      <c r="Q97">
        <v>3</v>
      </c>
      <c r="R97">
        <v>0</v>
      </c>
      <c r="S97">
        <v>119</v>
      </c>
      <c r="T97">
        <v>16.8</v>
      </c>
      <c r="U97">
        <v>183</v>
      </c>
      <c r="V97" s="2">
        <v>28.517361111111111</v>
      </c>
      <c r="W97" s="3">
        <v>0.79236111111111107</v>
      </c>
      <c r="X97">
        <v>20</v>
      </c>
      <c r="Y97">
        <v>32</v>
      </c>
      <c r="Z97">
        <v>38.5</v>
      </c>
      <c r="AA97">
        <v>13</v>
      </c>
      <c r="AB97">
        <v>49</v>
      </c>
      <c r="AC97">
        <v>19</v>
      </c>
      <c r="AD97">
        <v>36</v>
      </c>
      <c r="AF97" t="s">
        <v>529</v>
      </c>
    </row>
    <row r="98" spans="1:32" x14ac:dyDescent="0.3">
      <c r="A98">
        <v>95</v>
      </c>
      <c r="B98" t="s">
        <v>231</v>
      </c>
      <c r="C98">
        <v>24</v>
      </c>
      <c r="D98" t="s">
        <v>164</v>
      </c>
      <c r="E98" t="s">
        <v>78</v>
      </c>
      <c r="F98">
        <v>43</v>
      </c>
      <c r="G98">
        <v>13</v>
      </c>
      <c r="H98">
        <v>18</v>
      </c>
      <c r="I98">
        <v>31</v>
      </c>
      <c r="J98">
        <v>-8</v>
      </c>
      <c r="K98">
        <v>22</v>
      </c>
      <c r="L98">
        <v>9</v>
      </c>
      <c r="M98">
        <v>3</v>
      </c>
      <c r="N98">
        <v>1</v>
      </c>
      <c r="O98">
        <v>3</v>
      </c>
      <c r="P98">
        <v>11</v>
      </c>
      <c r="Q98">
        <v>5</v>
      </c>
      <c r="R98">
        <v>2</v>
      </c>
      <c r="S98">
        <v>99</v>
      </c>
      <c r="T98">
        <v>13.1</v>
      </c>
      <c r="U98">
        <v>195</v>
      </c>
      <c r="V98" s="2">
        <v>34.456249999999997</v>
      </c>
      <c r="W98" s="3">
        <v>0.80138888888888893</v>
      </c>
      <c r="X98">
        <v>400</v>
      </c>
      <c r="Y98">
        <v>371</v>
      </c>
      <c r="Z98">
        <v>51.9</v>
      </c>
      <c r="AA98">
        <v>28</v>
      </c>
      <c r="AB98">
        <v>50</v>
      </c>
      <c r="AC98">
        <v>8</v>
      </c>
      <c r="AD98">
        <v>47</v>
      </c>
      <c r="AF98" t="s">
        <v>530</v>
      </c>
    </row>
    <row r="99" spans="1:32" x14ac:dyDescent="0.3">
      <c r="A99">
        <v>96</v>
      </c>
      <c r="B99" t="s">
        <v>531</v>
      </c>
      <c r="C99">
        <v>25</v>
      </c>
      <c r="D99" t="s">
        <v>310</v>
      </c>
      <c r="E99" t="s">
        <v>78</v>
      </c>
      <c r="F99">
        <v>42</v>
      </c>
      <c r="G99">
        <v>16</v>
      </c>
      <c r="H99">
        <v>15</v>
      </c>
      <c r="I99">
        <v>31</v>
      </c>
      <c r="J99">
        <v>22</v>
      </c>
      <c r="K99">
        <v>14</v>
      </c>
      <c r="L99">
        <v>16</v>
      </c>
      <c r="M99">
        <v>0</v>
      </c>
      <c r="N99">
        <v>0</v>
      </c>
      <c r="O99">
        <v>3</v>
      </c>
      <c r="P99">
        <v>13</v>
      </c>
      <c r="Q99">
        <v>1</v>
      </c>
      <c r="R99">
        <v>1</v>
      </c>
      <c r="S99">
        <v>90</v>
      </c>
      <c r="T99">
        <v>17.8</v>
      </c>
      <c r="U99">
        <v>175</v>
      </c>
      <c r="V99" s="2">
        <v>31.630555555555556</v>
      </c>
      <c r="W99" s="3">
        <v>0.75277777777777777</v>
      </c>
      <c r="X99">
        <v>10</v>
      </c>
      <c r="Y99">
        <v>19</v>
      </c>
      <c r="Z99">
        <v>34.5</v>
      </c>
      <c r="AA99">
        <v>26</v>
      </c>
      <c r="AB99">
        <v>20</v>
      </c>
      <c r="AC99">
        <v>13</v>
      </c>
      <c r="AD99">
        <v>51</v>
      </c>
      <c r="AF99" t="s">
        <v>532</v>
      </c>
    </row>
    <row r="100" spans="1:32" x14ac:dyDescent="0.3">
      <c r="A100">
        <v>97</v>
      </c>
      <c r="B100" t="s">
        <v>533</v>
      </c>
      <c r="C100">
        <v>24</v>
      </c>
      <c r="D100" t="s">
        <v>221</v>
      </c>
      <c r="E100" t="s">
        <v>87</v>
      </c>
      <c r="F100">
        <v>45</v>
      </c>
      <c r="G100">
        <v>7</v>
      </c>
      <c r="H100">
        <v>24</v>
      </c>
      <c r="I100">
        <v>31</v>
      </c>
      <c r="J100">
        <v>11</v>
      </c>
      <c r="K100">
        <v>39</v>
      </c>
      <c r="L100">
        <v>6</v>
      </c>
      <c r="M100">
        <v>1</v>
      </c>
      <c r="N100">
        <v>0</v>
      </c>
      <c r="O100">
        <v>1</v>
      </c>
      <c r="P100">
        <v>11</v>
      </c>
      <c r="Q100">
        <v>13</v>
      </c>
      <c r="R100">
        <v>0</v>
      </c>
      <c r="S100">
        <v>101</v>
      </c>
      <c r="T100">
        <v>6.9</v>
      </c>
      <c r="U100">
        <v>221</v>
      </c>
      <c r="V100" s="2">
        <v>47.21597222222222</v>
      </c>
      <c r="W100" s="2">
        <v>1.0493055555555555</v>
      </c>
      <c r="X100">
        <v>0</v>
      </c>
      <c r="Y100">
        <v>0</v>
      </c>
      <c r="AA100">
        <v>103</v>
      </c>
      <c r="AB100">
        <v>74</v>
      </c>
      <c r="AC100">
        <v>15</v>
      </c>
      <c r="AD100">
        <v>51</v>
      </c>
      <c r="AF100" t="s">
        <v>534</v>
      </c>
    </row>
    <row r="101" spans="1:32" x14ac:dyDescent="0.3">
      <c r="A101">
        <v>98</v>
      </c>
      <c r="B101" t="s">
        <v>535</v>
      </c>
      <c r="C101">
        <v>27</v>
      </c>
      <c r="D101" t="s">
        <v>210</v>
      </c>
      <c r="E101" t="s">
        <v>87</v>
      </c>
      <c r="F101">
        <v>45</v>
      </c>
      <c r="G101">
        <v>6</v>
      </c>
      <c r="H101">
        <v>25</v>
      </c>
      <c r="I101">
        <v>31</v>
      </c>
      <c r="J101">
        <v>-8</v>
      </c>
      <c r="K101">
        <v>26</v>
      </c>
      <c r="L101">
        <v>3</v>
      </c>
      <c r="M101">
        <v>3</v>
      </c>
      <c r="N101">
        <v>0</v>
      </c>
      <c r="O101">
        <v>0</v>
      </c>
      <c r="P101">
        <v>15</v>
      </c>
      <c r="Q101">
        <v>9</v>
      </c>
      <c r="R101">
        <v>1</v>
      </c>
      <c r="S101">
        <v>95</v>
      </c>
      <c r="T101">
        <v>6.3</v>
      </c>
      <c r="U101">
        <v>205</v>
      </c>
      <c r="V101" s="2">
        <v>45.725000000000001</v>
      </c>
      <c r="W101" s="2">
        <v>1.0159722222222223</v>
      </c>
      <c r="X101">
        <v>0</v>
      </c>
      <c r="Y101">
        <v>0</v>
      </c>
      <c r="AA101">
        <v>75</v>
      </c>
      <c r="AB101">
        <v>22</v>
      </c>
      <c r="AC101">
        <v>19</v>
      </c>
      <c r="AD101">
        <v>69</v>
      </c>
      <c r="AF101" t="s">
        <v>536</v>
      </c>
    </row>
    <row r="102" spans="1:32" x14ac:dyDescent="0.3">
      <c r="A102">
        <v>99</v>
      </c>
      <c r="B102" t="s">
        <v>537</v>
      </c>
      <c r="C102">
        <v>26</v>
      </c>
      <c r="D102" t="s">
        <v>103</v>
      </c>
      <c r="E102" t="s">
        <v>78</v>
      </c>
      <c r="F102">
        <v>41</v>
      </c>
      <c r="G102">
        <v>10</v>
      </c>
      <c r="H102">
        <v>21</v>
      </c>
      <c r="I102">
        <v>31</v>
      </c>
      <c r="J102">
        <v>-3</v>
      </c>
      <c r="K102">
        <v>12</v>
      </c>
      <c r="L102">
        <v>5</v>
      </c>
      <c r="M102">
        <v>3</v>
      </c>
      <c r="N102">
        <v>2</v>
      </c>
      <c r="O102">
        <v>0</v>
      </c>
      <c r="P102">
        <v>16</v>
      </c>
      <c r="Q102">
        <v>5</v>
      </c>
      <c r="R102">
        <v>0</v>
      </c>
      <c r="S102">
        <v>58</v>
      </c>
      <c r="T102">
        <v>17.2</v>
      </c>
      <c r="U102">
        <v>115</v>
      </c>
      <c r="V102" s="2">
        <v>32.463194444444447</v>
      </c>
      <c r="W102" s="3">
        <v>0.79166666666666663</v>
      </c>
      <c r="X102">
        <v>371</v>
      </c>
      <c r="Y102">
        <v>335</v>
      </c>
      <c r="Z102">
        <v>52.5</v>
      </c>
      <c r="AA102">
        <v>23</v>
      </c>
      <c r="AB102">
        <v>7</v>
      </c>
      <c r="AC102">
        <v>21</v>
      </c>
      <c r="AD102">
        <v>58</v>
      </c>
      <c r="AF102" t="s">
        <v>538</v>
      </c>
    </row>
    <row r="103" spans="1:32" x14ac:dyDescent="0.3">
      <c r="A103">
        <v>100</v>
      </c>
      <c r="B103" t="s">
        <v>539</v>
      </c>
      <c r="C103">
        <v>25</v>
      </c>
      <c r="D103" t="s">
        <v>409</v>
      </c>
      <c r="E103" t="s">
        <v>101</v>
      </c>
      <c r="F103">
        <v>42</v>
      </c>
      <c r="G103">
        <v>16</v>
      </c>
      <c r="H103">
        <v>14</v>
      </c>
      <c r="I103">
        <v>30</v>
      </c>
      <c r="J103">
        <v>-11</v>
      </c>
      <c r="K103">
        <v>10</v>
      </c>
      <c r="L103">
        <v>6</v>
      </c>
      <c r="M103">
        <v>10</v>
      </c>
      <c r="N103">
        <v>0</v>
      </c>
      <c r="O103">
        <v>1</v>
      </c>
      <c r="P103">
        <v>7</v>
      </c>
      <c r="Q103">
        <v>7</v>
      </c>
      <c r="R103">
        <v>0</v>
      </c>
      <c r="S103">
        <v>109</v>
      </c>
      <c r="T103">
        <v>14.7</v>
      </c>
      <c r="U103">
        <v>238</v>
      </c>
      <c r="V103" s="2">
        <v>30.535416666666666</v>
      </c>
      <c r="W103" s="3">
        <v>0.7270833333333333</v>
      </c>
      <c r="X103">
        <v>0</v>
      </c>
      <c r="Y103">
        <v>1</v>
      </c>
      <c r="Z103">
        <v>0</v>
      </c>
      <c r="AA103">
        <v>19</v>
      </c>
      <c r="AB103">
        <v>19</v>
      </c>
      <c r="AC103">
        <v>5</v>
      </c>
      <c r="AD103">
        <v>29</v>
      </c>
      <c r="AF103" t="s">
        <v>540</v>
      </c>
    </row>
    <row r="104" spans="1:32" x14ac:dyDescent="0.3">
      <c r="A104">
        <v>101</v>
      </c>
      <c r="B104" t="s">
        <v>541</v>
      </c>
      <c r="C104">
        <v>38</v>
      </c>
      <c r="D104" t="s">
        <v>243</v>
      </c>
      <c r="E104" t="s">
        <v>78</v>
      </c>
      <c r="F104">
        <v>43</v>
      </c>
      <c r="G104">
        <v>9</v>
      </c>
      <c r="H104">
        <v>21</v>
      </c>
      <c r="I104">
        <v>30</v>
      </c>
      <c r="J104">
        <v>10</v>
      </c>
      <c r="K104">
        <v>14</v>
      </c>
      <c r="L104">
        <v>8</v>
      </c>
      <c r="M104">
        <v>1</v>
      </c>
      <c r="N104">
        <v>0</v>
      </c>
      <c r="O104">
        <v>1</v>
      </c>
      <c r="P104">
        <v>14</v>
      </c>
      <c r="Q104">
        <v>7</v>
      </c>
      <c r="R104">
        <v>0</v>
      </c>
      <c r="S104">
        <v>76</v>
      </c>
      <c r="T104">
        <v>11.8</v>
      </c>
      <c r="U104">
        <v>135</v>
      </c>
      <c r="V104" s="2">
        <v>31.190277777777776</v>
      </c>
      <c r="W104" s="3">
        <v>0.72569444444444442</v>
      </c>
      <c r="X104">
        <v>274</v>
      </c>
      <c r="Y104">
        <v>153</v>
      </c>
      <c r="Z104">
        <v>64.2</v>
      </c>
      <c r="AA104">
        <v>16</v>
      </c>
      <c r="AB104">
        <v>35</v>
      </c>
      <c r="AC104">
        <v>8</v>
      </c>
      <c r="AD104">
        <v>32</v>
      </c>
      <c r="AF104" t="s">
        <v>542</v>
      </c>
    </row>
    <row r="105" spans="1:32" x14ac:dyDescent="0.3">
      <c r="A105">
        <v>102</v>
      </c>
      <c r="B105" t="s">
        <v>543</v>
      </c>
      <c r="C105">
        <v>39</v>
      </c>
      <c r="D105" t="s">
        <v>134</v>
      </c>
      <c r="E105" t="s">
        <v>78</v>
      </c>
      <c r="F105">
        <v>27</v>
      </c>
      <c r="G105">
        <v>9</v>
      </c>
      <c r="H105">
        <v>21</v>
      </c>
      <c r="I105">
        <v>30</v>
      </c>
      <c r="J105">
        <v>5</v>
      </c>
      <c r="K105">
        <v>22</v>
      </c>
      <c r="L105">
        <v>6</v>
      </c>
      <c r="M105">
        <v>3</v>
      </c>
      <c r="N105">
        <v>0</v>
      </c>
      <c r="O105">
        <v>1</v>
      </c>
      <c r="P105">
        <v>10</v>
      </c>
      <c r="Q105">
        <v>11</v>
      </c>
      <c r="R105">
        <v>0</v>
      </c>
      <c r="S105">
        <v>70</v>
      </c>
      <c r="T105">
        <v>12.9</v>
      </c>
      <c r="U105">
        <v>117</v>
      </c>
      <c r="V105" s="2">
        <v>19.728472222222223</v>
      </c>
      <c r="W105" s="3">
        <v>0.73055555555555551</v>
      </c>
      <c r="X105">
        <v>94</v>
      </c>
      <c r="Y105">
        <v>114</v>
      </c>
      <c r="Z105">
        <v>45.2</v>
      </c>
      <c r="AA105">
        <v>8</v>
      </c>
      <c r="AB105">
        <v>10</v>
      </c>
      <c r="AC105">
        <v>10</v>
      </c>
      <c r="AD105">
        <v>33</v>
      </c>
      <c r="AF105" t="s">
        <v>544</v>
      </c>
    </row>
    <row r="106" spans="1:32" x14ac:dyDescent="0.3">
      <c r="A106">
        <v>103</v>
      </c>
      <c r="B106" t="s">
        <v>545</v>
      </c>
      <c r="C106">
        <v>24</v>
      </c>
      <c r="D106" t="s">
        <v>210</v>
      </c>
      <c r="E106" t="s">
        <v>95</v>
      </c>
      <c r="F106">
        <v>45</v>
      </c>
      <c r="G106">
        <v>15</v>
      </c>
      <c r="H106">
        <v>15</v>
      </c>
      <c r="I106">
        <v>30</v>
      </c>
      <c r="J106">
        <v>7</v>
      </c>
      <c r="K106">
        <v>18</v>
      </c>
      <c r="L106">
        <v>13</v>
      </c>
      <c r="M106">
        <v>2</v>
      </c>
      <c r="N106">
        <v>0</v>
      </c>
      <c r="O106">
        <v>2</v>
      </c>
      <c r="P106">
        <v>14</v>
      </c>
      <c r="Q106">
        <v>1</v>
      </c>
      <c r="R106">
        <v>0</v>
      </c>
      <c r="S106">
        <v>94</v>
      </c>
      <c r="T106">
        <v>16</v>
      </c>
      <c r="U106">
        <v>180</v>
      </c>
      <c r="V106" s="2">
        <v>31.489583333333332</v>
      </c>
      <c r="W106" s="3">
        <v>0.7</v>
      </c>
      <c r="X106">
        <v>5</v>
      </c>
      <c r="Y106">
        <v>9</v>
      </c>
      <c r="Z106">
        <v>35.700000000000003</v>
      </c>
      <c r="AA106">
        <v>14</v>
      </c>
      <c r="AB106">
        <v>12</v>
      </c>
      <c r="AC106">
        <v>11</v>
      </c>
      <c r="AD106">
        <v>44</v>
      </c>
      <c r="AF106" t="s">
        <v>546</v>
      </c>
    </row>
    <row r="107" spans="1:32" x14ac:dyDescent="0.3">
      <c r="A107">
        <v>104</v>
      </c>
      <c r="B107" t="s">
        <v>305</v>
      </c>
      <c r="C107">
        <v>31</v>
      </c>
      <c r="D107" t="s">
        <v>116</v>
      </c>
      <c r="E107" t="s">
        <v>78</v>
      </c>
      <c r="F107">
        <v>43</v>
      </c>
      <c r="G107">
        <v>8</v>
      </c>
      <c r="H107">
        <v>22</v>
      </c>
      <c r="I107">
        <v>30</v>
      </c>
      <c r="J107">
        <v>-10</v>
      </c>
      <c r="K107">
        <v>10</v>
      </c>
      <c r="L107">
        <v>4</v>
      </c>
      <c r="M107">
        <v>4</v>
      </c>
      <c r="N107">
        <v>0</v>
      </c>
      <c r="O107">
        <v>2</v>
      </c>
      <c r="P107">
        <v>18</v>
      </c>
      <c r="Q107">
        <v>4</v>
      </c>
      <c r="R107">
        <v>0</v>
      </c>
      <c r="S107">
        <v>50</v>
      </c>
      <c r="T107">
        <v>16</v>
      </c>
      <c r="U107">
        <v>89</v>
      </c>
      <c r="V107" s="2">
        <v>36.914583333333333</v>
      </c>
      <c r="W107" s="3">
        <v>0.85833333333333328</v>
      </c>
      <c r="X107">
        <v>332</v>
      </c>
      <c r="Y107">
        <v>397</v>
      </c>
      <c r="Z107">
        <v>45.5</v>
      </c>
      <c r="AA107">
        <v>54</v>
      </c>
      <c r="AB107">
        <v>13</v>
      </c>
      <c r="AC107">
        <v>19</v>
      </c>
      <c r="AD107">
        <v>35</v>
      </c>
      <c r="AF107" t="s">
        <v>547</v>
      </c>
    </row>
    <row r="108" spans="1:32" x14ac:dyDescent="0.3">
      <c r="A108">
        <v>105</v>
      </c>
      <c r="B108" t="s">
        <v>548</v>
      </c>
      <c r="C108">
        <v>30</v>
      </c>
      <c r="D108" t="s">
        <v>290</v>
      </c>
      <c r="E108" t="s">
        <v>101</v>
      </c>
      <c r="F108">
        <v>39</v>
      </c>
      <c r="G108">
        <v>10</v>
      </c>
      <c r="H108">
        <v>19</v>
      </c>
      <c r="I108">
        <v>29</v>
      </c>
      <c r="J108">
        <v>-11</v>
      </c>
      <c r="K108">
        <v>10</v>
      </c>
      <c r="L108">
        <v>7</v>
      </c>
      <c r="M108">
        <v>3</v>
      </c>
      <c r="N108">
        <v>0</v>
      </c>
      <c r="O108">
        <v>1</v>
      </c>
      <c r="P108">
        <v>12</v>
      </c>
      <c r="Q108">
        <v>7</v>
      </c>
      <c r="R108">
        <v>0</v>
      </c>
      <c r="S108">
        <v>55</v>
      </c>
      <c r="T108">
        <v>18.2</v>
      </c>
      <c r="U108">
        <v>120</v>
      </c>
      <c r="V108" s="2">
        <v>28.12361111111111</v>
      </c>
      <c r="W108" s="3">
        <v>0.72083333333333333</v>
      </c>
      <c r="X108">
        <v>0</v>
      </c>
      <c r="Y108">
        <v>4</v>
      </c>
      <c r="Z108">
        <v>0</v>
      </c>
      <c r="AA108">
        <v>16</v>
      </c>
      <c r="AB108">
        <v>11</v>
      </c>
      <c r="AC108">
        <v>18</v>
      </c>
      <c r="AD108">
        <v>35</v>
      </c>
      <c r="AF108" t="s">
        <v>549</v>
      </c>
    </row>
    <row r="109" spans="1:32" x14ac:dyDescent="0.3">
      <c r="A109">
        <v>106</v>
      </c>
      <c r="B109" t="s">
        <v>140</v>
      </c>
      <c r="C109">
        <v>25</v>
      </c>
      <c r="D109" t="s">
        <v>139</v>
      </c>
      <c r="E109" t="s">
        <v>87</v>
      </c>
      <c r="F109">
        <v>38</v>
      </c>
      <c r="G109">
        <v>4</v>
      </c>
      <c r="H109">
        <v>25</v>
      </c>
      <c r="I109">
        <v>29</v>
      </c>
      <c r="J109">
        <v>-11</v>
      </c>
      <c r="K109">
        <v>37</v>
      </c>
      <c r="L109">
        <v>2</v>
      </c>
      <c r="M109">
        <v>2</v>
      </c>
      <c r="N109">
        <v>0</v>
      </c>
      <c r="O109">
        <v>0</v>
      </c>
      <c r="P109">
        <v>15</v>
      </c>
      <c r="Q109">
        <v>10</v>
      </c>
      <c r="R109">
        <v>0</v>
      </c>
      <c r="S109">
        <v>102</v>
      </c>
      <c r="T109">
        <v>3.9</v>
      </c>
      <c r="U109">
        <v>229</v>
      </c>
      <c r="V109" s="2">
        <v>38.190972222222221</v>
      </c>
      <c r="W109" s="2">
        <v>1.0048611111111112</v>
      </c>
      <c r="X109">
        <v>0</v>
      </c>
      <c r="Y109">
        <v>0</v>
      </c>
      <c r="AA109">
        <v>46</v>
      </c>
      <c r="AB109">
        <v>31</v>
      </c>
      <c r="AC109">
        <v>17</v>
      </c>
      <c r="AD109">
        <v>66</v>
      </c>
      <c r="AF109" t="s">
        <v>550</v>
      </c>
    </row>
    <row r="110" spans="1:32" x14ac:dyDescent="0.3">
      <c r="A110">
        <v>107</v>
      </c>
      <c r="B110" t="s">
        <v>551</v>
      </c>
      <c r="C110">
        <v>23</v>
      </c>
      <c r="D110" t="s">
        <v>139</v>
      </c>
      <c r="E110" t="s">
        <v>95</v>
      </c>
      <c r="F110">
        <v>42</v>
      </c>
      <c r="G110">
        <v>14</v>
      </c>
      <c r="H110">
        <v>15</v>
      </c>
      <c r="I110">
        <v>29</v>
      </c>
      <c r="J110">
        <v>-5</v>
      </c>
      <c r="K110">
        <v>14</v>
      </c>
      <c r="L110">
        <v>10</v>
      </c>
      <c r="M110">
        <v>4</v>
      </c>
      <c r="N110">
        <v>0</v>
      </c>
      <c r="O110">
        <v>1</v>
      </c>
      <c r="P110">
        <v>10</v>
      </c>
      <c r="Q110">
        <v>5</v>
      </c>
      <c r="R110">
        <v>0</v>
      </c>
      <c r="S110">
        <v>103</v>
      </c>
      <c r="T110">
        <v>13.6</v>
      </c>
      <c r="U110">
        <v>179</v>
      </c>
      <c r="V110" s="2">
        <v>28.106944444444444</v>
      </c>
      <c r="W110" s="3">
        <v>0.6694444444444444</v>
      </c>
      <c r="X110">
        <v>4</v>
      </c>
      <c r="Y110">
        <v>6</v>
      </c>
      <c r="Z110">
        <v>40</v>
      </c>
      <c r="AA110">
        <v>13</v>
      </c>
      <c r="AB110">
        <v>41</v>
      </c>
      <c r="AC110">
        <v>32</v>
      </c>
      <c r="AD110">
        <v>38</v>
      </c>
      <c r="AF110" t="s">
        <v>552</v>
      </c>
    </row>
    <row r="111" spans="1:32" x14ac:dyDescent="0.3">
      <c r="A111">
        <v>108</v>
      </c>
      <c r="B111" t="s">
        <v>553</v>
      </c>
      <c r="C111">
        <v>31</v>
      </c>
      <c r="D111" t="s">
        <v>134</v>
      </c>
      <c r="E111" t="s">
        <v>95</v>
      </c>
      <c r="F111">
        <v>42</v>
      </c>
      <c r="G111">
        <v>14</v>
      </c>
      <c r="H111">
        <v>15</v>
      </c>
      <c r="I111">
        <v>29</v>
      </c>
      <c r="J111">
        <v>8</v>
      </c>
      <c r="K111">
        <v>15</v>
      </c>
      <c r="L111">
        <v>10</v>
      </c>
      <c r="M111">
        <v>4</v>
      </c>
      <c r="N111">
        <v>0</v>
      </c>
      <c r="O111">
        <v>0</v>
      </c>
      <c r="P111">
        <v>11</v>
      </c>
      <c r="Q111">
        <v>4</v>
      </c>
      <c r="R111">
        <v>0</v>
      </c>
      <c r="S111">
        <v>78</v>
      </c>
      <c r="T111">
        <v>17.899999999999999</v>
      </c>
      <c r="U111">
        <v>151</v>
      </c>
      <c r="V111" s="2">
        <v>26.616666666666667</v>
      </c>
      <c r="W111" s="3">
        <v>0.63402777777777775</v>
      </c>
      <c r="X111">
        <v>2</v>
      </c>
      <c r="Y111">
        <v>14</v>
      </c>
      <c r="Z111">
        <v>12.5</v>
      </c>
      <c r="AA111">
        <v>23</v>
      </c>
      <c r="AB111">
        <v>22</v>
      </c>
      <c r="AC111">
        <v>7</v>
      </c>
      <c r="AD111">
        <v>46</v>
      </c>
      <c r="AF111" t="s">
        <v>554</v>
      </c>
    </row>
    <row r="112" spans="1:32" x14ac:dyDescent="0.3">
      <c r="A112">
        <v>109</v>
      </c>
      <c r="B112" t="s">
        <v>555</v>
      </c>
      <c r="C112">
        <v>18</v>
      </c>
      <c r="D112" t="s">
        <v>188</v>
      </c>
      <c r="E112" t="s">
        <v>87</v>
      </c>
      <c r="F112">
        <v>44</v>
      </c>
      <c r="G112">
        <v>12</v>
      </c>
      <c r="H112">
        <v>17</v>
      </c>
      <c r="I112">
        <v>29</v>
      </c>
      <c r="J112">
        <v>9</v>
      </c>
      <c r="K112">
        <v>24</v>
      </c>
      <c r="L112">
        <v>6</v>
      </c>
      <c r="M112">
        <v>6</v>
      </c>
      <c r="N112">
        <v>0</v>
      </c>
      <c r="O112">
        <v>3</v>
      </c>
      <c r="P112">
        <v>10</v>
      </c>
      <c r="Q112">
        <v>7</v>
      </c>
      <c r="R112">
        <v>0</v>
      </c>
      <c r="S112">
        <v>115</v>
      </c>
      <c r="T112">
        <v>10.4</v>
      </c>
      <c r="U112">
        <v>265</v>
      </c>
      <c r="V112" s="2">
        <v>43.781944444444441</v>
      </c>
      <c r="W112" s="3">
        <v>0.99513888888888891</v>
      </c>
      <c r="X112">
        <v>0</v>
      </c>
      <c r="Y112">
        <v>0</v>
      </c>
      <c r="AA112">
        <v>61</v>
      </c>
      <c r="AB112">
        <v>20</v>
      </c>
      <c r="AC112">
        <v>24</v>
      </c>
      <c r="AD112">
        <v>52</v>
      </c>
      <c r="AF112" t="s">
        <v>556</v>
      </c>
    </row>
    <row r="113" spans="1:32" x14ac:dyDescent="0.3">
      <c r="A113">
        <v>110</v>
      </c>
      <c r="B113" t="s">
        <v>557</v>
      </c>
      <c r="C113">
        <v>20</v>
      </c>
      <c r="D113" t="s">
        <v>116</v>
      </c>
      <c r="E113" t="s">
        <v>78</v>
      </c>
      <c r="F113">
        <v>33</v>
      </c>
      <c r="G113">
        <v>12</v>
      </c>
      <c r="H113">
        <v>17</v>
      </c>
      <c r="I113">
        <v>29</v>
      </c>
      <c r="J113">
        <v>5</v>
      </c>
      <c r="K113">
        <v>12</v>
      </c>
      <c r="L113">
        <v>9</v>
      </c>
      <c r="M113">
        <v>3</v>
      </c>
      <c r="N113">
        <v>0</v>
      </c>
      <c r="O113">
        <v>3</v>
      </c>
      <c r="P113">
        <v>12</v>
      </c>
      <c r="Q113">
        <v>5</v>
      </c>
      <c r="R113">
        <v>0</v>
      </c>
      <c r="S113">
        <v>80</v>
      </c>
      <c r="T113">
        <v>15</v>
      </c>
      <c r="U113">
        <v>162</v>
      </c>
      <c r="V113" s="2">
        <v>24.628472222222221</v>
      </c>
      <c r="W113" s="3">
        <v>0.74652777777777779</v>
      </c>
      <c r="X113">
        <v>8</v>
      </c>
      <c r="Y113">
        <v>21</v>
      </c>
      <c r="Z113">
        <v>27.6</v>
      </c>
      <c r="AA113">
        <v>7</v>
      </c>
      <c r="AB113">
        <v>7</v>
      </c>
      <c r="AC113">
        <v>8</v>
      </c>
      <c r="AD113">
        <v>29</v>
      </c>
      <c r="AF113" t="s">
        <v>558</v>
      </c>
    </row>
    <row r="114" spans="1:32" x14ac:dyDescent="0.3">
      <c r="A114">
        <v>111</v>
      </c>
      <c r="B114" t="s">
        <v>559</v>
      </c>
      <c r="C114">
        <v>30</v>
      </c>
      <c r="D114" t="s">
        <v>164</v>
      </c>
      <c r="E114" t="s">
        <v>78</v>
      </c>
      <c r="F114">
        <v>42</v>
      </c>
      <c r="G114">
        <v>12</v>
      </c>
      <c r="H114">
        <v>17</v>
      </c>
      <c r="I114">
        <v>29</v>
      </c>
      <c r="J114">
        <v>-3</v>
      </c>
      <c r="K114">
        <v>14</v>
      </c>
      <c r="L114">
        <v>10</v>
      </c>
      <c r="M114">
        <v>2</v>
      </c>
      <c r="N114">
        <v>0</v>
      </c>
      <c r="O114">
        <v>2</v>
      </c>
      <c r="P114">
        <v>14</v>
      </c>
      <c r="Q114">
        <v>3</v>
      </c>
      <c r="R114">
        <v>0</v>
      </c>
      <c r="S114">
        <v>96</v>
      </c>
      <c r="T114">
        <v>12.5</v>
      </c>
      <c r="U114">
        <v>199</v>
      </c>
      <c r="V114" s="2">
        <v>30.659027777777776</v>
      </c>
      <c r="W114" s="3">
        <v>0.72986111111111107</v>
      </c>
      <c r="X114">
        <v>19</v>
      </c>
      <c r="Y114">
        <v>32</v>
      </c>
      <c r="Z114">
        <v>37.299999999999997</v>
      </c>
      <c r="AA114">
        <v>13</v>
      </c>
      <c r="AB114">
        <v>45</v>
      </c>
      <c r="AC114">
        <v>12</v>
      </c>
      <c r="AD114">
        <v>32</v>
      </c>
      <c r="AF114" t="s">
        <v>560</v>
      </c>
    </row>
    <row r="115" spans="1:32" x14ac:dyDescent="0.3">
      <c r="A115">
        <v>112</v>
      </c>
      <c r="B115" t="s">
        <v>561</v>
      </c>
      <c r="C115">
        <v>26</v>
      </c>
      <c r="D115" t="s">
        <v>204</v>
      </c>
      <c r="E115" t="s">
        <v>87</v>
      </c>
      <c r="F115">
        <v>44</v>
      </c>
      <c r="G115">
        <v>8</v>
      </c>
      <c r="H115">
        <v>20</v>
      </c>
      <c r="I115">
        <v>28</v>
      </c>
      <c r="J115">
        <v>1</v>
      </c>
      <c r="K115">
        <v>22</v>
      </c>
      <c r="L115">
        <v>8</v>
      </c>
      <c r="M115">
        <v>0</v>
      </c>
      <c r="N115">
        <v>0</v>
      </c>
      <c r="O115">
        <v>1</v>
      </c>
      <c r="P115">
        <v>15</v>
      </c>
      <c r="Q115">
        <v>5</v>
      </c>
      <c r="R115">
        <v>0</v>
      </c>
      <c r="S115">
        <v>86</v>
      </c>
      <c r="T115">
        <v>9.3000000000000007</v>
      </c>
      <c r="U115">
        <v>189</v>
      </c>
      <c r="V115" s="2">
        <v>41.81111111111111</v>
      </c>
      <c r="W115" s="3">
        <v>0.95</v>
      </c>
      <c r="X115">
        <v>0</v>
      </c>
      <c r="Y115">
        <v>0</v>
      </c>
      <c r="AA115">
        <v>109</v>
      </c>
      <c r="AB115">
        <v>22</v>
      </c>
      <c r="AC115">
        <v>18</v>
      </c>
      <c r="AD115">
        <v>57</v>
      </c>
      <c r="AF115" t="s">
        <v>562</v>
      </c>
    </row>
    <row r="116" spans="1:32" x14ac:dyDescent="0.3">
      <c r="A116">
        <v>113</v>
      </c>
      <c r="B116" t="s">
        <v>563</v>
      </c>
      <c r="C116">
        <v>35</v>
      </c>
      <c r="D116" t="s">
        <v>200</v>
      </c>
      <c r="E116" t="s">
        <v>95</v>
      </c>
      <c r="F116">
        <v>41</v>
      </c>
      <c r="G116">
        <v>15</v>
      </c>
      <c r="H116">
        <v>13</v>
      </c>
      <c r="I116">
        <v>28</v>
      </c>
      <c r="J116">
        <v>8</v>
      </c>
      <c r="K116">
        <v>14</v>
      </c>
      <c r="L116">
        <v>11</v>
      </c>
      <c r="M116">
        <v>4</v>
      </c>
      <c r="N116">
        <v>0</v>
      </c>
      <c r="O116">
        <v>3</v>
      </c>
      <c r="P116">
        <v>5</v>
      </c>
      <c r="Q116">
        <v>8</v>
      </c>
      <c r="R116">
        <v>0</v>
      </c>
      <c r="S116">
        <v>98</v>
      </c>
      <c r="T116">
        <v>15.3</v>
      </c>
      <c r="U116">
        <v>182</v>
      </c>
      <c r="V116" s="2">
        <v>32.461111111111109</v>
      </c>
      <c r="W116" s="3">
        <v>0.79166666666666663</v>
      </c>
      <c r="X116">
        <v>9</v>
      </c>
      <c r="Y116">
        <v>15</v>
      </c>
      <c r="Z116">
        <v>37.5</v>
      </c>
      <c r="AA116">
        <v>21</v>
      </c>
      <c r="AB116">
        <v>32</v>
      </c>
      <c r="AC116">
        <v>11</v>
      </c>
      <c r="AD116">
        <v>31</v>
      </c>
      <c r="AF116" t="s">
        <v>564</v>
      </c>
    </row>
    <row r="117" spans="1:32" x14ac:dyDescent="0.3">
      <c r="A117">
        <v>114</v>
      </c>
      <c r="B117" t="s">
        <v>565</v>
      </c>
      <c r="C117">
        <v>23</v>
      </c>
      <c r="D117" t="s">
        <v>116</v>
      </c>
      <c r="E117" t="s">
        <v>101</v>
      </c>
      <c r="F117">
        <v>39</v>
      </c>
      <c r="G117">
        <v>11</v>
      </c>
      <c r="H117">
        <v>17</v>
      </c>
      <c r="I117">
        <v>28</v>
      </c>
      <c r="J117">
        <v>-18</v>
      </c>
      <c r="K117">
        <v>22</v>
      </c>
      <c r="L117">
        <v>8</v>
      </c>
      <c r="M117">
        <v>3</v>
      </c>
      <c r="N117">
        <v>0</v>
      </c>
      <c r="O117">
        <v>1</v>
      </c>
      <c r="P117">
        <v>9</v>
      </c>
      <c r="Q117">
        <v>8</v>
      </c>
      <c r="R117">
        <v>0</v>
      </c>
      <c r="S117">
        <v>105</v>
      </c>
      <c r="T117">
        <v>10.5</v>
      </c>
      <c r="U117">
        <v>196</v>
      </c>
      <c r="V117" s="2">
        <v>32.224305555555553</v>
      </c>
      <c r="W117" s="3">
        <v>0.82638888888888884</v>
      </c>
      <c r="X117">
        <v>0</v>
      </c>
      <c r="Y117">
        <v>9</v>
      </c>
      <c r="Z117">
        <v>0</v>
      </c>
      <c r="AA117">
        <v>28</v>
      </c>
      <c r="AB117">
        <v>29</v>
      </c>
      <c r="AC117">
        <v>10</v>
      </c>
      <c r="AD117">
        <v>38</v>
      </c>
      <c r="AF117" t="s">
        <v>566</v>
      </c>
    </row>
    <row r="118" spans="1:32" x14ac:dyDescent="0.3">
      <c r="A118">
        <v>115</v>
      </c>
      <c r="B118" t="s">
        <v>567</v>
      </c>
      <c r="C118">
        <v>27</v>
      </c>
      <c r="D118" t="s">
        <v>256</v>
      </c>
      <c r="E118" t="s">
        <v>87</v>
      </c>
      <c r="F118">
        <v>30</v>
      </c>
      <c r="G118">
        <v>4</v>
      </c>
      <c r="H118">
        <v>24</v>
      </c>
      <c r="I118">
        <v>28</v>
      </c>
      <c r="J118">
        <v>4</v>
      </c>
      <c r="K118">
        <v>12</v>
      </c>
      <c r="L118">
        <v>2</v>
      </c>
      <c r="M118">
        <v>2</v>
      </c>
      <c r="N118">
        <v>0</v>
      </c>
      <c r="O118">
        <v>1</v>
      </c>
      <c r="P118">
        <v>16</v>
      </c>
      <c r="Q118">
        <v>7</v>
      </c>
      <c r="R118">
        <v>1</v>
      </c>
      <c r="S118">
        <v>56</v>
      </c>
      <c r="T118">
        <v>7.1</v>
      </c>
      <c r="U118">
        <v>159</v>
      </c>
      <c r="V118" s="2">
        <v>29.465277777777779</v>
      </c>
      <c r="W118" s="3">
        <v>0.9819444444444444</v>
      </c>
      <c r="X118">
        <v>0</v>
      </c>
      <c r="Y118">
        <v>0</v>
      </c>
      <c r="AA118">
        <v>45</v>
      </c>
      <c r="AB118">
        <v>15</v>
      </c>
      <c r="AC118">
        <v>20</v>
      </c>
      <c r="AD118">
        <v>37</v>
      </c>
      <c r="AF118" t="s">
        <v>568</v>
      </c>
    </row>
    <row r="119" spans="1:32" x14ac:dyDescent="0.3">
      <c r="A119">
        <v>116</v>
      </c>
      <c r="B119" t="s">
        <v>229</v>
      </c>
      <c r="C119">
        <v>31</v>
      </c>
      <c r="D119" t="s">
        <v>195</v>
      </c>
      <c r="E119" t="s">
        <v>78</v>
      </c>
      <c r="F119">
        <v>34</v>
      </c>
      <c r="G119">
        <v>8</v>
      </c>
      <c r="H119">
        <v>20</v>
      </c>
      <c r="I119">
        <v>28</v>
      </c>
      <c r="J119">
        <v>-2</v>
      </c>
      <c r="K119">
        <v>30</v>
      </c>
      <c r="L119">
        <v>3</v>
      </c>
      <c r="M119">
        <v>5</v>
      </c>
      <c r="N119">
        <v>0</v>
      </c>
      <c r="O119">
        <v>2</v>
      </c>
      <c r="P119">
        <v>11</v>
      </c>
      <c r="Q119">
        <v>9</v>
      </c>
      <c r="R119">
        <v>0</v>
      </c>
      <c r="S119">
        <v>59</v>
      </c>
      <c r="T119">
        <v>13.6</v>
      </c>
      <c r="U119">
        <v>124</v>
      </c>
      <c r="V119" s="2">
        <v>24.451388888888889</v>
      </c>
      <c r="W119" s="3">
        <v>0.71944444444444444</v>
      </c>
      <c r="X119">
        <v>303</v>
      </c>
      <c r="Y119">
        <v>247</v>
      </c>
      <c r="Z119">
        <v>55.1</v>
      </c>
      <c r="AA119">
        <v>31</v>
      </c>
      <c r="AB119">
        <v>26</v>
      </c>
      <c r="AC119">
        <v>7</v>
      </c>
      <c r="AD119">
        <v>26</v>
      </c>
      <c r="AF119" t="s">
        <v>569</v>
      </c>
    </row>
    <row r="120" spans="1:32" x14ac:dyDescent="0.3">
      <c r="A120">
        <v>117</v>
      </c>
      <c r="B120" t="s">
        <v>570</v>
      </c>
      <c r="C120">
        <v>35</v>
      </c>
      <c r="D120" t="s">
        <v>157</v>
      </c>
      <c r="E120" t="s">
        <v>78</v>
      </c>
      <c r="F120">
        <v>43</v>
      </c>
      <c r="G120">
        <v>18</v>
      </c>
      <c r="H120">
        <v>10</v>
      </c>
      <c r="I120">
        <v>28</v>
      </c>
      <c r="J120">
        <v>-9</v>
      </c>
      <c r="K120">
        <v>22</v>
      </c>
      <c r="L120">
        <v>14</v>
      </c>
      <c r="M120">
        <v>4</v>
      </c>
      <c r="N120">
        <v>0</v>
      </c>
      <c r="O120">
        <v>7</v>
      </c>
      <c r="P120">
        <v>7</v>
      </c>
      <c r="Q120">
        <v>3</v>
      </c>
      <c r="R120">
        <v>0</v>
      </c>
      <c r="S120">
        <v>102</v>
      </c>
      <c r="T120">
        <v>17.600000000000001</v>
      </c>
      <c r="U120">
        <v>204</v>
      </c>
      <c r="V120" s="2">
        <v>31.297222222222221</v>
      </c>
      <c r="W120" s="3">
        <v>0.72777777777777775</v>
      </c>
      <c r="X120">
        <v>156</v>
      </c>
      <c r="Y120">
        <v>121</v>
      </c>
      <c r="Z120">
        <v>56.3</v>
      </c>
      <c r="AA120">
        <v>18</v>
      </c>
      <c r="AB120">
        <v>39</v>
      </c>
      <c r="AC120">
        <v>17</v>
      </c>
      <c r="AD120">
        <v>41</v>
      </c>
      <c r="AF120" t="s">
        <v>571</v>
      </c>
    </row>
    <row r="121" spans="1:32" x14ac:dyDescent="0.3">
      <c r="A121">
        <v>118</v>
      </c>
      <c r="B121" t="s">
        <v>572</v>
      </c>
      <c r="C121">
        <v>33</v>
      </c>
      <c r="D121" t="s">
        <v>116</v>
      </c>
      <c r="E121" t="s">
        <v>78</v>
      </c>
      <c r="F121">
        <v>43</v>
      </c>
      <c r="G121">
        <v>11</v>
      </c>
      <c r="H121">
        <v>17</v>
      </c>
      <c r="I121">
        <v>28</v>
      </c>
      <c r="J121">
        <v>-2</v>
      </c>
      <c r="K121">
        <v>4</v>
      </c>
      <c r="L121">
        <v>8</v>
      </c>
      <c r="M121">
        <v>3</v>
      </c>
      <c r="N121">
        <v>0</v>
      </c>
      <c r="O121">
        <v>0</v>
      </c>
      <c r="P121">
        <v>14</v>
      </c>
      <c r="Q121">
        <v>3</v>
      </c>
      <c r="R121">
        <v>0</v>
      </c>
      <c r="S121">
        <v>102</v>
      </c>
      <c r="T121">
        <v>10.8</v>
      </c>
      <c r="U121">
        <v>211</v>
      </c>
      <c r="V121" s="2">
        <v>28.413194444444443</v>
      </c>
      <c r="W121" s="3">
        <v>0.66111111111111109</v>
      </c>
      <c r="X121">
        <v>3</v>
      </c>
      <c r="Y121">
        <v>8</v>
      </c>
      <c r="Z121">
        <v>27.3</v>
      </c>
      <c r="AA121">
        <v>22</v>
      </c>
      <c r="AB121">
        <v>29</v>
      </c>
      <c r="AC121">
        <v>11</v>
      </c>
      <c r="AD121">
        <v>30</v>
      </c>
      <c r="AF121" t="s">
        <v>573</v>
      </c>
    </row>
    <row r="122" spans="1:32" x14ac:dyDescent="0.3">
      <c r="A122">
        <v>119</v>
      </c>
      <c r="B122" t="s">
        <v>574</v>
      </c>
      <c r="C122">
        <v>25</v>
      </c>
      <c r="D122" t="s">
        <v>306</v>
      </c>
      <c r="E122" t="s">
        <v>101</v>
      </c>
      <c r="F122">
        <v>43</v>
      </c>
      <c r="G122">
        <v>15</v>
      </c>
      <c r="H122">
        <v>13</v>
      </c>
      <c r="I122">
        <v>28</v>
      </c>
      <c r="J122">
        <v>-1</v>
      </c>
      <c r="K122">
        <v>49</v>
      </c>
      <c r="L122">
        <v>9</v>
      </c>
      <c r="M122">
        <v>6</v>
      </c>
      <c r="N122">
        <v>0</v>
      </c>
      <c r="O122">
        <v>0</v>
      </c>
      <c r="P122">
        <v>12</v>
      </c>
      <c r="Q122">
        <v>1</v>
      </c>
      <c r="R122">
        <v>0</v>
      </c>
      <c r="S122">
        <v>86</v>
      </c>
      <c r="T122">
        <v>17.399999999999999</v>
      </c>
      <c r="U122">
        <v>149</v>
      </c>
      <c r="V122" s="2">
        <v>27.9375</v>
      </c>
      <c r="W122" s="3">
        <v>0.65</v>
      </c>
      <c r="X122">
        <v>4</v>
      </c>
      <c r="Y122">
        <v>17</v>
      </c>
      <c r="Z122">
        <v>19</v>
      </c>
      <c r="AA122">
        <v>16</v>
      </c>
      <c r="AB122">
        <v>68</v>
      </c>
      <c r="AC122">
        <v>6</v>
      </c>
      <c r="AD122">
        <v>35</v>
      </c>
      <c r="AF122" t="s">
        <v>575</v>
      </c>
    </row>
    <row r="123" spans="1:32" x14ac:dyDescent="0.3">
      <c r="A123">
        <v>120</v>
      </c>
      <c r="B123" t="s">
        <v>576</v>
      </c>
      <c r="C123">
        <v>28</v>
      </c>
      <c r="D123" t="s">
        <v>195</v>
      </c>
      <c r="E123" t="s">
        <v>78</v>
      </c>
      <c r="F123">
        <v>43</v>
      </c>
      <c r="G123">
        <v>10</v>
      </c>
      <c r="H123">
        <v>18</v>
      </c>
      <c r="I123">
        <v>28</v>
      </c>
      <c r="J123">
        <v>-7</v>
      </c>
      <c r="K123">
        <v>24</v>
      </c>
      <c r="L123">
        <v>6</v>
      </c>
      <c r="M123">
        <v>4</v>
      </c>
      <c r="N123">
        <v>0</v>
      </c>
      <c r="O123">
        <v>1</v>
      </c>
      <c r="P123">
        <v>9</v>
      </c>
      <c r="Q123">
        <v>9</v>
      </c>
      <c r="R123">
        <v>0</v>
      </c>
      <c r="S123">
        <v>64</v>
      </c>
      <c r="T123">
        <v>15.6</v>
      </c>
      <c r="U123">
        <v>119</v>
      </c>
      <c r="V123" s="2">
        <v>31.215277777777779</v>
      </c>
      <c r="W123" s="3">
        <v>0.72569444444444442</v>
      </c>
      <c r="X123">
        <v>272</v>
      </c>
      <c r="Y123">
        <v>239</v>
      </c>
      <c r="Z123">
        <v>53.2</v>
      </c>
      <c r="AA123">
        <v>16</v>
      </c>
      <c r="AB123">
        <v>40</v>
      </c>
      <c r="AC123">
        <v>11</v>
      </c>
      <c r="AD123">
        <v>30</v>
      </c>
      <c r="AF123" t="s">
        <v>577</v>
      </c>
    </row>
    <row r="124" spans="1:32" x14ac:dyDescent="0.3">
      <c r="A124">
        <v>121</v>
      </c>
      <c r="B124" t="s">
        <v>83</v>
      </c>
      <c r="C124">
        <v>29</v>
      </c>
      <c r="D124" t="s">
        <v>82</v>
      </c>
      <c r="E124" t="s">
        <v>87</v>
      </c>
      <c r="F124">
        <v>44</v>
      </c>
      <c r="G124">
        <v>9</v>
      </c>
      <c r="H124">
        <v>18</v>
      </c>
      <c r="I124">
        <v>27</v>
      </c>
      <c r="J124">
        <v>2</v>
      </c>
      <c r="K124">
        <v>46</v>
      </c>
      <c r="L124">
        <v>6</v>
      </c>
      <c r="M124">
        <v>3</v>
      </c>
      <c r="N124">
        <v>0</v>
      </c>
      <c r="O124">
        <v>0</v>
      </c>
      <c r="P124">
        <v>12</v>
      </c>
      <c r="Q124">
        <v>6</v>
      </c>
      <c r="R124">
        <v>0</v>
      </c>
      <c r="S124">
        <v>105</v>
      </c>
      <c r="T124">
        <v>8.6</v>
      </c>
      <c r="U124">
        <v>242</v>
      </c>
      <c r="V124" s="2">
        <v>44.286805555555553</v>
      </c>
      <c r="W124" s="2">
        <v>1.0062500000000001</v>
      </c>
      <c r="X124">
        <v>0</v>
      </c>
      <c r="Y124">
        <v>0</v>
      </c>
      <c r="AA124">
        <v>85</v>
      </c>
      <c r="AB124">
        <v>24</v>
      </c>
      <c r="AC124">
        <v>17</v>
      </c>
      <c r="AD124">
        <v>62</v>
      </c>
      <c r="AF124" t="s">
        <v>578</v>
      </c>
    </row>
    <row r="125" spans="1:32" x14ac:dyDescent="0.3">
      <c r="A125">
        <v>122</v>
      </c>
      <c r="B125" t="s">
        <v>579</v>
      </c>
      <c r="C125">
        <v>23</v>
      </c>
      <c r="D125" t="s">
        <v>200</v>
      </c>
      <c r="E125" t="s">
        <v>78</v>
      </c>
      <c r="F125">
        <v>42</v>
      </c>
      <c r="G125">
        <v>8</v>
      </c>
      <c r="H125">
        <v>19</v>
      </c>
      <c r="I125">
        <v>27</v>
      </c>
      <c r="J125">
        <v>0</v>
      </c>
      <c r="K125">
        <v>10</v>
      </c>
      <c r="L125">
        <v>4</v>
      </c>
      <c r="M125">
        <v>4</v>
      </c>
      <c r="N125">
        <v>0</v>
      </c>
      <c r="O125">
        <v>1</v>
      </c>
      <c r="P125">
        <v>14</v>
      </c>
      <c r="Q125">
        <v>5</v>
      </c>
      <c r="R125">
        <v>0</v>
      </c>
      <c r="S125">
        <v>80</v>
      </c>
      <c r="T125">
        <v>10</v>
      </c>
      <c r="U125">
        <v>176</v>
      </c>
      <c r="V125" s="2">
        <v>34.59791666666667</v>
      </c>
      <c r="W125" s="3">
        <v>0.82361111111111107</v>
      </c>
      <c r="X125">
        <v>272</v>
      </c>
      <c r="Y125">
        <v>285</v>
      </c>
      <c r="Z125">
        <v>48.8</v>
      </c>
      <c r="AA125">
        <v>37</v>
      </c>
      <c r="AB125">
        <v>17</v>
      </c>
      <c r="AC125">
        <v>5</v>
      </c>
      <c r="AD125">
        <v>42</v>
      </c>
      <c r="AF125" t="s">
        <v>580</v>
      </c>
    </row>
    <row r="126" spans="1:32" x14ac:dyDescent="0.3">
      <c r="A126">
        <v>123</v>
      </c>
      <c r="B126" t="s">
        <v>581</v>
      </c>
      <c r="C126">
        <v>29</v>
      </c>
      <c r="D126" t="s">
        <v>278</v>
      </c>
      <c r="E126" t="s">
        <v>78</v>
      </c>
      <c r="F126">
        <v>41</v>
      </c>
      <c r="G126">
        <v>9</v>
      </c>
      <c r="H126">
        <v>18</v>
      </c>
      <c r="I126">
        <v>27</v>
      </c>
      <c r="J126">
        <v>10</v>
      </c>
      <c r="K126">
        <v>12</v>
      </c>
      <c r="L126">
        <v>9</v>
      </c>
      <c r="M126">
        <v>0</v>
      </c>
      <c r="N126">
        <v>0</v>
      </c>
      <c r="O126">
        <v>1</v>
      </c>
      <c r="P126">
        <v>18</v>
      </c>
      <c r="Q126">
        <v>0</v>
      </c>
      <c r="R126">
        <v>0</v>
      </c>
      <c r="S126">
        <v>81</v>
      </c>
      <c r="T126">
        <v>11.1</v>
      </c>
      <c r="U126">
        <v>130</v>
      </c>
      <c r="V126" s="2">
        <v>29.668749999999999</v>
      </c>
      <c r="W126" s="3">
        <v>0.72361111111111109</v>
      </c>
      <c r="X126">
        <v>277</v>
      </c>
      <c r="Y126">
        <v>237</v>
      </c>
      <c r="Z126">
        <v>53.9</v>
      </c>
      <c r="AA126">
        <v>23</v>
      </c>
      <c r="AB126">
        <v>17</v>
      </c>
      <c r="AC126">
        <v>10</v>
      </c>
      <c r="AD126">
        <v>28</v>
      </c>
      <c r="AF126" t="s">
        <v>582</v>
      </c>
    </row>
    <row r="127" spans="1:32" x14ac:dyDescent="0.3">
      <c r="A127">
        <v>124</v>
      </c>
      <c r="B127" t="s">
        <v>583</v>
      </c>
      <c r="C127">
        <v>21</v>
      </c>
      <c r="D127" t="s">
        <v>306</v>
      </c>
      <c r="E127" t="s">
        <v>78</v>
      </c>
      <c r="F127">
        <v>43</v>
      </c>
      <c r="G127">
        <v>12</v>
      </c>
      <c r="H127">
        <v>15</v>
      </c>
      <c r="I127">
        <v>27</v>
      </c>
      <c r="J127">
        <v>-11</v>
      </c>
      <c r="K127">
        <v>15</v>
      </c>
      <c r="L127">
        <v>9</v>
      </c>
      <c r="M127">
        <v>3</v>
      </c>
      <c r="N127">
        <v>0</v>
      </c>
      <c r="O127">
        <v>2</v>
      </c>
      <c r="P127">
        <v>14</v>
      </c>
      <c r="Q127">
        <v>1</v>
      </c>
      <c r="R127">
        <v>0</v>
      </c>
      <c r="S127">
        <v>116</v>
      </c>
      <c r="T127">
        <v>10.3</v>
      </c>
      <c r="U127">
        <v>256</v>
      </c>
      <c r="V127" s="2">
        <v>33.315972222222221</v>
      </c>
      <c r="W127" s="3">
        <v>0.77500000000000002</v>
      </c>
      <c r="X127">
        <v>266</v>
      </c>
      <c r="Y127">
        <v>257</v>
      </c>
      <c r="Z127">
        <v>50.9</v>
      </c>
      <c r="AA127">
        <v>27</v>
      </c>
      <c r="AB127">
        <v>50</v>
      </c>
      <c r="AC127">
        <v>15</v>
      </c>
      <c r="AD127">
        <v>48</v>
      </c>
      <c r="AF127" t="s">
        <v>584</v>
      </c>
    </row>
    <row r="128" spans="1:32" x14ac:dyDescent="0.3">
      <c r="A128">
        <v>125</v>
      </c>
      <c r="B128" t="s">
        <v>585</v>
      </c>
      <c r="C128">
        <v>25</v>
      </c>
      <c r="D128" t="s">
        <v>113</v>
      </c>
      <c r="E128" t="s">
        <v>87</v>
      </c>
      <c r="F128">
        <v>44</v>
      </c>
      <c r="G128">
        <v>6</v>
      </c>
      <c r="H128">
        <v>21</v>
      </c>
      <c r="I128">
        <v>27</v>
      </c>
      <c r="J128">
        <v>-9</v>
      </c>
      <c r="K128">
        <v>8</v>
      </c>
      <c r="L128">
        <v>4</v>
      </c>
      <c r="M128">
        <v>1</v>
      </c>
      <c r="N128">
        <v>1</v>
      </c>
      <c r="O128">
        <v>0</v>
      </c>
      <c r="P128">
        <v>13</v>
      </c>
      <c r="Q128">
        <v>7</v>
      </c>
      <c r="R128">
        <v>1</v>
      </c>
      <c r="S128">
        <v>97</v>
      </c>
      <c r="T128">
        <v>6.2</v>
      </c>
      <c r="U128">
        <v>218</v>
      </c>
      <c r="V128" s="2">
        <v>45.06388888888889</v>
      </c>
      <c r="W128" s="2">
        <v>1.0243055555555556</v>
      </c>
      <c r="X128">
        <v>0</v>
      </c>
      <c r="Y128">
        <v>0</v>
      </c>
      <c r="AA128">
        <v>74</v>
      </c>
      <c r="AB128">
        <v>38</v>
      </c>
      <c r="AC128">
        <v>28</v>
      </c>
      <c r="AD128">
        <v>64</v>
      </c>
      <c r="AF128" t="s">
        <v>586</v>
      </c>
    </row>
    <row r="129" spans="1:32" x14ac:dyDescent="0.3">
      <c r="A129">
        <v>126</v>
      </c>
      <c r="B129" t="s">
        <v>587</v>
      </c>
      <c r="C129">
        <v>21</v>
      </c>
      <c r="D129" t="s">
        <v>310</v>
      </c>
      <c r="E129" t="s">
        <v>95</v>
      </c>
      <c r="F129">
        <v>38</v>
      </c>
      <c r="G129">
        <v>9</v>
      </c>
      <c r="H129">
        <v>18</v>
      </c>
      <c r="I129">
        <v>27</v>
      </c>
      <c r="J129">
        <v>11</v>
      </c>
      <c r="K129">
        <v>20</v>
      </c>
      <c r="L129">
        <v>8</v>
      </c>
      <c r="M129">
        <v>1</v>
      </c>
      <c r="N129">
        <v>0</v>
      </c>
      <c r="O129">
        <v>2</v>
      </c>
      <c r="P129">
        <v>12</v>
      </c>
      <c r="Q129">
        <v>6</v>
      </c>
      <c r="R129">
        <v>0</v>
      </c>
      <c r="S129">
        <v>77</v>
      </c>
      <c r="T129">
        <v>11.7</v>
      </c>
      <c r="U129">
        <v>168</v>
      </c>
      <c r="V129" s="2">
        <v>22.193750000000001</v>
      </c>
      <c r="W129" s="3">
        <v>0.58402777777777781</v>
      </c>
      <c r="X129">
        <v>5</v>
      </c>
      <c r="Y129">
        <v>4</v>
      </c>
      <c r="Z129">
        <v>55.6</v>
      </c>
      <c r="AA129">
        <v>13</v>
      </c>
      <c r="AB129">
        <v>51</v>
      </c>
      <c r="AC129">
        <v>8</v>
      </c>
      <c r="AD129">
        <v>36</v>
      </c>
      <c r="AF129" t="s">
        <v>588</v>
      </c>
    </row>
    <row r="130" spans="1:32" x14ac:dyDescent="0.3">
      <c r="A130">
        <v>127</v>
      </c>
      <c r="B130" t="s">
        <v>589</v>
      </c>
      <c r="C130">
        <v>25</v>
      </c>
      <c r="D130" t="s">
        <v>310</v>
      </c>
      <c r="E130" t="s">
        <v>78</v>
      </c>
      <c r="F130">
        <v>45</v>
      </c>
      <c r="G130">
        <v>6</v>
      </c>
      <c r="H130">
        <v>21</v>
      </c>
      <c r="I130">
        <v>27</v>
      </c>
      <c r="J130">
        <v>7</v>
      </c>
      <c r="K130">
        <v>14</v>
      </c>
      <c r="L130">
        <v>5</v>
      </c>
      <c r="M130">
        <v>1</v>
      </c>
      <c r="N130">
        <v>0</v>
      </c>
      <c r="O130">
        <v>2</v>
      </c>
      <c r="P130">
        <v>20</v>
      </c>
      <c r="Q130">
        <v>1</v>
      </c>
      <c r="R130">
        <v>0</v>
      </c>
      <c r="S130">
        <v>88</v>
      </c>
      <c r="T130">
        <v>6.8</v>
      </c>
      <c r="U130">
        <v>155</v>
      </c>
      <c r="V130" s="2">
        <v>32.00138888888889</v>
      </c>
      <c r="W130" s="3">
        <v>0.71111111111111114</v>
      </c>
      <c r="X130">
        <v>176</v>
      </c>
      <c r="Y130">
        <v>242</v>
      </c>
      <c r="Z130">
        <v>42.1</v>
      </c>
      <c r="AA130">
        <v>25</v>
      </c>
      <c r="AB130">
        <v>23</v>
      </c>
      <c r="AC130">
        <v>17</v>
      </c>
      <c r="AD130">
        <v>28</v>
      </c>
      <c r="AF130" t="s">
        <v>590</v>
      </c>
    </row>
    <row r="131" spans="1:32" x14ac:dyDescent="0.3">
      <c r="A131">
        <v>128</v>
      </c>
      <c r="B131" t="s">
        <v>591</v>
      </c>
      <c r="C131">
        <v>23</v>
      </c>
      <c r="D131" t="s">
        <v>113</v>
      </c>
      <c r="E131" t="s">
        <v>78</v>
      </c>
      <c r="F131">
        <v>44</v>
      </c>
      <c r="G131">
        <v>10</v>
      </c>
      <c r="H131">
        <v>17</v>
      </c>
      <c r="I131">
        <v>27</v>
      </c>
      <c r="J131">
        <v>-8</v>
      </c>
      <c r="K131">
        <v>34</v>
      </c>
      <c r="L131">
        <v>6</v>
      </c>
      <c r="M131">
        <v>4</v>
      </c>
      <c r="N131">
        <v>0</v>
      </c>
      <c r="O131">
        <v>2</v>
      </c>
      <c r="P131">
        <v>15</v>
      </c>
      <c r="Q131">
        <v>2</v>
      </c>
      <c r="R131">
        <v>0</v>
      </c>
      <c r="S131">
        <v>90</v>
      </c>
      <c r="T131">
        <v>11.1</v>
      </c>
      <c r="U131">
        <v>197</v>
      </c>
      <c r="V131" s="2">
        <v>30.159027777777776</v>
      </c>
      <c r="W131" s="3">
        <v>0.68541666666666667</v>
      </c>
      <c r="X131">
        <v>291</v>
      </c>
      <c r="Y131">
        <v>290</v>
      </c>
      <c r="Z131">
        <v>50.1</v>
      </c>
      <c r="AA131">
        <v>23</v>
      </c>
      <c r="AB131">
        <v>45</v>
      </c>
      <c r="AC131">
        <v>11</v>
      </c>
      <c r="AD131">
        <v>34</v>
      </c>
      <c r="AF131" t="s">
        <v>592</v>
      </c>
    </row>
    <row r="132" spans="1:32" x14ac:dyDescent="0.3">
      <c r="A132">
        <v>129</v>
      </c>
      <c r="B132" t="s">
        <v>593</v>
      </c>
      <c r="C132">
        <v>31</v>
      </c>
      <c r="D132" t="s">
        <v>200</v>
      </c>
      <c r="E132" t="s">
        <v>78</v>
      </c>
      <c r="F132">
        <v>42</v>
      </c>
      <c r="G132">
        <v>11</v>
      </c>
      <c r="H132">
        <v>16</v>
      </c>
      <c r="I132">
        <v>27</v>
      </c>
      <c r="J132">
        <v>-5</v>
      </c>
      <c r="K132">
        <v>8</v>
      </c>
      <c r="L132">
        <v>6</v>
      </c>
      <c r="M132">
        <v>5</v>
      </c>
      <c r="N132">
        <v>0</v>
      </c>
      <c r="O132">
        <v>1</v>
      </c>
      <c r="P132">
        <v>10</v>
      </c>
      <c r="Q132">
        <v>5</v>
      </c>
      <c r="R132">
        <v>1</v>
      </c>
      <c r="S132">
        <v>61</v>
      </c>
      <c r="T132">
        <v>18</v>
      </c>
      <c r="U132">
        <v>97</v>
      </c>
      <c r="V132" s="2">
        <v>34.934027777777779</v>
      </c>
      <c r="W132" s="3">
        <v>0.83194444444444449</v>
      </c>
      <c r="X132">
        <v>419</v>
      </c>
      <c r="Y132">
        <v>381</v>
      </c>
      <c r="Z132">
        <v>52.4</v>
      </c>
      <c r="AA132">
        <v>33</v>
      </c>
      <c r="AB132">
        <v>11</v>
      </c>
      <c r="AC132">
        <v>17</v>
      </c>
      <c r="AD132">
        <v>35</v>
      </c>
      <c r="AF132" t="s">
        <v>594</v>
      </c>
    </row>
    <row r="133" spans="1:32" x14ac:dyDescent="0.3">
      <c r="A133">
        <v>130</v>
      </c>
      <c r="B133" t="s">
        <v>595</v>
      </c>
      <c r="C133">
        <v>36</v>
      </c>
      <c r="D133" t="s">
        <v>82</v>
      </c>
      <c r="E133" t="s">
        <v>78</v>
      </c>
      <c r="F133">
        <v>44</v>
      </c>
      <c r="G133">
        <v>10</v>
      </c>
      <c r="H133">
        <v>16</v>
      </c>
      <c r="I133">
        <v>26</v>
      </c>
      <c r="J133">
        <v>14</v>
      </c>
      <c r="K133">
        <v>10</v>
      </c>
      <c r="L133">
        <v>10</v>
      </c>
      <c r="M133">
        <v>0</v>
      </c>
      <c r="N133">
        <v>0</v>
      </c>
      <c r="O133">
        <v>1</v>
      </c>
      <c r="P133">
        <v>14</v>
      </c>
      <c r="Q133">
        <v>0</v>
      </c>
      <c r="R133">
        <v>2</v>
      </c>
      <c r="S133">
        <v>108</v>
      </c>
      <c r="T133">
        <v>9.3000000000000007</v>
      </c>
      <c r="U133">
        <v>185</v>
      </c>
      <c r="V133" s="2">
        <v>31.583333333333332</v>
      </c>
      <c r="W133" s="3">
        <v>0.71805555555555556</v>
      </c>
      <c r="X133">
        <v>407</v>
      </c>
      <c r="Y133">
        <v>374</v>
      </c>
      <c r="Z133">
        <v>52.1</v>
      </c>
      <c r="AA133">
        <v>15</v>
      </c>
      <c r="AB133">
        <v>18</v>
      </c>
      <c r="AC133">
        <v>16</v>
      </c>
      <c r="AD133">
        <v>37</v>
      </c>
      <c r="AF133" t="s">
        <v>596</v>
      </c>
    </row>
    <row r="134" spans="1:32" x14ac:dyDescent="0.3">
      <c r="A134">
        <v>131</v>
      </c>
      <c r="B134" t="s">
        <v>155</v>
      </c>
      <c r="C134">
        <v>23</v>
      </c>
      <c r="D134" t="s">
        <v>109</v>
      </c>
      <c r="E134" t="s">
        <v>87</v>
      </c>
      <c r="F134">
        <v>45</v>
      </c>
      <c r="G134">
        <v>10</v>
      </c>
      <c r="H134">
        <v>16</v>
      </c>
      <c r="I134">
        <v>26</v>
      </c>
      <c r="J134">
        <v>12</v>
      </c>
      <c r="K134">
        <v>10</v>
      </c>
      <c r="L134">
        <v>9</v>
      </c>
      <c r="M134">
        <v>0</v>
      </c>
      <c r="N134">
        <v>1</v>
      </c>
      <c r="O134">
        <v>1</v>
      </c>
      <c r="P134">
        <v>8</v>
      </c>
      <c r="Q134">
        <v>8</v>
      </c>
      <c r="R134">
        <v>0</v>
      </c>
      <c r="S134">
        <v>97</v>
      </c>
      <c r="T134">
        <v>10.3</v>
      </c>
      <c r="U134">
        <v>203</v>
      </c>
      <c r="V134" s="2">
        <v>45.878472222222221</v>
      </c>
      <c r="W134" s="2">
        <v>1.0194444444444444</v>
      </c>
      <c r="X134">
        <v>0</v>
      </c>
      <c r="Y134">
        <v>0</v>
      </c>
      <c r="AA134">
        <v>104</v>
      </c>
      <c r="AB134">
        <v>16</v>
      </c>
      <c r="AC134">
        <v>27</v>
      </c>
      <c r="AD134">
        <v>61</v>
      </c>
      <c r="AF134" t="s">
        <v>597</v>
      </c>
    </row>
    <row r="135" spans="1:32" x14ac:dyDescent="0.3">
      <c r="A135">
        <v>132</v>
      </c>
      <c r="B135" t="s">
        <v>598</v>
      </c>
      <c r="C135">
        <v>28</v>
      </c>
      <c r="D135" t="s">
        <v>193</v>
      </c>
      <c r="E135" t="s">
        <v>87</v>
      </c>
      <c r="F135">
        <v>43</v>
      </c>
      <c r="G135">
        <v>3</v>
      </c>
      <c r="H135">
        <v>23</v>
      </c>
      <c r="I135">
        <v>26</v>
      </c>
      <c r="J135">
        <v>3</v>
      </c>
      <c r="K135">
        <v>12</v>
      </c>
      <c r="L135">
        <v>1</v>
      </c>
      <c r="M135">
        <v>2</v>
      </c>
      <c r="N135">
        <v>0</v>
      </c>
      <c r="O135">
        <v>0</v>
      </c>
      <c r="P135">
        <v>15</v>
      </c>
      <c r="Q135">
        <v>7</v>
      </c>
      <c r="R135">
        <v>1</v>
      </c>
      <c r="S135">
        <v>61</v>
      </c>
      <c r="T135">
        <v>4.9000000000000004</v>
      </c>
      <c r="U135">
        <v>153</v>
      </c>
      <c r="V135" s="2">
        <v>44.239583333333336</v>
      </c>
      <c r="W135" s="2">
        <v>1.0291666666666666</v>
      </c>
      <c r="X135">
        <v>0</v>
      </c>
      <c r="Y135">
        <v>0</v>
      </c>
      <c r="AA135">
        <v>57</v>
      </c>
      <c r="AB135">
        <v>71</v>
      </c>
      <c r="AC135">
        <v>16</v>
      </c>
      <c r="AD135">
        <v>45</v>
      </c>
      <c r="AF135" t="s">
        <v>599</v>
      </c>
    </row>
    <row r="136" spans="1:32" x14ac:dyDescent="0.3">
      <c r="A136">
        <v>133</v>
      </c>
      <c r="B136" t="s">
        <v>600</v>
      </c>
      <c r="C136">
        <v>37</v>
      </c>
      <c r="D136" t="s">
        <v>221</v>
      </c>
      <c r="E136" t="s">
        <v>95</v>
      </c>
      <c r="F136">
        <v>30</v>
      </c>
      <c r="G136">
        <v>8</v>
      </c>
      <c r="H136">
        <v>18</v>
      </c>
      <c r="I136">
        <v>26</v>
      </c>
      <c r="J136">
        <v>2</v>
      </c>
      <c r="K136">
        <v>10</v>
      </c>
      <c r="L136">
        <v>6</v>
      </c>
      <c r="M136">
        <v>2</v>
      </c>
      <c r="N136">
        <v>0</v>
      </c>
      <c r="O136">
        <v>2</v>
      </c>
      <c r="P136">
        <v>10</v>
      </c>
      <c r="Q136">
        <v>8</v>
      </c>
      <c r="R136">
        <v>0</v>
      </c>
      <c r="S136">
        <v>85</v>
      </c>
      <c r="T136">
        <v>9.4</v>
      </c>
      <c r="U136">
        <v>148</v>
      </c>
      <c r="V136" s="2">
        <v>21.265277777777779</v>
      </c>
      <c r="W136" s="3">
        <v>0.70902777777777781</v>
      </c>
      <c r="X136">
        <v>0</v>
      </c>
      <c r="Y136">
        <v>1</v>
      </c>
      <c r="Z136">
        <v>0</v>
      </c>
      <c r="AA136">
        <v>14</v>
      </c>
      <c r="AB136">
        <v>7</v>
      </c>
      <c r="AC136">
        <v>1</v>
      </c>
      <c r="AD136">
        <v>32</v>
      </c>
      <c r="AF136" t="s">
        <v>601</v>
      </c>
    </row>
    <row r="137" spans="1:32" x14ac:dyDescent="0.3">
      <c r="A137">
        <v>134</v>
      </c>
      <c r="B137" t="s">
        <v>205</v>
      </c>
      <c r="C137">
        <v>22</v>
      </c>
      <c r="D137" t="s">
        <v>204</v>
      </c>
      <c r="E137" t="s">
        <v>78</v>
      </c>
      <c r="F137">
        <v>44</v>
      </c>
      <c r="G137">
        <v>15</v>
      </c>
      <c r="H137">
        <v>11</v>
      </c>
      <c r="I137">
        <v>26</v>
      </c>
      <c r="J137">
        <v>4</v>
      </c>
      <c r="K137">
        <v>10</v>
      </c>
      <c r="L137">
        <v>13</v>
      </c>
      <c r="M137">
        <v>1</v>
      </c>
      <c r="N137">
        <v>1</v>
      </c>
      <c r="O137">
        <v>1</v>
      </c>
      <c r="P137">
        <v>10</v>
      </c>
      <c r="Q137">
        <v>0</v>
      </c>
      <c r="R137">
        <v>1</v>
      </c>
      <c r="S137">
        <v>78</v>
      </c>
      <c r="T137">
        <v>19.2</v>
      </c>
      <c r="U137">
        <v>130</v>
      </c>
      <c r="V137" s="2">
        <v>27.045138888888889</v>
      </c>
      <c r="W137" s="3">
        <v>0.61458333333333337</v>
      </c>
      <c r="X137">
        <v>193</v>
      </c>
      <c r="Y137">
        <v>225</v>
      </c>
      <c r="Z137">
        <v>46.2</v>
      </c>
      <c r="AA137">
        <v>45</v>
      </c>
      <c r="AB137">
        <v>16</v>
      </c>
      <c r="AC137">
        <v>7</v>
      </c>
      <c r="AD137">
        <v>16</v>
      </c>
      <c r="AF137" t="s">
        <v>602</v>
      </c>
    </row>
    <row r="138" spans="1:32" x14ac:dyDescent="0.3">
      <c r="A138">
        <v>135</v>
      </c>
      <c r="B138" t="s">
        <v>603</v>
      </c>
      <c r="C138">
        <v>24</v>
      </c>
      <c r="D138" t="s">
        <v>97</v>
      </c>
      <c r="E138" t="s">
        <v>78</v>
      </c>
      <c r="F138">
        <v>44</v>
      </c>
      <c r="G138">
        <v>11</v>
      </c>
      <c r="H138">
        <v>15</v>
      </c>
      <c r="I138">
        <v>26</v>
      </c>
      <c r="J138">
        <v>5</v>
      </c>
      <c r="K138">
        <v>14</v>
      </c>
      <c r="L138">
        <v>6</v>
      </c>
      <c r="M138">
        <v>3</v>
      </c>
      <c r="N138">
        <v>2</v>
      </c>
      <c r="O138">
        <v>1</v>
      </c>
      <c r="P138">
        <v>12</v>
      </c>
      <c r="Q138">
        <v>3</v>
      </c>
      <c r="R138">
        <v>0</v>
      </c>
      <c r="S138">
        <v>93</v>
      </c>
      <c r="T138">
        <v>11.8</v>
      </c>
      <c r="U138">
        <v>188</v>
      </c>
      <c r="V138" s="2">
        <v>34.202083333333334</v>
      </c>
      <c r="W138" s="3">
        <v>0.77708333333333335</v>
      </c>
      <c r="X138">
        <v>95</v>
      </c>
      <c r="Y138">
        <v>143</v>
      </c>
      <c r="Z138">
        <v>39.9</v>
      </c>
      <c r="AA138">
        <v>31</v>
      </c>
      <c r="AB138">
        <v>20</v>
      </c>
      <c r="AC138">
        <v>18</v>
      </c>
      <c r="AD138">
        <v>38</v>
      </c>
      <c r="AF138" t="s">
        <v>604</v>
      </c>
    </row>
    <row r="139" spans="1:32" x14ac:dyDescent="0.3">
      <c r="A139">
        <v>136</v>
      </c>
      <c r="B139" t="s">
        <v>605</v>
      </c>
      <c r="C139">
        <v>30</v>
      </c>
      <c r="D139" t="s">
        <v>216</v>
      </c>
      <c r="E139" t="s">
        <v>95</v>
      </c>
      <c r="F139">
        <v>35</v>
      </c>
      <c r="G139">
        <v>11</v>
      </c>
      <c r="H139">
        <v>15</v>
      </c>
      <c r="I139">
        <v>26</v>
      </c>
      <c r="J139">
        <v>9</v>
      </c>
      <c r="K139">
        <v>8</v>
      </c>
      <c r="L139">
        <v>10</v>
      </c>
      <c r="M139">
        <v>1</v>
      </c>
      <c r="N139">
        <v>0</v>
      </c>
      <c r="O139">
        <v>1</v>
      </c>
      <c r="P139">
        <v>13</v>
      </c>
      <c r="Q139">
        <v>2</v>
      </c>
      <c r="R139">
        <v>0</v>
      </c>
      <c r="S139">
        <v>91</v>
      </c>
      <c r="T139">
        <v>12.1</v>
      </c>
      <c r="U139">
        <v>171</v>
      </c>
      <c r="V139" s="2">
        <v>26.43611111111111</v>
      </c>
      <c r="W139" s="3">
        <v>0.75555555555555554</v>
      </c>
      <c r="X139">
        <v>2</v>
      </c>
      <c r="Y139">
        <v>1</v>
      </c>
      <c r="Z139">
        <v>66.7</v>
      </c>
      <c r="AA139">
        <v>9</v>
      </c>
      <c r="AB139">
        <v>30</v>
      </c>
      <c r="AC139">
        <v>13</v>
      </c>
      <c r="AD139">
        <v>29</v>
      </c>
      <c r="AF139" t="s">
        <v>606</v>
      </c>
    </row>
    <row r="140" spans="1:32" x14ac:dyDescent="0.3">
      <c r="A140">
        <v>137</v>
      </c>
      <c r="B140" t="s">
        <v>267</v>
      </c>
      <c r="C140">
        <v>27</v>
      </c>
      <c r="D140" t="s">
        <v>193</v>
      </c>
      <c r="E140" t="s">
        <v>78</v>
      </c>
      <c r="F140">
        <v>35</v>
      </c>
      <c r="G140">
        <v>11</v>
      </c>
      <c r="H140">
        <v>15</v>
      </c>
      <c r="I140">
        <v>26</v>
      </c>
      <c r="J140">
        <v>-13</v>
      </c>
      <c r="K140">
        <v>14</v>
      </c>
      <c r="L140">
        <v>8</v>
      </c>
      <c r="M140">
        <v>2</v>
      </c>
      <c r="N140">
        <v>1</v>
      </c>
      <c r="O140">
        <v>0</v>
      </c>
      <c r="P140">
        <v>8</v>
      </c>
      <c r="Q140">
        <v>7</v>
      </c>
      <c r="R140">
        <v>0</v>
      </c>
      <c r="S140">
        <v>71</v>
      </c>
      <c r="T140">
        <v>15.5</v>
      </c>
      <c r="U140">
        <v>153</v>
      </c>
      <c r="V140" s="2">
        <v>29.663194444444443</v>
      </c>
      <c r="W140" s="3">
        <v>0.84722222222222221</v>
      </c>
      <c r="X140">
        <v>353</v>
      </c>
      <c r="Y140">
        <v>397</v>
      </c>
      <c r="Z140">
        <v>47.1</v>
      </c>
      <c r="AA140">
        <v>56</v>
      </c>
      <c r="AB140">
        <v>32</v>
      </c>
      <c r="AC140">
        <v>19</v>
      </c>
      <c r="AD140">
        <v>35</v>
      </c>
      <c r="AF140" t="s">
        <v>607</v>
      </c>
    </row>
    <row r="141" spans="1:32" x14ac:dyDescent="0.3">
      <c r="A141">
        <v>138</v>
      </c>
      <c r="B141" t="s">
        <v>270</v>
      </c>
      <c r="C141">
        <v>29</v>
      </c>
      <c r="D141" t="s">
        <v>121</v>
      </c>
      <c r="E141" t="s">
        <v>78</v>
      </c>
      <c r="F141">
        <v>35</v>
      </c>
      <c r="G141">
        <v>10</v>
      </c>
      <c r="H141">
        <v>16</v>
      </c>
      <c r="I141">
        <v>26</v>
      </c>
      <c r="J141">
        <v>0</v>
      </c>
      <c r="K141">
        <v>8</v>
      </c>
      <c r="L141">
        <v>8</v>
      </c>
      <c r="M141">
        <v>2</v>
      </c>
      <c r="N141">
        <v>0</v>
      </c>
      <c r="O141">
        <v>0</v>
      </c>
      <c r="P141">
        <v>12</v>
      </c>
      <c r="Q141">
        <v>4</v>
      </c>
      <c r="R141">
        <v>0</v>
      </c>
      <c r="S141">
        <v>77</v>
      </c>
      <c r="T141">
        <v>13</v>
      </c>
      <c r="U141">
        <v>135</v>
      </c>
      <c r="V141" s="2">
        <v>26.99861111111111</v>
      </c>
      <c r="W141" s="3">
        <v>0.77152777777777781</v>
      </c>
      <c r="X141">
        <v>165</v>
      </c>
      <c r="Y141">
        <v>199</v>
      </c>
      <c r="Z141">
        <v>45.3</v>
      </c>
      <c r="AA141">
        <v>13</v>
      </c>
      <c r="AB141">
        <v>4</v>
      </c>
      <c r="AC141">
        <v>5</v>
      </c>
      <c r="AD141">
        <v>20</v>
      </c>
      <c r="AF141" t="s">
        <v>608</v>
      </c>
    </row>
    <row r="142" spans="1:32" x14ac:dyDescent="0.3">
      <c r="A142">
        <v>139</v>
      </c>
      <c r="B142" t="s">
        <v>609</v>
      </c>
      <c r="C142">
        <v>31</v>
      </c>
      <c r="D142" t="s">
        <v>150</v>
      </c>
      <c r="E142" t="s">
        <v>87</v>
      </c>
      <c r="F142">
        <v>42</v>
      </c>
      <c r="G142">
        <v>5</v>
      </c>
      <c r="H142">
        <v>21</v>
      </c>
      <c r="I142">
        <v>26</v>
      </c>
      <c r="J142">
        <v>-13</v>
      </c>
      <c r="K142">
        <v>8</v>
      </c>
      <c r="L142">
        <v>5</v>
      </c>
      <c r="M142">
        <v>0</v>
      </c>
      <c r="N142">
        <v>0</v>
      </c>
      <c r="O142">
        <v>2</v>
      </c>
      <c r="P142">
        <v>16</v>
      </c>
      <c r="Q142">
        <v>5</v>
      </c>
      <c r="R142">
        <v>0</v>
      </c>
      <c r="S142">
        <v>78</v>
      </c>
      <c r="T142">
        <v>6.4</v>
      </c>
      <c r="U142">
        <v>193</v>
      </c>
      <c r="V142" s="2">
        <v>38.340277777777779</v>
      </c>
      <c r="W142" s="3">
        <v>0.91319444444444442</v>
      </c>
      <c r="X142">
        <v>0</v>
      </c>
      <c r="Y142">
        <v>0</v>
      </c>
      <c r="AA142">
        <v>56</v>
      </c>
      <c r="AB142">
        <v>18</v>
      </c>
      <c r="AC142">
        <v>11</v>
      </c>
      <c r="AD142">
        <v>60</v>
      </c>
      <c r="AF142" t="s">
        <v>610</v>
      </c>
    </row>
    <row r="143" spans="1:32" x14ac:dyDescent="0.3">
      <c r="A143">
        <v>140</v>
      </c>
      <c r="B143" t="s">
        <v>303</v>
      </c>
      <c r="C143">
        <v>32</v>
      </c>
      <c r="D143" t="s">
        <v>256</v>
      </c>
      <c r="E143" t="s">
        <v>78</v>
      </c>
      <c r="F143">
        <v>31</v>
      </c>
      <c r="G143">
        <v>11</v>
      </c>
      <c r="H143">
        <v>15</v>
      </c>
      <c r="I143">
        <v>26</v>
      </c>
      <c r="J143">
        <v>-8</v>
      </c>
      <c r="K143">
        <v>20</v>
      </c>
      <c r="L143">
        <v>10</v>
      </c>
      <c r="M143">
        <v>1</v>
      </c>
      <c r="N143">
        <v>0</v>
      </c>
      <c r="O143">
        <v>1</v>
      </c>
      <c r="P143">
        <v>10</v>
      </c>
      <c r="Q143">
        <v>5</v>
      </c>
      <c r="R143">
        <v>0</v>
      </c>
      <c r="S143">
        <v>54</v>
      </c>
      <c r="T143">
        <v>20.399999999999999</v>
      </c>
      <c r="U143">
        <v>132</v>
      </c>
      <c r="V143" s="2">
        <v>27.220833333333335</v>
      </c>
      <c r="W143" s="3">
        <v>0.87777777777777777</v>
      </c>
      <c r="X143">
        <v>286</v>
      </c>
      <c r="Y143">
        <v>234</v>
      </c>
      <c r="Z143">
        <v>55</v>
      </c>
      <c r="AA143">
        <v>25</v>
      </c>
      <c r="AB143">
        <v>104</v>
      </c>
      <c r="AC143">
        <v>12</v>
      </c>
      <c r="AD143">
        <v>36</v>
      </c>
      <c r="AF143" t="s">
        <v>611</v>
      </c>
    </row>
    <row r="144" spans="1:32" x14ac:dyDescent="0.3">
      <c r="A144">
        <v>141</v>
      </c>
      <c r="B144" t="s">
        <v>612</v>
      </c>
      <c r="C144">
        <v>22</v>
      </c>
      <c r="D144" t="s">
        <v>72</v>
      </c>
      <c r="E144" t="s">
        <v>95</v>
      </c>
      <c r="F144">
        <v>44</v>
      </c>
      <c r="G144">
        <v>13</v>
      </c>
      <c r="H144">
        <v>12</v>
      </c>
      <c r="I144">
        <v>25</v>
      </c>
      <c r="J144">
        <v>0</v>
      </c>
      <c r="K144">
        <v>28</v>
      </c>
      <c r="L144">
        <v>11</v>
      </c>
      <c r="M144">
        <v>2</v>
      </c>
      <c r="N144">
        <v>0</v>
      </c>
      <c r="O144">
        <v>2</v>
      </c>
      <c r="P144">
        <v>7</v>
      </c>
      <c r="Q144">
        <v>5</v>
      </c>
      <c r="R144">
        <v>0</v>
      </c>
      <c r="S144">
        <v>94</v>
      </c>
      <c r="T144">
        <v>13.8</v>
      </c>
      <c r="U144">
        <v>178</v>
      </c>
      <c r="V144" s="2">
        <v>31.174305555555556</v>
      </c>
      <c r="W144" s="3">
        <v>0.70833333333333337</v>
      </c>
      <c r="X144">
        <v>0</v>
      </c>
      <c r="Y144">
        <v>8</v>
      </c>
      <c r="Z144">
        <v>0</v>
      </c>
      <c r="AA144">
        <v>16</v>
      </c>
      <c r="AB144">
        <v>9</v>
      </c>
      <c r="AC144">
        <v>19</v>
      </c>
      <c r="AD144">
        <v>49</v>
      </c>
      <c r="AF144" t="s">
        <v>613</v>
      </c>
    </row>
    <row r="145" spans="1:32" x14ac:dyDescent="0.3">
      <c r="A145">
        <v>142</v>
      </c>
      <c r="B145" t="s">
        <v>614</v>
      </c>
      <c r="C145">
        <v>30</v>
      </c>
      <c r="D145" t="s">
        <v>157</v>
      </c>
      <c r="E145" t="s">
        <v>101</v>
      </c>
      <c r="F145">
        <v>43</v>
      </c>
      <c r="G145">
        <v>11</v>
      </c>
      <c r="H145">
        <v>14</v>
      </c>
      <c r="I145">
        <v>25</v>
      </c>
      <c r="J145">
        <v>-5</v>
      </c>
      <c r="K145">
        <v>8</v>
      </c>
      <c r="L145">
        <v>7</v>
      </c>
      <c r="M145">
        <v>4</v>
      </c>
      <c r="N145">
        <v>0</v>
      </c>
      <c r="O145">
        <v>0</v>
      </c>
      <c r="P145">
        <v>10</v>
      </c>
      <c r="Q145">
        <v>4</v>
      </c>
      <c r="R145">
        <v>0</v>
      </c>
      <c r="S145">
        <v>71</v>
      </c>
      <c r="T145">
        <v>15.5</v>
      </c>
      <c r="U145">
        <v>172</v>
      </c>
      <c r="V145" s="2">
        <v>26.649305555555557</v>
      </c>
      <c r="W145" s="3">
        <v>0.61944444444444446</v>
      </c>
      <c r="X145">
        <v>5</v>
      </c>
      <c r="Y145">
        <v>14</v>
      </c>
      <c r="Z145">
        <v>26.3</v>
      </c>
      <c r="AA145">
        <v>14</v>
      </c>
      <c r="AB145">
        <v>24</v>
      </c>
      <c r="AC145">
        <v>6</v>
      </c>
      <c r="AD145">
        <v>32</v>
      </c>
      <c r="AF145" t="s">
        <v>615</v>
      </c>
    </row>
    <row r="146" spans="1:32" x14ac:dyDescent="0.3">
      <c r="A146">
        <v>143</v>
      </c>
      <c r="B146" t="s">
        <v>616</v>
      </c>
      <c r="C146">
        <v>23</v>
      </c>
      <c r="D146" t="s">
        <v>91</v>
      </c>
      <c r="E146" t="s">
        <v>78</v>
      </c>
      <c r="F146">
        <v>42</v>
      </c>
      <c r="G146">
        <v>7</v>
      </c>
      <c r="H146">
        <v>18</v>
      </c>
      <c r="I146">
        <v>25</v>
      </c>
      <c r="J146">
        <v>0</v>
      </c>
      <c r="K146">
        <v>20</v>
      </c>
      <c r="L146">
        <v>5</v>
      </c>
      <c r="M146">
        <v>2</v>
      </c>
      <c r="N146">
        <v>0</v>
      </c>
      <c r="O146">
        <v>2</v>
      </c>
      <c r="P146">
        <v>12</v>
      </c>
      <c r="Q146">
        <v>5</v>
      </c>
      <c r="R146">
        <v>1</v>
      </c>
      <c r="S146">
        <v>93</v>
      </c>
      <c r="T146">
        <v>7.5</v>
      </c>
      <c r="U146">
        <v>180</v>
      </c>
      <c r="V146" s="2">
        <v>35.110416666666666</v>
      </c>
      <c r="W146" s="3">
        <v>0.83611111111111114</v>
      </c>
      <c r="X146">
        <v>250</v>
      </c>
      <c r="Y146">
        <v>359</v>
      </c>
      <c r="Z146">
        <v>41.1</v>
      </c>
      <c r="AA146">
        <v>24</v>
      </c>
      <c r="AB146">
        <v>30</v>
      </c>
      <c r="AC146">
        <v>20</v>
      </c>
      <c r="AD146">
        <v>49</v>
      </c>
      <c r="AF146" t="s">
        <v>617</v>
      </c>
    </row>
    <row r="147" spans="1:32" x14ac:dyDescent="0.3">
      <c r="A147">
        <v>144</v>
      </c>
      <c r="B147" t="s">
        <v>122</v>
      </c>
      <c r="C147">
        <v>28</v>
      </c>
      <c r="D147" t="s">
        <v>121</v>
      </c>
      <c r="E147" t="s">
        <v>78</v>
      </c>
      <c r="F147">
        <v>38</v>
      </c>
      <c r="G147">
        <v>12</v>
      </c>
      <c r="H147">
        <v>13</v>
      </c>
      <c r="I147">
        <v>25</v>
      </c>
      <c r="J147">
        <v>22</v>
      </c>
      <c r="K147">
        <v>10</v>
      </c>
      <c r="L147">
        <v>10</v>
      </c>
      <c r="M147">
        <v>2</v>
      </c>
      <c r="N147">
        <v>0</v>
      </c>
      <c r="O147">
        <v>2</v>
      </c>
      <c r="P147">
        <v>10</v>
      </c>
      <c r="Q147">
        <v>1</v>
      </c>
      <c r="R147">
        <v>2</v>
      </c>
      <c r="S147">
        <v>73</v>
      </c>
      <c r="T147">
        <v>16.399999999999999</v>
      </c>
      <c r="U147">
        <v>137</v>
      </c>
      <c r="V147" s="2">
        <v>28.571527777777778</v>
      </c>
      <c r="W147" s="3">
        <v>0.75208333333333333</v>
      </c>
      <c r="X147">
        <v>283</v>
      </c>
      <c r="Y147">
        <v>307</v>
      </c>
      <c r="Z147">
        <v>48</v>
      </c>
      <c r="AA147">
        <v>23</v>
      </c>
      <c r="AB147">
        <v>26</v>
      </c>
      <c r="AC147">
        <v>17</v>
      </c>
      <c r="AD147">
        <v>25</v>
      </c>
      <c r="AF147" t="s">
        <v>618</v>
      </c>
    </row>
    <row r="148" spans="1:32" x14ac:dyDescent="0.3">
      <c r="A148">
        <v>145</v>
      </c>
      <c r="B148" t="s">
        <v>619</v>
      </c>
      <c r="C148">
        <v>33</v>
      </c>
      <c r="D148" t="s">
        <v>306</v>
      </c>
      <c r="E148" t="s">
        <v>78</v>
      </c>
      <c r="F148">
        <v>43</v>
      </c>
      <c r="G148">
        <v>6</v>
      </c>
      <c r="H148">
        <v>19</v>
      </c>
      <c r="I148">
        <v>25</v>
      </c>
      <c r="J148">
        <v>-4</v>
      </c>
      <c r="K148">
        <v>6</v>
      </c>
      <c r="L148">
        <v>6</v>
      </c>
      <c r="M148">
        <v>0</v>
      </c>
      <c r="N148">
        <v>0</v>
      </c>
      <c r="O148">
        <v>0</v>
      </c>
      <c r="P148">
        <v>16</v>
      </c>
      <c r="Q148">
        <v>3</v>
      </c>
      <c r="R148">
        <v>0</v>
      </c>
      <c r="S148">
        <v>58</v>
      </c>
      <c r="T148">
        <v>10.3</v>
      </c>
      <c r="U148">
        <v>111</v>
      </c>
      <c r="V148" s="2">
        <v>31.433333333333334</v>
      </c>
      <c r="W148" s="3">
        <v>0.73124999999999996</v>
      </c>
      <c r="X148">
        <v>335</v>
      </c>
      <c r="Y148">
        <v>324</v>
      </c>
      <c r="Z148">
        <v>50.8</v>
      </c>
      <c r="AA148">
        <v>27</v>
      </c>
      <c r="AB148">
        <v>63</v>
      </c>
      <c r="AC148">
        <v>20</v>
      </c>
      <c r="AD148">
        <v>28</v>
      </c>
      <c r="AF148" t="s">
        <v>620</v>
      </c>
    </row>
    <row r="149" spans="1:32" x14ac:dyDescent="0.3">
      <c r="A149">
        <v>146</v>
      </c>
      <c r="B149" t="s">
        <v>621</v>
      </c>
      <c r="C149">
        <v>29</v>
      </c>
      <c r="D149" t="s">
        <v>200</v>
      </c>
      <c r="E149" t="s">
        <v>87</v>
      </c>
      <c r="F149">
        <v>41</v>
      </c>
      <c r="G149">
        <v>6</v>
      </c>
      <c r="H149">
        <v>19</v>
      </c>
      <c r="I149">
        <v>25</v>
      </c>
      <c r="J149">
        <v>-12</v>
      </c>
      <c r="K149">
        <v>32</v>
      </c>
      <c r="L149">
        <v>5</v>
      </c>
      <c r="M149">
        <v>1</v>
      </c>
      <c r="N149">
        <v>0</v>
      </c>
      <c r="O149">
        <v>1</v>
      </c>
      <c r="P149">
        <v>6</v>
      </c>
      <c r="Q149">
        <v>13</v>
      </c>
      <c r="R149">
        <v>0</v>
      </c>
      <c r="S149">
        <v>92</v>
      </c>
      <c r="T149">
        <v>6.5</v>
      </c>
      <c r="U149">
        <v>201</v>
      </c>
      <c r="V149" s="2">
        <v>38.395138888888887</v>
      </c>
      <c r="W149" s="3">
        <v>0.93680555555555556</v>
      </c>
      <c r="X149">
        <v>0</v>
      </c>
      <c r="Y149">
        <v>0</v>
      </c>
      <c r="AA149">
        <v>47</v>
      </c>
      <c r="AB149">
        <v>10</v>
      </c>
      <c r="AC149">
        <v>14</v>
      </c>
      <c r="AD149">
        <v>53</v>
      </c>
      <c r="AF149" t="s">
        <v>622</v>
      </c>
    </row>
    <row r="150" spans="1:32" x14ac:dyDescent="0.3">
      <c r="A150">
        <v>147</v>
      </c>
      <c r="B150" t="s">
        <v>151</v>
      </c>
      <c r="C150">
        <v>34</v>
      </c>
      <c r="D150" t="s">
        <v>150</v>
      </c>
      <c r="E150" t="s">
        <v>87</v>
      </c>
      <c r="F150">
        <v>43</v>
      </c>
      <c r="G150">
        <v>7</v>
      </c>
      <c r="H150">
        <v>18</v>
      </c>
      <c r="I150">
        <v>25</v>
      </c>
      <c r="J150">
        <v>1</v>
      </c>
      <c r="K150">
        <v>30</v>
      </c>
      <c r="L150">
        <v>7</v>
      </c>
      <c r="M150">
        <v>0</v>
      </c>
      <c r="N150">
        <v>0</v>
      </c>
      <c r="O150">
        <v>0</v>
      </c>
      <c r="P150">
        <v>15</v>
      </c>
      <c r="Q150">
        <v>3</v>
      </c>
      <c r="R150">
        <v>0</v>
      </c>
      <c r="S150">
        <v>61</v>
      </c>
      <c r="T150">
        <v>11.5</v>
      </c>
      <c r="U150">
        <v>150</v>
      </c>
      <c r="V150" s="2">
        <v>37.360416666666666</v>
      </c>
      <c r="W150" s="3">
        <v>0.86875000000000002</v>
      </c>
      <c r="X150">
        <v>0</v>
      </c>
      <c r="Y150">
        <v>0</v>
      </c>
      <c r="AA150">
        <v>36</v>
      </c>
      <c r="AB150">
        <v>57</v>
      </c>
      <c r="AC150">
        <v>9</v>
      </c>
      <c r="AD150">
        <v>66</v>
      </c>
      <c r="AF150" t="s">
        <v>623</v>
      </c>
    </row>
    <row r="151" spans="1:32" x14ac:dyDescent="0.3">
      <c r="A151">
        <v>148</v>
      </c>
      <c r="B151" t="s">
        <v>191</v>
      </c>
      <c r="C151">
        <v>24</v>
      </c>
      <c r="D151" t="s">
        <v>97</v>
      </c>
      <c r="E151" t="s">
        <v>78</v>
      </c>
      <c r="F151">
        <v>26</v>
      </c>
      <c r="G151">
        <v>11</v>
      </c>
      <c r="H151">
        <v>14</v>
      </c>
      <c r="I151">
        <v>25</v>
      </c>
      <c r="J151">
        <v>-5</v>
      </c>
      <c r="K151">
        <v>0</v>
      </c>
      <c r="L151">
        <v>10</v>
      </c>
      <c r="M151">
        <v>1</v>
      </c>
      <c r="N151">
        <v>0</v>
      </c>
      <c r="O151">
        <v>2</v>
      </c>
      <c r="P151">
        <v>7</v>
      </c>
      <c r="Q151">
        <v>7</v>
      </c>
      <c r="R151">
        <v>0</v>
      </c>
      <c r="S151">
        <v>96</v>
      </c>
      <c r="T151">
        <v>11.5</v>
      </c>
      <c r="U151">
        <v>177</v>
      </c>
      <c r="V151" s="2">
        <v>22.920833333333334</v>
      </c>
      <c r="W151" s="3">
        <v>0.88124999999999998</v>
      </c>
      <c r="X151">
        <v>52</v>
      </c>
      <c r="Y151">
        <v>101</v>
      </c>
      <c r="Z151">
        <v>34</v>
      </c>
      <c r="AA151">
        <v>11</v>
      </c>
      <c r="AB151">
        <v>2</v>
      </c>
      <c r="AC151">
        <v>15</v>
      </c>
      <c r="AD151">
        <v>50</v>
      </c>
      <c r="AF151" t="s">
        <v>624</v>
      </c>
    </row>
    <row r="152" spans="1:32" x14ac:dyDescent="0.3">
      <c r="A152">
        <v>149</v>
      </c>
      <c r="B152" t="s">
        <v>625</v>
      </c>
      <c r="C152">
        <v>35</v>
      </c>
      <c r="D152" t="s">
        <v>188</v>
      </c>
      <c r="E152" t="s">
        <v>101</v>
      </c>
      <c r="F152">
        <v>44</v>
      </c>
      <c r="G152">
        <v>10</v>
      </c>
      <c r="H152">
        <v>15</v>
      </c>
      <c r="I152">
        <v>25</v>
      </c>
      <c r="J152">
        <v>4</v>
      </c>
      <c r="K152">
        <v>25</v>
      </c>
      <c r="L152">
        <v>7</v>
      </c>
      <c r="M152">
        <v>3</v>
      </c>
      <c r="N152">
        <v>0</v>
      </c>
      <c r="O152">
        <v>3</v>
      </c>
      <c r="P152">
        <v>13</v>
      </c>
      <c r="Q152">
        <v>2</v>
      </c>
      <c r="R152">
        <v>0</v>
      </c>
      <c r="S152">
        <v>105</v>
      </c>
      <c r="T152">
        <v>9.5</v>
      </c>
      <c r="U152">
        <v>190</v>
      </c>
      <c r="V152" s="2">
        <v>28.524305555555557</v>
      </c>
      <c r="W152" s="3">
        <v>0.64861111111111114</v>
      </c>
      <c r="X152">
        <v>37</v>
      </c>
      <c r="Y152">
        <v>35</v>
      </c>
      <c r="Z152">
        <v>51.4</v>
      </c>
      <c r="AA152">
        <v>23</v>
      </c>
      <c r="AB152">
        <v>37</v>
      </c>
      <c r="AC152">
        <v>8</v>
      </c>
      <c r="AD152">
        <v>22</v>
      </c>
      <c r="AF152" t="s">
        <v>626</v>
      </c>
    </row>
    <row r="153" spans="1:32" x14ac:dyDescent="0.3">
      <c r="A153">
        <v>150</v>
      </c>
      <c r="B153" t="s">
        <v>627</v>
      </c>
      <c r="C153">
        <v>26</v>
      </c>
      <c r="D153" t="s">
        <v>139</v>
      </c>
      <c r="E153" t="s">
        <v>78</v>
      </c>
      <c r="F153">
        <v>42</v>
      </c>
      <c r="G153">
        <v>9</v>
      </c>
      <c r="H153">
        <v>16</v>
      </c>
      <c r="I153">
        <v>25</v>
      </c>
      <c r="J153">
        <v>7</v>
      </c>
      <c r="K153">
        <v>2</v>
      </c>
      <c r="L153">
        <v>6</v>
      </c>
      <c r="M153">
        <v>0</v>
      </c>
      <c r="N153">
        <v>3</v>
      </c>
      <c r="O153">
        <v>1</v>
      </c>
      <c r="P153">
        <v>12</v>
      </c>
      <c r="Q153">
        <v>3</v>
      </c>
      <c r="R153">
        <v>1</v>
      </c>
      <c r="S153">
        <v>54</v>
      </c>
      <c r="T153">
        <v>16.7</v>
      </c>
      <c r="U153">
        <v>104</v>
      </c>
      <c r="V153" s="2">
        <v>31.033333333333335</v>
      </c>
      <c r="W153" s="3">
        <v>0.73888888888888893</v>
      </c>
      <c r="X153">
        <v>296</v>
      </c>
      <c r="Y153">
        <v>364</v>
      </c>
      <c r="Z153">
        <v>44.8</v>
      </c>
      <c r="AA153">
        <v>16</v>
      </c>
      <c r="AB153">
        <v>10</v>
      </c>
      <c r="AC153">
        <v>16</v>
      </c>
      <c r="AD153">
        <v>43</v>
      </c>
      <c r="AF153" t="s">
        <v>628</v>
      </c>
    </row>
    <row r="154" spans="1:32" x14ac:dyDescent="0.3">
      <c r="A154">
        <v>151</v>
      </c>
      <c r="B154" t="s">
        <v>629</v>
      </c>
      <c r="C154">
        <v>29</v>
      </c>
      <c r="D154" t="s">
        <v>97</v>
      </c>
      <c r="E154" t="s">
        <v>95</v>
      </c>
      <c r="F154">
        <v>39</v>
      </c>
      <c r="G154">
        <v>12</v>
      </c>
      <c r="H154">
        <v>13</v>
      </c>
      <c r="I154">
        <v>25</v>
      </c>
      <c r="J154">
        <v>-10</v>
      </c>
      <c r="K154">
        <v>12</v>
      </c>
      <c r="L154">
        <v>7</v>
      </c>
      <c r="M154">
        <v>5</v>
      </c>
      <c r="N154">
        <v>0</v>
      </c>
      <c r="O154">
        <v>2</v>
      </c>
      <c r="P154">
        <v>9</v>
      </c>
      <c r="Q154">
        <v>4</v>
      </c>
      <c r="R154">
        <v>0</v>
      </c>
      <c r="S154">
        <v>135</v>
      </c>
      <c r="T154">
        <v>8.9</v>
      </c>
      <c r="U154">
        <v>275</v>
      </c>
      <c r="V154" s="2">
        <v>30.225000000000001</v>
      </c>
      <c r="W154" s="3">
        <v>0.77500000000000002</v>
      </c>
      <c r="X154">
        <v>28</v>
      </c>
      <c r="Y154">
        <v>30</v>
      </c>
      <c r="Z154">
        <v>48.3</v>
      </c>
      <c r="AA154">
        <v>27</v>
      </c>
      <c r="AB154">
        <v>71</v>
      </c>
      <c r="AC154">
        <v>11</v>
      </c>
      <c r="AD154">
        <v>42</v>
      </c>
      <c r="AF154" t="s">
        <v>630</v>
      </c>
    </row>
    <row r="155" spans="1:32" x14ac:dyDescent="0.3">
      <c r="A155">
        <v>152</v>
      </c>
      <c r="B155" t="s">
        <v>631</v>
      </c>
      <c r="C155">
        <v>26</v>
      </c>
      <c r="D155" t="s">
        <v>278</v>
      </c>
      <c r="E155" t="s">
        <v>95</v>
      </c>
      <c r="F155">
        <v>42</v>
      </c>
      <c r="G155">
        <v>13</v>
      </c>
      <c r="H155">
        <v>12</v>
      </c>
      <c r="I155">
        <v>25</v>
      </c>
      <c r="J155">
        <v>0</v>
      </c>
      <c r="K155">
        <v>20</v>
      </c>
      <c r="L155">
        <v>11</v>
      </c>
      <c r="M155">
        <v>1</v>
      </c>
      <c r="N155">
        <v>1</v>
      </c>
      <c r="O155">
        <v>0</v>
      </c>
      <c r="P155">
        <v>12</v>
      </c>
      <c r="Q155">
        <v>0</v>
      </c>
      <c r="R155">
        <v>0</v>
      </c>
      <c r="S155">
        <v>103</v>
      </c>
      <c r="T155">
        <v>12.6</v>
      </c>
      <c r="U155">
        <v>207</v>
      </c>
      <c r="V155" s="2">
        <v>28.803472222222222</v>
      </c>
      <c r="W155" s="3">
        <v>0.68611111111111112</v>
      </c>
      <c r="X155">
        <v>4</v>
      </c>
      <c r="Y155">
        <v>8</v>
      </c>
      <c r="Z155">
        <v>33.299999999999997</v>
      </c>
      <c r="AA155">
        <v>22</v>
      </c>
      <c r="AB155">
        <v>79</v>
      </c>
      <c r="AC155">
        <v>10</v>
      </c>
      <c r="AD155">
        <v>45</v>
      </c>
      <c r="AF155" t="s">
        <v>632</v>
      </c>
    </row>
    <row r="156" spans="1:32" x14ac:dyDescent="0.3">
      <c r="A156">
        <v>153</v>
      </c>
      <c r="B156" t="s">
        <v>301</v>
      </c>
      <c r="C156">
        <v>26</v>
      </c>
      <c r="D156" t="s">
        <v>200</v>
      </c>
      <c r="E156" t="s">
        <v>95</v>
      </c>
      <c r="F156">
        <v>41</v>
      </c>
      <c r="G156">
        <v>7</v>
      </c>
      <c r="H156">
        <v>18</v>
      </c>
      <c r="I156">
        <v>25</v>
      </c>
      <c r="J156">
        <v>-7</v>
      </c>
      <c r="K156">
        <v>14</v>
      </c>
      <c r="L156">
        <v>4</v>
      </c>
      <c r="M156">
        <v>3</v>
      </c>
      <c r="N156">
        <v>0</v>
      </c>
      <c r="O156">
        <v>0</v>
      </c>
      <c r="P156">
        <v>12</v>
      </c>
      <c r="Q156">
        <v>6</v>
      </c>
      <c r="R156">
        <v>0</v>
      </c>
      <c r="S156">
        <v>72</v>
      </c>
      <c r="T156">
        <v>9.6999999999999993</v>
      </c>
      <c r="U156">
        <v>161</v>
      </c>
      <c r="V156" s="2">
        <v>27.877777777777776</v>
      </c>
      <c r="W156" s="3">
        <v>0.67986111111111114</v>
      </c>
      <c r="X156">
        <v>0</v>
      </c>
      <c r="Y156">
        <v>0</v>
      </c>
      <c r="AA156">
        <v>46</v>
      </c>
      <c r="AB156">
        <v>107</v>
      </c>
      <c r="AC156">
        <v>10</v>
      </c>
      <c r="AD156">
        <v>28</v>
      </c>
      <c r="AF156" t="s">
        <v>633</v>
      </c>
    </row>
    <row r="157" spans="1:32" x14ac:dyDescent="0.3">
      <c r="A157">
        <v>154</v>
      </c>
      <c r="B157" t="s">
        <v>634</v>
      </c>
      <c r="C157">
        <v>30</v>
      </c>
      <c r="D157" t="s">
        <v>103</v>
      </c>
      <c r="E157" t="s">
        <v>101</v>
      </c>
      <c r="F157">
        <v>45</v>
      </c>
      <c r="G157">
        <v>8</v>
      </c>
      <c r="H157">
        <v>16</v>
      </c>
      <c r="I157">
        <v>24</v>
      </c>
      <c r="J157">
        <v>-12</v>
      </c>
      <c r="K157">
        <v>16</v>
      </c>
      <c r="L157">
        <v>6</v>
      </c>
      <c r="M157">
        <v>2</v>
      </c>
      <c r="N157">
        <v>0</v>
      </c>
      <c r="O157">
        <v>1</v>
      </c>
      <c r="P157">
        <v>10</v>
      </c>
      <c r="Q157">
        <v>6</v>
      </c>
      <c r="R157">
        <v>0</v>
      </c>
      <c r="S157">
        <v>78</v>
      </c>
      <c r="T157">
        <v>10.3</v>
      </c>
      <c r="U157">
        <v>156</v>
      </c>
      <c r="V157" s="2">
        <v>34.040277777777774</v>
      </c>
      <c r="W157" s="3">
        <v>0.75624999999999998</v>
      </c>
      <c r="X157">
        <v>7</v>
      </c>
      <c r="Y157">
        <v>15</v>
      </c>
      <c r="Z157">
        <v>31.8</v>
      </c>
      <c r="AA157">
        <v>18</v>
      </c>
      <c r="AB157">
        <v>22</v>
      </c>
      <c r="AC157">
        <v>14</v>
      </c>
      <c r="AD157">
        <v>37</v>
      </c>
      <c r="AF157" t="s">
        <v>635</v>
      </c>
    </row>
    <row r="158" spans="1:32" x14ac:dyDescent="0.3">
      <c r="A158">
        <v>155</v>
      </c>
      <c r="B158" t="s">
        <v>636</v>
      </c>
      <c r="C158">
        <v>26</v>
      </c>
      <c r="D158" t="s">
        <v>278</v>
      </c>
      <c r="E158" t="s">
        <v>101</v>
      </c>
      <c r="F158">
        <v>42</v>
      </c>
      <c r="G158">
        <v>10</v>
      </c>
      <c r="H158">
        <v>14</v>
      </c>
      <c r="I158">
        <v>24</v>
      </c>
      <c r="J158">
        <v>16</v>
      </c>
      <c r="K158">
        <v>27</v>
      </c>
      <c r="L158">
        <v>8</v>
      </c>
      <c r="M158">
        <v>2</v>
      </c>
      <c r="N158">
        <v>0</v>
      </c>
      <c r="O158">
        <v>3</v>
      </c>
      <c r="P158">
        <v>10</v>
      </c>
      <c r="Q158">
        <v>4</v>
      </c>
      <c r="R158">
        <v>0</v>
      </c>
      <c r="S158">
        <v>72</v>
      </c>
      <c r="T158">
        <v>13.9</v>
      </c>
      <c r="U158">
        <v>115</v>
      </c>
      <c r="V158" s="2">
        <v>29.142361111111111</v>
      </c>
      <c r="W158" s="3">
        <v>0.69374999999999998</v>
      </c>
      <c r="X158">
        <v>228</v>
      </c>
      <c r="Y158">
        <v>309</v>
      </c>
      <c r="Z158">
        <v>42.5</v>
      </c>
      <c r="AA158">
        <v>33</v>
      </c>
      <c r="AB158">
        <v>41</v>
      </c>
      <c r="AC158">
        <v>13</v>
      </c>
      <c r="AD158">
        <v>17</v>
      </c>
      <c r="AF158" t="s">
        <v>637</v>
      </c>
    </row>
    <row r="159" spans="1:32" x14ac:dyDescent="0.3">
      <c r="A159">
        <v>156</v>
      </c>
      <c r="B159" t="s">
        <v>638</v>
      </c>
      <c r="C159">
        <v>31</v>
      </c>
      <c r="D159" t="s">
        <v>221</v>
      </c>
      <c r="E159" t="s">
        <v>78</v>
      </c>
      <c r="F159">
        <v>45</v>
      </c>
      <c r="G159">
        <v>6</v>
      </c>
      <c r="H159">
        <v>18</v>
      </c>
      <c r="I159">
        <v>24</v>
      </c>
      <c r="J159">
        <v>-3</v>
      </c>
      <c r="K159">
        <v>14</v>
      </c>
      <c r="L159">
        <v>5</v>
      </c>
      <c r="M159">
        <v>1</v>
      </c>
      <c r="N159">
        <v>0</v>
      </c>
      <c r="O159">
        <v>0</v>
      </c>
      <c r="P159">
        <v>13</v>
      </c>
      <c r="Q159">
        <v>5</v>
      </c>
      <c r="R159">
        <v>0</v>
      </c>
      <c r="S159">
        <v>63</v>
      </c>
      <c r="T159">
        <v>9.5</v>
      </c>
      <c r="U159">
        <v>111</v>
      </c>
      <c r="V159" s="2">
        <v>28.912500000000001</v>
      </c>
      <c r="W159" s="3">
        <v>0.64236111111111116</v>
      </c>
      <c r="X159">
        <v>249</v>
      </c>
      <c r="Y159">
        <v>218</v>
      </c>
      <c r="Z159">
        <v>53.3</v>
      </c>
      <c r="AA159">
        <v>33</v>
      </c>
      <c r="AB159">
        <v>28</v>
      </c>
      <c r="AC159">
        <v>11</v>
      </c>
      <c r="AD159">
        <v>41</v>
      </c>
      <c r="AF159" t="s">
        <v>639</v>
      </c>
    </row>
    <row r="160" spans="1:32" x14ac:dyDescent="0.3">
      <c r="A160">
        <v>157</v>
      </c>
      <c r="B160" t="s">
        <v>640</v>
      </c>
      <c r="C160">
        <v>23</v>
      </c>
      <c r="D160" t="s">
        <v>82</v>
      </c>
      <c r="E160" t="s">
        <v>95</v>
      </c>
      <c r="F160">
        <v>43</v>
      </c>
      <c r="G160">
        <v>11</v>
      </c>
      <c r="H160">
        <v>13</v>
      </c>
      <c r="I160">
        <v>24</v>
      </c>
      <c r="J160">
        <v>-19</v>
      </c>
      <c r="K160">
        <v>16</v>
      </c>
      <c r="L160">
        <v>6</v>
      </c>
      <c r="M160">
        <v>5</v>
      </c>
      <c r="N160">
        <v>0</v>
      </c>
      <c r="O160">
        <v>2</v>
      </c>
      <c r="P160">
        <v>10</v>
      </c>
      <c r="Q160">
        <v>3</v>
      </c>
      <c r="R160">
        <v>0</v>
      </c>
      <c r="S160">
        <v>104</v>
      </c>
      <c r="T160">
        <v>10.6</v>
      </c>
      <c r="U160">
        <v>211</v>
      </c>
      <c r="V160" s="2">
        <v>29.735416666666666</v>
      </c>
      <c r="W160" s="3">
        <v>0.69166666666666665</v>
      </c>
      <c r="X160">
        <v>41</v>
      </c>
      <c r="Y160">
        <v>66</v>
      </c>
      <c r="Z160">
        <v>38.299999999999997</v>
      </c>
      <c r="AA160">
        <v>14</v>
      </c>
      <c r="AB160">
        <v>9</v>
      </c>
      <c r="AC160">
        <v>10</v>
      </c>
      <c r="AD160">
        <v>29</v>
      </c>
      <c r="AF160" t="s">
        <v>641</v>
      </c>
    </row>
    <row r="161" spans="1:32" x14ac:dyDescent="0.3">
      <c r="A161">
        <v>158</v>
      </c>
      <c r="B161" t="s">
        <v>642</v>
      </c>
      <c r="C161">
        <v>33</v>
      </c>
      <c r="D161" t="s">
        <v>278</v>
      </c>
      <c r="E161" t="s">
        <v>78</v>
      </c>
      <c r="F161">
        <v>41</v>
      </c>
      <c r="G161">
        <v>5</v>
      </c>
      <c r="H161">
        <v>19</v>
      </c>
      <c r="I161">
        <v>24</v>
      </c>
      <c r="J161">
        <v>1</v>
      </c>
      <c r="K161">
        <v>18</v>
      </c>
      <c r="L161">
        <v>5</v>
      </c>
      <c r="M161">
        <v>0</v>
      </c>
      <c r="N161">
        <v>0</v>
      </c>
      <c r="O161">
        <v>1</v>
      </c>
      <c r="P161">
        <v>18</v>
      </c>
      <c r="Q161">
        <v>1</v>
      </c>
      <c r="R161">
        <v>0</v>
      </c>
      <c r="S161">
        <v>69</v>
      </c>
      <c r="T161">
        <v>7.2</v>
      </c>
      <c r="U161">
        <v>130</v>
      </c>
      <c r="V161" s="2">
        <v>29.862500000000001</v>
      </c>
      <c r="W161" s="3">
        <v>0.72847222222222219</v>
      </c>
      <c r="X161">
        <v>380</v>
      </c>
      <c r="Y161">
        <v>306</v>
      </c>
      <c r="Z161">
        <v>55.4</v>
      </c>
      <c r="AA161">
        <v>26</v>
      </c>
      <c r="AB161">
        <v>41</v>
      </c>
      <c r="AC161">
        <v>18</v>
      </c>
      <c r="AD161">
        <v>39</v>
      </c>
      <c r="AF161" t="s">
        <v>643</v>
      </c>
    </row>
    <row r="162" spans="1:32" x14ac:dyDescent="0.3">
      <c r="A162">
        <v>159</v>
      </c>
      <c r="B162" t="s">
        <v>198</v>
      </c>
      <c r="C162">
        <v>31</v>
      </c>
      <c r="D162" t="s">
        <v>164</v>
      </c>
      <c r="E162" t="s">
        <v>87</v>
      </c>
      <c r="F162">
        <v>40</v>
      </c>
      <c r="G162">
        <v>6</v>
      </c>
      <c r="H162">
        <v>18</v>
      </c>
      <c r="I162">
        <v>24</v>
      </c>
      <c r="J162">
        <v>-2</v>
      </c>
      <c r="K162">
        <v>16</v>
      </c>
      <c r="L162">
        <v>1</v>
      </c>
      <c r="M162">
        <v>5</v>
      </c>
      <c r="N162">
        <v>0</v>
      </c>
      <c r="O162">
        <v>0</v>
      </c>
      <c r="P162">
        <v>10</v>
      </c>
      <c r="Q162">
        <v>8</v>
      </c>
      <c r="R162">
        <v>0</v>
      </c>
      <c r="S162">
        <v>78</v>
      </c>
      <c r="T162">
        <v>7.7</v>
      </c>
      <c r="U162">
        <v>194</v>
      </c>
      <c r="V162" s="2">
        <v>39.15</v>
      </c>
      <c r="W162" s="3">
        <v>0.97847222222222219</v>
      </c>
      <c r="X162">
        <v>0</v>
      </c>
      <c r="Y162">
        <v>0</v>
      </c>
      <c r="AA162">
        <v>47</v>
      </c>
      <c r="AB162">
        <v>38</v>
      </c>
      <c r="AC162">
        <v>10</v>
      </c>
      <c r="AD162">
        <v>52</v>
      </c>
      <c r="AF162" t="s">
        <v>644</v>
      </c>
    </row>
    <row r="163" spans="1:32" x14ac:dyDescent="0.3">
      <c r="A163">
        <v>160</v>
      </c>
      <c r="B163" t="s">
        <v>645</v>
      </c>
      <c r="C163">
        <v>34</v>
      </c>
      <c r="D163" t="s">
        <v>113</v>
      </c>
      <c r="E163" t="s">
        <v>101</v>
      </c>
      <c r="F163">
        <v>40</v>
      </c>
      <c r="G163">
        <v>14</v>
      </c>
      <c r="H163">
        <v>10</v>
      </c>
      <c r="I163">
        <v>24</v>
      </c>
      <c r="J163">
        <v>-6</v>
      </c>
      <c r="K163">
        <v>20</v>
      </c>
      <c r="L163">
        <v>8</v>
      </c>
      <c r="M163">
        <v>6</v>
      </c>
      <c r="N163">
        <v>0</v>
      </c>
      <c r="O163">
        <v>1</v>
      </c>
      <c r="P163">
        <v>7</v>
      </c>
      <c r="Q163">
        <v>3</v>
      </c>
      <c r="R163">
        <v>0</v>
      </c>
      <c r="S163">
        <v>78</v>
      </c>
      <c r="T163">
        <v>17.899999999999999</v>
      </c>
      <c r="U163">
        <v>158</v>
      </c>
      <c r="V163" s="2">
        <v>28.65625</v>
      </c>
      <c r="W163" s="3">
        <v>0.71666666666666667</v>
      </c>
      <c r="X163">
        <v>12</v>
      </c>
      <c r="Y163">
        <v>20</v>
      </c>
      <c r="Z163">
        <v>37.5</v>
      </c>
      <c r="AA163">
        <v>16</v>
      </c>
      <c r="AB163">
        <v>39</v>
      </c>
      <c r="AC163">
        <v>6</v>
      </c>
      <c r="AD163">
        <v>35</v>
      </c>
      <c r="AF163" t="s">
        <v>646</v>
      </c>
    </row>
    <row r="164" spans="1:32" x14ac:dyDescent="0.3">
      <c r="A164">
        <v>161</v>
      </c>
      <c r="B164" t="s">
        <v>647</v>
      </c>
      <c r="C164">
        <v>24</v>
      </c>
      <c r="D164" t="s">
        <v>256</v>
      </c>
      <c r="E164" t="s">
        <v>101</v>
      </c>
      <c r="F164">
        <v>45</v>
      </c>
      <c r="G164">
        <v>9</v>
      </c>
      <c r="H164">
        <v>15</v>
      </c>
      <c r="I164">
        <v>24</v>
      </c>
      <c r="J164">
        <v>-10</v>
      </c>
      <c r="K164">
        <v>10</v>
      </c>
      <c r="L164">
        <v>7</v>
      </c>
      <c r="M164">
        <v>2</v>
      </c>
      <c r="N164">
        <v>0</v>
      </c>
      <c r="O164">
        <v>2</v>
      </c>
      <c r="P164">
        <v>13</v>
      </c>
      <c r="Q164">
        <v>2</v>
      </c>
      <c r="R164">
        <v>0</v>
      </c>
      <c r="S164">
        <v>87</v>
      </c>
      <c r="T164">
        <v>10.3</v>
      </c>
      <c r="U164">
        <v>179</v>
      </c>
      <c r="V164" s="2">
        <v>32.636805555555554</v>
      </c>
      <c r="W164" s="3">
        <v>0.72499999999999998</v>
      </c>
      <c r="X164">
        <v>5</v>
      </c>
      <c r="Y164">
        <v>21</v>
      </c>
      <c r="Z164">
        <v>19.2</v>
      </c>
      <c r="AA164">
        <v>30</v>
      </c>
      <c r="AB164">
        <v>62</v>
      </c>
      <c r="AC164">
        <v>14</v>
      </c>
      <c r="AD164">
        <v>27</v>
      </c>
      <c r="AF164" t="s">
        <v>648</v>
      </c>
    </row>
    <row r="165" spans="1:32" x14ac:dyDescent="0.3">
      <c r="A165">
        <v>162</v>
      </c>
      <c r="B165" t="s">
        <v>649</v>
      </c>
      <c r="C165">
        <v>24</v>
      </c>
      <c r="D165" t="s">
        <v>139</v>
      </c>
      <c r="E165" t="s">
        <v>87</v>
      </c>
      <c r="F165">
        <v>42</v>
      </c>
      <c r="G165">
        <v>9</v>
      </c>
      <c r="H165">
        <v>14</v>
      </c>
      <c r="I165">
        <v>23</v>
      </c>
      <c r="J165">
        <v>3</v>
      </c>
      <c r="K165">
        <v>14</v>
      </c>
      <c r="L165">
        <v>8</v>
      </c>
      <c r="M165">
        <v>1</v>
      </c>
      <c r="N165">
        <v>0</v>
      </c>
      <c r="O165">
        <v>4</v>
      </c>
      <c r="P165">
        <v>12</v>
      </c>
      <c r="Q165">
        <v>2</v>
      </c>
      <c r="R165">
        <v>0</v>
      </c>
      <c r="S165">
        <v>56</v>
      </c>
      <c r="T165">
        <v>16.100000000000001</v>
      </c>
      <c r="U165">
        <v>123</v>
      </c>
      <c r="V165" s="2">
        <v>38.50416666666667</v>
      </c>
      <c r="W165" s="3">
        <v>0.91666666666666663</v>
      </c>
      <c r="X165">
        <v>0</v>
      </c>
      <c r="Y165">
        <v>0</v>
      </c>
      <c r="AA165">
        <v>53</v>
      </c>
      <c r="AB165">
        <v>27</v>
      </c>
      <c r="AC165">
        <v>10</v>
      </c>
      <c r="AD165">
        <v>51</v>
      </c>
      <c r="AF165" t="s">
        <v>650</v>
      </c>
    </row>
    <row r="166" spans="1:32" x14ac:dyDescent="0.3">
      <c r="A166">
        <v>163</v>
      </c>
      <c r="B166" t="s">
        <v>651</v>
      </c>
      <c r="C166">
        <v>21</v>
      </c>
      <c r="D166" t="s">
        <v>210</v>
      </c>
      <c r="E166" t="s">
        <v>78</v>
      </c>
      <c r="F166">
        <v>29</v>
      </c>
      <c r="G166">
        <v>14</v>
      </c>
      <c r="H166">
        <v>9</v>
      </c>
      <c r="I166">
        <v>23</v>
      </c>
      <c r="J166">
        <v>6</v>
      </c>
      <c r="K166">
        <v>22</v>
      </c>
      <c r="L166">
        <v>10</v>
      </c>
      <c r="M166">
        <v>3</v>
      </c>
      <c r="N166">
        <v>1</v>
      </c>
      <c r="O166">
        <v>1</v>
      </c>
      <c r="P166">
        <v>8</v>
      </c>
      <c r="Q166">
        <v>1</v>
      </c>
      <c r="R166">
        <v>0</v>
      </c>
      <c r="S166">
        <v>59</v>
      </c>
      <c r="T166">
        <v>23.7</v>
      </c>
      <c r="U166">
        <v>101</v>
      </c>
      <c r="V166" s="2">
        <v>21.531944444444445</v>
      </c>
      <c r="W166" s="3">
        <v>0.74236111111111114</v>
      </c>
      <c r="X166">
        <v>133</v>
      </c>
      <c r="Y166">
        <v>189</v>
      </c>
      <c r="Z166">
        <v>41.3</v>
      </c>
      <c r="AA166">
        <v>13</v>
      </c>
      <c r="AB166">
        <v>34</v>
      </c>
      <c r="AC166">
        <v>11</v>
      </c>
      <c r="AD166">
        <v>37</v>
      </c>
      <c r="AF166" t="s">
        <v>652</v>
      </c>
    </row>
    <row r="167" spans="1:32" x14ac:dyDescent="0.3">
      <c r="A167">
        <v>164</v>
      </c>
      <c r="B167" t="s">
        <v>653</v>
      </c>
      <c r="C167">
        <v>23</v>
      </c>
      <c r="D167" t="s">
        <v>256</v>
      </c>
      <c r="E167" t="s">
        <v>101</v>
      </c>
      <c r="F167">
        <v>45</v>
      </c>
      <c r="G167">
        <v>10</v>
      </c>
      <c r="H167">
        <v>13</v>
      </c>
      <c r="I167">
        <v>23</v>
      </c>
      <c r="J167">
        <v>-13</v>
      </c>
      <c r="K167">
        <v>24</v>
      </c>
      <c r="L167">
        <v>6</v>
      </c>
      <c r="M167">
        <v>4</v>
      </c>
      <c r="N167">
        <v>0</v>
      </c>
      <c r="O167">
        <v>1</v>
      </c>
      <c r="P167">
        <v>9</v>
      </c>
      <c r="Q167">
        <v>4</v>
      </c>
      <c r="R167">
        <v>0</v>
      </c>
      <c r="S167">
        <v>90</v>
      </c>
      <c r="T167">
        <v>11.1</v>
      </c>
      <c r="U167">
        <v>186</v>
      </c>
      <c r="V167" s="2">
        <v>32.802777777777777</v>
      </c>
      <c r="W167" s="3">
        <v>0.72916666666666663</v>
      </c>
      <c r="X167">
        <v>26</v>
      </c>
      <c r="Y167">
        <v>24</v>
      </c>
      <c r="Z167">
        <v>52</v>
      </c>
      <c r="AA167">
        <v>52</v>
      </c>
      <c r="AB167">
        <v>155</v>
      </c>
      <c r="AC167">
        <v>7</v>
      </c>
      <c r="AD167">
        <v>26</v>
      </c>
      <c r="AF167" t="s">
        <v>654</v>
      </c>
    </row>
    <row r="168" spans="1:32" x14ac:dyDescent="0.3">
      <c r="A168">
        <v>165</v>
      </c>
      <c r="B168" t="s">
        <v>178</v>
      </c>
      <c r="C168">
        <v>34</v>
      </c>
      <c r="D168" t="s">
        <v>157</v>
      </c>
      <c r="E168" t="s">
        <v>101</v>
      </c>
      <c r="F168">
        <v>43</v>
      </c>
      <c r="G168">
        <v>7</v>
      </c>
      <c r="H168">
        <v>16</v>
      </c>
      <c r="I168">
        <v>23</v>
      </c>
      <c r="J168">
        <v>-9</v>
      </c>
      <c r="K168">
        <v>26</v>
      </c>
      <c r="L168">
        <v>5</v>
      </c>
      <c r="M168">
        <v>2</v>
      </c>
      <c r="N168">
        <v>0</v>
      </c>
      <c r="O168">
        <v>0</v>
      </c>
      <c r="P168">
        <v>8</v>
      </c>
      <c r="Q168">
        <v>7</v>
      </c>
      <c r="R168">
        <v>1</v>
      </c>
      <c r="S168">
        <v>70</v>
      </c>
      <c r="T168">
        <v>10</v>
      </c>
      <c r="U168">
        <v>140</v>
      </c>
      <c r="V168" s="2">
        <v>29.829166666666666</v>
      </c>
      <c r="W168" s="3">
        <v>0.69374999999999998</v>
      </c>
      <c r="X168">
        <v>263</v>
      </c>
      <c r="Y168">
        <v>246</v>
      </c>
      <c r="Z168">
        <v>51.7</v>
      </c>
      <c r="AA168">
        <v>26</v>
      </c>
      <c r="AB168">
        <v>54</v>
      </c>
      <c r="AC168">
        <v>12</v>
      </c>
      <c r="AD168">
        <v>28</v>
      </c>
      <c r="AF168" t="s">
        <v>655</v>
      </c>
    </row>
    <row r="169" spans="1:32" x14ac:dyDescent="0.3">
      <c r="A169">
        <v>166</v>
      </c>
      <c r="B169" t="s">
        <v>656</v>
      </c>
      <c r="C169">
        <v>33</v>
      </c>
      <c r="D169" t="s">
        <v>250</v>
      </c>
      <c r="E169" t="s">
        <v>101</v>
      </c>
      <c r="F169">
        <v>25</v>
      </c>
      <c r="G169">
        <v>13</v>
      </c>
      <c r="H169">
        <v>10</v>
      </c>
      <c r="I169">
        <v>23</v>
      </c>
      <c r="J169">
        <v>4</v>
      </c>
      <c r="K169">
        <v>12</v>
      </c>
      <c r="L169">
        <v>9</v>
      </c>
      <c r="M169">
        <v>4</v>
      </c>
      <c r="N169">
        <v>0</v>
      </c>
      <c r="O169">
        <v>1</v>
      </c>
      <c r="P169">
        <v>6</v>
      </c>
      <c r="Q169">
        <v>4</v>
      </c>
      <c r="R169">
        <v>0</v>
      </c>
      <c r="S169">
        <v>73</v>
      </c>
      <c r="T169">
        <v>17.8</v>
      </c>
      <c r="U169">
        <v>128</v>
      </c>
      <c r="V169" s="2">
        <v>20.827777777777779</v>
      </c>
      <c r="W169">
        <v>0.83333333333333337</v>
      </c>
      <c r="X169">
        <v>0</v>
      </c>
      <c r="Y169">
        <v>1</v>
      </c>
      <c r="Z169">
        <v>0</v>
      </c>
      <c r="AA169">
        <v>5</v>
      </c>
      <c r="AB169">
        <v>32</v>
      </c>
      <c r="AC169">
        <v>4</v>
      </c>
      <c r="AD169">
        <v>12</v>
      </c>
      <c r="AF169" t="s">
        <v>657</v>
      </c>
    </row>
    <row r="170" spans="1:32" x14ac:dyDescent="0.3">
      <c r="A170">
        <v>167</v>
      </c>
      <c r="B170" t="s">
        <v>658</v>
      </c>
      <c r="C170">
        <v>27</v>
      </c>
      <c r="D170" t="s">
        <v>216</v>
      </c>
      <c r="E170" t="s">
        <v>87</v>
      </c>
      <c r="F170">
        <v>43</v>
      </c>
      <c r="G170">
        <v>3</v>
      </c>
      <c r="H170">
        <v>20</v>
      </c>
      <c r="I170">
        <v>23</v>
      </c>
      <c r="J170">
        <v>24</v>
      </c>
      <c r="K170">
        <v>12</v>
      </c>
      <c r="L170">
        <v>3</v>
      </c>
      <c r="M170">
        <v>0</v>
      </c>
      <c r="N170">
        <v>0</v>
      </c>
      <c r="O170">
        <v>1</v>
      </c>
      <c r="P170">
        <v>19</v>
      </c>
      <c r="Q170">
        <v>1</v>
      </c>
      <c r="R170">
        <v>0</v>
      </c>
      <c r="S170">
        <v>71</v>
      </c>
      <c r="T170">
        <v>4.2</v>
      </c>
      <c r="U170">
        <v>186</v>
      </c>
      <c r="V170" s="2">
        <v>28.675694444444446</v>
      </c>
      <c r="W170" s="3">
        <v>0.66666666666666663</v>
      </c>
      <c r="X170">
        <v>0</v>
      </c>
      <c r="Y170">
        <v>0</v>
      </c>
      <c r="AA170">
        <v>44</v>
      </c>
      <c r="AB170">
        <v>23</v>
      </c>
      <c r="AC170">
        <v>12</v>
      </c>
      <c r="AD170">
        <v>34</v>
      </c>
      <c r="AF170" t="s">
        <v>659</v>
      </c>
    </row>
    <row r="171" spans="1:32" x14ac:dyDescent="0.3">
      <c r="A171">
        <v>168</v>
      </c>
      <c r="B171" t="s">
        <v>248</v>
      </c>
      <c r="C171">
        <v>28</v>
      </c>
      <c r="D171" t="s">
        <v>195</v>
      </c>
      <c r="E171" t="s">
        <v>87</v>
      </c>
      <c r="F171">
        <v>32</v>
      </c>
      <c r="G171">
        <v>1</v>
      </c>
      <c r="H171">
        <v>22</v>
      </c>
      <c r="I171">
        <v>23</v>
      </c>
      <c r="J171">
        <v>-5</v>
      </c>
      <c r="K171">
        <v>34</v>
      </c>
      <c r="L171">
        <v>1</v>
      </c>
      <c r="M171">
        <v>0</v>
      </c>
      <c r="N171">
        <v>0</v>
      </c>
      <c r="O171">
        <v>0</v>
      </c>
      <c r="P171">
        <v>11</v>
      </c>
      <c r="Q171">
        <v>11</v>
      </c>
      <c r="R171">
        <v>0</v>
      </c>
      <c r="S171">
        <v>49</v>
      </c>
      <c r="T171">
        <v>2</v>
      </c>
      <c r="U171">
        <v>136</v>
      </c>
      <c r="V171" s="2">
        <v>32.049999999999997</v>
      </c>
      <c r="W171" s="2">
        <v>1.0013888888888889</v>
      </c>
      <c r="X171">
        <v>0</v>
      </c>
      <c r="Y171">
        <v>0</v>
      </c>
      <c r="AA171">
        <v>63</v>
      </c>
      <c r="AB171">
        <v>41</v>
      </c>
      <c r="AC171">
        <v>17</v>
      </c>
      <c r="AD171">
        <v>35</v>
      </c>
      <c r="AF171" t="s">
        <v>660</v>
      </c>
    </row>
    <row r="172" spans="1:32" x14ac:dyDescent="0.3">
      <c r="A172">
        <v>169</v>
      </c>
      <c r="B172" t="s">
        <v>661</v>
      </c>
      <c r="C172">
        <v>29</v>
      </c>
      <c r="D172" t="s">
        <v>150</v>
      </c>
      <c r="E172" t="s">
        <v>380</v>
      </c>
      <c r="F172">
        <v>42</v>
      </c>
      <c r="G172">
        <v>13</v>
      </c>
      <c r="H172">
        <v>10</v>
      </c>
      <c r="I172">
        <v>23</v>
      </c>
      <c r="J172">
        <v>4</v>
      </c>
      <c r="K172">
        <v>38</v>
      </c>
      <c r="L172">
        <v>11</v>
      </c>
      <c r="M172">
        <v>2</v>
      </c>
      <c r="N172">
        <v>0</v>
      </c>
      <c r="O172">
        <v>3</v>
      </c>
      <c r="P172">
        <v>9</v>
      </c>
      <c r="Q172">
        <v>1</v>
      </c>
      <c r="R172">
        <v>0</v>
      </c>
      <c r="S172">
        <v>82</v>
      </c>
      <c r="T172">
        <v>15.9</v>
      </c>
      <c r="U172">
        <v>153</v>
      </c>
      <c r="V172" s="2">
        <v>26.074999999999999</v>
      </c>
      <c r="W172" s="3">
        <v>0.62083333333333335</v>
      </c>
      <c r="X172">
        <v>5</v>
      </c>
      <c r="Y172">
        <v>3</v>
      </c>
      <c r="Z172">
        <v>62.5</v>
      </c>
      <c r="AA172">
        <v>18</v>
      </c>
      <c r="AB172">
        <v>89</v>
      </c>
      <c r="AC172">
        <v>9</v>
      </c>
      <c r="AD172">
        <v>15</v>
      </c>
      <c r="AF172" t="s">
        <v>662</v>
      </c>
    </row>
    <row r="173" spans="1:32" x14ac:dyDescent="0.3">
      <c r="A173">
        <v>170</v>
      </c>
      <c r="B173" t="s">
        <v>663</v>
      </c>
      <c r="C173">
        <v>21</v>
      </c>
      <c r="D173" t="s">
        <v>278</v>
      </c>
      <c r="E173" t="s">
        <v>95</v>
      </c>
      <c r="F173">
        <v>41</v>
      </c>
      <c r="G173">
        <v>9</v>
      </c>
      <c r="H173">
        <v>14</v>
      </c>
      <c r="I173">
        <v>23</v>
      </c>
      <c r="J173">
        <v>-1</v>
      </c>
      <c r="K173">
        <v>38</v>
      </c>
      <c r="L173">
        <v>8</v>
      </c>
      <c r="M173">
        <v>1</v>
      </c>
      <c r="N173">
        <v>0</v>
      </c>
      <c r="O173">
        <v>0</v>
      </c>
      <c r="P173">
        <v>10</v>
      </c>
      <c r="Q173">
        <v>4</v>
      </c>
      <c r="R173">
        <v>0</v>
      </c>
      <c r="S173">
        <v>80</v>
      </c>
      <c r="T173">
        <v>11.3</v>
      </c>
      <c r="U173">
        <v>157</v>
      </c>
      <c r="V173" s="2">
        <v>24.865277777777777</v>
      </c>
      <c r="W173" s="3">
        <v>0.60624999999999996</v>
      </c>
      <c r="X173">
        <v>0</v>
      </c>
      <c r="Y173">
        <v>5</v>
      </c>
      <c r="Z173">
        <v>0</v>
      </c>
      <c r="AA173">
        <v>11</v>
      </c>
      <c r="AB173">
        <v>17</v>
      </c>
      <c r="AC173">
        <v>11</v>
      </c>
      <c r="AD173">
        <v>43</v>
      </c>
      <c r="AF173" t="s">
        <v>664</v>
      </c>
    </row>
    <row r="174" spans="1:32" x14ac:dyDescent="0.3">
      <c r="A174">
        <v>171</v>
      </c>
      <c r="B174" t="s">
        <v>257</v>
      </c>
      <c r="C174">
        <v>32</v>
      </c>
      <c r="D174" t="s">
        <v>256</v>
      </c>
      <c r="E174" t="s">
        <v>78</v>
      </c>
      <c r="F174">
        <v>36</v>
      </c>
      <c r="G174">
        <v>10</v>
      </c>
      <c r="H174">
        <v>13</v>
      </c>
      <c r="I174">
        <v>23</v>
      </c>
      <c r="J174">
        <v>-12</v>
      </c>
      <c r="K174">
        <v>10</v>
      </c>
      <c r="L174">
        <v>7</v>
      </c>
      <c r="M174">
        <v>3</v>
      </c>
      <c r="N174">
        <v>0</v>
      </c>
      <c r="O174">
        <v>3</v>
      </c>
      <c r="P174">
        <v>11</v>
      </c>
      <c r="Q174">
        <v>2</v>
      </c>
      <c r="R174">
        <v>0</v>
      </c>
      <c r="S174">
        <v>80</v>
      </c>
      <c r="T174">
        <v>12.5</v>
      </c>
      <c r="U174">
        <v>157</v>
      </c>
      <c r="V174" s="2">
        <v>31.132638888888888</v>
      </c>
      <c r="W174" s="3">
        <v>0.86458333333333337</v>
      </c>
      <c r="X174">
        <v>304</v>
      </c>
      <c r="Y174">
        <v>202</v>
      </c>
      <c r="Z174">
        <v>60.1</v>
      </c>
      <c r="AA174">
        <v>12</v>
      </c>
      <c r="AB174">
        <v>76</v>
      </c>
      <c r="AC174">
        <v>5</v>
      </c>
      <c r="AD174">
        <v>35</v>
      </c>
      <c r="AF174" t="s">
        <v>665</v>
      </c>
    </row>
    <row r="175" spans="1:32" x14ac:dyDescent="0.3">
      <c r="A175">
        <v>172</v>
      </c>
      <c r="B175" t="s">
        <v>666</v>
      </c>
      <c r="C175">
        <v>30</v>
      </c>
      <c r="D175" t="s">
        <v>193</v>
      </c>
      <c r="E175" t="s">
        <v>95</v>
      </c>
      <c r="F175">
        <v>43</v>
      </c>
      <c r="G175">
        <v>17</v>
      </c>
      <c r="H175">
        <v>6</v>
      </c>
      <c r="I175">
        <v>23</v>
      </c>
      <c r="J175">
        <v>-10</v>
      </c>
      <c r="K175">
        <v>20</v>
      </c>
      <c r="L175">
        <v>10</v>
      </c>
      <c r="M175">
        <v>6</v>
      </c>
      <c r="N175">
        <v>1</v>
      </c>
      <c r="O175">
        <v>2</v>
      </c>
      <c r="P175">
        <v>2</v>
      </c>
      <c r="Q175">
        <v>4</v>
      </c>
      <c r="R175">
        <v>0</v>
      </c>
      <c r="S175">
        <v>107</v>
      </c>
      <c r="T175">
        <v>15.9</v>
      </c>
      <c r="U175">
        <v>227</v>
      </c>
      <c r="V175" s="2">
        <v>31.366666666666667</v>
      </c>
      <c r="W175" s="3">
        <v>0.72916666666666663</v>
      </c>
      <c r="X175">
        <v>12</v>
      </c>
      <c r="Y175">
        <v>19</v>
      </c>
      <c r="Z175">
        <v>38.700000000000003</v>
      </c>
      <c r="AA175">
        <v>20</v>
      </c>
      <c r="AB175">
        <v>206</v>
      </c>
      <c r="AC175">
        <v>18</v>
      </c>
      <c r="AD175">
        <v>47</v>
      </c>
      <c r="AF175" t="s">
        <v>667</v>
      </c>
    </row>
    <row r="176" spans="1:32" x14ac:dyDescent="0.3">
      <c r="A176">
        <v>173</v>
      </c>
      <c r="B176" t="s">
        <v>668</v>
      </c>
      <c r="C176">
        <v>28</v>
      </c>
      <c r="D176" t="s">
        <v>210</v>
      </c>
      <c r="E176" t="s">
        <v>101</v>
      </c>
      <c r="F176">
        <v>45</v>
      </c>
      <c r="G176">
        <v>11</v>
      </c>
      <c r="H176">
        <v>11</v>
      </c>
      <c r="I176">
        <v>22</v>
      </c>
      <c r="J176">
        <v>11</v>
      </c>
      <c r="K176">
        <v>14</v>
      </c>
      <c r="L176">
        <v>10</v>
      </c>
      <c r="M176">
        <v>0</v>
      </c>
      <c r="N176">
        <v>1</v>
      </c>
      <c r="O176">
        <v>2</v>
      </c>
      <c r="P176">
        <v>11</v>
      </c>
      <c r="Q176">
        <v>0</v>
      </c>
      <c r="R176">
        <v>0</v>
      </c>
      <c r="S176">
        <v>72</v>
      </c>
      <c r="T176">
        <v>15.3</v>
      </c>
      <c r="U176">
        <v>156</v>
      </c>
      <c r="V176" s="2">
        <v>29.898611111111112</v>
      </c>
      <c r="W176" s="3">
        <v>0.6645833333333333</v>
      </c>
      <c r="X176">
        <v>21</v>
      </c>
      <c r="Y176">
        <v>33</v>
      </c>
      <c r="Z176">
        <v>38.9</v>
      </c>
      <c r="AA176">
        <v>33</v>
      </c>
      <c r="AB176">
        <v>121</v>
      </c>
      <c r="AC176">
        <v>7</v>
      </c>
      <c r="AD176">
        <v>26</v>
      </c>
      <c r="AF176" t="s">
        <v>669</v>
      </c>
    </row>
    <row r="177" spans="1:32" x14ac:dyDescent="0.3">
      <c r="A177">
        <v>174</v>
      </c>
      <c r="B177" t="s">
        <v>670</v>
      </c>
      <c r="C177">
        <v>29</v>
      </c>
      <c r="D177" t="s">
        <v>193</v>
      </c>
      <c r="E177" t="s">
        <v>101</v>
      </c>
      <c r="F177">
        <v>42</v>
      </c>
      <c r="G177">
        <v>12</v>
      </c>
      <c r="H177">
        <v>10</v>
      </c>
      <c r="I177">
        <v>22</v>
      </c>
      <c r="J177">
        <v>-13</v>
      </c>
      <c r="K177">
        <v>4</v>
      </c>
      <c r="L177">
        <v>1</v>
      </c>
      <c r="M177">
        <v>11</v>
      </c>
      <c r="N177">
        <v>0</v>
      </c>
      <c r="O177">
        <v>0</v>
      </c>
      <c r="P177">
        <v>8</v>
      </c>
      <c r="Q177">
        <v>2</v>
      </c>
      <c r="R177">
        <v>0</v>
      </c>
      <c r="S177">
        <v>123</v>
      </c>
      <c r="T177">
        <v>9.8000000000000007</v>
      </c>
      <c r="U177">
        <v>209</v>
      </c>
      <c r="V177" s="2">
        <v>30.971527777777776</v>
      </c>
      <c r="W177" s="3">
        <v>0.73750000000000004</v>
      </c>
      <c r="X177">
        <v>11</v>
      </c>
      <c r="Y177">
        <v>15</v>
      </c>
      <c r="Z177">
        <v>42.3</v>
      </c>
      <c r="AA177">
        <v>16</v>
      </c>
      <c r="AB177">
        <v>39</v>
      </c>
      <c r="AC177">
        <v>4</v>
      </c>
      <c r="AD177">
        <v>24</v>
      </c>
      <c r="AF177" t="s">
        <v>671</v>
      </c>
    </row>
    <row r="178" spans="1:32" x14ac:dyDescent="0.3">
      <c r="A178">
        <v>175</v>
      </c>
      <c r="B178" t="s">
        <v>672</v>
      </c>
      <c r="C178">
        <v>29</v>
      </c>
      <c r="D178" t="s">
        <v>193</v>
      </c>
      <c r="E178" t="s">
        <v>95</v>
      </c>
      <c r="F178">
        <v>33</v>
      </c>
      <c r="G178">
        <v>7</v>
      </c>
      <c r="H178">
        <v>15</v>
      </c>
      <c r="I178">
        <v>22</v>
      </c>
      <c r="J178">
        <v>-10</v>
      </c>
      <c r="K178">
        <v>18</v>
      </c>
      <c r="L178">
        <v>5</v>
      </c>
      <c r="M178">
        <v>1</v>
      </c>
      <c r="N178">
        <v>1</v>
      </c>
      <c r="O178">
        <v>1</v>
      </c>
      <c r="P178">
        <v>7</v>
      </c>
      <c r="Q178">
        <v>8</v>
      </c>
      <c r="R178">
        <v>0</v>
      </c>
      <c r="S178">
        <v>78</v>
      </c>
      <c r="T178">
        <v>9</v>
      </c>
      <c r="U178">
        <v>147</v>
      </c>
      <c r="V178" s="2">
        <v>27.254166666666666</v>
      </c>
      <c r="W178" s="3">
        <v>0.8256944444444444</v>
      </c>
      <c r="X178">
        <v>6</v>
      </c>
      <c r="Y178">
        <v>15</v>
      </c>
      <c r="Z178">
        <v>28.6</v>
      </c>
      <c r="AA178">
        <v>17</v>
      </c>
      <c r="AB178">
        <v>24</v>
      </c>
      <c r="AC178">
        <v>13</v>
      </c>
      <c r="AD178">
        <v>42</v>
      </c>
      <c r="AF178" t="s">
        <v>673</v>
      </c>
    </row>
    <row r="179" spans="1:32" x14ac:dyDescent="0.3">
      <c r="A179">
        <v>176</v>
      </c>
      <c r="B179" t="s">
        <v>674</v>
      </c>
      <c r="C179">
        <v>23</v>
      </c>
      <c r="D179" t="s">
        <v>116</v>
      </c>
      <c r="E179" t="s">
        <v>380</v>
      </c>
      <c r="F179">
        <v>42</v>
      </c>
      <c r="G179">
        <v>11</v>
      </c>
      <c r="H179">
        <v>11</v>
      </c>
      <c r="I179">
        <v>22</v>
      </c>
      <c r="J179">
        <v>4</v>
      </c>
      <c r="K179">
        <v>2</v>
      </c>
      <c r="L179">
        <v>10</v>
      </c>
      <c r="M179">
        <v>0</v>
      </c>
      <c r="N179">
        <v>1</v>
      </c>
      <c r="O179">
        <v>1</v>
      </c>
      <c r="P179">
        <v>10</v>
      </c>
      <c r="Q179">
        <v>0</v>
      </c>
      <c r="R179">
        <v>1</v>
      </c>
      <c r="S179">
        <v>46</v>
      </c>
      <c r="T179">
        <v>23.9</v>
      </c>
      <c r="U179">
        <v>97</v>
      </c>
      <c r="V179" s="2">
        <v>28.584722222222222</v>
      </c>
      <c r="W179" s="3">
        <v>0.68055555555555558</v>
      </c>
      <c r="X179">
        <v>3</v>
      </c>
      <c r="Y179">
        <v>9</v>
      </c>
      <c r="Z179">
        <v>25</v>
      </c>
      <c r="AA179">
        <v>32</v>
      </c>
      <c r="AB179">
        <v>39</v>
      </c>
      <c r="AC179">
        <v>15</v>
      </c>
      <c r="AD179">
        <v>22</v>
      </c>
      <c r="AF179" t="s">
        <v>675</v>
      </c>
    </row>
    <row r="180" spans="1:32" x14ac:dyDescent="0.3">
      <c r="A180">
        <v>177</v>
      </c>
      <c r="B180" t="s">
        <v>676</v>
      </c>
      <c r="C180">
        <v>34</v>
      </c>
      <c r="D180" t="s">
        <v>72</v>
      </c>
      <c r="E180" t="s">
        <v>101</v>
      </c>
      <c r="F180">
        <v>44</v>
      </c>
      <c r="G180">
        <v>9</v>
      </c>
      <c r="H180">
        <v>13</v>
      </c>
      <c r="I180">
        <v>22</v>
      </c>
      <c r="J180">
        <v>7</v>
      </c>
      <c r="K180">
        <v>14</v>
      </c>
      <c r="L180">
        <v>7</v>
      </c>
      <c r="M180">
        <v>2</v>
      </c>
      <c r="N180">
        <v>0</v>
      </c>
      <c r="O180">
        <v>1</v>
      </c>
      <c r="P180">
        <v>12</v>
      </c>
      <c r="Q180">
        <v>1</v>
      </c>
      <c r="R180">
        <v>0</v>
      </c>
      <c r="S180">
        <v>73</v>
      </c>
      <c r="T180">
        <v>12.3</v>
      </c>
      <c r="U180">
        <v>146</v>
      </c>
      <c r="V180" s="2">
        <v>26.002083333333335</v>
      </c>
      <c r="W180" s="3">
        <v>0.59097222222222223</v>
      </c>
      <c r="X180">
        <v>15</v>
      </c>
      <c r="Y180">
        <v>22</v>
      </c>
      <c r="Z180">
        <v>40.5</v>
      </c>
      <c r="AA180">
        <v>19</v>
      </c>
      <c r="AB180">
        <v>26</v>
      </c>
      <c r="AC180">
        <v>12</v>
      </c>
      <c r="AD180">
        <v>36</v>
      </c>
      <c r="AF180" t="s">
        <v>677</v>
      </c>
    </row>
    <row r="181" spans="1:32" x14ac:dyDescent="0.3">
      <c r="A181">
        <v>178</v>
      </c>
      <c r="B181" t="s">
        <v>678</v>
      </c>
      <c r="C181">
        <v>22</v>
      </c>
      <c r="D181" t="s">
        <v>97</v>
      </c>
      <c r="E181" t="s">
        <v>87</v>
      </c>
      <c r="F181">
        <v>44</v>
      </c>
      <c r="G181">
        <v>5</v>
      </c>
      <c r="H181">
        <v>17</v>
      </c>
      <c r="I181">
        <v>22</v>
      </c>
      <c r="J181">
        <v>-8</v>
      </c>
      <c r="K181">
        <v>24</v>
      </c>
      <c r="L181">
        <v>4</v>
      </c>
      <c r="M181">
        <v>1</v>
      </c>
      <c r="N181">
        <v>0</v>
      </c>
      <c r="O181">
        <v>1</v>
      </c>
      <c r="P181">
        <v>11</v>
      </c>
      <c r="Q181">
        <v>6</v>
      </c>
      <c r="R181">
        <v>0</v>
      </c>
      <c r="S181">
        <v>96</v>
      </c>
      <c r="T181">
        <v>5.2</v>
      </c>
      <c r="U181">
        <v>264</v>
      </c>
      <c r="V181" s="2">
        <v>42.833333333333336</v>
      </c>
      <c r="W181" s="3">
        <v>0.97361111111111109</v>
      </c>
      <c r="X181">
        <v>0</v>
      </c>
      <c r="Y181">
        <v>0</v>
      </c>
      <c r="AA181">
        <v>39</v>
      </c>
      <c r="AB181">
        <v>13</v>
      </c>
      <c r="AC181">
        <v>16</v>
      </c>
      <c r="AD181">
        <v>72</v>
      </c>
      <c r="AF181" t="s">
        <v>679</v>
      </c>
    </row>
    <row r="182" spans="1:32" x14ac:dyDescent="0.3">
      <c r="A182">
        <v>179</v>
      </c>
      <c r="B182" t="s">
        <v>220</v>
      </c>
      <c r="C182">
        <v>33</v>
      </c>
      <c r="D182" t="s">
        <v>216</v>
      </c>
      <c r="E182" t="s">
        <v>101</v>
      </c>
      <c r="F182">
        <v>41</v>
      </c>
      <c r="G182">
        <v>7</v>
      </c>
      <c r="H182">
        <v>15</v>
      </c>
      <c r="I182">
        <v>22</v>
      </c>
      <c r="J182">
        <v>18</v>
      </c>
      <c r="K182">
        <v>27</v>
      </c>
      <c r="L182">
        <v>6</v>
      </c>
      <c r="M182">
        <v>1</v>
      </c>
      <c r="N182">
        <v>0</v>
      </c>
      <c r="O182">
        <v>1</v>
      </c>
      <c r="P182">
        <v>13</v>
      </c>
      <c r="Q182">
        <v>2</v>
      </c>
      <c r="R182">
        <v>0</v>
      </c>
      <c r="S182">
        <v>87</v>
      </c>
      <c r="T182">
        <v>8</v>
      </c>
      <c r="U182">
        <v>168</v>
      </c>
      <c r="V182" s="2">
        <v>27.068750000000001</v>
      </c>
      <c r="W182" s="3">
        <v>0.66041666666666665</v>
      </c>
      <c r="X182">
        <v>92</v>
      </c>
      <c r="Y182">
        <v>55</v>
      </c>
      <c r="Z182">
        <v>62.6</v>
      </c>
      <c r="AA182">
        <v>18</v>
      </c>
      <c r="AB182">
        <v>60</v>
      </c>
      <c r="AC182">
        <v>12</v>
      </c>
      <c r="AD182">
        <v>21</v>
      </c>
      <c r="AF182" t="s">
        <v>680</v>
      </c>
    </row>
    <row r="183" spans="1:32" x14ac:dyDescent="0.3">
      <c r="A183">
        <v>180</v>
      </c>
      <c r="B183" t="s">
        <v>681</v>
      </c>
      <c r="C183">
        <v>38</v>
      </c>
      <c r="D183" t="s">
        <v>134</v>
      </c>
      <c r="E183" t="s">
        <v>87</v>
      </c>
      <c r="F183">
        <v>42</v>
      </c>
      <c r="G183">
        <v>3</v>
      </c>
      <c r="H183">
        <v>19</v>
      </c>
      <c r="I183">
        <v>22</v>
      </c>
      <c r="J183">
        <v>3</v>
      </c>
      <c r="K183">
        <v>20</v>
      </c>
      <c r="L183">
        <v>2</v>
      </c>
      <c r="M183">
        <v>1</v>
      </c>
      <c r="N183">
        <v>0</v>
      </c>
      <c r="O183">
        <v>2</v>
      </c>
      <c r="P183">
        <v>13</v>
      </c>
      <c r="Q183">
        <v>6</v>
      </c>
      <c r="R183">
        <v>0</v>
      </c>
      <c r="S183">
        <v>71</v>
      </c>
      <c r="T183">
        <v>4.2</v>
      </c>
      <c r="U183">
        <v>168</v>
      </c>
      <c r="V183" s="2">
        <v>38.003472222222221</v>
      </c>
      <c r="W183" s="3">
        <v>0.90486111111111112</v>
      </c>
      <c r="X183">
        <v>0</v>
      </c>
      <c r="Y183">
        <v>0</v>
      </c>
      <c r="AA183">
        <v>54</v>
      </c>
      <c r="AB183">
        <v>51</v>
      </c>
      <c r="AC183">
        <v>14</v>
      </c>
      <c r="AD183">
        <v>56</v>
      </c>
      <c r="AF183" t="s">
        <v>682</v>
      </c>
    </row>
    <row r="184" spans="1:32" x14ac:dyDescent="0.3">
      <c r="A184">
        <v>181</v>
      </c>
      <c r="B184" t="s">
        <v>683</v>
      </c>
      <c r="C184">
        <v>31</v>
      </c>
      <c r="D184" t="s">
        <v>306</v>
      </c>
      <c r="E184" t="s">
        <v>78</v>
      </c>
      <c r="F184">
        <v>39</v>
      </c>
      <c r="G184">
        <v>6</v>
      </c>
      <c r="H184">
        <v>16</v>
      </c>
      <c r="I184">
        <v>22</v>
      </c>
      <c r="J184">
        <v>-3</v>
      </c>
      <c r="K184">
        <v>8</v>
      </c>
      <c r="L184">
        <v>5</v>
      </c>
      <c r="M184">
        <v>1</v>
      </c>
      <c r="N184">
        <v>0</v>
      </c>
      <c r="O184">
        <v>2</v>
      </c>
      <c r="P184">
        <v>9</v>
      </c>
      <c r="Q184">
        <v>7</v>
      </c>
      <c r="R184">
        <v>0</v>
      </c>
      <c r="S184">
        <v>70</v>
      </c>
      <c r="T184">
        <v>8.6</v>
      </c>
      <c r="U184">
        <v>117</v>
      </c>
      <c r="V184" s="2">
        <v>29.470833333333335</v>
      </c>
      <c r="W184" s="3">
        <v>0.75555555555555554</v>
      </c>
      <c r="X184">
        <v>380</v>
      </c>
      <c r="Y184">
        <v>320</v>
      </c>
      <c r="Z184">
        <v>54.3</v>
      </c>
      <c r="AA184">
        <v>16</v>
      </c>
      <c r="AB184">
        <v>25</v>
      </c>
      <c r="AC184">
        <v>10</v>
      </c>
      <c r="AD184">
        <v>30</v>
      </c>
      <c r="AF184" t="s">
        <v>684</v>
      </c>
    </row>
    <row r="185" spans="1:32" x14ac:dyDescent="0.3">
      <c r="A185">
        <v>182</v>
      </c>
      <c r="B185" t="s">
        <v>685</v>
      </c>
      <c r="C185">
        <v>25</v>
      </c>
      <c r="D185" t="s">
        <v>243</v>
      </c>
      <c r="E185" t="s">
        <v>78</v>
      </c>
      <c r="F185">
        <v>33</v>
      </c>
      <c r="G185">
        <v>13</v>
      </c>
      <c r="H185">
        <v>9</v>
      </c>
      <c r="I185">
        <v>22</v>
      </c>
      <c r="J185">
        <v>0</v>
      </c>
      <c r="K185">
        <v>20</v>
      </c>
      <c r="L185">
        <v>12</v>
      </c>
      <c r="M185">
        <v>1</v>
      </c>
      <c r="N185">
        <v>0</v>
      </c>
      <c r="O185">
        <v>1</v>
      </c>
      <c r="P185">
        <v>8</v>
      </c>
      <c r="Q185">
        <v>0</v>
      </c>
      <c r="R185">
        <v>1</v>
      </c>
      <c r="S185">
        <v>75</v>
      </c>
      <c r="T185">
        <v>17.3</v>
      </c>
      <c r="U185">
        <v>154</v>
      </c>
      <c r="V185" s="2">
        <v>25.977777777777778</v>
      </c>
      <c r="W185" s="3">
        <v>0.78749999999999998</v>
      </c>
      <c r="X185">
        <v>187</v>
      </c>
      <c r="Y185">
        <v>176</v>
      </c>
      <c r="Z185">
        <v>51.5</v>
      </c>
      <c r="AA185">
        <v>20</v>
      </c>
      <c r="AB185">
        <v>38</v>
      </c>
      <c r="AC185">
        <v>9</v>
      </c>
      <c r="AD185">
        <v>27</v>
      </c>
      <c r="AF185" t="s">
        <v>686</v>
      </c>
    </row>
    <row r="186" spans="1:32" x14ac:dyDescent="0.3">
      <c r="A186">
        <v>183</v>
      </c>
      <c r="B186" t="s">
        <v>687</v>
      </c>
      <c r="C186">
        <v>24</v>
      </c>
      <c r="D186" t="s">
        <v>139</v>
      </c>
      <c r="E186" t="s">
        <v>95</v>
      </c>
      <c r="F186">
        <v>42</v>
      </c>
      <c r="G186">
        <v>7</v>
      </c>
      <c r="H186">
        <v>15</v>
      </c>
      <c r="I186">
        <v>22</v>
      </c>
      <c r="J186">
        <v>-4</v>
      </c>
      <c r="K186">
        <v>10</v>
      </c>
      <c r="L186">
        <v>5</v>
      </c>
      <c r="M186">
        <v>2</v>
      </c>
      <c r="N186">
        <v>0</v>
      </c>
      <c r="O186">
        <v>2</v>
      </c>
      <c r="P186">
        <v>15</v>
      </c>
      <c r="Q186">
        <v>0</v>
      </c>
      <c r="R186">
        <v>0</v>
      </c>
      <c r="S186">
        <v>79</v>
      </c>
      <c r="T186">
        <v>8.9</v>
      </c>
      <c r="U186">
        <v>170</v>
      </c>
      <c r="V186" s="2">
        <v>27.524305555555557</v>
      </c>
      <c r="W186" s="3">
        <v>0.65555555555555556</v>
      </c>
      <c r="X186">
        <v>3</v>
      </c>
      <c r="Y186">
        <v>9</v>
      </c>
      <c r="Z186">
        <v>25</v>
      </c>
      <c r="AA186">
        <v>19</v>
      </c>
      <c r="AB186">
        <v>22</v>
      </c>
      <c r="AC186">
        <v>8</v>
      </c>
      <c r="AD186">
        <v>40</v>
      </c>
      <c r="AF186" t="s">
        <v>688</v>
      </c>
    </row>
    <row r="187" spans="1:32" x14ac:dyDescent="0.3">
      <c r="A187">
        <v>184</v>
      </c>
      <c r="B187" t="s">
        <v>689</v>
      </c>
      <c r="C187">
        <v>25</v>
      </c>
      <c r="D187" t="s">
        <v>139</v>
      </c>
      <c r="E187" t="s">
        <v>87</v>
      </c>
      <c r="F187">
        <v>40</v>
      </c>
      <c r="G187">
        <v>7</v>
      </c>
      <c r="H187">
        <v>15</v>
      </c>
      <c r="I187">
        <v>22</v>
      </c>
      <c r="J187">
        <v>18</v>
      </c>
      <c r="K187">
        <v>8</v>
      </c>
      <c r="L187">
        <v>6</v>
      </c>
      <c r="M187">
        <v>0</v>
      </c>
      <c r="N187">
        <v>1</v>
      </c>
      <c r="O187">
        <v>2</v>
      </c>
      <c r="P187">
        <v>14</v>
      </c>
      <c r="Q187">
        <v>0</v>
      </c>
      <c r="R187">
        <v>1</v>
      </c>
      <c r="S187">
        <v>59</v>
      </c>
      <c r="T187">
        <v>11.9</v>
      </c>
      <c r="U187">
        <v>119</v>
      </c>
      <c r="V187" s="2">
        <v>37.68333333333333</v>
      </c>
      <c r="W187" s="3">
        <v>0.94236111111111109</v>
      </c>
      <c r="X187">
        <v>0</v>
      </c>
      <c r="Y187">
        <v>0</v>
      </c>
      <c r="AA187">
        <v>87</v>
      </c>
      <c r="AB187">
        <v>58</v>
      </c>
      <c r="AC187">
        <v>6</v>
      </c>
      <c r="AD187">
        <v>30</v>
      </c>
      <c r="AF187" t="s">
        <v>690</v>
      </c>
    </row>
    <row r="188" spans="1:32" x14ac:dyDescent="0.3">
      <c r="A188">
        <v>185</v>
      </c>
      <c r="B188" t="s">
        <v>691</v>
      </c>
      <c r="C188">
        <v>28</v>
      </c>
      <c r="D188" t="s">
        <v>193</v>
      </c>
      <c r="E188" t="s">
        <v>95</v>
      </c>
      <c r="F188">
        <v>41</v>
      </c>
      <c r="G188">
        <v>9</v>
      </c>
      <c r="H188">
        <v>12</v>
      </c>
      <c r="I188">
        <v>21</v>
      </c>
      <c r="J188">
        <v>-22</v>
      </c>
      <c r="K188">
        <v>4</v>
      </c>
      <c r="L188">
        <v>8</v>
      </c>
      <c r="M188">
        <v>1</v>
      </c>
      <c r="N188">
        <v>0</v>
      </c>
      <c r="O188">
        <v>2</v>
      </c>
      <c r="P188">
        <v>5</v>
      </c>
      <c r="Q188">
        <v>7</v>
      </c>
      <c r="R188">
        <v>0</v>
      </c>
      <c r="S188">
        <v>88</v>
      </c>
      <c r="T188">
        <v>10.199999999999999</v>
      </c>
      <c r="U188">
        <v>188</v>
      </c>
      <c r="V188" s="2">
        <v>32.59652777777778</v>
      </c>
      <c r="W188" s="3">
        <v>0.79513888888888884</v>
      </c>
      <c r="X188">
        <v>40</v>
      </c>
      <c r="Y188">
        <v>54</v>
      </c>
      <c r="Z188">
        <v>42.6</v>
      </c>
      <c r="AA188">
        <v>18</v>
      </c>
      <c r="AB188">
        <v>23</v>
      </c>
      <c r="AC188">
        <v>7</v>
      </c>
      <c r="AD188">
        <v>28</v>
      </c>
      <c r="AF188" t="s">
        <v>692</v>
      </c>
    </row>
    <row r="189" spans="1:32" x14ac:dyDescent="0.3">
      <c r="A189">
        <v>186</v>
      </c>
      <c r="B189" t="s">
        <v>693</v>
      </c>
      <c r="C189">
        <v>40</v>
      </c>
      <c r="D189" t="s">
        <v>216</v>
      </c>
      <c r="E189" t="s">
        <v>87</v>
      </c>
      <c r="F189">
        <v>43</v>
      </c>
      <c r="G189">
        <v>6</v>
      </c>
      <c r="H189">
        <v>15</v>
      </c>
      <c r="I189">
        <v>21</v>
      </c>
      <c r="J189">
        <v>23</v>
      </c>
      <c r="K189">
        <v>18</v>
      </c>
      <c r="L189">
        <v>6</v>
      </c>
      <c r="M189">
        <v>0</v>
      </c>
      <c r="N189">
        <v>0</v>
      </c>
      <c r="O189">
        <v>3</v>
      </c>
      <c r="P189">
        <v>14</v>
      </c>
      <c r="Q189">
        <v>1</v>
      </c>
      <c r="R189">
        <v>0</v>
      </c>
      <c r="S189">
        <v>93</v>
      </c>
      <c r="T189">
        <v>6.5</v>
      </c>
      <c r="U189">
        <v>219</v>
      </c>
      <c r="V189" s="2">
        <v>34.824305555555554</v>
      </c>
      <c r="W189" s="3">
        <v>0.80972222222222223</v>
      </c>
      <c r="X189">
        <v>0</v>
      </c>
      <c r="Y189">
        <v>0</v>
      </c>
      <c r="AA189">
        <v>53</v>
      </c>
      <c r="AB189">
        <v>11</v>
      </c>
      <c r="AC189">
        <v>11</v>
      </c>
      <c r="AD189">
        <v>51</v>
      </c>
      <c r="AF189" t="s">
        <v>694</v>
      </c>
    </row>
    <row r="190" spans="1:32" x14ac:dyDescent="0.3">
      <c r="A190">
        <v>187</v>
      </c>
      <c r="B190" t="s">
        <v>695</v>
      </c>
      <c r="C190">
        <v>34</v>
      </c>
      <c r="D190" t="s">
        <v>82</v>
      </c>
      <c r="E190" t="s">
        <v>78</v>
      </c>
      <c r="F190">
        <v>44</v>
      </c>
      <c r="G190">
        <v>13</v>
      </c>
      <c r="H190">
        <v>8</v>
      </c>
      <c r="I190">
        <v>21</v>
      </c>
      <c r="J190">
        <v>10</v>
      </c>
      <c r="K190">
        <v>29</v>
      </c>
      <c r="L190">
        <v>10</v>
      </c>
      <c r="M190">
        <v>0</v>
      </c>
      <c r="N190">
        <v>3</v>
      </c>
      <c r="O190">
        <v>3</v>
      </c>
      <c r="P190">
        <v>8</v>
      </c>
      <c r="Q190">
        <v>0</v>
      </c>
      <c r="R190">
        <v>0</v>
      </c>
      <c r="S190">
        <v>105</v>
      </c>
      <c r="T190">
        <v>12.4</v>
      </c>
      <c r="U190">
        <v>184</v>
      </c>
      <c r="V190" s="2">
        <v>31.173611111111111</v>
      </c>
      <c r="W190" s="3">
        <v>0.70833333333333337</v>
      </c>
      <c r="X190">
        <v>12</v>
      </c>
      <c r="Y190">
        <v>15</v>
      </c>
      <c r="Z190">
        <v>44.4</v>
      </c>
      <c r="AA190">
        <v>29</v>
      </c>
      <c r="AB190">
        <v>110</v>
      </c>
      <c r="AC190">
        <v>15</v>
      </c>
      <c r="AD190">
        <v>41</v>
      </c>
      <c r="AF190" t="s">
        <v>696</v>
      </c>
    </row>
    <row r="191" spans="1:32" x14ac:dyDescent="0.3">
      <c r="A191">
        <v>188</v>
      </c>
      <c r="B191" t="s">
        <v>697</v>
      </c>
      <c r="C191">
        <v>33</v>
      </c>
      <c r="D191" t="s">
        <v>103</v>
      </c>
      <c r="E191" t="s">
        <v>87</v>
      </c>
      <c r="F191">
        <v>45</v>
      </c>
      <c r="G191">
        <v>11</v>
      </c>
      <c r="H191">
        <v>10</v>
      </c>
      <c r="I191">
        <v>21</v>
      </c>
      <c r="J191">
        <v>-6</v>
      </c>
      <c r="K191">
        <v>28</v>
      </c>
      <c r="L191">
        <v>9</v>
      </c>
      <c r="M191">
        <v>2</v>
      </c>
      <c r="N191">
        <v>0</v>
      </c>
      <c r="O191">
        <v>3</v>
      </c>
      <c r="P191">
        <v>5</v>
      </c>
      <c r="Q191">
        <v>5</v>
      </c>
      <c r="R191">
        <v>0</v>
      </c>
      <c r="S191">
        <v>85</v>
      </c>
      <c r="T191">
        <v>12.9</v>
      </c>
      <c r="U191">
        <v>174</v>
      </c>
      <c r="V191" s="2">
        <v>42.229861111111113</v>
      </c>
      <c r="W191" s="3">
        <v>0.93819444444444444</v>
      </c>
      <c r="X191">
        <v>0</v>
      </c>
      <c r="Y191">
        <v>0</v>
      </c>
      <c r="AA191">
        <v>84</v>
      </c>
      <c r="AB191">
        <v>38</v>
      </c>
      <c r="AC191">
        <v>13</v>
      </c>
      <c r="AD191">
        <v>39</v>
      </c>
      <c r="AF191" t="s">
        <v>698</v>
      </c>
    </row>
    <row r="192" spans="1:32" x14ac:dyDescent="0.3">
      <c r="A192">
        <v>189</v>
      </c>
      <c r="B192" t="s">
        <v>699</v>
      </c>
      <c r="C192">
        <v>32</v>
      </c>
      <c r="D192" t="s">
        <v>82</v>
      </c>
      <c r="E192" t="s">
        <v>101</v>
      </c>
      <c r="F192">
        <v>39</v>
      </c>
      <c r="G192">
        <v>8</v>
      </c>
      <c r="H192">
        <v>13</v>
      </c>
      <c r="I192">
        <v>21</v>
      </c>
      <c r="J192">
        <v>-6</v>
      </c>
      <c r="K192">
        <v>35</v>
      </c>
      <c r="L192">
        <v>6</v>
      </c>
      <c r="M192">
        <v>2</v>
      </c>
      <c r="N192">
        <v>0</v>
      </c>
      <c r="O192">
        <v>2</v>
      </c>
      <c r="P192">
        <v>10</v>
      </c>
      <c r="Q192">
        <v>3</v>
      </c>
      <c r="R192">
        <v>0</v>
      </c>
      <c r="S192">
        <v>63</v>
      </c>
      <c r="T192">
        <v>12.7</v>
      </c>
      <c r="U192">
        <v>120</v>
      </c>
      <c r="V192" s="2">
        <v>30.190972222222221</v>
      </c>
      <c r="W192" s="3">
        <v>0.77430555555555558</v>
      </c>
      <c r="X192">
        <v>4</v>
      </c>
      <c r="Y192">
        <v>5</v>
      </c>
      <c r="Z192">
        <v>44.4</v>
      </c>
      <c r="AA192">
        <v>24</v>
      </c>
      <c r="AB192">
        <v>23</v>
      </c>
      <c r="AC192">
        <v>8</v>
      </c>
      <c r="AD192">
        <v>43</v>
      </c>
      <c r="AF192" t="s">
        <v>700</v>
      </c>
    </row>
    <row r="193" spans="1:32" x14ac:dyDescent="0.3">
      <c r="A193">
        <v>190</v>
      </c>
      <c r="B193" t="s">
        <v>701</v>
      </c>
      <c r="C193">
        <v>32</v>
      </c>
      <c r="D193" t="s">
        <v>306</v>
      </c>
      <c r="E193" t="s">
        <v>78</v>
      </c>
      <c r="F193">
        <v>29</v>
      </c>
      <c r="G193">
        <v>7</v>
      </c>
      <c r="H193">
        <v>14</v>
      </c>
      <c r="I193">
        <v>21</v>
      </c>
      <c r="J193">
        <v>-1</v>
      </c>
      <c r="K193">
        <v>17</v>
      </c>
      <c r="L193">
        <v>6</v>
      </c>
      <c r="M193">
        <v>1</v>
      </c>
      <c r="N193">
        <v>0</v>
      </c>
      <c r="O193">
        <v>1</v>
      </c>
      <c r="P193">
        <v>11</v>
      </c>
      <c r="Q193">
        <v>2</v>
      </c>
      <c r="R193">
        <v>1</v>
      </c>
      <c r="S193">
        <v>68</v>
      </c>
      <c r="T193">
        <v>10.3</v>
      </c>
      <c r="U193">
        <v>130</v>
      </c>
      <c r="V193" s="2">
        <v>20.242361111111112</v>
      </c>
      <c r="W193" s="3">
        <v>0.69791666666666663</v>
      </c>
      <c r="X193">
        <v>76</v>
      </c>
      <c r="Y193">
        <v>64</v>
      </c>
      <c r="Z193">
        <v>54.3</v>
      </c>
      <c r="AA193">
        <v>28</v>
      </c>
      <c r="AB193">
        <v>66</v>
      </c>
      <c r="AC193">
        <v>5</v>
      </c>
      <c r="AD193">
        <v>20</v>
      </c>
      <c r="AF193" t="s">
        <v>702</v>
      </c>
    </row>
    <row r="194" spans="1:32" x14ac:dyDescent="0.3">
      <c r="A194">
        <v>191</v>
      </c>
      <c r="B194" t="s">
        <v>703</v>
      </c>
      <c r="C194">
        <v>38</v>
      </c>
      <c r="D194" t="s">
        <v>91</v>
      </c>
      <c r="E194" t="s">
        <v>78</v>
      </c>
      <c r="F194">
        <v>37</v>
      </c>
      <c r="G194">
        <v>6</v>
      </c>
      <c r="H194">
        <v>15</v>
      </c>
      <c r="I194">
        <v>21</v>
      </c>
      <c r="J194">
        <v>12</v>
      </c>
      <c r="K194">
        <v>8</v>
      </c>
      <c r="L194">
        <v>3</v>
      </c>
      <c r="M194">
        <v>3</v>
      </c>
      <c r="N194">
        <v>0</v>
      </c>
      <c r="O194">
        <v>1</v>
      </c>
      <c r="P194">
        <v>11</v>
      </c>
      <c r="Q194">
        <v>4</v>
      </c>
      <c r="R194">
        <v>0</v>
      </c>
      <c r="S194">
        <v>49</v>
      </c>
      <c r="T194">
        <v>12.2</v>
      </c>
      <c r="U194">
        <v>108</v>
      </c>
      <c r="V194" s="2">
        <v>28.564583333333335</v>
      </c>
      <c r="W194" s="3">
        <v>0.77222222222222225</v>
      </c>
      <c r="X194">
        <v>399</v>
      </c>
      <c r="Y194">
        <v>297</v>
      </c>
      <c r="Z194">
        <v>57.3</v>
      </c>
      <c r="AA194">
        <v>34</v>
      </c>
      <c r="AB194">
        <v>19</v>
      </c>
      <c r="AC194">
        <v>11</v>
      </c>
      <c r="AD194">
        <v>35</v>
      </c>
      <c r="AF194" t="s">
        <v>704</v>
      </c>
    </row>
    <row r="195" spans="1:32" x14ac:dyDescent="0.3">
      <c r="A195">
        <v>192</v>
      </c>
      <c r="B195" t="s">
        <v>705</v>
      </c>
      <c r="C195">
        <v>24</v>
      </c>
      <c r="D195" t="s">
        <v>91</v>
      </c>
      <c r="E195" t="s">
        <v>95</v>
      </c>
      <c r="F195">
        <v>43</v>
      </c>
      <c r="G195">
        <v>11</v>
      </c>
      <c r="H195">
        <v>10</v>
      </c>
      <c r="I195">
        <v>21</v>
      </c>
      <c r="J195">
        <v>4</v>
      </c>
      <c r="K195">
        <v>10</v>
      </c>
      <c r="L195">
        <v>9</v>
      </c>
      <c r="M195">
        <v>0</v>
      </c>
      <c r="N195">
        <v>2</v>
      </c>
      <c r="O195">
        <v>1</v>
      </c>
      <c r="P195">
        <v>9</v>
      </c>
      <c r="Q195">
        <v>1</v>
      </c>
      <c r="R195">
        <v>0</v>
      </c>
      <c r="S195">
        <v>101</v>
      </c>
      <c r="T195">
        <v>10.9</v>
      </c>
      <c r="U195">
        <v>213</v>
      </c>
      <c r="V195" s="2">
        <v>30.122916666666665</v>
      </c>
      <c r="W195" s="3">
        <v>0.7006944444444444</v>
      </c>
      <c r="X195">
        <v>76</v>
      </c>
      <c r="Y195">
        <v>107</v>
      </c>
      <c r="Z195">
        <v>41.5</v>
      </c>
      <c r="AA195">
        <v>24</v>
      </c>
      <c r="AB195">
        <v>119</v>
      </c>
      <c r="AC195">
        <v>7</v>
      </c>
      <c r="AD195">
        <v>44</v>
      </c>
      <c r="AF195" t="s">
        <v>706</v>
      </c>
    </row>
    <row r="196" spans="1:32" x14ac:dyDescent="0.3">
      <c r="A196">
        <v>193</v>
      </c>
      <c r="B196" t="s">
        <v>707</v>
      </c>
      <c r="C196">
        <v>21</v>
      </c>
      <c r="D196" t="s">
        <v>306</v>
      </c>
      <c r="E196" t="s">
        <v>87</v>
      </c>
      <c r="F196">
        <v>42</v>
      </c>
      <c r="G196">
        <v>8</v>
      </c>
      <c r="H196">
        <v>13</v>
      </c>
      <c r="I196">
        <v>21</v>
      </c>
      <c r="J196">
        <v>5</v>
      </c>
      <c r="K196">
        <v>4</v>
      </c>
      <c r="L196">
        <v>7</v>
      </c>
      <c r="M196">
        <v>1</v>
      </c>
      <c r="N196">
        <v>0</v>
      </c>
      <c r="O196">
        <v>0</v>
      </c>
      <c r="P196">
        <v>12</v>
      </c>
      <c r="Q196">
        <v>1</v>
      </c>
      <c r="R196">
        <v>0</v>
      </c>
      <c r="S196">
        <v>50</v>
      </c>
      <c r="T196">
        <v>16</v>
      </c>
      <c r="U196">
        <v>125</v>
      </c>
      <c r="V196" s="2">
        <v>36.552083333333336</v>
      </c>
      <c r="W196" s="3">
        <v>0.87013888888888891</v>
      </c>
      <c r="X196">
        <v>0</v>
      </c>
      <c r="Y196">
        <v>0</v>
      </c>
      <c r="AA196">
        <v>61</v>
      </c>
      <c r="AB196">
        <v>19</v>
      </c>
      <c r="AC196">
        <v>11</v>
      </c>
      <c r="AD196">
        <v>47</v>
      </c>
      <c r="AF196" t="s">
        <v>708</v>
      </c>
    </row>
    <row r="197" spans="1:32" x14ac:dyDescent="0.3">
      <c r="A197">
        <v>194</v>
      </c>
      <c r="B197" t="s">
        <v>709</v>
      </c>
      <c r="C197">
        <v>22</v>
      </c>
      <c r="D197" t="s">
        <v>290</v>
      </c>
      <c r="E197" t="s">
        <v>78</v>
      </c>
      <c r="F197">
        <v>33</v>
      </c>
      <c r="G197">
        <v>6</v>
      </c>
      <c r="H197">
        <v>15</v>
      </c>
      <c r="I197">
        <v>21</v>
      </c>
      <c r="J197">
        <v>-7</v>
      </c>
      <c r="K197">
        <v>20</v>
      </c>
      <c r="L197">
        <v>4</v>
      </c>
      <c r="M197">
        <v>1</v>
      </c>
      <c r="N197">
        <v>1</v>
      </c>
      <c r="O197">
        <v>1</v>
      </c>
      <c r="P197">
        <v>10</v>
      </c>
      <c r="Q197">
        <v>5</v>
      </c>
      <c r="R197">
        <v>0</v>
      </c>
      <c r="S197">
        <v>66</v>
      </c>
      <c r="T197">
        <v>9.1</v>
      </c>
      <c r="U197">
        <v>135</v>
      </c>
      <c r="V197" s="2">
        <v>25.093055555555555</v>
      </c>
      <c r="W197" s="3">
        <v>0.76041666666666663</v>
      </c>
      <c r="X197">
        <v>178</v>
      </c>
      <c r="Y197">
        <v>235</v>
      </c>
      <c r="Z197">
        <v>43.1</v>
      </c>
      <c r="AA197">
        <v>25</v>
      </c>
      <c r="AB197">
        <v>20</v>
      </c>
      <c r="AC197">
        <v>11</v>
      </c>
      <c r="AD197">
        <v>36</v>
      </c>
      <c r="AF197" t="s">
        <v>710</v>
      </c>
    </row>
    <row r="198" spans="1:32" x14ac:dyDescent="0.3">
      <c r="A198">
        <v>195</v>
      </c>
      <c r="B198" t="s">
        <v>711</v>
      </c>
      <c r="C198">
        <v>28</v>
      </c>
      <c r="D198" t="s">
        <v>134</v>
      </c>
      <c r="E198" t="s">
        <v>78</v>
      </c>
      <c r="F198">
        <v>42</v>
      </c>
      <c r="G198">
        <v>8</v>
      </c>
      <c r="H198">
        <v>13</v>
      </c>
      <c r="I198">
        <v>21</v>
      </c>
      <c r="J198">
        <v>0</v>
      </c>
      <c r="K198">
        <v>14</v>
      </c>
      <c r="L198">
        <v>5</v>
      </c>
      <c r="M198">
        <v>3</v>
      </c>
      <c r="N198">
        <v>0</v>
      </c>
      <c r="O198">
        <v>1</v>
      </c>
      <c r="P198">
        <v>11</v>
      </c>
      <c r="Q198">
        <v>2</v>
      </c>
      <c r="R198">
        <v>0</v>
      </c>
      <c r="S198">
        <v>64</v>
      </c>
      <c r="T198">
        <v>12.5</v>
      </c>
      <c r="U198">
        <v>120</v>
      </c>
      <c r="V198" s="2">
        <v>23.631250000000001</v>
      </c>
      <c r="W198" s="3">
        <v>0.5625</v>
      </c>
      <c r="X198">
        <v>56</v>
      </c>
      <c r="Y198">
        <v>83</v>
      </c>
      <c r="Z198">
        <v>40.299999999999997</v>
      </c>
      <c r="AA198">
        <v>18</v>
      </c>
      <c r="AB198">
        <v>9</v>
      </c>
      <c r="AC198">
        <v>16</v>
      </c>
      <c r="AD198">
        <v>26</v>
      </c>
      <c r="AF198" t="s">
        <v>712</v>
      </c>
    </row>
    <row r="199" spans="1:32" x14ac:dyDescent="0.3">
      <c r="A199">
        <v>196</v>
      </c>
      <c r="B199" t="s">
        <v>713</v>
      </c>
      <c r="C199">
        <v>34</v>
      </c>
      <c r="D199" t="s">
        <v>116</v>
      </c>
      <c r="E199" t="s">
        <v>87</v>
      </c>
      <c r="F199">
        <v>43</v>
      </c>
      <c r="G199">
        <v>1</v>
      </c>
      <c r="H199">
        <v>20</v>
      </c>
      <c r="I199">
        <v>21</v>
      </c>
      <c r="J199">
        <v>0</v>
      </c>
      <c r="K199">
        <v>26</v>
      </c>
      <c r="L199">
        <v>1</v>
      </c>
      <c r="M199">
        <v>0</v>
      </c>
      <c r="N199">
        <v>0</v>
      </c>
      <c r="O199">
        <v>0</v>
      </c>
      <c r="P199">
        <v>10</v>
      </c>
      <c r="Q199">
        <v>10</v>
      </c>
      <c r="R199">
        <v>0</v>
      </c>
      <c r="S199">
        <v>46</v>
      </c>
      <c r="T199">
        <v>2.2000000000000002</v>
      </c>
      <c r="U199">
        <v>114</v>
      </c>
      <c r="V199" s="2">
        <v>38.728472222222223</v>
      </c>
      <c r="W199" s="3">
        <v>0.90069444444444446</v>
      </c>
      <c r="X199">
        <v>0</v>
      </c>
      <c r="Y199">
        <v>0</v>
      </c>
      <c r="AA199">
        <v>45</v>
      </c>
      <c r="AB199">
        <v>61</v>
      </c>
      <c r="AC199">
        <v>13</v>
      </c>
      <c r="AD199">
        <v>48</v>
      </c>
      <c r="AF199" t="s">
        <v>714</v>
      </c>
    </row>
    <row r="200" spans="1:32" x14ac:dyDescent="0.3">
      <c r="A200">
        <v>197</v>
      </c>
      <c r="B200" t="s">
        <v>715</v>
      </c>
      <c r="C200">
        <v>37</v>
      </c>
      <c r="D200" t="s">
        <v>243</v>
      </c>
      <c r="E200" t="s">
        <v>101</v>
      </c>
      <c r="F200">
        <v>43</v>
      </c>
      <c r="G200">
        <v>8</v>
      </c>
      <c r="H200">
        <v>13</v>
      </c>
      <c r="I200">
        <v>21</v>
      </c>
      <c r="J200">
        <v>-2</v>
      </c>
      <c r="K200">
        <v>16</v>
      </c>
      <c r="L200">
        <v>5</v>
      </c>
      <c r="M200">
        <v>3</v>
      </c>
      <c r="N200">
        <v>0</v>
      </c>
      <c r="O200">
        <v>1</v>
      </c>
      <c r="P200">
        <v>9</v>
      </c>
      <c r="Q200">
        <v>4</v>
      </c>
      <c r="R200">
        <v>0</v>
      </c>
      <c r="S200">
        <v>64</v>
      </c>
      <c r="T200">
        <v>12.5</v>
      </c>
      <c r="U200">
        <v>110</v>
      </c>
      <c r="V200" s="2">
        <v>24.45</v>
      </c>
      <c r="W200" s="3">
        <v>0.56874999999999998</v>
      </c>
      <c r="X200">
        <v>3</v>
      </c>
      <c r="Y200">
        <v>5</v>
      </c>
      <c r="Z200">
        <v>37.5</v>
      </c>
      <c r="AA200">
        <v>18</v>
      </c>
      <c r="AB200">
        <v>60</v>
      </c>
      <c r="AC200">
        <v>9</v>
      </c>
      <c r="AD200">
        <v>24</v>
      </c>
      <c r="AF200" t="s">
        <v>716</v>
      </c>
    </row>
    <row r="201" spans="1:32" x14ac:dyDescent="0.3">
      <c r="A201">
        <v>198</v>
      </c>
      <c r="B201" t="s">
        <v>717</v>
      </c>
      <c r="C201">
        <v>40</v>
      </c>
      <c r="D201" t="s">
        <v>91</v>
      </c>
      <c r="E201" t="s">
        <v>95</v>
      </c>
      <c r="F201">
        <v>35</v>
      </c>
      <c r="G201">
        <v>9</v>
      </c>
      <c r="H201">
        <v>12</v>
      </c>
      <c r="I201">
        <v>21</v>
      </c>
      <c r="J201">
        <v>1</v>
      </c>
      <c r="K201">
        <v>36</v>
      </c>
      <c r="L201">
        <v>6</v>
      </c>
      <c r="M201">
        <v>3</v>
      </c>
      <c r="N201">
        <v>0</v>
      </c>
      <c r="O201">
        <v>0</v>
      </c>
      <c r="P201">
        <v>6</v>
      </c>
      <c r="Q201">
        <v>6</v>
      </c>
      <c r="R201">
        <v>0</v>
      </c>
      <c r="S201">
        <v>65</v>
      </c>
      <c r="T201">
        <v>13.8</v>
      </c>
      <c r="U201">
        <v>124</v>
      </c>
      <c r="V201" s="2">
        <v>19.75</v>
      </c>
      <c r="W201" s="3">
        <v>0.56458333333333333</v>
      </c>
      <c r="X201">
        <v>5</v>
      </c>
      <c r="Y201">
        <v>12</v>
      </c>
      <c r="Z201">
        <v>29.4</v>
      </c>
      <c r="AA201">
        <v>8</v>
      </c>
      <c r="AB201">
        <v>14</v>
      </c>
      <c r="AC201">
        <v>3</v>
      </c>
      <c r="AD201">
        <v>26</v>
      </c>
      <c r="AF201" t="s">
        <v>718</v>
      </c>
    </row>
    <row r="202" spans="1:32" x14ac:dyDescent="0.3">
      <c r="A202">
        <v>199</v>
      </c>
      <c r="B202" t="s">
        <v>719</v>
      </c>
      <c r="C202">
        <v>24</v>
      </c>
      <c r="D202" t="s">
        <v>150</v>
      </c>
      <c r="E202" t="s">
        <v>101</v>
      </c>
      <c r="F202">
        <v>41</v>
      </c>
      <c r="G202">
        <v>9</v>
      </c>
      <c r="H202">
        <v>12</v>
      </c>
      <c r="I202">
        <v>21</v>
      </c>
      <c r="J202">
        <v>0</v>
      </c>
      <c r="K202">
        <v>0</v>
      </c>
      <c r="L202">
        <v>8</v>
      </c>
      <c r="M202">
        <v>1</v>
      </c>
      <c r="N202">
        <v>0</v>
      </c>
      <c r="O202">
        <v>1</v>
      </c>
      <c r="P202">
        <v>10</v>
      </c>
      <c r="Q202">
        <v>2</v>
      </c>
      <c r="R202">
        <v>0</v>
      </c>
      <c r="S202">
        <v>70</v>
      </c>
      <c r="T202">
        <v>12.9</v>
      </c>
      <c r="U202">
        <v>121</v>
      </c>
      <c r="V202" s="2">
        <v>21.537500000000001</v>
      </c>
      <c r="W202" s="3">
        <v>0.52500000000000002</v>
      </c>
      <c r="X202">
        <v>6</v>
      </c>
      <c r="Y202">
        <v>5</v>
      </c>
      <c r="Z202">
        <v>54.5</v>
      </c>
      <c r="AA202">
        <v>21</v>
      </c>
      <c r="AB202">
        <v>45</v>
      </c>
      <c r="AC202">
        <v>13</v>
      </c>
      <c r="AD202">
        <v>37</v>
      </c>
      <c r="AF202" t="s">
        <v>720</v>
      </c>
    </row>
    <row r="203" spans="1:32" x14ac:dyDescent="0.3">
      <c r="A203">
        <v>200</v>
      </c>
      <c r="B203" t="s">
        <v>721</v>
      </c>
      <c r="C203">
        <v>22</v>
      </c>
      <c r="D203" t="s">
        <v>72</v>
      </c>
      <c r="E203" t="s">
        <v>78</v>
      </c>
      <c r="F203">
        <v>44</v>
      </c>
      <c r="G203">
        <v>9</v>
      </c>
      <c r="H203">
        <v>12</v>
      </c>
      <c r="I203">
        <v>21</v>
      </c>
      <c r="J203">
        <v>8</v>
      </c>
      <c r="K203">
        <v>23</v>
      </c>
      <c r="L203">
        <v>9</v>
      </c>
      <c r="M203">
        <v>0</v>
      </c>
      <c r="N203">
        <v>0</v>
      </c>
      <c r="O203">
        <v>1</v>
      </c>
      <c r="P203">
        <v>9</v>
      </c>
      <c r="Q203">
        <v>3</v>
      </c>
      <c r="R203">
        <v>0</v>
      </c>
      <c r="S203">
        <v>92</v>
      </c>
      <c r="T203">
        <v>9.8000000000000007</v>
      </c>
      <c r="U203">
        <v>168</v>
      </c>
      <c r="V203" s="2">
        <v>28.409027777777776</v>
      </c>
      <c r="W203" s="3">
        <v>0.64583333333333337</v>
      </c>
      <c r="X203">
        <v>222</v>
      </c>
      <c r="Y203">
        <v>288</v>
      </c>
      <c r="Z203">
        <v>43.5</v>
      </c>
      <c r="AA203">
        <v>13</v>
      </c>
      <c r="AB203">
        <v>19</v>
      </c>
      <c r="AC203">
        <v>15</v>
      </c>
      <c r="AD203">
        <v>27</v>
      </c>
      <c r="AF203" t="s">
        <v>722</v>
      </c>
    </row>
    <row r="204" spans="1:32" x14ac:dyDescent="0.3">
      <c r="A204">
        <v>201</v>
      </c>
      <c r="B204" t="s">
        <v>723</v>
      </c>
      <c r="C204">
        <v>31</v>
      </c>
      <c r="D204" t="s">
        <v>290</v>
      </c>
      <c r="E204" t="s">
        <v>380</v>
      </c>
      <c r="F204">
        <v>43</v>
      </c>
      <c r="G204">
        <v>9</v>
      </c>
      <c r="H204">
        <v>12</v>
      </c>
      <c r="I204">
        <v>21</v>
      </c>
      <c r="J204">
        <v>-12</v>
      </c>
      <c r="K204">
        <v>4</v>
      </c>
      <c r="L204">
        <v>5</v>
      </c>
      <c r="M204">
        <v>4</v>
      </c>
      <c r="N204">
        <v>0</v>
      </c>
      <c r="O204">
        <v>1</v>
      </c>
      <c r="P204">
        <v>5</v>
      </c>
      <c r="Q204">
        <v>7</v>
      </c>
      <c r="R204">
        <v>0</v>
      </c>
      <c r="S204">
        <v>52</v>
      </c>
      <c r="T204">
        <v>17.3</v>
      </c>
      <c r="U204">
        <v>113</v>
      </c>
      <c r="V204" s="2">
        <v>33.179166666666667</v>
      </c>
      <c r="W204" s="3">
        <v>0.77152777777777781</v>
      </c>
      <c r="X204">
        <v>35</v>
      </c>
      <c r="Y204">
        <v>38</v>
      </c>
      <c r="Z204">
        <v>47.9</v>
      </c>
      <c r="AA204">
        <v>27</v>
      </c>
      <c r="AB204">
        <v>17</v>
      </c>
      <c r="AC204">
        <v>16</v>
      </c>
      <c r="AD204">
        <v>40</v>
      </c>
      <c r="AF204" t="s">
        <v>724</v>
      </c>
    </row>
    <row r="205" spans="1:32" x14ac:dyDescent="0.3">
      <c r="A205">
        <v>202</v>
      </c>
      <c r="B205" t="s">
        <v>297</v>
      </c>
      <c r="C205">
        <v>26</v>
      </c>
      <c r="D205" t="s">
        <v>243</v>
      </c>
      <c r="E205" t="s">
        <v>101</v>
      </c>
      <c r="F205">
        <v>23</v>
      </c>
      <c r="G205">
        <v>8</v>
      </c>
      <c r="H205">
        <v>13</v>
      </c>
      <c r="I205">
        <v>21</v>
      </c>
      <c r="J205">
        <v>-6</v>
      </c>
      <c r="K205">
        <v>28</v>
      </c>
      <c r="L205">
        <v>6</v>
      </c>
      <c r="M205">
        <v>1</v>
      </c>
      <c r="N205">
        <v>1</v>
      </c>
      <c r="O205">
        <v>2</v>
      </c>
      <c r="P205">
        <v>7</v>
      </c>
      <c r="Q205">
        <v>6</v>
      </c>
      <c r="R205">
        <v>0</v>
      </c>
      <c r="S205">
        <v>95</v>
      </c>
      <c r="T205">
        <v>8.4</v>
      </c>
      <c r="U205">
        <v>158</v>
      </c>
      <c r="V205" s="2">
        <v>16.902083333333334</v>
      </c>
      <c r="W205" s="3">
        <v>0.73472222222222228</v>
      </c>
      <c r="X205">
        <v>59</v>
      </c>
      <c r="Y205">
        <v>47</v>
      </c>
      <c r="Z205">
        <v>55.7</v>
      </c>
      <c r="AA205">
        <v>6</v>
      </c>
      <c r="AB205">
        <v>72</v>
      </c>
      <c r="AC205">
        <v>5</v>
      </c>
      <c r="AD205">
        <v>17</v>
      </c>
      <c r="AF205" t="s">
        <v>725</v>
      </c>
    </row>
    <row r="206" spans="1:32" x14ac:dyDescent="0.3">
      <c r="A206">
        <v>203</v>
      </c>
      <c r="B206" t="s">
        <v>726</v>
      </c>
      <c r="C206">
        <v>32</v>
      </c>
      <c r="D206" t="s">
        <v>195</v>
      </c>
      <c r="E206" t="s">
        <v>101</v>
      </c>
      <c r="F206">
        <v>32</v>
      </c>
      <c r="G206">
        <v>8</v>
      </c>
      <c r="H206">
        <v>12</v>
      </c>
      <c r="I206">
        <v>20</v>
      </c>
      <c r="J206">
        <v>3</v>
      </c>
      <c r="K206">
        <v>16</v>
      </c>
      <c r="L206">
        <v>6</v>
      </c>
      <c r="M206">
        <v>2</v>
      </c>
      <c r="N206">
        <v>0</v>
      </c>
      <c r="O206">
        <v>3</v>
      </c>
      <c r="P206">
        <v>9</v>
      </c>
      <c r="Q206">
        <v>3</v>
      </c>
      <c r="R206">
        <v>0</v>
      </c>
      <c r="S206">
        <v>80</v>
      </c>
      <c r="T206">
        <v>10</v>
      </c>
      <c r="U206">
        <v>160</v>
      </c>
      <c r="V206" s="2">
        <v>19.033333333333335</v>
      </c>
      <c r="W206" s="3">
        <v>0.59513888888888888</v>
      </c>
      <c r="X206">
        <v>6</v>
      </c>
      <c r="Y206">
        <v>4</v>
      </c>
      <c r="Z206">
        <v>60</v>
      </c>
      <c r="AA206">
        <v>16</v>
      </c>
      <c r="AB206">
        <v>10</v>
      </c>
      <c r="AC206">
        <v>6</v>
      </c>
      <c r="AD206">
        <v>25</v>
      </c>
      <c r="AF206" t="s">
        <v>727</v>
      </c>
    </row>
    <row r="207" spans="1:32" x14ac:dyDescent="0.3">
      <c r="A207">
        <v>204</v>
      </c>
      <c r="B207" t="s">
        <v>728</v>
      </c>
      <c r="C207">
        <v>30</v>
      </c>
      <c r="D207" t="s">
        <v>121</v>
      </c>
      <c r="E207" t="s">
        <v>95</v>
      </c>
      <c r="F207">
        <v>42</v>
      </c>
      <c r="G207">
        <v>6</v>
      </c>
      <c r="H207">
        <v>14</v>
      </c>
      <c r="I207">
        <v>20</v>
      </c>
      <c r="J207">
        <v>-7</v>
      </c>
      <c r="K207">
        <v>8</v>
      </c>
      <c r="L207">
        <v>1</v>
      </c>
      <c r="M207">
        <v>5</v>
      </c>
      <c r="N207">
        <v>0</v>
      </c>
      <c r="O207">
        <v>1</v>
      </c>
      <c r="P207">
        <v>10</v>
      </c>
      <c r="Q207">
        <v>4</v>
      </c>
      <c r="R207">
        <v>0</v>
      </c>
      <c r="S207">
        <v>68</v>
      </c>
      <c r="T207">
        <v>8.8000000000000007</v>
      </c>
      <c r="U207">
        <v>156</v>
      </c>
      <c r="V207" s="2">
        <v>24.731249999999999</v>
      </c>
      <c r="W207" s="3">
        <v>0.58888888888888891</v>
      </c>
      <c r="X207">
        <v>5</v>
      </c>
      <c r="Y207">
        <v>7</v>
      </c>
      <c r="Z207">
        <v>41.7</v>
      </c>
      <c r="AA207">
        <v>18</v>
      </c>
      <c r="AB207">
        <v>36</v>
      </c>
      <c r="AC207">
        <v>8</v>
      </c>
      <c r="AD207">
        <v>23</v>
      </c>
      <c r="AF207" t="s">
        <v>729</v>
      </c>
    </row>
    <row r="208" spans="1:32" x14ac:dyDescent="0.3">
      <c r="A208">
        <v>205</v>
      </c>
      <c r="B208" t="s">
        <v>730</v>
      </c>
      <c r="C208">
        <v>27</v>
      </c>
      <c r="D208" t="s">
        <v>134</v>
      </c>
      <c r="E208" t="s">
        <v>380</v>
      </c>
      <c r="F208">
        <v>28</v>
      </c>
      <c r="G208">
        <v>12</v>
      </c>
      <c r="H208">
        <v>8</v>
      </c>
      <c r="I208">
        <v>20</v>
      </c>
      <c r="J208">
        <v>3</v>
      </c>
      <c r="K208">
        <v>4</v>
      </c>
      <c r="L208">
        <v>10</v>
      </c>
      <c r="M208">
        <v>2</v>
      </c>
      <c r="N208">
        <v>0</v>
      </c>
      <c r="O208">
        <v>3</v>
      </c>
      <c r="P208">
        <v>7</v>
      </c>
      <c r="Q208">
        <v>1</v>
      </c>
      <c r="R208">
        <v>0</v>
      </c>
      <c r="S208">
        <v>49</v>
      </c>
      <c r="T208">
        <v>24.5</v>
      </c>
      <c r="U208">
        <v>83</v>
      </c>
      <c r="V208" s="2">
        <v>15.444444444444445</v>
      </c>
      <c r="W208" s="3">
        <v>0.55138888888888893</v>
      </c>
      <c r="X208">
        <v>0</v>
      </c>
      <c r="Y208">
        <v>1</v>
      </c>
      <c r="Z208">
        <v>0</v>
      </c>
      <c r="AA208">
        <v>18</v>
      </c>
      <c r="AB208">
        <v>41</v>
      </c>
      <c r="AC208">
        <v>9</v>
      </c>
      <c r="AD208">
        <v>20</v>
      </c>
      <c r="AF208" t="s">
        <v>731</v>
      </c>
    </row>
    <row r="209" spans="1:32" x14ac:dyDescent="0.3">
      <c r="A209">
        <v>206</v>
      </c>
      <c r="B209" t="s">
        <v>732</v>
      </c>
      <c r="C209">
        <v>24</v>
      </c>
      <c r="D209" t="s">
        <v>278</v>
      </c>
      <c r="E209" t="s">
        <v>95</v>
      </c>
      <c r="F209">
        <v>41</v>
      </c>
      <c r="G209">
        <v>11</v>
      </c>
      <c r="H209">
        <v>9</v>
      </c>
      <c r="I209">
        <v>20</v>
      </c>
      <c r="J209">
        <v>-1</v>
      </c>
      <c r="K209">
        <v>20</v>
      </c>
      <c r="L209">
        <v>9</v>
      </c>
      <c r="M209">
        <v>2</v>
      </c>
      <c r="N209">
        <v>0</v>
      </c>
      <c r="O209">
        <v>3</v>
      </c>
      <c r="P209">
        <v>7</v>
      </c>
      <c r="Q209">
        <v>2</v>
      </c>
      <c r="R209">
        <v>0</v>
      </c>
      <c r="S209">
        <v>71</v>
      </c>
      <c r="T209">
        <v>15.5</v>
      </c>
      <c r="U209">
        <v>120</v>
      </c>
      <c r="V209" s="2">
        <v>25.834722222222222</v>
      </c>
      <c r="W209" s="3">
        <v>0.62986111111111109</v>
      </c>
      <c r="X209">
        <v>12</v>
      </c>
      <c r="Y209">
        <v>26</v>
      </c>
      <c r="Z209">
        <v>31.6</v>
      </c>
      <c r="AA209">
        <v>23</v>
      </c>
      <c r="AB209">
        <v>52</v>
      </c>
      <c r="AC209">
        <v>5</v>
      </c>
      <c r="AD209">
        <v>19</v>
      </c>
      <c r="AF209" t="s">
        <v>733</v>
      </c>
    </row>
    <row r="210" spans="1:32" x14ac:dyDescent="0.3">
      <c r="A210">
        <v>207</v>
      </c>
      <c r="B210" t="s">
        <v>734</v>
      </c>
      <c r="C210">
        <v>26</v>
      </c>
      <c r="D210" t="s">
        <v>82</v>
      </c>
      <c r="E210" t="s">
        <v>78</v>
      </c>
      <c r="F210">
        <v>44</v>
      </c>
      <c r="G210">
        <v>8</v>
      </c>
      <c r="H210">
        <v>12</v>
      </c>
      <c r="I210">
        <v>20</v>
      </c>
      <c r="J210">
        <v>-9</v>
      </c>
      <c r="K210">
        <v>18</v>
      </c>
      <c r="L210">
        <v>6</v>
      </c>
      <c r="M210">
        <v>2</v>
      </c>
      <c r="N210">
        <v>0</v>
      </c>
      <c r="O210">
        <v>2</v>
      </c>
      <c r="P210">
        <v>7</v>
      </c>
      <c r="Q210">
        <v>5</v>
      </c>
      <c r="R210">
        <v>0</v>
      </c>
      <c r="S210">
        <v>81</v>
      </c>
      <c r="T210">
        <v>9.9</v>
      </c>
      <c r="U210">
        <v>140</v>
      </c>
      <c r="V210" s="2">
        <v>28.740972222222222</v>
      </c>
      <c r="W210" s="3">
        <v>0.65347222222222223</v>
      </c>
      <c r="X210">
        <v>311</v>
      </c>
      <c r="Y210">
        <v>258</v>
      </c>
      <c r="Z210">
        <v>54.7</v>
      </c>
      <c r="AA210">
        <v>20</v>
      </c>
      <c r="AB210">
        <v>26</v>
      </c>
      <c r="AC210">
        <v>9</v>
      </c>
      <c r="AD210">
        <v>27</v>
      </c>
      <c r="AF210" t="s">
        <v>735</v>
      </c>
    </row>
    <row r="211" spans="1:32" x14ac:dyDescent="0.3">
      <c r="A211">
        <v>208</v>
      </c>
      <c r="B211" t="s">
        <v>736</v>
      </c>
      <c r="C211">
        <v>24</v>
      </c>
      <c r="D211" t="s">
        <v>188</v>
      </c>
      <c r="E211" t="s">
        <v>101</v>
      </c>
      <c r="F211">
        <v>44</v>
      </c>
      <c r="G211">
        <v>13</v>
      </c>
      <c r="H211">
        <v>7</v>
      </c>
      <c r="I211">
        <v>20</v>
      </c>
      <c r="J211">
        <v>0</v>
      </c>
      <c r="K211">
        <v>12</v>
      </c>
      <c r="L211">
        <v>11</v>
      </c>
      <c r="M211">
        <v>2</v>
      </c>
      <c r="N211">
        <v>0</v>
      </c>
      <c r="O211">
        <v>0</v>
      </c>
      <c r="P211">
        <v>7</v>
      </c>
      <c r="Q211">
        <v>0</v>
      </c>
      <c r="R211">
        <v>0</v>
      </c>
      <c r="S211">
        <v>91</v>
      </c>
      <c r="T211">
        <v>14.3</v>
      </c>
      <c r="U211">
        <v>178</v>
      </c>
      <c r="V211" s="2">
        <v>30.358333333333334</v>
      </c>
      <c r="W211" s="3">
        <v>0.69027777777777777</v>
      </c>
      <c r="X211">
        <v>4</v>
      </c>
      <c r="Y211">
        <v>3</v>
      </c>
      <c r="Z211">
        <v>57.1</v>
      </c>
      <c r="AA211">
        <v>31</v>
      </c>
      <c r="AB211">
        <v>145</v>
      </c>
      <c r="AC211">
        <v>6</v>
      </c>
      <c r="AD211">
        <v>26</v>
      </c>
      <c r="AF211" t="s">
        <v>737</v>
      </c>
    </row>
    <row r="212" spans="1:32" x14ac:dyDescent="0.3">
      <c r="A212">
        <v>209</v>
      </c>
      <c r="B212" t="s">
        <v>738</v>
      </c>
      <c r="C212">
        <v>24</v>
      </c>
      <c r="D212" t="s">
        <v>188</v>
      </c>
      <c r="E212" t="s">
        <v>95</v>
      </c>
      <c r="F212">
        <v>43</v>
      </c>
      <c r="G212">
        <v>10</v>
      </c>
      <c r="H212">
        <v>10</v>
      </c>
      <c r="I212">
        <v>20</v>
      </c>
      <c r="J212">
        <v>5</v>
      </c>
      <c r="K212">
        <v>12</v>
      </c>
      <c r="L212">
        <v>9</v>
      </c>
      <c r="M212">
        <v>0</v>
      </c>
      <c r="N212">
        <v>1</v>
      </c>
      <c r="O212">
        <v>1</v>
      </c>
      <c r="P212">
        <v>8</v>
      </c>
      <c r="Q212">
        <v>1</v>
      </c>
      <c r="R212">
        <v>1</v>
      </c>
      <c r="S212">
        <v>48</v>
      </c>
      <c r="T212">
        <v>20.8</v>
      </c>
      <c r="U212">
        <v>104</v>
      </c>
      <c r="V212" s="2">
        <v>28.802083333333332</v>
      </c>
      <c r="W212" s="3">
        <v>0.67013888888888884</v>
      </c>
      <c r="X212">
        <v>2</v>
      </c>
      <c r="Y212">
        <v>9</v>
      </c>
      <c r="Z212">
        <v>18.2</v>
      </c>
      <c r="AA212">
        <v>31</v>
      </c>
      <c r="AB212">
        <v>9</v>
      </c>
      <c r="AC212">
        <v>15</v>
      </c>
      <c r="AD212">
        <v>31</v>
      </c>
      <c r="AF212" t="s">
        <v>739</v>
      </c>
    </row>
    <row r="213" spans="1:32" x14ac:dyDescent="0.3">
      <c r="A213">
        <v>210</v>
      </c>
      <c r="B213" t="s">
        <v>740</v>
      </c>
      <c r="C213">
        <v>34</v>
      </c>
      <c r="D213" t="s">
        <v>193</v>
      </c>
      <c r="E213" t="s">
        <v>101</v>
      </c>
      <c r="F213">
        <v>42</v>
      </c>
      <c r="G213">
        <v>6</v>
      </c>
      <c r="H213">
        <v>14</v>
      </c>
      <c r="I213">
        <v>20</v>
      </c>
      <c r="J213">
        <v>-15</v>
      </c>
      <c r="K213">
        <v>55</v>
      </c>
      <c r="L213">
        <v>4</v>
      </c>
      <c r="M213">
        <v>2</v>
      </c>
      <c r="N213">
        <v>0</v>
      </c>
      <c r="O213">
        <v>1</v>
      </c>
      <c r="P213">
        <v>10</v>
      </c>
      <c r="Q213">
        <v>4</v>
      </c>
      <c r="R213">
        <v>0</v>
      </c>
      <c r="S213">
        <v>102</v>
      </c>
      <c r="T213">
        <v>5.9</v>
      </c>
      <c r="U213">
        <v>237</v>
      </c>
      <c r="V213" s="2">
        <v>29.878472222222221</v>
      </c>
      <c r="W213" s="3">
        <v>0.71111111111111114</v>
      </c>
      <c r="X213">
        <v>13</v>
      </c>
      <c r="Y213">
        <v>24</v>
      </c>
      <c r="Z213">
        <v>35.1</v>
      </c>
      <c r="AA213">
        <v>16</v>
      </c>
      <c r="AB213">
        <v>73</v>
      </c>
      <c r="AC213">
        <v>9</v>
      </c>
      <c r="AD213">
        <v>41</v>
      </c>
      <c r="AF213" t="s">
        <v>741</v>
      </c>
    </row>
    <row r="214" spans="1:32" x14ac:dyDescent="0.3">
      <c r="A214">
        <v>211</v>
      </c>
      <c r="B214" t="s">
        <v>742</v>
      </c>
      <c r="C214">
        <v>20</v>
      </c>
      <c r="D214" t="s">
        <v>290</v>
      </c>
      <c r="E214" t="s">
        <v>87</v>
      </c>
      <c r="F214">
        <v>42</v>
      </c>
      <c r="G214">
        <v>2</v>
      </c>
      <c r="H214">
        <v>18</v>
      </c>
      <c r="I214">
        <v>20</v>
      </c>
      <c r="J214">
        <v>-17</v>
      </c>
      <c r="K214">
        <v>28</v>
      </c>
      <c r="L214">
        <v>1</v>
      </c>
      <c r="M214">
        <v>1</v>
      </c>
      <c r="N214">
        <v>0</v>
      </c>
      <c r="O214">
        <v>0</v>
      </c>
      <c r="P214">
        <v>9</v>
      </c>
      <c r="Q214">
        <v>9</v>
      </c>
      <c r="R214">
        <v>0</v>
      </c>
      <c r="S214">
        <v>55</v>
      </c>
      <c r="T214">
        <v>3.6</v>
      </c>
      <c r="U214">
        <v>138</v>
      </c>
      <c r="V214" s="2">
        <v>32.638888888888886</v>
      </c>
      <c r="W214" s="3">
        <v>0.77708333333333335</v>
      </c>
      <c r="X214">
        <v>0</v>
      </c>
      <c r="Y214">
        <v>0</v>
      </c>
      <c r="AA214">
        <v>41</v>
      </c>
      <c r="AB214">
        <v>42</v>
      </c>
      <c r="AC214">
        <v>10</v>
      </c>
      <c r="AD214">
        <v>52</v>
      </c>
      <c r="AF214" t="s">
        <v>743</v>
      </c>
    </row>
    <row r="215" spans="1:32" x14ac:dyDescent="0.3">
      <c r="A215">
        <v>212</v>
      </c>
      <c r="B215" t="s">
        <v>744</v>
      </c>
      <c r="C215">
        <v>28</v>
      </c>
      <c r="D215" t="s">
        <v>210</v>
      </c>
      <c r="E215" t="s">
        <v>87</v>
      </c>
      <c r="F215">
        <v>45</v>
      </c>
      <c r="G215">
        <v>3</v>
      </c>
      <c r="H215">
        <v>17</v>
      </c>
      <c r="I215">
        <v>20</v>
      </c>
      <c r="J215">
        <v>22</v>
      </c>
      <c r="K215">
        <v>8</v>
      </c>
      <c r="L215">
        <v>2</v>
      </c>
      <c r="M215">
        <v>0</v>
      </c>
      <c r="N215">
        <v>1</v>
      </c>
      <c r="O215">
        <v>1</v>
      </c>
      <c r="P215">
        <v>17</v>
      </c>
      <c r="Q215">
        <v>0</v>
      </c>
      <c r="R215">
        <v>0</v>
      </c>
      <c r="S215">
        <v>36</v>
      </c>
      <c r="T215">
        <v>8.3000000000000007</v>
      </c>
      <c r="U215">
        <v>107</v>
      </c>
      <c r="V215" s="2">
        <v>38.257638888888891</v>
      </c>
      <c r="W215" s="3">
        <v>0.85</v>
      </c>
      <c r="X215">
        <v>0</v>
      </c>
      <c r="Y215">
        <v>0</v>
      </c>
      <c r="AA215">
        <v>42</v>
      </c>
      <c r="AB215">
        <v>14</v>
      </c>
      <c r="AC215">
        <v>11</v>
      </c>
      <c r="AD215">
        <v>58</v>
      </c>
      <c r="AF215" t="s">
        <v>745</v>
      </c>
    </row>
    <row r="216" spans="1:32" x14ac:dyDescent="0.3">
      <c r="A216">
        <v>213</v>
      </c>
      <c r="B216" t="s">
        <v>746</v>
      </c>
      <c r="C216">
        <v>31</v>
      </c>
      <c r="D216" t="s">
        <v>204</v>
      </c>
      <c r="E216" t="s">
        <v>87</v>
      </c>
      <c r="F216">
        <v>41</v>
      </c>
      <c r="G216">
        <v>4</v>
      </c>
      <c r="H216">
        <v>16</v>
      </c>
      <c r="I216">
        <v>20</v>
      </c>
      <c r="J216">
        <v>7</v>
      </c>
      <c r="K216">
        <v>18</v>
      </c>
      <c r="L216">
        <v>4</v>
      </c>
      <c r="M216">
        <v>0</v>
      </c>
      <c r="N216">
        <v>0</v>
      </c>
      <c r="O216">
        <v>1</v>
      </c>
      <c r="P216">
        <v>16</v>
      </c>
      <c r="Q216">
        <v>0</v>
      </c>
      <c r="R216">
        <v>0</v>
      </c>
      <c r="S216">
        <v>54</v>
      </c>
      <c r="T216">
        <v>7.4</v>
      </c>
      <c r="U216">
        <v>139</v>
      </c>
      <c r="V216" s="2">
        <v>42.727083333333333</v>
      </c>
      <c r="W216" s="2">
        <v>1.0423611111111111</v>
      </c>
      <c r="X216">
        <v>0</v>
      </c>
      <c r="Y216">
        <v>0</v>
      </c>
      <c r="AA216">
        <v>91</v>
      </c>
      <c r="AB216">
        <v>26</v>
      </c>
      <c r="AC216">
        <v>17</v>
      </c>
      <c r="AD216">
        <v>45</v>
      </c>
      <c r="AF216" t="s">
        <v>747</v>
      </c>
    </row>
    <row r="217" spans="1:32" x14ac:dyDescent="0.3">
      <c r="A217">
        <v>214</v>
      </c>
      <c r="B217" t="s">
        <v>748</v>
      </c>
      <c r="C217">
        <v>26</v>
      </c>
      <c r="D217" t="s">
        <v>72</v>
      </c>
      <c r="E217" t="s">
        <v>87</v>
      </c>
      <c r="F217">
        <v>36</v>
      </c>
      <c r="G217">
        <v>4</v>
      </c>
      <c r="H217">
        <v>16</v>
      </c>
      <c r="I217">
        <v>20</v>
      </c>
      <c r="J217">
        <v>0</v>
      </c>
      <c r="K217">
        <v>34</v>
      </c>
      <c r="L217">
        <v>3</v>
      </c>
      <c r="M217">
        <v>1</v>
      </c>
      <c r="N217">
        <v>0</v>
      </c>
      <c r="O217">
        <v>1</v>
      </c>
      <c r="P217">
        <v>12</v>
      </c>
      <c r="Q217">
        <v>2</v>
      </c>
      <c r="R217">
        <v>2</v>
      </c>
      <c r="S217">
        <v>61</v>
      </c>
      <c r="T217">
        <v>6.6</v>
      </c>
      <c r="U217">
        <v>171</v>
      </c>
      <c r="V217" s="2">
        <v>33.859027777777776</v>
      </c>
      <c r="W217" s="3">
        <v>0.94027777777777777</v>
      </c>
      <c r="X217">
        <v>0</v>
      </c>
      <c r="Y217">
        <v>1</v>
      </c>
      <c r="Z217">
        <v>0</v>
      </c>
      <c r="AA217">
        <v>37</v>
      </c>
      <c r="AB217">
        <v>48</v>
      </c>
      <c r="AC217">
        <v>27</v>
      </c>
      <c r="AD217">
        <v>51</v>
      </c>
      <c r="AF217" t="s">
        <v>749</v>
      </c>
    </row>
    <row r="218" spans="1:32" x14ac:dyDescent="0.3">
      <c r="A218">
        <v>215</v>
      </c>
      <c r="B218" t="s">
        <v>750</v>
      </c>
      <c r="C218">
        <v>32</v>
      </c>
      <c r="D218" t="s">
        <v>164</v>
      </c>
      <c r="E218" t="s">
        <v>78</v>
      </c>
      <c r="F218">
        <v>43</v>
      </c>
      <c r="G218">
        <v>8</v>
      </c>
      <c r="H218">
        <v>12</v>
      </c>
      <c r="I218">
        <v>20</v>
      </c>
      <c r="J218">
        <v>-5</v>
      </c>
      <c r="K218">
        <v>22</v>
      </c>
      <c r="L218">
        <v>8</v>
      </c>
      <c r="M218">
        <v>0</v>
      </c>
      <c r="N218">
        <v>0</v>
      </c>
      <c r="O218">
        <v>0</v>
      </c>
      <c r="P218">
        <v>10</v>
      </c>
      <c r="Q218">
        <v>2</v>
      </c>
      <c r="R218">
        <v>0</v>
      </c>
      <c r="S218">
        <v>96</v>
      </c>
      <c r="T218">
        <v>8.3000000000000007</v>
      </c>
      <c r="U218">
        <v>198</v>
      </c>
      <c r="V218" s="2">
        <v>30.820833333333333</v>
      </c>
      <c r="W218" s="3">
        <v>0.71666666666666667</v>
      </c>
      <c r="X218">
        <v>235</v>
      </c>
      <c r="Y218">
        <v>273</v>
      </c>
      <c r="Z218">
        <v>46.3</v>
      </c>
      <c r="AA218">
        <v>16</v>
      </c>
      <c r="AB218">
        <v>45</v>
      </c>
      <c r="AC218">
        <v>17</v>
      </c>
      <c r="AD218">
        <v>32</v>
      </c>
      <c r="AF218" t="s">
        <v>751</v>
      </c>
    </row>
    <row r="219" spans="1:32" x14ac:dyDescent="0.3">
      <c r="A219">
        <v>216</v>
      </c>
      <c r="B219" t="s">
        <v>752</v>
      </c>
      <c r="C219">
        <v>29</v>
      </c>
      <c r="D219" t="s">
        <v>250</v>
      </c>
      <c r="E219" t="s">
        <v>78</v>
      </c>
      <c r="F219">
        <v>31</v>
      </c>
      <c r="G219">
        <v>12</v>
      </c>
      <c r="H219">
        <v>8</v>
      </c>
      <c r="I219">
        <v>20</v>
      </c>
      <c r="J219">
        <v>-5</v>
      </c>
      <c r="K219">
        <v>10</v>
      </c>
      <c r="L219">
        <v>9</v>
      </c>
      <c r="M219">
        <v>3</v>
      </c>
      <c r="N219">
        <v>0</v>
      </c>
      <c r="O219">
        <v>3</v>
      </c>
      <c r="P219">
        <v>6</v>
      </c>
      <c r="Q219">
        <v>2</v>
      </c>
      <c r="R219">
        <v>0</v>
      </c>
      <c r="S219">
        <v>71</v>
      </c>
      <c r="T219">
        <v>16.899999999999999</v>
      </c>
      <c r="U219">
        <v>119</v>
      </c>
      <c r="V219" s="2">
        <v>21.53125</v>
      </c>
      <c r="W219" s="3">
        <v>0.69444444444444442</v>
      </c>
      <c r="X219">
        <v>44</v>
      </c>
      <c r="Y219">
        <v>35</v>
      </c>
      <c r="Z219">
        <v>55.7</v>
      </c>
      <c r="AA219">
        <v>9</v>
      </c>
      <c r="AB219">
        <v>12</v>
      </c>
      <c r="AC219">
        <v>8</v>
      </c>
      <c r="AD219">
        <v>34</v>
      </c>
      <c r="AF219" t="s">
        <v>753</v>
      </c>
    </row>
    <row r="220" spans="1:32" x14ac:dyDescent="0.3">
      <c r="A220">
        <v>217</v>
      </c>
      <c r="B220" t="s">
        <v>754</v>
      </c>
      <c r="C220">
        <v>22</v>
      </c>
      <c r="D220" t="s">
        <v>306</v>
      </c>
      <c r="E220" t="s">
        <v>78</v>
      </c>
      <c r="F220">
        <v>42</v>
      </c>
      <c r="G220">
        <v>5</v>
      </c>
      <c r="H220">
        <v>15</v>
      </c>
      <c r="I220">
        <v>20</v>
      </c>
      <c r="J220">
        <v>-1</v>
      </c>
      <c r="K220">
        <v>18</v>
      </c>
      <c r="L220">
        <v>5</v>
      </c>
      <c r="M220">
        <v>0</v>
      </c>
      <c r="N220">
        <v>0</v>
      </c>
      <c r="O220">
        <v>1</v>
      </c>
      <c r="P220">
        <v>14</v>
      </c>
      <c r="Q220">
        <v>1</v>
      </c>
      <c r="R220">
        <v>0</v>
      </c>
      <c r="S220">
        <v>77</v>
      </c>
      <c r="T220">
        <v>6.5</v>
      </c>
      <c r="U220">
        <v>133</v>
      </c>
      <c r="V220" s="2">
        <v>27.327083333333334</v>
      </c>
      <c r="W220" s="3">
        <v>0.65069444444444446</v>
      </c>
      <c r="X220">
        <v>31</v>
      </c>
      <c r="Y220">
        <v>52</v>
      </c>
      <c r="Z220">
        <v>37.299999999999997</v>
      </c>
      <c r="AA220">
        <v>19</v>
      </c>
      <c r="AB220">
        <v>49</v>
      </c>
      <c r="AC220">
        <v>18</v>
      </c>
      <c r="AD220">
        <v>40</v>
      </c>
      <c r="AF220" t="s">
        <v>755</v>
      </c>
    </row>
    <row r="221" spans="1:32" x14ac:dyDescent="0.3">
      <c r="A221">
        <v>218</v>
      </c>
      <c r="B221" t="s">
        <v>756</v>
      </c>
      <c r="C221">
        <v>34</v>
      </c>
      <c r="D221" t="s">
        <v>109</v>
      </c>
      <c r="E221" t="s">
        <v>95</v>
      </c>
      <c r="F221">
        <v>38</v>
      </c>
      <c r="G221">
        <v>8</v>
      </c>
      <c r="H221">
        <v>12</v>
      </c>
      <c r="I221">
        <v>20</v>
      </c>
      <c r="J221">
        <v>-5</v>
      </c>
      <c r="K221">
        <v>6</v>
      </c>
      <c r="L221">
        <v>7</v>
      </c>
      <c r="M221">
        <v>1</v>
      </c>
      <c r="N221">
        <v>0</v>
      </c>
      <c r="O221">
        <v>1</v>
      </c>
      <c r="P221">
        <v>6</v>
      </c>
      <c r="Q221">
        <v>6</v>
      </c>
      <c r="R221">
        <v>0</v>
      </c>
      <c r="S221">
        <v>69</v>
      </c>
      <c r="T221">
        <v>11.6</v>
      </c>
      <c r="U221">
        <v>141</v>
      </c>
      <c r="V221" s="2">
        <v>23.875</v>
      </c>
      <c r="W221" s="3">
        <v>0.62847222222222221</v>
      </c>
      <c r="X221">
        <v>5</v>
      </c>
      <c r="Y221">
        <v>4</v>
      </c>
      <c r="Z221">
        <v>55.6</v>
      </c>
      <c r="AA221">
        <v>16</v>
      </c>
      <c r="AB221">
        <v>30</v>
      </c>
      <c r="AC221">
        <v>8</v>
      </c>
      <c r="AD221">
        <v>28</v>
      </c>
      <c r="AF221" t="s">
        <v>757</v>
      </c>
    </row>
    <row r="222" spans="1:32" x14ac:dyDescent="0.3">
      <c r="A222">
        <v>219</v>
      </c>
      <c r="B222" t="s">
        <v>293</v>
      </c>
      <c r="C222">
        <v>30</v>
      </c>
      <c r="D222" t="s">
        <v>409</v>
      </c>
      <c r="E222" t="s">
        <v>87</v>
      </c>
      <c r="F222">
        <v>31</v>
      </c>
      <c r="G222">
        <v>4</v>
      </c>
      <c r="H222">
        <v>16</v>
      </c>
      <c r="I222">
        <v>20</v>
      </c>
      <c r="J222">
        <v>5</v>
      </c>
      <c r="K222">
        <v>6</v>
      </c>
      <c r="L222">
        <v>3</v>
      </c>
      <c r="M222">
        <v>1</v>
      </c>
      <c r="N222">
        <v>0</v>
      </c>
      <c r="O222">
        <v>2</v>
      </c>
      <c r="P222">
        <v>13</v>
      </c>
      <c r="Q222">
        <v>3</v>
      </c>
      <c r="R222">
        <v>0</v>
      </c>
      <c r="S222">
        <v>74</v>
      </c>
      <c r="T222">
        <v>5.4</v>
      </c>
      <c r="U222">
        <v>165</v>
      </c>
      <c r="V222" s="2">
        <v>31.025694444444444</v>
      </c>
      <c r="W222" s="2">
        <v>1.0006944444444446</v>
      </c>
      <c r="X222">
        <v>0</v>
      </c>
      <c r="Y222">
        <v>0</v>
      </c>
      <c r="AA222">
        <v>48</v>
      </c>
      <c r="AB222">
        <v>1</v>
      </c>
      <c r="AC222">
        <v>12</v>
      </c>
      <c r="AD222">
        <v>39</v>
      </c>
      <c r="AF222" t="s">
        <v>758</v>
      </c>
    </row>
    <row r="223" spans="1:32" x14ac:dyDescent="0.3">
      <c r="A223">
        <v>220</v>
      </c>
      <c r="B223" t="s">
        <v>759</v>
      </c>
      <c r="C223">
        <v>38</v>
      </c>
      <c r="D223" t="s">
        <v>109</v>
      </c>
      <c r="E223" t="s">
        <v>101</v>
      </c>
      <c r="F223">
        <v>25</v>
      </c>
      <c r="G223">
        <v>5</v>
      </c>
      <c r="H223">
        <v>15</v>
      </c>
      <c r="I223">
        <v>20</v>
      </c>
      <c r="J223">
        <v>-2</v>
      </c>
      <c r="K223">
        <v>6</v>
      </c>
      <c r="L223">
        <v>3</v>
      </c>
      <c r="M223">
        <v>2</v>
      </c>
      <c r="N223">
        <v>0</v>
      </c>
      <c r="O223">
        <v>1</v>
      </c>
      <c r="P223">
        <v>12</v>
      </c>
      <c r="Q223">
        <v>3</v>
      </c>
      <c r="R223">
        <v>0</v>
      </c>
      <c r="S223">
        <v>50</v>
      </c>
      <c r="T223">
        <v>10</v>
      </c>
      <c r="U223">
        <v>99</v>
      </c>
      <c r="V223" s="2">
        <v>18.951388888888889</v>
      </c>
      <c r="W223" s="3">
        <v>0.7583333333333333</v>
      </c>
      <c r="X223">
        <v>8</v>
      </c>
      <c r="Y223">
        <v>11</v>
      </c>
      <c r="Z223">
        <v>42.1</v>
      </c>
      <c r="AA223">
        <v>13</v>
      </c>
      <c r="AB223">
        <v>11</v>
      </c>
      <c r="AC223">
        <v>7</v>
      </c>
      <c r="AD223">
        <v>27</v>
      </c>
      <c r="AF223" t="s">
        <v>760</v>
      </c>
    </row>
    <row r="224" spans="1:32" x14ac:dyDescent="0.3">
      <c r="A224">
        <v>221</v>
      </c>
      <c r="B224" t="s">
        <v>761</v>
      </c>
      <c r="C224">
        <v>34</v>
      </c>
      <c r="D224" t="s">
        <v>139</v>
      </c>
      <c r="E224" t="s">
        <v>101</v>
      </c>
      <c r="F224">
        <v>23</v>
      </c>
      <c r="G224">
        <v>10</v>
      </c>
      <c r="H224">
        <v>10</v>
      </c>
      <c r="I224">
        <v>20</v>
      </c>
      <c r="J224">
        <v>-7</v>
      </c>
      <c r="K224">
        <v>10</v>
      </c>
      <c r="L224">
        <v>4</v>
      </c>
      <c r="M224">
        <v>6</v>
      </c>
      <c r="N224">
        <v>0</v>
      </c>
      <c r="O224">
        <v>2</v>
      </c>
      <c r="P224">
        <v>6</v>
      </c>
      <c r="Q224">
        <v>4</v>
      </c>
      <c r="R224">
        <v>0</v>
      </c>
      <c r="S224">
        <v>52</v>
      </c>
      <c r="T224">
        <v>19.2</v>
      </c>
      <c r="U224">
        <v>88</v>
      </c>
      <c r="V224" s="2">
        <v>14.872222222222222</v>
      </c>
      <c r="W224" s="3">
        <v>0.64652777777777781</v>
      </c>
      <c r="X224">
        <v>18</v>
      </c>
      <c r="Y224">
        <v>38</v>
      </c>
      <c r="Z224">
        <v>32.1</v>
      </c>
      <c r="AA224">
        <v>4</v>
      </c>
      <c r="AB224">
        <v>23</v>
      </c>
      <c r="AC224">
        <v>3</v>
      </c>
      <c r="AD224">
        <v>19</v>
      </c>
      <c r="AF224" t="s">
        <v>762</v>
      </c>
    </row>
    <row r="225" spans="1:32" x14ac:dyDescent="0.3">
      <c r="A225">
        <v>222</v>
      </c>
      <c r="B225" t="s">
        <v>763</v>
      </c>
      <c r="C225">
        <v>30</v>
      </c>
      <c r="D225" t="s">
        <v>472</v>
      </c>
      <c r="E225" t="s">
        <v>380</v>
      </c>
      <c r="F225">
        <v>36</v>
      </c>
      <c r="G225">
        <v>9</v>
      </c>
      <c r="H225">
        <v>11</v>
      </c>
      <c r="I225">
        <v>20</v>
      </c>
      <c r="J225">
        <v>0</v>
      </c>
      <c r="K225">
        <v>36</v>
      </c>
      <c r="L225">
        <v>7</v>
      </c>
      <c r="M225">
        <v>2</v>
      </c>
      <c r="N225">
        <v>0</v>
      </c>
      <c r="O225">
        <v>2</v>
      </c>
      <c r="P225">
        <v>8</v>
      </c>
      <c r="Q225">
        <v>3</v>
      </c>
      <c r="R225">
        <v>0</v>
      </c>
      <c r="S225">
        <v>61</v>
      </c>
      <c r="T225">
        <v>14.8</v>
      </c>
      <c r="U225">
        <v>139</v>
      </c>
      <c r="V225" s="2">
        <v>25.821527777777778</v>
      </c>
      <c r="W225" s="3">
        <v>0.71736111111111112</v>
      </c>
      <c r="X225">
        <v>14</v>
      </c>
      <c r="Y225">
        <v>24</v>
      </c>
      <c r="Z225">
        <v>36.799999999999997</v>
      </c>
      <c r="AA225">
        <v>12</v>
      </c>
      <c r="AB225">
        <v>43</v>
      </c>
      <c r="AC225">
        <v>13</v>
      </c>
      <c r="AD225">
        <v>47</v>
      </c>
      <c r="AF225" t="s">
        <v>764</v>
      </c>
    </row>
    <row r="226" spans="1:32" x14ac:dyDescent="0.3">
      <c r="A226">
        <v>222</v>
      </c>
      <c r="B226" t="s">
        <v>763</v>
      </c>
      <c r="C226">
        <v>30</v>
      </c>
      <c r="D226" t="s">
        <v>200</v>
      </c>
      <c r="E226" t="s">
        <v>380</v>
      </c>
      <c r="F226">
        <v>29</v>
      </c>
      <c r="G226">
        <v>4</v>
      </c>
      <c r="H226">
        <v>9</v>
      </c>
      <c r="I226">
        <v>13</v>
      </c>
      <c r="J226">
        <v>-4</v>
      </c>
      <c r="K226">
        <v>26</v>
      </c>
      <c r="L226">
        <v>4</v>
      </c>
      <c r="M226">
        <v>0</v>
      </c>
      <c r="N226">
        <v>0</v>
      </c>
      <c r="O226">
        <v>1</v>
      </c>
      <c r="P226">
        <v>6</v>
      </c>
      <c r="Q226">
        <v>3</v>
      </c>
      <c r="R226">
        <v>0</v>
      </c>
      <c r="S226">
        <v>46</v>
      </c>
      <c r="T226">
        <v>8.6999999999999993</v>
      </c>
      <c r="U226">
        <v>109</v>
      </c>
      <c r="V226" s="2">
        <v>20.481944444444444</v>
      </c>
      <c r="W226" s="3">
        <v>0.70625000000000004</v>
      </c>
      <c r="X226">
        <v>10</v>
      </c>
      <c r="Y226">
        <v>21</v>
      </c>
      <c r="Z226">
        <v>32.299999999999997</v>
      </c>
      <c r="AA226">
        <v>10</v>
      </c>
      <c r="AB226">
        <v>38</v>
      </c>
      <c r="AC226">
        <v>9</v>
      </c>
      <c r="AD226">
        <v>39</v>
      </c>
      <c r="AF226" t="s">
        <v>764</v>
      </c>
    </row>
    <row r="227" spans="1:32" x14ac:dyDescent="0.3">
      <c r="A227">
        <v>222</v>
      </c>
      <c r="B227" t="s">
        <v>763</v>
      </c>
      <c r="C227">
        <v>30</v>
      </c>
      <c r="D227" t="s">
        <v>306</v>
      </c>
      <c r="E227" t="s">
        <v>380</v>
      </c>
      <c r="F227">
        <v>7</v>
      </c>
      <c r="G227">
        <v>5</v>
      </c>
      <c r="H227">
        <v>2</v>
      </c>
      <c r="I227">
        <v>7</v>
      </c>
      <c r="J227">
        <v>4</v>
      </c>
      <c r="K227">
        <v>10</v>
      </c>
      <c r="L227">
        <v>3</v>
      </c>
      <c r="M227">
        <v>2</v>
      </c>
      <c r="N227">
        <v>0</v>
      </c>
      <c r="O227">
        <v>1</v>
      </c>
      <c r="P227">
        <v>2</v>
      </c>
      <c r="Q227">
        <v>0</v>
      </c>
      <c r="R227">
        <v>0</v>
      </c>
      <c r="S227">
        <v>15</v>
      </c>
      <c r="T227">
        <v>33.299999999999997</v>
      </c>
      <c r="U227">
        <v>30</v>
      </c>
      <c r="V227" s="2">
        <v>5.3395833333333336</v>
      </c>
      <c r="W227" s="3">
        <v>0.76249999999999996</v>
      </c>
      <c r="X227">
        <v>4</v>
      </c>
      <c r="Y227">
        <v>3</v>
      </c>
      <c r="Z227">
        <v>57.1</v>
      </c>
      <c r="AA227">
        <v>2</v>
      </c>
      <c r="AB227">
        <v>5</v>
      </c>
      <c r="AC227">
        <v>4</v>
      </c>
      <c r="AD227">
        <v>8</v>
      </c>
      <c r="AF227" t="s">
        <v>764</v>
      </c>
    </row>
    <row r="228" spans="1:32" x14ac:dyDescent="0.3">
      <c r="A228">
        <v>223</v>
      </c>
      <c r="B228" t="s">
        <v>765</v>
      </c>
      <c r="C228">
        <v>22</v>
      </c>
      <c r="D228" t="s">
        <v>91</v>
      </c>
      <c r="E228" t="s">
        <v>87</v>
      </c>
      <c r="F228">
        <v>43</v>
      </c>
      <c r="G228">
        <v>5</v>
      </c>
      <c r="H228">
        <v>14</v>
      </c>
      <c r="I228">
        <v>19</v>
      </c>
      <c r="J228">
        <v>10</v>
      </c>
      <c r="K228">
        <v>24</v>
      </c>
      <c r="L228">
        <v>4</v>
      </c>
      <c r="M228">
        <v>1</v>
      </c>
      <c r="N228">
        <v>0</v>
      </c>
      <c r="O228">
        <v>2</v>
      </c>
      <c r="P228">
        <v>11</v>
      </c>
      <c r="Q228">
        <v>3</v>
      </c>
      <c r="R228">
        <v>0</v>
      </c>
      <c r="S228">
        <v>84</v>
      </c>
      <c r="T228">
        <v>6</v>
      </c>
      <c r="U228">
        <v>159</v>
      </c>
      <c r="V228" s="2">
        <v>33.460416666666667</v>
      </c>
      <c r="W228" s="3">
        <v>0.77847222222222223</v>
      </c>
      <c r="X228">
        <v>0</v>
      </c>
      <c r="Y228">
        <v>0</v>
      </c>
      <c r="AA228">
        <v>74</v>
      </c>
      <c r="AB228">
        <v>21</v>
      </c>
      <c r="AC228">
        <v>15</v>
      </c>
      <c r="AD228">
        <v>49</v>
      </c>
      <c r="AF228" t="s">
        <v>766</v>
      </c>
    </row>
    <row r="229" spans="1:32" x14ac:dyDescent="0.3">
      <c r="A229">
        <v>224</v>
      </c>
      <c r="B229" t="s">
        <v>767</v>
      </c>
      <c r="C229">
        <v>29</v>
      </c>
      <c r="D229" t="s">
        <v>216</v>
      </c>
      <c r="E229" t="s">
        <v>78</v>
      </c>
      <c r="F229">
        <v>43</v>
      </c>
      <c r="G229">
        <v>5</v>
      </c>
      <c r="H229">
        <v>14</v>
      </c>
      <c r="I229">
        <v>19</v>
      </c>
      <c r="J229">
        <v>12</v>
      </c>
      <c r="K229">
        <v>9</v>
      </c>
      <c r="L229">
        <v>5</v>
      </c>
      <c r="M229">
        <v>0</v>
      </c>
      <c r="N229">
        <v>0</v>
      </c>
      <c r="O229">
        <v>2</v>
      </c>
      <c r="P229">
        <v>14</v>
      </c>
      <c r="Q229">
        <v>0</v>
      </c>
      <c r="R229">
        <v>0</v>
      </c>
      <c r="S229">
        <v>94</v>
      </c>
      <c r="T229">
        <v>5.3</v>
      </c>
      <c r="U229">
        <v>173</v>
      </c>
      <c r="V229" s="2">
        <v>23.006250000000001</v>
      </c>
      <c r="W229" s="3">
        <v>0.53472222222222221</v>
      </c>
      <c r="X229">
        <v>35</v>
      </c>
      <c r="Y229">
        <v>39</v>
      </c>
      <c r="Z229">
        <v>47.3</v>
      </c>
      <c r="AA229">
        <v>19</v>
      </c>
      <c r="AB229">
        <v>93</v>
      </c>
      <c r="AC229">
        <v>8</v>
      </c>
      <c r="AD229">
        <v>35</v>
      </c>
      <c r="AF229" t="s">
        <v>768</v>
      </c>
    </row>
    <row r="230" spans="1:32" x14ac:dyDescent="0.3">
      <c r="A230">
        <v>225</v>
      </c>
      <c r="B230" t="s">
        <v>769</v>
      </c>
      <c r="C230">
        <v>30</v>
      </c>
      <c r="D230" t="s">
        <v>150</v>
      </c>
      <c r="E230" t="s">
        <v>101</v>
      </c>
      <c r="F230">
        <v>41</v>
      </c>
      <c r="G230">
        <v>4</v>
      </c>
      <c r="H230">
        <v>15</v>
      </c>
      <c r="I230">
        <v>19</v>
      </c>
      <c r="J230">
        <v>-13</v>
      </c>
      <c r="K230">
        <v>27</v>
      </c>
      <c r="L230">
        <v>4</v>
      </c>
      <c r="M230">
        <v>0</v>
      </c>
      <c r="N230">
        <v>0</v>
      </c>
      <c r="O230">
        <v>2</v>
      </c>
      <c r="P230">
        <v>11</v>
      </c>
      <c r="Q230">
        <v>4</v>
      </c>
      <c r="R230">
        <v>0</v>
      </c>
      <c r="S230">
        <v>62</v>
      </c>
      <c r="T230">
        <v>6.5</v>
      </c>
      <c r="U230">
        <v>118</v>
      </c>
      <c r="V230" s="2">
        <v>24.679166666666667</v>
      </c>
      <c r="W230" s="3">
        <v>0.6020833333333333</v>
      </c>
      <c r="X230">
        <v>101</v>
      </c>
      <c r="Y230">
        <v>93</v>
      </c>
      <c r="Z230">
        <v>52.1</v>
      </c>
      <c r="AA230">
        <v>19</v>
      </c>
      <c r="AB230">
        <v>23</v>
      </c>
      <c r="AC230">
        <v>10</v>
      </c>
      <c r="AD230">
        <v>51</v>
      </c>
      <c r="AF230" t="s">
        <v>770</v>
      </c>
    </row>
    <row r="231" spans="1:32" x14ac:dyDescent="0.3">
      <c r="A231">
        <v>226</v>
      </c>
      <c r="B231" t="s">
        <v>771</v>
      </c>
      <c r="C231">
        <v>30</v>
      </c>
      <c r="D231" t="s">
        <v>188</v>
      </c>
      <c r="E231" t="s">
        <v>101</v>
      </c>
      <c r="F231">
        <v>38</v>
      </c>
      <c r="G231">
        <v>3</v>
      </c>
      <c r="H231">
        <v>16</v>
      </c>
      <c r="I231">
        <v>19</v>
      </c>
      <c r="J231">
        <v>2</v>
      </c>
      <c r="K231">
        <v>17</v>
      </c>
      <c r="L231">
        <v>3</v>
      </c>
      <c r="M231">
        <v>0</v>
      </c>
      <c r="N231">
        <v>0</v>
      </c>
      <c r="O231">
        <v>0</v>
      </c>
      <c r="P231">
        <v>12</v>
      </c>
      <c r="Q231">
        <v>4</v>
      </c>
      <c r="R231">
        <v>0</v>
      </c>
      <c r="S231">
        <v>52</v>
      </c>
      <c r="T231">
        <v>5.8</v>
      </c>
      <c r="U231">
        <v>106</v>
      </c>
      <c r="V231" s="2">
        <v>28.446527777777778</v>
      </c>
      <c r="W231" s="3">
        <v>0.74861111111111112</v>
      </c>
      <c r="X231">
        <v>68</v>
      </c>
      <c r="Y231">
        <v>63</v>
      </c>
      <c r="Z231">
        <v>51.9</v>
      </c>
      <c r="AA231">
        <v>14</v>
      </c>
      <c r="AB231">
        <v>9</v>
      </c>
      <c r="AC231">
        <v>7</v>
      </c>
      <c r="AD231">
        <v>25</v>
      </c>
      <c r="AF231" t="s">
        <v>772</v>
      </c>
    </row>
    <row r="232" spans="1:32" x14ac:dyDescent="0.3">
      <c r="A232">
        <v>227</v>
      </c>
      <c r="B232" t="s">
        <v>773</v>
      </c>
      <c r="C232">
        <v>35</v>
      </c>
      <c r="D232" t="s">
        <v>250</v>
      </c>
      <c r="E232" t="s">
        <v>87</v>
      </c>
      <c r="F232">
        <v>44</v>
      </c>
      <c r="G232">
        <v>3</v>
      </c>
      <c r="H232">
        <v>16</v>
      </c>
      <c r="I232">
        <v>19</v>
      </c>
      <c r="J232">
        <v>5</v>
      </c>
      <c r="K232">
        <v>16</v>
      </c>
      <c r="L232">
        <v>3</v>
      </c>
      <c r="M232">
        <v>0</v>
      </c>
      <c r="N232">
        <v>0</v>
      </c>
      <c r="O232">
        <v>1</v>
      </c>
      <c r="P232">
        <v>14</v>
      </c>
      <c r="Q232">
        <v>2</v>
      </c>
      <c r="R232">
        <v>0</v>
      </c>
      <c r="S232">
        <v>83</v>
      </c>
      <c r="T232">
        <v>3.6</v>
      </c>
      <c r="U232">
        <v>182</v>
      </c>
      <c r="V232" s="2">
        <v>38.303472222222226</v>
      </c>
      <c r="W232" s="3">
        <v>0.87083333333333335</v>
      </c>
      <c r="X232">
        <v>0</v>
      </c>
      <c r="Y232">
        <v>0</v>
      </c>
      <c r="AA232">
        <v>69</v>
      </c>
      <c r="AB232">
        <v>41</v>
      </c>
      <c r="AC232">
        <v>18</v>
      </c>
      <c r="AD232">
        <v>61</v>
      </c>
      <c r="AF232" t="s">
        <v>774</v>
      </c>
    </row>
    <row r="233" spans="1:32" x14ac:dyDescent="0.3">
      <c r="A233">
        <v>228</v>
      </c>
      <c r="B233" t="s">
        <v>775</v>
      </c>
      <c r="C233">
        <v>25</v>
      </c>
      <c r="D233" t="s">
        <v>82</v>
      </c>
      <c r="E233" t="s">
        <v>101</v>
      </c>
      <c r="F233">
        <v>44</v>
      </c>
      <c r="G233">
        <v>10</v>
      </c>
      <c r="H233">
        <v>9</v>
      </c>
      <c r="I233">
        <v>19</v>
      </c>
      <c r="J233">
        <v>-9</v>
      </c>
      <c r="K233">
        <v>13</v>
      </c>
      <c r="L233">
        <v>6</v>
      </c>
      <c r="M233">
        <v>1</v>
      </c>
      <c r="N233">
        <v>3</v>
      </c>
      <c r="O233">
        <v>0</v>
      </c>
      <c r="P233">
        <v>7</v>
      </c>
      <c r="Q233">
        <v>2</v>
      </c>
      <c r="R233">
        <v>0</v>
      </c>
      <c r="S233">
        <v>83</v>
      </c>
      <c r="T233">
        <v>12</v>
      </c>
      <c r="U233">
        <v>149</v>
      </c>
      <c r="V233" s="2">
        <v>30.983333333333334</v>
      </c>
      <c r="W233" s="3">
        <v>0.70416666666666672</v>
      </c>
      <c r="X233">
        <v>14</v>
      </c>
      <c r="Y233">
        <v>19</v>
      </c>
      <c r="Z233">
        <v>42.4</v>
      </c>
      <c r="AA233">
        <v>33</v>
      </c>
      <c r="AB233">
        <v>35</v>
      </c>
      <c r="AC233">
        <v>11</v>
      </c>
      <c r="AD233">
        <v>38</v>
      </c>
      <c r="AF233" t="s">
        <v>776</v>
      </c>
    </row>
    <row r="234" spans="1:32" x14ac:dyDescent="0.3">
      <c r="A234">
        <v>229</v>
      </c>
      <c r="B234" t="s">
        <v>777</v>
      </c>
      <c r="C234">
        <v>20</v>
      </c>
      <c r="D234" t="s">
        <v>221</v>
      </c>
      <c r="E234" t="s">
        <v>78</v>
      </c>
      <c r="F234">
        <v>45</v>
      </c>
      <c r="G234">
        <v>9</v>
      </c>
      <c r="H234">
        <v>10</v>
      </c>
      <c r="I234">
        <v>19</v>
      </c>
      <c r="J234">
        <v>-6</v>
      </c>
      <c r="K234">
        <v>4</v>
      </c>
      <c r="L234">
        <v>5</v>
      </c>
      <c r="M234">
        <v>4</v>
      </c>
      <c r="N234">
        <v>0</v>
      </c>
      <c r="O234">
        <v>1</v>
      </c>
      <c r="P234">
        <v>6</v>
      </c>
      <c r="Q234">
        <v>4</v>
      </c>
      <c r="R234">
        <v>0</v>
      </c>
      <c r="S234">
        <v>79</v>
      </c>
      <c r="T234">
        <v>11.4</v>
      </c>
      <c r="U234">
        <v>126</v>
      </c>
      <c r="V234" s="2">
        <v>31.366666666666667</v>
      </c>
      <c r="W234" s="3">
        <v>0.69722222222222219</v>
      </c>
      <c r="X234">
        <v>13</v>
      </c>
      <c r="Y234">
        <v>22</v>
      </c>
      <c r="Z234">
        <v>37.1</v>
      </c>
      <c r="AA234">
        <v>28</v>
      </c>
      <c r="AB234">
        <v>67</v>
      </c>
      <c r="AC234">
        <v>15</v>
      </c>
      <c r="AD234">
        <v>46</v>
      </c>
      <c r="AF234" t="s">
        <v>778</v>
      </c>
    </row>
    <row r="235" spans="1:32" x14ac:dyDescent="0.3">
      <c r="A235">
        <v>230</v>
      </c>
      <c r="B235" t="s">
        <v>779</v>
      </c>
      <c r="C235">
        <v>26</v>
      </c>
      <c r="D235" t="s">
        <v>193</v>
      </c>
      <c r="E235" t="s">
        <v>78</v>
      </c>
      <c r="F235">
        <v>40</v>
      </c>
      <c r="G235">
        <v>10</v>
      </c>
      <c r="H235">
        <v>9</v>
      </c>
      <c r="I235">
        <v>19</v>
      </c>
      <c r="J235">
        <v>-5</v>
      </c>
      <c r="K235">
        <v>24</v>
      </c>
      <c r="L235">
        <v>8</v>
      </c>
      <c r="M235">
        <v>2</v>
      </c>
      <c r="N235">
        <v>0</v>
      </c>
      <c r="O235">
        <v>1</v>
      </c>
      <c r="P235">
        <v>9</v>
      </c>
      <c r="Q235">
        <v>0</v>
      </c>
      <c r="R235">
        <v>0</v>
      </c>
      <c r="S235">
        <v>59</v>
      </c>
      <c r="T235">
        <v>16.899999999999999</v>
      </c>
      <c r="U235">
        <v>112</v>
      </c>
      <c r="V235" s="2">
        <v>18.099305555555556</v>
      </c>
      <c r="W235" s="3">
        <v>0.45277777777777778</v>
      </c>
      <c r="X235">
        <v>10</v>
      </c>
      <c r="Y235">
        <v>21</v>
      </c>
      <c r="Z235">
        <v>32.299999999999997</v>
      </c>
      <c r="AA235">
        <v>7</v>
      </c>
      <c r="AB235">
        <v>55</v>
      </c>
      <c r="AC235">
        <v>11</v>
      </c>
      <c r="AD235">
        <v>24</v>
      </c>
      <c r="AF235" t="s">
        <v>780</v>
      </c>
    </row>
    <row r="236" spans="1:32" x14ac:dyDescent="0.3">
      <c r="A236">
        <v>231</v>
      </c>
      <c r="B236" t="s">
        <v>781</v>
      </c>
      <c r="C236">
        <v>34</v>
      </c>
      <c r="D236" t="s">
        <v>216</v>
      </c>
      <c r="E236" t="s">
        <v>87</v>
      </c>
      <c r="F236">
        <v>43</v>
      </c>
      <c r="G236">
        <v>4</v>
      </c>
      <c r="H236">
        <v>15</v>
      </c>
      <c r="I236">
        <v>19</v>
      </c>
      <c r="J236">
        <v>32</v>
      </c>
      <c r="K236">
        <v>58</v>
      </c>
      <c r="L236">
        <v>4</v>
      </c>
      <c r="M236">
        <v>0</v>
      </c>
      <c r="N236">
        <v>0</v>
      </c>
      <c r="O236">
        <v>1</v>
      </c>
      <c r="P236">
        <v>15</v>
      </c>
      <c r="Q236">
        <v>0</v>
      </c>
      <c r="R236">
        <v>0</v>
      </c>
      <c r="S236">
        <v>62</v>
      </c>
      <c r="T236">
        <v>6.5</v>
      </c>
      <c r="U236">
        <v>130</v>
      </c>
      <c r="V236" s="2">
        <v>31.981249999999999</v>
      </c>
      <c r="W236" s="3">
        <v>0.74375000000000002</v>
      </c>
      <c r="X236">
        <v>0</v>
      </c>
      <c r="Y236">
        <v>0</v>
      </c>
      <c r="AA236">
        <v>60</v>
      </c>
      <c r="AB236">
        <v>107</v>
      </c>
      <c r="AC236">
        <v>16</v>
      </c>
      <c r="AD236">
        <v>44</v>
      </c>
      <c r="AF236" t="s">
        <v>782</v>
      </c>
    </row>
    <row r="237" spans="1:32" x14ac:dyDescent="0.3">
      <c r="A237">
        <v>232</v>
      </c>
      <c r="B237" t="s">
        <v>783</v>
      </c>
      <c r="C237">
        <v>30</v>
      </c>
      <c r="D237" t="s">
        <v>216</v>
      </c>
      <c r="E237" t="s">
        <v>95</v>
      </c>
      <c r="F237">
        <v>43</v>
      </c>
      <c r="G237">
        <v>7</v>
      </c>
      <c r="H237">
        <v>12</v>
      </c>
      <c r="I237">
        <v>19</v>
      </c>
      <c r="J237">
        <v>1</v>
      </c>
      <c r="K237">
        <v>4</v>
      </c>
      <c r="L237">
        <v>5</v>
      </c>
      <c r="M237">
        <v>2</v>
      </c>
      <c r="N237">
        <v>0</v>
      </c>
      <c r="O237">
        <v>2</v>
      </c>
      <c r="P237">
        <v>8</v>
      </c>
      <c r="Q237">
        <v>4</v>
      </c>
      <c r="R237">
        <v>0</v>
      </c>
      <c r="S237">
        <v>80</v>
      </c>
      <c r="T237">
        <v>8.8000000000000007</v>
      </c>
      <c r="U237">
        <v>146</v>
      </c>
      <c r="V237" s="2">
        <v>23.241666666666667</v>
      </c>
      <c r="W237" s="3">
        <v>0.54027777777777775</v>
      </c>
      <c r="X237">
        <v>3</v>
      </c>
      <c r="Y237">
        <v>5</v>
      </c>
      <c r="Z237">
        <v>37.5</v>
      </c>
      <c r="AA237">
        <v>10</v>
      </c>
      <c r="AB237">
        <v>7</v>
      </c>
      <c r="AC237">
        <v>9</v>
      </c>
      <c r="AD237">
        <v>33</v>
      </c>
      <c r="AF237" t="s">
        <v>784</v>
      </c>
    </row>
    <row r="238" spans="1:32" x14ac:dyDescent="0.3">
      <c r="A238">
        <v>233</v>
      </c>
      <c r="B238" t="s">
        <v>785</v>
      </c>
      <c r="C238">
        <v>24</v>
      </c>
      <c r="D238" t="s">
        <v>250</v>
      </c>
      <c r="E238" t="s">
        <v>95</v>
      </c>
      <c r="F238">
        <v>44</v>
      </c>
      <c r="G238">
        <v>10</v>
      </c>
      <c r="H238">
        <v>9</v>
      </c>
      <c r="I238">
        <v>19</v>
      </c>
      <c r="J238">
        <v>7</v>
      </c>
      <c r="K238">
        <v>25</v>
      </c>
      <c r="L238">
        <v>10</v>
      </c>
      <c r="M238">
        <v>0</v>
      </c>
      <c r="N238">
        <v>0</v>
      </c>
      <c r="O238">
        <v>4</v>
      </c>
      <c r="P238">
        <v>9</v>
      </c>
      <c r="Q238">
        <v>0</v>
      </c>
      <c r="R238">
        <v>0</v>
      </c>
      <c r="S238">
        <v>65</v>
      </c>
      <c r="T238">
        <v>15.4</v>
      </c>
      <c r="U238">
        <v>108</v>
      </c>
      <c r="V238" s="2">
        <v>28.404166666666665</v>
      </c>
      <c r="W238" s="3">
        <v>0.64583333333333337</v>
      </c>
      <c r="X238">
        <v>12</v>
      </c>
      <c r="Y238">
        <v>25</v>
      </c>
      <c r="Z238">
        <v>32.4</v>
      </c>
      <c r="AA238">
        <v>25</v>
      </c>
      <c r="AB238">
        <v>132</v>
      </c>
      <c r="AC238">
        <v>6</v>
      </c>
      <c r="AD238">
        <v>27</v>
      </c>
      <c r="AF238" t="s">
        <v>786</v>
      </c>
    </row>
    <row r="239" spans="1:32" x14ac:dyDescent="0.3">
      <c r="A239">
        <v>234</v>
      </c>
      <c r="B239" t="s">
        <v>787</v>
      </c>
      <c r="C239">
        <v>31</v>
      </c>
      <c r="D239" t="s">
        <v>188</v>
      </c>
      <c r="E239" t="s">
        <v>87</v>
      </c>
      <c r="F239">
        <v>44</v>
      </c>
      <c r="G239">
        <v>1</v>
      </c>
      <c r="H239">
        <v>18</v>
      </c>
      <c r="I239">
        <v>19</v>
      </c>
      <c r="J239">
        <v>11</v>
      </c>
      <c r="K239">
        <v>6</v>
      </c>
      <c r="L239">
        <v>1</v>
      </c>
      <c r="M239">
        <v>0</v>
      </c>
      <c r="N239">
        <v>0</v>
      </c>
      <c r="O239">
        <v>0</v>
      </c>
      <c r="P239">
        <v>16</v>
      </c>
      <c r="Q239">
        <v>1</v>
      </c>
      <c r="R239">
        <v>1</v>
      </c>
      <c r="S239">
        <v>54</v>
      </c>
      <c r="T239">
        <v>1.9</v>
      </c>
      <c r="U239">
        <v>128</v>
      </c>
      <c r="V239" s="2">
        <v>38.765277777777776</v>
      </c>
      <c r="W239" s="3">
        <v>0.88124999999999998</v>
      </c>
      <c r="X239">
        <v>0</v>
      </c>
      <c r="Y239">
        <v>0</v>
      </c>
      <c r="AA239">
        <v>84</v>
      </c>
      <c r="AB239">
        <v>32</v>
      </c>
      <c r="AC239">
        <v>18</v>
      </c>
      <c r="AD239">
        <v>53</v>
      </c>
      <c r="AF239" t="s">
        <v>788</v>
      </c>
    </row>
    <row r="240" spans="1:32" x14ac:dyDescent="0.3">
      <c r="A240">
        <v>235</v>
      </c>
      <c r="B240" t="s">
        <v>283</v>
      </c>
      <c r="C240">
        <v>29</v>
      </c>
      <c r="D240" t="s">
        <v>278</v>
      </c>
      <c r="E240" t="s">
        <v>87</v>
      </c>
      <c r="F240">
        <v>42</v>
      </c>
      <c r="G240">
        <v>5</v>
      </c>
      <c r="H240">
        <v>14</v>
      </c>
      <c r="I240">
        <v>19</v>
      </c>
      <c r="J240">
        <v>7</v>
      </c>
      <c r="K240">
        <v>12</v>
      </c>
      <c r="L240">
        <v>4</v>
      </c>
      <c r="M240">
        <v>1</v>
      </c>
      <c r="N240">
        <v>0</v>
      </c>
      <c r="O240">
        <v>1</v>
      </c>
      <c r="P240">
        <v>11</v>
      </c>
      <c r="Q240">
        <v>2</v>
      </c>
      <c r="R240">
        <v>1</v>
      </c>
      <c r="S240">
        <v>55</v>
      </c>
      <c r="T240">
        <v>9.1</v>
      </c>
      <c r="U240">
        <v>147</v>
      </c>
      <c r="V240" s="2">
        <v>42.990277777777777</v>
      </c>
      <c r="W240" s="2">
        <v>1.023611111111111</v>
      </c>
      <c r="X240">
        <v>0</v>
      </c>
      <c r="Y240">
        <v>0</v>
      </c>
      <c r="AA240">
        <v>80</v>
      </c>
      <c r="AB240">
        <v>25</v>
      </c>
      <c r="AC240">
        <v>18</v>
      </c>
      <c r="AD240">
        <v>58</v>
      </c>
      <c r="AF240" t="s">
        <v>789</v>
      </c>
    </row>
    <row r="241" spans="1:32" x14ac:dyDescent="0.3">
      <c r="A241">
        <v>236</v>
      </c>
      <c r="B241" t="s">
        <v>790</v>
      </c>
      <c r="C241">
        <v>23</v>
      </c>
      <c r="D241" t="s">
        <v>310</v>
      </c>
      <c r="E241" t="s">
        <v>95</v>
      </c>
      <c r="F241">
        <v>44</v>
      </c>
      <c r="G241">
        <v>9</v>
      </c>
      <c r="H241">
        <v>10</v>
      </c>
      <c r="I241">
        <v>19</v>
      </c>
      <c r="J241">
        <v>15</v>
      </c>
      <c r="K241">
        <v>19</v>
      </c>
      <c r="L241">
        <v>8</v>
      </c>
      <c r="M241">
        <v>1</v>
      </c>
      <c r="N241">
        <v>0</v>
      </c>
      <c r="O241">
        <v>0</v>
      </c>
      <c r="P241">
        <v>10</v>
      </c>
      <c r="Q241">
        <v>0</v>
      </c>
      <c r="R241">
        <v>0</v>
      </c>
      <c r="S241">
        <v>58</v>
      </c>
      <c r="T241">
        <v>15.5</v>
      </c>
      <c r="U241">
        <v>124</v>
      </c>
      <c r="V241" s="2">
        <v>26.368055555555557</v>
      </c>
      <c r="W241" s="3">
        <v>0.59930555555555554</v>
      </c>
      <c r="X241">
        <v>175</v>
      </c>
      <c r="Y241">
        <v>192</v>
      </c>
      <c r="Z241">
        <v>47.7</v>
      </c>
      <c r="AA241">
        <v>19</v>
      </c>
      <c r="AB241">
        <v>54</v>
      </c>
      <c r="AC241">
        <v>9</v>
      </c>
      <c r="AD241">
        <v>29</v>
      </c>
      <c r="AF241" t="s">
        <v>791</v>
      </c>
    </row>
    <row r="242" spans="1:32" x14ac:dyDescent="0.3">
      <c r="A242">
        <v>237</v>
      </c>
      <c r="B242" t="s">
        <v>792</v>
      </c>
      <c r="C242">
        <v>26</v>
      </c>
      <c r="D242" t="s">
        <v>243</v>
      </c>
      <c r="E242" t="s">
        <v>498</v>
      </c>
      <c r="F242">
        <v>43</v>
      </c>
      <c r="G242">
        <v>10</v>
      </c>
      <c r="H242">
        <v>9</v>
      </c>
      <c r="I242">
        <v>19</v>
      </c>
      <c r="J242">
        <v>-6</v>
      </c>
      <c r="K242">
        <v>10</v>
      </c>
      <c r="L242">
        <v>6</v>
      </c>
      <c r="M242">
        <v>4</v>
      </c>
      <c r="N242">
        <v>0</v>
      </c>
      <c r="O242">
        <v>2</v>
      </c>
      <c r="P242">
        <v>8</v>
      </c>
      <c r="Q242">
        <v>1</v>
      </c>
      <c r="R242">
        <v>0</v>
      </c>
      <c r="S242">
        <v>75</v>
      </c>
      <c r="T242">
        <v>13.3</v>
      </c>
      <c r="U242">
        <v>149</v>
      </c>
      <c r="V242" s="2">
        <v>25.769444444444446</v>
      </c>
      <c r="W242" s="3">
        <v>0.59930555555555554</v>
      </c>
      <c r="X242">
        <v>2</v>
      </c>
      <c r="Y242">
        <v>5</v>
      </c>
      <c r="Z242">
        <v>28.6</v>
      </c>
      <c r="AA242">
        <v>17</v>
      </c>
      <c r="AB242">
        <v>79</v>
      </c>
      <c r="AC242">
        <v>9</v>
      </c>
      <c r="AD242">
        <v>24</v>
      </c>
      <c r="AF242" t="s">
        <v>793</v>
      </c>
    </row>
    <row r="243" spans="1:32" x14ac:dyDescent="0.3">
      <c r="A243">
        <v>238</v>
      </c>
      <c r="B243" t="s">
        <v>794</v>
      </c>
      <c r="C243">
        <v>27</v>
      </c>
      <c r="D243" t="s">
        <v>157</v>
      </c>
      <c r="E243" t="s">
        <v>87</v>
      </c>
      <c r="F243">
        <v>33</v>
      </c>
      <c r="G243">
        <v>5</v>
      </c>
      <c r="H243">
        <v>13</v>
      </c>
      <c r="I243">
        <v>18</v>
      </c>
      <c r="J243">
        <v>-4</v>
      </c>
      <c r="K243">
        <v>8</v>
      </c>
      <c r="L243">
        <v>2</v>
      </c>
      <c r="M243">
        <v>3</v>
      </c>
      <c r="N243">
        <v>0</v>
      </c>
      <c r="O243">
        <v>0</v>
      </c>
      <c r="P243">
        <v>9</v>
      </c>
      <c r="Q243">
        <v>4</v>
      </c>
      <c r="R243">
        <v>0</v>
      </c>
      <c r="S243">
        <v>47</v>
      </c>
      <c r="T243">
        <v>10.6</v>
      </c>
      <c r="U243">
        <v>124</v>
      </c>
      <c r="V243" s="2">
        <v>25.598611111111111</v>
      </c>
      <c r="W243" s="3">
        <v>0.77569444444444446</v>
      </c>
      <c r="X243">
        <v>0</v>
      </c>
      <c r="Y243">
        <v>2</v>
      </c>
      <c r="Z243">
        <v>0</v>
      </c>
      <c r="AA243">
        <v>35</v>
      </c>
      <c r="AB243">
        <v>26</v>
      </c>
      <c r="AC243">
        <v>12</v>
      </c>
      <c r="AD243">
        <v>33</v>
      </c>
      <c r="AF243" t="s">
        <v>795</v>
      </c>
    </row>
    <row r="244" spans="1:32" x14ac:dyDescent="0.3">
      <c r="A244">
        <v>239</v>
      </c>
      <c r="B244" t="s">
        <v>796</v>
      </c>
      <c r="C244">
        <v>29</v>
      </c>
      <c r="D244" t="s">
        <v>290</v>
      </c>
      <c r="E244" t="s">
        <v>78</v>
      </c>
      <c r="F244">
        <v>44</v>
      </c>
      <c r="G244">
        <v>10</v>
      </c>
      <c r="H244">
        <v>8</v>
      </c>
      <c r="I244">
        <v>18</v>
      </c>
      <c r="J244">
        <v>-12</v>
      </c>
      <c r="K244">
        <v>26</v>
      </c>
      <c r="L244">
        <v>9</v>
      </c>
      <c r="M244">
        <v>1</v>
      </c>
      <c r="N244">
        <v>0</v>
      </c>
      <c r="O244">
        <v>2</v>
      </c>
      <c r="P244">
        <v>7</v>
      </c>
      <c r="Q244">
        <v>1</v>
      </c>
      <c r="R244">
        <v>0</v>
      </c>
      <c r="S244">
        <v>76</v>
      </c>
      <c r="T244">
        <v>13.2</v>
      </c>
      <c r="U244">
        <v>168</v>
      </c>
      <c r="V244" s="2">
        <v>28.229861111111113</v>
      </c>
      <c r="W244" s="3">
        <v>0.64166666666666672</v>
      </c>
      <c r="X244">
        <v>103</v>
      </c>
      <c r="Y244">
        <v>98</v>
      </c>
      <c r="Z244">
        <v>51.2</v>
      </c>
      <c r="AA244">
        <v>11</v>
      </c>
      <c r="AB244">
        <v>53</v>
      </c>
      <c r="AC244">
        <v>13</v>
      </c>
      <c r="AD244">
        <v>34</v>
      </c>
      <c r="AF244" t="s">
        <v>797</v>
      </c>
    </row>
    <row r="245" spans="1:32" x14ac:dyDescent="0.3">
      <c r="A245">
        <v>240</v>
      </c>
      <c r="B245" t="s">
        <v>798</v>
      </c>
      <c r="C245">
        <v>23</v>
      </c>
      <c r="D245" t="s">
        <v>278</v>
      </c>
      <c r="E245" t="s">
        <v>87</v>
      </c>
      <c r="F245">
        <v>41</v>
      </c>
      <c r="G245">
        <v>3</v>
      </c>
      <c r="H245">
        <v>15</v>
      </c>
      <c r="I245">
        <v>18</v>
      </c>
      <c r="J245">
        <v>1</v>
      </c>
      <c r="K245">
        <v>22</v>
      </c>
      <c r="L245">
        <v>3</v>
      </c>
      <c r="M245">
        <v>0</v>
      </c>
      <c r="N245">
        <v>0</v>
      </c>
      <c r="O245">
        <v>1</v>
      </c>
      <c r="P245">
        <v>13</v>
      </c>
      <c r="Q245">
        <v>2</v>
      </c>
      <c r="R245">
        <v>0</v>
      </c>
      <c r="S245">
        <v>45</v>
      </c>
      <c r="T245">
        <v>6.7</v>
      </c>
      <c r="U245">
        <v>136</v>
      </c>
      <c r="V245" s="2">
        <v>36.212499999999999</v>
      </c>
      <c r="W245" s="3">
        <v>0.8833333333333333</v>
      </c>
      <c r="X245">
        <v>0</v>
      </c>
      <c r="Y245">
        <v>0</v>
      </c>
      <c r="AA245">
        <v>41</v>
      </c>
      <c r="AB245">
        <v>10</v>
      </c>
      <c r="AC245">
        <v>7</v>
      </c>
      <c r="AD245">
        <v>26</v>
      </c>
      <c r="AF245" t="s">
        <v>799</v>
      </c>
    </row>
    <row r="246" spans="1:32" x14ac:dyDescent="0.3">
      <c r="A246">
        <v>241</v>
      </c>
      <c r="B246" t="s">
        <v>800</v>
      </c>
      <c r="C246">
        <v>30</v>
      </c>
      <c r="D246" t="s">
        <v>188</v>
      </c>
      <c r="E246" t="s">
        <v>101</v>
      </c>
      <c r="F246">
        <v>41</v>
      </c>
      <c r="G246">
        <v>7</v>
      </c>
      <c r="H246">
        <v>11</v>
      </c>
      <c r="I246">
        <v>18</v>
      </c>
      <c r="J246">
        <v>5</v>
      </c>
      <c r="K246">
        <v>8</v>
      </c>
      <c r="L246">
        <v>6</v>
      </c>
      <c r="M246">
        <v>1</v>
      </c>
      <c r="N246">
        <v>0</v>
      </c>
      <c r="O246">
        <v>1</v>
      </c>
      <c r="P246">
        <v>10</v>
      </c>
      <c r="Q246">
        <v>1</v>
      </c>
      <c r="R246">
        <v>0</v>
      </c>
      <c r="S246">
        <v>51</v>
      </c>
      <c r="T246">
        <v>13.7</v>
      </c>
      <c r="U246">
        <v>96</v>
      </c>
      <c r="V246" s="2">
        <v>22.209027777777777</v>
      </c>
      <c r="W246" s="3">
        <v>0.54166666666666663</v>
      </c>
      <c r="X246">
        <v>4</v>
      </c>
      <c r="Y246">
        <v>5</v>
      </c>
      <c r="Z246">
        <v>44.4</v>
      </c>
      <c r="AA246">
        <v>25</v>
      </c>
      <c r="AB246">
        <v>3</v>
      </c>
      <c r="AC246">
        <v>4</v>
      </c>
      <c r="AD246">
        <v>15</v>
      </c>
      <c r="AF246" t="s">
        <v>801</v>
      </c>
    </row>
    <row r="247" spans="1:32" x14ac:dyDescent="0.3">
      <c r="A247">
        <v>242</v>
      </c>
      <c r="B247" t="s">
        <v>802</v>
      </c>
      <c r="C247">
        <v>24</v>
      </c>
      <c r="D247" t="s">
        <v>97</v>
      </c>
      <c r="E247" t="s">
        <v>95</v>
      </c>
      <c r="F247">
        <v>40</v>
      </c>
      <c r="G247">
        <v>8</v>
      </c>
      <c r="H247">
        <v>10</v>
      </c>
      <c r="I247">
        <v>18</v>
      </c>
      <c r="J247">
        <v>-7</v>
      </c>
      <c r="K247">
        <v>14</v>
      </c>
      <c r="L247">
        <v>6</v>
      </c>
      <c r="M247">
        <v>2</v>
      </c>
      <c r="N247">
        <v>0</v>
      </c>
      <c r="O247">
        <v>0</v>
      </c>
      <c r="P247">
        <v>9</v>
      </c>
      <c r="Q247">
        <v>1</v>
      </c>
      <c r="R247">
        <v>0</v>
      </c>
      <c r="S247">
        <v>89</v>
      </c>
      <c r="T247">
        <v>9</v>
      </c>
      <c r="U247">
        <v>165</v>
      </c>
      <c r="V247" s="2">
        <v>25.155555555555555</v>
      </c>
      <c r="W247" s="3">
        <v>0.62916666666666665</v>
      </c>
      <c r="X247">
        <v>4</v>
      </c>
      <c r="Y247">
        <v>5</v>
      </c>
      <c r="Z247">
        <v>44.4</v>
      </c>
      <c r="AA247">
        <v>12</v>
      </c>
      <c r="AB247">
        <v>39</v>
      </c>
      <c r="AC247">
        <v>14</v>
      </c>
      <c r="AD247">
        <v>25</v>
      </c>
      <c r="AF247" t="s">
        <v>803</v>
      </c>
    </row>
    <row r="248" spans="1:32" x14ac:dyDescent="0.3">
      <c r="A248">
        <v>243</v>
      </c>
      <c r="B248" t="s">
        <v>804</v>
      </c>
      <c r="C248">
        <v>31</v>
      </c>
      <c r="D248" t="s">
        <v>109</v>
      </c>
      <c r="E248" t="s">
        <v>95</v>
      </c>
      <c r="F248">
        <v>41</v>
      </c>
      <c r="G248">
        <v>11</v>
      </c>
      <c r="H248">
        <v>7</v>
      </c>
      <c r="I248">
        <v>18</v>
      </c>
      <c r="J248">
        <v>-3</v>
      </c>
      <c r="K248">
        <v>19</v>
      </c>
      <c r="L248">
        <v>6</v>
      </c>
      <c r="M248">
        <v>5</v>
      </c>
      <c r="N248">
        <v>0</v>
      </c>
      <c r="O248">
        <v>3</v>
      </c>
      <c r="P248">
        <v>7</v>
      </c>
      <c r="Q248">
        <v>0</v>
      </c>
      <c r="R248">
        <v>0</v>
      </c>
      <c r="S248">
        <v>78</v>
      </c>
      <c r="T248">
        <v>14.1</v>
      </c>
      <c r="U248">
        <v>173</v>
      </c>
      <c r="V248" s="2">
        <v>27.322916666666668</v>
      </c>
      <c r="W248">
        <v>0.66666666666666663</v>
      </c>
      <c r="X248">
        <v>215</v>
      </c>
      <c r="Y248">
        <v>287</v>
      </c>
      <c r="Z248">
        <v>42.8</v>
      </c>
      <c r="AA248">
        <v>46</v>
      </c>
      <c r="AB248">
        <v>38</v>
      </c>
      <c r="AC248">
        <v>13</v>
      </c>
      <c r="AD248">
        <v>31</v>
      </c>
      <c r="AF248" t="s">
        <v>805</v>
      </c>
    </row>
    <row r="249" spans="1:32" x14ac:dyDescent="0.3">
      <c r="A249">
        <v>244</v>
      </c>
      <c r="B249" t="s">
        <v>806</v>
      </c>
      <c r="C249">
        <v>35</v>
      </c>
      <c r="D249" t="s">
        <v>157</v>
      </c>
      <c r="E249" t="s">
        <v>87</v>
      </c>
      <c r="F249">
        <v>31</v>
      </c>
      <c r="G249">
        <v>5</v>
      </c>
      <c r="H249">
        <v>13</v>
      </c>
      <c r="I249">
        <v>18</v>
      </c>
      <c r="J249">
        <v>-10</v>
      </c>
      <c r="K249">
        <v>16</v>
      </c>
      <c r="L249">
        <v>3</v>
      </c>
      <c r="M249">
        <v>2</v>
      </c>
      <c r="N249">
        <v>0</v>
      </c>
      <c r="O249">
        <v>0</v>
      </c>
      <c r="P249">
        <v>9</v>
      </c>
      <c r="Q249">
        <v>4</v>
      </c>
      <c r="R249">
        <v>0</v>
      </c>
      <c r="S249">
        <v>80</v>
      </c>
      <c r="T249">
        <v>6.3</v>
      </c>
      <c r="U249">
        <v>176</v>
      </c>
      <c r="V249" s="2">
        <v>29.867361111111112</v>
      </c>
      <c r="W249" s="3">
        <v>0.96319444444444446</v>
      </c>
      <c r="X249">
        <v>0</v>
      </c>
      <c r="Y249">
        <v>0</v>
      </c>
      <c r="AA249">
        <v>48</v>
      </c>
      <c r="AB249">
        <v>8</v>
      </c>
      <c r="AC249">
        <v>12</v>
      </c>
      <c r="AD249">
        <v>39</v>
      </c>
      <c r="AF249" t="s">
        <v>807</v>
      </c>
    </row>
    <row r="250" spans="1:32" x14ac:dyDescent="0.3">
      <c r="A250">
        <v>245</v>
      </c>
      <c r="B250" t="s">
        <v>808</v>
      </c>
      <c r="C250">
        <v>18</v>
      </c>
      <c r="D250" t="s">
        <v>134</v>
      </c>
      <c r="E250" t="s">
        <v>78</v>
      </c>
      <c r="F250">
        <v>39</v>
      </c>
      <c r="G250">
        <v>8</v>
      </c>
      <c r="H250">
        <v>10</v>
      </c>
      <c r="I250">
        <v>18</v>
      </c>
      <c r="J250">
        <v>-11</v>
      </c>
      <c r="K250">
        <v>10</v>
      </c>
      <c r="L250">
        <v>4</v>
      </c>
      <c r="M250">
        <v>4</v>
      </c>
      <c r="N250">
        <v>0</v>
      </c>
      <c r="O250">
        <v>0</v>
      </c>
      <c r="P250">
        <v>5</v>
      </c>
      <c r="Q250">
        <v>5</v>
      </c>
      <c r="R250">
        <v>0</v>
      </c>
      <c r="S250">
        <v>81</v>
      </c>
      <c r="T250">
        <v>9.9</v>
      </c>
      <c r="U250">
        <v>141</v>
      </c>
      <c r="V250" s="2">
        <v>25.370138888888889</v>
      </c>
      <c r="W250" s="3">
        <v>0.65069444444444446</v>
      </c>
      <c r="X250">
        <v>141</v>
      </c>
      <c r="Y250">
        <v>149</v>
      </c>
      <c r="Z250">
        <v>48.6</v>
      </c>
      <c r="AA250">
        <v>37</v>
      </c>
      <c r="AB250">
        <v>17</v>
      </c>
      <c r="AC250">
        <v>8</v>
      </c>
      <c r="AD250">
        <v>39</v>
      </c>
      <c r="AF250" t="s">
        <v>809</v>
      </c>
    </row>
    <row r="251" spans="1:32" x14ac:dyDescent="0.3">
      <c r="A251">
        <v>246</v>
      </c>
      <c r="B251" t="s">
        <v>227</v>
      </c>
      <c r="C251">
        <v>31</v>
      </c>
      <c r="D251" t="s">
        <v>174</v>
      </c>
      <c r="E251" t="s">
        <v>87</v>
      </c>
      <c r="F251">
        <v>44</v>
      </c>
      <c r="G251">
        <v>4</v>
      </c>
      <c r="H251">
        <v>14</v>
      </c>
      <c r="I251">
        <v>18</v>
      </c>
      <c r="J251">
        <v>20</v>
      </c>
      <c r="K251">
        <v>10</v>
      </c>
      <c r="L251">
        <v>4</v>
      </c>
      <c r="M251">
        <v>0</v>
      </c>
      <c r="N251">
        <v>0</v>
      </c>
      <c r="O251">
        <v>0</v>
      </c>
      <c r="P251">
        <v>12</v>
      </c>
      <c r="Q251">
        <v>0</v>
      </c>
      <c r="R251">
        <v>2</v>
      </c>
      <c r="S251">
        <v>42</v>
      </c>
      <c r="T251">
        <v>9.5</v>
      </c>
      <c r="U251">
        <v>99</v>
      </c>
      <c r="V251" s="2">
        <v>43.578472222222224</v>
      </c>
      <c r="W251" s="3">
        <v>0.99027777777777781</v>
      </c>
      <c r="X251">
        <v>0</v>
      </c>
      <c r="Y251">
        <v>0</v>
      </c>
      <c r="AA251">
        <v>94</v>
      </c>
      <c r="AB251">
        <v>19</v>
      </c>
      <c r="AC251">
        <v>21</v>
      </c>
      <c r="AD251">
        <v>72</v>
      </c>
      <c r="AF251" t="s">
        <v>810</v>
      </c>
    </row>
    <row r="252" spans="1:32" x14ac:dyDescent="0.3">
      <c r="A252">
        <v>247</v>
      </c>
      <c r="B252" t="s">
        <v>811</v>
      </c>
      <c r="C252">
        <v>25</v>
      </c>
      <c r="D252" t="s">
        <v>195</v>
      </c>
      <c r="E252" t="s">
        <v>87</v>
      </c>
      <c r="F252">
        <v>39</v>
      </c>
      <c r="G252">
        <v>4</v>
      </c>
      <c r="H252">
        <v>14</v>
      </c>
      <c r="I252">
        <v>18</v>
      </c>
      <c r="J252">
        <v>5</v>
      </c>
      <c r="K252">
        <v>8</v>
      </c>
      <c r="L252">
        <v>3</v>
      </c>
      <c r="M252">
        <v>1</v>
      </c>
      <c r="N252">
        <v>0</v>
      </c>
      <c r="O252">
        <v>0</v>
      </c>
      <c r="P252">
        <v>11</v>
      </c>
      <c r="Q252">
        <v>3</v>
      </c>
      <c r="R252">
        <v>0</v>
      </c>
      <c r="S252">
        <v>36</v>
      </c>
      <c r="T252">
        <v>11.1</v>
      </c>
      <c r="U252">
        <v>109</v>
      </c>
      <c r="V252" s="2">
        <v>27.090972222222224</v>
      </c>
      <c r="W252" s="3">
        <v>0.69444444444444442</v>
      </c>
      <c r="X252">
        <v>0</v>
      </c>
      <c r="Y252">
        <v>0</v>
      </c>
      <c r="AA252">
        <v>53</v>
      </c>
      <c r="AB252">
        <v>21</v>
      </c>
      <c r="AC252">
        <v>11</v>
      </c>
      <c r="AD252">
        <v>50</v>
      </c>
      <c r="AF252" t="s">
        <v>812</v>
      </c>
    </row>
    <row r="253" spans="1:32" x14ac:dyDescent="0.3">
      <c r="A253">
        <v>248</v>
      </c>
      <c r="B253" t="s">
        <v>232</v>
      </c>
      <c r="C253">
        <v>27</v>
      </c>
      <c r="D253" t="s">
        <v>164</v>
      </c>
      <c r="E253" t="s">
        <v>78</v>
      </c>
      <c r="F253">
        <v>35</v>
      </c>
      <c r="G253">
        <v>4</v>
      </c>
      <c r="H253">
        <v>14</v>
      </c>
      <c r="I253">
        <v>18</v>
      </c>
      <c r="J253">
        <v>0</v>
      </c>
      <c r="K253">
        <v>12</v>
      </c>
      <c r="L253">
        <v>3</v>
      </c>
      <c r="M253">
        <v>1</v>
      </c>
      <c r="N253">
        <v>0</v>
      </c>
      <c r="O253">
        <v>0</v>
      </c>
      <c r="P253">
        <v>13</v>
      </c>
      <c r="Q253">
        <v>0</v>
      </c>
      <c r="R253">
        <v>1</v>
      </c>
      <c r="S253">
        <v>56</v>
      </c>
      <c r="T253">
        <v>7.1</v>
      </c>
      <c r="U253">
        <v>106</v>
      </c>
      <c r="V253" s="2">
        <v>24.725694444444443</v>
      </c>
      <c r="W253" s="3">
        <v>0.70625000000000004</v>
      </c>
      <c r="X253">
        <v>13</v>
      </c>
      <c r="Y253">
        <v>15</v>
      </c>
      <c r="Z253">
        <v>46.4</v>
      </c>
      <c r="AA253">
        <v>27</v>
      </c>
      <c r="AB253">
        <v>77</v>
      </c>
      <c r="AC253">
        <v>10</v>
      </c>
      <c r="AD253">
        <v>23</v>
      </c>
      <c r="AF253" t="s">
        <v>813</v>
      </c>
    </row>
    <row r="254" spans="1:32" x14ac:dyDescent="0.3">
      <c r="A254">
        <v>249</v>
      </c>
      <c r="B254" t="s">
        <v>814</v>
      </c>
      <c r="C254">
        <v>27</v>
      </c>
      <c r="D254" t="s">
        <v>195</v>
      </c>
      <c r="E254" t="s">
        <v>78</v>
      </c>
      <c r="F254">
        <v>34</v>
      </c>
      <c r="G254">
        <v>10</v>
      </c>
      <c r="H254">
        <v>8</v>
      </c>
      <c r="I254">
        <v>18</v>
      </c>
      <c r="J254">
        <v>-4</v>
      </c>
      <c r="K254">
        <v>2</v>
      </c>
      <c r="L254">
        <v>9</v>
      </c>
      <c r="M254">
        <v>1</v>
      </c>
      <c r="N254">
        <v>0</v>
      </c>
      <c r="O254">
        <v>0</v>
      </c>
      <c r="P254">
        <v>6</v>
      </c>
      <c r="Q254">
        <v>2</v>
      </c>
      <c r="R254">
        <v>0</v>
      </c>
      <c r="S254">
        <v>43</v>
      </c>
      <c r="T254">
        <v>23.3</v>
      </c>
      <c r="U254">
        <v>80</v>
      </c>
      <c r="V254" s="2">
        <v>21.277083333333334</v>
      </c>
      <c r="W254" s="3">
        <v>0.62569444444444444</v>
      </c>
      <c r="X254">
        <v>74</v>
      </c>
      <c r="Y254">
        <v>61</v>
      </c>
      <c r="Z254">
        <v>54.8</v>
      </c>
      <c r="AA254">
        <v>13</v>
      </c>
      <c r="AB254">
        <v>7</v>
      </c>
      <c r="AC254">
        <v>4</v>
      </c>
      <c r="AD254">
        <v>39</v>
      </c>
      <c r="AF254" t="s">
        <v>815</v>
      </c>
    </row>
    <row r="255" spans="1:32" x14ac:dyDescent="0.3">
      <c r="A255">
        <v>250</v>
      </c>
      <c r="B255" t="s">
        <v>816</v>
      </c>
      <c r="C255">
        <v>21</v>
      </c>
      <c r="D255" t="s">
        <v>97</v>
      </c>
      <c r="E255" t="s">
        <v>87</v>
      </c>
      <c r="F255">
        <v>32</v>
      </c>
      <c r="G255">
        <v>7</v>
      </c>
      <c r="H255">
        <v>11</v>
      </c>
      <c r="I255">
        <v>18</v>
      </c>
      <c r="J255">
        <v>3</v>
      </c>
      <c r="K255">
        <v>16</v>
      </c>
      <c r="L255">
        <v>7</v>
      </c>
      <c r="M255">
        <v>0</v>
      </c>
      <c r="N255">
        <v>0</v>
      </c>
      <c r="O255">
        <v>2</v>
      </c>
      <c r="P255">
        <v>10</v>
      </c>
      <c r="Q255">
        <v>1</v>
      </c>
      <c r="R255">
        <v>0</v>
      </c>
      <c r="S255">
        <v>53</v>
      </c>
      <c r="T255">
        <v>13.2</v>
      </c>
      <c r="U255">
        <v>133</v>
      </c>
      <c r="V255" s="2">
        <v>26.643750000000001</v>
      </c>
      <c r="W255" s="3">
        <v>0.83263888888888893</v>
      </c>
      <c r="X255">
        <v>0</v>
      </c>
      <c r="Y255">
        <v>0</v>
      </c>
      <c r="AA255">
        <v>47</v>
      </c>
      <c r="AB255">
        <v>9</v>
      </c>
      <c r="AC255">
        <v>10</v>
      </c>
      <c r="AD255">
        <v>31</v>
      </c>
      <c r="AF255" t="s">
        <v>817</v>
      </c>
    </row>
    <row r="256" spans="1:32" x14ac:dyDescent="0.3">
      <c r="A256">
        <v>251</v>
      </c>
      <c r="B256" t="s">
        <v>818</v>
      </c>
      <c r="C256">
        <v>34</v>
      </c>
      <c r="D256" t="s">
        <v>188</v>
      </c>
      <c r="E256" t="s">
        <v>95</v>
      </c>
      <c r="F256">
        <v>25</v>
      </c>
      <c r="G256">
        <v>6</v>
      </c>
      <c r="H256">
        <v>12</v>
      </c>
      <c r="I256">
        <v>18</v>
      </c>
      <c r="J256">
        <v>-2</v>
      </c>
      <c r="K256">
        <v>8</v>
      </c>
      <c r="L256">
        <v>4</v>
      </c>
      <c r="M256">
        <v>1</v>
      </c>
      <c r="N256">
        <v>1</v>
      </c>
      <c r="O256">
        <v>1</v>
      </c>
      <c r="P256">
        <v>8</v>
      </c>
      <c r="Q256">
        <v>4</v>
      </c>
      <c r="R256">
        <v>0</v>
      </c>
      <c r="S256">
        <v>71</v>
      </c>
      <c r="T256">
        <v>8.5</v>
      </c>
      <c r="U256">
        <v>126</v>
      </c>
      <c r="V256" s="2">
        <v>19.663194444444443</v>
      </c>
      <c r="W256" s="3">
        <v>0.78680555555555554</v>
      </c>
      <c r="X256">
        <v>2</v>
      </c>
      <c r="Y256">
        <v>2</v>
      </c>
      <c r="Z256">
        <v>50</v>
      </c>
      <c r="AA256">
        <v>9</v>
      </c>
      <c r="AB256">
        <v>19</v>
      </c>
      <c r="AC256">
        <v>8</v>
      </c>
      <c r="AD256">
        <v>18</v>
      </c>
      <c r="AF256" t="s">
        <v>819</v>
      </c>
    </row>
    <row r="257" spans="1:32" x14ac:dyDescent="0.3">
      <c r="A257">
        <v>252</v>
      </c>
      <c r="B257" t="s">
        <v>820</v>
      </c>
      <c r="C257">
        <v>23</v>
      </c>
      <c r="D257" t="s">
        <v>164</v>
      </c>
      <c r="E257" t="s">
        <v>95</v>
      </c>
      <c r="F257">
        <v>41</v>
      </c>
      <c r="G257">
        <v>4</v>
      </c>
      <c r="H257">
        <v>14</v>
      </c>
      <c r="I257">
        <v>18</v>
      </c>
      <c r="J257">
        <v>-5</v>
      </c>
      <c r="K257">
        <v>14</v>
      </c>
      <c r="L257">
        <v>2</v>
      </c>
      <c r="M257">
        <v>2</v>
      </c>
      <c r="N257">
        <v>0</v>
      </c>
      <c r="O257">
        <v>0</v>
      </c>
      <c r="P257">
        <v>9</v>
      </c>
      <c r="Q257">
        <v>5</v>
      </c>
      <c r="R257">
        <v>0</v>
      </c>
      <c r="S257">
        <v>95</v>
      </c>
      <c r="T257">
        <v>4.2</v>
      </c>
      <c r="U257">
        <v>181</v>
      </c>
      <c r="V257" s="2">
        <v>25.457638888888887</v>
      </c>
      <c r="W257" s="3">
        <v>0.62083333333333335</v>
      </c>
      <c r="X257">
        <v>0</v>
      </c>
      <c r="Y257">
        <v>0</v>
      </c>
      <c r="AA257">
        <v>16</v>
      </c>
      <c r="AB257">
        <v>79</v>
      </c>
      <c r="AC257">
        <v>6</v>
      </c>
      <c r="AD257">
        <v>26</v>
      </c>
      <c r="AF257" t="s">
        <v>821</v>
      </c>
    </row>
    <row r="258" spans="1:32" x14ac:dyDescent="0.3">
      <c r="A258">
        <v>253</v>
      </c>
      <c r="B258" t="s">
        <v>822</v>
      </c>
      <c r="C258">
        <v>34</v>
      </c>
      <c r="D258" t="s">
        <v>103</v>
      </c>
      <c r="E258" t="s">
        <v>78</v>
      </c>
      <c r="F258">
        <v>45</v>
      </c>
      <c r="G258">
        <v>9</v>
      </c>
      <c r="H258">
        <v>9</v>
      </c>
      <c r="I258">
        <v>18</v>
      </c>
      <c r="J258">
        <v>-20</v>
      </c>
      <c r="K258">
        <v>34</v>
      </c>
      <c r="L258">
        <v>7</v>
      </c>
      <c r="M258">
        <v>2</v>
      </c>
      <c r="N258">
        <v>0</v>
      </c>
      <c r="O258">
        <v>2</v>
      </c>
      <c r="P258">
        <v>8</v>
      </c>
      <c r="Q258">
        <v>1</v>
      </c>
      <c r="R258">
        <v>0</v>
      </c>
      <c r="S258">
        <v>63</v>
      </c>
      <c r="T258">
        <v>14.3</v>
      </c>
      <c r="U258">
        <v>133</v>
      </c>
      <c r="V258" s="2">
        <v>30.956944444444446</v>
      </c>
      <c r="W258" s="3">
        <v>0.68819444444444444</v>
      </c>
      <c r="X258">
        <v>265</v>
      </c>
      <c r="Y258">
        <v>222</v>
      </c>
      <c r="Z258">
        <v>54.4</v>
      </c>
      <c r="AA258">
        <v>18</v>
      </c>
      <c r="AB258">
        <v>100</v>
      </c>
      <c r="AC258">
        <v>11</v>
      </c>
      <c r="AD258">
        <v>34</v>
      </c>
      <c r="AF258" t="s">
        <v>823</v>
      </c>
    </row>
    <row r="259" spans="1:32" x14ac:dyDescent="0.3">
      <c r="A259">
        <v>254</v>
      </c>
      <c r="B259" t="s">
        <v>824</v>
      </c>
      <c r="C259">
        <v>31</v>
      </c>
      <c r="D259" t="s">
        <v>113</v>
      </c>
      <c r="E259" t="s">
        <v>87</v>
      </c>
      <c r="F259">
        <v>44</v>
      </c>
      <c r="G259">
        <v>7</v>
      </c>
      <c r="H259">
        <v>11</v>
      </c>
      <c r="I259">
        <v>18</v>
      </c>
      <c r="J259">
        <v>1</v>
      </c>
      <c r="K259">
        <v>15</v>
      </c>
      <c r="L259">
        <v>7</v>
      </c>
      <c r="M259">
        <v>0</v>
      </c>
      <c r="N259">
        <v>0</v>
      </c>
      <c r="O259">
        <v>1</v>
      </c>
      <c r="P259">
        <v>10</v>
      </c>
      <c r="Q259">
        <v>0</v>
      </c>
      <c r="R259">
        <v>1</v>
      </c>
      <c r="S259">
        <v>85</v>
      </c>
      <c r="T259">
        <v>8.1999999999999993</v>
      </c>
      <c r="U259">
        <v>174</v>
      </c>
      <c r="V259" s="2">
        <v>40.520138888888887</v>
      </c>
      <c r="W259" s="3">
        <v>0.92083333333333328</v>
      </c>
      <c r="X259">
        <v>0</v>
      </c>
      <c r="Y259">
        <v>0</v>
      </c>
      <c r="AA259">
        <v>78</v>
      </c>
      <c r="AB259">
        <v>85</v>
      </c>
      <c r="AC259">
        <v>13</v>
      </c>
      <c r="AD259">
        <v>48</v>
      </c>
      <c r="AF259" t="s">
        <v>825</v>
      </c>
    </row>
    <row r="260" spans="1:32" x14ac:dyDescent="0.3">
      <c r="A260">
        <v>255</v>
      </c>
      <c r="B260" t="s">
        <v>826</v>
      </c>
      <c r="C260">
        <v>25</v>
      </c>
      <c r="D260" t="s">
        <v>278</v>
      </c>
      <c r="E260" t="s">
        <v>87</v>
      </c>
      <c r="F260">
        <v>35</v>
      </c>
      <c r="G260">
        <v>3</v>
      </c>
      <c r="H260">
        <v>15</v>
      </c>
      <c r="I260">
        <v>18</v>
      </c>
      <c r="J260">
        <v>8</v>
      </c>
      <c r="K260">
        <v>12</v>
      </c>
      <c r="L260">
        <v>2</v>
      </c>
      <c r="M260">
        <v>1</v>
      </c>
      <c r="N260">
        <v>0</v>
      </c>
      <c r="O260">
        <v>1</v>
      </c>
      <c r="P260">
        <v>9</v>
      </c>
      <c r="Q260">
        <v>6</v>
      </c>
      <c r="R260">
        <v>0</v>
      </c>
      <c r="S260">
        <v>46</v>
      </c>
      <c r="T260">
        <v>6.5</v>
      </c>
      <c r="U260">
        <v>98</v>
      </c>
      <c r="V260" s="2">
        <v>33.554861111111109</v>
      </c>
      <c r="W260" s="3">
        <v>0.95902777777777781</v>
      </c>
      <c r="X260">
        <v>0</v>
      </c>
      <c r="Y260">
        <v>0</v>
      </c>
      <c r="AA260">
        <v>70</v>
      </c>
      <c r="AB260">
        <v>4</v>
      </c>
      <c r="AC260">
        <v>8</v>
      </c>
      <c r="AD260">
        <v>35</v>
      </c>
      <c r="AF260" t="s">
        <v>827</v>
      </c>
    </row>
    <row r="261" spans="1:32" x14ac:dyDescent="0.3">
      <c r="A261">
        <v>256</v>
      </c>
      <c r="B261" t="s">
        <v>828</v>
      </c>
      <c r="C261">
        <v>20</v>
      </c>
      <c r="D261" t="s">
        <v>472</v>
      </c>
      <c r="E261" t="s">
        <v>87</v>
      </c>
      <c r="F261">
        <v>43</v>
      </c>
      <c r="G261">
        <v>4</v>
      </c>
      <c r="H261">
        <v>14</v>
      </c>
      <c r="I261">
        <v>18</v>
      </c>
      <c r="J261">
        <v>-15</v>
      </c>
      <c r="K261">
        <v>14</v>
      </c>
      <c r="L261">
        <v>1</v>
      </c>
      <c r="M261">
        <v>3</v>
      </c>
      <c r="N261">
        <v>0</v>
      </c>
      <c r="O261">
        <v>1</v>
      </c>
      <c r="P261">
        <v>6</v>
      </c>
      <c r="Q261">
        <v>8</v>
      </c>
      <c r="R261">
        <v>0</v>
      </c>
      <c r="S261">
        <v>41</v>
      </c>
      <c r="T261">
        <v>9.8000000000000007</v>
      </c>
      <c r="U261">
        <v>120</v>
      </c>
      <c r="V261" s="2">
        <v>34.302083333333336</v>
      </c>
      <c r="W261" s="3">
        <v>0.79791666666666672</v>
      </c>
      <c r="X261">
        <v>0</v>
      </c>
      <c r="Y261">
        <v>0</v>
      </c>
      <c r="AA261">
        <v>24</v>
      </c>
      <c r="AB261">
        <v>12</v>
      </c>
      <c r="AC261">
        <v>10</v>
      </c>
      <c r="AD261">
        <v>44</v>
      </c>
      <c r="AF261" t="s">
        <v>829</v>
      </c>
    </row>
    <row r="262" spans="1:32" x14ac:dyDescent="0.3">
      <c r="A262">
        <v>256</v>
      </c>
      <c r="B262" t="s">
        <v>828</v>
      </c>
      <c r="C262">
        <v>20</v>
      </c>
      <c r="D262" t="s">
        <v>109</v>
      </c>
      <c r="E262" t="s">
        <v>87</v>
      </c>
      <c r="F262">
        <v>31</v>
      </c>
      <c r="G262">
        <v>3</v>
      </c>
      <c r="H262">
        <v>11</v>
      </c>
      <c r="I262">
        <v>14</v>
      </c>
      <c r="J262">
        <v>-9</v>
      </c>
      <c r="K262">
        <v>8</v>
      </c>
      <c r="L262">
        <v>1</v>
      </c>
      <c r="M262">
        <v>2</v>
      </c>
      <c r="N262">
        <v>0</v>
      </c>
      <c r="O262">
        <v>0</v>
      </c>
      <c r="P262">
        <v>5</v>
      </c>
      <c r="Q262">
        <v>6</v>
      </c>
      <c r="R262">
        <v>0</v>
      </c>
      <c r="S262">
        <v>31</v>
      </c>
      <c r="T262">
        <v>9.6999999999999993</v>
      </c>
      <c r="U262">
        <v>84</v>
      </c>
      <c r="V262" s="2">
        <v>23.846527777777776</v>
      </c>
      <c r="W262" s="3">
        <v>0.76944444444444449</v>
      </c>
      <c r="X262">
        <v>0</v>
      </c>
      <c r="Y262">
        <v>0</v>
      </c>
      <c r="AA262">
        <v>15</v>
      </c>
      <c r="AB262">
        <v>9</v>
      </c>
      <c r="AC262">
        <v>5</v>
      </c>
      <c r="AD262">
        <v>32</v>
      </c>
      <c r="AF262" t="s">
        <v>829</v>
      </c>
    </row>
    <row r="263" spans="1:32" x14ac:dyDescent="0.3">
      <c r="A263">
        <v>256</v>
      </c>
      <c r="B263" t="s">
        <v>828</v>
      </c>
      <c r="C263">
        <v>20</v>
      </c>
      <c r="D263" t="s">
        <v>193</v>
      </c>
      <c r="E263" t="s">
        <v>87</v>
      </c>
      <c r="F263">
        <v>12</v>
      </c>
      <c r="G263">
        <v>1</v>
      </c>
      <c r="H263">
        <v>3</v>
      </c>
      <c r="I263">
        <v>4</v>
      </c>
      <c r="J263">
        <v>-6</v>
      </c>
      <c r="K263">
        <v>6</v>
      </c>
      <c r="L263">
        <v>0</v>
      </c>
      <c r="M263">
        <v>1</v>
      </c>
      <c r="N263">
        <v>0</v>
      </c>
      <c r="O263">
        <v>1</v>
      </c>
      <c r="P263">
        <v>1</v>
      </c>
      <c r="Q263">
        <v>2</v>
      </c>
      <c r="R263">
        <v>0</v>
      </c>
      <c r="S263">
        <v>10</v>
      </c>
      <c r="T263">
        <v>10</v>
      </c>
      <c r="U263">
        <v>36</v>
      </c>
      <c r="V263" s="2">
        <v>10.455555555555556</v>
      </c>
      <c r="W263" s="3">
        <v>0.87152777777777779</v>
      </c>
      <c r="X263">
        <v>0</v>
      </c>
      <c r="Y263">
        <v>0</v>
      </c>
      <c r="AA263">
        <v>9</v>
      </c>
      <c r="AB263">
        <v>3</v>
      </c>
      <c r="AC263">
        <v>5</v>
      </c>
      <c r="AD263">
        <v>12</v>
      </c>
      <c r="AF263" t="s">
        <v>829</v>
      </c>
    </row>
    <row r="264" spans="1:32" x14ac:dyDescent="0.3">
      <c r="A264">
        <v>257</v>
      </c>
      <c r="B264" t="s">
        <v>830</v>
      </c>
      <c r="C264">
        <v>20</v>
      </c>
      <c r="D264" t="s">
        <v>139</v>
      </c>
      <c r="E264" t="s">
        <v>101</v>
      </c>
      <c r="F264">
        <v>29</v>
      </c>
      <c r="G264">
        <v>4</v>
      </c>
      <c r="H264">
        <v>13</v>
      </c>
      <c r="I264">
        <v>17</v>
      </c>
      <c r="J264">
        <v>5</v>
      </c>
      <c r="K264">
        <v>14</v>
      </c>
      <c r="L264">
        <v>3</v>
      </c>
      <c r="M264">
        <v>1</v>
      </c>
      <c r="N264">
        <v>0</v>
      </c>
      <c r="O264">
        <v>3</v>
      </c>
      <c r="P264">
        <v>8</v>
      </c>
      <c r="Q264">
        <v>4</v>
      </c>
      <c r="R264">
        <v>1</v>
      </c>
      <c r="S264">
        <v>55</v>
      </c>
      <c r="T264">
        <v>7.3</v>
      </c>
      <c r="U264">
        <v>92</v>
      </c>
      <c r="V264" s="2">
        <v>19.975000000000001</v>
      </c>
      <c r="W264" s="3">
        <v>0.68888888888888888</v>
      </c>
      <c r="X264">
        <v>4</v>
      </c>
      <c r="Y264">
        <v>5</v>
      </c>
      <c r="Z264">
        <v>44.4</v>
      </c>
      <c r="AA264">
        <v>12</v>
      </c>
      <c r="AB264">
        <v>12</v>
      </c>
      <c r="AC264">
        <v>10</v>
      </c>
      <c r="AD264">
        <v>22</v>
      </c>
      <c r="AF264" t="s">
        <v>831</v>
      </c>
    </row>
    <row r="265" spans="1:32" x14ac:dyDescent="0.3">
      <c r="A265">
        <v>258</v>
      </c>
      <c r="B265" t="s">
        <v>832</v>
      </c>
      <c r="C265">
        <v>22</v>
      </c>
      <c r="D265" t="s">
        <v>204</v>
      </c>
      <c r="E265" t="s">
        <v>78</v>
      </c>
      <c r="F265">
        <v>44</v>
      </c>
      <c r="G265">
        <v>10</v>
      </c>
      <c r="H265">
        <v>7</v>
      </c>
      <c r="I265">
        <v>17</v>
      </c>
      <c r="J265">
        <v>-7</v>
      </c>
      <c r="K265">
        <v>14</v>
      </c>
      <c r="L265">
        <v>7</v>
      </c>
      <c r="M265">
        <v>3</v>
      </c>
      <c r="N265">
        <v>0</v>
      </c>
      <c r="O265">
        <v>2</v>
      </c>
      <c r="P265">
        <v>5</v>
      </c>
      <c r="Q265">
        <v>2</v>
      </c>
      <c r="R265">
        <v>0</v>
      </c>
      <c r="S265">
        <v>63</v>
      </c>
      <c r="T265">
        <v>15.9</v>
      </c>
      <c r="U265">
        <v>131</v>
      </c>
      <c r="V265" s="2">
        <v>25.525694444444444</v>
      </c>
      <c r="W265" s="3">
        <v>0.57986111111111116</v>
      </c>
      <c r="X265">
        <v>16</v>
      </c>
      <c r="Y265">
        <v>15</v>
      </c>
      <c r="Z265">
        <v>51.6</v>
      </c>
      <c r="AA265">
        <v>20</v>
      </c>
      <c r="AB265">
        <v>81</v>
      </c>
      <c r="AC265">
        <v>10</v>
      </c>
      <c r="AD265">
        <v>32</v>
      </c>
      <c r="AF265" t="s">
        <v>833</v>
      </c>
    </row>
    <row r="266" spans="1:32" x14ac:dyDescent="0.3">
      <c r="A266">
        <v>259</v>
      </c>
      <c r="B266" t="s">
        <v>834</v>
      </c>
      <c r="C266">
        <v>32</v>
      </c>
      <c r="D266" t="s">
        <v>97</v>
      </c>
      <c r="E266" t="s">
        <v>95</v>
      </c>
      <c r="F266">
        <v>37</v>
      </c>
      <c r="G266">
        <v>9</v>
      </c>
      <c r="H266">
        <v>8</v>
      </c>
      <c r="I266">
        <v>17</v>
      </c>
      <c r="J266">
        <v>-3</v>
      </c>
      <c r="K266">
        <v>8</v>
      </c>
      <c r="L266">
        <v>8</v>
      </c>
      <c r="M266">
        <v>0</v>
      </c>
      <c r="N266">
        <v>1</v>
      </c>
      <c r="O266">
        <v>1</v>
      </c>
      <c r="P266">
        <v>8</v>
      </c>
      <c r="Q266">
        <v>0</v>
      </c>
      <c r="R266">
        <v>0</v>
      </c>
      <c r="S266">
        <v>51</v>
      </c>
      <c r="T266">
        <v>17.600000000000001</v>
      </c>
      <c r="U266">
        <v>83</v>
      </c>
      <c r="V266" s="2">
        <v>25.492361111111112</v>
      </c>
      <c r="W266" s="3">
        <v>0.68888888888888888</v>
      </c>
      <c r="X266">
        <v>5</v>
      </c>
      <c r="Y266">
        <v>9</v>
      </c>
      <c r="Z266">
        <v>35.700000000000003</v>
      </c>
      <c r="AA266">
        <v>24</v>
      </c>
      <c r="AB266">
        <v>16</v>
      </c>
      <c r="AC266">
        <v>8</v>
      </c>
      <c r="AD266">
        <v>25</v>
      </c>
      <c r="AF266" t="s">
        <v>835</v>
      </c>
    </row>
    <row r="267" spans="1:32" x14ac:dyDescent="0.3">
      <c r="A267">
        <v>260</v>
      </c>
      <c r="B267" t="s">
        <v>836</v>
      </c>
      <c r="C267">
        <v>30</v>
      </c>
      <c r="D267" t="s">
        <v>188</v>
      </c>
      <c r="E267" t="s">
        <v>87</v>
      </c>
      <c r="F267">
        <v>44</v>
      </c>
      <c r="G267">
        <v>2</v>
      </c>
      <c r="H267">
        <v>15</v>
      </c>
      <c r="I267">
        <v>17</v>
      </c>
      <c r="J267">
        <v>-2</v>
      </c>
      <c r="K267">
        <v>31</v>
      </c>
      <c r="L267">
        <v>2</v>
      </c>
      <c r="M267">
        <v>0</v>
      </c>
      <c r="N267">
        <v>0</v>
      </c>
      <c r="O267">
        <v>0</v>
      </c>
      <c r="P267">
        <v>12</v>
      </c>
      <c r="Q267">
        <v>3</v>
      </c>
      <c r="R267">
        <v>0</v>
      </c>
      <c r="S267">
        <v>75</v>
      </c>
      <c r="T267">
        <v>2.7</v>
      </c>
      <c r="U267">
        <v>175</v>
      </c>
      <c r="V267" s="2">
        <v>33.314583333333331</v>
      </c>
      <c r="W267" s="3">
        <v>0.75694444444444442</v>
      </c>
      <c r="X267">
        <v>0</v>
      </c>
      <c r="Y267">
        <v>0</v>
      </c>
      <c r="AA267">
        <v>36</v>
      </c>
      <c r="AB267">
        <v>17</v>
      </c>
      <c r="AC267">
        <v>7</v>
      </c>
      <c r="AD267">
        <v>64</v>
      </c>
      <c r="AF267" t="s">
        <v>837</v>
      </c>
    </row>
    <row r="268" spans="1:32" x14ac:dyDescent="0.3">
      <c r="A268">
        <v>261</v>
      </c>
      <c r="B268" t="s">
        <v>166</v>
      </c>
      <c r="C268">
        <v>33</v>
      </c>
      <c r="D268" t="s">
        <v>113</v>
      </c>
      <c r="E268" t="s">
        <v>78</v>
      </c>
      <c r="F268">
        <v>26</v>
      </c>
      <c r="G268">
        <v>8</v>
      </c>
      <c r="H268">
        <v>9</v>
      </c>
      <c r="I268">
        <v>17</v>
      </c>
      <c r="J268">
        <v>-10</v>
      </c>
      <c r="K268">
        <v>10</v>
      </c>
      <c r="L268">
        <v>7</v>
      </c>
      <c r="M268">
        <v>1</v>
      </c>
      <c r="N268">
        <v>0</v>
      </c>
      <c r="O268">
        <v>0</v>
      </c>
      <c r="P268">
        <v>8</v>
      </c>
      <c r="Q268">
        <v>1</v>
      </c>
      <c r="R268">
        <v>0</v>
      </c>
      <c r="S268">
        <v>51</v>
      </c>
      <c r="T268">
        <v>15.7</v>
      </c>
      <c r="U268">
        <v>101</v>
      </c>
      <c r="V268" s="2">
        <v>19.540972222222223</v>
      </c>
      <c r="W268" s="3">
        <v>0.75138888888888888</v>
      </c>
      <c r="X268">
        <v>163</v>
      </c>
      <c r="Y268">
        <v>158</v>
      </c>
      <c r="Z268">
        <v>50.8</v>
      </c>
      <c r="AA268">
        <v>14</v>
      </c>
      <c r="AB268">
        <v>17</v>
      </c>
      <c r="AC268">
        <v>7</v>
      </c>
      <c r="AD268">
        <v>22</v>
      </c>
      <c r="AF268" t="s">
        <v>838</v>
      </c>
    </row>
    <row r="269" spans="1:32" x14ac:dyDescent="0.3">
      <c r="A269">
        <v>262</v>
      </c>
      <c r="B269" t="s">
        <v>839</v>
      </c>
      <c r="C269">
        <v>24</v>
      </c>
      <c r="D269" t="s">
        <v>103</v>
      </c>
      <c r="E269" t="s">
        <v>78</v>
      </c>
      <c r="F269">
        <v>33</v>
      </c>
      <c r="G269">
        <v>8</v>
      </c>
      <c r="H269">
        <v>9</v>
      </c>
      <c r="I269">
        <v>17</v>
      </c>
      <c r="J269">
        <v>-11</v>
      </c>
      <c r="K269">
        <v>11</v>
      </c>
      <c r="L269">
        <v>7</v>
      </c>
      <c r="M269">
        <v>1</v>
      </c>
      <c r="N269">
        <v>0</v>
      </c>
      <c r="O269">
        <v>1</v>
      </c>
      <c r="P269">
        <v>7</v>
      </c>
      <c r="Q269">
        <v>2</v>
      </c>
      <c r="R269">
        <v>0</v>
      </c>
      <c r="S269">
        <v>76</v>
      </c>
      <c r="T269">
        <v>10.5</v>
      </c>
      <c r="U269">
        <v>147</v>
      </c>
      <c r="V269" s="2">
        <v>24.571527777777778</v>
      </c>
      <c r="W269" s="3">
        <v>0.74444444444444446</v>
      </c>
      <c r="X269">
        <v>11</v>
      </c>
      <c r="Y269">
        <v>10</v>
      </c>
      <c r="Z269">
        <v>52.4</v>
      </c>
      <c r="AA269">
        <v>26</v>
      </c>
      <c r="AB269">
        <v>91</v>
      </c>
      <c r="AC269">
        <v>4</v>
      </c>
      <c r="AD269">
        <v>20</v>
      </c>
      <c r="AF269" t="s">
        <v>840</v>
      </c>
    </row>
    <row r="270" spans="1:32" x14ac:dyDescent="0.3">
      <c r="A270">
        <v>263</v>
      </c>
      <c r="B270" t="s">
        <v>841</v>
      </c>
      <c r="C270">
        <v>28</v>
      </c>
      <c r="D270" t="s">
        <v>195</v>
      </c>
      <c r="E270" t="s">
        <v>380</v>
      </c>
      <c r="F270">
        <v>40</v>
      </c>
      <c r="G270">
        <v>4</v>
      </c>
      <c r="H270">
        <v>13</v>
      </c>
      <c r="I270">
        <v>17</v>
      </c>
      <c r="J270">
        <v>-1</v>
      </c>
      <c r="K270">
        <v>39</v>
      </c>
      <c r="L270">
        <v>4</v>
      </c>
      <c r="M270">
        <v>0</v>
      </c>
      <c r="N270">
        <v>0</v>
      </c>
      <c r="O270">
        <v>1</v>
      </c>
      <c r="P270">
        <v>12</v>
      </c>
      <c r="Q270">
        <v>1</v>
      </c>
      <c r="R270">
        <v>0</v>
      </c>
      <c r="S270">
        <v>44</v>
      </c>
      <c r="T270">
        <v>9.1</v>
      </c>
      <c r="U270">
        <v>101</v>
      </c>
      <c r="V270" s="2">
        <v>22.709722222222222</v>
      </c>
      <c r="W270" s="3">
        <v>0.56805555555555554</v>
      </c>
      <c r="X270">
        <v>7</v>
      </c>
      <c r="Y270">
        <v>6</v>
      </c>
      <c r="Z270">
        <v>53.8</v>
      </c>
      <c r="AA270">
        <v>32</v>
      </c>
      <c r="AB270">
        <v>123</v>
      </c>
      <c r="AC270">
        <v>3</v>
      </c>
      <c r="AD270">
        <v>30</v>
      </c>
      <c r="AF270" t="s">
        <v>842</v>
      </c>
    </row>
    <row r="271" spans="1:32" x14ac:dyDescent="0.3">
      <c r="A271">
        <v>264</v>
      </c>
      <c r="B271" t="s">
        <v>843</v>
      </c>
      <c r="C271">
        <v>27</v>
      </c>
      <c r="D271" t="s">
        <v>103</v>
      </c>
      <c r="E271" t="s">
        <v>78</v>
      </c>
      <c r="F271">
        <v>35</v>
      </c>
      <c r="G271">
        <v>8</v>
      </c>
      <c r="H271">
        <v>9</v>
      </c>
      <c r="I271">
        <v>17</v>
      </c>
      <c r="J271">
        <v>-11</v>
      </c>
      <c r="K271">
        <v>2</v>
      </c>
      <c r="L271">
        <v>7</v>
      </c>
      <c r="M271">
        <v>1</v>
      </c>
      <c r="N271">
        <v>0</v>
      </c>
      <c r="O271">
        <v>0</v>
      </c>
      <c r="P271">
        <v>6</v>
      </c>
      <c r="Q271">
        <v>3</v>
      </c>
      <c r="R271">
        <v>0</v>
      </c>
      <c r="S271">
        <v>86</v>
      </c>
      <c r="T271">
        <v>9.3000000000000007</v>
      </c>
      <c r="U271">
        <v>184</v>
      </c>
      <c r="V271" s="2">
        <v>23.357638888888889</v>
      </c>
      <c r="W271" s="3">
        <v>0.66736111111111107</v>
      </c>
      <c r="X271">
        <v>2</v>
      </c>
      <c r="Y271">
        <v>4</v>
      </c>
      <c r="Z271">
        <v>33.299999999999997</v>
      </c>
      <c r="AA271">
        <v>15</v>
      </c>
      <c r="AB271">
        <v>8</v>
      </c>
      <c r="AC271">
        <v>11</v>
      </c>
      <c r="AD271">
        <v>19</v>
      </c>
      <c r="AF271" t="s">
        <v>844</v>
      </c>
    </row>
    <row r="272" spans="1:32" x14ac:dyDescent="0.3">
      <c r="A272">
        <v>265</v>
      </c>
      <c r="B272" t="s">
        <v>845</v>
      </c>
      <c r="C272">
        <v>21</v>
      </c>
      <c r="D272" t="s">
        <v>195</v>
      </c>
      <c r="E272" t="s">
        <v>78</v>
      </c>
      <c r="F272">
        <v>44</v>
      </c>
      <c r="G272">
        <v>8</v>
      </c>
      <c r="H272">
        <v>9</v>
      </c>
      <c r="I272">
        <v>17</v>
      </c>
      <c r="J272">
        <v>9</v>
      </c>
      <c r="K272">
        <v>14</v>
      </c>
      <c r="L272">
        <v>7</v>
      </c>
      <c r="M272">
        <v>1</v>
      </c>
      <c r="N272">
        <v>0</v>
      </c>
      <c r="O272">
        <v>2</v>
      </c>
      <c r="P272">
        <v>8</v>
      </c>
      <c r="Q272">
        <v>0</v>
      </c>
      <c r="R272">
        <v>1</v>
      </c>
      <c r="S272">
        <v>56</v>
      </c>
      <c r="T272">
        <v>14.3</v>
      </c>
      <c r="U272">
        <v>116</v>
      </c>
      <c r="V272" s="2">
        <v>27.081944444444446</v>
      </c>
      <c r="W272" s="3">
        <v>0.61527777777777781</v>
      </c>
      <c r="X272">
        <v>197</v>
      </c>
      <c r="Y272">
        <v>206</v>
      </c>
      <c r="Z272">
        <v>48.9</v>
      </c>
      <c r="AA272">
        <v>30</v>
      </c>
      <c r="AB272">
        <v>89</v>
      </c>
      <c r="AC272">
        <v>15</v>
      </c>
      <c r="AD272">
        <v>19</v>
      </c>
      <c r="AF272" t="s">
        <v>846</v>
      </c>
    </row>
    <row r="273" spans="1:32" x14ac:dyDescent="0.3">
      <c r="A273">
        <v>266</v>
      </c>
      <c r="B273" t="s">
        <v>847</v>
      </c>
      <c r="C273">
        <v>23</v>
      </c>
      <c r="D273" t="s">
        <v>103</v>
      </c>
      <c r="E273" t="s">
        <v>101</v>
      </c>
      <c r="F273">
        <v>33</v>
      </c>
      <c r="G273">
        <v>10</v>
      </c>
      <c r="H273">
        <v>7</v>
      </c>
      <c r="I273">
        <v>17</v>
      </c>
      <c r="J273">
        <v>-14</v>
      </c>
      <c r="K273">
        <v>18</v>
      </c>
      <c r="L273">
        <v>10</v>
      </c>
      <c r="M273">
        <v>0</v>
      </c>
      <c r="N273">
        <v>0</v>
      </c>
      <c r="O273">
        <v>2</v>
      </c>
      <c r="P273">
        <v>5</v>
      </c>
      <c r="Q273">
        <v>2</v>
      </c>
      <c r="R273">
        <v>0</v>
      </c>
      <c r="S273">
        <v>45</v>
      </c>
      <c r="T273">
        <v>22.2</v>
      </c>
      <c r="U273">
        <v>88</v>
      </c>
      <c r="V273" s="2">
        <v>21.427083333333332</v>
      </c>
      <c r="W273" s="3">
        <v>0.64930555555555558</v>
      </c>
      <c r="X273">
        <v>2</v>
      </c>
      <c r="Y273">
        <v>6</v>
      </c>
      <c r="Z273">
        <v>25</v>
      </c>
      <c r="AA273">
        <v>18</v>
      </c>
      <c r="AB273">
        <v>91</v>
      </c>
      <c r="AC273">
        <v>5</v>
      </c>
      <c r="AD273">
        <v>20</v>
      </c>
      <c r="AF273" t="s">
        <v>848</v>
      </c>
    </row>
    <row r="274" spans="1:32" x14ac:dyDescent="0.3">
      <c r="A274">
        <v>267</v>
      </c>
      <c r="B274" t="s">
        <v>849</v>
      </c>
      <c r="C274">
        <v>24</v>
      </c>
      <c r="D274" t="s">
        <v>72</v>
      </c>
      <c r="E274" t="s">
        <v>87</v>
      </c>
      <c r="F274">
        <v>43</v>
      </c>
      <c r="G274">
        <v>5</v>
      </c>
      <c r="H274">
        <v>12</v>
      </c>
      <c r="I274">
        <v>17</v>
      </c>
      <c r="J274">
        <v>11</v>
      </c>
      <c r="K274">
        <v>14</v>
      </c>
      <c r="L274">
        <v>4</v>
      </c>
      <c r="M274">
        <v>1</v>
      </c>
      <c r="N274">
        <v>0</v>
      </c>
      <c r="O274">
        <v>0</v>
      </c>
      <c r="P274">
        <v>9</v>
      </c>
      <c r="Q274">
        <v>3</v>
      </c>
      <c r="R274">
        <v>0</v>
      </c>
      <c r="S274">
        <v>68</v>
      </c>
      <c r="T274">
        <v>7.4</v>
      </c>
      <c r="U274">
        <v>180</v>
      </c>
      <c r="V274" s="2">
        <v>33.959027777777777</v>
      </c>
      <c r="W274" s="3">
        <v>0.7895833333333333</v>
      </c>
      <c r="X274">
        <v>0</v>
      </c>
      <c r="Y274">
        <v>0</v>
      </c>
      <c r="AA274">
        <v>51</v>
      </c>
      <c r="AB274">
        <v>82</v>
      </c>
      <c r="AC274">
        <v>15</v>
      </c>
      <c r="AD274">
        <v>51</v>
      </c>
      <c r="AF274" t="s">
        <v>850</v>
      </c>
    </row>
    <row r="275" spans="1:32" x14ac:dyDescent="0.3">
      <c r="A275">
        <v>268</v>
      </c>
      <c r="B275" t="s">
        <v>851</v>
      </c>
      <c r="C275">
        <v>29</v>
      </c>
      <c r="D275" t="s">
        <v>306</v>
      </c>
      <c r="E275" t="s">
        <v>87</v>
      </c>
      <c r="F275">
        <v>43</v>
      </c>
      <c r="G275">
        <v>5</v>
      </c>
      <c r="H275">
        <v>12</v>
      </c>
      <c r="I275">
        <v>17</v>
      </c>
      <c r="J275">
        <v>9</v>
      </c>
      <c r="K275">
        <v>20</v>
      </c>
      <c r="L275">
        <v>5</v>
      </c>
      <c r="M275">
        <v>0</v>
      </c>
      <c r="N275">
        <v>0</v>
      </c>
      <c r="O275">
        <v>0</v>
      </c>
      <c r="P275">
        <v>10</v>
      </c>
      <c r="Q275">
        <v>2</v>
      </c>
      <c r="R275">
        <v>0</v>
      </c>
      <c r="S275">
        <v>86</v>
      </c>
      <c r="T275">
        <v>5.8</v>
      </c>
      <c r="U275">
        <v>185</v>
      </c>
      <c r="V275" s="2">
        <v>46.543750000000003</v>
      </c>
      <c r="W275" s="2">
        <v>1.0826388888888889</v>
      </c>
      <c r="X275">
        <v>0</v>
      </c>
      <c r="Y275">
        <v>0</v>
      </c>
      <c r="AA275">
        <v>74</v>
      </c>
      <c r="AB275">
        <v>22</v>
      </c>
      <c r="AC275">
        <v>14</v>
      </c>
      <c r="AD275">
        <v>72</v>
      </c>
      <c r="AF275" t="s">
        <v>852</v>
      </c>
    </row>
    <row r="276" spans="1:32" x14ac:dyDescent="0.3">
      <c r="A276">
        <v>269</v>
      </c>
      <c r="B276" t="s">
        <v>271</v>
      </c>
      <c r="C276">
        <v>32</v>
      </c>
      <c r="D276" t="s">
        <v>134</v>
      </c>
      <c r="E276" t="s">
        <v>95</v>
      </c>
      <c r="F276">
        <v>22</v>
      </c>
      <c r="G276">
        <v>6</v>
      </c>
      <c r="H276">
        <v>11</v>
      </c>
      <c r="I276">
        <v>17</v>
      </c>
      <c r="J276">
        <v>2</v>
      </c>
      <c r="K276">
        <v>2</v>
      </c>
      <c r="L276">
        <v>4</v>
      </c>
      <c r="M276">
        <v>2</v>
      </c>
      <c r="N276">
        <v>0</v>
      </c>
      <c r="O276">
        <v>0</v>
      </c>
      <c r="P276">
        <v>7</v>
      </c>
      <c r="Q276">
        <v>3</v>
      </c>
      <c r="R276">
        <v>1</v>
      </c>
      <c r="S276">
        <v>63</v>
      </c>
      <c r="T276">
        <v>9.5</v>
      </c>
      <c r="U276">
        <v>111</v>
      </c>
      <c r="V276" s="2">
        <v>17.416666666666668</v>
      </c>
      <c r="W276" s="3">
        <v>0.79166666666666663</v>
      </c>
      <c r="X276">
        <v>1</v>
      </c>
      <c r="Y276">
        <v>18</v>
      </c>
      <c r="Z276">
        <v>5.3</v>
      </c>
      <c r="AA276">
        <v>21</v>
      </c>
      <c r="AB276">
        <v>32</v>
      </c>
      <c r="AC276">
        <v>13</v>
      </c>
      <c r="AD276">
        <v>18</v>
      </c>
      <c r="AF276" t="s">
        <v>853</v>
      </c>
    </row>
    <row r="277" spans="1:32" x14ac:dyDescent="0.3">
      <c r="A277">
        <v>270</v>
      </c>
      <c r="B277" t="s">
        <v>854</v>
      </c>
      <c r="C277">
        <v>28</v>
      </c>
      <c r="D277" t="s">
        <v>150</v>
      </c>
      <c r="E277" t="s">
        <v>78</v>
      </c>
      <c r="F277">
        <v>40</v>
      </c>
      <c r="G277">
        <v>4</v>
      </c>
      <c r="H277">
        <v>13</v>
      </c>
      <c r="I277">
        <v>17</v>
      </c>
      <c r="J277">
        <v>6</v>
      </c>
      <c r="K277">
        <v>6</v>
      </c>
      <c r="L277">
        <v>3</v>
      </c>
      <c r="M277">
        <v>1</v>
      </c>
      <c r="N277">
        <v>0</v>
      </c>
      <c r="O277">
        <v>0</v>
      </c>
      <c r="P277">
        <v>12</v>
      </c>
      <c r="Q277">
        <v>0</v>
      </c>
      <c r="R277">
        <v>1</v>
      </c>
      <c r="S277">
        <v>42</v>
      </c>
      <c r="T277">
        <v>9.5</v>
      </c>
      <c r="U277">
        <v>83</v>
      </c>
      <c r="V277" s="2">
        <v>24.973611111111111</v>
      </c>
      <c r="W277" s="3">
        <v>0.62430555555555556</v>
      </c>
      <c r="X277">
        <v>249</v>
      </c>
      <c r="Y277">
        <v>213</v>
      </c>
      <c r="Z277">
        <v>53.9</v>
      </c>
      <c r="AA277">
        <v>16</v>
      </c>
      <c r="AB277">
        <v>46</v>
      </c>
      <c r="AC277">
        <v>15</v>
      </c>
      <c r="AD277">
        <v>32</v>
      </c>
      <c r="AF277" t="s">
        <v>855</v>
      </c>
    </row>
    <row r="278" spans="1:32" x14ac:dyDescent="0.3">
      <c r="A278">
        <v>271</v>
      </c>
      <c r="B278" t="s">
        <v>856</v>
      </c>
      <c r="C278">
        <v>20</v>
      </c>
      <c r="D278" t="s">
        <v>221</v>
      </c>
      <c r="E278" t="s">
        <v>87</v>
      </c>
      <c r="F278">
        <v>45</v>
      </c>
      <c r="G278">
        <v>5</v>
      </c>
      <c r="H278">
        <v>12</v>
      </c>
      <c r="I278">
        <v>17</v>
      </c>
      <c r="J278">
        <v>-16</v>
      </c>
      <c r="K278">
        <v>14</v>
      </c>
      <c r="L278">
        <v>5</v>
      </c>
      <c r="M278">
        <v>0</v>
      </c>
      <c r="N278">
        <v>0</v>
      </c>
      <c r="O278">
        <v>1</v>
      </c>
      <c r="P278">
        <v>6</v>
      </c>
      <c r="Q278">
        <v>6</v>
      </c>
      <c r="R278">
        <v>0</v>
      </c>
      <c r="S278">
        <v>46</v>
      </c>
      <c r="T278">
        <v>10.9</v>
      </c>
      <c r="U278">
        <v>143</v>
      </c>
      <c r="V278" s="2">
        <v>32.97013888888889</v>
      </c>
      <c r="W278" s="3">
        <v>0.73263888888888884</v>
      </c>
      <c r="X278">
        <v>0</v>
      </c>
      <c r="Y278">
        <v>0</v>
      </c>
      <c r="AA278">
        <v>43</v>
      </c>
      <c r="AB278">
        <v>12</v>
      </c>
      <c r="AC278">
        <v>6</v>
      </c>
      <c r="AD278">
        <v>44</v>
      </c>
      <c r="AF278" t="s">
        <v>857</v>
      </c>
    </row>
    <row r="279" spans="1:32" x14ac:dyDescent="0.3">
      <c r="A279">
        <v>272</v>
      </c>
      <c r="B279" t="s">
        <v>858</v>
      </c>
      <c r="C279">
        <v>34</v>
      </c>
      <c r="D279" t="s">
        <v>174</v>
      </c>
      <c r="E279" t="s">
        <v>78</v>
      </c>
      <c r="F279">
        <v>27</v>
      </c>
      <c r="G279">
        <v>7</v>
      </c>
      <c r="H279">
        <v>10</v>
      </c>
      <c r="I279">
        <v>17</v>
      </c>
      <c r="J279">
        <v>10</v>
      </c>
      <c r="K279">
        <v>2</v>
      </c>
      <c r="L279">
        <v>6</v>
      </c>
      <c r="M279">
        <v>1</v>
      </c>
      <c r="N279">
        <v>0</v>
      </c>
      <c r="O279">
        <v>2</v>
      </c>
      <c r="P279">
        <v>7</v>
      </c>
      <c r="Q279">
        <v>3</v>
      </c>
      <c r="R279">
        <v>0</v>
      </c>
      <c r="S279">
        <v>31</v>
      </c>
      <c r="T279">
        <v>22.6</v>
      </c>
      <c r="U279">
        <v>69</v>
      </c>
      <c r="V279" s="2">
        <v>18.744444444444444</v>
      </c>
      <c r="W279" s="3">
        <v>0.69444444444444442</v>
      </c>
      <c r="X279">
        <v>126</v>
      </c>
      <c r="Y279">
        <v>109</v>
      </c>
      <c r="Z279">
        <v>53.6</v>
      </c>
      <c r="AA279">
        <v>6</v>
      </c>
      <c r="AB279">
        <v>18</v>
      </c>
      <c r="AC279">
        <v>3</v>
      </c>
      <c r="AD279">
        <v>21</v>
      </c>
      <c r="AF279" t="s">
        <v>859</v>
      </c>
    </row>
    <row r="280" spans="1:32" x14ac:dyDescent="0.3">
      <c r="A280">
        <v>273</v>
      </c>
      <c r="B280" t="s">
        <v>860</v>
      </c>
      <c r="C280">
        <v>31</v>
      </c>
      <c r="D280" t="s">
        <v>306</v>
      </c>
      <c r="E280" t="s">
        <v>87</v>
      </c>
      <c r="F280">
        <v>43</v>
      </c>
      <c r="G280">
        <v>3</v>
      </c>
      <c r="H280">
        <v>14</v>
      </c>
      <c r="I280">
        <v>17</v>
      </c>
      <c r="J280">
        <v>4</v>
      </c>
      <c r="K280">
        <v>26</v>
      </c>
      <c r="L280">
        <v>2</v>
      </c>
      <c r="M280">
        <v>1</v>
      </c>
      <c r="N280">
        <v>0</v>
      </c>
      <c r="O280">
        <v>1</v>
      </c>
      <c r="P280">
        <v>11</v>
      </c>
      <c r="Q280">
        <v>3</v>
      </c>
      <c r="R280">
        <v>0</v>
      </c>
      <c r="S280">
        <v>56</v>
      </c>
      <c r="T280">
        <v>5.4</v>
      </c>
      <c r="U280">
        <v>155</v>
      </c>
      <c r="V280" s="2">
        <v>35.62083333333333</v>
      </c>
      <c r="W280" s="3">
        <v>0.82847222222222228</v>
      </c>
      <c r="X280">
        <v>0</v>
      </c>
      <c r="Y280">
        <v>0</v>
      </c>
      <c r="AA280">
        <v>41</v>
      </c>
      <c r="AB280">
        <v>30</v>
      </c>
      <c r="AC280">
        <v>14</v>
      </c>
      <c r="AD280">
        <v>53</v>
      </c>
      <c r="AF280" t="s">
        <v>861</v>
      </c>
    </row>
    <row r="281" spans="1:32" x14ac:dyDescent="0.3">
      <c r="A281">
        <v>274</v>
      </c>
      <c r="B281" t="s">
        <v>862</v>
      </c>
      <c r="C281">
        <v>37</v>
      </c>
      <c r="D281" t="s">
        <v>72</v>
      </c>
      <c r="E281" t="s">
        <v>78</v>
      </c>
      <c r="F281">
        <v>41</v>
      </c>
      <c r="G281">
        <v>10</v>
      </c>
      <c r="H281">
        <v>7</v>
      </c>
      <c r="I281">
        <v>17</v>
      </c>
      <c r="J281">
        <v>-1</v>
      </c>
      <c r="K281">
        <v>25</v>
      </c>
      <c r="L281">
        <v>8</v>
      </c>
      <c r="M281">
        <v>2</v>
      </c>
      <c r="N281">
        <v>0</v>
      </c>
      <c r="O281">
        <v>0</v>
      </c>
      <c r="P281">
        <v>7</v>
      </c>
      <c r="Q281">
        <v>0</v>
      </c>
      <c r="R281">
        <v>0</v>
      </c>
      <c r="S281">
        <v>50</v>
      </c>
      <c r="T281">
        <v>20</v>
      </c>
      <c r="U281">
        <v>110</v>
      </c>
      <c r="V281" s="2">
        <v>26.850694444444443</v>
      </c>
      <c r="W281" s="3">
        <v>0.65486111111111112</v>
      </c>
      <c r="X281">
        <v>455</v>
      </c>
      <c r="Y281">
        <v>357</v>
      </c>
      <c r="Z281">
        <v>56</v>
      </c>
      <c r="AA281">
        <v>23</v>
      </c>
      <c r="AB281">
        <v>74</v>
      </c>
      <c r="AC281">
        <v>7</v>
      </c>
      <c r="AD281">
        <v>27</v>
      </c>
      <c r="AF281" t="s">
        <v>863</v>
      </c>
    </row>
    <row r="282" spans="1:32" x14ac:dyDescent="0.3">
      <c r="A282">
        <v>275</v>
      </c>
      <c r="B282" t="s">
        <v>864</v>
      </c>
      <c r="C282">
        <v>36</v>
      </c>
      <c r="D282" t="s">
        <v>221</v>
      </c>
      <c r="E282" t="s">
        <v>101</v>
      </c>
      <c r="F282">
        <v>36</v>
      </c>
      <c r="G282">
        <v>11</v>
      </c>
      <c r="H282">
        <v>6</v>
      </c>
      <c r="I282">
        <v>17</v>
      </c>
      <c r="J282">
        <v>-7</v>
      </c>
      <c r="K282">
        <v>10</v>
      </c>
      <c r="L282">
        <v>7</v>
      </c>
      <c r="M282">
        <v>4</v>
      </c>
      <c r="N282">
        <v>0</v>
      </c>
      <c r="O282">
        <v>1</v>
      </c>
      <c r="P282">
        <v>4</v>
      </c>
      <c r="Q282">
        <v>2</v>
      </c>
      <c r="R282">
        <v>0</v>
      </c>
      <c r="S282">
        <v>64</v>
      </c>
      <c r="T282">
        <v>17.2</v>
      </c>
      <c r="U282">
        <v>122</v>
      </c>
      <c r="V282" s="2">
        <v>18.394444444444446</v>
      </c>
      <c r="W282" s="3">
        <v>0.51111111111111107</v>
      </c>
      <c r="X282">
        <v>2</v>
      </c>
      <c r="Y282">
        <v>2</v>
      </c>
      <c r="Z282">
        <v>50</v>
      </c>
      <c r="AA282">
        <v>20</v>
      </c>
      <c r="AB282">
        <v>7</v>
      </c>
      <c r="AC282">
        <v>5</v>
      </c>
      <c r="AD282">
        <v>21</v>
      </c>
      <c r="AF282" t="s">
        <v>865</v>
      </c>
    </row>
    <row r="283" spans="1:32" x14ac:dyDescent="0.3">
      <c r="A283">
        <v>276</v>
      </c>
      <c r="B283" t="s">
        <v>866</v>
      </c>
      <c r="C283">
        <v>29</v>
      </c>
      <c r="D283" t="s">
        <v>243</v>
      </c>
      <c r="E283" t="s">
        <v>78</v>
      </c>
      <c r="F283">
        <v>43</v>
      </c>
      <c r="G283">
        <v>7</v>
      </c>
      <c r="H283">
        <v>9</v>
      </c>
      <c r="I283">
        <v>16</v>
      </c>
      <c r="J283">
        <v>4</v>
      </c>
      <c r="K283">
        <v>12</v>
      </c>
      <c r="L283">
        <v>7</v>
      </c>
      <c r="M283">
        <v>0</v>
      </c>
      <c r="N283">
        <v>0</v>
      </c>
      <c r="O283">
        <v>1</v>
      </c>
      <c r="P283">
        <v>9</v>
      </c>
      <c r="Q283">
        <v>0</v>
      </c>
      <c r="R283">
        <v>0</v>
      </c>
      <c r="S283">
        <v>57</v>
      </c>
      <c r="T283">
        <v>12.3</v>
      </c>
      <c r="U283">
        <v>108</v>
      </c>
      <c r="V283" s="2">
        <v>27.797222222222221</v>
      </c>
      <c r="W283" s="3">
        <v>0.64652777777777781</v>
      </c>
      <c r="X283">
        <v>3</v>
      </c>
      <c r="Y283">
        <v>6</v>
      </c>
      <c r="Z283">
        <v>33.299999999999997</v>
      </c>
      <c r="AA283">
        <v>24</v>
      </c>
      <c r="AB283">
        <v>64</v>
      </c>
      <c r="AC283">
        <v>15</v>
      </c>
      <c r="AD283">
        <v>29</v>
      </c>
      <c r="AF283" t="s">
        <v>867</v>
      </c>
    </row>
    <row r="284" spans="1:32" x14ac:dyDescent="0.3">
      <c r="A284">
        <v>277</v>
      </c>
      <c r="B284" t="s">
        <v>92</v>
      </c>
      <c r="C284">
        <v>32</v>
      </c>
      <c r="D284" t="s">
        <v>91</v>
      </c>
      <c r="E284" t="s">
        <v>95</v>
      </c>
      <c r="F284">
        <v>41</v>
      </c>
      <c r="G284">
        <v>9</v>
      </c>
      <c r="H284">
        <v>7</v>
      </c>
      <c r="I284">
        <v>16</v>
      </c>
      <c r="J284">
        <v>5</v>
      </c>
      <c r="K284">
        <v>22</v>
      </c>
      <c r="L284">
        <v>4</v>
      </c>
      <c r="M284">
        <v>1</v>
      </c>
      <c r="N284">
        <v>4</v>
      </c>
      <c r="O284">
        <v>0</v>
      </c>
      <c r="P284">
        <v>6</v>
      </c>
      <c r="Q284">
        <v>0</v>
      </c>
      <c r="R284">
        <v>1</v>
      </c>
      <c r="S284">
        <v>51</v>
      </c>
      <c r="T284">
        <v>17.600000000000001</v>
      </c>
      <c r="U284">
        <v>108</v>
      </c>
      <c r="V284" s="2">
        <v>24.355555555555554</v>
      </c>
      <c r="W284" s="3">
        <v>0.59375</v>
      </c>
      <c r="X284">
        <v>11</v>
      </c>
      <c r="Y284">
        <v>19</v>
      </c>
      <c r="Z284">
        <v>36.700000000000003</v>
      </c>
      <c r="AA284">
        <v>24</v>
      </c>
      <c r="AB284">
        <v>38</v>
      </c>
      <c r="AC284">
        <v>22</v>
      </c>
      <c r="AD284">
        <v>33</v>
      </c>
      <c r="AF284" t="s">
        <v>868</v>
      </c>
    </row>
    <row r="285" spans="1:32" x14ac:dyDescent="0.3">
      <c r="A285">
        <v>278</v>
      </c>
      <c r="B285" t="s">
        <v>869</v>
      </c>
      <c r="C285">
        <v>30</v>
      </c>
      <c r="D285" t="s">
        <v>221</v>
      </c>
      <c r="E285" t="s">
        <v>101</v>
      </c>
      <c r="F285">
        <v>45</v>
      </c>
      <c r="G285">
        <v>5</v>
      </c>
      <c r="H285">
        <v>11</v>
      </c>
      <c r="I285">
        <v>16</v>
      </c>
      <c r="J285">
        <v>-4</v>
      </c>
      <c r="K285">
        <v>17</v>
      </c>
      <c r="L285">
        <v>5</v>
      </c>
      <c r="M285">
        <v>0</v>
      </c>
      <c r="N285">
        <v>0</v>
      </c>
      <c r="O285">
        <v>0</v>
      </c>
      <c r="P285">
        <v>11</v>
      </c>
      <c r="Q285">
        <v>0</v>
      </c>
      <c r="R285">
        <v>0</v>
      </c>
      <c r="S285">
        <v>50</v>
      </c>
      <c r="T285">
        <v>10</v>
      </c>
      <c r="U285">
        <v>95</v>
      </c>
      <c r="V285" s="2">
        <v>29.010416666666668</v>
      </c>
      <c r="W285" s="3">
        <v>0.64444444444444449</v>
      </c>
      <c r="X285">
        <v>284</v>
      </c>
      <c r="Y285">
        <v>265</v>
      </c>
      <c r="Z285">
        <v>51.7</v>
      </c>
      <c r="AA285">
        <v>32</v>
      </c>
      <c r="AB285">
        <v>14</v>
      </c>
      <c r="AC285">
        <v>5</v>
      </c>
      <c r="AD285">
        <v>20</v>
      </c>
      <c r="AF285" t="s">
        <v>870</v>
      </c>
    </row>
    <row r="286" spans="1:32" x14ac:dyDescent="0.3">
      <c r="A286">
        <v>279</v>
      </c>
      <c r="B286" t="s">
        <v>871</v>
      </c>
      <c r="C286">
        <v>26</v>
      </c>
      <c r="D286" t="s">
        <v>134</v>
      </c>
      <c r="E286" t="s">
        <v>78</v>
      </c>
      <c r="F286">
        <v>42</v>
      </c>
      <c r="G286">
        <v>8</v>
      </c>
      <c r="H286">
        <v>8</v>
      </c>
      <c r="I286">
        <v>16</v>
      </c>
      <c r="J286">
        <v>0</v>
      </c>
      <c r="K286">
        <v>10</v>
      </c>
      <c r="L286">
        <v>8</v>
      </c>
      <c r="M286">
        <v>0</v>
      </c>
      <c r="N286">
        <v>0</v>
      </c>
      <c r="O286">
        <v>2</v>
      </c>
      <c r="P286">
        <v>8</v>
      </c>
      <c r="Q286">
        <v>0</v>
      </c>
      <c r="R286">
        <v>0</v>
      </c>
      <c r="S286">
        <v>65</v>
      </c>
      <c r="T286">
        <v>12.3</v>
      </c>
      <c r="U286">
        <v>135</v>
      </c>
      <c r="V286" s="2">
        <v>23.789583333333333</v>
      </c>
      <c r="W286" s="3">
        <v>0.56666666666666665</v>
      </c>
      <c r="X286">
        <v>12</v>
      </c>
      <c r="Y286">
        <v>11</v>
      </c>
      <c r="Z286">
        <v>52.2</v>
      </c>
      <c r="AA286">
        <v>17</v>
      </c>
      <c r="AB286">
        <v>76</v>
      </c>
      <c r="AC286">
        <v>5</v>
      </c>
      <c r="AD286">
        <v>20</v>
      </c>
      <c r="AF286" t="s">
        <v>872</v>
      </c>
    </row>
    <row r="287" spans="1:32" x14ac:dyDescent="0.3">
      <c r="A287">
        <v>280</v>
      </c>
      <c r="B287" t="s">
        <v>873</v>
      </c>
      <c r="C287">
        <v>32</v>
      </c>
      <c r="D287" t="s">
        <v>91</v>
      </c>
      <c r="E287" t="s">
        <v>87</v>
      </c>
      <c r="F287">
        <v>43</v>
      </c>
      <c r="G287">
        <v>2</v>
      </c>
      <c r="H287">
        <v>14</v>
      </c>
      <c r="I287">
        <v>16</v>
      </c>
      <c r="J287">
        <v>9</v>
      </c>
      <c r="K287">
        <v>17</v>
      </c>
      <c r="L287">
        <v>2</v>
      </c>
      <c r="M287">
        <v>0</v>
      </c>
      <c r="N287">
        <v>0</v>
      </c>
      <c r="O287">
        <v>0</v>
      </c>
      <c r="P287">
        <v>11</v>
      </c>
      <c r="Q287">
        <v>2</v>
      </c>
      <c r="R287">
        <v>1</v>
      </c>
      <c r="S287">
        <v>60</v>
      </c>
      <c r="T287">
        <v>3.3</v>
      </c>
      <c r="U287">
        <v>135</v>
      </c>
      <c r="V287" s="2">
        <v>32.796527777777776</v>
      </c>
      <c r="W287" s="3">
        <v>0.76249999999999996</v>
      </c>
      <c r="X287">
        <v>0</v>
      </c>
      <c r="Y287">
        <v>0</v>
      </c>
      <c r="AA287">
        <v>42</v>
      </c>
      <c r="AB287">
        <v>51</v>
      </c>
      <c r="AC287">
        <v>6</v>
      </c>
      <c r="AD287">
        <v>42</v>
      </c>
      <c r="AF287" t="s">
        <v>874</v>
      </c>
    </row>
    <row r="288" spans="1:32" x14ac:dyDescent="0.3">
      <c r="A288">
        <v>281</v>
      </c>
      <c r="B288" t="s">
        <v>875</v>
      </c>
      <c r="C288">
        <v>22</v>
      </c>
      <c r="D288" t="s">
        <v>221</v>
      </c>
      <c r="E288" t="s">
        <v>87</v>
      </c>
      <c r="F288">
        <v>42</v>
      </c>
      <c r="G288">
        <v>5</v>
      </c>
      <c r="H288">
        <v>11</v>
      </c>
      <c r="I288">
        <v>16</v>
      </c>
      <c r="J288">
        <v>6</v>
      </c>
      <c r="K288">
        <v>54</v>
      </c>
      <c r="L288">
        <v>5</v>
      </c>
      <c r="M288">
        <v>0</v>
      </c>
      <c r="N288">
        <v>0</v>
      </c>
      <c r="O288">
        <v>2</v>
      </c>
      <c r="P288">
        <v>9</v>
      </c>
      <c r="Q288">
        <v>1</v>
      </c>
      <c r="R288">
        <v>1</v>
      </c>
      <c r="S288">
        <v>53</v>
      </c>
      <c r="T288">
        <v>9.4</v>
      </c>
      <c r="U288">
        <v>125</v>
      </c>
      <c r="V288" s="2">
        <v>38.965277777777779</v>
      </c>
      <c r="W288" s="3">
        <v>0.92777777777777781</v>
      </c>
      <c r="X288">
        <v>0</v>
      </c>
      <c r="Y288">
        <v>0</v>
      </c>
      <c r="AA288">
        <v>84</v>
      </c>
      <c r="AB288">
        <v>53</v>
      </c>
      <c r="AC288">
        <v>15</v>
      </c>
      <c r="AD288">
        <v>52</v>
      </c>
      <c r="AF288" t="s">
        <v>876</v>
      </c>
    </row>
    <row r="289" spans="1:32" x14ac:dyDescent="0.3">
      <c r="A289">
        <v>282</v>
      </c>
      <c r="B289" t="s">
        <v>877</v>
      </c>
      <c r="C289">
        <v>29</v>
      </c>
      <c r="D289" t="s">
        <v>164</v>
      </c>
      <c r="E289" t="s">
        <v>87</v>
      </c>
      <c r="F289">
        <v>42</v>
      </c>
      <c r="G289">
        <v>3</v>
      </c>
      <c r="H289">
        <v>13</v>
      </c>
      <c r="I289">
        <v>16</v>
      </c>
      <c r="J289">
        <v>-9</v>
      </c>
      <c r="K289">
        <v>33</v>
      </c>
      <c r="L289">
        <v>2</v>
      </c>
      <c r="M289">
        <v>1</v>
      </c>
      <c r="N289">
        <v>0</v>
      </c>
      <c r="O289">
        <v>3</v>
      </c>
      <c r="P289">
        <v>11</v>
      </c>
      <c r="Q289">
        <v>1</v>
      </c>
      <c r="R289">
        <v>1</v>
      </c>
      <c r="S289">
        <v>60</v>
      </c>
      <c r="T289">
        <v>5</v>
      </c>
      <c r="U289">
        <v>149</v>
      </c>
      <c r="V289" s="2">
        <v>39.189583333333331</v>
      </c>
      <c r="W289" s="3">
        <v>0.93333333333333335</v>
      </c>
      <c r="X289">
        <v>0</v>
      </c>
      <c r="Y289">
        <v>0</v>
      </c>
      <c r="AA289">
        <v>69</v>
      </c>
      <c r="AB289">
        <v>52</v>
      </c>
      <c r="AC289">
        <v>10</v>
      </c>
      <c r="AD289">
        <v>37</v>
      </c>
      <c r="AF289" t="s">
        <v>878</v>
      </c>
    </row>
    <row r="290" spans="1:32" x14ac:dyDescent="0.3">
      <c r="A290">
        <v>283</v>
      </c>
      <c r="B290" t="s">
        <v>879</v>
      </c>
      <c r="C290">
        <v>32</v>
      </c>
      <c r="D290" t="s">
        <v>174</v>
      </c>
      <c r="E290" t="s">
        <v>78</v>
      </c>
      <c r="F290">
        <v>43</v>
      </c>
      <c r="G290">
        <v>2</v>
      </c>
      <c r="H290">
        <v>14</v>
      </c>
      <c r="I290">
        <v>16</v>
      </c>
      <c r="J290">
        <v>8</v>
      </c>
      <c r="K290">
        <v>14</v>
      </c>
      <c r="L290">
        <v>1</v>
      </c>
      <c r="M290">
        <v>0</v>
      </c>
      <c r="N290">
        <v>1</v>
      </c>
      <c r="O290">
        <v>0</v>
      </c>
      <c r="P290">
        <v>12</v>
      </c>
      <c r="Q290">
        <v>0</v>
      </c>
      <c r="R290">
        <v>2</v>
      </c>
      <c r="S290">
        <v>27</v>
      </c>
      <c r="T290">
        <v>7.4</v>
      </c>
      <c r="U290">
        <v>57</v>
      </c>
      <c r="V290" s="2">
        <v>21.131944444444443</v>
      </c>
      <c r="W290" s="3">
        <v>0.49166666666666664</v>
      </c>
      <c r="X290">
        <v>181</v>
      </c>
      <c r="Y290">
        <v>144</v>
      </c>
      <c r="Z290">
        <v>55.7</v>
      </c>
      <c r="AA290">
        <v>33</v>
      </c>
      <c r="AB290">
        <v>55</v>
      </c>
      <c r="AC290">
        <v>12</v>
      </c>
      <c r="AD290">
        <v>17</v>
      </c>
      <c r="AF290" t="s">
        <v>880</v>
      </c>
    </row>
    <row r="291" spans="1:32" x14ac:dyDescent="0.3">
      <c r="A291">
        <v>284</v>
      </c>
      <c r="B291" t="s">
        <v>881</v>
      </c>
      <c r="C291">
        <v>26</v>
      </c>
      <c r="D291" t="s">
        <v>310</v>
      </c>
      <c r="E291" t="s">
        <v>87</v>
      </c>
      <c r="F291">
        <v>45</v>
      </c>
      <c r="G291">
        <v>3</v>
      </c>
      <c r="H291">
        <v>13</v>
      </c>
      <c r="I291">
        <v>16</v>
      </c>
      <c r="J291">
        <v>15</v>
      </c>
      <c r="K291">
        <v>21</v>
      </c>
      <c r="L291">
        <v>3</v>
      </c>
      <c r="M291">
        <v>0</v>
      </c>
      <c r="N291">
        <v>0</v>
      </c>
      <c r="O291">
        <v>0</v>
      </c>
      <c r="P291">
        <v>13</v>
      </c>
      <c r="Q291">
        <v>0</v>
      </c>
      <c r="R291">
        <v>0</v>
      </c>
      <c r="S291">
        <v>51</v>
      </c>
      <c r="T291">
        <v>5.9</v>
      </c>
      <c r="U291">
        <v>114</v>
      </c>
      <c r="V291" s="2">
        <v>35.416666666666664</v>
      </c>
      <c r="W291" s="3">
        <v>0.78680555555555554</v>
      </c>
      <c r="X291">
        <v>0</v>
      </c>
      <c r="Y291">
        <v>0</v>
      </c>
      <c r="AA291">
        <v>91</v>
      </c>
      <c r="AB291">
        <v>54</v>
      </c>
      <c r="AC291">
        <v>8</v>
      </c>
      <c r="AD291">
        <v>28</v>
      </c>
      <c r="AF291" t="s">
        <v>882</v>
      </c>
    </row>
    <row r="292" spans="1:32" x14ac:dyDescent="0.3">
      <c r="A292">
        <v>285</v>
      </c>
      <c r="B292" t="s">
        <v>883</v>
      </c>
      <c r="C292">
        <v>22</v>
      </c>
      <c r="D292" t="s">
        <v>290</v>
      </c>
      <c r="E292" t="s">
        <v>78</v>
      </c>
      <c r="F292">
        <v>44</v>
      </c>
      <c r="G292">
        <v>4</v>
      </c>
      <c r="H292">
        <v>12</v>
      </c>
      <c r="I292">
        <v>16</v>
      </c>
      <c r="J292">
        <v>0</v>
      </c>
      <c r="K292">
        <v>8</v>
      </c>
      <c r="L292">
        <v>3</v>
      </c>
      <c r="M292">
        <v>1</v>
      </c>
      <c r="N292">
        <v>0</v>
      </c>
      <c r="O292">
        <v>0</v>
      </c>
      <c r="P292">
        <v>9</v>
      </c>
      <c r="Q292">
        <v>3</v>
      </c>
      <c r="R292">
        <v>0</v>
      </c>
      <c r="S292">
        <v>60</v>
      </c>
      <c r="T292">
        <v>6.7</v>
      </c>
      <c r="U292">
        <v>112</v>
      </c>
      <c r="V292" s="2">
        <v>30.404166666666665</v>
      </c>
      <c r="W292" s="3">
        <v>0.69097222222222221</v>
      </c>
      <c r="X292">
        <v>215</v>
      </c>
      <c r="Y292">
        <v>249</v>
      </c>
      <c r="Z292">
        <v>46.3</v>
      </c>
      <c r="AA292">
        <v>21</v>
      </c>
      <c r="AB292">
        <v>26</v>
      </c>
      <c r="AC292">
        <v>14</v>
      </c>
      <c r="AD292">
        <v>31</v>
      </c>
      <c r="AF292" t="s">
        <v>884</v>
      </c>
    </row>
    <row r="293" spans="1:32" x14ac:dyDescent="0.3">
      <c r="A293">
        <v>286</v>
      </c>
      <c r="B293" t="s">
        <v>885</v>
      </c>
      <c r="C293">
        <v>23</v>
      </c>
      <c r="D293" t="s">
        <v>243</v>
      </c>
      <c r="E293" t="s">
        <v>78</v>
      </c>
      <c r="F293">
        <v>38</v>
      </c>
      <c r="G293">
        <v>6</v>
      </c>
      <c r="H293">
        <v>10</v>
      </c>
      <c r="I293">
        <v>16</v>
      </c>
      <c r="J293">
        <v>-2</v>
      </c>
      <c r="K293">
        <v>55</v>
      </c>
      <c r="L293">
        <v>5</v>
      </c>
      <c r="M293">
        <v>1</v>
      </c>
      <c r="N293">
        <v>0</v>
      </c>
      <c r="O293">
        <v>0</v>
      </c>
      <c r="P293">
        <v>8</v>
      </c>
      <c r="Q293">
        <v>2</v>
      </c>
      <c r="R293">
        <v>0</v>
      </c>
      <c r="S293">
        <v>71</v>
      </c>
      <c r="T293">
        <v>8.5</v>
      </c>
      <c r="U293">
        <v>119</v>
      </c>
      <c r="V293" s="2">
        <v>26.336805555555557</v>
      </c>
      <c r="W293" s="3">
        <v>0.69305555555555554</v>
      </c>
      <c r="X293">
        <v>155</v>
      </c>
      <c r="Y293">
        <v>138</v>
      </c>
      <c r="Z293">
        <v>52.9</v>
      </c>
      <c r="AA293">
        <v>25</v>
      </c>
      <c r="AB293">
        <v>46</v>
      </c>
      <c r="AC293">
        <v>10</v>
      </c>
      <c r="AD293">
        <v>22</v>
      </c>
      <c r="AF293" t="s">
        <v>886</v>
      </c>
    </row>
    <row r="294" spans="1:32" x14ac:dyDescent="0.3">
      <c r="A294">
        <v>287</v>
      </c>
      <c r="B294" t="s">
        <v>172</v>
      </c>
      <c r="C294">
        <v>29</v>
      </c>
      <c r="D294" t="s">
        <v>409</v>
      </c>
      <c r="E294" t="s">
        <v>87</v>
      </c>
      <c r="F294">
        <v>32</v>
      </c>
      <c r="G294">
        <v>2</v>
      </c>
      <c r="H294">
        <v>14</v>
      </c>
      <c r="I294">
        <v>16</v>
      </c>
      <c r="J294">
        <v>-5</v>
      </c>
      <c r="K294">
        <v>4</v>
      </c>
      <c r="L294">
        <v>2</v>
      </c>
      <c r="M294">
        <v>0</v>
      </c>
      <c r="N294">
        <v>0</v>
      </c>
      <c r="O294">
        <v>0</v>
      </c>
      <c r="P294">
        <v>8</v>
      </c>
      <c r="Q294">
        <v>6</v>
      </c>
      <c r="R294">
        <v>0</v>
      </c>
      <c r="S294">
        <v>78</v>
      </c>
      <c r="T294">
        <v>2.6</v>
      </c>
      <c r="U294">
        <v>169</v>
      </c>
      <c r="V294" s="2">
        <v>31.934027777777779</v>
      </c>
      <c r="W294" s="3">
        <v>0.99791666666666667</v>
      </c>
      <c r="X294">
        <v>0</v>
      </c>
      <c r="Y294">
        <v>0</v>
      </c>
      <c r="AA294">
        <v>48</v>
      </c>
      <c r="AB294">
        <v>20</v>
      </c>
      <c r="AC294">
        <v>19</v>
      </c>
      <c r="AD294">
        <v>41</v>
      </c>
      <c r="AF294" t="s">
        <v>887</v>
      </c>
    </row>
    <row r="295" spans="1:32" x14ac:dyDescent="0.3">
      <c r="A295">
        <v>288</v>
      </c>
      <c r="B295" t="s">
        <v>175</v>
      </c>
      <c r="C295">
        <v>24</v>
      </c>
      <c r="D295" t="s">
        <v>174</v>
      </c>
      <c r="E295" t="s">
        <v>87</v>
      </c>
      <c r="F295">
        <v>32</v>
      </c>
      <c r="G295">
        <v>2</v>
      </c>
      <c r="H295">
        <v>14</v>
      </c>
      <c r="I295">
        <v>16</v>
      </c>
      <c r="J295">
        <v>-4</v>
      </c>
      <c r="K295">
        <v>10</v>
      </c>
      <c r="L295">
        <v>2</v>
      </c>
      <c r="M295">
        <v>0</v>
      </c>
      <c r="N295">
        <v>0</v>
      </c>
      <c r="O295">
        <v>1</v>
      </c>
      <c r="P295">
        <v>11</v>
      </c>
      <c r="Q295">
        <v>3</v>
      </c>
      <c r="R295">
        <v>0</v>
      </c>
      <c r="S295">
        <v>42</v>
      </c>
      <c r="T295">
        <v>4.8</v>
      </c>
      <c r="U295">
        <v>120</v>
      </c>
      <c r="V295" s="2">
        <v>30.139583333333334</v>
      </c>
      <c r="W295" s="3">
        <v>0.94166666666666665</v>
      </c>
      <c r="X295">
        <v>0</v>
      </c>
      <c r="Y295">
        <v>0</v>
      </c>
      <c r="AA295">
        <v>71</v>
      </c>
      <c r="AB295">
        <v>22</v>
      </c>
      <c r="AC295">
        <v>17</v>
      </c>
      <c r="AD295">
        <v>43</v>
      </c>
      <c r="AF295" t="s">
        <v>888</v>
      </c>
    </row>
    <row r="296" spans="1:32" x14ac:dyDescent="0.3">
      <c r="A296">
        <v>289</v>
      </c>
      <c r="B296" t="s">
        <v>889</v>
      </c>
      <c r="C296">
        <v>33</v>
      </c>
      <c r="D296" t="s">
        <v>116</v>
      </c>
      <c r="E296" t="s">
        <v>87</v>
      </c>
      <c r="F296">
        <v>31</v>
      </c>
      <c r="G296">
        <v>9</v>
      </c>
      <c r="H296">
        <v>7</v>
      </c>
      <c r="I296">
        <v>16</v>
      </c>
      <c r="J296">
        <v>1</v>
      </c>
      <c r="K296">
        <v>16</v>
      </c>
      <c r="L296">
        <v>5</v>
      </c>
      <c r="M296">
        <v>4</v>
      </c>
      <c r="N296">
        <v>0</v>
      </c>
      <c r="O296">
        <v>2</v>
      </c>
      <c r="P296">
        <v>4</v>
      </c>
      <c r="Q296">
        <v>3</v>
      </c>
      <c r="R296">
        <v>0</v>
      </c>
      <c r="S296">
        <v>48</v>
      </c>
      <c r="T296">
        <v>18.8</v>
      </c>
      <c r="U296">
        <v>129</v>
      </c>
      <c r="V296" s="2">
        <v>27.927777777777777</v>
      </c>
      <c r="W296" s="3">
        <v>0.90069444444444446</v>
      </c>
      <c r="X296">
        <v>0</v>
      </c>
      <c r="Y296">
        <v>0</v>
      </c>
      <c r="AA296">
        <v>41</v>
      </c>
      <c r="AB296">
        <v>23</v>
      </c>
      <c r="AC296">
        <v>7</v>
      </c>
      <c r="AD296">
        <v>42</v>
      </c>
      <c r="AF296" t="s">
        <v>890</v>
      </c>
    </row>
    <row r="297" spans="1:32" x14ac:dyDescent="0.3">
      <c r="A297">
        <v>290</v>
      </c>
      <c r="B297" t="s">
        <v>891</v>
      </c>
      <c r="C297">
        <v>29</v>
      </c>
      <c r="D297" t="s">
        <v>91</v>
      </c>
      <c r="E297" t="s">
        <v>380</v>
      </c>
      <c r="F297">
        <v>38</v>
      </c>
      <c r="G297">
        <v>9</v>
      </c>
      <c r="H297">
        <v>7</v>
      </c>
      <c r="I297">
        <v>16</v>
      </c>
      <c r="J297">
        <v>-3</v>
      </c>
      <c r="K297">
        <v>12</v>
      </c>
      <c r="L297">
        <v>4</v>
      </c>
      <c r="M297">
        <v>5</v>
      </c>
      <c r="N297">
        <v>0</v>
      </c>
      <c r="O297">
        <v>1</v>
      </c>
      <c r="P297">
        <v>4</v>
      </c>
      <c r="Q297">
        <v>3</v>
      </c>
      <c r="R297">
        <v>0</v>
      </c>
      <c r="S297">
        <v>51</v>
      </c>
      <c r="T297">
        <v>17.600000000000001</v>
      </c>
      <c r="U297">
        <v>122</v>
      </c>
      <c r="V297" s="2">
        <v>23.518750000000001</v>
      </c>
      <c r="W297" s="3">
        <v>0.61875000000000002</v>
      </c>
      <c r="X297">
        <v>0</v>
      </c>
      <c r="Y297">
        <v>0</v>
      </c>
      <c r="AA297">
        <v>10</v>
      </c>
      <c r="AB297">
        <v>18</v>
      </c>
      <c r="AC297">
        <v>7</v>
      </c>
      <c r="AD297">
        <v>37</v>
      </c>
      <c r="AF297" t="s">
        <v>892</v>
      </c>
    </row>
    <row r="298" spans="1:32" x14ac:dyDescent="0.3">
      <c r="A298">
        <v>291</v>
      </c>
      <c r="B298" t="s">
        <v>893</v>
      </c>
      <c r="C298">
        <v>25</v>
      </c>
      <c r="D298" t="s">
        <v>150</v>
      </c>
      <c r="E298" t="s">
        <v>101</v>
      </c>
      <c r="F298">
        <v>32</v>
      </c>
      <c r="G298">
        <v>6</v>
      </c>
      <c r="H298">
        <v>10</v>
      </c>
      <c r="I298">
        <v>16</v>
      </c>
      <c r="J298">
        <v>-4</v>
      </c>
      <c r="K298">
        <v>8</v>
      </c>
      <c r="L298">
        <v>6</v>
      </c>
      <c r="M298">
        <v>0</v>
      </c>
      <c r="N298">
        <v>0</v>
      </c>
      <c r="O298">
        <v>1</v>
      </c>
      <c r="P298">
        <v>7</v>
      </c>
      <c r="Q298">
        <v>3</v>
      </c>
      <c r="R298">
        <v>0</v>
      </c>
      <c r="S298">
        <v>30</v>
      </c>
      <c r="T298">
        <v>20</v>
      </c>
      <c r="U298">
        <v>68</v>
      </c>
      <c r="V298" s="2">
        <v>18.531944444444445</v>
      </c>
      <c r="W298" s="3">
        <v>0.57916666666666672</v>
      </c>
      <c r="X298">
        <v>3</v>
      </c>
      <c r="Y298">
        <v>3</v>
      </c>
      <c r="Z298">
        <v>50</v>
      </c>
      <c r="AA298">
        <v>10</v>
      </c>
      <c r="AB298">
        <v>6</v>
      </c>
      <c r="AC298">
        <v>5</v>
      </c>
      <c r="AD298">
        <v>27</v>
      </c>
      <c r="AF298" t="s">
        <v>894</v>
      </c>
    </row>
    <row r="299" spans="1:32" x14ac:dyDescent="0.3">
      <c r="A299">
        <v>292</v>
      </c>
      <c r="B299" t="s">
        <v>895</v>
      </c>
      <c r="C299">
        <v>32</v>
      </c>
      <c r="D299" t="s">
        <v>150</v>
      </c>
      <c r="E299" t="s">
        <v>87</v>
      </c>
      <c r="F299">
        <v>41</v>
      </c>
      <c r="G299">
        <v>3</v>
      </c>
      <c r="H299">
        <v>13</v>
      </c>
      <c r="I299">
        <v>16</v>
      </c>
      <c r="J299">
        <v>26</v>
      </c>
      <c r="K299">
        <v>25</v>
      </c>
      <c r="L299">
        <v>3</v>
      </c>
      <c r="M299">
        <v>0</v>
      </c>
      <c r="N299">
        <v>0</v>
      </c>
      <c r="O299">
        <v>0</v>
      </c>
      <c r="P299">
        <v>13</v>
      </c>
      <c r="Q299">
        <v>0</v>
      </c>
      <c r="R299">
        <v>0</v>
      </c>
      <c r="S299">
        <v>28</v>
      </c>
      <c r="T299">
        <v>10.7</v>
      </c>
      <c r="U299">
        <v>80</v>
      </c>
      <c r="V299" s="2">
        <v>37.62361111111111</v>
      </c>
      <c r="W299" s="3">
        <v>0.91736111111111107</v>
      </c>
      <c r="X299">
        <v>0</v>
      </c>
      <c r="Y299">
        <v>0</v>
      </c>
      <c r="AA299">
        <v>104</v>
      </c>
      <c r="AB299">
        <v>58</v>
      </c>
      <c r="AC299">
        <v>13</v>
      </c>
      <c r="AD299">
        <v>52</v>
      </c>
      <c r="AF299" t="s">
        <v>896</v>
      </c>
    </row>
    <row r="300" spans="1:32" x14ac:dyDescent="0.3">
      <c r="A300">
        <v>293</v>
      </c>
      <c r="B300" t="s">
        <v>897</v>
      </c>
      <c r="C300">
        <v>31</v>
      </c>
      <c r="D300" t="s">
        <v>200</v>
      </c>
      <c r="E300" t="s">
        <v>87</v>
      </c>
      <c r="F300">
        <v>27</v>
      </c>
      <c r="G300">
        <v>6</v>
      </c>
      <c r="H300">
        <v>10</v>
      </c>
      <c r="I300">
        <v>16</v>
      </c>
      <c r="J300">
        <v>-4</v>
      </c>
      <c r="K300">
        <v>21</v>
      </c>
      <c r="L300">
        <v>5</v>
      </c>
      <c r="M300">
        <v>1</v>
      </c>
      <c r="N300">
        <v>0</v>
      </c>
      <c r="O300">
        <v>1</v>
      </c>
      <c r="P300">
        <v>7</v>
      </c>
      <c r="Q300">
        <v>3</v>
      </c>
      <c r="R300">
        <v>0</v>
      </c>
      <c r="S300">
        <v>68</v>
      </c>
      <c r="T300">
        <v>8.8000000000000007</v>
      </c>
      <c r="U300">
        <v>164</v>
      </c>
      <c r="V300" s="2">
        <v>24.668749999999999</v>
      </c>
      <c r="W300" s="3">
        <v>0.91388888888888886</v>
      </c>
      <c r="X300">
        <v>0</v>
      </c>
      <c r="Y300">
        <v>0</v>
      </c>
      <c r="AA300">
        <v>35</v>
      </c>
      <c r="AB300">
        <v>34</v>
      </c>
      <c r="AC300">
        <v>14</v>
      </c>
      <c r="AD300">
        <v>37</v>
      </c>
      <c r="AF300" t="s">
        <v>898</v>
      </c>
    </row>
    <row r="301" spans="1:32" x14ac:dyDescent="0.3">
      <c r="A301">
        <v>294</v>
      </c>
      <c r="B301" t="s">
        <v>899</v>
      </c>
      <c r="C301">
        <v>33</v>
      </c>
      <c r="D301" t="s">
        <v>130</v>
      </c>
      <c r="E301" t="s">
        <v>95</v>
      </c>
      <c r="F301">
        <v>42</v>
      </c>
      <c r="G301">
        <v>6</v>
      </c>
      <c r="H301">
        <v>10</v>
      </c>
      <c r="I301">
        <v>16</v>
      </c>
      <c r="J301">
        <v>-4</v>
      </c>
      <c r="K301">
        <v>12</v>
      </c>
      <c r="L301">
        <v>5</v>
      </c>
      <c r="M301">
        <v>1</v>
      </c>
      <c r="N301">
        <v>0</v>
      </c>
      <c r="O301">
        <v>1</v>
      </c>
      <c r="P301">
        <v>6</v>
      </c>
      <c r="Q301">
        <v>4</v>
      </c>
      <c r="R301">
        <v>0</v>
      </c>
      <c r="S301">
        <v>62</v>
      </c>
      <c r="T301">
        <v>9.6999999999999993</v>
      </c>
      <c r="U301">
        <v>114</v>
      </c>
      <c r="V301" s="2">
        <v>24.172916666666666</v>
      </c>
      <c r="W301" s="3">
        <v>0.5756944444444444</v>
      </c>
      <c r="X301">
        <v>3</v>
      </c>
      <c r="Y301">
        <v>2</v>
      </c>
      <c r="Z301">
        <v>60</v>
      </c>
      <c r="AA301">
        <v>12</v>
      </c>
      <c r="AB301">
        <v>57</v>
      </c>
      <c r="AC301">
        <v>6</v>
      </c>
      <c r="AD301">
        <v>30</v>
      </c>
      <c r="AF301" t="s">
        <v>900</v>
      </c>
    </row>
    <row r="302" spans="1:32" x14ac:dyDescent="0.3">
      <c r="A302">
        <v>295</v>
      </c>
      <c r="B302" t="s">
        <v>901</v>
      </c>
      <c r="C302">
        <v>30</v>
      </c>
      <c r="D302" t="s">
        <v>250</v>
      </c>
      <c r="E302" t="s">
        <v>87</v>
      </c>
      <c r="F302">
        <v>44</v>
      </c>
      <c r="G302">
        <v>6</v>
      </c>
      <c r="H302">
        <v>10</v>
      </c>
      <c r="I302">
        <v>16</v>
      </c>
      <c r="J302">
        <v>-11</v>
      </c>
      <c r="K302">
        <v>74</v>
      </c>
      <c r="L302">
        <v>6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2</v>
      </c>
      <c r="S302">
        <v>89</v>
      </c>
      <c r="T302">
        <v>6.7</v>
      </c>
      <c r="U302">
        <v>199</v>
      </c>
      <c r="V302" s="2">
        <v>37.959027777777777</v>
      </c>
      <c r="W302" s="3">
        <v>0.86250000000000004</v>
      </c>
      <c r="X302">
        <v>0</v>
      </c>
      <c r="Y302">
        <v>0</v>
      </c>
      <c r="AA302">
        <v>101</v>
      </c>
      <c r="AB302">
        <v>61</v>
      </c>
      <c r="AC302">
        <v>12</v>
      </c>
      <c r="AD302">
        <v>44</v>
      </c>
      <c r="AF302" t="s">
        <v>902</v>
      </c>
    </row>
    <row r="303" spans="1:32" x14ac:dyDescent="0.3">
      <c r="A303">
        <v>296</v>
      </c>
      <c r="B303" t="s">
        <v>903</v>
      </c>
      <c r="C303">
        <v>27</v>
      </c>
      <c r="D303" t="s">
        <v>193</v>
      </c>
      <c r="E303" t="s">
        <v>380</v>
      </c>
      <c r="F303">
        <v>43</v>
      </c>
      <c r="G303">
        <v>10</v>
      </c>
      <c r="H303">
        <v>6</v>
      </c>
      <c r="I303">
        <v>16</v>
      </c>
      <c r="J303">
        <v>1</v>
      </c>
      <c r="K303">
        <v>18</v>
      </c>
      <c r="L303">
        <v>8</v>
      </c>
      <c r="M303">
        <v>0</v>
      </c>
      <c r="N303">
        <v>2</v>
      </c>
      <c r="O303">
        <v>1</v>
      </c>
      <c r="P303">
        <v>6</v>
      </c>
      <c r="Q303">
        <v>0</v>
      </c>
      <c r="R303">
        <v>0</v>
      </c>
      <c r="S303">
        <v>57</v>
      </c>
      <c r="T303">
        <v>17.5</v>
      </c>
      <c r="U303">
        <v>124</v>
      </c>
      <c r="V303" s="2">
        <v>24.634027777777778</v>
      </c>
      <c r="W303" s="3">
        <v>0.57291666666666663</v>
      </c>
      <c r="X303">
        <v>45</v>
      </c>
      <c r="Y303">
        <v>37</v>
      </c>
      <c r="Z303">
        <v>54.9</v>
      </c>
      <c r="AA303">
        <v>17</v>
      </c>
      <c r="AB303">
        <v>33</v>
      </c>
      <c r="AC303">
        <v>6</v>
      </c>
      <c r="AD303">
        <v>36</v>
      </c>
      <c r="AF303" t="s">
        <v>904</v>
      </c>
    </row>
    <row r="304" spans="1:32" x14ac:dyDescent="0.3">
      <c r="A304">
        <v>297</v>
      </c>
      <c r="B304" t="s">
        <v>905</v>
      </c>
      <c r="C304">
        <v>33</v>
      </c>
      <c r="D304" t="s">
        <v>188</v>
      </c>
      <c r="E304" t="s">
        <v>78</v>
      </c>
      <c r="F304">
        <v>36</v>
      </c>
      <c r="G304">
        <v>6</v>
      </c>
      <c r="H304">
        <v>10</v>
      </c>
      <c r="I304">
        <v>16</v>
      </c>
      <c r="J304">
        <v>-2</v>
      </c>
      <c r="K304">
        <v>2</v>
      </c>
      <c r="L304">
        <v>4</v>
      </c>
      <c r="M304">
        <v>0</v>
      </c>
      <c r="N304">
        <v>2</v>
      </c>
      <c r="O304">
        <v>2</v>
      </c>
      <c r="P304">
        <v>8</v>
      </c>
      <c r="Q304">
        <v>0</v>
      </c>
      <c r="R304">
        <v>2</v>
      </c>
      <c r="S304">
        <v>36</v>
      </c>
      <c r="T304">
        <v>16.7</v>
      </c>
      <c r="U304">
        <v>71</v>
      </c>
      <c r="V304" s="2">
        <v>23.222916666666666</v>
      </c>
      <c r="W304" s="3">
        <v>0.64513888888888893</v>
      </c>
      <c r="X304">
        <v>311</v>
      </c>
      <c r="Y304">
        <v>219</v>
      </c>
      <c r="Z304">
        <v>58.7</v>
      </c>
      <c r="AA304">
        <v>36</v>
      </c>
      <c r="AB304">
        <v>50</v>
      </c>
      <c r="AC304">
        <v>9</v>
      </c>
      <c r="AD304">
        <v>25</v>
      </c>
      <c r="AF304" t="s">
        <v>906</v>
      </c>
    </row>
    <row r="305" spans="1:32" x14ac:dyDescent="0.3">
      <c r="A305">
        <v>298</v>
      </c>
      <c r="B305" t="s">
        <v>907</v>
      </c>
      <c r="C305">
        <v>28</v>
      </c>
      <c r="D305" t="s">
        <v>134</v>
      </c>
      <c r="E305" t="s">
        <v>87</v>
      </c>
      <c r="F305">
        <v>42</v>
      </c>
      <c r="G305">
        <v>2</v>
      </c>
      <c r="H305">
        <v>14</v>
      </c>
      <c r="I305">
        <v>16</v>
      </c>
      <c r="J305">
        <v>15</v>
      </c>
      <c r="K305">
        <v>18</v>
      </c>
      <c r="L305">
        <v>2</v>
      </c>
      <c r="M305">
        <v>0</v>
      </c>
      <c r="N305">
        <v>0</v>
      </c>
      <c r="O305">
        <v>0</v>
      </c>
      <c r="P305">
        <v>14</v>
      </c>
      <c r="Q305">
        <v>0</v>
      </c>
      <c r="R305">
        <v>0</v>
      </c>
      <c r="S305">
        <v>36</v>
      </c>
      <c r="T305">
        <v>5.6</v>
      </c>
      <c r="U305">
        <v>99</v>
      </c>
      <c r="V305" s="2">
        <v>33.479861111111113</v>
      </c>
      <c r="W305" s="3">
        <v>0.79722222222222228</v>
      </c>
      <c r="X305">
        <v>0</v>
      </c>
      <c r="Y305">
        <v>0</v>
      </c>
      <c r="AA305">
        <v>53</v>
      </c>
      <c r="AB305">
        <v>23</v>
      </c>
      <c r="AC305">
        <v>11</v>
      </c>
      <c r="AD305">
        <v>29</v>
      </c>
      <c r="AF305" t="s">
        <v>908</v>
      </c>
    </row>
    <row r="306" spans="1:32" x14ac:dyDescent="0.3">
      <c r="A306">
        <v>299</v>
      </c>
      <c r="B306" t="s">
        <v>909</v>
      </c>
      <c r="C306">
        <v>27</v>
      </c>
      <c r="D306" t="s">
        <v>174</v>
      </c>
      <c r="E306" t="s">
        <v>78</v>
      </c>
      <c r="F306">
        <v>44</v>
      </c>
      <c r="G306">
        <v>7</v>
      </c>
      <c r="H306">
        <v>9</v>
      </c>
      <c r="I306">
        <v>16</v>
      </c>
      <c r="J306">
        <v>-5</v>
      </c>
      <c r="K306">
        <v>20</v>
      </c>
      <c r="L306">
        <v>6</v>
      </c>
      <c r="M306">
        <v>1</v>
      </c>
      <c r="N306">
        <v>0</v>
      </c>
      <c r="O306">
        <v>5</v>
      </c>
      <c r="P306">
        <v>7</v>
      </c>
      <c r="Q306">
        <v>2</v>
      </c>
      <c r="R306">
        <v>0</v>
      </c>
      <c r="S306">
        <v>48</v>
      </c>
      <c r="T306">
        <v>14.6</v>
      </c>
      <c r="U306">
        <v>93</v>
      </c>
      <c r="V306" s="2">
        <v>29.81111111111111</v>
      </c>
      <c r="W306" s="3">
        <v>0.67777777777777781</v>
      </c>
      <c r="X306">
        <v>100</v>
      </c>
      <c r="Y306">
        <v>96</v>
      </c>
      <c r="Z306">
        <v>51</v>
      </c>
      <c r="AA306">
        <v>18</v>
      </c>
      <c r="AB306">
        <v>46</v>
      </c>
      <c r="AC306">
        <v>12</v>
      </c>
      <c r="AD306">
        <v>27</v>
      </c>
      <c r="AF306" t="s">
        <v>910</v>
      </c>
    </row>
    <row r="307" spans="1:32" x14ac:dyDescent="0.3">
      <c r="A307">
        <v>300</v>
      </c>
      <c r="B307" t="s">
        <v>911</v>
      </c>
      <c r="C307">
        <v>32</v>
      </c>
      <c r="D307" t="s">
        <v>82</v>
      </c>
      <c r="E307" t="s">
        <v>87</v>
      </c>
      <c r="F307">
        <v>44</v>
      </c>
      <c r="G307">
        <v>3</v>
      </c>
      <c r="H307">
        <v>13</v>
      </c>
      <c r="I307">
        <v>16</v>
      </c>
      <c r="J307">
        <v>-21</v>
      </c>
      <c r="K307">
        <v>59</v>
      </c>
      <c r="L307">
        <v>3</v>
      </c>
      <c r="M307">
        <v>0</v>
      </c>
      <c r="N307">
        <v>0</v>
      </c>
      <c r="O307">
        <v>0</v>
      </c>
      <c r="P307">
        <v>9</v>
      </c>
      <c r="Q307">
        <v>3</v>
      </c>
      <c r="R307">
        <v>1</v>
      </c>
      <c r="S307">
        <v>100</v>
      </c>
      <c r="T307">
        <v>3</v>
      </c>
      <c r="U307">
        <v>237</v>
      </c>
      <c r="V307" s="2">
        <v>42.914583333333333</v>
      </c>
      <c r="W307" s="3">
        <v>0.97499999999999998</v>
      </c>
      <c r="X307">
        <v>0</v>
      </c>
      <c r="Y307">
        <v>0</v>
      </c>
      <c r="AA307">
        <v>92</v>
      </c>
      <c r="AB307">
        <v>108</v>
      </c>
      <c r="AC307">
        <v>17</v>
      </c>
      <c r="AD307">
        <v>71</v>
      </c>
      <c r="AF307" t="s">
        <v>912</v>
      </c>
    </row>
    <row r="308" spans="1:32" x14ac:dyDescent="0.3">
      <c r="A308">
        <v>301</v>
      </c>
      <c r="B308" t="s">
        <v>913</v>
      </c>
      <c r="C308">
        <v>22</v>
      </c>
      <c r="D308" t="s">
        <v>109</v>
      </c>
      <c r="E308" t="s">
        <v>95</v>
      </c>
      <c r="F308">
        <v>38</v>
      </c>
      <c r="G308">
        <v>6</v>
      </c>
      <c r="H308">
        <v>10</v>
      </c>
      <c r="I308">
        <v>16</v>
      </c>
      <c r="J308">
        <v>-2</v>
      </c>
      <c r="K308">
        <v>10</v>
      </c>
      <c r="L308">
        <v>6</v>
      </c>
      <c r="M308">
        <v>0</v>
      </c>
      <c r="N308">
        <v>0</v>
      </c>
      <c r="O308">
        <v>2</v>
      </c>
      <c r="P308">
        <v>9</v>
      </c>
      <c r="Q308">
        <v>1</v>
      </c>
      <c r="R308">
        <v>0</v>
      </c>
      <c r="S308">
        <v>44</v>
      </c>
      <c r="T308">
        <v>13.6</v>
      </c>
      <c r="U308">
        <v>90</v>
      </c>
      <c r="V308" s="2">
        <v>20.027777777777779</v>
      </c>
      <c r="W308" s="3">
        <v>0.52708333333333335</v>
      </c>
      <c r="X308">
        <v>145</v>
      </c>
      <c r="Y308">
        <v>218</v>
      </c>
      <c r="Z308">
        <v>39.9</v>
      </c>
      <c r="AA308">
        <v>27</v>
      </c>
      <c r="AB308">
        <v>25</v>
      </c>
      <c r="AC308">
        <v>11</v>
      </c>
      <c r="AD308">
        <v>25</v>
      </c>
      <c r="AF308" t="s">
        <v>914</v>
      </c>
    </row>
    <row r="309" spans="1:32" x14ac:dyDescent="0.3">
      <c r="A309">
        <v>302</v>
      </c>
      <c r="B309" t="s">
        <v>915</v>
      </c>
      <c r="C309">
        <v>22</v>
      </c>
      <c r="D309" t="s">
        <v>113</v>
      </c>
      <c r="E309" t="s">
        <v>87</v>
      </c>
      <c r="F309">
        <v>43</v>
      </c>
      <c r="G309">
        <v>5</v>
      </c>
      <c r="H309">
        <v>11</v>
      </c>
      <c r="I309">
        <v>16</v>
      </c>
      <c r="J309">
        <v>4</v>
      </c>
      <c r="K309">
        <v>20</v>
      </c>
      <c r="L309">
        <v>4</v>
      </c>
      <c r="M309">
        <v>1</v>
      </c>
      <c r="N309">
        <v>0</v>
      </c>
      <c r="O309">
        <v>1</v>
      </c>
      <c r="P309">
        <v>9</v>
      </c>
      <c r="Q309">
        <v>2</v>
      </c>
      <c r="R309">
        <v>0</v>
      </c>
      <c r="S309">
        <v>70</v>
      </c>
      <c r="T309">
        <v>7.1</v>
      </c>
      <c r="U309">
        <v>187</v>
      </c>
      <c r="V309" s="2">
        <v>31.902083333333334</v>
      </c>
      <c r="W309" s="3">
        <v>0.7416666666666667</v>
      </c>
      <c r="X309">
        <v>0</v>
      </c>
      <c r="Y309">
        <v>0</v>
      </c>
      <c r="AA309">
        <v>44</v>
      </c>
      <c r="AB309">
        <v>21</v>
      </c>
      <c r="AC309">
        <v>14</v>
      </c>
      <c r="AD309">
        <v>37</v>
      </c>
      <c r="AF309" t="s">
        <v>916</v>
      </c>
    </row>
    <row r="310" spans="1:32" x14ac:dyDescent="0.3">
      <c r="A310">
        <v>303</v>
      </c>
      <c r="B310" t="s">
        <v>917</v>
      </c>
      <c r="C310">
        <v>28</v>
      </c>
      <c r="D310" t="s">
        <v>310</v>
      </c>
      <c r="E310" t="s">
        <v>101</v>
      </c>
      <c r="F310">
        <v>45</v>
      </c>
      <c r="G310">
        <v>9</v>
      </c>
      <c r="H310">
        <v>6</v>
      </c>
      <c r="I310">
        <v>15</v>
      </c>
      <c r="J310">
        <v>7</v>
      </c>
      <c r="K310">
        <v>16</v>
      </c>
      <c r="L310">
        <v>9</v>
      </c>
      <c r="M310">
        <v>0</v>
      </c>
      <c r="N310">
        <v>0</v>
      </c>
      <c r="O310">
        <v>3</v>
      </c>
      <c r="P310">
        <v>6</v>
      </c>
      <c r="Q310">
        <v>0</v>
      </c>
      <c r="R310">
        <v>0</v>
      </c>
      <c r="S310">
        <v>94</v>
      </c>
      <c r="T310">
        <v>9.6</v>
      </c>
      <c r="U310">
        <v>161</v>
      </c>
      <c r="V310" s="2">
        <v>29.440277777777776</v>
      </c>
      <c r="W310" s="3">
        <v>0.65416666666666667</v>
      </c>
      <c r="X310">
        <v>10</v>
      </c>
      <c r="Y310">
        <v>12</v>
      </c>
      <c r="Z310">
        <v>45.5</v>
      </c>
      <c r="AA310">
        <v>21</v>
      </c>
      <c r="AB310">
        <v>60</v>
      </c>
      <c r="AC310">
        <v>6</v>
      </c>
      <c r="AD310">
        <v>22</v>
      </c>
      <c r="AF310" t="s">
        <v>918</v>
      </c>
    </row>
    <row r="311" spans="1:32" x14ac:dyDescent="0.3">
      <c r="A311">
        <v>304</v>
      </c>
      <c r="B311" t="s">
        <v>919</v>
      </c>
      <c r="C311">
        <v>29</v>
      </c>
      <c r="D311" t="s">
        <v>210</v>
      </c>
      <c r="E311" t="s">
        <v>380</v>
      </c>
      <c r="F311">
        <v>43</v>
      </c>
      <c r="G311">
        <v>8</v>
      </c>
      <c r="H311">
        <v>7</v>
      </c>
      <c r="I311">
        <v>15</v>
      </c>
      <c r="J311">
        <v>-3</v>
      </c>
      <c r="K311">
        <v>18</v>
      </c>
      <c r="L311">
        <v>7</v>
      </c>
      <c r="M311">
        <v>1</v>
      </c>
      <c r="N311">
        <v>0</v>
      </c>
      <c r="O311">
        <v>0</v>
      </c>
      <c r="P311">
        <v>7</v>
      </c>
      <c r="Q311">
        <v>0</v>
      </c>
      <c r="R311">
        <v>0</v>
      </c>
      <c r="S311">
        <v>86</v>
      </c>
      <c r="T311">
        <v>9.3000000000000007</v>
      </c>
      <c r="U311">
        <v>179</v>
      </c>
      <c r="V311" s="2">
        <v>21.911805555555556</v>
      </c>
      <c r="W311" s="3">
        <v>0.50972222222222219</v>
      </c>
      <c r="X311">
        <v>6</v>
      </c>
      <c r="Y311">
        <v>6</v>
      </c>
      <c r="Z311">
        <v>50</v>
      </c>
      <c r="AA311">
        <v>10</v>
      </c>
      <c r="AB311">
        <v>72</v>
      </c>
      <c r="AC311">
        <v>9</v>
      </c>
      <c r="AD311">
        <v>25</v>
      </c>
      <c r="AF311" t="s">
        <v>920</v>
      </c>
    </row>
    <row r="312" spans="1:32" x14ac:dyDescent="0.3">
      <c r="A312">
        <v>305</v>
      </c>
      <c r="B312" t="s">
        <v>921</v>
      </c>
      <c r="C312">
        <v>29</v>
      </c>
      <c r="D312" t="s">
        <v>243</v>
      </c>
      <c r="E312" t="s">
        <v>87</v>
      </c>
      <c r="F312">
        <v>28</v>
      </c>
      <c r="G312">
        <v>4</v>
      </c>
      <c r="H312">
        <v>11</v>
      </c>
      <c r="I312">
        <v>15</v>
      </c>
      <c r="J312">
        <v>-2</v>
      </c>
      <c r="K312">
        <v>10</v>
      </c>
      <c r="L312">
        <v>2</v>
      </c>
      <c r="M312">
        <v>2</v>
      </c>
      <c r="N312">
        <v>0</v>
      </c>
      <c r="O312">
        <v>0</v>
      </c>
      <c r="P312">
        <v>6</v>
      </c>
      <c r="Q312">
        <v>4</v>
      </c>
      <c r="R312">
        <v>1</v>
      </c>
      <c r="S312">
        <v>42</v>
      </c>
      <c r="T312">
        <v>9.5</v>
      </c>
      <c r="U312">
        <v>128</v>
      </c>
      <c r="V312" s="2">
        <v>25.838194444444444</v>
      </c>
      <c r="W312" s="3">
        <v>0.92291666666666672</v>
      </c>
      <c r="X312">
        <v>0</v>
      </c>
      <c r="Y312">
        <v>0</v>
      </c>
      <c r="AA312">
        <v>53</v>
      </c>
      <c r="AB312">
        <v>18</v>
      </c>
      <c r="AC312">
        <v>9</v>
      </c>
      <c r="AD312">
        <v>24</v>
      </c>
      <c r="AF312" t="s">
        <v>922</v>
      </c>
    </row>
    <row r="313" spans="1:32" x14ac:dyDescent="0.3">
      <c r="A313">
        <v>306</v>
      </c>
      <c r="B313" t="s">
        <v>923</v>
      </c>
      <c r="C313">
        <v>32</v>
      </c>
      <c r="D313" t="s">
        <v>130</v>
      </c>
      <c r="E313" t="s">
        <v>87</v>
      </c>
      <c r="F313">
        <v>43</v>
      </c>
      <c r="G313">
        <v>2</v>
      </c>
      <c r="H313">
        <v>13</v>
      </c>
      <c r="I313">
        <v>15</v>
      </c>
      <c r="J313">
        <v>11</v>
      </c>
      <c r="K313">
        <v>32</v>
      </c>
      <c r="L313">
        <v>2</v>
      </c>
      <c r="M313">
        <v>0</v>
      </c>
      <c r="N313">
        <v>0</v>
      </c>
      <c r="O313">
        <v>0</v>
      </c>
      <c r="P313">
        <v>12</v>
      </c>
      <c r="Q313">
        <v>0</v>
      </c>
      <c r="R313">
        <v>1</v>
      </c>
      <c r="S313">
        <v>33</v>
      </c>
      <c r="T313">
        <v>6.1</v>
      </c>
      <c r="U313">
        <v>92</v>
      </c>
      <c r="V313" s="2">
        <v>38.113194444444446</v>
      </c>
      <c r="W313" s="3">
        <v>0.88611111111111107</v>
      </c>
      <c r="X313">
        <v>0</v>
      </c>
      <c r="Y313">
        <v>0</v>
      </c>
      <c r="AA313">
        <v>62</v>
      </c>
      <c r="AB313">
        <v>67</v>
      </c>
      <c r="AC313">
        <v>12</v>
      </c>
      <c r="AD313">
        <v>44</v>
      </c>
      <c r="AF313" t="s">
        <v>924</v>
      </c>
    </row>
    <row r="314" spans="1:32" x14ac:dyDescent="0.3">
      <c r="A314">
        <v>307</v>
      </c>
      <c r="B314" t="s">
        <v>925</v>
      </c>
      <c r="C314">
        <v>34</v>
      </c>
      <c r="D314" t="s">
        <v>103</v>
      </c>
      <c r="E314" t="s">
        <v>87</v>
      </c>
      <c r="F314">
        <v>45</v>
      </c>
      <c r="G314">
        <v>1</v>
      </c>
      <c r="H314">
        <v>14</v>
      </c>
      <c r="I314">
        <v>15</v>
      </c>
      <c r="J314">
        <v>-18</v>
      </c>
      <c r="K314">
        <v>12</v>
      </c>
      <c r="L314">
        <v>1</v>
      </c>
      <c r="M314">
        <v>0</v>
      </c>
      <c r="N314">
        <v>0</v>
      </c>
      <c r="O314">
        <v>0</v>
      </c>
      <c r="P314">
        <v>5</v>
      </c>
      <c r="Q314">
        <v>8</v>
      </c>
      <c r="R314">
        <v>1</v>
      </c>
      <c r="S314">
        <v>59</v>
      </c>
      <c r="T314">
        <v>1.7</v>
      </c>
      <c r="U314">
        <v>149</v>
      </c>
      <c r="V314" s="2">
        <v>40.584722222222226</v>
      </c>
      <c r="W314" s="3">
        <v>0.90208333333333335</v>
      </c>
      <c r="X314">
        <v>0</v>
      </c>
      <c r="Y314">
        <v>0</v>
      </c>
      <c r="AA314">
        <v>41</v>
      </c>
      <c r="AB314">
        <v>6</v>
      </c>
      <c r="AC314">
        <v>11</v>
      </c>
      <c r="AD314">
        <v>37</v>
      </c>
      <c r="AF314" t="s">
        <v>926</v>
      </c>
    </row>
    <row r="315" spans="1:32" x14ac:dyDescent="0.3">
      <c r="A315">
        <v>308</v>
      </c>
      <c r="B315" t="s">
        <v>927</v>
      </c>
      <c r="C315">
        <v>27</v>
      </c>
      <c r="D315" t="s">
        <v>310</v>
      </c>
      <c r="E315" t="s">
        <v>380</v>
      </c>
      <c r="F315">
        <v>34</v>
      </c>
      <c r="G315">
        <v>7</v>
      </c>
      <c r="H315">
        <v>8</v>
      </c>
      <c r="I315">
        <v>15</v>
      </c>
      <c r="J315">
        <v>5</v>
      </c>
      <c r="K315">
        <v>10</v>
      </c>
      <c r="L315">
        <v>6</v>
      </c>
      <c r="M315">
        <v>1</v>
      </c>
      <c r="N315">
        <v>0</v>
      </c>
      <c r="O315">
        <v>0</v>
      </c>
      <c r="P315">
        <v>7</v>
      </c>
      <c r="Q315">
        <v>1</v>
      </c>
      <c r="R315">
        <v>0</v>
      </c>
      <c r="S315">
        <v>50</v>
      </c>
      <c r="T315">
        <v>14</v>
      </c>
      <c r="U315">
        <v>91</v>
      </c>
      <c r="V315" s="2">
        <v>17.257638888888888</v>
      </c>
      <c r="W315" s="3">
        <v>0.50763888888888886</v>
      </c>
      <c r="X315">
        <v>1</v>
      </c>
      <c r="Y315">
        <v>3</v>
      </c>
      <c r="Z315">
        <v>25</v>
      </c>
      <c r="AA315">
        <v>21</v>
      </c>
      <c r="AB315">
        <v>26</v>
      </c>
      <c r="AC315">
        <v>5</v>
      </c>
      <c r="AD315">
        <v>13</v>
      </c>
      <c r="AF315" t="s">
        <v>928</v>
      </c>
    </row>
    <row r="316" spans="1:32" x14ac:dyDescent="0.3">
      <c r="A316">
        <v>309</v>
      </c>
      <c r="B316" t="s">
        <v>929</v>
      </c>
      <c r="C316">
        <v>29</v>
      </c>
      <c r="D316" t="s">
        <v>116</v>
      </c>
      <c r="E316" t="s">
        <v>78</v>
      </c>
      <c r="F316">
        <v>34</v>
      </c>
      <c r="G316">
        <v>9</v>
      </c>
      <c r="H316">
        <v>6</v>
      </c>
      <c r="I316">
        <v>15</v>
      </c>
      <c r="J316">
        <v>-8</v>
      </c>
      <c r="K316">
        <v>14</v>
      </c>
      <c r="L316">
        <v>6</v>
      </c>
      <c r="M316">
        <v>3</v>
      </c>
      <c r="N316">
        <v>0</v>
      </c>
      <c r="O316">
        <v>2</v>
      </c>
      <c r="P316">
        <v>4</v>
      </c>
      <c r="Q316">
        <v>2</v>
      </c>
      <c r="R316">
        <v>0</v>
      </c>
      <c r="S316">
        <v>51</v>
      </c>
      <c r="T316">
        <v>17.600000000000001</v>
      </c>
      <c r="U316">
        <v>99</v>
      </c>
      <c r="V316" s="2">
        <v>17.09513888888889</v>
      </c>
      <c r="W316" s="3">
        <v>0.50277777777777777</v>
      </c>
      <c r="X316">
        <v>62</v>
      </c>
      <c r="Y316">
        <v>73</v>
      </c>
      <c r="Z316">
        <v>45.9</v>
      </c>
      <c r="AA316">
        <v>11</v>
      </c>
      <c r="AB316">
        <v>36</v>
      </c>
      <c r="AC316">
        <v>9</v>
      </c>
      <c r="AD316">
        <v>9</v>
      </c>
      <c r="AF316" t="s">
        <v>930</v>
      </c>
    </row>
    <row r="317" spans="1:32" x14ac:dyDescent="0.3">
      <c r="A317">
        <v>310</v>
      </c>
      <c r="B317" t="s">
        <v>931</v>
      </c>
      <c r="C317">
        <v>30</v>
      </c>
      <c r="D317" t="s">
        <v>256</v>
      </c>
      <c r="E317" t="s">
        <v>87</v>
      </c>
      <c r="F317">
        <v>45</v>
      </c>
      <c r="G317">
        <v>7</v>
      </c>
      <c r="H317">
        <v>8</v>
      </c>
      <c r="I317">
        <v>15</v>
      </c>
      <c r="J317">
        <v>-1</v>
      </c>
      <c r="K317">
        <v>22</v>
      </c>
      <c r="L317">
        <v>6</v>
      </c>
      <c r="M317">
        <v>1</v>
      </c>
      <c r="N317">
        <v>0</v>
      </c>
      <c r="O317">
        <v>1</v>
      </c>
      <c r="P317">
        <v>8</v>
      </c>
      <c r="Q317">
        <v>0</v>
      </c>
      <c r="R317">
        <v>0</v>
      </c>
      <c r="S317">
        <v>65</v>
      </c>
      <c r="T317">
        <v>10.8</v>
      </c>
      <c r="U317">
        <v>178</v>
      </c>
      <c r="V317" s="2">
        <v>44.627083333333331</v>
      </c>
      <c r="W317" s="3">
        <v>0.9916666666666667</v>
      </c>
      <c r="X317">
        <v>0</v>
      </c>
      <c r="Y317">
        <v>0</v>
      </c>
      <c r="AA317">
        <v>74</v>
      </c>
      <c r="AB317">
        <v>25</v>
      </c>
      <c r="AC317">
        <v>13</v>
      </c>
      <c r="AD317">
        <v>53</v>
      </c>
      <c r="AF317" t="s">
        <v>932</v>
      </c>
    </row>
    <row r="318" spans="1:32" x14ac:dyDescent="0.3">
      <c r="A318">
        <v>311</v>
      </c>
      <c r="B318" t="s">
        <v>933</v>
      </c>
      <c r="C318">
        <v>29</v>
      </c>
      <c r="D318" t="s">
        <v>164</v>
      </c>
      <c r="E318" t="s">
        <v>101</v>
      </c>
      <c r="F318">
        <v>43</v>
      </c>
      <c r="G318">
        <v>7</v>
      </c>
      <c r="H318">
        <v>8</v>
      </c>
      <c r="I318">
        <v>15</v>
      </c>
      <c r="J318">
        <v>4</v>
      </c>
      <c r="K318">
        <v>59</v>
      </c>
      <c r="L318">
        <v>7</v>
      </c>
      <c r="M318">
        <v>0</v>
      </c>
      <c r="N318">
        <v>0</v>
      </c>
      <c r="O318">
        <v>0</v>
      </c>
      <c r="P318">
        <v>8</v>
      </c>
      <c r="Q318">
        <v>0</v>
      </c>
      <c r="R318">
        <v>0</v>
      </c>
      <c r="S318">
        <v>55</v>
      </c>
      <c r="T318">
        <v>12.7</v>
      </c>
      <c r="U318">
        <v>98</v>
      </c>
      <c r="V318" s="2">
        <v>20.686805555555555</v>
      </c>
      <c r="W318" s="3">
        <v>0.48125000000000001</v>
      </c>
      <c r="X318">
        <v>3</v>
      </c>
      <c r="Y318">
        <v>7</v>
      </c>
      <c r="Z318">
        <v>30</v>
      </c>
      <c r="AA318">
        <v>14</v>
      </c>
      <c r="AB318">
        <v>112</v>
      </c>
      <c r="AC318">
        <v>5</v>
      </c>
      <c r="AD318">
        <v>29</v>
      </c>
      <c r="AF318" t="s">
        <v>934</v>
      </c>
    </row>
    <row r="319" spans="1:32" x14ac:dyDescent="0.3">
      <c r="A319">
        <v>312</v>
      </c>
      <c r="B319" t="s">
        <v>935</v>
      </c>
      <c r="C319">
        <v>27</v>
      </c>
      <c r="D319" t="s">
        <v>409</v>
      </c>
      <c r="E319" t="s">
        <v>78</v>
      </c>
      <c r="F319">
        <v>38</v>
      </c>
      <c r="G319">
        <v>9</v>
      </c>
      <c r="H319">
        <v>6</v>
      </c>
      <c r="I319">
        <v>15</v>
      </c>
      <c r="J319">
        <v>-4</v>
      </c>
      <c r="K319">
        <v>20</v>
      </c>
      <c r="L319">
        <v>9</v>
      </c>
      <c r="M319">
        <v>0</v>
      </c>
      <c r="N319">
        <v>0</v>
      </c>
      <c r="O319">
        <v>0</v>
      </c>
      <c r="P319">
        <v>6</v>
      </c>
      <c r="Q319">
        <v>0</v>
      </c>
      <c r="R319">
        <v>0</v>
      </c>
      <c r="S319">
        <v>45</v>
      </c>
      <c r="T319">
        <v>20</v>
      </c>
      <c r="U319">
        <v>79</v>
      </c>
      <c r="V319" s="2">
        <v>23.488888888888887</v>
      </c>
      <c r="W319" s="3">
        <v>0.61805555555555558</v>
      </c>
      <c r="X319">
        <v>199</v>
      </c>
      <c r="Y319">
        <v>192</v>
      </c>
      <c r="Z319">
        <v>50.9</v>
      </c>
      <c r="AA319">
        <v>9</v>
      </c>
      <c r="AB319">
        <v>66</v>
      </c>
      <c r="AC319">
        <v>8</v>
      </c>
      <c r="AD319">
        <v>34</v>
      </c>
      <c r="AF319" t="s">
        <v>936</v>
      </c>
    </row>
    <row r="320" spans="1:32" x14ac:dyDescent="0.3">
      <c r="A320">
        <v>313</v>
      </c>
      <c r="B320" t="s">
        <v>937</v>
      </c>
      <c r="C320">
        <v>32</v>
      </c>
      <c r="D320" t="s">
        <v>130</v>
      </c>
      <c r="E320" t="s">
        <v>78</v>
      </c>
      <c r="F320">
        <v>43</v>
      </c>
      <c r="G320">
        <v>7</v>
      </c>
      <c r="H320">
        <v>8</v>
      </c>
      <c r="I320">
        <v>15</v>
      </c>
      <c r="J320">
        <v>0</v>
      </c>
      <c r="K320">
        <v>6</v>
      </c>
      <c r="L320">
        <v>5</v>
      </c>
      <c r="M320">
        <v>2</v>
      </c>
      <c r="N320">
        <v>0</v>
      </c>
      <c r="O320">
        <v>1</v>
      </c>
      <c r="P320">
        <v>5</v>
      </c>
      <c r="Q320">
        <v>2</v>
      </c>
      <c r="R320">
        <v>1</v>
      </c>
      <c r="S320">
        <v>58</v>
      </c>
      <c r="T320">
        <v>12.1</v>
      </c>
      <c r="U320">
        <v>105</v>
      </c>
      <c r="V320" s="2">
        <v>26.872222222222224</v>
      </c>
      <c r="W320">
        <v>0.625</v>
      </c>
      <c r="X320">
        <v>11</v>
      </c>
      <c r="Y320">
        <v>12</v>
      </c>
      <c r="Z320">
        <v>47.8</v>
      </c>
      <c r="AA320">
        <v>31</v>
      </c>
      <c r="AB320">
        <v>61</v>
      </c>
      <c r="AC320">
        <v>8</v>
      </c>
      <c r="AD320">
        <v>13</v>
      </c>
      <c r="AF320" t="s">
        <v>938</v>
      </c>
    </row>
    <row r="321" spans="1:32" x14ac:dyDescent="0.3">
      <c r="A321">
        <v>314</v>
      </c>
      <c r="B321" t="s">
        <v>939</v>
      </c>
      <c r="C321">
        <v>23</v>
      </c>
      <c r="D321" t="s">
        <v>195</v>
      </c>
      <c r="E321" t="s">
        <v>78</v>
      </c>
      <c r="F321">
        <v>39</v>
      </c>
      <c r="G321">
        <v>5</v>
      </c>
      <c r="H321">
        <v>10</v>
      </c>
      <c r="I321">
        <v>15</v>
      </c>
      <c r="J321">
        <v>-3</v>
      </c>
      <c r="K321">
        <v>10</v>
      </c>
      <c r="L321">
        <v>5</v>
      </c>
      <c r="M321">
        <v>0</v>
      </c>
      <c r="N321">
        <v>0</v>
      </c>
      <c r="O321">
        <v>1</v>
      </c>
      <c r="P321">
        <v>9</v>
      </c>
      <c r="Q321">
        <v>1</v>
      </c>
      <c r="R321">
        <v>0</v>
      </c>
      <c r="S321">
        <v>40</v>
      </c>
      <c r="T321">
        <v>12.5</v>
      </c>
      <c r="U321">
        <v>74</v>
      </c>
      <c r="V321" s="2">
        <v>22.625</v>
      </c>
      <c r="W321" s="3">
        <v>0.57986111111111116</v>
      </c>
      <c r="X321">
        <v>35</v>
      </c>
      <c r="Y321">
        <v>37</v>
      </c>
      <c r="Z321">
        <v>48.6</v>
      </c>
      <c r="AA321">
        <v>18</v>
      </c>
      <c r="AB321">
        <v>19</v>
      </c>
      <c r="AC321">
        <v>12</v>
      </c>
      <c r="AD321">
        <v>23</v>
      </c>
      <c r="AF321" t="s">
        <v>940</v>
      </c>
    </row>
    <row r="322" spans="1:32" x14ac:dyDescent="0.3">
      <c r="A322">
        <v>315</v>
      </c>
      <c r="B322" t="s">
        <v>941</v>
      </c>
      <c r="C322">
        <v>26</v>
      </c>
      <c r="D322" t="s">
        <v>116</v>
      </c>
      <c r="E322" t="s">
        <v>78</v>
      </c>
      <c r="F322">
        <v>31</v>
      </c>
      <c r="G322">
        <v>6</v>
      </c>
      <c r="H322">
        <v>9</v>
      </c>
      <c r="I322">
        <v>15</v>
      </c>
      <c r="J322">
        <v>0</v>
      </c>
      <c r="K322">
        <v>8</v>
      </c>
      <c r="L322">
        <v>6</v>
      </c>
      <c r="M322">
        <v>0</v>
      </c>
      <c r="N322">
        <v>0</v>
      </c>
      <c r="O322">
        <v>1</v>
      </c>
      <c r="P322">
        <v>8</v>
      </c>
      <c r="Q322">
        <v>1</v>
      </c>
      <c r="R322">
        <v>0</v>
      </c>
      <c r="S322">
        <v>49</v>
      </c>
      <c r="T322">
        <v>12.2</v>
      </c>
      <c r="U322">
        <v>92</v>
      </c>
      <c r="V322" s="2">
        <v>20.704166666666666</v>
      </c>
      <c r="W322" s="3">
        <v>0.66805555555555551</v>
      </c>
      <c r="X322">
        <v>24</v>
      </c>
      <c r="Y322">
        <v>27</v>
      </c>
      <c r="Z322">
        <v>47.1</v>
      </c>
      <c r="AA322">
        <v>8</v>
      </c>
      <c r="AB322">
        <v>30</v>
      </c>
      <c r="AC322">
        <v>5</v>
      </c>
      <c r="AD322">
        <v>27</v>
      </c>
      <c r="AF322" t="s">
        <v>942</v>
      </c>
    </row>
    <row r="323" spans="1:32" x14ac:dyDescent="0.3">
      <c r="A323">
        <v>316</v>
      </c>
      <c r="B323" t="s">
        <v>943</v>
      </c>
      <c r="C323">
        <v>29</v>
      </c>
      <c r="D323" t="s">
        <v>200</v>
      </c>
      <c r="E323" t="s">
        <v>78</v>
      </c>
      <c r="F323">
        <v>18</v>
      </c>
      <c r="G323">
        <v>8</v>
      </c>
      <c r="H323">
        <v>7</v>
      </c>
      <c r="I323">
        <v>15</v>
      </c>
      <c r="J323">
        <v>2</v>
      </c>
      <c r="K323">
        <v>5</v>
      </c>
      <c r="L323">
        <v>5</v>
      </c>
      <c r="M323">
        <v>3</v>
      </c>
      <c r="N323">
        <v>0</v>
      </c>
      <c r="O323">
        <v>1</v>
      </c>
      <c r="P323">
        <v>4</v>
      </c>
      <c r="Q323">
        <v>3</v>
      </c>
      <c r="R323">
        <v>0</v>
      </c>
      <c r="S323">
        <v>47</v>
      </c>
      <c r="T323">
        <v>17</v>
      </c>
      <c r="U323">
        <v>92</v>
      </c>
      <c r="V323" s="2">
        <v>12.38125</v>
      </c>
      <c r="W323" s="3">
        <v>0.68819444444444444</v>
      </c>
      <c r="X323">
        <v>4</v>
      </c>
      <c r="Y323">
        <v>7</v>
      </c>
      <c r="Z323">
        <v>36.4</v>
      </c>
      <c r="AA323">
        <v>11</v>
      </c>
      <c r="AB323">
        <v>15</v>
      </c>
      <c r="AC323">
        <v>2</v>
      </c>
      <c r="AD323">
        <v>16</v>
      </c>
      <c r="AF323" t="s">
        <v>944</v>
      </c>
    </row>
    <row r="324" spans="1:32" x14ac:dyDescent="0.3">
      <c r="A324">
        <v>317</v>
      </c>
      <c r="B324" t="s">
        <v>945</v>
      </c>
      <c r="C324">
        <v>26</v>
      </c>
      <c r="D324" t="s">
        <v>139</v>
      </c>
      <c r="E324" t="s">
        <v>78</v>
      </c>
      <c r="F324">
        <v>16</v>
      </c>
      <c r="G324">
        <v>5</v>
      </c>
      <c r="H324">
        <v>10</v>
      </c>
      <c r="I324">
        <v>15</v>
      </c>
      <c r="J324">
        <v>1</v>
      </c>
      <c r="K324">
        <v>4</v>
      </c>
      <c r="L324">
        <v>4</v>
      </c>
      <c r="M324">
        <v>1</v>
      </c>
      <c r="N324">
        <v>0</v>
      </c>
      <c r="O324">
        <v>1</v>
      </c>
      <c r="P324">
        <v>6</v>
      </c>
      <c r="Q324">
        <v>4</v>
      </c>
      <c r="R324">
        <v>0</v>
      </c>
      <c r="S324">
        <v>23</v>
      </c>
      <c r="T324">
        <v>21.7</v>
      </c>
      <c r="U324">
        <v>53</v>
      </c>
      <c r="V324" s="2">
        <v>10.92986111111111</v>
      </c>
      <c r="W324" s="3">
        <v>0.68333333333333335</v>
      </c>
      <c r="X324">
        <v>97</v>
      </c>
      <c r="Y324">
        <v>100</v>
      </c>
      <c r="Z324">
        <v>49.2</v>
      </c>
      <c r="AA324">
        <v>7</v>
      </c>
      <c r="AB324">
        <v>5</v>
      </c>
      <c r="AC324">
        <v>2</v>
      </c>
      <c r="AD324">
        <v>8</v>
      </c>
      <c r="AF324" t="s">
        <v>946</v>
      </c>
    </row>
    <row r="325" spans="1:32" x14ac:dyDescent="0.3">
      <c r="A325">
        <v>318</v>
      </c>
      <c r="B325" t="s">
        <v>947</v>
      </c>
      <c r="C325">
        <v>27</v>
      </c>
      <c r="D325" t="s">
        <v>113</v>
      </c>
      <c r="E325" t="s">
        <v>78</v>
      </c>
      <c r="F325">
        <v>37</v>
      </c>
      <c r="G325">
        <v>3</v>
      </c>
      <c r="H325">
        <v>12</v>
      </c>
      <c r="I325">
        <v>15</v>
      </c>
      <c r="J325">
        <v>1</v>
      </c>
      <c r="K325">
        <v>4</v>
      </c>
      <c r="L325">
        <v>3</v>
      </c>
      <c r="M325">
        <v>0</v>
      </c>
      <c r="N325">
        <v>0</v>
      </c>
      <c r="O325">
        <v>0</v>
      </c>
      <c r="P325">
        <v>10</v>
      </c>
      <c r="Q325">
        <v>0</v>
      </c>
      <c r="R325">
        <v>2</v>
      </c>
      <c r="S325">
        <v>36</v>
      </c>
      <c r="T325">
        <v>8.3000000000000007</v>
      </c>
      <c r="U325">
        <v>70</v>
      </c>
      <c r="V325" s="2">
        <v>20.879166666666666</v>
      </c>
      <c r="W325" s="3">
        <v>0.56458333333333333</v>
      </c>
      <c r="X325">
        <v>198</v>
      </c>
      <c r="Y325">
        <v>242</v>
      </c>
      <c r="Z325">
        <v>45</v>
      </c>
      <c r="AA325">
        <v>45</v>
      </c>
      <c r="AB325">
        <v>16</v>
      </c>
      <c r="AC325">
        <v>6</v>
      </c>
      <c r="AD325">
        <v>23</v>
      </c>
      <c r="AF325" t="s">
        <v>948</v>
      </c>
    </row>
    <row r="326" spans="1:32" x14ac:dyDescent="0.3">
      <c r="A326">
        <v>319</v>
      </c>
      <c r="B326" t="s">
        <v>949</v>
      </c>
      <c r="C326">
        <v>33</v>
      </c>
      <c r="D326" t="s">
        <v>200</v>
      </c>
      <c r="E326" t="s">
        <v>78</v>
      </c>
      <c r="F326">
        <v>23</v>
      </c>
      <c r="G326">
        <v>8</v>
      </c>
      <c r="H326">
        <v>7</v>
      </c>
      <c r="I326">
        <v>15</v>
      </c>
      <c r="J326">
        <v>6</v>
      </c>
      <c r="K326">
        <v>8</v>
      </c>
      <c r="L326">
        <v>5</v>
      </c>
      <c r="M326">
        <v>2</v>
      </c>
      <c r="N326">
        <v>1</v>
      </c>
      <c r="O326">
        <v>2</v>
      </c>
      <c r="P326">
        <v>6</v>
      </c>
      <c r="Q326">
        <v>1</v>
      </c>
      <c r="R326">
        <v>0</v>
      </c>
      <c r="S326">
        <v>48</v>
      </c>
      <c r="T326">
        <v>16.7</v>
      </c>
      <c r="U326">
        <v>89</v>
      </c>
      <c r="V326" s="2">
        <v>16.493749999999999</v>
      </c>
      <c r="W326" s="3">
        <v>0.71736111111111112</v>
      </c>
      <c r="X326">
        <v>12</v>
      </c>
      <c r="Y326">
        <v>6</v>
      </c>
      <c r="Z326">
        <v>66.7</v>
      </c>
      <c r="AA326">
        <v>20</v>
      </c>
      <c r="AB326">
        <v>24</v>
      </c>
      <c r="AC326">
        <v>13</v>
      </c>
      <c r="AD326">
        <v>27</v>
      </c>
      <c r="AF326" t="s">
        <v>950</v>
      </c>
    </row>
    <row r="327" spans="1:32" x14ac:dyDescent="0.3">
      <c r="A327">
        <v>320</v>
      </c>
      <c r="B327" t="s">
        <v>951</v>
      </c>
      <c r="C327">
        <v>25</v>
      </c>
      <c r="D327" t="s">
        <v>188</v>
      </c>
      <c r="E327" t="s">
        <v>380</v>
      </c>
      <c r="F327">
        <v>31</v>
      </c>
      <c r="G327">
        <v>4</v>
      </c>
      <c r="H327">
        <v>11</v>
      </c>
      <c r="I327">
        <v>15</v>
      </c>
      <c r="J327">
        <v>-2</v>
      </c>
      <c r="K327">
        <v>2</v>
      </c>
      <c r="L327">
        <v>4</v>
      </c>
      <c r="M327">
        <v>0</v>
      </c>
      <c r="N327">
        <v>0</v>
      </c>
      <c r="O327">
        <v>0</v>
      </c>
      <c r="P327">
        <v>6</v>
      </c>
      <c r="Q327">
        <v>5</v>
      </c>
      <c r="R327">
        <v>0</v>
      </c>
      <c r="S327">
        <v>39</v>
      </c>
      <c r="T327">
        <v>10.3</v>
      </c>
      <c r="U327">
        <v>87</v>
      </c>
      <c r="V327" s="2">
        <v>18.243749999999999</v>
      </c>
      <c r="W327" s="3">
        <v>0.58819444444444446</v>
      </c>
      <c r="X327">
        <v>0</v>
      </c>
      <c r="Y327">
        <v>2</v>
      </c>
      <c r="Z327">
        <v>0</v>
      </c>
      <c r="AA327">
        <v>10</v>
      </c>
      <c r="AB327">
        <v>20</v>
      </c>
      <c r="AC327">
        <v>10</v>
      </c>
      <c r="AD327">
        <v>23</v>
      </c>
      <c r="AF327" t="s">
        <v>952</v>
      </c>
    </row>
    <row r="328" spans="1:32" x14ac:dyDescent="0.3">
      <c r="A328">
        <v>321</v>
      </c>
      <c r="B328" t="s">
        <v>953</v>
      </c>
      <c r="C328">
        <v>28</v>
      </c>
      <c r="D328" t="s">
        <v>134</v>
      </c>
      <c r="E328" t="s">
        <v>87</v>
      </c>
      <c r="F328">
        <v>42</v>
      </c>
      <c r="G328">
        <v>2</v>
      </c>
      <c r="H328">
        <v>13</v>
      </c>
      <c r="I328">
        <v>15</v>
      </c>
      <c r="J328">
        <v>2</v>
      </c>
      <c r="K328">
        <v>30</v>
      </c>
      <c r="L328">
        <v>2</v>
      </c>
      <c r="M328">
        <v>0</v>
      </c>
      <c r="N328">
        <v>0</v>
      </c>
      <c r="O328">
        <v>1</v>
      </c>
      <c r="P328">
        <v>12</v>
      </c>
      <c r="Q328">
        <v>0</v>
      </c>
      <c r="R328">
        <v>1</v>
      </c>
      <c r="S328">
        <v>39</v>
      </c>
      <c r="T328">
        <v>5.0999999999999996</v>
      </c>
      <c r="U328">
        <v>89</v>
      </c>
      <c r="V328" s="2">
        <v>36.115972222222226</v>
      </c>
      <c r="W328" s="3">
        <v>0.85972222222222228</v>
      </c>
      <c r="X328">
        <v>0</v>
      </c>
      <c r="Y328">
        <v>0</v>
      </c>
      <c r="AA328">
        <v>64</v>
      </c>
      <c r="AB328">
        <v>84</v>
      </c>
      <c r="AC328">
        <v>19</v>
      </c>
      <c r="AD328">
        <v>68</v>
      </c>
      <c r="AF328" t="s">
        <v>954</v>
      </c>
    </row>
    <row r="329" spans="1:32" x14ac:dyDescent="0.3">
      <c r="A329">
        <v>322</v>
      </c>
      <c r="B329" t="s">
        <v>955</v>
      </c>
      <c r="C329">
        <v>22</v>
      </c>
      <c r="D329" t="s">
        <v>200</v>
      </c>
      <c r="E329" t="s">
        <v>78</v>
      </c>
      <c r="F329">
        <v>42</v>
      </c>
      <c r="G329">
        <v>7</v>
      </c>
      <c r="H329">
        <v>8</v>
      </c>
      <c r="I329">
        <v>15</v>
      </c>
      <c r="J329">
        <v>0</v>
      </c>
      <c r="K329">
        <v>4</v>
      </c>
      <c r="L329">
        <v>6</v>
      </c>
      <c r="M329">
        <v>1</v>
      </c>
      <c r="N329">
        <v>0</v>
      </c>
      <c r="O329">
        <v>2</v>
      </c>
      <c r="P329">
        <v>6</v>
      </c>
      <c r="Q329">
        <v>2</v>
      </c>
      <c r="R329">
        <v>0</v>
      </c>
      <c r="S329">
        <v>65</v>
      </c>
      <c r="T329">
        <v>10.8</v>
      </c>
      <c r="U329">
        <v>117</v>
      </c>
      <c r="V329" s="2">
        <v>24.361805555555556</v>
      </c>
      <c r="W329" s="3">
        <v>0.57986111111111116</v>
      </c>
      <c r="X329">
        <v>114</v>
      </c>
      <c r="Y329">
        <v>188</v>
      </c>
      <c r="Z329">
        <v>37.700000000000003</v>
      </c>
      <c r="AA329">
        <v>31</v>
      </c>
      <c r="AB329">
        <v>32</v>
      </c>
      <c r="AC329">
        <v>7</v>
      </c>
      <c r="AD329">
        <v>45</v>
      </c>
      <c r="AF329" t="s">
        <v>956</v>
      </c>
    </row>
    <row r="330" spans="1:32" x14ac:dyDescent="0.3">
      <c r="A330">
        <v>323</v>
      </c>
      <c r="B330" t="s">
        <v>957</v>
      </c>
      <c r="C330">
        <v>26</v>
      </c>
      <c r="D330" t="s">
        <v>472</v>
      </c>
      <c r="E330" t="s">
        <v>78</v>
      </c>
      <c r="F330">
        <v>30</v>
      </c>
      <c r="G330">
        <v>7</v>
      </c>
      <c r="H330">
        <v>8</v>
      </c>
      <c r="I330">
        <v>15</v>
      </c>
      <c r="J330">
        <v>6</v>
      </c>
      <c r="K330">
        <v>8</v>
      </c>
      <c r="L330">
        <v>7</v>
      </c>
      <c r="M330">
        <v>0</v>
      </c>
      <c r="N330">
        <v>0</v>
      </c>
      <c r="O330">
        <v>1</v>
      </c>
      <c r="P330">
        <v>8</v>
      </c>
      <c r="Q330">
        <v>0</v>
      </c>
      <c r="R330">
        <v>0</v>
      </c>
      <c r="S330">
        <v>45</v>
      </c>
      <c r="T330">
        <v>15.6</v>
      </c>
      <c r="U330">
        <v>83</v>
      </c>
      <c r="V330" s="2">
        <v>16.557638888888889</v>
      </c>
      <c r="W330" s="3">
        <v>0.55208333333333337</v>
      </c>
      <c r="X330">
        <v>3</v>
      </c>
      <c r="Y330">
        <v>11</v>
      </c>
      <c r="Z330">
        <v>21.4</v>
      </c>
      <c r="AA330">
        <v>7</v>
      </c>
      <c r="AB330">
        <v>27</v>
      </c>
      <c r="AC330">
        <v>4</v>
      </c>
      <c r="AD330">
        <v>12</v>
      </c>
      <c r="AF330" t="s">
        <v>958</v>
      </c>
    </row>
    <row r="331" spans="1:32" x14ac:dyDescent="0.3">
      <c r="A331">
        <v>323</v>
      </c>
      <c r="B331" t="s">
        <v>957</v>
      </c>
      <c r="C331">
        <v>26</v>
      </c>
      <c r="D331" t="s">
        <v>103</v>
      </c>
      <c r="E331" t="s">
        <v>78</v>
      </c>
      <c r="F331">
        <v>8</v>
      </c>
      <c r="G331">
        <v>0</v>
      </c>
      <c r="H331">
        <v>1</v>
      </c>
      <c r="I331">
        <v>1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7</v>
      </c>
      <c r="T331">
        <v>0</v>
      </c>
      <c r="U331">
        <v>13</v>
      </c>
      <c r="V331" s="2">
        <v>3.4187500000000002</v>
      </c>
      <c r="W331" s="3">
        <v>0.42708333333333331</v>
      </c>
      <c r="X331">
        <v>1</v>
      </c>
      <c r="Y331">
        <v>0</v>
      </c>
      <c r="Z331">
        <v>100</v>
      </c>
      <c r="AA331">
        <v>1</v>
      </c>
      <c r="AB331">
        <v>9</v>
      </c>
      <c r="AC331">
        <v>1</v>
      </c>
      <c r="AD331">
        <v>2</v>
      </c>
      <c r="AF331" t="s">
        <v>958</v>
      </c>
    </row>
    <row r="332" spans="1:32" x14ac:dyDescent="0.3">
      <c r="A332">
        <v>323</v>
      </c>
      <c r="B332" t="s">
        <v>957</v>
      </c>
      <c r="C332">
        <v>26</v>
      </c>
      <c r="D332" t="s">
        <v>204</v>
      </c>
      <c r="E332" t="s">
        <v>78</v>
      </c>
      <c r="F332">
        <v>22</v>
      </c>
      <c r="G332">
        <v>7</v>
      </c>
      <c r="H332">
        <v>7</v>
      </c>
      <c r="I332">
        <v>14</v>
      </c>
      <c r="J332">
        <v>6</v>
      </c>
      <c r="K332">
        <v>6</v>
      </c>
      <c r="L332">
        <v>7</v>
      </c>
      <c r="M332">
        <v>0</v>
      </c>
      <c r="N332">
        <v>0</v>
      </c>
      <c r="O332">
        <v>1</v>
      </c>
      <c r="P332">
        <v>7</v>
      </c>
      <c r="Q332">
        <v>0</v>
      </c>
      <c r="R332">
        <v>0</v>
      </c>
      <c r="S332">
        <v>38</v>
      </c>
      <c r="T332">
        <v>18.399999999999999</v>
      </c>
      <c r="U332">
        <v>70</v>
      </c>
      <c r="V332" s="2">
        <v>13.138888888888889</v>
      </c>
      <c r="W332" s="3">
        <v>0.59722222222222221</v>
      </c>
      <c r="X332">
        <v>2</v>
      </c>
      <c r="Y332">
        <v>11</v>
      </c>
      <c r="Z332">
        <v>15.4</v>
      </c>
      <c r="AA332">
        <v>6</v>
      </c>
      <c r="AB332">
        <v>18</v>
      </c>
      <c r="AC332">
        <v>3</v>
      </c>
      <c r="AD332">
        <v>10</v>
      </c>
      <c r="AF332" t="s">
        <v>958</v>
      </c>
    </row>
    <row r="333" spans="1:32" x14ac:dyDescent="0.3">
      <c r="A333">
        <v>324</v>
      </c>
      <c r="B333" t="s">
        <v>959</v>
      </c>
      <c r="C333">
        <v>24</v>
      </c>
      <c r="D333" t="s">
        <v>472</v>
      </c>
      <c r="E333" t="s">
        <v>78</v>
      </c>
      <c r="F333">
        <v>25</v>
      </c>
      <c r="G333">
        <v>5</v>
      </c>
      <c r="H333">
        <v>10</v>
      </c>
      <c r="I333">
        <v>15</v>
      </c>
      <c r="J333">
        <v>-11</v>
      </c>
      <c r="K333">
        <v>4</v>
      </c>
      <c r="L333">
        <v>5</v>
      </c>
      <c r="M333">
        <v>0</v>
      </c>
      <c r="N333">
        <v>0</v>
      </c>
      <c r="O333">
        <v>0</v>
      </c>
      <c r="P333">
        <v>5</v>
      </c>
      <c r="Q333">
        <v>5</v>
      </c>
      <c r="R333">
        <v>0</v>
      </c>
      <c r="S333">
        <v>36</v>
      </c>
      <c r="T333">
        <v>13.9</v>
      </c>
      <c r="U333">
        <v>76</v>
      </c>
      <c r="V333" s="2">
        <v>19.054861111111112</v>
      </c>
      <c r="W333" s="3">
        <v>0.76249999999999996</v>
      </c>
      <c r="X333">
        <v>169</v>
      </c>
      <c r="Y333">
        <v>173</v>
      </c>
      <c r="Z333">
        <v>49.4</v>
      </c>
      <c r="AA333">
        <v>20</v>
      </c>
      <c r="AB333">
        <v>16</v>
      </c>
      <c r="AC333">
        <v>6</v>
      </c>
      <c r="AD333">
        <v>21</v>
      </c>
      <c r="AF333" t="s">
        <v>960</v>
      </c>
    </row>
    <row r="334" spans="1:32" x14ac:dyDescent="0.3">
      <c r="A334">
        <v>324</v>
      </c>
      <c r="B334" t="s">
        <v>959</v>
      </c>
      <c r="C334">
        <v>24</v>
      </c>
      <c r="D334" t="s">
        <v>109</v>
      </c>
      <c r="E334" t="s">
        <v>78</v>
      </c>
      <c r="F334">
        <v>17</v>
      </c>
      <c r="G334">
        <v>4</v>
      </c>
      <c r="H334">
        <v>9</v>
      </c>
      <c r="I334">
        <v>13</v>
      </c>
      <c r="J334">
        <v>-6</v>
      </c>
      <c r="K334">
        <v>2</v>
      </c>
      <c r="L334">
        <v>4</v>
      </c>
      <c r="M334">
        <v>0</v>
      </c>
      <c r="N334">
        <v>0</v>
      </c>
      <c r="O334">
        <v>0</v>
      </c>
      <c r="P334">
        <v>4</v>
      </c>
      <c r="Q334">
        <v>5</v>
      </c>
      <c r="R334">
        <v>0</v>
      </c>
      <c r="S334">
        <v>27</v>
      </c>
      <c r="T334">
        <v>14.8</v>
      </c>
      <c r="U334">
        <v>55</v>
      </c>
      <c r="V334" s="2">
        <v>12.820833333333333</v>
      </c>
      <c r="W334" s="3">
        <v>0.75416666666666665</v>
      </c>
      <c r="X334">
        <v>107</v>
      </c>
      <c r="Y334">
        <v>113</v>
      </c>
      <c r="Z334">
        <v>48.6</v>
      </c>
      <c r="AA334">
        <v>8</v>
      </c>
      <c r="AB334">
        <v>11</v>
      </c>
      <c r="AC334">
        <v>5</v>
      </c>
      <c r="AD334">
        <v>13</v>
      </c>
      <c r="AF334" t="s">
        <v>960</v>
      </c>
    </row>
    <row r="335" spans="1:32" x14ac:dyDescent="0.3">
      <c r="A335">
        <v>324</v>
      </c>
      <c r="B335" t="s">
        <v>959</v>
      </c>
      <c r="C335">
        <v>24</v>
      </c>
      <c r="D335" t="s">
        <v>193</v>
      </c>
      <c r="E335" t="s">
        <v>78</v>
      </c>
      <c r="F335">
        <v>8</v>
      </c>
      <c r="G335">
        <v>1</v>
      </c>
      <c r="H335">
        <v>1</v>
      </c>
      <c r="I335">
        <v>2</v>
      </c>
      <c r="J335">
        <v>-5</v>
      </c>
      <c r="K335">
        <v>2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9</v>
      </c>
      <c r="T335">
        <v>11.1</v>
      </c>
      <c r="U335">
        <v>21</v>
      </c>
      <c r="V335" s="2">
        <v>6.2340277777777775</v>
      </c>
      <c r="W335" s="3">
        <v>0.77916666666666667</v>
      </c>
      <c r="X335">
        <v>62</v>
      </c>
      <c r="Y335">
        <v>60</v>
      </c>
      <c r="Z335">
        <v>50.8</v>
      </c>
      <c r="AA335">
        <v>12</v>
      </c>
      <c r="AB335">
        <v>5</v>
      </c>
      <c r="AC335">
        <v>1</v>
      </c>
      <c r="AD335">
        <v>8</v>
      </c>
      <c r="AF335" t="s">
        <v>960</v>
      </c>
    </row>
    <row r="336" spans="1:32" x14ac:dyDescent="0.3">
      <c r="A336">
        <v>325</v>
      </c>
      <c r="B336" t="s">
        <v>961</v>
      </c>
      <c r="C336">
        <v>27</v>
      </c>
      <c r="D336" t="s">
        <v>130</v>
      </c>
      <c r="E336" t="s">
        <v>78</v>
      </c>
      <c r="F336">
        <v>36</v>
      </c>
      <c r="G336">
        <v>7</v>
      </c>
      <c r="H336">
        <v>7</v>
      </c>
      <c r="I336">
        <v>14</v>
      </c>
      <c r="J336">
        <v>6</v>
      </c>
      <c r="K336">
        <v>18</v>
      </c>
      <c r="L336">
        <v>5</v>
      </c>
      <c r="M336">
        <v>0</v>
      </c>
      <c r="N336">
        <v>2</v>
      </c>
      <c r="O336">
        <v>2</v>
      </c>
      <c r="P336">
        <v>7</v>
      </c>
      <c r="Q336">
        <v>0</v>
      </c>
      <c r="R336">
        <v>0</v>
      </c>
      <c r="S336">
        <v>58</v>
      </c>
      <c r="T336">
        <v>12.1</v>
      </c>
      <c r="U336">
        <v>97</v>
      </c>
      <c r="V336" s="2">
        <v>19.413194444444443</v>
      </c>
      <c r="W336" s="3">
        <v>0.5395833333333333</v>
      </c>
      <c r="X336">
        <v>149</v>
      </c>
      <c r="Y336">
        <v>151</v>
      </c>
      <c r="Z336">
        <v>49.7</v>
      </c>
      <c r="AA336">
        <v>21</v>
      </c>
      <c r="AB336">
        <v>83</v>
      </c>
      <c r="AC336">
        <v>11</v>
      </c>
      <c r="AD336">
        <v>20</v>
      </c>
      <c r="AF336" t="s">
        <v>962</v>
      </c>
    </row>
    <row r="337" spans="1:32" x14ac:dyDescent="0.3">
      <c r="A337">
        <v>326</v>
      </c>
      <c r="B337" t="s">
        <v>963</v>
      </c>
      <c r="C337">
        <v>36</v>
      </c>
      <c r="D337" t="s">
        <v>174</v>
      </c>
      <c r="E337" t="s">
        <v>101</v>
      </c>
      <c r="F337">
        <v>23</v>
      </c>
      <c r="G337">
        <v>7</v>
      </c>
      <c r="H337">
        <v>7</v>
      </c>
      <c r="I337">
        <v>14</v>
      </c>
      <c r="J337">
        <v>5</v>
      </c>
      <c r="K337">
        <v>17</v>
      </c>
      <c r="L337">
        <v>7</v>
      </c>
      <c r="M337">
        <v>0</v>
      </c>
      <c r="N337">
        <v>0</v>
      </c>
      <c r="O337">
        <v>0</v>
      </c>
      <c r="P337">
        <v>7</v>
      </c>
      <c r="Q337">
        <v>0</v>
      </c>
      <c r="R337">
        <v>0</v>
      </c>
      <c r="S337">
        <v>35</v>
      </c>
      <c r="T337">
        <v>20</v>
      </c>
      <c r="U337">
        <v>52</v>
      </c>
      <c r="V337" s="2">
        <v>12.22638888888889</v>
      </c>
      <c r="W337" s="3">
        <v>0.53125</v>
      </c>
      <c r="X337">
        <v>30</v>
      </c>
      <c r="Y337">
        <v>30</v>
      </c>
      <c r="Z337">
        <v>50</v>
      </c>
      <c r="AA337">
        <v>7</v>
      </c>
      <c r="AB337">
        <v>34</v>
      </c>
      <c r="AC337">
        <v>3</v>
      </c>
      <c r="AD337">
        <v>14</v>
      </c>
      <c r="AF337" t="s">
        <v>964</v>
      </c>
    </row>
    <row r="338" spans="1:32" x14ac:dyDescent="0.3">
      <c r="A338">
        <v>327</v>
      </c>
      <c r="B338" t="s">
        <v>965</v>
      </c>
      <c r="C338">
        <v>24</v>
      </c>
      <c r="D338" t="s">
        <v>174</v>
      </c>
      <c r="E338" t="s">
        <v>78</v>
      </c>
      <c r="F338">
        <v>44</v>
      </c>
      <c r="G338">
        <v>7</v>
      </c>
      <c r="H338">
        <v>7</v>
      </c>
      <c r="I338">
        <v>14</v>
      </c>
      <c r="J338">
        <v>-8</v>
      </c>
      <c r="K338">
        <v>4</v>
      </c>
      <c r="L338">
        <v>7</v>
      </c>
      <c r="M338">
        <v>0</v>
      </c>
      <c r="N338">
        <v>0</v>
      </c>
      <c r="O338">
        <v>0</v>
      </c>
      <c r="P338">
        <v>5</v>
      </c>
      <c r="Q338">
        <v>2</v>
      </c>
      <c r="R338">
        <v>0</v>
      </c>
      <c r="S338">
        <v>73</v>
      </c>
      <c r="T338">
        <v>9.6</v>
      </c>
      <c r="U338">
        <v>118</v>
      </c>
      <c r="V338" s="2">
        <v>25.861111111111111</v>
      </c>
      <c r="W338" s="3">
        <v>0.58750000000000002</v>
      </c>
      <c r="X338">
        <v>56</v>
      </c>
      <c r="Y338">
        <v>73</v>
      </c>
      <c r="Z338">
        <v>43.4</v>
      </c>
      <c r="AA338">
        <v>12</v>
      </c>
      <c r="AB338">
        <v>24</v>
      </c>
      <c r="AC338">
        <v>7</v>
      </c>
      <c r="AD338">
        <v>22</v>
      </c>
      <c r="AF338" t="s">
        <v>966</v>
      </c>
    </row>
    <row r="339" spans="1:32" x14ac:dyDescent="0.3">
      <c r="A339">
        <v>328</v>
      </c>
      <c r="B339" t="s">
        <v>967</v>
      </c>
      <c r="C339">
        <v>22</v>
      </c>
      <c r="D339" t="s">
        <v>409</v>
      </c>
      <c r="E339" t="s">
        <v>380</v>
      </c>
      <c r="F339">
        <v>26</v>
      </c>
      <c r="G339">
        <v>5</v>
      </c>
      <c r="H339">
        <v>9</v>
      </c>
      <c r="I339">
        <v>14</v>
      </c>
      <c r="J339">
        <v>-11</v>
      </c>
      <c r="K339">
        <v>4</v>
      </c>
      <c r="L339">
        <v>3</v>
      </c>
      <c r="M339">
        <v>2</v>
      </c>
      <c r="N339">
        <v>0</v>
      </c>
      <c r="O339">
        <v>1</v>
      </c>
      <c r="P339">
        <v>9</v>
      </c>
      <c r="Q339">
        <v>0</v>
      </c>
      <c r="R339">
        <v>0</v>
      </c>
      <c r="S339">
        <v>40</v>
      </c>
      <c r="T339">
        <v>12.5</v>
      </c>
      <c r="U339">
        <v>82</v>
      </c>
      <c r="V339" s="2">
        <v>15.863194444444444</v>
      </c>
      <c r="W339" s="3">
        <v>0.61041666666666672</v>
      </c>
      <c r="X339">
        <v>3</v>
      </c>
      <c r="Y339">
        <v>4</v>
      </c>
      <c r="Z339">
        <v>42.9</v>
      </c>
      <c r="AA339">
        <v>13</v>
      </c>
      <c r="AB339">
        <v>4</v>
      </c>
      <c r="AC339">
        <v>6</v>
      </c>
      <c r="AD339">
        <v>11</v>
      </c>
      <c r="AF339" t="s">
        <v>968</v>
      </c>
    </row>
    <row r="340" spans="1:32" x14ac:dyDescent="0.3">
      <c r="A340">
        <v>329</v>
      </c>
      <c r="B340" t="s">
        <v>104</v>
      </c>
      <c r="C340">
        <v>24</v>
      </c>
      <c r="D340" t="s">
        <v>103</v>
      </c>
      <c r="E340" t="s">
        <v>87</v>
      </c>
      <c r="F340">
        <v>45</v>
      </c>
      <c r="G340">
        <v>2</v>
      </c>
      <c r="H340">
        <v>12</v>
      </c>
      <c r="I340">
        <v>14</v>
      </c>
      <c r="J340">
        <v>0</v>
      </c>
      <c r="K340">
        <v>6</v>
      </c>
      <c r="L340">
        <v>2</v>
      </c>
      <c r="M340">
        <v>0</v>
      </c>
      <c r="N340">
        <v>0</v>
      </c>
      <c r="O340">
        <v>0</v>
      </c>
      <c r="P340">
        <v>12</v>
      </c>
      <c r="Q340">
        <v>0</v>
      </c>
      <c r="R340">
        <v>0</v>
      </c>
      <c r="S340">
        <v>58</v>
      </c>
      <c r="T340">
        <v>3.4</v>
      </c>
      <c r="U340">
        <v>155</v>
      </c>
      <c r="V340" s="2">
        <v>43.678472222222226</v>
      </c>
      <c r="W340" s="3">
        <v>0.97083333333333333</v>
      </c>
      <c r="X340">
        <v>0</v>
      </c>
      <c r="Y340">
        <v>0</v>
      </c>
      <c r="AA340">
        <v>71</v>
      </c>
      <c r="AB340">
        <v>17</v>
      </c>
      <c r="AC340">
        <v>12</v>
      </c>
      <c r="AD340">
        <v>63</v>
      </c>
      <c r="AF340" t="s">
        <v>969</v>
      </c>
    </row>
    <row r="341" spans="1:32" x14ac:dyDescent="0.3">
      <c r="A341">
        <v>330</v>
      </c>
      <c r="B341" t="s">
        <v>110</v>
      </c>
      <c r="C341">
        <v>32</v>
      </c>
      <c r="D341" t="s">
        <v>109</v>
      </c>
      <c r="E341" t="s">
        <v>87</v>
      </c>
      <c r="F341">
        <v>40</v>
      </c>
      <c r="G341">
        <v>3</v>
      </c>
      <c r="H341">
        <v>11</v>
      </c>
      <c r="I341">
        <v>14</v>
      </c>
      <c r="J341">
        <v>16</v>
      </c>
      <c r="K341">
        <v>8</v>
      </c>
      <c r="L341">
        <v>3</v>
      </c>
      <c r="M341">
        <v>0</v>
      </c>
      <c r="N341">
        <v>0</v>
      </c>
      <c r="O341">
        <v>1</v>
      </c>
      <c r="P341">
        <v>11</v>
      </c>
      <c r="Q341">
        <v>0</v>
      </c>
      <c r="R341">
        <v>0</v>
      </c>
      <c r="S341">
        <v>40</v>
      </c>
      <c r="T341">
        <v>7.5</v>
      </c>
      <c r="U341">
        <v>104</v>
      </c>
      <c r="V341" s="2">
        <v>35.827777777777776</v>
      </c>
      <c r="W341" s="3">
        <v>0.89583333333333337</v>
      </c>
      <c r="X341">
        <v>0</v>
      </c>
      <c r="Y341">
        <v>0</v>
      </c>
      <c r="AA341">
        <v>87</v>
      </c>
      <c r="AB341">
        <v>8</v>
      </c>
      <c r="AC341">
        <v>9</v>
      </c>
      <c r="AD341">
        <v>29</v>
      </c>
      <c r="AF341" t="s">
        <v>970</v>
      </c>
    </row>
    <row r="342" spans="1:32" x14ac:dyDescent="0.3">
      <c r="A342">
        <v>331</v>
      </c>
      <c r="B342" t="s">
        <v>971</v>
      </c>
      <c r="C342">
        <v>24</v>
      </c>
      <c r="D342" t="s">
        <v>290</v>
      </c>
      <c r="E342" t="s">
        <v>87</v>
      </c>
      <c r="F342">
        <v>42</v>
      </c>
      <c r="G342">
        <v>4</v>
      </c>
      <c r="H342">
        <v>10</v>
      </c>
      <c r="I342">
        <v>14</v>
      </c>
      <c r="J342">
        <v>2</v>
      </c>
      <c r="K342">
        <v>37</v>
      </c>
      <c r="L342">
        <v>3</v>
      </c>
      <c r="M342">
        <v>0</v>
      </c>
      <c r="N342">
        <v>1</v>
      </c>
      <c r="O342">
        <v>1</v>
      </c>
      <c r="P342">
        <v>9</v>
      </c>
      <c r="Q342">
        <v>0</v>
      </c>
      <c r="R342">
        <v>1</v>
      </c>
      <c r="S342">
        <v>62</v>
      </c>
      <c r="T342">
        <v>6.5</v>
      </c>
      <c r="U342">
        <v>128</v>
      </c>
      <c r="V342" s="2">
        <v>27.184722222222224</v>
      </c>
      <c r="W342" s="3">
        <v>0.64722222222222225</v>
      </c>
      <c r="X342">
        <v>0</v>
      </c>
      <c r="Y342">
        <v>0</v>
      </c>
      <c r="AA342">
        <v>36</v>
      </c>
      <c r="AB342">
        <v>63</v>
      </c>
      <c r="AC342">
        <v>8</v>
      </c>
      <c r="AD342">
        <v>33</v>
      </c>
      <c r="AF342" t="s">
        <v>972</v>
      </c>
    </row>
    <row r="343" spans="1:32" x14ac:dyDescent="0.3">
      <c r="A343">
        <v>332</v>
      </c>
      <c r="B343" t="s">
        <v>973</v>
      </c>
      <c r="C343">
        <v>27</v>
      </c>
      <c r="D343" t="s">
        <v>121</v>
      </c>
      <c r="E343" t="s">
        <v>87</v>
      </c>
      <c r="F343">
        <v>35</v>
      </c>
      <c r="G343">
        <v>3</v>
      </c>
      <c r="H343">
        <v>11</v>
      </c>
      <c r="I343">
        <v>14</v>
      </c>
      <c r="J343">
        <v>-2</v>
      </c>
      <c r="K343">
        <v>53</v>
      </c>
      <c r="L343">
        <v>3</v>
      </c>
      <c r="M343">
        <v>0</v>
      </c>
      <c r="N343">
        <v>0</v>
      </c>
      <c r="O343">
        <v>2</v>
      </c>
      <c r="P343">
        <v>9</v>
      </c>
      <c r="Q343">
        <v>2</v>
      </c>
      <c r="R343">
        <v>0</v>
      </c>
      <c r="S343">
        <v>41</v>
      </c>
      <c r="T343">
        <v>7.3</v>
      </c>
      <c r="U343">
        <v>98</v>
      </c>
      <c r="V343" s="2">
        <v>27.986111111111111</v>
      </c>
      <c r="W343" s="3">
        <v>0.7993055555555556</v>
      </c>
      <c r="X343">
        <v>0</v>
      </c>
      <c r="Y343">
        <v>0</v>
      </c>
      <c r="AA343">
        <v>41</v>
      </c>
      <c r="AB343">
        <v>37</v>
      </c>
      <c r="AC343">
        <v>11</v>
      </c>
      <c r="AD343">
        <v>28</v>
      </c>
      <c r="AF343" t="s">
        <v>974</v>
      </c>
    </row>
    <row r="344" spans="1:32" x14ac:dyDescent="0.3">
      <c r="A344">
        <v>333</v>
      </c>
      <c r="B344" t="s">
        <v>975</v>
      </c>
      <c r="C344">
        <v>25</v>
      </c>
      <c r="D344" t="s">
        <v>216</v>
      </c>
      <c r="E344" t="s">
        <v>78</v>
      </c>
      <c r="F344">
        <v>43</v>
      </c>
      <c r="G344">
        <v>7</v>
      </c>
      <c r="H344">
        <v>7</v>
      </c>
      <c r="I344">
        <v>14</v>
      </c>
      <c r="J344">
        <v>11</v>
      </c>
      <c r="K344">
        <v>16</v>
      </c>
      <c r="L344">
        <v>7</v>
      </c>
      <c r="M344">
        <v>0</v>
      </c>
      <c r="N344">
        <v>0</v>
      </c>
      <c r="O344">
        <v>0</v>
      </c>
      <c r="P344">
        <v>7</v>
      </c>
      <c r="Q344">
        <v>0</v>
      </c>
      <c r="R344">
        <v>0</v>
      </c>
      <c r="S344">
        <v>49</v>
      </c>
      <c r="T344">
        <v>14.3</v>
      </c>
      <c r="U344">
        <v>103</v>
      </c>
      <c r="V344" s="2">
        <v>26.198611111111113</v>
      </c>
      <c r="W344" s="3">
        <v>0.60902777777777772</v>
      </c>
      <c r="X344">
        <v>296</v>
      </c>
      <c r="Y344">
        <v>218</v>
      </c>
      <c r="Z344">
        <v>57.6</v>
      </c>
      <c r="AA344">
        <v>37</v>
      </c>
      <c r="AB344">
        <v>16</v>
      </c>
      <c r="AC344">
        <v>10</v>
      </c>
      <c r="AD344">
        <v>20</v>
      </c>
      <c r="AF344" t="s">
        <v>976</v>
      </c>
    </row>
    <row r="345" spans="1:32" x14ac:dyDescent="0.3">
      <c r="A345">
        <v>334</v>
      </c>
      <c r="B345" t="s">
        <v>977</v>
      </c>
      <c r="C345">
        <v>29</v>
      </c>
      <c r="D345" t="s">
        <v>195</v>
      </c>
      <c r="E345" t="s">
        <v>78</v>
      </c>
      <c r="F345">
        <v>39</v>
      </c>
      <c r="G345">
        <v>6</v>
      </c>
      <c r="H345">
        <v>8</v>
      </c>
      <c r="I345">
        <v>14</v>
      </c>
      <c r="J345">
        <v>-6</v>
      </c>
      <c r="K345">
        <v>21</v>
      </c>
      <c r="L345">
        <v>5</v>
      </c>
      <c r="M345">
        <v>1</v>
      </c>
      <c r="N345">
        <v>0</v>
      </c>
      <c r="O345">
        <v>1</v>
      </c>
      <c r="P345">
        <v>5</v>
      </c>
      <c r="Q345">
        <v>3</v>
      </c>
      <c r="R345">
        <v>0</v>
      </c>
      <c r="S345">
        <v>78</v>
      </c>
      <c r="T345">
        <v>7.7</v>
      </c>
      <c r="U345">
        <v>133</v>
      </c>
      <c r="V345" s="2">
        <v>18.330555555555556</v>
      </c>
      <c r="W345" s="3">
        <v>0.47013888888888888</v>
      </c>
      <c r="X345">
        <v>1</v>
      </c>
      <c r="Y345">
        <v>3</v>
      </c>
      <c r="Z345">
        <v>25</v>
      </c>
      <c r="AA345">
        <v>12</v>
      </c>
      <c r="AB345">
        <v>29</v>
      </c>
      <c r="AC345">
        <v>2</v>
      </c>
      <c r="AD345">
        <v>25</v>
      </c>
      <c r="AF345" t="s">
        <v>978</v>
      </c>
    </row>
    <row r="346" spans="1:32" x14ac:dyDescent="0.3">
      <c r="A346">
        <v>335</v>
      </c>
      <c r="B346" t="s">
        <v>162</v>
      </c>
      <c r="C346">
        <v>29</v>
      </c>
      <c r="D346" t="s">
        <v>164</v>
      </c>
      <c r="E346" t="s">
        <v>87</v>
      </c>
      <c r="F346">
        <v>43</v>
      </c>
      <c r="G346">
        <v>1</v>
      </c>
      <c r="H346">
        <v>13</v>
      </c>
      <c r="I346">
        <v>14</v>
      </c>
      <c r="J346">
        <v>-3</v>
      </c>
      <c r="K346">
        <v>20</v>
      </c>
      <c r="L346">
        <v>1</v>
      </c>
      <c r="M346">
        <v>0</v>
      </c>
      <c r="N346">
        <v>0</v>
      </c>
      <c r="O346">
        <v>0</v>
      </c>
      <c r="P346">
        <v>13</v>
      </c>
      <c r="Q346">
        <v>0</v>
      </c>
      <c r="R346">
        <v>0</v>
      </c>
      <c r="S346">
        <v>51</v>
      </c>
      <c r="T346">
        <v>2</v>
      </c>
      <c r="U346">
        <v>125</v>
      </c>
      <c r="V346" s="2">
        <v>39.347222222222221</v>
      </c>
      <c r="W346" s="3">
        <v>0.91527777777777775</v>
      </c>
      <c r="X346">
        <v>0</v>
      </c>
      <c r="Y346">
        <v>0</v>
      </c>
      <c r="AA346">
        <v>49</v>
      </c>
      <c r="AB346">
        <v>34</v>
      </c>
      <c r="AC346">
        <v>16</v>
      </c>
      <c r="AD346">
        <v>26</v>
      </c>
      <c r="AF346" t="s">
        <v>979</v>
      </c>
    </row>
    <row r="347" spans="1:32" x14ac:dyDescent="0.3">
      <c r="A347">
        <v>336</v>
      </c>
      <c r="B347" t="s">
        <v>980</v>
      </c>
      <c r="C347">
        <v>33</v>
      </c>
      <c r="D347" t="s">
        <v>204</v>
      </c>
      <c r="E347" t="s">
        <v>95</v>
      </c>
      <c r="F347">
        <v>44</v>
      </c>
      <c r="G347">
        <v>3</v>
      </c>
      <c r="H347">
        <v>11</v>
      </c>
      <c r="I347">
        <v>14</v>
      </c>
      <c r="J347">
        <v>-1</v>
      </c>
      <c r="K347">
        <v>20</v>
      </c>
      <c r="L347">
        <v>2</v>
      </c>
      <c r="M347">
        <v>1</v>
      </c>
      <c r="N347">
        <v>0</v>
      </c>
      <c r="O347">
        <v>0</v>
      </c>
      <c r="P347">
        <v>9</v>
      </c>
      <c r="Q347">
        <v>2</v>
      </c>
      <c r="R347">
        <v>0</v>
      </c>
      <c r="S347">
        <v>78</v>
      </c>
      <c r="T347">
        <v>3.8</v>
      </c>
      <c r="U347">
        <v>148</v>
      </c>
      <c r="V347" s="2">
        <v>23.929861111111112</v>
      </c>
      <c r="W347" s="3">
        <v>0.54374999999999996</v>
      </c>
      <c r="X347">
        <v>5</v>
      </c>
      <c r="Y347">
        <v>4</v>
      </c>
      <c r="Z347">
        <v>55.6</v>
      </c>
      <c r="AA347">
        <v>8</v>
      </c>
      <c r="AB347">
        <v>49</v>
      </c>
      <c r="AC347">
        <v>7</v>
      </c>
      <c r="AD347">
        <v>18</v>
      </c>
      <c r="AF347" t="s">
        <v>981</v>
      </c>
    </row>
    <row r="348" spans="1:32" x14ac:dyDescent="0.3">
      <c r="A348">
        <v>337</v>
      </c>
      <c r="B348" t="s">
        <v>982</v>
      </c>
      <c r="C348">
        <v>34</v>
      </c>
      <c r="D348" t="s">
        <v>121</v>
      </c>
      <c r="E348" t="s">
        <v>78</v>
      </c>
      <c r="F348">
        <v>42</v>
      </c>
      <c r="G348">
        <v>5</v>
      </c>
      <c r="H348">
        <v>9</v>
      </c>
      <c r="I348">
        <v>14</v>
      </c>
      <c r="J348">
        <v>3</v>
      </c>
      <c r="K348">
        <v>37</v>
      </c>
      <c r="L348">
        <v>5</v>
      </c>
      <c r="M348">
        <v>0</v>
      </c>
      <c r="N348">
        <v>0</v>
      </c>
      <c r="O348">
        <v>1</v>
      </c>
      <c r="P348">
        <v>9</v>
      </c>
      <c r="Q348">
        <v>0</v>
      </c>
      <c r="R348">
        <v>0</v>
      </c>
      <c r="S348">
        <v>61</v>
      </c>
      <c r="T348">
        <v>8.1999999999999993</v>
      </c>
      <c r="U348">
        <v>109</v>
      </c>
      <c r="V348" s="2">
        <v>28.414583333333333</v>
      </c>
      <c r="W348" s="3">
        <v>0.67638888888888893</v>
      </c>
      <c r="X348">
        <v>188</v>
      </c>
      <c r="Y348">
        <v>235</v>
      </c>
      <c r="Z348">
        <v>44.4</v>
      </c>
      <c r="AA348">
        <v>22</v>
      </c>
      <c r="AB348">
        <v>57</v>
      </c>
      <c r="AC348">
        <v>10</v>
      </c>
      <c r="AD348">
        <v>39</v>
      </c>
      <c r="AF348" t="s">
        <v>983</v>
      </c>
    </row>
    <row r="349" spans="1:32" x14ac:dyDescent="0.3">
      <c r="A349">
        <v>338</v>
      </c>
      <c r="B349" t="s">
        <v>201</v>
      </c>
      <c r="C349">
        <v>24</v>
      </c>
      <c r="D349" t="s">
        <v>200</v>
      </c>
      <c r="E349" t="s">
        <v>95</v>
      </c>
      <c r="F349">
        <v>26</v>
      </c>
      <c r="G349">
        <v>4</v>
      </c>
      <c r="H349">
        <v>10</v>
      </c>
      <c r="I349">
        <v>14</v>
      </c>
      <c r="J349">
        <v>2</v>
      </c>
      <c r="K349">
        <v>6</v>
      </c>
      <c r="L349">
        <v>3</v>
      </c>
      <c r="M349">
        <v>1</v>
      </c>
      <c r="N349">
        <v>0</v>
      </c>
      <c r="O349">
        <v>1</v>
      </c>
      <c r="P349">
        <v>7</v>
      </c>
      <c r="Q349">
        <v>3</v>
      </c>
      <c r="R349">
        <v>0</v>
      </c>
      <c r="S349">
        <v>42</v>
      </c>
      <c r="T349">
        <v>9.5</v>
      </c>
      <c r="U349">
        <v>68</v>
      </c>
      <c r="V349" s="2">
        <v>15.497916666666667</v>
      </c>
      <c r="W349" s="3">
        <v>0.59583333333333333</v>
      </c>
      <c r="X349">
        <v>10</v>
      </c>
      <c r="Y349">
        <v>7</v>
      </c>
      <c r="Z349">
        <v>58.8</v>
      </c>
      <c r="AA349">
        <v>3</v>
      </c>
      <c r="AB349">
        <v>12</v>
      </c>
      <c r="AC349">
        <v>6</v>
      </c>
      <c r="AD349">
        <v>17</v>
      </c>
      <c r="AF349" t="s">
        <v>984</v>
      </c>
    </row>
    <row r="350" spans="1:32" x14ac:dyDescent="0.3">
      <c r="A350">
        <v>339</v>
      </c>
      <c r="B350" t="s">
        <v>985</v>
      </c>
      <c r="C350">
        <v>26</v>
      </c>
      <c r="D350" t="s">
        <v>216</v>
      </c>
      <c r="E350" t="s">
        <v>380</v>
      </c>
      <c r="F350">
        <v>43</v>
      </c>
      <c r="G350">
        <v>8</v>
      </c>
      <c r="H350">
        <v>6</v>
      </c>
      <c r="I350">
        <v>14</v>
      </c>
      <c r="J350">
        <v>9</v>
      </c>
      <c r="K350">
        <v>14</v>
      </c>
      <c r="L350">
        <v>7</v>
      </c>
      <c r="M350">
        <v>0</v>
      </c>
      <c r="N350">
        <v>1</v>
      </c>
      <c r="O350">
        <v>2</v>
      </c>
      <c r="P350">
        <v>6</v>
      </c>
      <c r="Q350">
        <v>0</v>
      </c>
      <c r="R350">
        <v>0</v>
      </c>
      <c r="S350">
        <v>58</v>
      </c>
      <c r="T350">
        <v>13.8</v>
      </c>
      <c r="U350">
        <v>102</v>
      </c>
      <c r="V350" s="2">
        <v>21.389583333333334</v>
      </c>
      <c r="W350" s="3">
        <v>0.49722222222222223</v>
      </c>
      <c r="X350">
        <v>38</v>
      </c>
      <c r="Y350">
        <v>59</v>
      </c>
      <c r="Z350">
        <v>39.200000000000003</v>
      </c>
      <c r="AA350">
        <v>29</v>
      </c>
      <c r="AB350">
        <v>89</v>
      </c>
      <c r="AC350">
        <v>8</v>
      </c>
      <c r="AD350">
        <v>22</v>
      </c>
      <c r="AF350" t="s">
        <v>986</v>
      </c>
    </row>
    <row r="351" spans="1:32" x14ac:dyDescent="0.3">
      <c r="A351">
        <v>340</v>
      </c>
      <c r="B351" t="s">
        <v>987</v>
      </c>
      <c r="C351">
        <v>25</v>
      </c>
      <c r="D351" t="s">
        <v>139</v>
      </c>
      <c r="E351" t="s">
        <v>78</v>
      </c>
      <c r="F351">
        <v>42</v>
      </c>
      <c r="G351">
        <v>3</v>
      </c>
      <c r="H351">
        <v>11</v>
      </c>
      <c r="I351">
        <v>14</v>
      </c>
      <c r="J351">
        <v>-3</v>
      </c>
      <c r="K351">
        <v>44</v>
      </c>
      <c r="L351">
        <v>3</v>
      </c>
      <c r="M351">
        <v>0</v>
      </c>
      <c r="N351">
        <v>0</v>
      </c>
      <c r="O351">
        <v>1</v>
      </c>
      <c r="P351">
        <v>10</v>
      </c>
      <c r="Q351">
        <v>1</v>
      </c>
      <c r="R351">
        <v>0</v>
      </c>
      <c r="S351">
        <v>49</v>
      </c>
      <c r="T351">
        <v>6.1</v>
      </c>
      <c r="U351">
        <v>96</v>
      </c>
      <c r="V351" s="2">
        <v>24.43888888888889</v>
      </c>
      <c r="W351" s="3">
        <v>0.58194444444444449</v>
      </c>
      <c r="X351">
        <v>130</v>
      </c>
      <c r="Y351">
        <v>153</v>
      </c>
      <c r="Z351">
        <v>45.9</v>
      </c>
      <c r="AA351">
        <v>26</v>
      </c>
      <c r="AB351">
        <v>102</v>
      </c>
      <c r="AC351">
        <v>13</v>
      </c>
      <c r="AD351">
        <v>30</v>
      </c>
      <c r="AF351" t="s">
        <v>988</v>
      </c>
    </row>
    <row r="352" spans="1:32" x14ac:dyDescent="0.3">
      <c r="A352">
        <v>341</v>
      </c>
      <c r="B352" t="s">
        <v>989</v>
      </c>
      <c r="C352">
        <v>32</v>
      </c>
      <c r="D352" t="s">
        <v>195</v>
      </c>
      <c r="E352" t="s">
        <v>87</v>
      </c>
      <c r="F352">
        <v>34</v>
      </c>
      <c r="G352">
        <v>3</v>
      </c>
      <c r="H352">
        <v>11</v>
      </c>
      <c r="I352">
        <v>14</v>
      </c>
      <c r="J352">
        <v>-7</v>
      </c>
      <c r="K352">
        <v>36</v>
      </c>
      <c r="L352">
        <v>2</v>
      </c>
      <c r="M352">
        <v>1</v>
      </c>
      <c r="N352">
        <v>0</v>
      </c>
      <c r="O352">
        <v>2</v>
      </c>
      <c r="P352">
        <v>8</v>
      </c>
      <c r="Q352">
        <v>3</v>
      </c>
      <c r="R352">
        <v>0</v>
      </c>
      <c r="S352">
        <v>60</v>
      </c>
      <c r="T352">
        <v>5</v>
      </c>
      <c r="U352">
        <v>138</v>
      </c>
      <c r="V352" s="2">
        <v>31.422222222222221</v>
      </c>
      <c r="W352" s="3">
        <v>0.9243055555555556</v>
      </c>
      <c r="X352">
        <v>0</v>
      </c>
      <c r="Y352">
        <v>0</v>
      </c>
      <c r="AA352">
        <v>59</v>
      </c>
      <c r="AB352">
        <v>4</v>
      </c>
      <c r="AC352">
        <v>11</v>
      </c>
      <c r="AD352">
        <v>38</v>
      </c>
      <c r="AF352" t="s">
        <v>990</v>
      </c>
    </row>
    <row r="353" spans="1:32" x14ac:dyDescent="0.3">
      <c r="A353">
        <v>342</v>
      </c>
      <c r="B353" t="s">
        <v>991</v>
      </c>
      <c r="C353">
        <v>31</v>
      </c>
      <c r="D353" t="s">
        <v>290</v>
      </c>
      <c r="E353" t="s">
        <v>380</v>
      </c>
      <c r="F353">
        <v>39</v>
      </c>
      <c r="G353">
        <v>8</v>
      </c>
      <c r="H353">
        <v>6</v>
      </c>
      <c r="I353">
        <v>14</v>
      </c>
      <c r="J353">
        <v>-2</v>
      </c>
      <c r="K353">
        <v>12</v>
      </c>
      <c r="L353">
        <v>8</v>
      </c>
      <c r="M353">
        <v>0</v>
      </c>
      <c r="N353">
        <v>0</v>
      </c>
      <c r="O353">
        <v>2</v>
      </c>
      <c r="P353">
        <v>5</v>
      </c>
      <c r="Q353">
        <v>0</v>
      </c>
      <c r="R353">
        <v>1</v>
      </c>
      <c r="S353">
        <v>66</v>
      </c>
      <c r="T353">
        <v>12.1</v>
      </c>
      <c r="U353">
        <v>115</v>
      </c>
      <c r="V353" s="2">
        <v>28.659027777777776</v>
      </c>
      <c r="W353" s="3">
        <v>0.73472222222222228</v>
      </c>
      <c r="X353">
        <v>1</v>
      </c>
      <c r="Y353">
        <v>6</v>
      </c>
      <c r="Z353">
        <v>14.3</v>
      </c>
      <c r="AA353">
        <v>12</v>
      </c>
      <c r="AB353">
        <v>20</v>
      </c>
      <c r="AC353">
        <v>12</v>
      </c>
      <c r="AD353">
        <v>35</v>
      </c>
      <c r="AF353" t="s">
        <v>992</v>
      </c>
    </row>
    <row r="354" spans="1:32" x14ac:dyDescent="0.3">
      <c r="A354">
        <v>343</v>
      </c>
      <c r="B354" t="s">
        <v>993</v>
      </c>
      <c r="C354">
        <v>21</v>
      </c>
      <c r="D354" t="s">
        <v>290</v>
      </c>
      <c r="E354" t="s">
        <v>78</v>
      </c>
      <c r="F354">
        <v>32</v>
      </c>
      <c r="G354">
        <v>5</v>
      </c>
      <c r="H354">
        <v>9</v>
      </c>
      <c r="I354">
        <v>14</v>
      </c>
      <c r="J354">
        <v>-10</v>
      </c>
      <c r="K354">
        <v>6</v>
      </c>
      <c r="L354">
        <v>3</v>
      </c>
      <c r="M354">
        <v>2</v>
      </c>
      <c r="N354">
        <v>0</v>
      </c>
      <c r="O354">
        <v>0</v>
      </c>
      <c r="P354">
        <v>6</v>
      </c>
      <c r="Q354">
        <v>3</v>
      </c>
      <c r="R354">
        <v>0</v>
      </c>
      <c r="S354">
        <v>40</v>
      </c>
      <c r="T354">
        <v>12.5</v>
      </c>
      <c r="U354">
        <v>68</v>
      </c>
      <c r="V354" s="2">
        <v>17.184722222222224</v>
      </c>
      <c r="W354" s="3">
        <v>0.53680555555555554</v>
      </c>
      <c r="X354">
        <v>37</v>
      </c>
      <c r="Y354">
        <v>36</v>
      </c>
      <c r="Z354">
        <v>50.7</v>
      </c>
      <c r="AA354">
        <v>10</v>
      </c>
      <c r="AB354">
        <v>18</v>
      </c>
      <c r="AC354">
        <v>10</v>
      </c>
      <c r="AD354">
        <v>27</v>
      </c>
      <c r="AF354" t="s">
        <v>994</v>
      </c>
    </row>
    <row r="355" spans="1:32" x14ac:dyDescent="0.3">
      <c r="A355">
        <v>344</v>
      </c>
      <c r="B355" t="s">
        <v>995</v>
      </c>
      <c r="C355">
        <v>25</v>
      </c>
      <c r="D355" t="s">
        <v>121</v>
      </c>
      <c r="E355" t="s">
        <v>87</v>
      </c>
      <c r="F355">
        <v>40</v>
      </c>
      <c r="G355">
        <v>4</v>
      </c>
      <c r="H355">
        <v>10</v>
      </c>
      <c r="I355">
        <v>14</v>
      </c>
      <c r="J355">
        <v>32</v>
      </c>
      <c r="K355">
        <v>28</v>
      </c>
      <c r="L355">
        <v>4</v>
      </c>
      <c r="M355">
        <v>0</v>
      </c>
      <c r="N355">
        <v>0</v>
      </c>
      <c r="O355">
        <v>0</v>
      </c>
      <c r="P355">
        <v>9</v>
      </c>
      <c r="Q355">
        <v>0</v>
      </c>
      <c r="R355">
        <v>1</v>
      </c>
      <c r="S355">
        <v>55</v>
      </c>
      <c r="T355">
        <v>7.3</v>
      </c>
      <c r="U355">
        <v>128</v>
      </c>
      <c r="V355" s="2">
        <v>36.493055555555557</v>
      </c>
      <c r="W355" s="3">
        <v>0.91249999999999998</v>
      </c>
      <c r="X355">
        <v>0</v>
      </c>
      <c r="Y355">
        <v>0</v>
      </c>
      <c r="AA355">
        <v>51</v>
      </c>
      <c r="AB355">
        <v>35</v>
      </c>
      <c r="AC355">
        <v>14</v>
      </c>
      <c r="AD355">
        <v>42</v>
      </c>
      <c r="AF355" t="s">
        <v>996</v>
      </c>
    </row>
    <row r="356" spans="1:32" x14ac:dyDescent="0.3">
      <c r="A356">
        <v>345</v>
      </c>
      <c r="B356" t="s">
        <v>997</v>
      </c>
      <c r="C356">
        <v>26</v>
      </c>
      <c r="D356" t="s">
        <v>221</v>
      </c>
      <c r="E356" t="s">
        <v>78</v>
      </c>
      <c r="F356">
        <v>40</v>
      </c>
      <c r="G356">
        <v>6</v>
      </c>
      <c r="H356">
        <v>8</v>
      </c>
      <c r="I356">
        <v>14</v>
      </c>
      <c r="J356">
        <v>-3</v>
      </c>
      <c r="K356">
        <v>6</v>
      </c>
      <c r="L356">
        <v>5</v>
      </c>
      <c r="M356">
        <v>0</v>
      </c>
      <c r="N356">
        <v>1</v>
      </c>
      <c r="O356">
        <v>0</v>
      </c>
      <c r="P356">
        <v>8</v>
      </c>
      <c r="Q356">
        <v>0</v>
      </c>
      <c r="R356">
        <v>0</v>
      </c>
      <c r="S356">
        <v>43</v>
      </c>
      <c r="T356">
        <v>14</v>
      </c>
      <c r="U356">
        <v>90</v>
      </c>
      <c r="V356" s="2">
        <v>21.158333333333335</v>
      </c>
      <c r="W356" s="3">
        <v>0.52916666666666667</v>
      </c>
      <c r="X356">
        <v>76</v>
      </c>
      <c r="Y356">
        <v>64</v>
      </c>
      <c r="Z356">
        <v>54.3</v>
      </c>
      <c r="AA356">
        <v>30</v>
      </c>
      <c r="AB356">
        <v>42</v>
      </c>
      <c r="AC356">
        <v>5</v>
      </c>
      <c r="AD356">
        <v>21</v>
      </c>
      <c r="AF356" t="s">
        <v>998</v>
      </c>
    </row>
    <row r="357" spans="1:32" x14ac:dyDescent="0.3">
      <c r="A357">
        <v>346</v>
      </c>
      <c r="B357" t="s">
        <v>999</v>
      </c>
      <c r="C357">
        <v>30</v>
      </c>
      <c r="D357" t="s">
        <v>72</v>
      </c>
      <c r="E357" t="s">
        <v>101</v>
      </c>
      <c r="F357">
        <v>38</v>
      </c>
      <c r="G357">
        <v>9</v>
      </c>
      <c r="H357">
        <v>5</v>
      </c>
      <c r="I357">
        <v>14</v>
      </c>
      <c r="J357">
        <v>5</v>
      </c>
      <c r="K357">
        <v>2</v>
      </c>
      <c r="L357">
        <v>9</v>
      </c>
      <c r="M357">
        <v>0</v>
      </c>
      <c r="N357">
        <v>0</v>
      </c>
      <c r="O357">
        <v>2</v>
      </c>
      <c r="P357">
        <v>4</v>
      </c>
      <c r="Q357">
        <v>0</v>
      </c>
      <c r="R357">
        <v>1</v>
      </c>
      <c r="S357">
        <v>52</v>
      </c>
      <c r="T357">
        <v>17.3</v>
      </c>
      <c r="U357">
        <v>108</v>
      </c>
      <c r="V357" s="2">
        <v>18.919444444444444</v>
      </c>
      <c r="W357" s="3">
        <v>0.49791666666666667</v>
      </c>
      <c r="X357">
        <v>1</v>
      </c>
      <c r="Y357">
        <v>12</v>
      </c>
      <c r="Z357">
        <v>7.7</v>
      </c>
      <c r="AA357">
        <v>5</v>
      </c>
      <c r="AB357">
        <v>53</v>
      </c>
      <c r="AC357">
        <v>5</v>
      </c>
      <c r="AD357">
        <v>14</v>
      </c>
      <c r="AF357" t="s">
        <v>1000</v>
      </c>
    </row>
    <row r="358" spans="1:32" x14ac:dyDescent="0.3">
      <c r="A358">
        <v>347</v>
      </c>
      <c r="B358" t="s">
        <v>1001</v>
      </c>
      <c r="C358">
        <v>22</v>
      </c>
      <c r="D358" t="s">
        <v>250</v>
      </c>
      <c r="E358" t="s">
        <v>78</v>
      </c>
      <c r="F358">
        <v>44</v>
      </c>
      <c r="G358">
        <v>7</v>
      </c>
      <c r="H358">
        <v>7</v>
      </c>
      <c r="I358">
        <v>14</v>
      </c>
      <c r="J358">
        <v>-1</v>
      </c>
      <c r="K358">
        <v>14</v>
      </c>
      <c r="L358">
        <v>4</v>
      </c>
      <c r="M358">
        <v>2</v>
      </c>
      <c r="N358">
        <v>1</v>
      </c>
      <c r="O358">
        <v>1</v>
      </c>
      <c r="P358">
        <v>5</v>
      </c>
      <c r="Q358">
        <v>2</v>
      </c>
      <c r="R358">
        <v>0</v>
      </c>
      <c r="S358">
        <v>57</v>
      </c>
      <c r="T358">
        <v>12.3</v>
      </c>
      <c r="U358">
        <v>104</v>
      </c>
      <c r="V358" s="2">
        <v>25.875</v>
      </c>
      <c r="W358" s="3">
        <v>0.58819444444444446</v>
      </c>
      <c r="X358">
        <v>21</v>
      </c>
      <c r="Y358">
        <v>24</v>
      </c>
      <c r="Z358">
        <v>46.7</v>
      </c>
      <c r="AA358">
        <v>22</v>
      </c>
      <c r="AB358">
        <v>7</v>
      </c>
      <c r="AC358">
        <v>17</v>
      </c>
      <c r="AD358">
        <v>36</v>
      </c>
      <c r="AF358" t="s">
        <v>1002</v>
      </c>
    </row>
    <row r="359" spans="1:32" x14ac:dyDescent="0.3">
      <c r="A359">
        <v>348</v>
      </c>
      <c r="B359" t="s">
        <v>1003</v>
      </c>
      <c r="C359">
        <v>27</v>
      </c>
      <c r="D359" t="s">
        <v>82</v>
      </c>
      <c r="E359" t="s">
        <v>78</v>
      </c>
      <c r="F359">
        <v>40</v>
      </c>
      <c r="G359">
        <v>8</v>
      </c>
      <c r="H359">
        <v>6</v>
      </c>
      <c r="I359">
        <v>14</v>
      </c>
      <c r="J359">
        <v>-11</v>
      </c>
      <c r="K359">
        <v>2</v>
      </c>
      <c r="L359">
        <v>6</v>
      </c>
      <c r="M359">
        <v>2</v>
      </c>
      <c r="N359">
        <v>0</v>
      </c>
      <c r="O359">
        <v>1</v>
      </c>
      <c r="P359">
        <v>6</v>
      </c>
      <c r="Q359">
        <v>0</v>
      </c>
      <c r="R359">
        <v>0</v>
      </c>
      <c r="S359">
        <v>76</v>
      </c>
      <c r="T359">
        <v>10.5</v>
      </c>
      <c r="U359">
        <v>148</v>
      </c>
      <c r="V359" s="2">
        <v>26.143750000000001</v>
      </c>
      <c r="W359" s="3">
        <v>0.65347222222222223</v>
      </c>
      <c r="X359">
        <v>18</v>
      </c>
      <c r="Y359">
        <v>40</v>
      </c>
      <c r="Z359">
        <v>31</v>
      </c>
      <c r="AA359">
        <v>13</v>
      </c>
      <c r="AB359">
        <v>9</v>
      </c>
      <c r="AC359">
        <v>8</v>
      </c>
      <c r="AD359">
        <v>29</v>
      </c>
      <c r="AF359" t="s">
        <v>1004</v>
      </c>
    </row>
    <row r="360" spans="1:32" x14ac:dyDescent="0.3">
      <c r="A360">
        <v>349</v>
      </c>
      <c r="B360" t="s">
        <v>1005</v>
      </c>
      <c r="C360">
        <v>21</v>
      </c>
      <c r="D360" t="s">
        <v>103</v>
      </c>
      <c r="E360" t="s">
        <v>95</v>
      </c>
      <c r="F360">
        <v>33</v>
      </c>
      <c r="G360">
        <v>6</v>
      </c>
      <c r="H360">
        <v>8</v>
      </c>
      <c r="I360">
        <v>14</v>
      </c>
      <c r="J360">
        <v>-6</v>
      </c>
      <c r="K360">
        <v>8</v>
      </c>
      <c r="L360">
        <v>4</v>
      </c>
      <c r="M360">
        <v>2</v>
      </c>
      <c r="N360">
        <v>0</v>
      </c>
      <c r="O360">
        <v>2</v>
      </c>
      <c r="P360">
        <v>6</v>
      </c>
      <c r="Q360">
        <v>2</v>
      </c>
      <c r="R360">
        <v>0</v>
      </c>
      <c r="S360">
        <v>63</v>
      </c>
      <c r="T360">
        <v>9.5</v>
      </c>
      <c r="U360">
        <v>141</v>
      </c>
      <c r="V360" s="2">
        <v>21.353472222222223</v>
      </c>
      <c r="W360" s="3">
        <v>0.64722222222222225</v>
      </c>
      <c r="X360">
        <v>2</v>
      </c>
      <c r="Y360">
        <v>1</v>
      </c>
      <c r="Z360">
        <v>66.7</v>
      </c>
      <c r="AA360">
        <v>21</v>
      </c>
      <c r="AB360">
        <v>37</v>
      </c>
      <c r="AC360">
        <v>11</v>
      </c>
      <c r="AD360">
        <v>19</v>
      </c>
      <c r="AF360" t="s">
        <v>1006</v>
      </c>
    </row>
    <row r="361" spans="1:32" x14ac:dyDescent="0.3">
      <c r="A361">
        <v>350</v>
      </c>
      <c r="B361" t="s">
        <v>1007</v>
      </c>
      <c r="C361">
        <v>24</v>
      </c>
      <c r="D361" t="s">
        <v>243</v>
      </c>
      <c r="E361" t="s">
        <v>87</v>
      </c>
      <c r="F361">
        <v>34</v>
      </c>
      <c r="G361">
        <v>2</v>
      </c>
      <c r="H361">
        <v>12</v>
      </c>
      <c r="I361">
        <v>14</v>
      </c>
      <c r="J361">
        <v>7</v>
      </c>
      <c r="K361">
        <v>8</v>
      </c>
      <c r="L361">
        <v>2</v>
      </c>
      <c r="M361">
        <v>0</v>
      </c>
      <c r="N361">
        <v>0</v>
      </c>
      <c r="O361">
        <v>0</v>
      </c>
      <c r="P361">
        <v>12</v>
      </c>
      <c r="Q361">
        <v>0</v>
      </c>
      <c r="R361">
        <v>0</v>
      </c>
      <c r="S361">
        <v>48</v>
      </c>
      <c r="T361">
        <v>4.2</v>
      </c>
      <c r="U361">
        <v>125</v>
      </c>
      <c r="V361" s="2">
        <v>25.207638888888887</v>
      </c>
      <c r="W361" s="3">
        <v>0.7416666666666667</v>
      </c>
      <c r="X361">
        <v>0</v>
      </c>
      <c r="Y361">
        <v>0</v>
      </c>
      <c r="AA361">
        <v>22</v>
      </c>
      <c r="AB361">
        <v>23</v>
      </c>
      <c r="AC361">
        <v>9</v>
      </c>
      <c r="AD361">
        <v>27</v>
      </c>
      <c r="AF361" t="s">
        <v>1008</v>
      </c>
    </row>
    <row r="362" spans="1:32" x14ac:dyDescent="0.3">
      <c r="A362">
        <v>351</v>
      </c>
      <c r="B362" t="s">
        <v>1009</v>
      </c>
      <c r="C362">
        <v>27</v>
      </c>
      <c r="D362" t="s">
        <v>130</v>
      </c>
      <c r="E362" t="s">
        <v>87</v>
      </c>
      <c r="F362">
        <v>42</v>
      </c>
      <c r="G362">
        <v>7</v>
      </c>
      <c r="H362">
        <v>7</v>
      </c>
      <c r="I362">
        <v>14</v>
      </c>
      <c r="J362">
        <v>1</v>
      </c>
      <c r="K362">
        <v>89</v>
      </c>
      <c r="L362">
        <v>7</v>
      </c>
      <c r="M362">
        <v>0</v>
      </c>
      <c r="N362">
        <v>0</v>
      </c>
      <c r="O362">
        <v>1</v>
      </c>
      <c r="P362">
        <v>7</v>
      </c>
      <c r="Q362">
        <v>0</v>
      </c>
      <c r="R362">
        <v>0</v>
      </c>
      <c r="S362">
        <v>45</v>
      </c>
      <c r="T362">
        <v>15.6</v>
      </c>
      <c r="U362">
        <v>136</v>
      </c>
      <c r="V362" s="2">
        <v>28.390277777777779</v>
      </c>
      <c r="W362" s="3">
        <v>0.67569444444444449</v>
      </c>
      <c r="X362">
        <v>0</v>
      </c>
      <c r="Y362">
        <v>0</v>
      </c>
      <c r="AA362">
        <v>48</v>
      </c>
      <c r="AB362">
        <v>71</v>
      </c>
      <c r="AC362">
        <v>9</v>
      </c>
      <c r="AD362">
        <v>33</v>
      </c>
      <c r="AF362" t="s">
        <v>1010</v>
      </c>
    </row>
    <row r="363" spans="1:32" x14ac:dyDescent="0.3">
      <c r="A363">
        <v>352</v>
      </c>
      <c r="B363" t="s">
        <v>1011</v>
      </c>
      <c r="C363">
        <v>29</v>
      </c>
      <c r="D363" t="s">
        <v>103</v>
      </c>
      <c r="E363" t="s">
        <v>380</v>
      </c>
      <c r="F363">
        <v>37</v>
      </c>
      <c r="G363">
        <v>7</v>
      </c>
      <c r="H363">
        <v>7</v>
      </c>
      <c r="I363">
        <v>14</v>
      </c>
      <c r="J363">
        <v>-3</v>
      </c>
      <c r="K363">
        <v>12</v>
      </c>
      <c r="L363">
        <v>6</v>
      </c>
      <c r="M363">
        <v>1</v>
      </c>
      <c r="N363">
        <v>0</v>
      </c>
      <c r="O363">
        <v>2</v>
      </c>
      <c r="P363">
        <v>5</v>
      </c>
      <c r="Q363">
        <v>1</v>
      </c>
      <c r="R363">
        <v>1</v>
      </c>
      <c r="S363">
        <v>62</v>
      </c>
      <c r="T363">
        <v>11.3</v>
      </c>
      <c r="U363">
        <v>114</v>
      </c>
      <c r="V363" s="2">
        <v>25.268055555555556</v>
      </c>
      <c r="W363" s="3">
        <v>0.68263888888888891</v>
      </c>
      <c r="X363">
        <v>149</v>
      </c>
      <c r="Y363">
        <v>167</v>
      </c>
      <c r="Z363">
        <v>47.2</v>
      </c>
      <c r="AA363">
        <v>13</v>
      </c>
      <c r="AB363">
        <v>29</v>
      </c>
      <c r="AC363">
        <v>9</v>
      </c>
      <c r="AD363">
        <v>19</v>
      </c>
      <c r="AF363" t="s">
        <v>1012</v>
      </c>
    </row>
    <row r="364" spans="1:32" x14ac:dyDescent="0.3">
      <c r="A364">
        <v>353</v>
      </c>
      <c r="B364" t="s">
        <v>1013</v>
      </c>
      <c r="C364">
        <v>37</v>
      </c>
      <c r="D364" t="s">
        <v>130</v>
      </c>
      <c r="E364" t="s">
        <v>78</v>
      </c>
      <c r="F364">
        <v>43</v>
      </c>
      <c r="G364">
        <v>4</v>
      </c>
      <c r="H364">
        <v>10</v>
      </c>
      <c r="I364">
        <v>14</v>
      </c>
      <c r="J364">
        <v>-13</v>
      </c>
      <c r="K364">
        <v>22</v>
      </c>
      <c r="L364">
        <v>3</v>
      </c>
      <c r="M364">
        <v>1</v>
      </c>
      <c r="N364">
        <v>0</v>
      </c>
      <c r="O364">
        <v>0</v>
      </c>
      <c r="P364">
        <v>8</v>
      </c>
      <c r="Q364">
        <v>2</v>
      </c>
      <c r="R364">
        <v>0</v>
      </c>
      <c r="S364">
        <v>59</v>
      </c>
      <c r="T364">
        <v>6.8</v>
      </c>
      <c r="U364">
        <v>105</v>
      </c>
      <c r="V364" s="2">
        <v>27.039583333333333</v>
      </c>
      <c r="W364" s="3">
        <v>0.62916666666666665</v>
      </c>
      <c r="X364">
        <v>352</v>
      </c>
      <c r="Y364">
        <v>209</v>
      </c>
      <c r="Z364">
        <v>62.7</v>
      </c>
      <c r="AA364">
        <v>22</v>
      </c>
      <c r="AB364">
        <v>12</v>
      </c>
      <c r="AC364">
        <v>11</v>
      </c>
      <c r="AD364">
        <v>29</v>
      </c>
      <c r="AF364" t="s">
        <v>1014</v>
      </c>
    </row>
    <row r="365" spans="1:32" x14ac:dyDescent="0.3">
      <c r="A365">
        <v>354</v>
      </c>
      <c r="B365" t="s">
        <v>1015</v>
      </c>
      <c r="C365">
        <v>29</v>
      </c>
      <c r="D365" t="s">
        <v>109</v>
      </c>
      <c r="E365" t="s">
        <v>78</v>
      </c>
      <c r="F365">
        <v>45</v>
      </c>
      <c r="G365">
        <v>3</v>
      </c>
      <c r="H365">
        <v>11</v>
      </c>
      <c r="I365">
        <v>14</v>
      </c>
      <c r="J365">
        <v>8</v>
      </c>
      <c r="K365">
        <v>23</v>
      </c>
      <c r="L365">
        <v>3</v>
      </c>
      <c r="M365">
        <v>0</v>
      </c>
      <c r="N365">
        <v>0</v>
      </c>
      <c r="O365">
        <v>1</v>
      </c>
      <c r="P365">
        <v>11</v>
      </c>
      <c r="Q365">
        <v>0</v>
      </c>
      <c r="R365">
        <v>0</v>
      </c>
      <c r="S365">
        <v>54</v>
      </c>
      <c r="T365">
        <v>5.6</v>
      </c>
      <c r="U365">
        <v>110</v>
      </c>
      <c r="V365" s="2">
        <v>24.952083333333334</v>
      </c>
      <c r="W365" s="3">
        <v>0.5541666666666667</v>
      </c>
      <c r="X365">
        <v>29</v>
      </c>
      <c r="Y365">
        <v>48</v>
      </c>
      <c r="Z365">
        <v>37.700000000000003</v>
      </c>
      <c r="AA365">
        <v>25</v>
      </c>
      <c r="AB365">
        <v>220</v>
      </c>
      <c r="AC365">
        <v>14</v>
      </c>
      <c r="AD365">
        <v>32</v>
      </c>
      <c r="AF365" t="s">
        <v>1016</v>
      </c>
    </row>
    <row r="366" spans="1:32" x14ac:dyDescent="0.3">
      <c r="A366">
        <v>355</v>
      </c>
      <c r="B366" t="s">
        <v>1017</v>
      </c>
      <c r="C366">
        <v>20</v>
      </c>
      <c r="D366" t="s">
        <v>157</v>
      </c>
      <c r="E366" t="s">
        <v>95</v>
      </c>
      <c r="F366">
        <v>34</v>
      </c>
      <c r="G366">
        <v>8</v>
      </c>
      <c r="H366">
        <v>6</v>
      </c>
      <c r="I366">
        <v>14</v>
      </c>
      <c r="J366">
        <v>-2</v>
      </c>
      <c r="K366">
        <v>2</v>
      </c>
      <c r="L366">
        <v>6</v>
      </c>
      <c r="M366">
        <v>2</v>
      </c>
      <c r="N366">
        <v>0</v>
      </c>
      <c r="O366">
        <v>0</v>
      </c>
      <c r="P366">
        <v>3</v>
      </c>
      <c r="Q366">
        <v>3</v>
      </c>
      <c r="R366">
        <v>0</v>
      </c>
      <c r="S366">
        <v>54</v>
      </c>
      <c r="T366">
        <v>14.8</v>
      </c>
      <c r="U366">
        <v>98</v>
      </c>
      <c r="V366" s="2">
        <v>17.564583333333335</v>
      </c>
      <c r="W366" s="3">
        <v>0.51666666666666672</v>
      </c>
      <c r="X366">
        <v>6</v>
      </c>
      <c r="Y366">
        <v>12</v>
      </c>
      <c r="Z366">
        <v>33.299999999999997</v>
      </c>
      <c r="AA366">
        <v>15</v>
      </c>
      <c r="AB366">
        <v>23</v>
      </c>
      <c r="AC366">
        <v>2</v>
      </c>
      <c r="AD366">
        <v>20</v>
      </c>
      <c r="AF366" t="s">
        <v>1018</v>
      </c>
    </row>
    <row r="367" spans="1:32" x14ac:dyDescent="0.3">
      <c r="A367">
        <v>356</v>
      </c>
      <c r="B367" t="s">
        <v>1019</v>
      </c>
      <c r="C367">
        <v>30</v>
      </c>
      <c r="D367" t="s">
        <v>195</v>
      </c>
      <c r="E367" t="s">
        <v>87</v>
      </c>
      <c r="F367">
        <v>44</v>
      </c>
      <c r="G367">
        <v>1</v>
      </c>
      <c r="H367">
        <v>13</v>
      </c>
      <c r="I367">
        <v>14</v>
      </c>
      <c r="J367">
        <v>10</v>
      </c>
      <c r="K367">
        <v>113</v>
      </c>
      <c r="L367">
        <v>1</v>
      </c>
      <c r="M367">
        <v>0</v>
      </c>
      <c r="N367">
        <v>0</v>
      </c>
      <c r="O367">
        <v>0</v>
      </c>
      <c r="P367">
        <v>13</v>
      </c>
      <c r="Q367">
        <v>0</v>
      </c>
      <c r="R367">
        <v>0</v>
      </c>
      <c r="S367">
        <v>55</v>
      </c>
      <c r="T367">
        <v>1.8</v>
      </c>
      <c r="U367">
        <v>137</v>
      </c>
      <c r="V367" s="2">
        <v>39.97291666666667</v>
      </c>
      <c r="W367" s="3">
        <v>0.90833333333333333</v>
      </c>
      <c r="X367">
        <v>0</v>
      </c>
      <c r="Y367">
        <v>0</v>
      </c>
      <c r="AA367">
        <v>71</v>
      </c>
      <c r="AB367">
        <v>113</v>
      </c>
      <c r="AC367">
        <v>24</v>
      </c>
      <c r="AD367">
        <v>49</v>
      </c>
      <c r="AF367" t="s">
        <v>1020</v>
      </c>
    </row>
    <row r="368" spans="1:32" x14ac:dyDescent="0.3">
      <c r="A368">
        <v>357</v>
      </c>
      <c r="B368" t="s">
        <v>1021</v>
      </c>
      <c r="C368">
        <v>24</v>
      </c>
      <c r="D368" t="s">
        <v>82</v>
      </c>
      <c r="E368" t="s">
        <v>78</v>
      </c>
      <c r="F368">
        <v>42</v>
      </c>
      <c r="G368">
        <v>7</v>
      </c>
      <c r="H368">
        <v>7</v>
      </c>
      <c r="I368">
        <v>14</v>
      </c>
      <c r="J368">
        <v>-2</v>
      </c>
      <c r="K368">
        <v>12</v>
      </c>
      <c r="L368">
        <v>5</v>
      </c>
      <c r="M368">
        <v>2</v>
      </c>
      <c r="N368">
        <v>0</v>
      </c>
      <c r="O368">
        <v>1</v>
      </c>
      <c r="P368">
        <v>6</v>
      </c>
      <c r="Q368">
        <v>1</v>
      </c>
      <c r="R368">
        <v>0</v>
      </c>
      <c r="S368">
        <v>57</v>
      </c>
      <c r="T368">
        <v>12.3</v>
      </c>
      <c r="U368">
        <v>105</v>
      </c>
      <c r="V368" s="2">
        <v>24.665972222222223</v>
      </c>
      <c r="W368" s="3">
        <v>0.58750000000000002</v>
      </c>
      <c r="X368">
        <v>48</v>
      </c>
      <c r="Y368">
        <v>69</v>
      </c>
      <c r="Z368">
        <v>41</v>
      </c>
      <c r="AA368">
        <v>11</v>
      </c>
      <c r="AB368">
        <v>29</v>
      </c>
      <c r="AC368">
        <v>6</v>
      </c>
      <c r="AD368">
        <v>23</v>
      </c>
      <c r="AF368" t="s">
        <v>1022</v>
      </c>
    </row>
    <row r="369" spans="1:32" x14ac:dyDescent="0.3">
      <c r="A369">
        <v>358</v>
      </c>
      <c r="B369" t="s">
        <v>1023</v>
      </c>
      <c r="C369">
        <v>31</v>
      </c>
      <c r="D369" t="s">
        <v>204</v>
      </c>
      <c r="E369" t="s">
        <v>95</v>
      </c>
      <c r="F369">
        <v>40</v>
      </c>
      <c r="G369">
        <v>9</v>
      </c>
      <c r="H369">
        <v>4</v>
      </c>
      <c r="I369">
        <v>13</v>
      </c>
      <c r="J369">
        <v>-8</v>
      </c>
      <c r="K369">
        <v>48</v>
      </c>
      <c r="L369">
        <v>8</v>
      </c>
      <c r="M369">
        <v>0</v>
      </c>
      <c r="N369">
        <v>1</v>
      </c>
      <c r="O369">
        <v>0</v>
      </c>
      <c r="P369">
        <v>3</v>
      </c>
      <c r="Q369">
        <v>0</v>
      </c>
      <c r="R369">
        <v>1</v>
      </c>
      <c r="S369">
        <v>52</v>
      </c>
      <c r="T369">
        <v>17.3</v>
      </c>
      <c r="U369">
        <v>91</v>
      </c>
      <c r="V369" s="2">
        <v>24.639583333333334</v>
      </c>
      <c r="W369" s="3">
        <v>0.61597222222222225</v>
      </c>
      <c r="X369">
        <v>18</v>
      </c>
      <c r="Y369">
        <v>9</v>
      </c>
      <c r="Z369">
        <v>66.7</v>
      </c>
      <c r="AA369">
        <v>27</v>
      </c>
      <c r="AB369">
        <v>74</v>
      </c>
      <c r="AC369">
        <v>5</v>
      </c>
      <c r="AD369">
        <v>26</v>
      </c>
      <c r="AF369" t="s">
        <v>1024</v>
      </c>
    </row>
    <row r="370" spans="1:32" x14ac:dyDescent="0.3">
      <c r="A370">
        <v>359</v>
      </c>
      <c r="B370" t="s">
        <v>1025</v>
      </c>
      <c r="C370">
        <v>36</v>
      </c>
      <c r="D370" t="s">
        <v>210</v>
      </c>
      <c r="E370" t="s">
        <v>87</v>
      </c>
      <c r="F370">
        <v>45</v>
      </c>
      <c r="G370">
        <v>2</v>
      </c>
      <c r="H370">
        <v>11</v>
      </c>
      <c r="I370">
        <v>13</v>
      </c>
      <c r="J370">
        <v>15</v>
      </c>
      <c r="K370">
        <v>24</v>
      </c>
      <c r="L370">
        <v>2</v>
      </c>
      <c r="M370">
        <v>0</v>
      </c>
      <c r="N370">
        <v>0</v>
      </c>
      <c r="O370">
        <v>0</v>
      </c>
      <c r="P370">
        <v>11</v>
      </c>
      <c r="Q370">
        <v>0</v>
      </c>
      <c r="R370">
        <v>0</v>
      </c>
      <c r="S370">
        <v>32</v>
      </c>
      <c r="T370">
        <v>6.3</v>
      </c>
      <c r="U370">
        <v>95</v>
      </c>
      <c r="V370" s="2">
        <v>34.529166666666669</v>
      </c>
      <c r="W370" s="3">
        <v>0.76736111111111116</v>
      </c>
      <c r="X370">
        <v>0</v>
      </c>
      <c r="Y370">
        <v>0</v>
      </c>
      <c r="AA370">
        <v>92</v>
      </c>
      <c r="AB370">
        <v>49</v>
      </c>
      <c r="AC370">
        <v>7</v>
      </c>
      <c r="AD370">
        <v>43</v>
      </c>
      <c r="AF370" t="s">
        <v>1026</v>
      </c>
    </row>
    <row r="371" spans="1:32" x14ac:dyDescent="0.3">
      <c r="A371">
        <v>360</v>
      </c>
      <c r="B371" t="s">
        <v>1027</v>
      </c>
      <c r="C371">
        <v>20</v>
      </c>
      <c r="D371" t="s">
        <v>150</v>
      </c>
      <c r="E371" t="s">
        <v>95</v>
      </c>
      <c r="F371">
        <v>32</v>
      </c>
      <c r="G371">
        <v>6</v>
      </c>
      <c r="H371">
        <v>7</v>
      </c>
      <c r="I371">
        <v>13</v>
      </c>
      <c r="J371">
        <v>4</v>
      </c>
      <c r="K371">
        <v>6</v>
      </c>
      <c r="L371">
        <v>6</v>
      </c>
      <c r="M371">
        <v>0</v>
      </c>
      <c r="N371">
        <v>0</v>
      </c>
      <c r="O371">
        <v>1</v>
      </c>
      <c r="P371">
        <v>7</v>
      </c>
      <c r="Q371">
        <v>0</v>
      </c>
      <c r="R371">
        <v>0</v>
      </c>
      <c r="S371">
        <v>53</v>
      </c>
      <c r="T371">
        <v>11.3</v>
      </c>
      <c r="U371">
        <v>98</v>
      </c>
      <c r="V371" s="2">
        <v>18.996527777777779</v>
      </c>
      <c r="W371" s="3">
        <v>0.59375</v>
      </c>
      <c r="X371">
        <v>2</v>
      </c>
      <c r="Y371">
        <v>4</v>
      </c>
      <c r="Z371">
        <v>33.299999999999997</v>
      </c>
      <c r="AA371">
        <v>16</v>
      </c>
      <c r="AB371">
        <v>37</v>
      </c>
      <c r="AC371">
        <v>5</v>
      </c>
      <c r="AD371">
        <v>32</v>
      </c>
      <c r="AF371" t="s">
        <v>1028</v>
      </c>
    </row>
    <row r="372" spans="1:32" x14ac:dyDescent="0.3">
      <c r="A372">
        <v>361</v>
      </c>
      <c r="B372" t="s">
        <v>143</v>
      </c>
      <c r="C372">
        <v>36</v>
      </c>
      <c r="D372" t="s">
        <v>91</v>
      </c>
      <c r="E372" t="s">
        <v>87</v>
      </c>
      <c r="F372">
        <v>36</v>
      </c>
      <c r="G372">
        <v>3</v>
      </c>
      <c r="H372">
        <v>10</v>
      </c>
      <c r="I372">
        <v>13</v>
      </c>
      <c r="J372">
        <v>4</v>
      </c>
      <c r="K372">
        <v>20</v>
      </c>
      <c r="L372">
        <v>3</v>
      </c>
      <c r="M372">
        <v>0</v>
      </c>
      <c r="N372">
        <v>0</v>
      </c>
      <c r="O372">
        <v>0</v>
      </c>
      <c r="P372">
        <v>8</v>
      </c>
      <c r="Q372">
        <v>1</v>
      </c>
      <c r="R372">
        <v>1</v>
      </c>
      <c r="S372">
        <v>54</v>
      </c>
      <c r="T372">
        <v>5.6</v>
      </c>
      <c r="U372">
        <v>142</v>
      </c>
      <c r="V372" s="2">
        <v>33.99722222222222</v>
      </c>
      <c r="W372" s="3">
        <v>0.94444444444444442</v>
      </c>
      <c r="X372">
        <v>0</v>
      </c>
      <c r="Y372">
        <v>0</v>
      </c>
      <c r="AA372">
        <v>44</v>
      </c>
      <c r="AB372">
        <v>16</v>
      </c>
      <c r="AC372">
        <v>9</v>
      </c>
      <c r="AD372">
        <v>47</v>
      </c>
      <c r="AF372" t="s">
        <v>1029</v>
      </c>
    </row>
    <row r="373" spans="1:32" x14ac:dyDescent="0.3">
      <c r="A373">
        <v>362</v>
      </c>
      <c r="B373" t="s">
        <v>1030</v>
      </c>
      <c r="C373">
        <v>27</v>
      </c>
      <c r="D373" t="s">
        <v>210</v>
      </c>
      <c r="E373" t="s">
        <v>87</v>
      </c>
      <c r="F373">
        <v>24</v>
      </c>
      <c r="G373">
        <v>3</v>
      </c>
      <c r="H373">
        <v>10</v>
      </c>
      <c r="I373">
        <v>13</v>
      </c>
      <c r="J373">
        <v>-10</v>
      </c>
      <c r="K373">
        <v>24</v>
      </c>
      <c r="L373">
        <v>3</v>
      </c>
      <c r="M373">
        <v>0</v>
      </c>
      <c r="N373">
        <v>0</v>
      </c>
      <c r="O373">
        <v>2</v>
      </c>
      <c r="P373">
        <v>8</v>
      </c>
      <c r="Q373">
        <v>2</v>
      </c>
      <c r="R373">
        <v>0</v>
      </c>
      <c r="S373">
        <v>44</v>
      </c>
      <c r="T373">
        <v>6.8</v>
      </c>
      <c r="U373">
        <v>109</v>
      </c>
      <c r="V373" s="2">
        <v>20.494444444444444</v>
      </c>
      <c r="W373" s="3">
        <v>0.85416666666666663</v>
      </c>
      <c r="X373">
        <v>0</v>
      </c>
      <c r="Y373">
        <v>0</v>
      </c>
      <c r="AA373">
        <v>44</v>
      </c>
      <c r="AB373">
        <v>14</v>
      </c>
      <c r="AC373">
        <v>5</v>
      </c>
      <c r="AD373">
        <v>29</v>
      </c>
      <c r="AF373" t="s">
        <v>1031</v>
      </c>
    </row>
    <row r="374" spans="1:32" x14ac:dyDescent="0.3">
      <c r="A374">
        <v>363</v>
      </c>
      <c r="B374" t="s">
        <v>1032</v>
      </c>
      <c r="C374">
        <v>24</v>
      </c>
      <c r="D374" t="s">
        <v>278</v>
      </c>
      <c r="E374" t="s">
        <v>95</v>
      </c>
      <c r="F374">
        <v>21</v>
      </c>
      <c r="G374">
        <v>10</v>
      </c>
      <c r="H374">
        <v>3</v>
      </c>
      <c r="I374">
        <v>13</v>
      </c>
      <c r="J374">
        <v>7</v>
      </c>
      <c r="K374">
        <v>18</v>
      </c>
      <c r="L374">
        <v>7</v>
      </c>
      <c r="M374">
        <v>3</v>
      </c>
      <c r="N374">
        <v>0</v>
      </c>
      <c r="O374">
        <v>2</v>
      </c>
      <c r="P374">
        <v>3</v>
      </c>
      <c r="Q374">
        <v>0</v>
      </c>
      <c r="R374">
        <v>0</v>
      </c>
      <c r="S374">
        <v>41</v>
      </c>
      <c r="T374">
        <v>24.4</v>
      </c>
      <c r="U374">
        <v>75</v>
      </c>
      <c r="V374" s="2">
        <v>15.262499999999999</v>
      </c>
      <c r="W374" s="3">
        <v>0.7270833333333333</v>
      </c>
      <c r="X374">
        <v>1</v>
      </c>
      <c r="Y374">
        <v>1</v>
      </c>
      <c r="Z374">
        <v>50</v>
      </c>
      <c r="AA374">
        <v>18</v>
      </c>
      <c r="AB374">
        <v>20</v>
      </c>
      <c r="AC374">
        <v>8</v>
      </c>
      <c r="AD374">
        <v>11</v>
      </c>
      <c r="AF374" t="s">
        <v>1033</v>
      </c>
    </row>
    <row r="375" spans="1:32" x14ac:dyDescent="0.3">
      <c r="A375">
        <v>364</v>
      </c>
      <c r="B375" t="s">
        <v>1034</v>
      </c>
      <c r="C375">
        <v>25</v>
      </c>
      <c r="D375" t="s">
        <v>121</v>
      </c>
      <c r="E375" t="s">
        <v>78</v>
      </c>
      <c r="F375">
        <v>38</v>
      </c>
      <c r="G375">
        <v>4</v>
      </c>
      <c r="H375">
        <v>9</v>
      </c>
      <c r="I375">
        <v>13</v>
      </c>
      <c r="J375">
        <v>11</v>
      </c>
      <c r="K375">
        <v>25</v>
      </c>
      <c r="L375">
        <v>4</v>
      </c>
      <c r="M375">
        <v>0</v>
      </c>
      <c r="N375">
        <v>0</v>
      </c>
      <c r="O375">
        <v>1</v>
      </c>
      <c r="P375">
        <v>8</v>
      </c>
      <c r="Q375">
        <v>1</v>
      </c>
      <c r="R375">
        <v>0</v>
      </c>
      <c r="S375">
        <v>31</v>
      </c>
      <c r="T375">
        <v>12.9</v>
      </c>
      <c r="U375">
        <v>66</v>
      </c>
      <c r="V375" s="2">
        <v>19.386111111111113</v>
      </c>
      <c r="W375" s="3">
        <v>0.51041666666666663</v>
      </c>
      <c r="X375">
        <v>6</v>
      </c>
      <c r="Y375">
        <v>10</v>
      </c>
      <c r="Z375">
        <v>37.5</v>
      </c>
      <c r="AA375">
        <v>17</v>
      </c>
      <c r="AB375">
        <v>38</v>
      </c>
      <c r="AC375">
        <v>9</v>
      </c>
      <c r="AD375">
        <v>34</v>
      </c>
      <c r="AF375" t="s">
        <v>1035</v>
      </c>
    </row>
    <row r="376" spans="1:32" x14ac:dyDescent="0.3">
      <c r="A376">
        <v>365</v>
      </c>
      <c r="B376" t="s">
        <v>186</v>
      </c>
      <c r="C376">
        <v>26</v>
      </c>
      <c r="D376" t="s">
        <v>121</v>
      </c>
      <c r="E376" t="s">
        <v>95</v>
      </c>
      <c r="F376">
        <v>35</v>
      </c>
      <c r="G376">
        <v>6</v>
      </c>
      <c r="H376">
        <v>7</v>
      </c>
      <c r="I376">
        <v>13</v>
      </c>
      <c r="J376">
        <v>7</v>
      </c>
      <c r="K376">
        <v>12</v>
      </c>
      <c r="L376">
        <v>6</v>
      </c>
      <c r="M376">
        <v>0</v>
      </c>
      <c r="N376">
        <v>0</v>
      </c>
      <c r="O376">
        <v>2</v>
      </c>
      <c r="P376">
        <v>7</v>
      </c>
      <c r="Q376">
        <v>0</v>
      </c>
      <c r="R376">
        <v>0</v>
      </c>
      <c r="S376">
        <v>45</v>
      </c>
      <c r="T376">
        <v>13.3</v>
      </c>
      <c r="U376">
        <v>92</v>
      </c>
      <c r="V376" s="2">
        <v>18.882638888888888</v>
      </c>
      <c r="W376" s="3">
        <v>0.5395833333333333</v>
      </c>
      <c r="X376">
        <v>16</v>
      </c>
      <c r="Y376">
        <v>27</v>
      </c>
      <c r="Z376">
        <v>37.200000000000003</v>
      </c>
      <c r="AA376">
        <v>17</v>
      </c>
      <c r="AB376">
        <v>36</v>
      </c>
      <c r="AC376">
        <v>6</v>
      </c>
      <c r="AD376">
        <v>19</v>
      </c>
      <c r="AF376" t="s">
        <v>1036</v>
      </c>
    </row>
    <row r="377" spans="1:32" x14ac:dyDescent="0.3">
      <c r="A377">
        <v>366</v>
      </c>
      <c r="B377" t="s">
        <v>1037</v>
      </c>
      <c r="C377">
        <v>24</v>
      </c>
      <c r="D377" t="s">
        <v>174</v>
      </c>
      <c r="E377" t="s">
        <v>380</v>
      </c>
      <c r="F377">
        <v>43</v>
      </c>
      <c r="G377">
        <v>6</v>
      </c>
      <c r="H377">
        <v>7</v>
      </c>
      <c r="I377">
        <v>13</v>
      </c>
      <c r="J377">
        <v>-4</v>
      </c>
      <c r="K377">
        <v>21</v>
      </c>
      <c r="L377">
        <v>5</v>
      </c>
      <c r="M377">
        <v>1</v>
      </c>
      <c r="N377">
        <v>0</v>
      </c>
      <c r="O377">
        <v>1</v>
      </c>
      <c r="P377">
        <v>7</v>
      </c>
      <c r="Q377">
        <v>0</v>
      </c>
      <c r="R377">
        <v>0</v>
      </c>
      <c r="S377">
        <v>42</v>
      </c>
      <c r="T377">
        <v>14.3</v>
      </c>
      <c r="U377">
        <v>74</v>
      </c>
      <c r="V377" s="2">
        <v>21.553472222222222</v>
      </c>
      <c r="W377" s="3">
        <v>0.50138888888888888</v>
      </c>
      <c r="X377">
        <v>56</v>
      </c>
      <c r="Y377">
        <v>44</v>
      </c>
      <c r="Z377">
        <v>56</v>
      </c>
      <c r="AA377">
        <v>19</v>
      </c>
      <c r="AB377">
        <v>66</v>
      </c>
      <c r="AC377">
        <v>11</v>
      </c>
      <c r="AD377">
        <v>11</v>
      </c>
      <c r="AF377" t="s">
        <v>1038</v>
      </c>
    </row>
    <row r="378" spans="1:32" x14ac:dyDescent="0.3">
      <c r="A378">
        <v>367</v>
      </c>
      <c r="B378" t="s">
        <v>1039</v>
      </c>
      <c r="C378">
        <v>32</v>
      </c>
      <c r="D378" t="s">
        <v>409</v>
      </c>
      <c r="E378" t="s">
        <v>87</v>
      </c>
      <c r="F378">
        <v>35</v>
      </c>
      <c r="G378">
        <v>6</v>
      </c>
      <c r="H378">
        <v>7</v>
      </c>
      <c r="I378">
        <v>13</v>
      </c>
      <c r="J378">
        <v>0</v>
      </c>
      <c r="K378">
        <v>15</v>
      </c>
      <c r="L378">
        <v>6</v>
      </c>
      <c r="M378">
        <v>0</v>
      </c>
      <c r="N378">
        <v>0</v>
      </c>
      <c r="O378">
        <v>1</v>
      </c>
      <c r="P378">
        <v>7</v>
      </c>
      <c r="Q378">
        <v>0</v>
      </c>
      <c r="R378">
        <v>0</v>
      </c>
      <c r="S378">
        <v>51</v>
      </c>
      <c r="T378">
        <v>11.8</v>
      </c>
      <c r="U378">
        <v>99</v>
      </c>
      <c r="V378" s="2">
        <v>22.095833333333335</v>
      </c>
      <c r="W378" s="3">
        <v>0.63124999999999998</v>
      </c>
      <c r="X378">
        <v>0</v>
      </c>
      <c r="Y378">
        <v>0</v>
      </c>
      <c r="AA378">
        <v>36</v>
      </c>
      <c r="AB378">
        <v>15</v>
      </c>
      <c r="AC378">
        <v>12</v>
      </c>
      <c r="AD378">
        <v>31</v>
      </c>
      <c r="AF378" t="s">
        <v>1040</v>
      </c>
    </row>
    <row r="379" spans="1:32" x14ac:dyDescent="0.3">
      <c r="A379">
        <v>368</v>
      </c>
      <c r="B379" t="s">
        <v>1041</v>
      </c>
      <c r="C379">
        <v>26</v>
      </c>
      <c r="D379" t="s">
        <v>195</v>
      </c>
      <c r="E379" t="s">
        <v>78</v>
      </c>
      <c r="F379">
        <v>44</v>
      </c>
      <c r="G379">
        <v>6</v>
      </c>
      <c r="H379">
        <v>7</v>
      </c>
      <c r="I379">
        <v>13</v>
      </c>
      <c r="J379">
        <v>3</v>
      </c>
      <c r="K379">
        <v>82</v>
      </c>
      <c r="L379">
        <v>6</v>
      </c>
      <c r="M379">
        <v>0</v>
      </c>
      <c r="N379">
        <v>0</v>
      </c>
      <c r="O379">
        <v>2</v>
      </c>
      <c r="P379">
        <v>6</v>
      </c>
      <c r="Q379">
        <v>1</v>
      </c>
      <c r="R379">
        <v>0</v>
      </c>
      <c r="S379">
        <v>60</v>
      </c>
      <c r="T379">
        <v>10</v>
      </c>
      <c r="U379">
        <v>125</v>
      </c>
      <c r="V379" s="2">
        <v>24.671527777777779</v>
      </c>
      <c r="W379" s="3">
        <v>0.56041666666666667</v>
      </c>
      <c r="X379">
        <v>191</v>
      </c>
      <c r="Y379">
        <v>132</v>
      </c>
      <c r="Z379">
        <v>59.1</v>
      </c>
      <c r="AA379">
        <v>39</v>
      </c>
      <c r="AB379">
        <v>119</v>
      </c>
      <c r="AC379">
        <v>18</v>
      </c>
      <c r="AD379">
        <v>25</v>
      </c>
      <c r="AF379" t="s">
        <v>1042</v>
      </c>
    </row>
    <row r="380" spans="1:32" x14ac:dyDescent="0.3">
      <c r="A380">
        <v>369</v>
      </c>
      <c r="B380" t="s">
        <v>1043</v>
      </c>
      <c r="C380">
        <v>36</v>
      </c>
      <c r="D380" t="s">
        <v>113</v>
      </c>
      <c r="E380" t="s">
        <v>78</v>
      </c>
      <c r="F380">
        <v>44</v>
      </c>
      <c r="G380">
        <v>4</v>
      </c>
      <c r="H380">
        <v>9</v>
      </c>
      <c r="I380">
        <v>13</v>
      </c>
      <c r="J380">
        <v>0</v>
      </c>
      <c r="K380">
        <v>30</v>
      </c>
      <c r="L380">
        <v>3</v>
      </c>
      <c r="M380">
        <v>1</v>
      </c>
      <c r="N380">
        <v>0</v>
      </c>
      <c r="O380">
        <v>0</v>
      </c>
      <c r="P380">
        <v>8</v>
      </c>
      <c r="Q380">
        <v>1</v>
      </c>
      <c r="R380">
        <v>0</v>
      </c>
      <c r="S380">
        <v>74</v>
      </c>
      <c r="T380">
        <v>5.4</v>
      </c>
      <c r="U380">
        <v>133</v>
      </c>
      <c r="V380" s="2">
        <v>28.253472222222221</v>
      </c>
      <c r="W380" s="3">
        <v>0.64236111111111116</v>
      </c>
      <c r="X380">
        <v>27</v>
      </c>
      <c r="Y380">
        <v>48</v>
      </c>
      <c r="Z380">
        <v>36</v>
      </c>
      <c r="AA380">
        <v>19</v>
      </c>
      <c r="AB380">
        <v>37</v>
      </c>
      <c r="AC380">
        <v>15</v>
      </c>
      <c r="AD380">
        <v>33</v>
      </c>
      <c r="AF380" t="s">
        <v>1044</v>
      </c>
    </row>
    <row r="381" spans="1:32" x14ac:dyDescent="0.3">
      <c r="A381">
        <v>370</v>
      </c>
      <c r="B381" t="s">
        <v>1045</v>
      </c>
      <c r="C381">
        <v>33</v>
      </c>
      <c r="D381" t="s">
        <v>195</v>
      </c>
      <c r="E381" t="s">
        <v>78</v>
      </c>
      <c r="F381">
        <v>44</v>
      </c>
      <c r="G381">
        <v>4</v>
      </c>
      <c r="H381">
        <v>9</v>
      </c>
      <c r="I381">
        <v>13</v>
      </c>
      <c r="J381">
        <v>-1</v>
      </c>
      <c r="K381">
        <v>34</v>
      </c>
      <c r="L381">
        <v>4</v>
      </c>
      <c r="M381">
        <v>0</v>
      </c>
      <c r="N381">
        <v>0</v>
      </c>
      <c r="O381">
        <v>0</v>
      </c>
      <c r="P381">
        <v>9</v>
      </c>
      <c r="Q381">
        <v>0</v>
      </c>
      <c r="R381">
        <v>0</v>
      </c>
      <c r="S381">
        <v>63</v>
      </c>
      <c r="T381">
        <v>6.3</v>
      </c>
      <c r="U381">
        <v>117</v>
      </c>
      <c r="V381" s="2">
        <v>25.59513888888889</v>
      </c>
      <c r="W381" s="3">
        <v>0.58194444444444449</v>
      </c>
      <c r="X381">
        <v>204</v>
      </c>
      <c r="Y381">
        <v>229</v>
      </c>
      <c r="Z381">
        <v>47.1</v>
      </c>
      <c r="AA381">
        <v>27</v>
      </c>
      <c r="AB381">
        <v>51</v>
      </c>
      <c r="AC381">
        <v>13</v>
      </c>
      <c r="AD381">
        <v>30</v>
      </c>
      <c r="AF381" t="s">
        <v>1046</v>
      </c>
    </row>
    <row r="382" spans="1:32" x14ac:dyDescent="0.3">
      <c r="A382">
        <v>371</v>
      </c>
      <c r="B382" t="s">
        <v>1047</v>
      </c>
      <c r="C382">
        <v>33</v>
      </c>
      <c r="D382" t="s">
        <v>72</v>
      </c>
      <c r="E382" t="s">
        <v>101</v>
      </c>
      <c r="F382">
        <v>41</v>
      </c>
      <c r="G382">
        <v>6</v>
      </c>
      <c r="H382">
        <v>7</v>
      </c>
      <c r="I382">
        <v>13</v>
      </c>
      <c r="J382">
        <v>3</v>
      </c>
      <c r="K382">
        <v>17</v>
      </c>
      <c r="L382">
        <v>5</v>
      </c>
      <c r="M382">
        <v>0</v>
      </c>
      <c r="N382">
        <v>1</v>
      </c>
      <c r="O382">
        <v>2</v>
      </c>
      <c r="P382">
        <v>7</v>
      </c>
      <c r="Q382">
        <v>0</v>
      </c>
      <c r="R382">
        <v>0</v>
      </c>
      <c r="S382">
        <v>53</v>
      </c>
      <c r="T382">
        <v>11.3</v>
      </c>
      <c r="U382">
        <v>128</v>
      </c>
      <c r="V382" s="2">
        <v>24.861111111111111</v>
      </c>
      <c r="W382" s="3">
        <v>0.60624999999999996</v>
      </c>
      <c r="X382">
        <v>22</v>
      </c>
      <c r="Y382">
        <v>23</v>
      </c>
      <c r="Z382">
        <v>48.9</v>
      </c>
      <c r="AA382">
        <v>27</v>
      </c>
      <c r="AB382">
        <v>69</v>
      </c>
      <c r="AC382">
        <v>8</v>
      </c>
      <c r="AD382">
        <v>23</v>
      </c>
      <c r="AF382" t="s">
        <v>1048</v>
      </c>
    </row>
    <row r="383" spans="1:32" x14ac:dyDescent="0.3">
      <c r="A383">
        <v>372</v>
      </c>
      <c r="B383" t="s">
        <v>1049</v>
      </c>
      <c r="C383">
        <v>30</v>
      </c>
      <c r="D383" t="s">
        <v>91</v>
      </c>
      <c r="E383" t="s">
        <v>101</v>
      </c>
      <c r="F383">
        <v>37</v>
      </c>
      <c r="G383">
        <v>5</v>
      </c>
      <c r="H383">
        <v>8</v>
      </c>
      <c r="I383">
        <v>13</v>
      </c>
      <c r="J383">
        <v>0</v>
      </c>
      <c r="K383">
        <v>6</v>
      </c>
      <c r="L383">
        <v>4</v>
      </c>
      <c r="M383">
        <v>0</v>
      </c>
      <c r="N383">
        <v>1</v>
      </c>
      <c r="O383">
        <v>1</v>
      </c>
      <c r="P383">
        <v>7</v>
      </c>
      <c r="Q383">
        <v>0</v>
      </c>
      <c r="R383">
        <v>1</v>
      </c>
      <c r="S383">
        <v>67</v>
      </c>
      <c r="T383">
        <v>7.5</v>
      </c>
      <c r="U383">
        <v>135</v>
      </c>
      <c r="V383" s="2">
        <v>24.370833333333334</v>
      </c>
      <c r="W383" s="3">
        <v>0.65833333333333333</v>
      </c>
      <c r="X383">
        <v>3</v>
      </c>
      <c r="Y383">
        <v>12</v>
      </c>
      <c r="Z383">
        <v>20</v>
      </c>
      <c r="AA383">
        <v>22</v>
      </c>
      <c r="AB383">
        <v>22</v>
      </c>
      <c r="AC383">
        <v>16</v>
      </c>
      <c r="AD383">
        <v>30</v>
      </c>
      <c r="AF383" t="s">
        <v>1050</v>
      </c>
    </row>
    <row r="384" spans="1:32" x14ac:dyDescent="0.3">
      <c r="A384">
        <v>373</v>
      </c>
      <c r="B384" t="s">
        <v>1051</v>
      </c>
      <c r="C384">
        <v>23</v>
      </c>
      <c r="D384" t="s">
        <v>139</v>
      </c>
      <c r="E384" t="s">
        <v>87</v>
      </c>
      <c r="F384">
        <v>41</v>
      </c>
      <c r="G384">
        <v>3</v>
      </c>
      <c r="H384">
        <v>10</v>
      </c>
      <c r="I384">
        <v>13</v>
      </c>
      <c r="J384">
        <v>-1</v>
      </c>
      <c r="K384">
        <v>4</v>
      </c>
      <c r="L384">
        <v>3</v>
      </c>
      <c r="M384">
        <v>0</v>
      </c>
      <c r="N384">
        <v>0</v>
      </c>
      <c r="O384">
        <v>0</v>
      </c>
      <c r="P384">
        <v>8</v>
      </c>
      <c r="Q384">
        <v>0</v>
      </c>
      <c r="R384">
        <v>2</v>
      </c>
      <c r="S384">
        <v>58</v>
      </c>
      <c r="T384">
        <v>5.2</v>
      </c>
      <c r="U384">
        <v>136</v>
      </c>
      <c r="V384" s="2">
        <v>35.954166666666666</v>
      </c>
      <c r="W384" s="3">
        <v>0.87708333333333333</v>
      </c>
      <c r="X384">
        <v>0</v>
      </c>
      <c r="Y384">
        <v>0</v>
      </c>
      <c r="AA384">
        <v>36</v>
      </c>
      <c r="AB384">
        <v>20</v>
      </c>
      <c r="AC384">
        <v>13</v>
      </c>
      <c r="AD384">
        <v>43</v>
      </c>
      <c r="AF384" t="s">
        <v>1052</v>
      </c>
    </row>
    <row r="385" spans="1:32" x14ac:dyDescent="0.3">
      <c r="A385">
        <v>374</v>
      </c>
      <c r="B385" t="s">
        <v>1053</v>
      </c>
      <c r="C385">
        <v>30</v>
      </c>
      <c r="D385" t="s">
        <v>310</v>
      </c>
      <c r="E385" t="s">
        <v>87</v>
      </c>
      <c r="F385">
        <v>45</v>
      </c>
      <c r="G385">
        <v>1</v>
      </c>
      <c r="H385">
        <v>12</v>
      </c>
      <c r="I385">
        <v>13</v>
      </c>
      <c r="J385">
        <v>18</v>
      </c>
      <c r="K385">
        <v>6</v>
      </c>
      <c r="L385">
        <v>1</v>
      </c>
      <c r="M385">
        <v>0</v>
      </c>
      <c r="N385">
        <v>0</v>
      </c>
      <c r="O385">
        <v>0</v>
      </c>
      <c r="P385">
        <v>12</v>
      </c>
      <c r="Q385">
        <v>0</v>
      </c>
      <c r="R385">
        <v>0</v>
      </c>
      <c r="S385">
        <v>57</v>
      </c>
      <c r="T385">
        <v>1.8</v>
      </c>
      <c r="U385">
        <v>126</v>
      </c>
      <c r="V385" s="2">
        <v>38.765277777777776</v>
      </c>
      <c r="W385" s="3">
        <v>0.86111111111111116</v>
      </c>
      <c r="X385">
        <v>0</v>
      </c>
      <c r="Y385">
        <v>0</v>
      </c>
      <c r="AA385">
        <v>91</v>
      </c>
      <c r="AB385">
        <v>58</v>
      </c>
      <c r="AC385">
        <v>8</v>
      </c>
      <c r="AD385">
        <v>38</v>
      </c>
      <c r="AF385" t="s">
        <v>1054</v>
      </c>
    </row>
    <row r="386" spans="1:32" x14ac:dyDescent="0.3">
      <c r="A386">
        <v>375</v>
      </c>
      <c r="B386" t="s">
        <v>1055</v>
      </c>
      <c r="C386">
        <v>25</v>
      </c>
      <c r="D386" t="s">
        <v>310</v>
      </c>
      <c r="E386" t="s">
        <v>87</v>
      </c>
      <c r="F386">
        <v>39</v>
      </c>
      <c r="G386">
        <v>2</v>
      </c>
      <c r="H386">
        <v>11</v>
      </c>
      <c r="I386">
        <v>13</v>
      </c>
      <c r="J386">
        <v>8</v>
      </c>
      <c r="K386">
        <v>8</v>
      </c>
      <c r="L386">
        <v>2</v>
      </c>
      <c r="M386">
        <v>0</v>
      </c>
      <c r="N386">
        <v>0</v>
      </c>
      <c r="O386">
        <v>0</v>
      </c>
      <c r="P386">
        <v>11</v>
      </c>
      <c r="Q386">
        <v>0</v>
      </c>
      <c r="R386">
        <v>0</v>
      </c>
      <c r="S386">
        <v>44</v>
      </c>
      <c r="T386">
        <v>4.5</v>
      </c>
      <c r="U386">
        <v>100</v>
      </c>
      <c r="V386" s="2">
        <v>30.980555555555554</v>
      </c>
      <c r="W386" s="3">
        <v>0.7944444444444444</v>
      </c>
      <c r="X386">
        <v>0</v>
      </c>
      <c r="Y386">
        <v>0</v>
      </c>
      <c r="AA386">
        <v>68</v>
      </c>
      <c r="AB386">
        <v>50</v>
      </c>
      <c r="AC386">
        <v>13</v>
      </c>
      <c r="AD386">
        <v>49</v>
      </c>
      <c r="AF386" t="s">
        <v>1056</v>
      </c>
    </row>
    <row r="387" spans="1:32" x14ac:dyDescent="0.3">
      <c r="A387">
        <v>376</v>
      </c>
      <c r="B387" t="s">
        <v>1057</v>
      </c>
      <c r="C387">
        <v>34</v>
      </c>
      <c r="D387" t="s">
        <v>210</v>
      </c>
      <c r="E387" t="s">
        <v>87</v>
      </c>
      <c r="F387">
        <v>45</v>
      </c>
      <c r="G387">
        <v>2</v>
      </c>
      <c r="H387">
        <v>11</v>
      </c>
      <c r="I387">
        <v>13</v>
      </c>
      <c r="J387">
        <v>17</v>
      </c>
      <c r="K387">
        <v>8</v>
      </c>
      <c r="L387">
        <v>2</v>
      </c>
      <c r="M387">
        <v>0</v>
      </c>
      <c r="N387">
        <v>0</v>
      </c>
      <c r="O387">
        <v>0</v>
      </c>
      <c r="P387">
        <v>11</v>
      </c>
      <c r="Q387">
        <v>0</v>
      </c>
      <c r="R387">
        <v>0</v>
      </c>
      <c r="S387">
        <v>46</v>
      </c>
      <c r="T387">
        <v>4.3</v>
      </c>
      <c r="U387">
        <v>123</v>
      </c>
      <c r="V387" s="2">
        <v>37.813194444444441</v>
      </c>
      <c r="W387" s="3">
        <v>0.84027777777777779</v>
      </c>
      <c r="X387">
        <v>0</v>
      </c>
      <c r="Y387">
        <v>0</v>
      </c>
      <c r="AA387">
        <v>49</v>
      </c>
      <c r="AB387">
        <v>44</v>
      </c>
      <c r="AC387">
        <v>9</v>
      </c>
      <c r="AD387">
        <v>43</v>
      </c>
      <c r="AF387" t="s">
        <v>1058</v>
      </c>
    </row>
    <row r="388" spans="1:32" x14ac:dyDescent="0.3">
      <c r="A388">
        <v>377</v>
      </c>
      <c r="B388" t="s">
        <v>1059</v>
      </c>
      <c r="C388">
        <v>31</v>
      </c>
      <c r="D388" t="s">
        <v>157</v>
      </c>
      <c r="E388" t="s">
        <v>87</v>
      </c>
      <c r="F388">
        <v>43</v>
      </c>
      <c r="G388">
        <v>1</v>
      </c>
      <c r="H388">
        <v>12</v>
      </c>
      <c r="I388">
        <v>13</v>
      </c>
      <c r="J388">
        <v>-14</v>
      </c>
      <c r="K388">
        <v>20</v>
      </c>
      <c r="L388">
        <v>1</v>
      </c>
      <c r="M388">
        <v>0</v>
      </c>
      <c r="N388">
        <v>0</v>
      </c>
      <c r="O388">
        <v>0</v>
      </c>
      <c r="P388">
        <v>10</v>
      </c>
      <c r="Q388">
        <v>2</v>
      </c>
      <c r="R388">
        <v>0</v>
      </c>
      <c r="S388">
        <v>67</v>
      </c>
      <c r="T388">
        <v>1.5</v>
      </c>
      <c r="U388">
        <v>168</v>
      </c>
      <c r="V388" s="2">
        <v>39.298611111111114</v>
      </c>
      <c r="W388" s="3">
        <v>0.91388888888888886</v>
      </c>
      <c r="X388">
        <v>0</v>
      </c>
      <c r="Y388">
        <v>0</v>
      </c>
      <c r="AA388">
        <v>44</v>
      </c>
      <c r="AB388">
        <v>34</v>
      </c>
      <c r="AC388">
        <v>13</v>
      </c>
      <c r="AD388">
        <v>61</v>
      </c>
      <c r="AF388" t="s">
        <v>1060</v>
      </c>
    </row>
    <row r="389" spans="1:32" x14ac:dyDescent="0.3">
      <c r="A389">
        <v>378</v>
      </c>
      <c r="B389" t="s">
        <v>1061</v>
      </c>
      <c r="C389">
        <v>34</v>
      </c>
      <c r="D389" t="s">
        <v>409</v>
      </c>
      <c r="E389" t="s">
        <v>95</v>
      </c>
      <c r="F389">
        <v>38</v>
      </c>
      <c r="G389">
        <v>8</v>
      </c>
      <c r="H389">
        <v>5</v>
      </c>
      <c r="I389">
        <v>13</v>
      </c>
      <c r="J389">
        <v>-9</v>
      </c>
      <c r="K389">
        <v>2</v>
      </c>
      <c r="L389">
        <v>7</v>
      </c>
      <c r="M389">
        <v>1</v>
      </c>
      <c r="N389">
        <v>0</v>
      </c>
      <c r="O389">
        <v>1</v>
      </c>
      <c r="P389">
        <v>5</v>
      </c>
      <c r="Q389">
        <v>0</v>
      </c>
      <c r="R389">
        <v>0</v>
      </c>
      <c r="S389">
        <v>43</v>
      </c>
      <c r="T389">
        <v>18.600000000000001</v>
      </c>
      <c r="U389">
        <v>87</v>
      </c>
      <c r="V389" s="2">
        <v>21.495138888888889</v>
      </c>
      <c r="W389" s="3">
        <v>0.56597222222222221</v>
      </c>
      <c r="X389">
        <v>9</v>
      </c>
      <c r="Y389">
        <v>10</v>
      </c>
      <c r="Z389">
        <v>47.4</v>
      </c>
      <c r="AA389">
        <v>8</v>
      </c>
      <c r="AB389">
        <v>13</v>
      </c>
      <c r="AC389">
        <v>7</v>
      </c>
      <c r="AD389">
        <v>36</v>
      </c>
      <c r="AF389" t="s">
        <v>1062</v>
      </c>
    </row>
    <row r="390" spans="1:32" x14ac:dyDescent="0.3">
      <c r="A390">
        <v>379</v>
      </c>
      <c r="B390" t="s">
        <v>1063</v>
      </c>
      <c r="C390">
        <v>36</v>
      </c>
      <c r="D390" t="s">
        <v>109</v>
      </c>
      <c r="E390" t="s">
        <v>87</v>
      </c>
      <c r="F390">
        <v>45</v>
      </c>
      <c r="G390">
        <v>4</v>
      </c>
      <c r="H390">
        <v>9</v>
      </c>
      <c r="I390">
        <v>13</v>
      </c>
      <c r="J390">
        <v>4</v>
      </c>
      <c r="K390">
        <v>8</v>
      </c>
      <c r="L390">
        <v>2</v>
      </c>
      <c r="M390">
        <v>2</v>
      </c>
      <c r="N390">
        <v>0</v>
      </c>
      <c r="O390">
        <v>1</v>
      </c>
      <c r="P390">
        <v>6</v>
      </c>
      <c r="Q390">
        <v>3</v>
      </c>
      <c r="R390">
        <v>0</v>
      </c>
      <c r="S390">
        <v>53</v>
      </c>
      <c r="T390">
        <v>7.5</v>
      </c>
      <c r="U390">
        <v>130</v>
      </c>
      <c r="V390" s="2">
        <v>38.084027777777777</v>
      </c>
      <c r="W390" s="3">
        <v>0.84652777777777777</v>
      </c>
      <c r="X390">
        <v>0</v>
      </c>
      <c r="Y390">
        <v>0</v>
      </c>
      <c r="AA390">
        <v>90</v>
      </c>
      <c r="AB390">
        <v>55</v>
      </c>
      <c r="AC390">
        <v>10</v>
      </c>
      <c r="AD390">
        <v>34</v>
      </c>
      <c r="AF390" t="s">
        <v>1064</v>
      </c>
    </row>
    <row r="391" spans="1:32" x14ac:dyDescent="0.3">
      <c r="A391">
        <v>380</v>
      </c>
      <c r="B391" t="s">
        <v>1065</v>
      </c>
      <c r="C391">
        <v>26</v>
      </c>
      <c r="D391" t="s">
        <v>195</v>
      </c>
      <c r="E391" t="s">
        <v>380</v>
      </c>
      <c r="F391">
        <v>27</v>
      </c>
      <c r="G391">
        <v>8</v>
      </c>
      <c r="H391">
        <v>5</v>
      </c>
      <c r="I391">
        <v>13</v>
      </c>
      <c r="J391">
        <v>4</v>
      </c>
      <c r="K391">
        <v>25</v>
      </c>
      <c r="L391">
        <v>6</v>
      </c>
      <c r="M391">
        <v>1</v>
      </c>
      <c r="N391">
        <v>1</v>
      </c>
      <c r="O391">
        <v>0</v>
      </c>
      <c r="P391">
        <v>3</v>
      </c>
      <c r="Q391">
        <v>2</v>
      </c>
      <c r="R391">
        <v>0</v>
      </c>
      <c r="S391">
        <v>34</v>
      </c>
      <c r="T391">
        <v>23.5</v>
      </c>
      <c r="U391">
        <v>75</v>
      </c>
      <c r="V391" s="2">
        <v>13.997222222222222</v>
      </c>
      <c r="W391" s="3">
        <v>0.51875000000000004</v>
      </c>
      <c r="X391">
        <v>3</v>
      </c>
      <c r="Y391">
        <v>4</v>
      </c>
      <c r="Z391">
        <v>42.9</v>
      </c>
      <c r="AA391">
        <v>19</v>
      </c>
      <c r="AB391">
        <v>97</v>
      </c>
      <c r="AC391">
        <v>8</v>
      </c>
      <c r="AD391">
        <v>17</v>
      </c>
      <c r="AF391" t="s">
        <v>1066</v>
      </c>
    </row>
    <row r="392" spans="1:32" x14ac:dyDescent="0.3">
      <c r="A392">
        <v>381</v>
      </c>
      <c r="B392" t="s">
        <v>1067</v>
      </c>
      <c r="C392">
        <v>31</v>
      </c>
      <c r="D392" t="s">
        <v>103</v>
      </c>
      <c r="E392" t="s">
        <v>78</v>
      </c>
      <c r="F392">
        <v>35</v>
      </c>
      <c r="G392">
        <v>3</v>
      </c>
      <c r="H392">
        <v>10</v>
      </c>
      <c r="I392">
        <v>13</v>
      </c>
      <c r="J392">
        <v>-12</v>
      </c>
      <c r="K392">
        <v>12</v>
      </c>
      <c r="L392">
        <v>3</v>
      </c>
      <c r="M392">
        <v>0</v>
      </c>
      <c r="N392">
        <v>0</v>
      </c>
      <c r="O392">
        <v>0</v>
      </c>
      <c r="P392">
        <v>9</v>
      </c>
      <c r="Q392">
        <v>1</v>
      </c>
      <c r="R392">
        <v>0</v>
      </c>
      <c r="S392">
        <v>29</v>
      </c>
      <c r="T392">
        <v>10.3</v>
      </c>
      <c r="U392">
        <v>53</v>
      </c>
      <c r="V392" s="2">
        <v>19.354861111111113</v>
      </c>
      <c r="W392" s="3">
        <v>0.55277777777777781</v>
      </c>
      <c r="X392">
        <v>143</v>
      </c>
      <c r="Y392">
        <v>161</v>
      </c>
      <c r="Z392">
        <v>47</v>
      </c>
      <c r="AA392">
        <v>18</v>
      </c>
      <c r="AB392">
        <v>42</v>
      </c>
      <c r="AC392">
        <v>8</v>
      </c>
      <c r="AD392">
        <v>15</v>
      </c>
      <c r="AF392" t="s">
        <v>1068</v>
      </c>
    </row>
    <row r="393" spans="1:32" x14ac:dyDescent="0.3">
      <c r="A393">
        <v>382</v>
      </c>
      <c r="B393" t="s">
        <v>299</v>
      </c>
      <c r="C393">
        <v>31</v>
      </c>
      <c r="D393" t="s">
        <v>216</v>
      </c>
      <c r="E393" t="s">
        <v>87</v>
      </c>
      <c r="F393">
        <v>40</v>
      </c>
      <c r="G393">
        <v>1</v>
      </c>
      <c r="H393">
        <v>12</v>
      </c>
      <c r="I393">
        <v>13</v>
      </c>
      <c r="J393">
        <v>26</v>
      </c>
      <c r="K393">
        <v>18</v>
      </c>
      <c r="L393">
        <v>1</v>
      </c>
      <c r="M393">
        <v>0</v>
      </c>
      <c r="N393">
        <v>0</v>
      </c>
      <c r="O393">
        <v>0</v>
      </c>
      <c r="P393">
        <v>12</v>
      </c>
      <c r="Q393">
        <v>0</v>
      </c>
      <c r="R393">
        <v>0</v>
      </c>
      <c r="S393">
        <v>68</v>
      </c>
      <c r="T393">
        <v>1.5</v>
      </c>
      <c r="U393">
        <v>150</v>
      </c>
      <c r="V393" s="2">
        <v>37.21875</v>
      </c>
      <c r="W393" s="3">
        <v>0.93055555555555558</v>
      </c>
      <c r="X393">
        <v>0</v>
      </c>
      <c r="Y393">
        <v>0</v>
      </c>
      <c r="AA393">
        <v>58</v>
      </c>
      <c r="AB393">
        <v>14</v>
      </c>
      <c r="AC393">
        <v>14</v>
      </c>
      <c r="AD393">
        <v>44</v>
      </c>
      <c r="AF393" t="s">
        <v>1069</v>
      </c>
    </row>
    <row r="394" spans="1:32" x14ac:dyDescent="0.3">
      <c r="A394">
        <v>383</v>
      </c>
      <c r="B394" t="s">
        <v>1070</v>
      </c>
      <c r="C394">
        <v>30</v>
      </c>
      <c r="D394" t="s">
        <v>243</v>
      </c>
      <c r="E394" t="s">
        <v>87</v>
      </c>
      <c r="F394">
        <v>42</v>
      </c>
      <c r="G394">
        <v>3</v>
      </c>
      <c r="H394">
        <v>10</v>
      </c>
      <c r="I394">
        <v>13</v>
      </c>
      <c r="J394">
        <v>5</v>
      </c>
      <c r="K394">
        <v>28</v>
      </c>
      <c r="L394">
        <v>3</v>
      </c>
      <c r="M394">
        <v>0</v>
      </c>
      <c r="N394">
        <v>0</v>
      </c>
      <c r="O394">
        <v>0</v>
      </c>
      <c r="P394">
        <v>10</v>
      </c>
      <c r="Q394">
        <v>0</v>
      </c>
      <c r="R394">
        <v>0</v>
      </c>
      <c r="S394">
        <v>46</v>
      </c>
      <c r="T394">
        <v>6.5</v>
      </c>
      <c r="U394">
        <v>117</v>
      </c>
      <c r="V394" s="2">
        <v>35.189583333333331</v>
      </c>
      <c r="W394" s="3">
        <v>0.83819444444444446</v>
      </c>
      <c r="X394">
        <v>0</v>
      </c>
      <c r="Y394">
        <v>0</v>
      </c>
      <c r="AA394">
        <v>61</v>
      </c>
      <c r="AB394">
        <v>46</v>
      </c>
      <c r="AC394">
        <v>13</v>
      </c>
      <c r="AD394">
        <v>45</v>
      </c>
      <c r="AF394" t="s">
        <v>1071</v>
      </c>
    </row>
    <row r="395" spans="1:32" x14ac:dyDescent="0.3">
      <c r="A395">
        <v>384</v>
      </c>
      <c r="B395" t="s">
        <v>1072</v>
      </c>
      <c r="C395">
        <v>29</v>
      </c>
      <c r="D395" t="s">
        <v>204</v>
      </c>
      <c r="E395" t="s">
        <v>87</v>
      </c>
      <c r="F395">
        <v>44</v>
      </c>
      <c r="G395">
        <v>1</v>
      </c>
      <c r="H395">
        <v>11</v>
      </c>
      <c r="I395">
        <v>12</v>
      </c>
      <c r="J395">
        <v>-5</v>
      </c>
      <c r="K395">
        <v>16</v>
      </c>
      <c r="L395">
        <v>1</v>
      </c>
      <c r="M395">
        <v>0</v>
      </c>
      <c r="N395">
        <v>0</v>
      </c>
      <c r="O395">
        <v>0</v>
      </c>
      <c r="P395">
        <v>11</v>
      </c>
      <c r="Q395">
        <v>0</v>
      </c>
      <c r="R395">
        <v>0</v>
      </c>
      <c r="S395">
        <v>29</v>
      </c>
      <c r="T395">
        <v>3.4</v>
      </c>
      <c r="U395">
        <v>89</v>
      </c>
      <c r="V395" s="2">
        <v>36.055555555555557</v>
      </c>
      <c r="W395" s="3">
        <v>0.81944444444444442</v>
      </c>
      <c r="X395">
        <v>0</v>
      </c>
      <c r="Y395">
        <v>0</v>
      </c>
      <c r="AA395">
        <v>95</v>
      </c>
      <c r="AB395">
        <v>20</v>
      </c>
      <c r="AC395">
        <v>20</v>
      </c>
      <c r="AD395">
        <v>39</v>
      </c>
      <c r="AF395" t="s">
        <v>1073</v>
      </c>
    </row>
    <row r="396" spans="1:32" x14ac:dyDescent="0.3">
      <c r="A396">
        <v>385</v>
      </c>
      <c r="B396" t="s">
        <v>1074</v>
      </c>
      <c r="C396">
        <v>25</v>
      </c>
      <c r="D396" t="s">
        <v>210</v>
      </c>
      <c r="E396" t="s">
        <v>78</v>
      </c>
      <c r="F396">
        <v>40</v>
      </c>
      <c r="G396">
        <v>4</v>
      </c>
      <c r="H396">
        <v>8</v>
      </c>
      <c r="I396">
        <v>12</v>
      </c>
      <c r="J396">
        <v>2</v>
      </c>
      <c r="K396">
        <v>26</v>
      </c>
      <c r="L396">
        <v>2</v>
      </c>
      <c r="M396">
        <v>2</v>
      </c>
      <c r="N396">
        <v>0</v>
      </c>
      <c r="O396">
        <v>0</v>
      </c>
      <c r="P396">
        <v>7</v>
      </c>
      <c r="Q396">
        <v>1</v>
      </c>
      <c r="R396">
        <v>0</v>
      </c>
      <c r="S396">
        <v>62</v>
      </c>
      <c r="T396">
        <v>6.5</v>
      </c>
      <c r="U396">
        <v>109</v>
      </c>
      <c r="V396" s="2">
        <v>25.504861111111111</v>
      </c>
      <c r="W396" s="3">
        <v>0.63749999999999996</v>
      </c>
      <c r="X396">
        <v>235</v>
      </c>
      <c r="Y396">
        <v>225</v>
      </c>
      <c r="Z396">
        <v>51.1</v>
      </c>
      <c r="AA396">
        <v>17</v>
      </c>
      <c r="AB396">
        <v>14</v>
      </c>
      <c r="AC396">
        <v>11</v>
      </c>
      <c r="AD396">
        <v>25</v>
      </c>
      <c r="AF396" t="s">
        <v>1075</v>
      </c>
    </row>
    <row r="397" spans="1:32" x14ac:dyDescent="0.3">
      <c r="A397">
        <v>386</v>
      </c>
      <c r="B397" t="s">
        <v>179</v>
      </c>
      <c r="C397">
        <v>35</v>
      </c>
      <c r="D397" t="s">
        <v>121</v>
      </c>
      <c r="E397" t="s">
        <v>87</v>
      </c>
      <c r="F397">
        <v>18</v>
      </c>
      <c r="G397">
        <v>0</v>
      </c>
      <c r="H397">
        <v>12</v>
      </c>
      <c r="I397">
        <v>12</v>
      </c>
      <c r="J397">
        <v>0</v>
      </c>
      <c r="K397">
        <v>6</v>
      </c>
      <c r="L397">
        <v>0</v>
      </c>
      <c r="M397">
        <v>0</v>
      </c>
      <c r="N397">
        <v>0</v>
      </c>
      <c r="O397">
        <v>0</v>
      </c>
      <c r="P397">
        <v>6</v>
      </c>
      <c r="Q397">
        <v>6</v>
      </c>
      <c r="R397">
        <v>0</v>
      </c>
      <c r="S397">
        <v>25</v>
      </c>
      <c r="T397">
        <v>0</v>
      </c>
      <c r="U397">
        <v>78</v>
      </c>
      <c r="V397" s="2">
        <v>15.816666666666666</v>
      </c>
      <c r="W397" s="3">
        <v>0.87847222222222221</v>
      </c>
      <c r="X397">
        <v>0</v>
      </c>
      <c r="Y397">
        <v>0</v>
      </c>
      <c r="AA397">
        <v>29</v>
      </c>
      <c r="AB397">
        <v>8</v>
      </c>
      <c r="AC397">
        <v>5</v>
      </c>
      <c r="AD397">
        <v>28</v>
      </c>
      <c r="AF397" t="s">
        <v>1076</v>
      </c>
    </row>
    <row r="398" spans="1:32" x14ac:dyDescent="0.3">
      <c r="A398">
        <v>387</v>
      </c>
      <c r="B398" t="s">
        <v>1077</v>
      </c>
      <c r="C398">
        <v>23</v>
      </c>
      <c r="D398" t="s">
        <v>306</v>
      </c>
      <c r="E398" t="s">
        <v>78</v>
      </c>
      <c r="F398">
        <v>42</v>
      </c>
      <c r="G398">
        <v>4</v>
      </c>
      <c r="H398">
        <v>8</v>
      </c>
      <c r="I398">
        <v>12</v>
      </c>
      <c r="J398">
        <v>-12</v>
      </c>
      <c r="K398">
        <v>8</v>
      </c>
      <c r="L398">
        <v>4</v>
      </c>
      <c r="M398">
        <v>0</v>
      </c>
      <c r="N398">
        <v>0</v>
      </c>
      <c r="O398">
        <v>0</v>
      </c>
      <c r="P398">
        <v>8</v>
      </c>
      <c r="Q398">
        <v>0</v>
      </c>
      <c r="R398">
        <v>0</v>
      </c>
      <c r="S398">
        <v>64</v>
      </c>
      <c r="T398">
        <v>6.3</v>
      </c>
      <c r="U398">
        <v>127</v>
      </c>
      <c r="V398" s="2">
        <v>23.414583333333333</v>
      </c>
      <c r="W398" s="3">
        <v>0.55763888888888891</v>
      </c>
      <c r="X398">
        <v>0</v>
      </c>
      <c r="Y398">
        <v>1</v>
      </c>
      <c r="Z398">
        <v>0</v>
      </c>
      <c r="AA398">
        <v>22</v>
      </c>
      <c r="AB398">
        <v>7</v>
      </c>
      <c r="AC398">
        <v>8</v>
      </c>
      <c r="AD398">
        <v>24</v>
      </c>
      <c r="AF398" t="s">
        <v>1078</v>
      </c>
    </row>
    <row r="399" spans="1:32" x14ac:dyDescent="0.3">
      <c r="A399">
        <v>388</v>
      </c>
      <c r="B399" t="s">
        <v>1079</v>
      </c>
      <c r="C399">
        <v>31</v>
      </c>
      <c r="D399" t="s">
        <v>113</v>
      </c>
      <c r="E399" t="s">
        <v>101</v>
      </c>
      <c r="F399">
        <v>42</v>
      </c>
      <c r="G399">
        <v>2</v>
      </c>
      <c r="H399">
        <v>10</v>
      </c>
      <c r="I399">
        <v>12</v>
      </c>
      <c r="J399">
        <v>-3</v>
      </c>
      <c r="K399">
        <v>82</v>
      </c>
      <c r="L399">
        <v>2</v>
      </c>
      <c r="M399">
        <v>0</v>
      </c>
      <c r="N399">
        <v>0</v>
      </c>
      <c r="O399">
        <v>0</v>
      </c>
      <c r="P399">
        <v>10</v>
      </c>
      <c r="Q399">
        <v>0</v>
      </c>
      <c r="R399">
        <v>0</v>
      </c>
      <c r="S399">
        <v>25</v>
      </c>
      <c r="T399">
        <v>8</v>
      </c>
      <c r="U399">
        <v>52</v>
      </c>
      <c r="V399" s="2">
        <v>16.500694444444445</v>
      </c>
      <c r="W399" s="3">
        <v>0.39305555555555555</v>
      </c>
      <c r="X399">
        <v>2</v>
      </c>
      <c r="Y399">
        <v>3</v>
      </c>
      <c r="Z399">
        <v>40</v>
      </c>
      <c r="AA399">
        <v>12</v>
      </c>
      <c r="AB399">
        <v>124</v>
      </c>
      <c r="AC399">
        <v>4</v>
      </c>
      <c r="AD399">
        <v>23</v>
      </c>
      <c r="AF399" t="s">
        <v>1080</v>
      </c>
    </row>
    <row r="400" spans="1:32" x14ac:dyDescent="0.3">
      <c r="A400">
        <v>389</v>
      </c>
      <c r="B400" t="s">
        <v>1081</v>
      </c>
      <c r="C400">
        <v>22</v>
      </c>
      <c r="D400" t="s">
        <v>256</v>
      </c>
      <c r="E400" t="s">
        <v>78</v>
      </c>
      <c r="F400">
        <v>42</v>
      </c>
      <c r="G400">
        <v>5</v>
      </c>
      <c r="H400">
        <v>7</v>
      </c>
      <c r="I400">
        <v>12</v>
      </c>
      <c r="J400">
        <v>1</v>
      </c>
      <c r="K400">
        <v>20</v>
      </c>
      <c r="L400">
        <v>4</v>
      </c>
      <c r="M400">
        <v>1</v>
      </c>
      <c r="N400">
        <v>0</v>
      </c>
      <c r="O400">
        <v>1</v>
      </c>
      <c r="P400">
        <v>5</v>
      </c>
      <c r="Q400">
        <v>2</v>
      </c>
      <c r="R400">
        <v>0</v>
      </c>
      <c r="S400">
        <v>43</v>
      </c>
      <c r="T400">
        <v>11.6</v>
      </c>
      <c r="U400">
        <v>85</v>
      </c>
      <c r="V400" s="2">
        <v>23.130555555555556</v>
      </c>
      <c r="W400" s="3">
        <v>0.55069444444444449</v>
      </c>
      <c r="X400">
        <v>180</v>
      </c>
      <c r="Y400">
        <v>167</v>
      </c>
      <c r="Z400">
        <v>51.9</v>
      </c>
      <c r="AA400">
        <v>30</v>
      </c>
      <c r="AB400">
        <v>53</v>
      </c>
      <c r="AC400">
        <v>6</v>
      </c>
      <c r="AD400">
        <v>20</v>
      </c>
      <c r="AF400" t="s">
        <v>1082</v>
      </c>
    </row>
    <row r="401" spans="1:32" x14ac:dyDescent="0.3">
      <c r="A401">
        <v>390</v>
      </c>
      <c r="B401" t="s">
        <v>1083</v>
      </c>
      <c r="C401">
        <v>25</v>
      </c>
      <c r="D401" t="s">
        <v>204</v>
      </c>
      <c r="E401" t="s">
        <v>78</v>
      </c>
      <c r="F401">
        <v>17</v>
      </c>
      <c r="G401">
        <v>6</v>
      </c>
      <c r="H401">
        <v>6</v>
      </c>
      <c r="I401">
        <v>12</v>
      </c>
      <c r="J401">
        <v>7</v>
      </c>
      <c r="K401">
        <v>8</v>
      </c>
      <c r="L401">
        <v>5</v>
      </c>
      <c r="M401">
        <v>1</v>
      </c>
      <c r="N401">
        <v>0</v>
      </c>
      <c r="O401">
        <v>2</v>
      </c>
      <c r="P401">
        <v>6</v>
      </c>
      <c r="Q401">
        <v>0</v>
      </c>
      <c r="R401">
        <v>0</v>
      </c>
      <c r="S401">
        <v>24</v>
      </c>
      <c r="T401">
        <v>25</v>
      </c>
      <c r="U401">
        <v>41</v>
      </c>
      <c r="V401" s="2">
        <v>10.370833333333334</v>
      </c>
      <c r="W401" s="3">
        <v>0.60972222222222228</v>
      </c>
      <c r="X401">
        <v>37</v>
      </c>
      <c r="Y401">
        <v>52</v>
      </c>
      <c r="Z401">
        <v>41.6</v>
      </c>
      <c r="AA401">
        <v>5</v>
      </c>
      <c r="AB401">
        <v>26</v>
      </c>
      <c r="AC401">
        <v>1</v>
      </c>
      <c r="AD401">
        <v>4</v>
      </c>
      <c r="AF401" t="s">
        <v>1084</v>
      </c>
    </row>
    <row r="402" spans="1:32" x14ac:dyDescent="0.3">
      <c r="A402">
        <v>391</v>
      </c>
      <c r="B402" t="s">
        <v>1085</v>
      </c>
      <c r="C402">
        <v>21</v>
      </c>
      <c r="D402" t="s">
        <v>139</v>
      </c>
      <c r="E402" t="s">
        <v>78</v>
      </c>
      <c r="F402">
        <v>31</v>
      </c>
      <c r="G402">
        <v>7</v>
      </c>
      <c r="H402">
        <v>5</v>
      </c>
      <c r="I402">
        <v>12</v>
      </c>
      <c r="J402">
        <v>7</v>
      </c>
      <c r="K402">
        <v>4</v>
      </c>
      <c r="L402">
        <v>6</v>
      </c>
      <c r="M402">
        <v>1</v>
      </c>
      <c r="N402">
        <v>0</v>
      </c>
      <c r="O402">
        <v>0</v>
      </c>
      <c r="P402">
        <v>5</v>
      </c>
      <c r="Q402">
        <v>0</v>
      </c>
      <c r="R402">
        <v>0</v>
      </c>
      <c r="S402">
        <v>34</v>
      </c>
      <c r="T402">
        <v>20.6</v>
      </c>
      <c r="U402">
        <v>61</v>
      </c>
      <c r="V402" s="2">
        <v>16.920833333333334</v>
      </c>
      <c r="W402" s="3">
        <v>0.54583333333333328</v>
      </c>
      <c r="X402">
        <v>47</v>
      </c>
      <c r="Y402">
        <v>113</v>
      </c>
      <c r="Z402">
        <v>29.4</v>
      </c>
      <c r="AA402">
        <v>17</v>
      </c>
      <c r="AB402">
        <v>1</v>
      </c>
      <c r="AC402">
        <v>10</v>
      </c>
      <c r="AD402">
        <v>17</v>
      </c>
      <c r="AF402" t="s">
        <v>1086</v>
      </c>
    </row>
    <row r="403" spans="1:32" x14ac:dyDescent="0.3">
      <c r="A403">
        <v>392</v>
      </c>
      <c r="B403" t="s">
        <v>1087</v>
      </c>
      <c r="C403">
        <v>31</v>
      </c>
      <c r="D403" t="s">
        <v>72</v>
      </c>
      <c r="E403" t="s">
        <v>87</v>
      </c>
      <c r="F403">
        <v>44</v>
      </c>
      <c r="G403">
        <v>4</v>
      </c>
      <c r="H403">
        <v>8</v>
      </c>
      <c r="I403">
        <v>12</v>
      </c>
      <c r="J403">
        <v>-7</v>
      </c>
      <c r="K403">
        <v>24</v>
      </c>
      <c r="L403">
        <v>4</v>
      </c>
      <c r="M403">
        <v>0</v>
      </c>
      <c r="N403">
        <v>0</v>
      </c>
      <c r="O403">
        <v>0</v>
      </c>
      <c r="P403">
        <v>6</v>
      </c>
      <c r="Q403">
        <v>1</v>
      </c>
      <c r="R403">
        <v>1</v>
      </c>
      <c r="S403">
        <v>100</v>
      </c>
      <c r="T403">
        <v>4</v>
      </c>
      <c r="U403">
        <v>265</v>
      </c>
      <c r="V403" s="2">
        <v>41.726388888888891</v>
      </c>
      <c r="W403" s="3">
        <v>0.94861111111111107</v>
      </c>
      <c r="X403">
        <v>0</v>
      </c>
      <c r="Y403">
        <v>0</v>
      </c>
      <c r="AA403">
        <v>69</v>
      </c>
      <c r="AB403">
        <v>67</v>
      </c>
      <c r="AC403">
        <v>18</v>
      </c>
      <c r="AD403">
        <v>47</v>
      </c>
      <c r="AF403" t="s">
        <v>1088</v>
      </c>
    </row>
    <row r="404" spans="1:32" x14ac:dyDescent="0.3">
      <c r="A404">
        <v>393</v>
      </c>
      <c r="B404" t="s">
        <v>1089</v>
      </c>
      <c r="C404">
        <v>20</v>
      </c>
      <c r="D404" t="s">
        <v>193</v>
      </c>
      <c r="E404" t="s">
        <v>87</v>
      </c>
      <c r="F404">
        <v>33</v>
      </c>
      <c r="G404">
        <v>2</v>
      </c>
      <c r="H404">
        <v>10</v>
      </c>
      <c r="I404">
        <v>12</v>
      </c>
      <c r="J404">
        <v>-6</v>
      </c>
      <c r="K404">
        <v>8</v>
      </c>
      <c r="L404">
        <v>2</v>
      </c>
      <c r="M404">
        <v>0</v>
      </c>
      <c r="N404">
        <v>0</v>
      </c>
      <c r="O404">
        <v>0</v>
      </c>
      <c r="P404">
        <v>7</v>
      </c>
      <c r="Q404">
        <v>3</v>
      </c>
      <c r="R404">
        <v>0</v>
      </c>
      <c r="S404">
        <v>29</v>
      </c>
      <c r="T404">
        <v>6.9</v>
      </c>
      <c r="U404">
        <v>77</v>
      </c>
      <c r="V404" s="2">
        <v>20.118055555555557</v>
      </c>
      <c r="W404" s="3">
        <v>0.60972222222222228</v>
      </c>
      <c r="X404">
        <v>0</v>
      </c>
      <c r="Y404">
        <v>0</v>
      </c>
      <c r="AA404">
        <v>30</v>
      </c>
      <c r="AB404">
        <v>7</v>
      </c>
      <c r="AC404">
        <v>4</v>
      </c>
      <c r="AD404">
        <v>21</v>
      </c>
      <c r="AF404" t="s">
        <v>1090</v>
      </c>
    </row>
    <row r="405" spans="1:32" x14ac:dyDescent="0.3">
      <c r="A405">
        <v>394</v>
      </c>
      <c r="B405" t="s">
        <v>1091</v>
      </c>
      <c r="C405">
        <v>30</v>
      </c>
      <c r="D405" t="s">
        <v>306</v>
      </c>
      <c r="E405" t="s">
        <v>101</v>
      </c>
      <c r="F405">
        <v>32</v>
      </c>
      <c r="G405">
        <v>8</v>
      </c>
      <c r="H405">
        <v>4</v>
      </c>
      <c r="I405">
        <v>12</v>
      </c>
      <c r="J405">
        <v>-6</v>
      </c>
      <c r="K405">
        <v>16</v>
      </c>
      <c r="L405">
        <v>8</v>
      </c>
      <c r="M405">
        <v>0</v>
      </c>
      <c r="N405">
        <v>0</v>
      </c>
      <c r="O405">
        <v>1</v>
      </c>
      <c r="P405">
        <v>3</v>
      </c>
      <c r="Q405">
        <v>0</v>
      </c>
      <c r="R405">
        <v>1</v>
      </c>
      <c r="S405">
        <v>51</v>
      </c>
      <c r="T405">
        <v>15.7</v>
      </c>
      <c r="U405">
        <v>89</v>
      </c>
      <c r="V405" s="2">
        <v>17.646527777777777</v>
      </c>
      <c r="W405" s="3">
        <v>0.55138888888888893</v>
      </c>
      <c r="X405">
        <v>1</v>
      </c>
      <c r="Y405">
        <v>7</v>
      </c>
      <c r="Z405">
        <v>12.5</v>
      </c>
      <c r="AA405">
        <v>8</v>
      </c>
      <c r="AB405">
        <v>39</v>
      </c>
      <c r="AC405">
        <v>4</v>
      </c>
      <c r="AD405">
        <v>23</v>
      </c>
      <c r="AF405" t="s">
        <v>1092</v>
      </c>
    </row>
    <row r="406" spans="1:32" x14ac:dyDescent="0.3">
      <c r="A406">
        <v>395</v>
      </c>
      <c r="B406" t="s">
        <v>1093</v>
      </c>
      <c r="C406">
        <v>30</v>
      </c>
      <c r="D406" t="s">
        <v>221</v>
      </c>
      <c r="E406" t="s">
        <v>78</v>
      </c>
      <c r="F406">
        <v>35</v>
      </c>
      <c r="G406">
        <v>5</v>
      </c>
      <c r="H406">
        <v>6</v>
      </c>
      <c r="I406">
        <v>11</v>
      </c>
      <c r="J406">
        <v>-1</v>
      </c>
      <c r="K406">
        <v>26</v>
      </c>
      <c r="L406">
        <v>5</v>
      </c>
      <c r="M406">
        <v>0</v>
      </c>
      <c r="N406">
        <v>0</v>
      </c>
      <c r="O406">
        <v>2</v>
      </c>
      <c r="P406">
        <v>6</v>
      </c>
      <c r="Q406">
        <v>0</v>
      </c>
      <c r="R406">
        <v>0</v>
      </c>
      <c r="S406">
        <v>38</v>
      </c>
      <c r="T406">
        <v>13.2</v>
      </c>
      <c r="U406">
        <v>61</v>
      </c>
      <c r="V406" s="2">
        <v>19.994444444444444</v>
      </c>
      <c r="W406" s="3">
        <v>0.57152777777777775</v>
      </c>
      <c r="X406">
        <v>2</v>
      </c>
      <c r="Y406">
        <v>6</v>
      </c>
      <c r="Z406">
        <v>25</v>
      </c>
      <c r="AA406">
        <v>17</v>
      </c>
      <c r="AB406">
        <v>46</v>
      </c>
      <c r="AC406">
        <v>0</v>
      </c>
      <c r="AD406">
        <v>17</v>
      </c>
      <c r="AF406" t="s">
        <v>1094</v>
      </c>
    </row>
    <row r="407" spans="1:32" x14ac:dyDescent="0.3">
      <c r="A407">
        <v>396</v>
      </c>
      <c r="B407" t="s">
        <v>1095</v>
      </c>
      <c r="C407">
        <v>34</v>
      </c>
      <c r="D407" t="s">
        <v>188</v>
      </c>
      <c r="E407" t="s">
        <v>78</v>
      </c>
      <c r="F407">
        <v>44</v>
      </c>
      <c r="G407">
        <v>5</v>
      </c>
      <c r="H407">
        <v>6</v>
      </c>
      <c r="I407">
        <v>11</v>
      </c>
      <c r="J407">
        <v>0</v>
      </c>
      <c r="K407">
        <v>10</v>
      </c>
      <c r="L407">
        <v>5</v>
      </c>
      <c r="M407">
        <v>0</v>
      </c>
      <c r="N407">
        <v>0</v>
      </c>
      <c r="O407">
        <v>0</v>
      </c>
      <c r="P407">
        <v>6</v>
      </c>
      <c r="Q407">
        <v>0</v>
      </c>
      <c r="R407">
        <v>0</v>
      </c>
      <c r="S407">
        <v>30</v>
      </c>
      <c r="T407">
        <v>16.7</v>
      </c>
      <c r="U407">
        <v>62</v>
      </c>
      <c r="V407" s="2">
        <v>20.59513888888889</v>
      </c>
      <c r="W407" s="3">
        <v>0.46805555555555556</v>
      </c>
      <c r="X407">
        <v>166</v>
      </c>
      <c r="Y407">
        <v>174</v>
      </c>
      <c r="Z407">
        <v>48.8</v>
      </c>
      <c r="AA407">
        <v>35</v>
      </c>
      <c r="AB407">
        <v>96</v>
      </c>
      <c r="AC407">
        <v>8</v>
      </c>
      <c r="AD407">
        <v>28</v>
      </c>
      <c r="AF407" t="s">
        <v>1096</v>
      </c>
    </row>
    <row r="408" spans="1:32" x14ac:dyDescent="0.3">
      <c r="A408">
        <v>397</v>
      </c>
      <c r="B408" t="s">
        <v>1097</v>
      </c>
      <c r="C408">
        <v>25</v>
      </c>
      <c r="D408" t="s">
        <v>116</v>
      </c>
      <c r="E408" t="s">
        <v>78</v>
      </c>
      <c r="F408">
        <v>42</v>
      </c>
      <c r="G408">
        <v>2</v>
      </c>
      <c r="H408">
        <v>9</v>
      </c>
      <c r="I408">
        <v>11</v>
      </c>
      <c r="J408">
        <v>-15</v>
      </c>
      <c r="K408">
        <v>18</v>
      </c>
      <c r="L408">
        <v>1</v>
      </c>
      <c r="M408">
        <v>0</v>
      </c>
      <c r="N408">
        <v>1</v>
      </c>
      <c r="O408">
        <v>0</v>
      </c>
      <c r="P408">
        <v>8</v>
      </c>
      <c r="Q408">
        <v>0</v>
      </c>
      <c r="R408">
        <v>1</v>
      </c>
      <c r="S408">
        <v>44</v>
      </c>
      <c r="T408">
        <v>4.5</v>
      </c>
      <c r="U408">
        <v>86</v>
      </c>
      <c r="V408" s="2">
        <v>25.206250000000001</v>
      </c>
      <c r="W408" s="3">
        <v>0.6</v>
      </c>
      <c r="X408">
        <v>267</v>
      </c>
      <c r="Y408">
        <v>244</v>
      </c>
      <c r="Z408">
        <v>52.3</v>
      </c>
      <c r="AA408">
        <v>36</v>
      </c>
      <c r="AB408">
        <v>117</v>
      </c>
      <c r="AC408">
        <v>7</v>
      </c>
      <c r="AD408">
        <v>24</v>
      </c>
      <c r="AF408" t="s">
        <v>1098</v>
      </c>
    </row>
    <row r="409" spans="1:32" x14ac:dyDescent="0.3">
      <c r="A409">
        <v>398</v>
      </c>
      <c r="B409" t="s">
        <v>1099</v>
      </c>
      <c r="C409">
        <v>35</v>
      </c>
      <c r="D409" t="s">
        <v>97</v>
      </c>
      <c r="E409" t="s">
        <v>87</v>
      </c>
      <c r="F409">
        <v>44</v>
      </c>
      <c r="G409">
        <v>3</v>
      </c>
      <c r="H409">
        <v>8</v>
      </c>
      <c r="I409">
        <v>11</v>
      </c>
      <c r="J409">
        <v>-8</v>
      </c>
      <c r="K409">
        <v>35</v>
      </c>
      <c r="L409">
        <v>3</v>
      </c>
      <c r="M409">
        <v>0</v>
      </c>
      <c r="N409">
        <v>0</v>
      </c>
      <c r="O409">
        <v>2</v>
      </c>
      <c r="P409">
        <v>7</v>
      </c>
      <c r="Q409">
        <v>0</v>
      </c>
      <c r="R409">
        <v>1</v>
      </c>
      <c r="S409">
        <v>31</v>
      </c>
      <c r="T409">
        <v>9.6999999999999993</v>
      </c>
      <c r="U409">
        <v>73</v>
      </c>
      <c r="V409" s="2">
        <v>32.97152777777778</v>
      </c>
      <c r="W409" s="3">
        <v>0.74930555555555556</v>
      </c>
      <c r="X409">
        <v>0</v>
      </c>
      <c r="Y409">
        <v>0</v>
      </c>
      <c r="AA409">
        <v>60</v>
      </c>
      <c r="AB409">
        <v>111</v>
      </c>
      <c r="AC409">
        <v>9</v>
      </c>
      <c r="AD409">
        <v>22</v>
      </c>
      <c r="AF409" t="s">
        <v>1100</v>
      </c>
    </row>
    <row r="410" spans="1:32" x14ac:dyDescent="0.3">
      <c r="A410">
        <v>399</v>
      </c>
      <c r="B410" t="s">
        <v>1101</v>
      </c>
      <c r="C410">
        <v>35</v>
      </c>
      <c r="D410" t="s">
        <v>310</v>
      </c>
      <c r="E410" t="s">
        <v>78</v>
      </c>
      <c r="F410">
        <v>37</v>
      </c>
      <c r="G410">
        <v>2</v>
      </c>
      <c r="H410">
        <v>9</v>
      </c>
      <c r="I410">
        <v>11</v>
      </c>
      <c r="J410">
        <v>1</v>
      </c>
      <c r="K410">
        <v>31</v>
      </c>
      <c r="L410">
        <v>2</v>
      </c>
      <c r="M410">
        <v>0</v>
      </c>
      <c r="N410">
        <v>0</v>
      </c>
      <c r="O410">
        <v>0</v>
      </c>
      <c r="P410">
        <v>9</v>
      </c>
      <c r="Q410">
        <v>0</v>
      </c>
      <c r="R410">
        <v>0</v>
      </c>
      <c r="S410">
        <v>36</v>
      </c>
      <c r="T410">
        <v>5.6</v>
      </c>
      <c r="U410">
        <v>66</v>
      </c>
      <c r="V410" s="2">
        <v>23.875694444444445</v>
      </c>
      <c r="W410" s="3">
        <v>0.64513888888888893</v>
      </c>
      <c r="X410">
        <v>243</v>
      </c>
      <c r="Y410">
        <v>265</v>
      </c>
      <c r="Z410">
        <v>47.8</v>
      </c>
      <c r="AA410">
        <v>27</v>
      </c>
      <c r="AB410">
        <v>59</v>
      </c>
      <c r="AC410">
        <v>10</v>
      </c>
      <c r="AD410">
        <v>23</v>
      </c>
      <c r="AF410" t="s">
        <v>1102</v>
      </c>
    </row>
    <row r="411" spans="1:32" x14ac:dyDescent="0.3">
      <c r="A411">
        <v>400</v>
      </c>
      <c r="B411" t="s">
        <v>1103</v>
      </c>
      <c r="C411">
        <v>27</v>
      </c>
      <c r="D411" t="s">
        <v>116</v>
      </c>
      <c r="E411" t="s">
        <v>87</v>
      </c>
      <c r="F411">
        <v>43</v>
      </c>
      <c r="G411">
        <v>3</v>
      </c>
      <c r="H411">
        <v>8</v>
      </c>
      <c r="I411">
        <v>11</v>
      </c>
      <c r="J411">
        <v>-6</v>
      </c>
      <c r="K411">
        <v>12</v>
      </c>
      <c r="L411">
        <v>3</v>
      </c>
      <c r="M411">
        <v>0</v>
      </c>
      <c r="N411">
        <v>0</v>
      </c>
      <c r="O411">
        <v>0</v>
      </c>
      <c r="P411">
        <v>8</v>
      </c>
      <c r="Q411">
        <v>0</v>
      </c>
      <c r="R411">
        <v>0</v>
      </c>
      <c r="S411">
        <v>49</v>
      </c>
      <c r="T411">
        <v>6.1</v>
      </c>
      <c r="U411">
        <v>113</v>
      </c>
      <c r="V411" s="2">
        <v>37.600694444444443</v>
      </c>
      <c r="W411" s="3">
        <v>0.87430555555555556</v>
      </c>
      <c r="X411">
        <v>0</v>
      </c>
      <c r="Y411">
        <v>0</v>
      </c>
      <c r="AA411">
        <v>83</v>
      </c>
      <c r="AB411">
        <v>79</v>
      </c>
      <c r="AC411">
        <v>17</v>
      </c>
      <c r="AD411">
        <v>49</v>
      </c>
      <c r="AF411" t="s">
        <v>1104</v>
      </c>
    </row>
    <row r="412" spans="1:32" x14ac:dyDescent="0.3">
      <c r="A412">
        <v>401</v>
      </c>
      <c r="B412" t="s">
        <v>1105</v>
      </c>
      <c r="C412">
        <v>32</v>
      </c>
      <c r="D412" t="s">
        <v>200</v>
      </c>
      <c r="E412" t="s">
        <v>78</v>
      </c>
      <c r="F412">
        <v>29</v>
      </c>
      <c r="G412">
        <v>4</v>
      </c>
      <c r="H412">
        <v>7</v>
      </c>
      <c r="I412">
        <v>11</v>
      </c>
      <c r="J412">
        <v>3</v>
      </c>
      <c r="K412">
        <v>7</v>
      </c>
      <c r="L412">
        <v>3</v>
      </c>
      <c r="M412">
        <v>1</v>
      </c>
      <c r="N412">
        <v>0</v>
      </c>
      <c r="O412">
        <v>0</v>
      </c>
      <c r="P412">
        <v>6</v>
      </c>
      <c r="Q412">
        <v>1</v>
      </c>
      <c r="R412">
        <v>0</v>
      </c>
      <c r="S412">
        <v>32</v>
      </c>
      <c r="T412">
        <v>12.5</v>
      </c>
      <c r="U412">
        <v>74</v>
      </c>
      <c r="V412" s="2">
        <v>19.647916666666667</v>
      </c>
      <c r="W412" s="3">
        <v>0.67777777777777781</v>
      </c>
      <c r="X412">
        <v>131</v>
      </c>
      <c r="Y412">
        <v>186</v>
      </c>
      <c r="Z412">
        <v>41.3</v>
      </c>
      <c r="AA412">
        <v>24</v>
      </c>
      <c r="AB412">
        <v>13</v>
      </c>
      <c r="AC412">
        <v>15</v>
      </c>
      <c r="AD412">
        <v>21</v>
      </c>
      <c r="AF412" t="s">
        <v>1106</v>
      </c>
    </row>
    <row r="413" spans="1:32" x14ac:dyDescent="0.3">
      <c r="A413">
        <v>402</v>
      </c>
      <c r="B413" t="s">
        <v>1107</v>
      </c>
      <c r="C413">
        <v>27</v>
      </c>
      <c r="D413" t="s">
        <v>216</v>
      </c>
      <c r="E413" t="s">
        <v>87</v>
      </c>
      <c r="F413">
        <v>28</v>
      </c>
      <c r="G413">
        <v>3</v>
      </c>
      <c r="H413">
        <v>8</v>
      </c>
      <c r="I413">
        <v>11</v>
      </c>
      <c r="J413">
        <v>12</v>
      </c>
      <c r="K413">
        <v>13</v>
      </c>
      <c r="L413">
        <v>3</v>
      </c>
      <c r="M413">
        <v>0</v>
      </c>
      <c r="N413">
        <v>0</v>
      </c>
      <c r="O413">
        <v>1</v>
      </c>
      <c r="P413">
        <v>8</v>
      </c>
      <c r="Q413">
        <v>0</v>
      </c>
      <c r="R413">
        <v>0</v>
      </c>
      <c r="S413">
        <v>24</v>
      </c>
      <c r="T413">
        <v>12.5</v>
      </c>
      <c r="U413">
        <v>83</v>
      </c>
      <c r="V413" s="2">
        <v>20.102777777777778</v>
      </c>
      <c r="W413" s="3">
        <v>0.71805555555555556</v>
      </c>
      <c r="X413">
        <v>0</v>
      </c>
      <c r="Y413">
        <v>0</v>
      </c>
      <c r="AA413">
        <v>30</v>
      </c>
      <c r="AB413">
        <v>10</v>
      </c>
      <c r="AC413">
        <v>5</v>
      </c>
      <c r="AD413">
        <v>22</v>
      </c>
      <c r="AF413" t="s">
        <v>1108</v>
      </c>
    </row>
    <row r="414" spans="1:32" x14ac:dyDescent="0.3">
      <c r="A414">
        <v>403</v>
      </c>
      <c r="B414" t="s">
        <v>1109</v>
      </c>
      <c r="C414">
        <v>32</v>
      </c>
      <c r="D414" t="s">
        <v>290</v>
      </c>
      <c r="E414" t="s">
        <v>87</v>
      </c>
      <c r="F414">
        <v>44</v>
      </c>
      <c r="G414">
        <v>0</v>
      </c>
      <c r="H414">
        <v>11</v>
      </c>
      <c r="I414">
        <v>11</v>
      </c>
      <c r="J414">
        <v>1</v>
      </c>
      <c r="K414">
        <v>18</v>
      </c>
      <c r="L414">
        <v>0</v>
      </c>
      <c r="M414">
        <v>0</v>
      </c>
      <c r="N414">
        <v>0</v>
      </c>
      <c r="O414">
        <v>0</v>
      </c>
      <c r="P414">
        <v>7</v>
      </c>
      <c r="Q414">
        <v>3</v>
      </c>
      <c r="R414">
        <v>1</v>
      </c>
      <c r="S414">
        <v>49</v>
      </c>
      <c r="T414">
        <v>0</v>
      </c>
      <c r="U414">
        <v>112</v>
      </c>
      <c r="V414" s="2">
        <v>30.919444444444444</v>
      </c>
      <c r="W414" s="3">
        <v>0.70277777777777772</v>
      </c>
      <c r="X414">
        <v>0</v>
      </c>
      <c r="Y414">
        <v>0</v>
      </c>
      <c r="AA414">
        <v>33</v>
      </c>
      <c r="AB414">
        <v>21</v>
      </c>
      <c r="AC414">
        <v>16</v>
      </c>
      <c r="AD414">
        <v>27</v>
      </c>
      <c r="AF414" t="s">
        <v>1110</v>
      </c>
    </row>
    <row r="415" spans="1:32" x14ac:dyDescent="0.3">
      <c r="A415">
        <v>404</v>
      </c>
      <c r="B415" t="s">
        <v>1111</v>
      </c>
      <c r="C415">
        <v>27</v>
      </c>
      <c r="D415" t="s">
        <v>157</v>
      </c>
      <c r="E415" t="s">
        <v>87</v>
      </c>
      <c r="F415">
        <v>35</v>
      </c>
      <c r="G415">
        <v>2</v>
      </c>
      <c r="H415">
        <v>9</v>
      </c>
      <c r="I415">
        <v>11</v>
      </c>
      <c r="J415">
        <v>-5</v>
      </c>
      <c r="K415">
        <v>34</v>
      </c>
      <c r="L415">
        <v>2</v>
      </c>
      <c r="M415">
        <v>0</v>
      </c>
      <c r="N415">
        <v>0</v>
      </c>
      <c r="O415">
        <v>1</v>
      </c>
      <c r="P415">
        <v>8</v>
      </c>
      <c r="Q415">
        <v>0</v>
      </c>
      <c r="R415">
        <v>1</v>
      </c>
      <c r="S415">
        <v>24</v>
      </c>
      <c r="T415">
        <v>8.3000000000000007</v>
      </c>
      <c r="U415">
        <v>81</v>
      </c>
      <c r="V415" s="2">
        <v>28.468055555555555</v>
      </c>
      <c r="W415" s="3">
        <v>0.81319444444444444</v>
      </c>
      <c r="X415">
        <v>0</v>
      </c>
      <c r="Y415">
        <v>0</v>
      </c>
      <c r="AA415">
        <v>33</v>
      </c>
      <c r="AB415">
        <v>51</v>
      </c>
      <c r="AC415">
        <v>9</v>
      </c>
      <c r="AD415">
        <v>27</v>
      </c>
      <c r="AF415" t="s">
        <v>1112</v>
      </c>
    </row>
    <row r="416" spans="1:32" x14ac:dyDescent="0.3">
      <c r="A416">
        <v>405</v>
      </c>
      <c r="B416" t="s">
        <v>1113</v>
      </c>
      <c r="C416">
        <v>29</v>
      </c>
      <c r="D416" t="s">
        <v>150</v>
      </c>
      <c r="E416" t="s">
        <v>78</v>
      </c>
      <c r="F416">
        <v>36</v>
      </c>
      <c r="G416">
        <v>4</v>
      </c>
      <c r="H416">
        <v>7</v>
      </c>
      <c r="I416">
        <v>11</v>
      </c>
      <c r="J416">
        <v>2</v>
      </c>
      <c r="K416">
        <v>10</v>
      </c>
      <c r="L416">
        <v>3</v>
      </c>
      <c r="M416">
        <v>0</v>
      </c>
      <c r="N416">
        <v>1</v>
      </c>
      <c r="O416">
        <v>0</v>
      </c>
      <c r="P416">
        <v>7</v>
      </c>
      <c r="Q416">
        <v>0</v>
      </c>
      <c r="R416">
        <v>0</v>
      </c>
      <c r="S416">
        <v>36</v>
      </c>
      <c r="T416">
        <v>11.1</v>
      </c>
      <c r="U416">
        <v>56</v>
      </c>
      <c r="V416" s="2">
        <v>17.56111111111111</v>
      </c>
      <c r="W416" s="3">
        <v>0.48749999999999999</v>
      </c>
      <c r="X416">
        <v>34</v>
      </c>
      <c r="Y416">
        <v>32</v>
      </c>
      <c r="Z416">
        <v>51.5</v>
      </c>
      <c r="AA416">
        <v>23</v>
      </c>
      <c r="AB416">
        <v>76</v>
      </c>
      <c r="AC416">
        <v>6</v>
      </c>
      <c r="AD416">
        <v>17</v>
      </c>
      <c r="AF416" t="s">
        <v>1114</v>
      </c>
    </row>
    <row r="417" spans="1:32" x14ac:dyDescent="0.3">
      <c r="A417">
        <v>406</v>
      </c>
      <c r="B417" t="s">
        <v>1115</v>
      </c>
      <c r="C417">
        <v>29</v>
      </c>
      <c r="D417" t="s">
        <v>250</v>
      </c>
      <c r="E417" t="s">
        <v>101</v>
      </c>
      <c r="F417">
        <v>40</v>
      </c>
      <c r="G417">
        <v>5</v>
      </c>
      <c r="H417">
        <v>6</v>
      </c>
      <c r="I417">
        <v>11</v>
      </c>
      <c r="J417">
        <v>-17</v>
      </c>
      <c r="K417">
        <v>32</v>
      </c>
      <c r="L417">
        <v>5</v>
      </c>
      <c r="M417">
        <v>0</v>
      </c>
      <c r="N417">
        <v>0</v>
      </c>
      <c r="O417">
        <v>1</v>
      </c>
      <c r="P417">
        <v>6</v>
      </c>
      <c r="Q417">
        <v>0</v>
      </c>
      <c r="R417">
        <v>0</v>
      </c>
      <c r="S417">
        <v>40</v>
      </c>
      <c r="T417">
        <v>12.5</v>
      </c>
      <c r="U417">
        <v>89</v>
      </c>
      <c r="V417" s="2">
        <v>22.285416666666666</v>
      </c>
      <c r="W417" s="3">
        <v>0.55694444444444446</v>
      </c>
      <c r="X417">
        <v>2</v>
      </c>
      <c r="Y417">
        <v>4</v>
      </c>
      <c r="Z417">
        <v>33.299999999999997</v>
      </c>
      <c r="AA417">
        <v>15</v>
      </c>
      <c r="AB417">
        <v>32</v>
      </c>
      <c r="AC417">
        <v>6</v>
      </c>
      <c r="AD417">
        <v>27</v>
      </c>
      <c r="AF417" t="s">
        <v>1116</v>
      </c>
    </row>
    <row r="418" spans="1:32" x14ac:dyDescent="0.3">
      <c r="A418">
        <v>407</v>
      </c>
      <c r="B418" t="s">
        <v>1117</v>
      </c>
      <c r="C418">
        <v>26</v>
      </c>
      <c r="D418" t="s">
        <v>210</v>
      </c>
      <c r="E418" t="s">
        <v>78</v>
      </c>
      <c r="F418">
        <v>45</v>
      </c>
      <c r="G418">
        <v>4</v>
      </c>
      <c r="H418">
        <v>7</v>
      </c>
      <c r="I418">
        <v>11</v>
      </c>
      <c r="J418">
        <v>-4</v>
      </c>
      <c r="K418">
        <v>39</v>
      </c>
      <c r="L418">
        <v>4</v>
      </c>
      <c r="M418">
        <v>0</v>
      </c>
      <c r="N418">
        <v>0</v>
      </c>
      <c r="O418">
        <v>1</v>
      </c>
      <c r="P418">
        <v>7</v>
      </c>
      <c r="Q418">
        <v>0</v>
      </c>
      <c r="R418">
        <v>0</v>
      </c>
      <c r="S418">
        <v>60</v>
      </c>
      <c r="T418">
        <v>6.7</v>
      </c>
      <c r="U418">
        <v>126</v>
      </c>
      <c r="V418" s="2">
        <v>26.022916666666667</v>
      </c>
      <c r="W418" s="3">
        <v>0.57847222222222228</v>
      </c>
      <c r="X418">
        <v>219</v>
      </c>
      <c r="Y418">
        <v>228</v>
      </c>
      <c r="Z418">
        <v>49</v>
      </c>
      <c r="AA418">
        <v>33</v>
      </c>
      <c r="AB418">
        <v>155</v>
      </c>
      <c r="AC418">
        <v>8</v>
      </c>
      <c r="AD418">
        <v>26</v>
      </c>
      <c r="AF418" t="s">
        <v>1118</v>
      </c>
    </row>
    <row r="419" spans="1:32" x14ac:dyDescent="0.3">
      <c r="A419">
        <v>408</v>
      </c>
      <c r="B419" t="s">
        <v>1119</v>
      </c>
      <c r="C419">
        <v>22</v>
      </c>
      <c r="D419" t="s">
        <v>113</v>
      </c>
      <c r="E419" t="s">
        <v>87</v>
      </c>
      <c r="F419">
        <v>39</v>
      </c>
      <c r="G419">
        <v>5</v>
      </c>
      <c r="H419">
        <v>6</v>
      </c>
      <c r="I419">
        <v>11</v>
      </c>
      <c r="J419">
        <v>-2</v>
      </c>
      <c r="K419">
        <v>4</v>
      </c>
      <c r="L419">
        <v>5</v>
      </c>
      <c r="M419">
        <v>0</v>
      </c>
      <c r="N419">
        <v>0</v>
      </c>
      <c r="O419">
        <v>2</v>
      </c>
      <c r="P419">
        <v>5</v>
      </c>
      <c r="Q419">
        <v>1</v>
      </c>
      <c r="R419">
        <v>0</v>
      </c>
      <c r="S419">
        <v>41</v>
      </c>
      <c r="T419">
        <v>12.2</v>
      </c>
      <c r="U419">
        <v>112</v>
      </c>
      <c r="V419" s="2">
        <v>27.949305555555554</v>
      </c>
      <c r="W419" s="3">
        <v>0.71666666666666667</v>
      </c>
      <c r="X419">
        <v>0</v>
      </c>
      <c r="Y419">
        <v>0</v>
      </c>
      <c r="AA419">
        <v>62</v>
      </c>
      <c r="AB419">
        <v>21</v>
      </c>
      <c r="AC419">
        <v>10</v>
      </c>
      <c r="AD419">
        <v>32</v>
      </c>
      <c r="AF419" t="s">
        <v>1120</v>
      </c>
    </row>
    <row r="420" spans="1:32" x14ac:dyDescent="0.3">
      <c r="A420">
        <v>409</v>
      </c>
      <c r="B420" t="s">
        <v>1121</v>
      </c>
      <c r="C420">
        <v>28</v>
      </c>
      <c r="D420" t="s">
        <v>306</v>
      </c>
      <c r="E420" t="s">
        <v>380</v>
      </c>
      <c r="F420">
        <v>30</v>
      </c>
      <c r="G420">
        <v>4</v>
      </c>
      <c r="H420">
        <v>7</v>
      </c>
      <c r="I420">
        <v>11</v>
      </c>
      <c r="J420">
        <v>3</v>
      </c>
      <c r="K420">
        <v>60</v>
      </c>
      <c r="L420">
        <v>4</v>
      </c>
      <c r="M420">
        <v>0</v>
      </c>
      <c r="N420">
        <v>0</v>
      </c>
      <c r="O420">
        <v>1</v>
      </c>
      <c r="P420">
        <v>7</v>
      </c>
      <c r="Q420">
        <v>0</v>
      </c>
      <c r="R420">
        <v>0</v>
      </c>
      <c r="S420">
        <v>36</v>
      </c>
      <c r="T420">
        <v>11.1</v>
      </c>
      <c r="U420">
        <v>84</v>
      </c>
      <c r="V420" s="2">
        <v>17.884722222222223</v>
      </c>
      <c r="W420" s="3">
        <v>0.59583333333333333</v>
      </c>
      <c r="X420">
        <v>0</v>
      </c>
      <c r="Y420">
        <v>1</v>
      </c>
      <c r="Z420">
        <v>0</v>
      </c>
      <c r="AA420">
        <v>23</v>
      </c>
      <c r="AB420">
        <v>104</v>
      </c>
      <c r="AC420">
        <v>7</v>
      </c>
      <c r="AD420">
        <v>14</v>
      </c>
      <c r="AF420" t="s">
        <v>1122</v>
      </c>
    </row>
    <row r="421" spans="1:32" x14ac:dyDescent="0.3">
      <c r="A421">
        <v>410</v>
      </c>
      <c r="B421" t="s">
        <v>265</v>
      </c>
      <c r="C421">
        <v>32</v>
      </c>
      <c r="D421" t="s">
        <v>103</v>
      </c>
      <c r="E421" t="s">
        <v>87</v>
      </c>
      <c r="F421">
        <v>45</v>
      </c>
      <c r="G421">
        <v>0</v>
      </c>
      <c r="H421">
        <v>11</v>
      </c>
      <c r="I421">
        <v>11</v>
      </c>
      <c r="J421">
        <v>-6</v>
      </c>
      <c r="K421">
        <v>16</v>
      </c>
      <c r="L421">
        <v>0</v>
      </c>
      <c r="M421">
        <v>0</v>
      </c>
      <c r="N421">
        <v>0</v>
      </c>
      <c r="O421">
        <v>0</v>
      </c>
      <c r="P421">
        <v>11</v>
      </c>
      <c r="Q421">
        <v>0</v>
      </c>
      <c r="R421">
        <v>0</v>
      </c>
      <c r="S421">
        <v>49</v>
      </c>
      <c r="T421">
        <v>0</v>
      </c>
      <c r="U421">
        <v>121</v>
      </c>
      <c r="V421" s="2">
        <v>42.263194444444444</v>
      </c>
      <c r="W421" s="3">
        <v>0.93888888888888888</v>
      </c>
      <c r="X421">
        <v>0</v>
      </c>
      <c r="Y421">
        <v>0</v>
      </c>
      <c r="AA421">
        <v>109</v>
      </c>
      <c r="AB421">
        <v>45</v>
      </c>
      <c r="AC421">
        <v>19</v>
      </c>
      <c r="AD421">
        <v>55</v>
      </c>
      <c r="AF421" t="s">
        <v>1123</v>
      </c>
    </row>
    <row r="422" spans="1:32" x14ac:dyDescent="0.3">
      <c r="A422">
        <v>411</v>
      </c>
      <c r="B422" t="s">
        <v>1124</v>
      </c>
      <c r="C422">
        <v>24</v>
      </c>
      <c r="D422" t="s">
        <v>130</v>
      </c>
      <c r="E422" t="s">
        <v>78</v>
      </c>
      <c r="F422">
        <v>29</v>
      </c>
      <c r="G422">
        <v>3</v>
      </c>
      <c r="H422">
        <v>8</v>
      </c>
      <c r="I422">
        <v>11</v>
      </c>
      <c r="J422">
        <v>-11</v>
      </c>
      <c r="K422">
        <v>8</v>
      </c>
      <c r="L422">
        <v>2</v>
      </c>
      <c r="M422">
        <v>1</v>
      </c>
      <c r="N422">
        <v>0</v>
      </c>
      <c r="O422">
        <v>1</v>
      </c>
      <c r="P422">
        <v>6</v>
      </c>
      <c r="Q422">
        <v>2</v>
      </c>
      <c r="R422">
        <v>0</v>
      </c>
      <c r="S422">
        <v>52</v>
      </c>
      <c r="T422">
        <v>5.8</v>
      </c>
      <c r="U422">
        <v>111</v>
      </c>
      <c r="V422" s="2">
        <v>17.377777777777776</v>
      </c>
      <c r="W422" s="3">
        <v>0.59930555555555554</v>
      </c>
      <c r="X422">
        <v>3</v>
      </c>
      <c r="Y422">
        <v>3</v>
      </c>
      <c r="Z422">
        <v>50</v>
      </c>
      <c r="AA422">
        <v>13</v>
      </c>
      <c r="AB422">
        <v>24</v>
      </c>
      <c r="AC422">
        <v>9</v>
      </c>
      <c r="AD422">
        <v>26</v>
      </c>
      <c r="AF422" t="s">
        <v>1125</v>
      </c>
    </row>
    <row r="423" spans="1:32" x14ac:dyDescent="0.3">
      <c r="A423">
        <v>412</v>
      </c>
      <c r="B423" t="s">
        <v>1126</v>
      </c>
      <c r="C423">
        <v>27</v>
      </c>
      <c r="D423" t="s">
        <v>256</v>
      </c>
      <c r="E423" t="s">
        <v>95</v>
      </c>
      <c r="F423">
        <v>42</v>
      </c>
      <c r="G423">
        <v>7</v>
      </c>
      <c r="H423">
        <v>4</v>
      </c>
      <c r="I423">
        <v>11</v>
      </c>
      <c r="J423">
        <v>4</v>
      </c>
      <c r="K423">
        <v>6</v>
      </c>
      <c r="L423">
        <v>6</v>
      </c>
      <c r="M423">
        <v>0</v>
      </c>
      <c r="N423">
        <v>1</v>
      </c>
      <c r="O423">
        <v>0</v>
      </c>
      <c r="P423">
        <v>4</v>
      </c>
      <c r="Q423">
        <v>0</v>
      </c>
      <c r="R423">
        <v>0</v>
      </c>
      <c r="S423">
        <v>34</v>
      </c>
      <c r="T423">
        <v>20.6</v>
      </c>
      <c r="U423">
        <v>62</v>
      </c>
      <c r="V423" s="2">
        <v>21.388888888888889</v>
      </c>
      <c r="W423" s="3">
        <v>0.50902777777777775</v>
      </c>
      <c r="X423">
        <v>1</v>
      </c>
      <c r="Y423">
        <v>11</v>
      </c>
      <c r="Z423">
        <v>8.3000000000000007</v>
      </c>
      <c r="AA423">
        <v>22</v>
      </c>
      <c r="AB423">
        <v>38</v>
      </c>
      <c r="AC423">
        <v>10</v>
      </c>
      <c r="AD423">
        <v>14</v>
      </c>
      <c r="AF423" t="s">
        <v>1127</v>
      </c>
    </row>
    <row r="424" spans="1:32" x14ac:dyDescent="0.3">
      <c r="A424">
        <v>413</v>
      </c>
      <c r="B424" t="s">
        <v>1128</v>
      </c>
      <c r="C424">
        <v>23</v>
      </c>
      <c r="D424" t="s">
        <v>193</v>
      </c>
      <c r="E424" t="s">
        <v>78</v>
      </c>
      <c r="F424">
        <v>35</v>
      </c>
      <c r="G424">
        <v>3</v>
      </c>
      <c r="H424">
        <v>8</v>
      </c>
      <c r="I424">
        <v>11</v>
      </c>
      <c r="J424">
        <v>3</v>
      </c>
      <c r="K424">
        <v>16</v>
      </c>
      <c r="L424">
        <v>3</v>
      </c>
      <c r="M424">
        <v>0</v>
      </c>
      <c r="N424">
        <v>0</v>
      </c>
      <c r="O424">
        <v>1</v>
      </c>
      <c r="P424">
        <v>8</v>
      </c>
      <c r="Q424">
        <v>0</v>
      </c>
      <c r="R424">
        <v>0</v>
      </c>
      <c r="S424">
        <v>31</v>
      </c>
      <c r="T424">
        <v>9.6999999999999993</v>
      </c>
      <c r="U424">
        <v>79</v>
      </c>
      <c r="V424" s="2">
        <v>17.486111111111111</v>
      </c>
      <c r="W424" s="3">
        <v>0.49930555555555556</v>
      </c>
      <c r="X424">
        <v>243</v>
      </c>
      <c r="Y424">
        <v>155</v>
      </c>
      <c r="Z424">
        <v>61.1</v>
      </c>
      <c r="AA424">
        <v>8</v>
      </c>
      <c r="AB424">
        <v>84</v>
      </c>
      <c r="AC424">
        <v>6</v>
      </c>
      <c r="AD424">
        <v>20</v>
      </c>
      <c r="AF424" t="s">
        <v>1129</v>
      </c>
    </row>
    <row r="425" spans="1:32" x14ac:dyDescent="0.3">
      <c r="A425">
        <v>414</v>
      </c>
      <c r="B425" t="s">
        <v>1130</v>
      </c>
      <c r="C425">
        <v>21</v>
      </c>
      <c r="D425" t="s">
        <v>188</v>
      </c>
      <c r="E425" t="s">
        <v>78</v>
      </c>
      <c r="F425">
        <v>33</v>
      </c>
      <c r="G425">
        <v>7</v>
      </c>
      <c r="H425">
        <v>4</v>
      </c>
      <c r="I425">
        <v>11</v>
      </c>
      <c r="J425">
        <v>0</v>
      </c>
      <c r="K425">
        <v>12</v>
      </c>
      <c r="L425">
        <v>6</v>
      </c>
      <c r="M425">
        <v>1</v>
      </c>
      <c r="N425">
        <v>0</v>
      </c>
      <c r="O425">
        <v>2</v>
      </c>
      <c r="P425">
        <v>4</v>
      </c>
      <c r="Q425">
        <v>0</v>
      </c>
      <c r="R425">
        <v>0</v>
      </c>
      <c r="S425">
        <v>40</v>
      </c>
      <c r="T425">
        <v>17.5</v>
      </c>
      <c r="U425">
        <v>67</v>
      </c>
      <c r="V425" s="2">
        <v>16.264583333333334</v>
      </c>
      <c r="W425" s="3">
        <v>0.49305555555555558</v>
      </c>
      <c r="X425">
        <v>90</v>
      </c>
      <c r="Y425">
        <v>143</v>
      </c>
      <c r="Z425">
        <v>38.6</v>
      </c>
      <c r="AA425">
        <v>18</v>
      </c>
      <c r="AB425">
        <v>7</v>
      </c>
      <c r="AC425">
        <v>2</v>
      </c>
      <c r="AD425">
        <v>25</v>
      </c>
      <c r="AF425" t="s">
        <v>1131</v>
      </c>
    </row>
    <row r="426" spans="1:32" x14ac:dyDescent="0.3">
      <c r="A426">
        <v>415</v>
      </c>
      <c r="B426" t="s">
        <v>1132</v>
      </c>
      <c r="C426">
        <v>33</v>
      </c>
      <c r="D426" t="s">
        <v>116</v>
      </c>
      <c r="E426" t="s">
        <v>101</v>
      </c>
      <c r="F426">
        <v>30</v>
      </c>
      <c r="G426">
        <v>5</v>
      </c>
      <c r="H426">
        <v>6</v>
      </c>
      <c r="I426">
        <v>11</v>
      </c>
      <c r="J426">
        <v>-9</v>
      </c>
      <c r="K426">
        <v>14</v>
      </c>
      <c r="L426">
        <v>4</v>
      </c>
      <c r="M426">
        <v>1</v>
      </c>
      <c r="N426">
        <v>0</v>
      </c>
      <c r="O426">
        <v>0</v>
      </c>
      <c r="P426">
        <v>4</v>
      </c>
      <c r="Q426">
        <v>2</v>
      </c>
      <c r="R426">
        <v>0</v>
      </c>
      <c r="S426">
        <v>52</v>
      </c>
      <c r="T426">
        <v>9.6</v>
      </c>
      <c r="U426">
        <v>107</v>
      </c>
      <c r="V426" s="2">
        <v>15.466666666666667</v>
      </c>
      <c r="W426" s="3">
        <v>0.51527777777777772</v>
      </c>
      <c r="X426">
        <v>3</v>
      </c>
      <c r="Y426">
        <v>8</v>
      </c>
      <c r="Z426">
        <v>27.3</v>
      </c>
      <c r="AA426">
        <v>11</v>
      </c>
      <c r="AB426">
        <v>15</v>
      </c>
      <c r="AC426">
        <v>10</v>
      </c>
      <c r="AD426">
        <v>24</v>
      </c>
      <c r="AF426" t="s">
        <v>1133</v>
      </c>
    </row>
    <row r="427" spans="1:32" x14ac:dyDescent="0.3">
      <c r="A427">
        <v>416</v>
      </c>
      <c r="B427" t="s">
        <v>1134</v>
      </c>
      <c r="C427">
        <v>31</v>
      </c>
      <c r="D427" t="s">
        <v>103</v>
      </c>
      <c r="E427" t="s">
        <v>78</v>
      </c>
      <c r="F427">
        <v>27</v>
      </c>
      <c r="G427">
        <v>4</v>
      </c>
      <c r="H427">
        <v>7</v>
      </c>
      <c r="I427">
        <v>11</v>
      </c>
      <c r="J427">
        <v>-1</v>
      </c>
      <c r="K427">
        <v>14</v>
      </c>
      <c r="L427">
        <v>4</v>
      </c>
      <c r="M427">
        <v>0</v>
      </c>
      <c r="N427">
        <v>0</v>
      </c>
      <c r="O427">
        <v>1</v>
      </c>
      <c r="P427">
        <v>7</v>
      </c>
      <c r="Q427">
        <v>0</v>
      </c>
      <c r="R427">
        <v>0</v>
      </c>
      <c r="S427">
        <v>29</v>
      </c>
      <c r="T427">
        <v>13.8</v>
      </c>
      <c r="U427">
        <v>50</v>
      </c>
      <c r="V427" s="2">
        <v>14.022916666666667</v>
      </c>
      <c r="W427" s="3">
        <v>0.51944444444444449</v>
      </c>
      <c r="X427">
        <v>30</v>
      </c>
      <c r="Y427">
        <v>26</v>
      </c>
      <c r="Z427">
        <v>53.6</v>
      </c>
      <c r="AA427">
        <v>22</v>
      </c>
      <c r="AB427">
        <v>104</v>
      </c>
      <c r="AC427">
        <v>2</v>
      </c>
      <c r="AD427">
        <v>13</v>
      </c>
      <c r="AF427" t="s">
        <v>1135</v>
      </c>
    </row>
    <row r="428" spans="1:32" x14ac:dyDescent="0.3">
      <c r="A428">
        <v>417</v>
      </c>
      <c r="B428" t="s">
        <v>1136</v>
      </c>
      <c r="C428">
        <v>25</v>
      </c>
      <c r="D428" t="s">
        <v>472</v>
      </c>
      <c r="E428" t="s">
        <v>95</v>
      </c>
      <c r="F428">
        <v>25</v>
      </c>
      <c r="G428">
        <v>5</v>
      </c>
      <c r="H428">
        <v>6</v>
      </c>
      <c r="I428">
        <v>11</v>
      </c>
      <c r="J428">
        <v>-1</v>
      </c>
      <c r="K428">
        <v>6</v>
      </c>
      <c r="L428">
        <v>3</v>
      </c>
      <c r="M428">
        <v>2</v>
      </c>
      <c r="N428">
        <v>0</v>
      </c>
      <c r="O428">
        <v>1</v>
      </c>
      <c r="P428">
        <v>6</v>
      </c>
      <c r="Q428">
        <v>0</v>
      </c>
      <c r="R428">
        <v>0</v>
      </c>
      <c r="S428">
        <v>31</v>
      </c>
      <c r="T428">
        <v>16.100000000000001</v>
      </c>
      <c r="U428">
        <v>62</v>
      </c>
      <c r="V428" s="2">
        <v>13.440277777777778</v>
      </c>
      <c r="W428" s="3">
        <v>0.53749999999999998</v>
      </c>
      <c r="X428">
        <v>0</v>
      </c>
      <c r="Y428">
        <v>1</v>
      </c>
      <c r="Z428">
        <v>0</v>
      </c>
      <c r="AA428">
        <v>4</v>
      </c>
      <c r="AB428">
        <v>17</v>
      </c>
      <c r="AC428">
        <v>2</v>
      </c>
      <c r="AD428">
        <v>25</v>
      </c>
      <c r="AF428" t="s">
        <v>1137</v>
      </c>
    </row>
    <row r="429" spans="1:32" x14ac:dyDescent="0.3">
      <c r="A429">
        <v>417</v>
      </c>
      <c r="B429" t="s">
        <v>1136</v>
      </c>
      <c r="C429">
        <v>25</v>
      </c>
      <c r="D429" t="s">
        <v>221</v>
      </c>
      <c r="E429" t="s">
        <v>95</v>
      </c>
      <c r="F429">
        <v>15</v>
      </c>
      <c r="G429">
        <v>2</v>
      </c>
      <c r="H429">
        <v>4</v>
      </c>
      <c r="I429">
        <v>6</v>
      </c>
      <c r="J429">
        <v>-3</v>
      </c>
      <c r="K429">
        <v>6</v>
      </c>
      <c r="L429">
        <v>1</v>
      </c>
      <c r="M429">
        <v>1</v>
      </c>
      <c r="N429">
        <v>0</v>
      </c>
      <c r="O429">
        <v>0</v>
      </c>
      <c r="P429">
        <v>4</v>
      </c>
      <c r="Q429">
        <v>0</v>
      </c>
      <c r="R429">
        <v>0</v>
      </c>
      <c r="S429">
        <v>20</v>
      </c>
      <c r="T429">
        <v>10</v>
      </c>
      <c r="U429">
        <v>44</v>
      </c>
      <c r="V429" s="2">
        <v>7.489583333333333</v>
      </c>
      <c r="W429" s="3">
        <v>0.49930555555555556</v>
      </c>
      <c r="X429">
        <v>0</v>
      </c>
      <c r="Y429">
        <v>0</v>
      </c>
      <c r="AA429">
        <v>3</v>
      </c>
      <c r="AB429">
        <v>10</v>
      </c>
      <c r="AC429">
        <v>1</v>
      </c>
      <c r="AD429">
        <v>14</v>
      </c>
      <c r="AF429" t="s">
        <v>1137</v>
      </c>
    </row>
    <row r="430" spans="1:32" x14ac:dyDescent="0.3">
      <c r="A430">
        <v>417</v>
      </c>
      <c r="B430" t="s">
        <v>1136</v>
      </c>
      <c r="C430">
        <v>25</v>
      </c>
      <c r="D430" t="s">
        <v>103</v>
      </c>
      <c r="E430" t="s">
        <v>95</v>
      </c>
      <c r="F430">
        <v>10</v>
      </c>
      <c r="G430">
        <v>3</v>
      </c>
      <c r="H430">
        <v>2</v>
      </c>
      <c r="I430">
        <v>5</v>
      </c>
      <c r="J430">
        <v>2</v>
      </c>
      <c r="K430">
        <v>0</v>
      </c>
      <c r="L430">
        <v>2</v>
      </c>
      <c r="M430">
        <v>1</v>
      </c>
      <c r="N430">
        <v>0</v>
      </c>
      <c r="O430">
        <v>1</v>
      </c>
      <c r="P430">
        <v>2</v>
      </c>
      <c r="Q430">
        <v>0</v>
      </c>
      <c r="R430">
        <v>0</v>
      </c>
      <c r="S430">
        <v>11</v>
      </c>
      <c r="T430">
        <v>27.3</v>
      </c>
      <c r="U430">
        <v>18</v>
      </c>
      <c r="V430" s="2">
        <v>5.9506944444444443</v>
      </c>
      <c r="W430" s="3">
        <v>0.59513888888888888</v>
      </c>
      <c r="X430">
        <v>0</v>
      </c>
      <c r="Y430">
        <v>1</v>
      </c>
      <c r="Z430">
        <v>0</v>
      </c>
      <c r="AA430">
        <v>1</v>
      </c>
      <c r="AB430">
        <v>7</v>
      </c>
      <c r="AC430">
        <v>1</v>
      </c>
      <c r="AD430">
        <v>11</v>
      </c>
      <c r="AF430" t="s">
        <v>1137</v>
      </c>
    </row>
    <row r="431" spans="1:32" x14ac:dyDescent="0.3">
      <c r="A431">
        <v>418</v>
      </c>
      <c r="B431" t="s">
        <v>1138</v>
      </c>
      <c r="C431">
        <v>34</v>
      </c>
      <c r="D431" t="s">
        <v>134</v>
      </c>
      <c r="E431" t="s">
        <v>78</v>
      </c>
      <c r="F431">
        <v>29</v>
      </c>
      <c r="G431">
        <v>4</v>
      </c>
      <c r="H431">
        <v>6</v>
      </c>
      <c r="I431">
        <v>10</v>
      </c>
      <c r="J431">
        <v>3</v>
      </c>
      <c r="K431">
        <v>17</v>
      </c>
      <c r="L431">
        <v>4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35</v>
      </c>
      <c r="T431">
        <v>11.4</v>
      </c>
      <c r="U431">
        <v>60</v>
      </c>
      <c r="V431" s="2">
        <v>16.006250000000001</v>
      </c>
      <c r="W431" s="3">
        <v>0.55208333333333337</v>
      </c>
      <c r="X431">
        <v>122</v>
      </c>
      <c r="Y431">
        <v>102</v>
      </c>
      <c r="Z431">
        <v>54.5</v>
      </c>
      <c r="AA431">
        <v>22</v>
      </c>
      <c r="AB431">
        <v>35</v>
      </c>
      <c r="AC431">
        <v>4</v>
      </c>
      <c r="AD431">
        <v>7</v>
      </c>
      <c r="AF431" t="s">
        <v>1139</v>
      </c>
    </row>
    <row r="432" spans="1:32" x14ac:dyDescent="0.3">
      <c r="A432">
        <v>419</v>
      </c>
      <c r="B432" t="s">
        <v>1140</v>
      </c>
      <c r="C432">
        <v>23</v>
      </c>
      <c r="D432" t="s">
        <v>278</v>
      </c>
      <c r="E432" t="s">
        <v>87</v>
      </c>
      <c r="F432">
        <v>31</v>
      </c>
      <c r="G432">
        <v>1</v>
      </c>
      <c r="H432">
        <v>9</v>
      </c>
      <c r="I432">
        <v>10</v>
      </c>
      <c r="J432">
        <v>13</v>
      </c>
      <c r="K432">
        <v>12</v>
      </c>
      <c r="L432">
        <v>1</v>
      </c>
      <c r="M432">
        <v>0</v>
      </c>
      <c r="N432">
        <v>0</v>
      </c>
      <c r="O432">
        <v>0</v>
      </c>
      <c r="P432">
        <v>8</v>
      </c>
      <c r="Q432">
        <v>1</v>
      </c>
      <c r="R432">
        <v>0</v>
      </c>
      <c r="S432">
        <v>24</v>
      </c>
      <c r="T432">
        <v>4.2</v>
      </c>
      <c r="U432">
        <v>71</v>
      </c>
      <c r="V432" s="2">
        <v>22.226388888888888</v>
      </c>
      <c r="W432" s="3">
        <v>0.71666666666666667</v>
      </c>
      <c r="X432">
        <v>0</v>
      </c>
      <c r="Y432">
        <v>0</v>
      </c>
      <c r="AA432">
        <v>26</v>
      </c>
      <c r="AB432">
        <v>32</v>
      </c>
      <c r="AC432">
        <v>5</v>
      </c>
      <c r="AD432">
        <v>23</v>
      </c>
      <c r="AF432" t="s">
        <v>1141</v>
      </c>
    </row>
    <row r="433" spans="1:32" x14ac:dyDescent="0.3">
      <c r="A433">
        <v>420</v>
      </c>
      <c r="B433" t="s">
        <v>1142</v>
      </c>
      <c r="C433">
        <v>29</v>
      </c>
      <c r="D433" t="s">
        <v>72</v>
      </c>
      <c r="E433" t="s">
        <v>87</v>
      </c>
      <c r="F433">
        <v>37</v>
      </c>
      <c r="G433">
        <v>1</v>
      </c>
      <c r="H433">
        <v>9</v>
      </c>
      <c r="I433">
        <v>10</v>
      </c>
      <c r="J433">
        <v>10</v>
      </c>
      <c r="K433">
        <v>12</v>
      </c>
      <c r="L433">
        <v>1</v>
      </c>
      <c r="M433">
        <v>0</v>
      </c>
      <c r="N433">
        <v>0</v>
      </c>
      <c r="O433">
        <v>1</v>
      </c>
      <c r="P433">
        <v>9</v>
      </c>
      <c r="Q433">
        <v>0</v>
      </c>
      <c r="R433">
        <v>0</v>
      </c>
      <c r="S433">
        <v>52</v>
      </c>
      <c r="T433">
        <v>1.9</v>
      </c>
      <c r="U433">
        <v>138</v>
      </c>
      <c r="V433" s="2">
        <v>30.488194444444446</v>
      </c>
      <c r="W433" s="3">
        <v>0.82430555555555551</v>
      </c>
      <c r="X433">
        <v>0</v>
      </c>
      <c r="Y433">
        <v>0</v>
      </c>
      <c r="AA433">
        <v>37</v>
      </c>
      <c r="AB433">
        <v>20</v>
      </c>
      <c r="AC433">
        <v>16</v>
      </c>
      <c r="AD433">
        <v>31</v>
      </c>
      <c r="AF433" t="s">
        <v>1143</v>
      </c>
    </row>
    <row r="434" spans="1:32" x14ac:dyDescent="0.3">
      <c r="A434">
        <v>421</v>
      </c>
      <c r="B434" t="s">
        <v>1144</v>
      </c>
      <c r="C434">
        <v>26</v>
      </c>
      <c r="D434" t="s">
        <v>97</v>
      </c>
      <c r="E434" t="s">
        <v>78</v>
      </c>
      <c r="F434">
        <v>41</v>
      </c>
      <c r="G434">
        <v>5</v>
      </c>
      <c r="H434">
        <v>5</v>
      </c>
      <c r="I434">
        <v>10</v>
      </c>
      <c r="J434">
        <v>-9</v>
      </c>
      <c r="K434">
        <v>13</v>
      </c>
      <c r="L434">
        <v>5</v>
      </c>
      <c r="M434">
        <v>0</v>
      </c>
      <c r="N434">
        <v>0</v>
      </c>
      <c r="O434">
        <v>1</v>
      </c>
      <c r="P434">
        <v>4</v>
      </c>
      <c r="Q434">
        <v>1</v>
      </c>
      <c r="R434">
        <v>0</v>
      </c>
      <c r="S434">
        <v>39</v>
      </c>
      <c r="T434">
        <v>12.8</v>
      </c>
      <c r="U434">
        <v>85</v>
      </c>
      <c r="V434" s="2">
        <v>20.836111111111112</v>
      </c>
      <c r="W434" s="3">
        <v>0.5083333333333333</v>
      </c>
      <c r="X434">
        <v>18</v>
      </c>
      <c r="Y434">
        <v>19</v>
      </c>
      <c r="Z434">
        <v>48.6</v>
      </c>
      <c r="AA434">
        <v>15</v>
      </c>
      <c r="AB434">
        <v>108</v>
      </c>
      <c r="AC434">
        <v>7</v>
      </c>
      <c r="AD434">
        <v>17</v>
      </c>
      <c r="AF434" t="s">
        <v>1145</v>
      </c>
    </row>
    <row r="435" spans="1:32" x14ac:dyDescent="0.3">
      <c r="A435">
        <v>422</v>
      </c>
      <c r="B435" t="s">
        <v>1146</v>
      </c>
      <c r="C435">
        <v>32</v>
      </c>
      <c r="D435" t="s">
        <v>243</v>
      </c>
      <c r="E435" t="s">
        <v>78</v>
      </c>
      <c r="F435">
        <v>42</v>
      </c>
      <c r="G435">
        <v>6</v>
      </c>
      <c r="H435">
        <v>4</v>
      </c>
      <c r="I435">
        <v>10</v>
      </c>
      <c r="J435">
        <v>-1</v>
      </c>
      <c r="K435">
        <v>51</v>
      </c>
      <c r="L435">
        <v>6</v>
      </c>
      <c r="M435">
        <v>0</v>
      </c>
      <c r="N435">
        <v>0</v>
      </c>
      <c r="O435">
        <v>1</v>
      </c>
      <c r="P435">
        <v>4</v>
      </c>
      <c r="Q435">
        <v>0</v>
      </c>
      <c r="R435">
        <v>0</v>
      </c>
      <c r="S435">
        <v>32</v>
      </c>
      <c r="T435">
        <v>18.8</v>
      </c>
      <c r="U435">
        <v>63</v>
      </c>
      <c r="V435" s="2">
        <v>17.749305555555555</v>
      </c>
      <c r="W435" s="3">
        <v>0.42291666666666666</v>
      </c>
      <c r="X435">
        <v>10</v>
      </c>
      <c r="Y435">
        <v>12</v>
      </c>
      <c r="Z435">
        <v>45.5</v>
      </c>
      <c r="AA435">
        <v>17</v>
      </c>
      <c r="AB435">
        <v>85</v>
      </c>
      <c r="AC435">
        <v>7</v>
      </c>
      <c r="AD435">
        <v>24</v>
      </c>
      <c r="AF435" t="s">
        <v>1147</v>
      </c>
    </row>
    <row r="436" spans="1:32" x14ac:dyDescent="0.3">
      <c r="A436">
        <v>423</v>
      </c>
      <c r="B436" t="s">
        <v>1148</v>
      </c>
      <c r="C436">
        <v>25</v>
      </c>
      <c r="D436" t="s">
        <v>121</v>
      </c>
      <c r="E436" t="s">
        <v>87</v>
      </c>
      <c r="F436">
        <v>24</v>
      </c>
      <c r="G436">
        <v>1</v>
      </c>
      <c r="H436">
        <v>9</v>
      </c>
      <c r="I436">
        <v>10</v>
      </c>
      <c r="J436">
        <v>5</v>
      </c>
      <c r="K436">
        <v>25</v>
      </c>
      <c r="L436">
        <v>1</v>
      </c>
      <c r="M436">
        <v>0</v>
      </c>
      <c r="N436">
        <v>0</v>
      </c>
      <c r="O436">
        <v>0</v>
      </c>
      <c r="P436">
        <v>8</v>
      </c>
      <c r="Q436">
        <v>0</v>
      </c>
      <c r="R436">
        <v>1</v>
      </c>
      <c r="S436">
        <v>31</v>
      </c>
      <c r="T436">
        <v>3.2</v>
      </c>
      <c r="U436">
        <v>68</v>
      </c>
      <c r="V436" s="2">
        <v>15.511805555555556</v>
      </c>
      <c r="W436" s="3">
        <v>0.64652777777777781</v>
      </c>
      <c r="X436">
        <v>0</v>
      </c>
      <c r="Y436">
        <v>0</v>
      </c>
      <c r="AA436">
        <v>27</v>
      </c>
      <c r="AB436">
        <v>26</v>
      </c>
      <c r="AC436">
        <v>5</v>
      </c>
      <c r="AD436">
        <v>10</v>
      </c>
      <c r="AF436" t="s">
        <v>1149</v>
      </c>
    </row>
    <row r="437" spans="1:32" x14ac:dyDescent="0.3">
      <c r="A437">
        <v>424</v>
      </c>
      <c r="B437" t="s">
        <v>1150</v>
      </c>
      <c r="C437">
        <v>34</v>
      </c>
      <c r="D437" t="s">
        <v>91</v>
      </c>
      <c r="E437" t="s">
        <v>87</v>
      </c>
      <c r="F437">
        <v>43</v>
      </c>
      <c r="G437">
        <v>0</v>
      </c>
      <c r="H437">
        <v>10</v>
      </c>
      <c r="I437">
        <v>10</v>
      </c>
      <c r="J437">
        <v>4</v>
      </c>
      <c r="K437">
        <v>12</v>
      </c>
      <c r="L437">
        <v>0</v>
      </c>
      <c r="M437">
        <v>0</v>
      </c>
      <c r="N437">
        <v>0</v>
      </c>
      <c r="O437">
        <v>0</v>
      </c>
      <c r="P437">
        <v>9</v>
      </c>
      <c r="Q437">
        <v>0</v>
      </c>
      <c r="R437">
        <v>1</v>
      </c>
      <c r="S437">
        <v>42</v>
      </c>
      <c r="T437">
        <v>0</v>
      </c>
      <c r="U437">
        <v>108</v>
      </c>
      <c r="V437" s="2">
        <v>33.783333333333331</v>
      </c>
      <c r="W437" s="3">
        <v>0.78541666666666665</v>
      </c>
      <c r="X437">
        <v>0</v>
      </c>
      <c r="Y437">
        <v>0</v>
      </c>
      <c r="AA437">
        <v>58</v>
      </c>
      <c r="AB437">
        <v>21</v>
      </c>
      <c r="AC437">
        <v>10</v>
      </c>
      <c r="AD437">
        <v>52</v>
      </c>
      <c r="AF437" t="s">
        <v>1151</v>
      </c>
    </row>
    <row r="438" spans="1:32" x14ac:dyDescent="0.3">
      <c r="A438">
        <v>425</v>
      </c>
      <c r="B438" t="s">
        <v>1152</v>
      </c>
      <c r="C438">
        <v>29</v>
      </c>
      <c r="D438" t="s">
        <v>204</v>
      </c>
      <c r="E438" t="s">
        <v>78</v>
      </c>
      <c r="F438">
        <v>34</v>
      </c>
      <c r="G438">
        <v>5</v>
      </c>
      <c r="H438">
        <v>5</v>
      </c>
      <c r="I438">
        <v>10</v>
      </c>
      <c r="J438">
        <v>-13</v>
      </c>
      <c r="K438">
        <v>8</v>
      </c>
      <c r="L438">
        <v>4</v>
      </c>
      <c r="M438">
        <v>0</v>
      </c>
      <c r="N438">
        <v>1</v>
      </c>
      <c r="O438">
        <v>0</v>
      </c>
      <c r="P438">
        <v>5</v>
      </c>
      <c r="Q438">
        <v>0</v>
      </c>
      <c r="R438">
        <v>0</v>
      </c>
      <c r="S438">
        <v>34</v>
      </c>
      <c r="T438">
        <v>14.7</v>
      </c>
      <c r="U438">
        <v>75</v>
      </c>
      <c r="V438" s="2">
        <v>21.538888888888888</v>
      </c>
      <c r="W438" s="3">
        <v>0.6333333333333333</v>
      </c>
      <c r="X438">
        <v>236</v>
      </c>
      <c r="Y438">
        <v>200</v>
      </c>
      <c r="Z438">
        <v>54.1</v>
      </c>
      <c r="AA438">
        <v>24</v>
      </c>
      <c r="AB438">
        <v>44</v>
      </c>
      <c r="AC438">
        <v>6</v>
      </c>
      <c r="AD438">
        <v>26</v>
      </c>
      <c r="AF438" t="s">
        <v>1153</v>
      </c>
    </row>
    <row r="439" spans="1:32" x14ac:dyDescent="0.3">
      <c r="A439">
        <v>426</v>
      </c>
      <c r="B439" t="s">
        <v>1154</v>
      </c>
      <c r="C439">
        <v>24</v>
      </c>
      <c r="D439" t="s">
        <v>200</v>
      </c>
      <c r="E439" t="s">
        <v>87</v>
      </c>
      <c r="F439">
        <v>28</v>
      </c>
      <c r="G439">
        <v>3</v>
      </c>
      <c r="H439">
        <v>7</v>
      </c>
      <c r="I439">
        <v>10</v>
      </c>
      <c r="J439">
        <v>0</v>
      </c>
      <c r="K439">
        <v>14</v>
      </c>
      <c r="L439">
        <v>3</v>
      </c>
      <c r="M439">
        <v>0</v>
      </c>
      <c r="N439">
        <v>0</v>
      </c>
      <c r="O439">
        <v>0</v>
      </c>
      <c r="P439">
        <v>6</v>
      </c>
      <c r="Q439">
        <v>1</v>
      </c>
      <c r="R439">
        <v>0</v>
      </c>
      <c r="S439">
        <v>20</v>
      </c>
      <c r="T439">
        <v>15</v>
      </c>
      <c r="U439">
        <v>49</v>
      </c>
      <c r="V439" s="2">
        <v>20.640972222222221</v>
      </c>
      <c r="W439" s="3">
        <v>0.73750000000000004</v>
      </c>
      <c r="X439">
        <v>0</v>
      </c>
      <c r="Y439">
        <v>0</v>
      </c>
      <c r="AA439">
        <v>29</v>
      </c>
      <c r="AB439">
        <v>16</v>
      </c>
      <c r="AC439">
        <v>4</v>
      </c>
      <c r="AD439">
        <v>24</v>
      </c>
      <c r="AF439" t="s">
        <v>1155</v>
      </c>
    </row>
    <row r="440" spans="1:32" x14ac:dyDescent="0.3">
      <c r="A440">
        <v>427</v>
      </c>
      <c r="B440" t="s">
        <v>1156</v>
      </c>
      <c r="C440">
        <v>22</v>
      </c>
      <c r="D440" t="s">
        <v>278</v>
      </c>
      <c r="E440" t="s">
        <v>95</v>
      </c>
      <c r="F440">
        <v>30</v>
      </c>
      <c r="G440">
        <v>3</v>
      </c>
      <c r="H440">
        <v>7</v>
      </c>
      <c r="I440">
        <v>10</v>
      </c>
      <c r="J440">
        <v>-1</v>
      </c>
      <c r="K440">
        <v>21</v>
      </c>
      <c r="L440">
        <v>3</v>
      </c>
      <c r="M440">
        <v>0</v>
      </c>
      <c r="N440">
        <v>0</v>
      </c>
      <c r="O440">
        <v>0</v>
      </c>
      <c r="P440">
        <v>7</v>
      </c>
      <c r="Q440">
        <v>0</v>
      </c>
      <c r="R440">
        <v>0</v>
      </c>
      <c r="S440">
        <v>19</v>
      </c>
      <c r="T440">
        <v>15.8</v>
      </c>
      <c r="U440">
        <v>37</v>
      </c>
      <c r="V440" s="2">
        <v>13.414583333333333</v>
      </c>
      <c r="W440" s="3">
        <v>0.44722222222222224</v>
      </c>
      <c r="X440">
        <v>2</v>
      </c>
      <c r="Y440">
        <v>1</v>
      </c>
      <c r="Z440">
        <v>66.7</v>
      </c>
      <c r="AA440">
        <v>9</v>
      </c>
      <c r="AB440">
        <v>50</v>
      </c>
      <c r="AC440">
        <v>6</v>
      </c>
      <c r="AD440">
        <v>21</v>
      </c>
      <c r="AF440" t="s">
        <v>1157</v>
      </c>
    </row>
    <row r="441" spans="1:32" x14ac:dyDescent="0.3">
      <c r="A441">
        <v>428</v>
      </c>
      <c r="B441" t="s">
        <v>1158</v>
      </c>
      <c r="C441">
        <v>32</v>
      </c>
      <c r="D441" t="s">
        <v>97</v>
      </c>
      <c r="E441" t="s">
        <v>87</v>
      </c>
      <c r="F441">
        <v>40</v>
      </c>
      <c r="G441">
        <v>5</v>
      </c>
      <c r="H441">
        <v>5</v>
      </c>
      <c r="I441">
        <v>10</v>
      </c>
      <c r="J441">
        <v>-7</v>
      </c>
      <c r="K441">
        <v>30</v>
      </c>
      <c r="L441">
        <v>3</v>
      </c>
      <c r="M441">
        <v>2</v>
      </c>
      <c r="N441">
        <v>0</v>
      </c>
      <c r="O441">
        <v>1</v>
      </c>
      <c r="P441">
        <v>2</v>
      </c>
      <c r="Q441">
        <v>3</v>
      </c>
      <c r="R441">
        <v>0</v>
      </c>
      <c r="S441">
        <v>107</v>
      </c>
      <c r="T441">
        <v>4.7</v>
      </c>
      <c r="U441">
        <v>237</v>
      </c>
      <c r="V441" s="2">
        <v>36.130555555555553</v>
      </c>
      <c r="W441" s="3">
        <v>0.90347222222222223</v>
      </c>
      <c r="X441">
        <v>0</v>
      </c>
      <c r="Y441">
        <v>0</v>
      </c>
      <c r="AA441">
        <v>39</v>
      </c>
      <c r="AB441">
        <v>45</v>
      </c>
      <c r="AC441">
        <v>7</v>
      </c>
      <c r="AD441">
        <v>65</v>
      </c>
      <c r="AF441" t="s">
        <v>1159</v>
      </c>
    </row>
    <row r="442" spans="1:32" x14ac:dyDescent="0.3">
      <c r="A442">
        <v>429</v>
      </c>
      <c r="B442" t="s">
        <v>1160</v>
      </c>
      <c r="C442">
        <v>35</v>
      </c>
      <c r="D442" t="s">
        <v>250</v>
      </c>
      <c r="E442" t="s">
        <v>78</v>
      </c>
      <c r="F442">
        <v>43</v>
      </c>
      <c r="G442">
        <v>2</v>
      </c>
      <c r="H442">
        <v>8</v>
      </c>
      <c r="I442">
        <v>10</v>
      </c>
      <c r="J442">
        <v>-9</v>
      </c>
      <c r="K442">
        <v>12</v>
      </c>
      <c r="L442">
        <v>2</v>
      </c>
      <c r="M442">
        <v>0</v>
      </c>
      <c r="N442">
        <v>0</v>
      </c>
      <c r="O442">
        <v>0</v>
      </c>
      <c r="P442">
        <v>4</v>
      </c>
      <c r="Q442">
        <v>3</v>
      </c>
      <c r="R442">
        <v>1</v>
      </c>
      <c r="S442">
        <v>63</v>
      </c>
      <c r="T442">
        <v>3.2</v>
      </c>
      <c r="U442">
        <v>114</v>
      </c>
      <c r="V442" s="2">
        <v>24.784027777777776</v>
      </c>
      <c r="W442" s="3">
        <v>0.57638888888888884</v>
      </c>
      <c r="X442">
        <v>235</v>
      </c>
      <c r="Y442">
        <v>194</v>
      </c>
      <c r="Z442">
        <v>54.8</v>
      </c>
      <c r="AA442">
        <v>57</v>
      </c>
      <c r="AB442">
        <v>24</v>
      </c>
      <c r="AC442">
        <v>10</v>
      </c>
      <c r="AD442">
        <v>29</v>
      </c>
      <c r="AF442" t="s">
        <v>1161</v>
      </c>
    </row>
    <row r="443" spans="1:32" x14ac:dyDescent="0.3">
      <c r="A443">
        <v>430</v>
      </c>
      <c r="B443" t="s">
        <v>1162</v>
      </c>
      <c r="C443">
        <v>35</v>
      </c>
      <c r="D443" t="s">
        <v>243</v>
      </c>
      <c r="E443" t="s">
        <v>87</v>
      </c>
      <c r="F443">
        <v>41</v>
      </c>
      <c r="G443">
        <v>2</v>
      </c>
      <c r="H443">
        <v>8</v>
      </c>
      <c r="I443">
        <v>10</v>
      </c>
      <c r="J443">
        <v>-12</v>
      </c>
      <c r="K443">
        <v>22</v>
      </c>
      <c r="L443">
        <v>2</v>
      </c>
      <c r="M443">
        <v>0</v>
      </c>
      <c r="N443">
        <v>0</v>
      </c>
      <c r="O443">
        <v>0</v>
      </c>
      <c r="P443">
        <v>8</v>
      </c>
      <c r="Q443">
        <v>0</v>
      </c>
      <c r="R443">
        <v>0</v>
      </c>
      <c r="S443">
        <v>27</v>
      </c>
      <c r="T443">
        <v>7.4</v>
      </c>
      <c r="U443">
        <v>84</v>
      </c>
      <c r="V443" s="2">
        <v>28.4375</v>
      </c>
      <c r="W443" s="3">
        <v>0.69374999999999998</v>
      </c>
      <c r="X443">
        <v>0</v>
      </c>
      <c r="Y443">
        <v>0</v>
      </c>
      <c r="AA443">
        <v>41</v>
      </c>
      <c r="AB443">
        <v>27</v>
      </c>
      <c r="AC443">
        <v>10</v>
      </c>
      <c r="AD443">
        <v>39</v>
      </c>
      <c r="AF443" t="s">
        <v>1163</v>
      </c>
    </row>
    <row r="444" spans="1:32" x14ac:dyDescent="0.3">
      <c r="A444">
        <v>431</v>
      </c>
      <c r="B444" t="s">
        <v>1164</v>
      </c>
      <c r="C444">
        <v>28</v>
      </c>
      <c r="D444" t="s">
        <v>103</v>
      </c>
      <c r="E444" t="s">
        <v>95</v>
      </c>
      <c r="F444">
        <v>35</v>
      </c>
      <c r="G444">
        <v>2</v>
      </c>
      <c r="H444">
        <v>8</v>
      </c>
      <c r="I444">
        <v>10</v>
      </c>
      <c r="J444">
        <v>0</v>
      </c>
      <c r="K444">
        <v>4</v>
      </c>
      <c r="L444">
        <v>1</v>
      </c>
      <c r="M444">
        <v>0</v>
      </c>
      <c r="N444">
        <v>1</v>
      </c>
      <c r="O444">
        <v>1</v>
      </c>
      <c r="P444">
        <v>8</v>
      </c>
      <c r="Q444">
        <v>0</v>
      </c>
      <c r="R444">
        <v>0</v>
      </c>
      <c r="S444">
        <v>28</v>
      </c>
      <c r="T444">
        <v>7.1</v>
      </c>
      <c r="U444">
        <v>63</v>
      </c>
      <c r="V444" s="2">
        <v>18.684722222222224</v>
      </c>
      <c r="W444" s="3">
        <v>0.53402777777777777</v>
      </c>
      <c r="X444">
        <v>3</v>
      </c>
      <c r="Y444">
        <v>11</v>
      </c>
      <c r="Z444">
        <v>21.4</v>
      </c>
      <c r="AA444">
        <v>25</v>
      </c>
      <c r="AB444">
        <v>74</v>
      </c>
      <c r="AC444">
        <v>9</v>
      </c>
      <c r="AD444">
        <v>20</v>
      </c>
      <c r="AF444" t="s">
        <v>1165</v>
      </c>
    </row>
    <row r="445" spans="1:32" x14ac:dyDescent="0.3">
      <c r="A445">
        <v>432</v>
      </c>
      <c r="B445" t="s">
        <v>1166</v>
      </c>
      <c r="C445">
        <v>29</v>
      </c>
      <c r="D445" t="s">
        <v>150</v>
      </c>
      <c r="E445" t="s">
        <v>78</v>
      </c>
      <c r="F445">
        <v>36</v>
      </c>
      <c r="G445">
        <v>6</v>
      </c>
      <c r="H445">
        <v>4</v>
      </c>
      <c r="I445">
        <v>10</v>
      </c>
      <c r="J445">
        <v>-2</v>
      </c>
      <c r="K445">
        <v>25</v>
      </c>
      <c r="L445">
        <v>6</v>
      </c>
      <c r="M445">
        <v>0</v>
      </c>
      <c r="N445">
        <v>0</v>
      </c>
      <c r="O445">
        <v>2</v>
      </c>
      <c r="P445">
        <v>4</v>
      </c>
      <c r="Q445">
        <v>0</v>
      </c>
      <c r="R445">
        <v>0</v>
      </c>
      <c r="S445">
        <v>32</v>
      </c>
      <c r="T445">
        <v>18.8</v>
      </c>
      <c r="U445">
        <v>56</v>
      </c>
      <c r="V445" s="2">
        <v>18.481249999999999</v>
      </c>
      <c r="W445" s="3">
        <v>0.5131944444444444</v>
      </c>
      <c r="X445">
        <v>2</v>
      </c>
      <c r="Y445">
        <v>12</v>
      </c>
      <c r="Z445">
        <v>14.3</v>
      </c>
      <c r="AA445">
        <v>26</v>
      </c>
      <c r="AB445">
        <v>127</v>
      </c>
      <c r="AC445">
        <v>7</v>
      </c>
      <c r="AD445">
        <v>13</v>
      </c>
      <c r="AF445" t="s">
        <v>1167</v>
      </c>
    </row>
    <row r="446" spans="1:32" x14ac:dyDescent="0.3">
      <c r="A446">
        <v>433</v>
      </c>
      <c r="B446" t="s">
        <v>1168</v>
      </c>
      <c r="C446">
        <v>25</v>
      </c>
      <c r="D446" t="s">
        <v>409</v>
      </c>
      <c r="E446" t="s">
        <v>87</v>
      </c>
      <c r="F446">
        <v>42</v>
      </c>
      <c r="G446">
        <v>3</v>
      </c>
      <c r="H446">
        <v>7</v>
      </c>
      <c r="I446">
        <v>10</v>
      </c>
      <c r="J446">
        <v>7</v>
      </c>
      <c r="K446">
        <v>16</v>
      </c>
      <c r="L446">
        <v>3</v>
      </c>
      <c r="M446">
        <v>0</v>
      </c>
      <c r="N446">
        <v>0</v>
      </c>
      <c r="O446">
        <v>0</v>
      </c>
      <c r="P446">
        <v>7</v>
      </c>
      <c r="Q446">
        <v>0</v>
      </c>
      <c r="R446">
        <v>0</v>
      </c>
      <c r="S446">
        <v>38</v>
      </c>
      <c r="T446">
        <v>7.9</v>
      </c>
      <c r="U446">
        <v>95</v>
      </c>
      <c r="V446" s="2">
        <v>30.042361111111113</v>
      </c>
      <c r="W446" s="3">
        <v>0.71527777777777779</v>
      </c>
      <c r="X446">
        <v>0</v>
      </c>
      <c r="Y446">
        <v>0</v>
      </c>
      <c r="AA446">
        <v>61</v>
      </c>
      <c r="AB446">
        <v>65</v>
      </c>
      <c r="AC446">
        <v>6</v>
      </c>
      <c r="AD446">
        <v>55</v>
      </c>
      <c r="AF446" t="s">
        <v>1169</v>
      </c>
    </row>
    <row r="447" spans="1:32" x14ac:dyDescent="0.3">
      <c r="A447">
        <v>434</v>
      </c>
      <c r="B447" t="s">
        <v>1170</v>
      </c>
      <c r="C447">
        <v>33</v>
      </c>
      <c r="D447" t="s">
        <v>200</v>
      </c>
      <c r="E447" t="s">
        <v>87</v>
      </c>
      <c r="F447">
        <v>42</v>
      </c>
      <c r="G447">
        <v>3</v>
      </c>
      <c r="H447">
        <v>7</v>
      </c>
      <c r="I447">
        <v>10</v>
      </c>
      <c r="J447">
        <v>0</v>
      </c>
      <c r="K447">
        <v>24</v>
      </c>
      <c r="L447">
        <v>3</v>
      </c>
      <c r="M447">
        <v>0</v>
      </c>
      <c r="N447">
        <v>0</v>
      </c>
      <c r="O447">
        <v>1</v>
      </c>
      <c r="P447">
        <v>7</v>
      </c>
      <c r="Q447">
        <v>0</v>
      </c>
      <c r="R447">
        <v>0</v>
      </c>
      <c r="S447">
        <v>46</v>
      </c>
      <c r="T447">
        <v>6.5</v>
      </c>
      <c r="U447">
        <v>95</v>
      </c>
      <c r="V447" s="2">
        <v>38.309027777777779</v>
      </c>
      <c r="W447" s="3">
        <v>0.91180555555555554</v>
      </c>
      <c r="X447">
        <v>0</v>
      </c>
      <c r="Y447">
        <v>0</v>
      </c>
      <c r="AA447">
        <v>94</v>
      </c>
      <c r="AB447">
        <v>60</v>
      </c>
      <c r="AC447">
        <v>8</v>
      </c>
      <c r="AD447">
        <v>23</v>
      </c>
      <c r="AF447" t="s">
        <v>1171</v>
      </c>
    </row>
    <row r="448" spans="1:32" x14ac:dyDescent="0.3">
      <c r="A448">
        <v>435</v>
      </c>
      <c r="B448" t="s">
        <v>1172</v>
      </c>
      <c r="C448">
        <v>28</v>
      </c>
      <c r="D448" t="s">
        <v>134</v>
      </c>
      <c r="E448" t="s">
        <v>78</v>
      </c>
      <c r="F448">
        <v>33</v>
      </c>
      <c r="G448">
        <v>5</v>
      </c>
      <c r="H448">
        <v>5</v>
      </c>
      <c r="I448">
        <v>10</v>
      </c>
      <c r="J448">
        <v>6</v>
      </c>
      <c r="K448">
        <v>10</v>
      </c>
      <c r="L448">
        <v>5</v>
      </c>
      <c r="M448">
        <v>0</v>
      </c>
      <c r="N448">
        <v>0</v>
      </c>
      <c r="O448">
        <v>0</v>
      </c>
      <c r="P448">
        <v>5</v>
      </c>
      <c r="Q448">
        <v>0</v>
      </c>
      <c r="R448">
        <v>0</v>
      </c>
      <c r="S448">
        <v>35</v>
      </c>
      <c r="T448">
        <v>14.3</v>
      </c>
      <c r="U448">
        <v>67</v>
      </c>
      <c r="V448" s="2">
        <v>19.270833333333332</v>
      </c>
      <c r="W448" s="3">
        <v>0.58402777777777781</v>
      </c>
      <c r="X448">
        <v>159</v>
      </c>
      <c r="Y448">
        <v>147</v>
      </c>
      <c r="Z448">
        <v>52</v>
      </c>
      <c r="AA448">
        <v>16</v>
      </c>
      <c r="AB448">
        <v>31</v>
      </c>
      <c r="AC448">
        <v>7</v>
      </c>
      <c r="AD448">
        <v>20</v>
      </c>
      <c r="AF448" t="s">
        <v>1173</v>
      </c>
    </row>
    <row r="449" spans="1:32" x14ac:dyDescent="0.3">
      <c r="A449">
        <v>436</v>
      </c>
      <c r="B449" t="s">
        <v>1174</v>
      </c>
      <c r="C449">
        <v>35</v>
      </c>
      <c r="D449" t="s">
        <v>157</v>
      </c>
      <c r="E449" t="s">
        <v>78</v>
      </c>
      <c r="F449">
        <v>28</v>
      </c>
      <c r="G449">
        <v>7</v>
      </c>
      <c r="H449">
        <v>3</v>
      </c>
      <c r="I449">
        <v>10</v>
      </c>
      <c r="J449">
        <v>-18</v>
      </c>
      <c r="K449">
        <v>6</v>
      </c>
      <c r="L449">
        <v>3</v>
      </c>
      <c r="M449">
        <v>4</v>
      </c>
      <c r="N449">
        <v>0</v>
      </c>
      <c r="O449">
        <v>1</v>
      </c>
      <c r="P449">
        <v>3</v>
      </c>
      <c r="Q449">
        <v>0</v>
      </c>
      <c r="R449">
        <v>0</v>
      </c>
      <c r="S449">
        <v>60</v>
      </c>
      <c r="T449">
        <v>11.7</v>
      </c>
      <c r="U449">
        <v>125</v>
      </c>
      <c r="V449" s="2">
        <v>19.569444444444443</v>
      </c>
      <c r="W449" s="3">
        <v>0.69861111111111107</v>
      </c>
      <c r="X449">
        <v>8</v>
      </c>
      <c r="Y449">
        <v>8</v>
      </c>
      <c r="Z449">
        <v>50</v>
      </c>
      <c r="AA449">
        <v>5</v>
      </c>
      <c r="AB449">
        <v>38</v>
      </c>
      <c r="AC449">
        <v>4</v>
      </c>
      <c r="AD449">
        <v>32</v>
      </c>
      <c r="AF449" t="s">
        <v>1175</v>
      </c>
    </row>
    <row r="450" spans="1:32" x14ac:dyDescent="0.3">
      <c r="A450">
        <v>437</v>
      </c>
      <c r="B450" t="s">
        <v>1176</v>
      </c>
      <c r="C450">
        <v>30</v>
      </c>
      <c r="D450" t="s">
        <v>121</v>
      </c>
      <c r="E450" t="s">
        <v>101</v>
      </c>
      <c r="F450">
        <v>23</v>
      </c>
      <c r="G450">
        <v>4</v>
      </c>
      <c r="H450">
        <v>6</v>
      </c>
      <c r="I450">
        <v>10</v>
      </c>
      <c r="J450">
        <v>-4</v>
      </c>
      <c r="K450">
        <v>8</v>
      </c>
      <c r="L450">
        <v>4</v>
      </c>
      <c r="M450">
        <v>0</v>
      </c>
      <c r="N450">
        <v>0</v>
      </c>
      <c r="O450">
        <v>0</v>
      </c>
      <c r="P450">
        <v>5</v>
      </c>
      <c r="Q450">
        <v>1</v>
      </c>
      <c r="R450">
        <v>0</v>
      </c>
      <c r="S450">
        <v>34</v>
      </c>
      <c r="T450">
        <v>11.8</v>
      </c>
      <c r="U450">
        <v>70</v>
      </c>
      <c r="V450" s="2">
        <v>14.220833333333333</v>
      </c>
      <c r="W450" s="3">
        <v>0.61805555555555558</v>
      </c>
      <c r="X450">
        <v>135</v>
      </c>
      <c r="Y450">
        <v>126</v>
      </c>
      <c r="Z450">
        <v>51.7</v>
      </c>
      <c r="AA450">
        <v>12</v>
      </c>
      <c r="AB450">
        <v>35</v>
      </c>
      <c r="AC450">
        <v>5</v>
      </c>
      <c r="AD450">
        <v>14</v>
      </c>
      <c r="AF450" t="s">
        <v>1177</v>
      </c>
    </row>
    <row r="451" spans="1:32" x14ac:dyDescent="0.3">
      <c r="A451">
        <v>438</v>
      </c>
      <c r="B451" t="s">
        <v>1178</v>
      </c>
      <c r="C451">
        <v>25</v>
      </c>
      <c r="D451" t="s">
        <v>193</v>
      </c>
      <c r="E451" t="s">
        <v>380</v>
      </c>
      <c r="F451">
        <v>40</v>
      </c>
      <c r="G451">
        <v>8</v>
      </c>
      <c r="H451">
        <v>2</v>
      </c>
      <c r="I451">
        <v>10</v>
      </c>
      <c r="J451">
        <v>-4</v>
      </c>
      <c r="K451">
        <v>12</v>
      </c>
      <c r="L451">
        <v>8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42</v>
      </c>
      <c r="T451">
        <v>19</v>
      </c>
      <c r="U451">
        <v>71</v>
      </c>
      <c r="V451" s="2">
        <v>18.810416666666665</v>
      </c>
      <c r="W451" s="3">
        <v>0.47013888888888888</v>
      </c>
      <c r="X451">
        <v>100</v>
      </c>
      <c r="Y451">
        <v>134</v>
      </c>
      <c r="Z451">
        <v>42.7</v>
      </c>
      <c r="AA451">
        <v>24</v>
      </c>
      <c r="AB451">
        <v>16</v>
      </c>
      <c r="AC451">
        <v>5</v>
      </c>
      <c r="AD451">
        <v>19</v>
      </c>
      <c r="AF451" t="s">
        <v>1179</v>
      </c>
    </row>
    <row r="452" spans="1:32" x14ac:dyDescent="0.3">
      <c r="A452">
        <v>439</v>
      </c>
      <c r="B452" t="s">
        <v>1180</v>
      </c>
      <c r="C452">
        <v>29</v>
      </c>
      <c r="D452" t="s">
        <v>210</v>
      </c>
      <c r="E452" t="s">
        <v>78</v>
      </c>
      <c r="F452">
        <v>44</v>
      </c>
      <c r="G452">
        <v>3</v>
      </c>
      <c r="H452">
        <v>7</v>
      </c>
      <c r="I452">
        <v>10</v>
      </c>
      <c r="J452">
        <v>-6</v>
      </c>
      <c r="K452">
        <v>18</v>
      </c>
      <c r="L452">
        <v>3</v>
      </c>
      <c r="M452">
        <v>0</v>
      </c>
      <c r="N452">
        <v>0</v>
      </c>
      <c r="O452">
        <v>0</v>
      </c>
      <c r="P452">
        <v>6</v>
      </c>
      <c r="Q452">
        <v>0</v>
      </c>
      <c r="R452">
        <v>1</v>
      </c>
      <c r="S452">
        <v>38</v>
      </c>
      <c r="T452">
        <v>7.9</v>
      </c>
      <c r="U452">
        <v>93</v>
      </c>
      <c r="V452" s="2">
        <v>26.702083333333334</v>
      </c>
      <c r="W452" s="3">
        <v>0.6069444444444444</v>
      </c>
      <c r="X452">
        <v>338</v>
      </c>
      <c r="Y452">
        <v>301</v>
      </c>
      <c r="Z452">
        <v>52.9</v>
      </c>
      <c r="AA452">
        <v>33</v>
      </c>
      <c r="AB452">
        <v>25</v>
      </c>
      <c r="AC452">
        <v>9</v>
      </c>
      <c r="AD452">
        <v>28</v>
      </c>
      <c r="AF452" t="s">
        <v>1181</v>
      </c>
    </row>
    <row r="453" spans="1:32" x14ac:dyDescent="0.3">
      <c r="A453">
        <v>440</v>
      </c>
      <c r="B453" t="s">
        <v>1182</v>
      </c>
      <c r="C453">
        <v>24</v>
      </c>
      <c r="D453" t="s">
        <v>91</v>
      </c>
      <c r="E453" t="s">
        <v>78</v>
      </c>
      <c r="F453">
        <v>42</v>
      </c>
      <c r="G453">
        <v>3</v>
      </c>
      <c r="H453">
        <v>7</v>
      </c>
      <c r="I453">
        <v>10</v>
      </c>
      <c r="J453">
        <v>-5</v>
      </c>
      <c r="K453">
        <v>17</v>
      </c>
      <c r="L453">
        <v>3</v>
      </c>
      <c r="M453">
        <v>0</v>
      </c>
      <c r="N453">
        <v>0</v>
      </c>
      <c r="O453">
        <v>0</v>
      </c>
      <c r="P453">
        <v>7</v>
      </c>
      <c r="Q453">
        <v>0</v>
      </c>
      <c r="R453">
        <v>0</v>
      </c>
      <c r="S453">
        <v>42</v>
      </c>
      <c r="T453">
        <v>7.1</v>
      </c>
      <c r="U453">
        <v>88</v>
      </c>
      <c r="V453" s="2">
        <v>18.226388888888888</v>
      </c>
      <c r="W453" s="3">
        <v>0.43402777777777779</v>
      </c>
      <c r="X453">
        <v>194</v>
      </c>
      <c r="Y453">
        <v>155</v>
      </c>
      <c r="Z453">
        <v>55.6</v>
      </c>
      <c r="AA453">
        <v>22</v>
      </c>
      <c r="AB453">
        <v>17</v>
      </c>
      <c r="AC453">
        <v>7</v>
      </c>
      <c r="AD453">
        <v>19</v>
      </c>
      <c r="AF453" t="s">
        <v>1183</v>
      </c>
    </row>
    <row r="454" spans="1:32" x14ac:dyDescent="0.3">
      <c r="A454">
        <v>441</v>
      </c>
      <c r="B454" t="s">
        <v>1184</v>
      </c>
      <c r="C454">
        <v>24</v>
      </c>
      <c r="D454" t="s">
        <v>290</v>
      </c>
      <c r="E454" t="s">
        <v>87</v>
      </c>
      <c r="F454">
        <v>43</v>
      </c>
      <c r="G454">
        <v>2</v>
      </c>
      <c r="H454">
        <v>8</v>
      </c>
      <c r="I454">
        <v>10</v>
      </c>
      <c r="J454">
        <v>-12</v>
      </c>
      <c r="K454">
        <v>9</v>
      </c>
      <c r="L454">
        <v>2</v>
      </c>
      <c r="M454">
        <v>0</v>
      </c>
      <c r="N454">
        <v>0</v>
      </c>
      <c r="O454">
        <v>0</v>
      </c>
      <c r="P454">
        <v>8</v>
      </c>
      <c r="Q454">
        <v>0</v>
      </c>
      <c r="R454">
        <v>0</v>
      </c>
      <c r="S454">
        <v>37</v>
      </c>
      <c r="T454">
        <v>5.4</v>
      </c>
      <c r="U454">
        <v>110</v>
      </c>
      <c r="V454" s="2">
        <v>37.594444444444441</v>
      </c>
      <c r="W454" s="3">
        <v>0.87430555555555556</v>
      </c>
      <c r="X454">
        <v>0</v>
      </c>
      <c r="Y454">
        <v>0</v>
      </c>
      <c r="AA454">
        <v>64</v>
      </c>
      <c r="AB454">
        <v>17</v>
      </c>
      <c r="AC454">
        <v>15</v>
      </c>
      <c r="AD454">
        <v>43</v>
      </c>
      <c r="AF454" t="s">
        <v>1185</v>
      </c>
    </row>
    <row r="455" spans="1:32" x14ac:dyDescent="0.3">
      <c r="A455">
        <v>442</v>
      </c>
      <c r="B455" t="s">
        <v>1186</v>
      </c>
      <c r="C455">
        <v>29</v>
      </c>
      <c r="D455" t="s">
        <v>250</v>
      </c>
      <c r="E455" t="s">
        <v>87</v>
      </c>
      <c r="F455">
        <v>17</v>
      </c>
      <c r="G455">
        <v>3</v>
      </c>
      <c r="H455">
        <v>7</v>
      </c>
      <c r="I455">
        <v>10</v>
      </c>
      <c r="J455">
        <v>-3</v>
      </c>
      <c r="K455">
        <v>8</v>
      </c>
      <c r="L455">
        <v>1</v>
      </c>
      <c r="M455">
        <v>1</v>
      </c>
      <c r="N455">
        <v>1</v>
      </c>
      <c r="O455">
        <v>1</v>
      </c>
      <c r="P455">
        <v>7</v>
      </c>
      <c r="Q455">
        <v>0</v>
      </c>
      <c r="R455">
        <v>0</v>
      </c>
      <c r="S455">
        <v>23</v>
      </c>
      <c r="T455">
        <v>13</v>
      </c>
      <c r="U455">
        <v>66</v>
      </c>
      <c r="V455" s="2">
        <v>14.252083333333333</v>
      </c>
      <c r="W455" s="3">
        <v>0.83819444444444446</v>
      </c>
      <c r="X455">
        <v>0</v>
      </c>
      <c r="Y455">
        <v>0</v>
      </c>
      <c r="AA455">
        <v>31</v>
      </c>
      <c r="AB455">
        <v>7</v>
      </c>
      <c r="AC455">
        <v>7</v>
      </c>
      <c r="AD455">
        <v>23</v>
      </c>
      <c r="AF455" t="s">
        <v>1187</v>
      </c>
    </row>
    <row r="456" spans="1:32" x14ac:dyDescent="0.3">
      <c r="A456">
        <v>443</v>
      </c>
      <c r="B456" t="s">
        <v>1188</v>
      </c>
      <c r="C456">
        <v>21</v>
      </c>
      <c r="D456" t="s">
        <v>216</v>
      </c>
      <c r="E456" t="s">
        <v>78</v>
      </c>
      <c r="F456">
        <v>30</v>
      </c>
      <c r="G456">
        <v>5</v>
      </c>
      <c r="H456">
        <v>4</v>
      </c>
      <c r="I456">
        <v>9</v>
      </c>
      <c r="J456">
        <v>6</v>
      </c>
      <c r="K456">
        <v>8</v>
      </c>
      <c r="L456">
        <v>5</v>
      </c>
      <c r="M456">
        <v>0</v>
      </c>
      <c r="N456">
        <v>0</v>
      </c>
      <c r="O456">
        <v>3</v>
      </c>
      <c r="P456">
        <v>4</v>
      </c>
      <c r="Q456">
        <v>0</v>
      </c>
      <c r="R456">
        <v>0</v>
      </c>
      <c r="S456">
        <v>36</v>
      </c>
      <c r="T456">
        <v>13.9</v>
      </c>
      <c r="U456">
        <v>66</v>
      </c>
      <c r="V456" s="2">
        <v>12.904861111111112</v>
      </c>
      <c r="W456" s="3">
        <v>0.42986111111111114</v>
      </c>
      <c r="X456">
        <v>12</v>
      </c>
      <c r="Y456">
        <v>16</v>
      </c>
      <c r="Z456">
        <v>42.9</v>
      </c>
      <c r="AA456">
        <v>8</v>
      </c>
      <c r="AB456">
        <v>25</v>
      </c>
      <c r="AC456">
        <v>4</v>
      </c>
      <c r="AD456">
        <v>10</v>
      </c>
      <c r="AF456" t="s">
        <v>1189</v>
      </c>
    </row>
    <row r="457" spans="1:32" x14ac:dyDescent="0.3">
      <c r="A457">
        <v>444</v>
      </c>
      <c r="B457" t="s">
        <v>1190</v>
      </c>
      <c r="C457">
        <v>32</v>
      </c>
      <c r="D457" t="s">
        <v>256</v>
      </c>
      <c r="E457" t="s">
        <v>78</v>
      </c>
      <c r="F457">
        <v>30</v>
      </c>
      <c r="G457">
        <v>4</v>
      </c>
      <c r="H457">
        <v>5</v>
      </c>
      <c r="I457">
        <v>9</v>
      </c>
      <c r="J457">
        <v>1</v>
      </c>
      <c r="K457">
        <v>8</v>
      </c>
      <c r="L457">
        <v>4</v>
      </c>
      <c r="M457">
        <v>0</v>
      </c>
      <c r="N457">
        <v>0</v>
      </c>
      <c r="O457">
        <v>0</v>
      </c>
      <c r="P457">
        <v>5</v>
      </c>
      <c r="Q457">
        <v>0</v>
      </c>
      <c r="R457">
        <v>0</v>
      </c>
      <c r="S457">
        <v>35</v>
      </c>
      <c r="T457">
        <v>11.4</v>
      </c>
      <c r="U457">
        <v>84</v>
      </c>
      <c r="V457" s="2">
        <v>14.672916666666667</v>
      </c>
      <c r="W457" s="3">
        <v>0.48888888888888887</v>
      </c>
      <c r="X457">
        <v>19</v>
      </c>
      <c r="Y457">
        <v>16</v>
      </c>
      <c r="Z457">
        <v>54.3</v>
      </c>
      <c r="AA457">
        <v>13</v>
      </c>
      <c r="AB457">
        <v>13</v>
      </c>
      <c r="AC457">
        <v>10</v>
      </c>
      <c r="AD457">
        <v>15</v>
      </c>
      <c r="AF457" t="s">
        <v>1191</v>
      </c>
    </row>
    <row r="458" spans="1:32" x14ac:dyDescent="0.3">
      <c r="A458">
        <v>445</v>
      </c>
      <c r="B458" t="s">
        <v>1192</v>
      </c>
      <c r="C458">
        <v>31</v>
      </c>
      <c r="D458" t="s">
        <v>72</v>
      </c>
      <c r="E458" t="s">
        <v>101</v>
      </c>
      <c r="F458">
        <v>37</v>
      </c>
      <c r="G458">
        <v>4</v>
      </c>
      <c r="H458">
        <v>5</v>
      </c>
      <c r="I458">
        <v>9</v>
      </c>
      <c r="J458">
        <v>0</v>
      </c>
      <c r="K458">
        <v>14</v>
      </c>
      <c r="L458">
        <v>4</v>
      </c>
      <c r="M458">
        <v>0</v>
      </c>
      <c r="N458">
        <v>0</v>
      </c>
      <c r="O458">
        <v>1</v>
      </c>
      <c r="P458">
        <v>5</v>
      </c>
      <c r="Q458">
        <v>0</v>
      </c>
      <c r="R458">
        <v>0</v>
      </c>
      <c r="S458">
        <v>43</v>
      </c>
      <c r="T458">
        <v>9.3000000000000007</v>
      </c>
      <c r="U458">
        <v>96</v>
      </c>
      <c r="V458" s="2">
        <v>17.754166666666666</v>
      </c>
      <c r="W458" s="3">
        <v>0.47986111111111113</v>
      </c>
      <c r="X458">
        <v>1</v>
      </c>
      <c r="Y458">
        <v>4</v>
      </c>
      <c r="Z458">
        <v>20</v>
      </c>
      <c r="AA458">
        <v>9</v>
      </c>
      <c r="AB458">
        <v>90</v>
      </c>
      <c r="AC458">
        <v>10</v>
      </c>
      <c r="AD458">
        <v>14</v>
      </c>
      <c r="AF458" t="s">
        <v>1193</v>
      </c>
    </row>
    <row r="459" spans="1:32" x14ac:dyDescent="0.3">
      <c r="A459">
        <v>446</v>
      </c>
      <c r="B459" t="s">
        <v>1194</v>
      </c>
      <c r="C459">
        <v>34</v>
      </c>
      <c r="D459" t="s">
        <v>221</v>
      </c>
      <c r="E459" t="s">
        <v>87</v>
      </c>
      <c r="F459">
        <v>45</v>
      </c>
      <c r="G459">
        <v>4</v>
      </c>
      <c r="H459">
        <v>5</v>
      </c>
      <c r="I459">
        <v>9</v>
      </c>
      <c r="J459">
        <v>0</v>
      </c>
      <c r="K459">
        <v>42</v>
      </c>
      <c r="L459">
        <v>4</v>
      </c>
      <c r="M459">
        <v>0</v>
      </c>
      <c r="N459">
        <v>0</v>
      </c>
      <c r="O459">
        <v>0</v>
      </c>
      <c r="P459">
        <v>5</v>
      </c>
      <c r="Q459">
        <v>0</v>
      </c>
      <c r="R459">
        <v>0</v>
      </c>
      <c r="S459">
        <v>50</v>
      </c>
      <c r="T459">
        <v>8</v>
      </c>
      <c r="U459">
        <v>129</v>
      </c>
      <c r="V459" s="2">
        <v>39.520138888888887</v>
      </c>
      <c r="W459" s="3">
        <v>0.87847222222222221</v>
      </c>
      <c r="X459">
        <v>0</v>
      </c>
      <c r="Y459">
        <v>0</v>
      </c>
      <c r="AA459">
        <v>97</v>
      </c>
      <c r="AB459">
        <v>96</v>
      </c>
      <c r="AC459">
        <v>17</v>
      </c>
      <c r="AD459">
        <v>49</v>
      </c>
      <c r="AF459" t="s">
        <v>1195</v>
      </c>
    </row>
    <row r="460" spans="1:32" x14ac:dyDescent="0.3">
      <c r="A460">
        <v>447</v>
      </c>
      <c r="B460" t="s">
        <v>1196</v>
      </c>
      <c r="C460">
        <v>30</v>
      </c>
      <c r="D460" t="s">
        <v>290</v>
      </c>
      <c r="E460" t="s">
        <v>78</v>
      </c>
      <c r="F460">
        <v>31</v>
      </c>
      <c r="G460">
        <v>5</v>
      </c>
      <c r="H460">
        <v>4</v>
      </c>
      <c r="I460">
        <v>9</v>
      </c>
      <c r="J460">
        <v>-5</v>
      </c>
      <c r="K460">
        <v>8</v>
      </c>
      <c r="L460">
        <v>4</v>
      </c>
      <c r="M460">
        <v>0</v>
      </c>
      <c r="N460">
        <v>1</v>
      </c>
      <c r="O460">
        <v>0</v>
      </c>
      <c r="P460">
        <v>3</v>
      </c>
      <c r="Q460">
        <v>0</v>
      </c>
      <c r="R460">
        <v>1</v>
      </c>
      <c r="S460">
        <v>38</v>
      </c>
      <c r="T460">
        <v>13.2</v>
      </c>
      <c r="U460">
        <v>80</v>
      </c>
      <c r="V460" s="2">
        <v>20.03125</v>
      </c>
      <c r="W460" s="3">
        <v>0.64583333333333337</v>
      </c>
      <c r="X460">
        <v>225</v>
      </c>
      <c r="Y460">
        <v>243</v>
      </c>
      <c r="Z460">
        <v>48.1</v>
      </c>
      <c r="AA460">
        <v>24</v>
      </c>
      <c r="AB460">
        <v>38</v>
      </c>
      <c r="AC460">
        <v>6</v>
      </c>
      <c r="AD460">
        <v>23</v>
      </c>
      <c r="AF460" t="s">
        <v>1197</v>
      </c>
    </row>
    <row r="461" spans="1:32" x14ac:dyDescent="0.3">
      <c r="A461">
        <v>448</v>
      </c>
      <c r="B461" t="s">
        <v>1198</v>
      </c>
      <c r="C461">
        <v>35</v>
      </c>
      <c r="D461" t="s">
        <v>174</v>
      </c>
      <c r="E461" t="s">
        <v>78</v>
      </c>
      <c r="F461">
        <v>19</v>
      </c>
      <c r="G461">
        <v>3</v>
      </c>
      <c r="H461">
        <v>6</v>
      </c>
      <c r="I461">
        <v>9</v>
      </c>
      <c r="J461">
        <v>-3</v>
      </c>
      <c r="K461">
        <v>2</v>
      </c>
      <c r="L461">
        <v>2</v>
      </c>
      <c r="M461">
        <v>1</v>
      </c>
      <c r="N461">
        <v>0</v>
      </c>
      <c r="O461">
        <v>1</v>
      </c>
      <c r="P461">
        <v>6</v>
      </c>
      <c r="Q461">
        <v>0</v>
      </c>
      <c r="R461">
        <v>0</v>
      </c>
      <c r="S461">
        <v>26</v>
      </c>
      <c r="T461">
        <v>11.5</v>
      </c>
      <c r="U461">
        <v>53</v>
      </c>
      <c r="V461" s="2">
        <v>12.070833333333333</v>
      </c>
      <c r="W461" s="3">
        <v>0.63541666666666663</v>
      </c>
      <c r="X461">
        <v>62</v>
      </c>
      <c r="Y461">
        <v>57</v>
      </c>
      <c r="Z461">
        <v>52.1</v>
      </c>
      <c r="AA461">
        <v>9</v>
      </c>
      <c r="AB461">
        <v>6</v>
      </c>
      <c r="AC461">
        <v>4</v>
      </c>
      <c r="AD461">
        <v>13</v>
      </c>
      <c r="AF461" t="s">
        <v>1199</v>
      </c>
    </row>
    <row r="462" spans="1:32" x14ac:dyDescent="0.3">
      <c r="A462">
        <v>449</v>
      </c>
      <c r="B462" t="s">
        <v>1200</v>
      </c>
      <c r="C462">
        <v>20</v>
      </c>
      <c r="D462" t="s">
        <v>103</v>
      </c>
      <c r="E462" t="s">
        <v>78</v>
      </c>
      <c r="F462">
        <v>35</v>
      </c>
      <c r="G462">
        <v>6</v>
      </c>
      <c r="H462">
        <v>3</v>
      </c>
      <c r="I462">
        <v>9</v>
      </c>
      <c r="J462">
        <v>-7</v>
      </c>
      <c r="K462">
        <v>8</v>
      </c>
      <c r="L462">
        <v>2</v>
      </c>
      <c r="M462">
        <v>4</v>
      </c>
      <c r="N462">
        <v>0</v>
      </c>
      <c r="O462">
        <v>0</v>
      </c>
      <c r="P462">
        <v>2</v>
      </c>
      <c r="Q462">
        <v>1</v>
      </c>
      <c r="R462">
        <v>0</v>
      </c>
      <c r="S462">
        <v>46</v>
      </c>
      <c r="T462">
        <v>13</v>
      </c>
      <c r="U462">
        <v>81</v>
      </c>
      <c r="V462" s="2">
        <v>20.690972222222221</v>
      </c>
      <c r="W462" s="3">
        <v>0.59097222222222223</v>
      </c>
      <c r="X462">
        <v>153</v>
      </c>
      <c r="Y462">
        <v>173</v>
      </c>
      <c r="Z462">
        <v>46.9</v>
      </c>
      <c r="AA462">
        <v>15</v>
      </c>
      <c r="AB462">
        <v>55</v>
      </c>
      <c r="AC462">
        <v>6</v>
      </c>
      <c r="AD462">
        <v>28</v>
      </c>
      <c r="AF462" t="s">
        <v>1201</v>
      </c>
    </row>
    <row r="463" spans="1:32" x14ac:dyDescent="0.3">
      <c r="A463">
        <v>450</v>
      </c>
      <c r="B463" t="s">
        <v>1202</v>
      </c>
      <c r="C463">
        <v>26</v>
      </c>
      <c r="D463" t="s">
        <v>97</v>
      </c>
      <c r="E463" t="s">
        <v>78</v>
      </c>
      <c r="F463">
        <v>33</v>
      </c>
      <c r="G463">
        <v>7</v>
      </c>
      <c r="H463">
        <v>2</v>
      </c>
      <c r="I463">
        <v>9</v>
      </c>
      <c r="J463">
        <v>-2</v>
      </c>
      <c r="K463">
        <v>19</v>
      </c>
      <c r="L463">
        <v>6</v>
      </c>
      <c r="M463">
        <v>1</v>
      </c>
      <c r="N463">
        <v>0</v>
      </c>
      <c r="O463">
        <v>1</v>
      </c>
      <c r="P463">
        <v>2</v>
      </c>
      <c r="Q463">
        <v>0</v>
      </c>
      <c r="R463">
        <v>0</v>
      </c>
      <c r="S463">
        <v>53</v>
      </c>
      <c r="T463">
        <v>13.2</v>
      </c>
      <c r="U463">
        <v>88</v>
      </c>
      <c r="V463" s="2">
        <v>18.671527777777779</v>
      </c>
      <c r="W463" s="3">
        <v>0.56597222222222221</v>
      </c>
      <c r="X463">
        <v>212</v>
      </c>
      <c r="Y463">
        <v>188</v>
      </c>
      <c r="Z463">
        <v>53</v>
      </c>
      <c r="AA463">
        <v>15</v>
      </c>
      <c r="AB463">
        <v>23</v>
      </c>
      <c r="AC463">
        <v>1</v>
      </c>
      <c r="AD463">
        <v>18</v>
      </c>
      <c r="AF463" t="s">
        <v>1203</v>
      </c>
    </row>
    <row r="464" spans="1:32" x14ac:dyDescent="0.3">
      <c r="A464">
        <v>451</v>
      </c>
      <c r="B464" t="s">
        <v>1204</v>
      </c>
      <c r="C464">
        <v>24</v>
      </c>
      <c r="D464" t="s">
        <v>113</v>
      </c>
      <c r="E464" t="s">
        <v>87</v>
      </c>
      <c r="F464">
        <v>38</v>
      </c>
      <c r="G464">
        <v>2</v>
      </c>
      <c r="H464">
        <v>7</v>
      </c>
      <c r="I464">
        <v>9</v>
      </c>
      <c r="J464">
        <v>-9</v>
      </c>
      <c r="K464">
        <v>10</v>
      </c>
      <c r="L464">
        <v>2</v>
      </c>
      <c r="M464">
        <v>0</v>
      </c>
      <c r="N464">
        <v>0</v>
      </c>
      <c r="O464">
        <v>0</v>
      </c>
      <c r="P464">
        <v>5</v>
      </c>
      <c r="Q464">
        <v>0</v>
      </c>
      <c r="R464">
        <v>2</v>
      </c>
      <c r="S464">
        <v>27</v>
      </c>
      <c r="T464">
        <v>7.4</v>
      </c>
      <c r="U464">
        <v>85</v>
      </c>
      <c r="V464" s="2">
        <v>28.436805555555555</v>
      </c>
      <c r="W464" s="3">
        <v>0.74861111111111112</v>
      </c>
      <c r="X464">
        <v>0</v>
      </c>
      <c r="Y464">
        <v>0</v>
      </c>
      <c r="AA464">
        <v>57</v>
      </c>
      <c r="AB464">
        <v>39</v>
      </c>
      <c r="AC464">
        <v>17</v>
      </c>
      <c r="AD464">
        <v>26</v>
      </c>
      <c r="AF464" t="s">
        <v>1205</v>
      </c>
    </row>
    <row r="465" spans="1:32" x14ac:dyDescent="0.3">
      <c r="A465">
        <v>452</v>
      </c>
      <c r="B465" t="s">
        <v>1206</v>
      </c>
      <c r="C465">
        <v>23</v>
      </c>
      <c r="D465" t="s">
        <v>290</v>
      </c>
      <c r="E465" t="s">
        <v>87</v>
      </c>
      <c r="F465">
        <v>44</v>
      </c>
      <c r="G465">
        <v>4</v>
      </c>
      <c r="H465">
        <v>5</v>
      </c>
      <c r="I465">
        <v>9</v>
      </c>
      <c r="J465">
        <v>-4</v>
      </c>
      <c r="K465">
        <v>20</v>
      </c>
      <c r="L465">
        <v>4</v>
      </c>
      <c r="M465">
        <v>0</v>
      </c>
      <c r="N465">
        <v>0</v>
      </c>
      <c r="O465">
        <v>1</v>
      </c>
      <c r="P465">
        <v>5</v>
      </c>
      <c r="Q465">
        <v>0</v>
      </c>
      <c r="R465">
        <v>0</v>
      </c>
      <c r="S465">
        <v>46</v>
      </c>
      <c r="T465">
        <v>8.6999999999999993</v>
      </c>
      <c r="U465">
        <v>102</v>
      </c>
      <c r="V465" s="2">
        <v>35.454166666666666</v>
      </c>
      <c r="W465" s="3">
        <v>0.80555555555555558</v>
      </c>
      <c r="X465">
        <v>0</v>
      </c>
      <c r="Y465">
        <v>0</v>
      </c>
      <c r="AA465">
        <v>39</v>
      </c>
      <c r="AB465">
        <v>27</v>
      </c>
      <c r="AC465">
        <v>21</v>
      </c>
      <c r="AD465">
        <v>51</v>
      </c>
      <c r="AF465" t="s">
        <v>1207</v>
      </c>
    </row>
    <row r="466" spans="1:32" x14ac:dyDescent="0.3">
      <c r="A466">
        <v>453</v>
      </c>
      <c r="B466" t="s">
        <v>1208</v>
      </c>
      <c r="C466">
        <v>25</v>
      </c>
      <c r="D466" t="s">
        <v>82</v>
      </c>
      <c r="E466" t="s">
        <v>380</v>
      </c>
      <c r="F466">
        <v>43</v>
      </c>
      <c r="G466">
        <v>4</v>
      </c>
      <c r="H466">
        <v>5</v>
      </c>
      <c r="I466">
        <v>9</v>
      </c>
      <c r="J466">
        <v>-5</v>
      </c>
      <c r="K466">
        <v>74</v>
      </c>
      <c r="L466">
        <v>4</v>
      </c>
      <c r="M466">
        <v>0</v>
      </c>
      <c r="N466">
        <v>0</v>
      </c>
      <c r="O466">
        <v>0</v>
      </c>
      <c r="P466">
        <v>4</v>
      </c>
      <c r="Q466">
        <v>1</v>
      </c>
      <c r="R466">
        <v>0</v>
      </c>
      <c r="S466">
        <v>43</v>
      </c>
      <c r="T466">
        <v>9.3000000000000007</v>
      </c>
      <c r="U466">
        <v>101</v>
      </c>
      <c r="V466" s="2">
        <v>18.476388888888888</v>
      </c>
      <c r="W466" s="3">
        <v>0.42986111111111114</v>
      </c>
      <c r="X466">
        <v>7</v>
      </c>
      <c r="Y466">
        <v>16</v>
      </c>
      <c r="Z466">
        <v>30.4</v>
      </c>
      <c r="AA466">
        <v>24</v>
      </c>
      <c r="AB466">
        <v>157</v>
      </c>
      <c r="AC466">
        <v>8</v>
      </c>
      <c r="AD466">
        <v>19</v>
      </c>
      <c r="AF466" t="s">
        <v>1209</v>
      </c>
    </row>
    <row r="467" spans="1:32" x14ac:dyDescent="0.3">
      <c r="A467">
        <v>454</v>
      </c>
      <c r="B467" t="s">
        <v>1210</v>
      </c>
      <c r="C467">
        <v>32</v>
      </c>
      <c r="D467" t="s">
        <v>130</v>
      </c>
      <c r="E467" t="s">
        <v>101</v>
      </c>
      <c r="F467">
        <v>31</v>
      </c>
      <c r="G467">
        <v>3</v>
      </c>
      <c r="H467">
        <v>6</v>
      </c>
      <c r="I467">
        <v>9</v>
      </c>
      <c r="J467">
        <v>4</v>
      </c>
      <c r="K467">
        <v>15</v>
      </c>
      <c r="L467">
        <v>2</v>
      </c>
      <c r="M467">
        <v>0</v>
      </c>
      <c r="N467">
        <v>1</v>
      </c>
      <c r="O467">
        <v>0</v>
      </c>
      <c r="P467">
        <v>6</v>
      </c>
      <c r="Q467">
        <v>0</v>
      </c>
      <c r="R467">
        <v>0</v>
      </c>
      <c r="S467">
        <v>31</v>
      </c>
      <c r="T467">
        <v>9.6999999999999993</v>
      </c>
      <c r="U467">
        <v>73</v>
      </c>
      <c r="V467" s="2">
        <v>18.409027777777776</v>
      </c>
      <c r="W467" s="3">
        <v>0.59375</v>
      </c>
      <c r="X467">
        <v>199</v>
      </c>
      <c r="Y467">
        <v>181</v>
      </c>
      <c r="Z467">
        <v>52.4</v>
      </c>
      <c r="AA467">
        <v>25</v>
      </c>
      <c r="AB467">
        <v>65</v>
      </c>
      <c r="AC467">
        <v>5</v>
      </c>
      <c r="AD467">
        <v>19</v>
      </c>
      <c r="AF467" t="s">
        <v>1211</v>
      </c>
    </row>
    <row r="468" spans="1:32" x14ac:dyDescent="0.3">
      <c r="A468">
        <v>455</v>
      </c>
      <c r="B468" t="s">
        <v>1212</v>
      </c>
      <c r="C468">
        <v>30</v>
      </c>
      <c r="D468" t="s">
        <v>109</v>
      </c>
      <c r="E468" t="s">
        <v>87</v>
      </c>
      <c r="F468">
        <v>38</v>
      </c>
      <c r="G468">
        <v>1</v>
      </c>
      <c r="H468">
        <v>8</v>
      </c>
      <c r="I468">
        <v>9</v>
      </c>
      <c r="J468">
        <v>-1</v>
      </c>
      <c r="K468">
        <v>46</v>
      </c>
      <c r="L468">
        <v>1</v>
      </c>
      <c r="M468">
        <v>0</v>
      </c>
      <c r="N468">
        <v>0</v>
      </c>
      <c r="O468">
        <v>0</v>
      </c>
      <c r="P468">
        <v>8</v>
      </c>
      <c r="Q468">
        <v>0</v>
      </c>
      <c r="R468">
        <v>0</v>
      </c>
      <c r="S468">
        <v>29</v>
      </c>
      <c r="T468">
        <v>3.4</v>
      </c>
      <c r="U468">
        <v>73</v>
      </c>
      <c r="V468" s="2">
        <v>27.301388888888887</v>
      </c>
      <c r="W468" s="3">
        <v>0.71875</v>
      </c>
      <c r="X468">
        <v>0</v>
      </c>
      <c r="Y468">
        <v>0</v>
      </c>
      <c r="AA468">
        <v>53</v>
      </c>
      <c r="AB468">
        <v>53</v>
      </c>
      <c r="AC468">
        <v>5</v>
      </c>
      <c r="AD468">
        <v>19</v>
      </c>
      <c r="AF468" t="s">
        <v>1213</v>
      </c>
    </row>
    <row r="469" spans="1:32" x14ac:dyDescent="0.3">
      <c r="A469">
        <v>456</v>
      </c>
      <c r="B469" t="s">
        <v>1214</v>
      </c>
      <c r="C469">
        <v>33</v>
      </c>
      <c r="D469" t="s">
        <v>130</v>
      </c>
      <c r="E469" t="s">
        <v>78</v>
      </c>
      <c r="F469">
        <v>42</v>
      </c>
      <c r="G469">
        <v>7</v>
      </c>
      <c r="H469">
        <v>2</v>
      </c>
      <c r="I469">
        <v>9</v>
      </c>
      <c r="J469">
        <v>-7</v>
      </c>
      <c r="K469">
        <v>22</v>
      </c>
      <c r="L469">
        <v>5</v>
      </c>
      <c r="M469">
        <v>2</v>
      </c>
      <c r="N469">
        <v>0</v>
      </c>
      <c r="O469">
        <v>1</v>
      </c>
      <c r="P469">
        <v>2</v>
      </c>
      <c r="Q469">
        <v>0</v>
      </c>
      <c r="R469">
        <v>0</v>
      </c>
      <c r="S469">
        <v>54</v>
      </c>
      <c r="T469">
        <v>13</v>
      </c>
      <c r="U469">
        <v>105</v>
      </c>
      <c r="V469" s="2">
        <v>24.534722222222221</v>
      </c>
      <c r="W469" s="3">
        <v>0.58402777777777781</v>
      </c>
      <c r="X469">
        <v>76</v>
      </c>
      <c r="Y469">
        <v>115</v>
      </c>
      <c r="Z469">
        <v>39.799999999999997</v>
      </c>
      <c r="AA469">
        <v>26</v>
      </c>
      <c r="AB469">
        <v>53</v>
      </c>
      <c r="AC469">
        <v>5</v>
      </c>
      <c r="AD469">
        <v>30</v>
      </c>
      <c r="AF469" t="s">
        <v>1215</v>
      </c>
    </row>
    <row r="470" spans="1:32" x14ac:dyDescent="0.3">
      <c r="A470">
        <v>457</v>
      </c>
      <c r="B470" t="s">
        <v>1216</v>
      </c>
      <c r="C470">
        <v>24</v>
      </c>
      <c r="D470" t="s">
        <v>113</v>
      </c>
      <c r="E470" t="s">
        <v>78</v>
      </c>
      <c r="F470">
        <v>27</v>
      </c>
      <c r="G470">
        <v>1</v>
      </c>
      <c r="H470">
        <v>8</v>
      </c>
      <c r="I470">
        <v>9</v>
      </c>
      <c r="J470">
        <v>-2</v>
      </c>
      <c r="K470">
        <v>8</v>
      </c>
      <c r="L470">
        <v>1</v>
      </c>
      <c r="M470">
        <v>0</v>
      </c>
      <c r="N470">
        <v>0</v>
      </c>
      <c r="O470">
        <v>1</v>
      </c>
      <c r="P470">
        <v>8</v>
      </c>
      <c r="Q470">
        <v>0</v>
      </c>
      <c r="R470">
        <v>0</v>
      </c>
      <c r="S470">
        <v>29</v>
      </c>
      <c r="T470">
        <v>3.4</v>
      </c>
      <c r="U470">
        <v>66</v>
      </c>
      <c r="V470" s="2">
        <v>13.884027777777778</v>
      </c>
      <c r="W470" s="3">
        <v>0.51388888888888884</v>
      </c>
      <c r="X470">
        <v>9</v>
      </c>
      <c r="Y470">
        <v>17</v>
      </c>
      <c r="Z470">
        <v>34.6</v>
      </c>
      <c r="AA470">
        <v>6</v>
      </c>
      <c r="AB470">
        <v>50</v>
      </c>
      <c r="AC470">
        <v>1</v>
      </c>
      <c r="AD470">
        <v>14</v>
      </c>
      <c r="AF470" t="s">
        <v>1217</v>
      </c>
    </row>
    <row r="471" spans="1:32" x14ac:dyDescent="0.3">
      <c r="A471">
        <v>458</v>
      </c>
      <c r="B471" t="s">
        <v>1218</v>
      </c>
      <c r="C471">
        <v>27</v>
      </c>
      <c r="D471" t="s">
        <v>195</v>
      </c>
      <c r="E471" t="s">
        <v>87</v>
      </c>
      <c r="F471">
        <v>44</v>
      </c>
      <c r="G471">
        <v>4</v>
      </c>
      <c r="H471">
        <v>5</v>
      </c>
      <c r="I471">
        <v>9</v>
      </c>
      <c r="J471">
        <v>-13</v>
      </c>
      <c r="K471">
        <v>12</v>
      </c>
      <c r="L471">
        <v>4</v>
      </c>
      <c r="M471">
        <v>0</v>
      </c>
      <c r="N471">
        <v>0</v>
      </c>
      <c r="O471">
        <v>0</v>
      </c>
      <c r="P471">
        <v>5</v>
      </c>
      <c r="Q471">
        <v>0</v>
      </c>
      <c r="R471">
        <v>0</v>
      </c>
      <c r="S471">
        <v>52</v>
      </c>
      <c r="T471">
        <v>7.7</v>
      </c>
      <c r="U471">
        <v>131</v>
      </c>
      <c r="V471" s="2">
        <v>37.227777777777774</v>
      </c>
      <c r="W471" s="3">
        <v>0.84583333333333333</v>
      </c>
      <c r="X471">
        <v>0</v>
      </c>
      <c r="Y471">
        <v>0</v>
      </c>
      <c r="AA471">
        <v>84</v>
      </c>
      <c r="AB471">
        <v>55</v>
      </c>
      <c r="AC471">
        <v>9</v>
      </c>
      <c r="AD471">
        <v>40</v>
      </c>
      <c r="AF471" t="s">
        <v>1219</v>
      </c>
    </row>
    <row r="472" spans="1:32" x14ac:dyDescent="0.3">
      <c r="A472">
        <v>459</v>
      </c>
      <c r="B472" t="s">
        <v>1220</v>
      </c>
      <c r="C472">
        <v>33</v>
      </c>
      <c r="D472" t="s">
        <v>174</v>
      </c>
      <c r="E472" t="s">
        <v>87</v>
      </c>
      <c r="F472">
        <v>41</v>
      </c>
      <c r="G472">
        <v>2</v>
      </c>
      <c r="H472">
        <v>7</v>
      </c>
      <c r="I472">
        <v>9</v>
      </c>
      <c r="J472">
        <v>1</v>
      </c>
      <c r="K472">
        <v>47</v>
      </c>
      <c r="L472">
        <v>2</v>
      </c>
      <c r="M472">
        <v>0</v>
      </c>
      <c r="N472">
        <v>0</v>
      </c>
      <c r="O472">
        <v>0</v>
      </c>
      <c r="P472">
        <v>7</v>
      </c>
      <c r="Q472">
        <v>0</v>
      </c>
      <c r="R472">
        <v>0</v>
      </c>
      <c r="S472">
        <v>46</v>
      </c>
      <c r="T472">
        <v>4.3</v>
      </c>
      <c r="U472">
        <v>91</v>
      </c>
      <c r="V472" s="2">
        <v>27.000694444444445</v>
      </c>
      <c r="W472" s="3">
        <v>0.65833333333333333</v>
      </c>
      <c r="X472">
        <v>0</v>
      </c>
      <c r="Y472">
        <v>0</v>
      </c>
      <c r="AA472">
        <v>61</v>
      </c>
      <c r="AB472">
        <v>67</v>
      </c>
      <c r="AC472">
        <v>8</v>
      </c>
      <c r="AD472">
        <v>35</v>
      </c>
      <c r="AF472" t="s">
        <v>1221</v>
      </c>
    </row>
    <row r="473" spans="1:32" x14ac:dyDescent="0.3">
      <c r="A473">
        <v>460</v>
      </c>
      <c r="B473" t="s">
        <v>1222</v>
      </c>
      <c r="C473">
        <v>29</v>
      </c>
      <c r="D473" t="s">
        <v>193</v>
      </c>
      <c r="E473" t="s">
        <v>87</v>
      </c>
      <c r="F473">
        <v>43</v>
      </c>
      <c r="G473">
        <v>1</v>
      </c>
      <c r="H473">
        <v>8</v>
      </c>
      <c r="I473">
        <v>9</v>
      </c>
      <c r="J473">
        <v>-1</v>
      </c>
      <c r="K473">
        <v>45</v>
      </c>
      <c r="L473">
        <v>1</v>
      </c>
      <c r="M473">
        <v>0</v>
      </c>
      <c r="N473">
        <v>0</v>
      </c>
      <c r="O473">
        <v>0</v>
      </c>
      <c r="P473">
        <v>8</v>
      </c>
      <c r="Q473">
        <v>0</v>
      </c>
      <c r="R473">
        <v>0</v>
      </c>
      <c r="S473">
        <v>35</v>
      </c>
      <c r="T473">
        <v>2.9</v>
      </c>
      <c r="U473">
        <v>93</v>
      </c>
      <c r="V473" s="2">
        <v>37.575694444444444</v>
      </c>
      <c r="W473" s="3">
        <v>0.87361111111111112</v>
      </c>
      <c r="X473">
        <v>0</v>
      </c>
      <c r="Y473">
        <v>0</v>
      </c>
      <c r="AA473">
        <v>69</v>
      </c>
      <c r="AB473">
        <v>31</v>
      </c>
      <c r="AC473">
        <v>7</v>
      </c>
      <c r="AD473">
        <v>43</v>
      </c>
      <c r="AF473" t="s">
        <v>1223</v>
      </c>
    </row>
    <row r="474" spans="1:32" x14ac:dyDescent="0.3">
      <c r="A474">
        <v>461</v>
      </c>
      <c r="B474" t="s">
        <v>1224</v>
      </c>
      <c r="C474">
        <v>33</v>
      </c>
      <c r="D474" t="s">
        <v>256</v>
      </c>
      <c r="E474" t="s">
        <v>101</v>
      </c>
      <c r="F474">
        <v>37</v>
      </c>
      <c r="G474">
        <v>1</v>
      </c>
      <c r="H474">
        <v>8</v>
      </c>
      <c r="I474">
        <v>9</v>
      </c>
      <c r="J474">
        <v>-4</v>
      </c>
      <c r="K474">
        <v>8</v>
      </c>
      <c r="L474">
        <v>1</v>
      </c>
      <c r="M474">
        <v>0</v>
      </c>
      <c r="N474">
        <v>0</v>
      </c>
      <c r="O474">
        <v>0</v>
      </c>
      <c r="P474">
        <v>6</v>
      </c>
      <c r="Q474">
        <v>2</v>
      </c>
      <c r="R474">
        <v>0</v>
      </c>
      <c r="S474">
        <v>55</v>
      </c>
      <c r="T474">
        <v>1.8</v>
      </c>
      <c r="U474">
        <v>113</v>
      </c>
      <c r="V474" s="2">
        <v>22.474305555555556</v>
      </c>
      <c r="W474" s="3">
        <v>0.60763888888888884</v>
      </c>
      <c r="X474">
        <v>8</v>
      </c>
      <c r="Y474">
        <v>6</v>
      </c>
      <c r="Z474">
        <v>57.1</v>
      </c>
      <c r="AA474">
        <v>25</v>
      </c>
      <c r="AB474">
        <v>17</v>
      </c>
      <c r="AC474">
        <v>13</v>
      </c>
      <c r="AD474">
        <v>26</v>
      </c>
      <c r="AF474" t="s">
        <v>1225</v>
      </c>
    </row>
    <row r="475" spans="1:32" x14ac:dyDescent="0.3">
      <c r="A475">
        <v>462</v>
      </c>
      <c r="B475" t="s">
        <v>1226</v>
      </c>
      <c r="C475">
        <v>26</v>
      </c>
      <c r="D475" t="s">
        <v>472</v>
      </c>
      <c r="E475" t="s">
        <v>87</v>
      </c>
      <c r="F475">
        <v>43</v>
      </c>
      <c r="G475">
        <v>1</v>
      </c>
      <c r="H475">
        <v>8</v>
      </c>
      <c r="I475">
        <v>9</v>
      </c>
      <c r="J475">
        <v>-4</v>
      </c>
      <c r="K475">
        <v>10</v>
      </c>
      <c r="L475">
        <v>1</v>
      </c>
      <c r="M475">
        <v>0</v>
      </c>
      <c r="N475">
        <v>0</v>
      </c>
      <c r="O475">
        <v>0</v>
      </c>
      <c r="P475">
        <v>7</v>
      </c>
      <c r="Q475">
        <v>0</v>
      </c>
      <c r="R475">
        <v>1</v>
      </c>
      <c r="S475">
        <v>41</v>
      </c>
      <c r="T475">
        <v>2.4</v>
      </c>
      <c r="U475">
        <v>95</v>
      </c>
      <c r="V475" s="2">
        <v>28.113194444444446</v>
      </c>
      <c r="W475" s="3">
        <v>0.65347222222222223</v>
      </c>
      <c r="X475">
        <v>0</v>
      </c>
      <c r="Y475">
        <v>0</v>
      </c>
      <c r="AA475">
        <v>39</v>
      </c>
      <c r="AB475">
        <v>9</v>
      </c>
      <c r="AC475">
        <v>14</v>
      </c>
      <c r="AD475">
        <v>41</v>
      </c>
      <c r="AF475" t="s">
        <v>1227</v>
      </c>
    </row>
    <row r="476" spans="1:32" x14ac:dyDescent="0.3">
      <c r="A476">
        <v>462</v>
      </c>
      <c r="B476" t="s">
        <v>1226</v>
      </c>
      <c r="C476">
        <v>26</v>
      </c>
      <c r="D476" t="s">
        <v>157</v>
      </c>
      <c r="E476" t="s">
        <v>87</v>
      </c>
      <c r="F476">
        <v>30</v>
      </c>
      <c r="G476">
        <v>1</v>
      </c>
      <c r="H476">
        <v>8</v>
      </c>
      <c r="I476">
        <v>9</v>
      </c>
      <c r="J476">
        <v>-1</v>
      </c>
      <c r="K476">
        <v>10</v>
      </c>
      <c r="L476">
        <v>1</v>
      </c>
      <c r="M476">
        <v>0</v>
      </c>
      <c r="N476">
        <v>0</v>
      </c>
      <c r="O476">
        <v>0</v>
      </c>
      <c r="P476">
        <v>7</v>
      </c>
      <c r="Q476">
        <v>0</v>
      </c>
      <c r="R476">
        <v>1</v>
      </c>
      <c r="S476">
        <v>30</v>
      </c>
      <c r="T476">
        <v>3.3</v>
      </c>
      <c r="U476">
        <v>67</v>
      </c>
      <c r="V476" s="2">
        <v>18.582638888888887</v>
      </c>
      <c r="W476" s="3">
        <v>0.61944444444444446</v>
      </c>
      <c r="X476">
        <v>0</v>
      </c>
      <c r="Y476">
        <v>0</v>
      </c>
      <c r="AA476">
        <v>25</v>
      </c>
      <c r="AB476">
        <v>5</v>
      </c>
      <c r="AC476">
        <v>9</v>
      </c>
      <c r="AD476">
        <v>22</v>
      </c>
      <c r="AF476" t="s">
        <v>1227</v>
      </c>
    </row>
    <row r="477" spans="1:32" x14ac:dyDescent="0.3">
      <c r="A477">
        <v>462</v>
      </c>
      <c r="B477" t="s">
        <v>1226</v>
      </c>
      <c r="C477">
        <v>26</v>
      </c>
      <c r="D477" t="s">
        <v>250</v>
      </c>
      <c r="E477" t="s">
        <v>87</v>
      </c>
      <c r="F477">
        <v>13</v>
      </c>
      <c r="G477">
        <v>0</v>
      </c>
      <c r="H477">
        <v>0</v>
      </c>
      <c r="I477">
        <v>0</v>
      </c>
      <c r="J477">
        <v>-3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11</v>
      </c>
      <c r="T477">
        <v>0</v>
      </c>
      <c r="U477">
        <v>28</v>
      </c>
      <c r="V477" s="2">
        <v>9.530555555555555</v>
      </c>
      <c r="W477" s="3">
        <v>0.73333333333333328</v>
      </c>
      <c r="X477">
        <v>0</v>
      </c>
      <c r="Y477">
        <v>0</v>
      </c>
      <c r="AA477">
        <v>14</v>
      </c>
      <c r="AB477">
        <v>4</v>
      </c>
      <c r="AC477">
        <v>5</v>
      </c>
      <c r="AD477">
        <v>19</v>
      </c>
      <c r="AF477" t="s">
        <v>1227</v>
      </c>
    </row>
    <row r="478" spans="1:32" x14ac:dyDescent="0.3">
      <c r="A478">
        <v>463</v>
      </c>
      <c r="B478" t="s">
        <v>1228</v>
      </c>
      <c r="C478">
        <v>22</v>
      </c>
      <c r="D478" t="s">
        <v>157</v>
      </c>
      <c r="E478" t="s">
        <v>78</v>
      </c>
      <c r="F478">
        <v>41</v>
      </c>
      <c r="G478">
        <v>2</v>
      </c>
      <c r="H478">
        <v>7</v>
      </c>
      <c r="I478">
        <v>9</v>
      </c>
      <c r="J478">
        <v>-4</v>
      </c>
      <c r="K478">
        <v>14</v>
      </c>
      <c r="L478">
        <v>1</v>
      </c>
      <c r="M478">
        <v>0</v>
      </c>
      <c r="N478">
        <v>1</v>
      </c>
      <c r="O478">
        <v>0</v>
      </c>
      <c r="P478">
        <v>7</v>
      </c>
      <c r="Q478">
        <v>0</v>
      </c>
      <c r="R478">
        <v>0</v>
      </c>
      <c r="S478">
        <v>53</v>
      </c>
      <c r="T478">
        <v>3.8</v>
      </c>
      <c r="U478">
        <v>94</v>
      </c>
      <c r="V478" s="2">
        <v>21.03263888888889</v>
      </c>
      <c r="W478" s="3">
        <v>0.5131944444444444</v>
      </c>
      <c r="X478">
        <v>126</v>
      </c>
      <c r="Y478">
        <v>158</v>
      </c>
      <c r="Z478">
        <v>44.4</v>
      </c>
      <c r="AA478">
        <v>14</v>
      </c>
      <c r="AB478">
        <v>34</v>
      </c>
      <c r="AC478">
        <v>8</v>
      </c>
      <c r="AD478">
        <v>20</v>
      </c>
      <c r="AF478" t="s">
        <v>1229</v>
      </c>
    </row>
    <row r="479" spans="1:32" x14ac:dyDescent="0.3">
      <c r="A479">
        <v>464</v>
      </c>
      <c r="B479" t="s">
        <v>1230</v>
      </c>
      <c r="C479">
        <v>22</v>
      </c>
      <c r="D479" t="s">
        <v>200</v>
      </c>
      <c r="E479" t="s">
        <v>78</v>
      </c>
      <c r="F479">
        <v>40</v>
      </c>
      <c r="G479">
        <v>3</v>
      </c>
      <c r="H479">
        <v>6</v>
      </c>
      <c r="I479">
        <v>9</v>
      </c>
      <c r="J479">
        <v>-1</v>
      </c>
      <c r="K479">
        <v>8</v>
      </c>
      <c r="L479">
        <v>3</v>
      </c>
      <c r="M479">
        <v>0</v>
      </c>
      <c r="N479">
        <v>0</v>
      </c>
      <c r="O479">
        <v>0</v>
      </c>
      <c r="P479">
        <v>6</v>
      </c>
      <c r="Q479">
        <v>0</v>
      </c>
      <c r="R479">
        <v>0</v>
      </c>
      <c r="S479">
        <v>39</v>
      </c>
      <c r="T479">
        <v>7.7</v>
      </c>
      <c r="U479">
        <v>82</v>
      </c>
      <c r="V479" s="2">
        <v>19.491666666666667</v>
      </c>
      <c r="W479" s="3">
        <v>0.48749999999999999</v>
      </c>
      <c r="X479">
        <v>0</v>
      </c>
      <c r="Y479">
        <v>4</v>
      </c>
      <c r="Z479">
        <v>0</v>
      </c>
      <c r="AA479">
        <v>19</v>
      </c>
      <c r="AB479">
        <v>39</v>
      </c>
      <c r="AC479">
        <v>6</v>
      </c>
      <c r="AD479">
        <v>16</v>
      </c>
      <c r="AF479" t="s">
        <v>1231</v>
      </c>
    </row>
    <row r="480" spans="1:32" x14ac:dyDescent="0.3">
      <c r="A480">
        <v>465</v>
      </c>
      <c r="B480" t="s">
        <v>1232</v>
      </c>
      <c r="C480">
        <v>27</v>
      </c>
      <c r="D480" t="s">
        <v>210</v>
      </c>
      <c r="E480" t="s">
        <v>95</v>
      </c>
      <c r="F480">
        <v>27</v>
      </c>
      <c r="G480">
        <v>4</v>
      </c>
      <c r="H480">
        <v>5</v>
      </c>
      <c r="I480">
        <v>9</v>
      </c>
      <c r="J480">
        <v>5</v>
      </c>
      <c r="K480">
        <v>8</v>
      </c>
      <c r="L480">
        <v>4</v>
      </c>
      <c r="M480">
        <v>0</v>
      </c>
      <c r="N480">
        <v>0</v>
      </c>
      <c r="O480">
        <v>0</v>
      </c>
      <c r="P480">
        <v>5</v>
      </c>
      <c r="Q480">
        <v>0</v>
      </c>
      <c r="R480">
        <v>0</v>
      </c>
      <c r="S480">
        <v>20</v>
      </c>
      <c r="T480">
        <v>20</v>
      </c>
      <c r="U480">
        <v>38</v>
      </c>
      <c r="V480" s="2">
        <v>12.872916666666667</v>
      </c>
      <c r="W480" s="3">
        <v>0.47708333333333336</v>
      </c>
      <c r="X480">
        <v>10</v>
      </c>
      <c r="Y480">
        <v>19</v>
      </c>
      <c r="Z480">
        <v>34.5</v>
      </c>
      <c r="AA480">
        <v>6</v>
      </c>
      <c r="AB480">
        <v>14</v>
      </c>
      <c r="AC480">
        <v>2</v>
      </c>
      <c r="AD480">
        <v>10</v>
      </c>
      <c r="AF480" t="s">
        <v>1233</v>
      </c>
    </row>
    <row r="481" spans="1:32" x14ac:dyDescent="0.3">
      <c r="A481">
        <v>466</v>
      </c>
      <c r="B481" t="s">
        <v>1234</v>
      </c>
      <c r="C481">
        <v>30</v>
      </c>
      <c r="D481" t="s">
        <v>278</v>
      </c>
      <c r="E481" t="s">
        <v>78</v>
      </c>
      <c r="F481">
        <v>37</v>
      </c>
      <c r="G481">
        <v>2</v>
      </c>
      <c r="H481">
        <v>6</v>
      </c>
      <c r="I481">
        <v>8</v>
      </c>
      <c r="J481">
        <v>-1</v>
      </c>
      <c r="K481">
        <v>13</v>
      </c>
      <c r="L481">
        <v>1</v>
      </c>
      <c r="M481">
        <v>0</v>
      </c>
      <c r="N481">
        <v>1</v>
      </c>
      <c r="O481">
        <v>0</v>
      </c>
      <c r="P481">
        <v>5</v>
      </c>
      <c r="Q481">
        <v>0</v>
      </c>
      <c r="R481">
        <v>1</v>
      </c>
      <c r="S481">
        <v>39</v>
      </c>
      <c r="T481">
        <v>5.0999999999999996</v>
      </c>
      <c r="U481">
        <v>79</v>
      </c>
      <c r="V481" s="2">
        <v>16.522916666666667</v>
      </c>
      <c r="W481" s="3">
        <v>0.4465277777777778</v>
      </c>
      <c r="X481">
        <v>146</v>
      </c>
      <c r="Y481">
        <v>131</v>
      </c>
      <c r="Z481">
        <v>52.7</v>
      </c>
      <c r="AA481">
        <v>23</v>
      </c>
      <c r="AB481">
        <v>42</v>
      </c>
      <c r="AC481">
        <v>11</v>
      </c>
      <c r="AD481">
        <v>13</v>
      </c>
      <c r="AF481" t="s">
        <v>1235</v>
      </c>
    </row>
    <row r="482" spans="1:32" x14ac:dyDescent="0.3">
      <c r="A482">
        <v>467</v>
      </c>
      <c r="B482" t="s">
        <v>1236</v>
      </c>
      <c r="C482">
        <v>26</v>
      </c>
      <c r="D482" t="s">
        <v>91</v>
      </c>
      <c r="E482" t="s">
        <v>87</v>
      </c>
      <c r="F482">
        <v>43</v>
      </c>
      <c r="G482">
        <v>2</v>
      </c>
      <c r="H482">
        <v>6</v>
      </c>
      <c r="I482">
        <v>8</v>
      </c>
      <c r="J482">
        <v>6</v>
      </c>
      <c r="K482">
        <v>14</v>
      </c>
      <c r="L482">
        <v>2</v>
      </c>
      <c r="M482">
        <v>0</v>
      </c>
      <c r="N482">
        <v>0</v>
      </c>
      <c r="O482">
        <v>0</v>
      </c>
      <c r="P482">
        <v>6</v>
      </c>
      <c r="Q482">
        <v>0</v>
      </c>
      <c r="R482">
        <v>0</v>
      </c>
      <c r="S482">
        <v>33</v>
      </c>
      <c r="T482">
        <v>6.1</v>
      </c>
      <c r="U482">
        <v>92</v>
      </c>
      <c r="V482" s="2">
        <v>35.908333333333331</v>
      </c>
      <c r="W482" s="3">
        <v>0.8354166666666667</v>
      </c>
      <c r="X482">
        <v>0</v>
      </c>
      <c r="Y482">
        <v>0</v>
      </c>
      <c r="AA482">
        <v>68</v>
      </c>
      <c r="AB482">
        <v>51</v>
      </c>
      <c r="AC482">
        <v>6</v>
      </c>
      <c r="AD482">
        <v>30</v>
      </c>
      <c r="AF482" t="s">
        <v>1237</v>
      </c>
    </row>
    <row r="483" spans="1:32" x14ac:dyDescent="0.3">
      <c r="A483">
        <v>468</v>
      </c>
      <c r="B483" t="s">
        <v>1238</v>
      </c>
      <c r="C483">
        <v>25</v>
      </c>
      <c r="D483" t="s">
        <v>82</v>
      </c>
      <c r="E483" t="s">
        <v>87</v>
      </c>
      <c r="F483">
        <v>43</v>
      </c>
      <c r="G483">
        <v>3</v>
      </c>
      <c r="H483">
        <v>5</v>
      </c>
      <c r="I483">
        <v>8</v>
      </c>
      <c r="J483">
        <v>10</v>
      </c>
      <c r="K483">
        <v>31</v>
      </c>
      <c r="L483">
        <v>3</v>
      </c>
      <c r="M483">
        <v>0</v>
      </c>
      <c r="N483">
        <v>0</v>
      </c>
      <c r="O483">
        <v>2</v>
      </c>
      <c r="P483">
        <v>5</v>
      </c>
      <c r="Q483">
        <v>0</v>
      </c>
      <c r="R483">
        <v>0</v>
      </c>
      <c r="S483">
        <v>37</v>
      </c>
      <c r="T483">
        <v>8.1</v>
      </c>
      <c r="U483">
        <v>84</v>
      </c>
      <c r="V483" s="2">
        <v>38.170833333333334</v>
      </c>
      <c r="W483" s="3">
        <v>0.88749999999999996</v>
      </c>
      <c r="X483">
        <v>0</v>
      </c>
      <c r="Y483">
        <v>0</v>
      </c>
      <c r="AA483">
        <v>63</v>
      </c>
      <c r="AB483">
        <v>65</v>
      </c>
      <c r="AC483">
        <v>31</v>
      </c>
      <c r="AD483">
        <v>52</v>
      </c>
      <c r="AF483" t="s">
        <v>1239</v>
      </c>
    </row>
    <row r="484" spans="1:32" x14ac:dyDescent="0.3">
      <c r="A484">
        <v>469</v>
      </c>
      <c r="B484" t="s">
        <v>1240</v>
      </c>
      <c r="C484">
        <v>32</v>
      </c>
      <c r="D484" t="s">
        <v>91</v>
      </c>
      <c r="E484" t="s">
        <v>87</v>
      </c>
      <c r="F484">
        <v>43</v>
      </c>
      <c r="G484">
        <v>1</v>
      </c>
      <c r="H484">
        <v>7</v>
      </c>
      <c r="I484">
        <v>8</v>
      </c>
      <c r="J484">
        <v>-1</v>
      </c>
      <c r="K484">
        <v>8</v>
      </c>
      <c r="L484">
        <v>1</v>
      </c>
      <c r="M484">
        <v>0</v>
      </c>
      <c r="N484">
        <v>0</v>
      </c>
      <c r="O484">
        <v>0</v>
      </c>
      <c r="P484">
        <v>6</v>
      </c>
      <c r="Q484">
        <v>0</v>
      </c>
      <c r="R484">
        <v>1</v>
      </c>
      <c r="S484">
        <v>34</v>
      </c>
      <c r="T484">
        <v>2.9</v>
      </c>
      <c r="U484">
        <v>104</v>
      </c>
      <c r="V484" s="2">
        <v>30.978472222222223</v>
      </c>
      <c r="W484" s="3">
        <v>0.72013888888888888</v>
      </c>
      <c r="X484">
        <v>0</v>
      </c>
      <c r="Y484">
        <v>0</v>
      </c>
      <c r="AA484">
        <v>54</v>
      </c>
      <c r="AB484">
        <v>19</v>
      </c>
      <c r="AC484">
        <v>9</v>
      </c>
      <c r="AD484">
        <v>36</v>
      </c>
      <c r="AF484" t="s">
        <v>1241</v>
      </c>
    </row>
    <row r="485" spans="1:32" x14ac:dyDescent="0.3">
      <c r="A485">
        <v>470</v>
      </c>
      <c r="B485" t="s">
        <v>1242</v>
      </c>
      <c r="C485">
        <v>20</v>
      </c>
      <c r="D485" t="s">
        <v>116</v>
      </c>
      <c r="E485" t="s">
        <v>101</v>
      </c>
      <c r="F485">
        <v>10</v>
      </c>
      <c r="G485">
        <v>3</v>
      </c>
      <c r="H485">
        <v>5</v>
      </c>
      <c r="I485">
        <v>8</v>
      </c>
      <c r="J485">
        <v>3</v>
      </c>
      <c r="K485">
        <v>2</v>
      </c>
      <c r="L485">
        <v>2</v>
      </c>
      <c r="M485">
        <v>1</v>
      </c>
      <c r="N485">
        <v>0</v>
      </c>
      <c r="O485">
        <v>1</v>
      </c>
      <c r="P485">
        <v>4</v>
      </c>
      <c r="Q485">
        <v>1</v>
      </c>
      <c r="R485">
        <v>0</v>
      </c>
      <c r="S485">
        <v>18</v>
      </c>
      <c r="T485">
        <v>16.7</v>
      </c>
      <c r="U485">
        <v>37</v>
      </c>
      <c r="V485" s="2">
        <v>6.5291666666666668</v>
      </c>
      <c r="W485" s="3">
        <v>0.65277777777777779</v>
      </c>
      <c r="X485">
        <v>0</v>
      </c>
      <c r="Y485">
        <v>0</v>
      </c>
      <c r="AA485">
        <v>5</v>
      </c>
      <c r="AB485">
        <v>3</v>
      </c>
      <c r="AC485">
        <v>0</v>
      </c>
      <c r="AD485">
        <v>12</v>
      </c>
      <c r="AF485" t="s">
        <v>1243</v>
      </c>
    </row>
    <row r="486" spans="1:32" x14ac:dyDescent="0.3">
      <c r="A486">
        <v>471</v>
      </c>
      <c r="B486" t="s">
        <v>1244</v>
      </c>
      <c r="C486">
        <v>23</v>
      </c>
      <c r="D486" t="s">
        <v>290</v>
      </c>
      <c r="E486" t="s">
        <v>78</v>
      </c>
      <c r="F486">
        <v>44</v>
      </c>
      <c r="G486">
        <v>3</v>
      </c>
      <c r="H486">
        <v>5</v>
      </c>
      <c r="I486">
        <v>8</v>
      </c>
      <c r="J486">
        <v>-15</v>
      </c>
      <c r="K486">
        <v>45</v>
      </c>
      <c r="L486">
        <v>2</v>
      </c>
      <c r="M486">
        <v>1</v>
      </c>
      <c r="N486">
        <v>0</v>
      </c>
      <c r="O486">
        <v>1</v>
      </c>
      <c r="P486">
        <v>4</v>
      </c>
      <c r="Q486">
        <v>1</v>
      </c>
      <c r="R486">
        <v>0</v>
      </c>
      <c r="S486">
        <v>45</v>
      </c>
      <c r="T486">
        <v>6.7</v>
      </c>
      <c r="U486">
        <v>98</v>
      </c>
      <c r="V486" s="2">
        <v>22.288194444444443</v>
      </c>
      <c r="W486" s="3">
        <v>0.50624999999999998</v>
      </c>
      <c r="X486">
        <v>26</v>
      </c>
      <c r="Y486">
        <v>44</v>
      </c>
      <c r="Z486">
        <v>37.1</v>
      </c>
      <c r="AA486">
        <v>24</v>
      </c>
      <c r="AB486">
        <v>155</v>
      </c>
      <c r="AC486">
        <v>12</v>
      </c>
      <c r="AD486">
        <v>24</v>
      </c>
      <c r="AF486" t="s">
        <v>1245</v>
      </c>
    </row>
    <row r="487" spans="1:32" x14ac:dyDescent="0.3">
      <c r="A487">
        <v>472</v>
      </c>
      <c r="B487" t="s">
        <v>1246</v>
      </c>
      <c r="C487">
        <v>25</v>
      </c>
      <c r="D487" t="s">
        <v>250</v>
      </c>
      <c r="E487" t="s">
        <v>87</v>
      </c>
      <c r="F487">
        <v>39</v>
      </c>
      <c r="G487">
        <v>1</v>
      </c>
      <c r="H487">
        <v>7</v>
      </c>
      <c r="I487">
        <v>8</v>
      </c>
      <c r="J487">
        <v>6</v>
      </c>
      <c r="K487">
        <v>10</v>
      </c>
      <c r="L487">
        <v>1</v>
      </c>
      <c r="M487">
        <v>0</v>
      </c>
      <c r="N487">
        <v>0</v>
      </c>
      <c r="O487">
        <v>1</v>
      </c>
      <c r="P487">
        <v>7</v>
      </c>
      <c r="Q487">
        <v>0</v>
      </c>
      <c r="R487">
        <v>0</v>
      </c>
      <c r="S487">
        <v>23</v>
      </c>
      <c r="T487">
        <v>4.3</v>
      </c>
      <c r="U487">
        <v>62</v>
      </c>
      <c r="V487" s="2">
        <v>25.390277777777779</v>
      </c>
      <c r="W487" s="3">
        <v>0.65069444444444446</v>
      </c>
      <c r="X487">
        <v>0</v>
      </c>
      <c r="Y487">
        <v>0</v>
      </c>
      <c r="AA487">
        <v>67</v>
      </c>
      <c r="AB487">
        <v>57</v>
      </c>
      <c r="AC487">
        <v>8</v>
      </c>
      <c r="AD487">
        <v>31</v>
      </c>
      <c r="AF487" t="s">
        <v>1247</v>
      </c>
    </row>
    <row r="488" spans="1:32" x14ac:dyDescent="0.3">
      <c r="A488">
        <v>473</v>
      </c>
      <c r="B488" t="s">
        <v>1248</v>
      </c>
      <c r="C488">
        <v>29</v>
      </c>
      <c r="D488" t="s">
        <v>91</v>
      </c>
      <c r="E488" t="s">
        <v>101</v>
      </c>
      <c r="F488">
        <v>35</v>
      </c>
      <c r="G488">
        <v>6</v>
      </c>
      <c r="H488">
        <v>2</v>
      </c>
      <c r="I488">
        <v>8</v>
      </c>
      <c r="J488">
        <v>-1</v>
      </c>
      <c r="K488">
        <v>14</v>
      </c>
      <c r="L488">
        <v>6</v>
      </c>
      <c r="M488">
        <v>0</v>
      </c>
      <c r="N488">
        <v>0</v>
      </c>
      <c r="O488">
        <v>1</v>
      </c>
      <c r="P488">
        <v>2</v>
      </c>
      <c r="Q488">
        <v>0</v>
      </c>
      <c r="R488">
        <v>0</v>
      </c>
      <c r="S488">
        <v>56</v>
      </c>
      <c r="T488">
        <v>10.7</v>
      </c>
      <c r="U488">
        <v>115</v>
      </c>
      <c r="V488" s="2">
        <v>20.940277777777776</v>
      </c>
      <c r="W488" s="3">
        <v>0.59861111111111109</v>
      </c>
      <c r="X488">
        <v>6</v>
      </c>
      <c r="Y488">
        <v>11</v>
      </c>
      <c r="Z488">
        <v>35.299999999999997</v>
      </c>
      <c r="AA488">
        <v>7</v>
      </c>
      <c r="AB488">
        <v>40</v>
      </c>
      <c r="AC488">
        <v>8</v>
      </c>
      <c r="AD488">
        <v>38</v>
      </c>
      <c r="AF488" t="s">
        <v>1249</v>
      </c>
    </row>
    <row r="489" spans="1:32" x14ac:dyDescent="0.3">
      <c r="A489">
        <v>474</v>
      </c>
      <c r="B489" t="s">
        <v>1250</v>
      </c>
      <c r="C489">
        <v>38</v>
      </c>
      <c r="D489" t="s">
        <v>290</v>
      </c>
      <c r="E489" t="s">
        <v>101</v>
      </c>
      <c r="F489">
        <v>22</v>
      </c>
      <c r="G489">
        <v>1</v>
      </c>
      <c r="H489">
        <v>7</v>
      </c>
      <c r="I489">
        <v>8</v>
      </c>
      <c r="J489">
        <v>0</v>
      </c>
      <c r="K489">
        <v>18</v>
      </c>
      <c r="L489">
        <v>1</v>
      </c>
      <c r="M489">
        <v>0</v>
      </c>
      <c r="N489">
        <v>0</v>
      </c>
      <c r="O489">
        <v>0</v>
      </c>
      <c r="P489">
        <v>4</v>
      </c>
      <c r="Q489">
        <v>2</v>
      </c>
      <c r="R489">
        <v>1</v>
      </c>
      <c r="S489">
        <v>23</v>
      </c>
      <c r="T489">
        <v>4.3</v>
      </c>
      <c r="U489">
        <v>40</v>
      </c>
      <c r="V489" s="2">
        <v>12.950694444444444</v>
      </c>
      <c r="W489" s="3">
        <v>0.58888888888888891</v>
      </c>
      <c r="X489">
        <v>116</v>
      </c>
      <c r="Y489">
        <v>106</v>
      </c>
      <c r="Z489">
        <v>52.3</v>
      </c>
      <c r="AA489">
        <v>17</v>
      </c>
      <c r="AB489">
        <v>57</v>
      </c>
      <c r="AC489">
        <v>2</v>
      </c>
      <c r="AD489">
        <v>15</v>
      </c>
      <c r="AF489" t="s">
        <v>1251</v>
      </c>
    </row>
    <row r="490" spans="1:32" x14ac:dyDescent="0.3">
      <c r="A490">
        <v>475</v>
      </c>
      <c r="B490" t="s">
        <v>1252</v>
      </c>
      <c r="C490">
        <v>32</v>
      </c>
      <c r="D490" t="s">
        <v>121</v>
      </c>
      <c r="E490" t="s">
        <v>78</v>
      </c>
      <c r="F490">
        <v>35</v>
      </c>
      <c r="G490">
        <v>6</v>
      </c>
      <c r="H490">
        <v>2</v>
      </c>
      <c r="I490">
        <v>8</v>
      </c>
      <c r="J490">
        <v>-1</v>
      </c>
      <c r="K490">
        <v>12</v>
      </c>
      <c r="L490">
        <v>6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0</v>
      </c>
      <c r="S490">
        <v>49</v>
      </c>
      <c r="T490">
        <v>12.2</v>
      </c>
      <c r="U490">
        <v>84</v>
      </c>
      <c r="V490" s="2">
        <v>21.777777777777779</v>
      </c>
      <c r="W490" s="3">
        <v>0.62222222222222223</v>
      </c>
      <c r="X490">
        <v>37</v>
      </c>
      <c r="Y490">
        <v>62</v>
      </c>
      <c r="Z490">
        <v>37.4</v>
      </c>
      <c r="AA490">
        <v>21</v>
      </c>
      <c r="AB490">
        <v>98</v>
      </c>
      <c r="AC490">
        <v>2</v>
      </c>
      <c r="AD490">
        <v>18</v>
      </c>
      <c r="AF490" t="s">
        <v>1253</v>
      </c>
    </row>
    <row r="491" spans="1:32" x14ac:dyDescent="0.3">
      <c r="A491">
        <v>476</v>
      </c>
      <c r="B491" t="s">
        <v>1254</v>
      </c>
      <c r="C491">
        <v>32</v>
      </c>
      <c r="D491" t="s">
        <v>116</v>
      </c>
      <c r="E491" t="s">
        <v>95</v>
      </c>
      <c r="F491">
        <v>43</v>
      </c>
      <c r="G491">
        <v>3</v>
      </c>
      <c r="H491">
        <v>5</v>
      </c>
      <c r="I491">
        <v>8</v>
      </c>
      <c r="J491">
        <v>-10</v>
      </c>
      <c r="K491">
        <v>28</v>
      </c>
      <c r="L491">
        <v>3</v>
      </c>
      <c r="M491">
        <v>0</v>
      </c>
      <c r="N491">
        <v>0</v>
      </c>
      <c r="O491">
        <v>0</v>
      </c>
      <c r="P491">
        <v>5</v>
      </c>
      <c r="Q491">
        <v>0</v>
      </c>
      <c r="R491">
        <v>0</v>
      </c>
      <c r="S491">
        <v>36</v>
      </c>
      <c r="T491">
        <v>8.3000000000000007</v>
      </c>
      <c r="U491">
        <v>69</v>
      </c>
      <c r="V491" s="2">
        <v>20.981249999999999</v>
      </c>
      <c r="W491" s="3">
        <v>0.48819444444444443</v>
      </c>
      <c r="X491">
        <v>10</v>
      </c>
      <c r="Y491">
        <v>19</v>
      </c>
      <c r="Z491">
        <v>34.5</v>
      </c>
      <c r="AA491">
        <v>31</v>
      </c>
      <c r="AB491">
        <v>63</v>
      </c>
      <c r="AC491">
        <v>5</v>
      </c>
      <c r="AD491">
        <v>20</v>
      </c>
      <c r="AF491" t="s">
        <v>1255</v>
      </c>
    </row>
    <row r="492" spans="1:32" x14ac:dyDescent="0.3">
      <c r="A492">
        <v>477</v>
      </c>
      <c r="B492" t="s">
        <v>1256</v>
      </c>
      <c r="C492">
        <v>28</v>
      </c>
      <c r="D492" t="s">
        <v>278</v>
      </c>
      <c r="E492" t="s">
        <v>95</v>
      </c>
      <c r="F492">
        <v>16</v>
      </c>
      <c r="G492">
        <v>7</v>
      </c>
      <c r="H492">
        <v>1</v>
      </c>
      <c r="I492">
        <v>8</v>
      </c>
      <c r="J492">
        <v>7</v>
      </c>
      <c r="K492">
        <v>8</v>
      </c>
      <c r="L492">
        <v>7</v>
      </c>
      <c r="M492">
        <v>0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22</v>
      </c>
      <c r="T492">
        <v>31.8</v>
      </c>
      <c r="U492">
        <v>38</v>
      </c>
      <c r="V492" s="2">
        <v>8.6826388888888886</v>
      </c>
      <c r="W492" s="3">
        <v>0.54236111111111107</v>
      </c>
      <c r="X492">
        <v>1</v>
      </c>
      <c r="Y492">
        <v>2</v>
      </c>
      <c r="Z492">
        <v>33.299999999999997</v>
      </c>
      <c r="AA492">
        <v>10</v>
      </c>
      <c r="AB492">
        <v>48</v>
      </c>
      <c r="AC492">
        <v>2</v>
      </c>
      <c r="AD492">
        <v>6</v>
      </c>
      <c r="AF492" t="s">
        <v>1257</v>
      </c>
    </row>
    <row r="493" spans="1:32" x14ac:dyDescent="0.3">
      <c r="A493">
        <v>478</v>
      </c>
      <c r="B493" t="s">
        <v>1258</v>
      </c>
      <c r="C493">
        <v>35</v>
      </c>
      <c r="D493" t="s">
        <v>113</v>
      </c>
      <c r="E493" t="s">
        <v>87</v>
      </c>
      <c r="F493">
        <v>31</v>
      </c>
      <c r="G493">
        <v>1</v>
      </c>
      <c r="H493">
        <v>7</v>
      </c>
      <c r="I493">
        <v>8</v>
      </c>
      <c r="J493">
        <v>-4</v>
      </c>
      <c r="K493">
        <v>20</v>
      </c>
      <c r="L493">
        <v>1</v>
      </c>
      <c r="M493">
        <v>0</v>
      </c>
      <c r="N493">
        <v>0</v>
      </c>
      <c r="O493">
        <v>0</v>
      </c>
      <c r="P493">
        <v>7</v>
      </c>
      <c r="Q493">
        <v>0</v>
      </c>
      <c r="R493">
        <v>0</v>
      </c>
      <c r="S493">
        <v>38</v>
      </c>
      <c r="T493">
        <v>2.6</v>
      </c>
      <c r="U493">
        <v>99</v>
      </c>
      <c r="V493" s="2">
        <v>21.627083333333335</v>
      </c>
      <c r="W493" s="3">
        <v>0.69791666666666663</v>
      </c>
      <c r="X493">
        <v>0</v>
      </c>
      <c r="Y493">
        <v>0</v>
      </c>
      <c r="AA493">
        <v>58</v>
      </c>
      <c r="AB493">
        <v>108</v>
      </c>
      <c r="AC493">
        <v>8</v>
      </c>
      <c r="AD493">
        <v>27</v>
      </c>
      <c r="AF493" t="s">
        <v>1259</v>
      </c>
    </row>
    <row r="494" spans="1:32" x14ac:dyDescent="0.3">
      <c r="A494">
        <v>479</v>
      </c>
      <c r="B494" t="s">
        <v>1260</v>
      </c>
      <c r="C494">
        <v>23</v>
      </c>
      <c r="D494" t="s">
        <v>121</v>
      </c>
      <c r="E494" t="s">
        <v>78</v>
      </c>
      <c r="F494">
        <v>27</v>
      </c>
      <c r="G494">
        <v>3</v>
      </c>
      <c r="H494">
        <v>5</v>
      </c>
      <c r="I494">
        <v>8</v>
      </c>
      <c r="J494">
        <v>-2</v>
      </c>
      <c r="K494">
        <v>4</v>
      </c>
      <c r="L494">
        <v>3</v>
      </c>
      <c r="M494">
        <v>0</v>
      </c>
      <c r="N494">
        <v>0</v>
      </c>
      <c r="O494">
        <v>0</v>
      </c>
      <c r="P494">
        <v>5</v>
      </c>
      <c r="Q494">
        <v>0</v>
      </c>
      <c r="R494">
        <v>0</v>
      </c>
      <c r="S494">
        <v>27</v>
      </c>
      <c r="T494">
        <v>11.1</v>
      </c>
      <c r="U494">
        <v>66</v>
      </c>
      <c r="V494" s="2">
        <v>13.435416666666667</v>
      </c>
      <c r="W494" s="3">
        <v>0.49791666666666667</v>
      </c>
      <c r="X494">
        <v>68</v>
      </c>
      <c r="Y494">
        <v>87</v>
      </c>
      <c r="Z494">
        <v>43.9</v>
      </c>
      <c r="AA494">
        <v>11</v>
      </c>
      <c r="AB494">
        <v>40</v>
      </c>
      <c r="AC494">
        <v>6</v>
      </c>
      <c r="AD494">
        <v>18</v>
      </c>
      <c r="AF494" t="s">
        <v>1261</v>
      </c>
    </row>
    <row r="495" spans="1:32" x14ac:dyDescent="0.3">
      <c r="A495">
        <v>480</v>
      </c>
      <c r="B495" t="s">
        <v>1262</v>
      </c>
      <c r="C495">
        <v>27</v>
      </c>
      <c r="D495" t="s">
        <v>130</v>
      </c>
      <c r="E495" t="s">
        <v>101</v>
      </c>
      <c r="F495">
        <v>28</v>
      </c>
      <c r="G495">
        <v>3</v>
      </c>
      <c r="H495">
        <v>5</v>
      </c>
      <c r="I495">
        <v>8</v>
      </c>
      <c r="J495">
        <v>0</v>
      </c>
      <c r="K495">
        <v>12</v>
      </c>
      <c r="L495">
        <v>3</v>
      </c>
      <c r="M495">
        <v>0</v>
      </c>
      <c r="N495">
        <v>0</v>
      </c>
      <c r="O495">
        <v>1</v>
      </c>
      <c r="P495">
        <v>5</v>
      </c>
      <c r="Q495">
        <v>0</v>
      </c>
      <c r="R495">
        <v>0</v>
      </c>
      <c r="S495">
        <v>36</v>
      </c>
      <c r="T495">
        <v>8.3000000000000007</v>
      </c>
      <c r="U495">
        <v>68</v>
      </c>
      <c r="V495" s="2">
        <v>12.071527777777778</v>
      </c>
      <c r="W495" s="3">
        <v>0.43125000000000002</v>
      </c>
      <c r="X495">
        <v>0</v>
      </c>
      <c r="Y495">
        <v>0</v>
      </c>
      <c r="AA495">
        <v>6</v>
      </c>
      <c r="AB495">
        <v>87</v>
      </c>
      <c r="AC495">
        <v>7</v>
      </c>
      <c r="AD495">
        <v>11</v>
      </c>
      <c r="AF495" t="s">
        <v>1263</v>
      </c>
    </row>
    <row r="496" spans="1:32" x14ac:dyDescent="0.3">
      <c r="A496">
        <v>481</v>
      </c>
      <c r="B496" t="s">
        <v>1264</v>
      </c>
      <c r="C496">
        <v>28</v>
      </c>
      <c r="D496" t="s">
        <v>409</v>
      </c>
      <c r="E496" t="s">
        <v>95</v>
      </c>
      <c r="F496">
        <v>42</v>
      </c>
      <c r="G496">
        <v>1</v>
      </c>
      <c r="H496">
        <v>7</v>
      </c>
      <c r="I496">
        <v>8</v>
      </c>
      <c r="J496">
        <v>-7</v>
      </c>
      <c r="K496">
        <v>42</v>
      </c>
      <c r="L496">
        <v>1</v>
      </c>
      <c r="M496">
        <v>0</v>
      </c>
      <c r="N496">
        <v>0</v>
      </c>
      <c r="O496">
        <v>0</v>
      </c>
      <c r="P496">
        <v>7</v>
      </c>
      <c r="Q496">
        <v>0</v>
      </c>
      <c r="R496">
        <v>0</v>
      </c>
      <c r="S496">
        <v>37</v>
      </c>
      <c r="T496">
        <v>2.7</v>
      </c>
      <c r="U496">
        <v>66</v>
      </c>
      <c r="V496" s="2">
        <v>19.015972222222221</v>
      </c>
      <c r="W496" s="3">
        <v>0.45277777777777778</v>
      </c>
      <c r="X496">
        <v>9</v>
      </c>
      <c r="Y496">
        <v>10</v>
      </c>
      <c r="Z496">
        <v>47.4</v>
      </c>
      <c r="AA496">
        <v>26</v>
      </c>
      <c r="AB496">
        <v>131</v>
      </c>
      <c r="AC496">
        <v>2</v>
      </c>
      <c r="AD496">
        <v>17</v>
      </c>
      <c r="AF496" t="s">
        <v>1265</v>
      </c>
    </row>
    <row r="497" spans="1:32" x14ac:dyDescent="0.3">
      <c r="A497">
        <v>482</v>
      </c>
      <c r="B497" t="s">
        <v>1266</v>
      </c>
      <c r="C497">
        <v>23</v>
      </c>
      <c r="D497" t="s">
        <v>82</v>
      </c>
      <c r="E497" t="s">
        <v>87</v>
      </c>
      <c r="F497">
        <v>30</v>
      </c>
      <c r="G497">
        <v>3</v>
      </c>
      <c r="H497">
        <v>5</v>
      </c>
      <c r="I497">
        <v>8</v>
      </c>
      <c r="J497">
        <v>-3</v>
      </c>
      <c r="K497">
        <v>18</v>
      </c>
      <c r="L497">
        <v>3</v>
      </c>
      <c r="M497">
        <v>0</v>
      </c>
      <c r="N497">
        <v>0</v>
      </c>
      <c r="O497">
        <v>1</v>
      </c>
      <c r="P497">
        <v>4</v>
      </c>
      <c r="Q497">
        <v>0</v>
      </c>
      <c r="R497">
        <v>1</v>
      </c>
      <c r="S497">
        <v>29</v>
      </c>
      <c r="T497">
        <v>10.3</v>
      </c>
      <c r="U497">
        <v>70</v>
      </c>
      <c r="V497" s="2">
        <v>25.601388888888888</v>
      </c>
      <c r="W497" s="3">
        <v>0.85347222222222219</v>
      </c>
      <c r="X497">
        <v>0</v>
      </c>
      <c r="Y497">
        <v>0</v>
      </c>
      <c r="AA497">
        <v>48</v>
      </c>
      <c r="AB497">
        <v>45</v>
      </c>
      <c r="AC497">
        <v>4</v>
      </c>
      <c r="AD497">
        <v>26</v>
      </c>
      <c r="AF497" t="s">
        <v>1267</v>
      </c>
    </row>
    <row r="498" spans="1:32" x14ac:dyDescent="0.3">
      <c r="A498">
        <v>483</v>
      </c>
      <c r="B498" t="s">
        <v>1268</v>
      </c>
      <c r="C498">
        <v>30</v>
      </c>
      <c r="D498" t="s">
        <v>157</v>
      </c>
      <c r="E498" t="s">
        <v>95</v>
      </c>
      <c r="F498">
        <v>42</v>
      </c>
      <c r="G498">
        <v>1</v>
      </c>
      <c r="H498">
        <v>7</v>
      </c>
      <c r="I498">
        <v>8</v>
      </c>
      <c r="J498">
        <v>-9</v>
      </c>
      <c r="K498">
        <v>58</v>
      </c>
      <c r="L498">
        <v>1</v>
      </c>
      <c r="M498">
        <v>0</v>
      </c>
      <c r="N498">
        <v>0</v>
      </c>
      <c r="O498">
        <v>0</v>
      </c>
      <c r="P498">
        <v>7</v>
      </c>
      <c r="Q498">
        <v>0</v>
      </c>
      <c r="R498">
        <v>0</v>
      </c>
      <c r="S498">
        <v>59</v>
      </c>
      <c r="T498">
        <v>1.7</v>
      </c>
      <c r="U498">
        <v>107</v>
      </c>
      <c r="V498" s="2">
        <v>25.156944444444445</v>
      </c>
      <c r="W498" s="3">
        <v>0.59930555555555554</v>
      </c>
      <c r="X498">
        <v>315</v>
      </c>
      <c r="Y498">
        <v>270</v>
      </c>
      <c r="Z498">
        <v>53.8</v>
      </c>
      <c r="AA498">
        <v>41</v>
      </c>
      <c r="AB498">
        <v>122</v>
      </c>
      <c r="AC498">
        <v>13</v>
      </c>
      <c r="AD498">
        <v>24</v>
      </c>
      <c r="AF498" t="s">
        <v>1269</v>
      </c>
    </row>
    <row r="499" spans="1:32" x14ac:dyDescent="0.3">
      <c r="A499">
        <v>484</v>
      </c>
      <c r="B499" t="s">
        <v>1270</v>
      </c>
      <c r="C499">
        <v>36</v>
      </c>
      <c r="D499" t="s">
        <v>121</v>
      </c>
      <c r="E499" t="s">
        <v>87</v>
      </c>
      <c r="F499">
        <v>18</v>
      </c>
      <c r="G499">
        <v>4</v>
      </c>
      <c r="H499">
        <v>4</v>
      </c>
      <c r="I499">
        <v>8</v>
      </c>
      <c r="J499">
        <v>1</v>
      </c>
      <c r="K499">
        <v>0</v>
      </c>
      <c r="L499">
        <v>4</v>
      </c>
      <c r="M499">
        <v>0</v>
      </c>
      <c r="N499">
        <v>0</v>
      </c>
      <c r="O499">
        <v>0</v>
      </c>
      <c r="P499">
        <v>4</v>
      </c>
      <c r="Q499">
        <v>0</v>
      </c>
      <c r="R499">
        <v>0</v>
      </c>
      <c r="S499">
        <v>17</v>
      </c>
      <c r="T499">
        <v>23.5</v>
      </c>
      <c r="U499">
        <v>48</v>
      </c>
      <c r="V499" s="2">
        <v>15.002777777777778</v>
      </c>
      <c r="W499" s="3">
        <v>0.83333333333333337</v>
      </c>
      <c r="X499">
        <v>0</v>
      </c>
      <c r="Y499">
        <v>0</v>
      </c>
      <c r="AA499">
        <v>29</v>
      </c>
      <c r="AB499">
        <v>9</v>
      </c>
      <c r="AC499">
        <v>7</v>
      </c>
      <c r="AD499">
        <v>19</v>
      </c>
      <c r="AF499" t="s">
        <v>1271</v>
      </c>
    </row>
    <row r="500" spans="1:32" x14ac:dyDescent="0.3">
      <c r="A500">
        <v>485</v>
      </c>
      <c r="B500" t="s">
        <v>1272</v>
      </c>
      <c r="C500">
        <v>27</v>
      </c>
      <c r="D500" t="s">
        <v>200</v>
      </c>
      <c r="E500" t="s">
        <v>380</v>
      </c>
      <c r="F500">
        <v>24</v>
      </c>
      <c r="G500">
        <v>4</v>
      </c>
      <c r="H500">
        <v>4</v>
      </c>
      <c r="I500">
        <v>8</v>
      </c>
      <c r="J500">
        <v>-1</v>
      </c>
      <c r="K500">
        <v>2</v>
      </c>
      <c r="L500">
        <v>4</v>
      </c>
      <c r="M500">
        <v>0</v>
      </c>
      <c r="N500">
        <v>0</v>
      </c>
      <c r="O500">
        <v>1</v>
      </c>
      <c r="P500">
        <v>4</v>
      </c>
      <c r="Q500">
        <v>0</v>
      </c>
      <c r="R500">
        <v>0</v>
      </c>
      <c r="S500">
        <v>35</v>
      </c>
      <c r="T500">
        <v>11.4</v>
      </c>
      <c r="U500">
        <v>63</v>
      </c>
      <c r="V500" s="2">
        <v>11.113194444444444</v>
      </c>
      <c r="W500" s="3">
        <v>0.46319444444444446</v>
      </c>
      <c r="X500">
        <v>77</v>
      </c>
      <c r="Y500">
        <v>76</v>
      </c>
      <c r="Z500">
        <v>50.3</v>
      </c>
      <c r="AA500">
        <v>5</v>
      </c>
      <c r="AB500">
        <v>27</v>
      </c>
      <c r="AC500">
        <v>3</v>
      </c>
      <c r="AD500">
        <v>9</v>
      </c>
      <c r="AF500" t="s">
        <v>1273</v>
      </c>
    </row>
    <row r="501" spans="1:32" x14ac:dyDescent="0.3">
      <c r="A501">
        <v>486</v>
      </c>
      <c r="B501" t="s">
        <v>1274</v>
      </c>
      <c r="C501">
        <v>32</v>
      </c>
      <c r="D501" t="s">
        <v>290</v>
      </c>
      <c r="E501" t="s">
        <v>87</v>
      </c>
      <c r="F501">
        <v>44</v>
      </c>
      <c r="G501">
        <v>1</v>
      </c>
      <c r="H501">
        <v>7</v>
      </c>
      <c r="I501">
        <v>8</v>
      </c>
      <c r="J501">
        <v>-3</v>
      </c>
      <c r="K501">
        <v>39</v>
      </c>
      <c r="L501">
        <v>1</v>
      </c>
      <c r="M501">
        <v>0</v>
      </c>
      <c r="N501">
        <v>0</v>
      </c>
      <c r="O501">
        <v>0</v>
      </c>
      <c r="P501">
        <v>7</v>
      </c>
      <c r="Q501">
        <v>0</v>
      </c>
      <c r="R501">
        <v>0</v>
      </c>
      <c r="S501">
        <v>40</v>
      </c>
      <c r="T501">
        <v>2.5</v>
      </c>
      <c r="U501">
        <v>87</v>
      </c>
      <c r="V501" s="2">
        <v>29.172916666666666</v>
      </c>
      <c r="W501" s="3">
        <v>0.66319444444444442</v>
      </c>
      <c r="X501">
        <v>0</v>
      </c>
      <c r="Y501">
        <v>0</v>
      </c>
      <c r="AA501">
        <v>65</v>
      </c>
      <c r="AB501">
        <v>43</v>
      </c>
      <c r="AC501">
        <v>12</v>
      </c>
      <c r="AD501">
        <v>39</v>
      </c>
      <c r="AF501" t="s">
        <v>1275</v>
      </c>
    </row>
    <row r="502" spans="1:32" x14ac:dyDescent="0.3">
      <c r="A502">
        <v>487</v>
      </c>
      <c r="B502" t="s">
        <v>1276</v>
      </c>
      <c r="C502">
        <v>35</v>
      </c>
      <c r="D502" t="s">
        <v>193</v>
      </c>
      <c r="E502" t="s">
        <v>87</v>
      </c>
      <c r="F502">
        <v>43</v>
      </c>
      <c r="G502">
        <v>1</v>
      </c>
      <c r="H502">
        <v>7</v>
      </c>
      <c r="I502">
        <v>8</v>
      </c>
      <c r="J502">
        <v>-16</v>
      </c>
      <c r="K502">
        <v>34</v>
      </c>
      <c r="L502">
        <v>1</v>
      </c>
      <c r="M502">
        <v>0</v>
      </c>
      <c r="N502">
        <v>0</v>
      </c>
      <c r="O502">
        <v>0</v>
      </c>
      <c r="P502">
        <v>7</v>
      </c>
      <c r="Q502">
        <v>0</v>
      </c>
      <c r="R502">
        <v>0</v>
      </c>
      <c r="S502">
        <v>48</v>
      </c>
      <c r="T502">
        <v>2.1</v>
      </c>
      <c r="U502">
        <v>125</v>
      </c>
      <c r="V502" s="2">
        <v>36.287500000000001</v>
      </c>
      <c r="W502" s="3">
        <v>0.84375</v>
      </c>
      <c r="X502">
        <v>0</v>
      </c>
      <c r="Y502">
        <v>0</v>
      </c>
      <c r="AA502">
        <v>78</v>
      </c>
      <c r="AB502">
        <v>55</v>
      </c>
      <c r="AC502">
        <v>13</v>
      </c>
      <c r="AD502">
        <v>43</v>
      </c>
      <c r="AF502" t="s">
        <v>1277</v>
      </c>
    </row>
    <row r="503" spans="1:32" x14ac:dyDescent="0.3">
      <c r="A503">
        <v>488</v>
      </c>
      <c r="B503" t="s">
        <v>1278</v>
      </c>
      <c r="C503">
        <v>36</v>
      </c>
      <c r="D503" t="s">
        <v>130</v>
      </c>
      <c r="E503" t="s">
        <v>95</v>
      </c>
      <c r="F503">
        <v>31</v>
      </c>
      <c r="G503">
        <v>0</v>
      </c>
      <c r="H503">
        <v>8</v>
      </c>
      <c r="I503">
        <v>8</v>
      </c>
      <c r="J503">
        <v>-4</v>
      </c>
      <c r="K503">
        <v>4</v>
      </c>
      <c r="L503">
        <v>0</v>
      </c>
      <c r="M503">
        <v>0</v>
      </c>
      <c r="N503">
        <v>0</v>
      </c>
      <c r="O503">
        <v>0</v>
      </c>
      <c r="P503">
        <v>3</v>
      </c>
      <c r="Q503">
        <v>5</v>
      </c>
      <c r="R503">
        <v>0</v>
      </c>
      <c r="S503">
        <v>41</v>
      </c>
      <c r="T503">
        <v>0</v>
      </c>
      <c r="U503">
        <v>80</v>
      </c>
      <c r="V503" s="2">
        <v>16.675000000000001</v>
      </c>
      <c r="W503" s="3">
        <v>0.53819444444444442</v>
      </c>
      <c r="X503">
        <v>7</v>
      </c>
      <c r="Y503">
        <v>11</v>
      </c>
      <c r="Z503">
        <v>38.9</v>
      </c>
      <c r="AA503">
        <v>14</v>
      </c>
      <c r="AB503">
        <v>18</v>
      </c>
      <c r="AC503">
        <v>10</v>
      </c>
      <c r="AD503">
        <v>15</v>
      </c>
      <c r="AF503" t="s">
        <v>1279</v>
      </c>
    </row>
    <row r="504" spans="1:32" x14ac:dyDescent="0.3">
      <c r="A504">
        <v>489</v>
      </c>
      <c r="B504" t="s">
        <v>1280</v>
      </c>
      <c r="C504">
        <v>23</v>
      </c>
      <c r="D504" t="s">
        <v>72</v>
      </c>
      <c r="E504" t="s">
        <v>87</v>
      </c>
      <c r="F504">
        <v>33</v>
      </c>
      <c r="G504">
        <v>0</v>
      </c>
      <c r="H504">
        <v>8</v>
      </c>
      <c r="I504">
        <v>8</v>
      </c>
      <c r="J504">
        <v>4</v>
      </c>
      <c r="K504">
        <v>4</v>
      </c>
      <c r="L504">
        <v>0</v>
      </c>
      <c r="M504">
        <v>0</v>
      </c>
      <c r="N504">
        <v>0</v>
      </c>
      <c r="O504">
        <v>0</v>
      </c>
      <c r="P504">
        <v>8</v>
      </c>
      <c r="Q504">
        <v>0</v>
      </c>
      <c r="R504">
        <v>0</v>
      </c>
      <c r="S504">
        <v>38</v>
      </c>
      <c r="T504">
        <v>0</v>
      </c>
      <c r="U504">
        <v>111</v>
      </c>
      <c r="V504" s="2">
        <v>21.480555555555554</v>
      </c>
      <c r="W504" s="3">
        <v>0.65069444444444446</v>
      </c>
      <c r="X504">
        <v>0</v>
      </c>
      <c r="Y504">
        <v>0</v>
      </c>
      <c r="AA504">
        <v>21</v>
      </c>
      <c r="AB504">
        <v>9</v>
      </c>
      <c r="AC504">
        <v>5</v>
      </c>
      <c r="AD504">
        <v>28</v>
      </c>
      <c r="AF504" t="s">
        <v>1281</v>
      </c>
    </row>
    <row r="505" spans="1:32" x14ac:dyDescent="0.3">
      <c r="A505">
        <v>490</v>
      </c>
      <c r="B505" t="s">
        <v>1282</v>
      </c>
      <c r="C505">
        <v>33</v>
      </c>
      <c r="D505" t="s">
        <v>200</v>
      </c>
      <c r="E505" t="s">
        <v>87</v>
      </c>
      <c r="F505">
        <v>40</v>
      </c>
      <c r="G505">
        <v>3</v>
      </c>
      <c r="H505">
        <v>5</v>
      </c>
      <c r="I505">
        <v>8</v>
      </c>
      <c r="J505">
        <v>9</v>
      </c>
      <c r="K505">
        <v>10</v>
      </c>
      <c r="L505">
        <v>3</v>
      </c>
      <c r="M505">
        <v>0</v>
      </c>
      <c r="N505">
        <v>0</v>
      </c>
      <c r="O505">
        <v>1</v>
      </c>
      <c r="P505">
        <v>5</v>
      </c>
      <c r="Q505">
        <v>0</v>
      </c>
      <c r="R505">
        <v>0</v>
      </c>
      <c r="S505">
        <v>42</v>
      </c>
      <c r="T505">
        <v>7.1</v>
      </c>
      <c r="U505">
        <v>87</v>
      </c>
      <c r="V505" s="2">
        <v>27.995833333333334</v>
      </c>
      <c r="W505" s="3">
        <v>0.7</v>
      </c>
      <c r="X505">
        <v>0</v>
      </c>
      <c r="Y505">
        <v>0</v>
      </c>
      <c r="AA505">
        <v>64</v>
      </c>
      <c r="AB505">
        <v>53</v>
      </c>
      <c r="AC505">
        <v>14</v>
      </c>
      <c r="AD505">
        <v>38</v>
      </c>
      <c r="AF505" t="s">
        <v>1283</v>
      </c>
    </row>
    <row r="506" spans="1:32" x14ac:dyDescent="0.3">
      <c r="A506">
        <v>491</v>
      </c>
      <c r="B506" t="s">
        <v>1284</v>
      </c>
      <c r="C506">
        <v>34</v>
      </c>
      <c r="D506" t="s">
        <v>97</v>
      </c>
      <c r="E506" t="s">
        <v>101</v>
      </c>
      <c r="F506">
        <v>44</v>
      </c>
      <c r="G506">
        <v>2</v>
      </c>
      <c r="H506">
        <v>6</v>
      </c>
      <c r="I506">
        <v>8</v>
      </c>
      <c r="J506">
        <v>-4</v>
      </c>
      <c r="K506">
        <v>10</v>
      </c>
      <c r="L506">
        <v>2</v>
      </c>
      <c r="M506">
        <v>0</v>
      </c>
      <c r="N506">
        <v>0</v>
      </c>
      <c r="O506">
        <v>0</v>
      </c>
      <c r="P506">
        <v>5</v>
      </c>
      <c r="Q506">
        <v>1</v>
      </c>
      <c r="R506">
        <v>0</v>
      </c>
      <c r="S506">
        <v>49</v>
      </c>
      <c r="T506">
        <v>4.0999999999999996</v>
      </c>
      <c r="U506">
        <v>100</v>
      </c>
      <c r="V506" s="2">
        <v>23.479861111111113</v>
      </c>
      <c r="W506" s="3">
        <v>0.53333333333333333</v>
      </c>
      <c r="X506">
        <v>5</v>
      </c>
      <c r="Y506">
        <v>8</v>
      </c>
      <c r="Z506">
        <v>38.5</v>
      </c>
      <c r="AA506">
        <v>36</v>
      </c>
      <c r="AB506">
        <v>76</v>
      </c>
      <c r="AC506">
        <v>7</v>
      </c>
      <c r="AD506">
        <v>24</v>
      </c>
      <c r="AF506" t="s">
        <v>1285</v>
      </c>
    </row>
    <row r="507" spans="1:32" x14ac:dyDescent="0.3">
      <c r="A507">
        <v>492</v>
      </c>
      <c r="B507" t="s">
        <v>1286</v>
      </c>
      <c r="C507">
        <v>33</v>
      </c>
      <c r="D507" t="s">
        <v>130</v>
      </c>
      <c r="E507" t="s">
        <v>101</v>
      </c>
      <c r="F507">
        <v>37</v>
      </c>
      <c r="G507">
        <v>5</v>
      </c>
      <c r="H507">
        <v>3</v>
      </c>
      <c r="I507">
        <v>8</v>
      </c>
      <c r="J507">
        <v>5</v>
      </c>
      <c r="K507">
        <v>23</v>
      </c>
      <c r="L507">
        <v>5</v>
      </c>
      <c r="M507">
        <v>0</v>
      </c>
      <c r="N507">
        <v>0</v>
      </c>
      <c r="O507">
        <v>1</v>
      </c>
      <c r="P507">
        <v>3</v>
      </c>
      <c r="Q507">
        <v>0</v>
      </c>
      <c r="R507">
        <v>0</v>
      </c>
      <c r="S507">
        <v>32</v>
      </c>
      <c r="T507">
        <v>15.6</v>
      </c>
      <c r="U507">
        <v>57</v>
      </c>
      <c r="V507" s="2">
        <v>17.011111111111113</v>
      </c>
      <c r="W507" s="3">
        <v>0.4597222222222222</v>
      </c>
      <c r="X507">
        <v>4</v>
      </c>
      <c r="Y507">
        <v>7</v>
      </c>
      <c r="Z507">
        <v>36.4</v>
      </c>
      <c r="AA507">
        <v>20</v>
      </c>
      <c r="AB507">
        <v>47</v>
      </c>
      <c r="AC507">
        <v>4</v>
      </c>
      <c r="AD507">
        <v>21</v>
      </c>
      <c r="AF507" t="s">
        <v>1287</v>
      </c>
    </row>
    <row r="508" spans="1:32" x14ac:dyDescent="0.3">
      <c r="A508">
        <v>493</v>
      </c>
      <c r="B508" t="s">
        <v>1288</v>
      </c>
      <c r="C508">
        <v>27</v>
      </c>
      <c r="D508" t="s">
        <v>157</v>
      </c>
      <c r="E508" t="s">
        <v>87</v>
      </c>
      <c r="F508">
        <v>40</v>
      </c>
      <c r="G508">
        <v>3</v>
      </c>
      <c r="H508">
        <v>5</v>
      </c>
      <c r="I508">
        <v>8</v>
      </c>
      <c r="J508">
        <v>-11</v>
      </c>
      <c r="K508">
        <v>12</v>
      </c>
      <c r="L508">
        <v>3</v>
      </c>
      <c r="M508">
        <v>0</v>
      </c>
      <c r="N508">
        <v>0</v>
      </c>
      <c r="O508">
        <v>0</v>
      </c>
      <c r="P508">
        <v>5</v>
      </c>
      <c r="Q508">
        <v>0</v>
      </c>
      <c r="R508">
        <v>0</v>
      </c>
      <c r="S508">
        <v>42</v>
      </c>
      <c r="T508">
        <v>7.1</v>
      </c>
      <c r="U508">
        <v>103</v>
      </c>
      <c r="V508" s="2">
        <v>33.181944444444447</v>
      </c>
      <c r="W508" s="3">
        <v>0.82986111111111116</v>
      </c>
      <c r="X508">
        <v>0</v>
      </c>
      <c r="Y508">
        <v>0</v>
      </c>
      <c r="AA508">
        <v>49</v>
      </c>
      <c r="AB508">
        <v>22</v>
      </c>
      <c r="AC508">
        <v>8</v>
      </c>
      <c r="AD508">
        <v>44</v>
      </c>
      <c r="AF508" t="s">
        <v>1289</v>
      </c>
    </row>
    <row r="509" spans="1:32" x14ac:dyDescent="0.3">
      <c r="A509">
        <v>494</v>
      </c>
      <c r="B509" t="s">
        <v>1290</v>
      </c>
      <c r="C509">
        <v>38</v>
      </c>
      <c r="D509" t="s">
        <v>164</v>
      </c>
      <c r="E509" t="s">
        <v>87</v>
      </c>
      <c r="F509">
        <v>41</v>
      </c>
      <c r="G509">
        <v>0</v>
      </c>
      <c r="H509">
        <v>8</v>
      </c>
      <c r="I509">
        <v>8</v>
      </c>
      <c r="J509">
        <v>-6</v>
      </c>
      <c r="K509">
        <v>16</v>
      </c>
      <c r="L509">
        <v>0</v>
      </c>
      <c r="M509">
        <v>0</v>
      </c>
      <c r="N509">
        <v>0</v>
      </c>
      <c r="O509">
        <v>0</v>
      </c>
      <c r="P509">
        <v>6</v>
      </c>
      <c r="Q509">
        <v>2</v>
      </c>
      <c r="R509">
        <v>0</v>
      </c>
      <c r="S509">
        <v>35</v>
      </c>
      <c r="T509">
        <v>0</v>
      </c>
      <c r="U509">
        <v>100</v>
      </c>
      <c r="V509" s="2">
        <v>25.24861111111111</v>
      </c>
      <c r="W509" s="3">
        <v>0.61597222222222225</v>
      </c>
      <c r="X509">
        <v>0</v>
      </c>
      <c r="Y509">
        <v>0</v>
      </c>
      <c r="AA509">
        <v>44</v>
      </c>
      <c r="AB509">
        <v>34</v>
      </c>
      <c r="AC509">
        <v>1</v>
      </c>
      <c r="AD509">
        <v>34</v>
      </c>
      <c r="AF509" t="s">
        <v>1291</v>
      </c>
    </row>
    <row r="510" spans="1:32" x14ac:dyDescent="0.3">
      <c r="A510">
        <v>495</v>
      </c>
      <c r="B510" t="s">
        <v>1292</v>
      </c>
      <c r="C510">
        <v>21</v>
      </c>
      <c r="D510" t="s">
        <v>290</v>
      </c>
      <c r="E510" t="s">
        <v>87</v>
      </c>
      <c r="F510">
        <v>28</v>
      </c>
      <c r="G510">
        <v>1</v>
      </c>
      <c r="H510">
        <v>7</v>
      </c>
      <c r="I510">
        <v>8</v>
      </c>
      <c r="J510">
        <v>0</v>
      </c>
      <c r="K510">
        <v>28</v>
      </c>
      <c r="L510">
        <v>1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39</v>
      </c>
      <c r="T510">
        <v>2.6</v>
      </c>
      <c r="U510">
        <v>114</v>
      </c>
      <c r="V510" s="2">
        <v>19.286805555555556</v>
      </c>
      <c r="W510" s="3">
        <v>0.68888888888888888</v>
      </c>
      <c r="X510">
        <v>0</v>
      </c>
      <c r="Y510">
        <v>0</v>
      </c>
      <c r="AA510">
        <v>29</v>
      </c>
      <c r="AB510">
        <v>26</v>
      </c>
      <c r="AC510">
        <v>4</v>
      </c>
      <c r="AD510">
        <v>37</v>
      </c>
      <c r="AF510" t="s">
        <v>1293</v>
      </c>
    </row>
    <row r="511" spans="1:32" x14ac:dyDescent="0.3">
      <c r="A511">
        <v>496</v>
      </c>
      <c r="B511" t="s">
        <v>1294</v>
      </c>
      <c r="C511">
        <v>24</v>
      </c>
      <c r="D511" t="s">
        <v>256</v>
      </c>
      <c r="E511" t="s">
        <v>87</v>
      </c>
      <c r="F511">
        <v>45</v>
      </c>
      <c r="G511">
        <v>2</v>
      </c>
      <c r="H511">
        <v>6</v>
      </c>
      <c r="I511">
        <v>8</v>
      </c>
      <c r="J511">
        <v>-7</v>
      </c>
      <c r="K511">
        <v>12</v>
      </c>
      <c r="L511">
        <v>2</v>
      </c>
      <c r="M511">
        <v>0</v>
      </c>
      <c r="N511">
        <v>0</v>
      </c>
      <c r="O511">
        <v>0</v>
      </c>
      <c r="P511">
        <v>6</v>
      </c>
      <c r="Q511">
        <v>0</v>
      </c>
      <c r="R511">
        <v>0</v>
      </c>
      <c r="S511">
        <v>55</v>
      </c>
      <c r="T511">
        <v>3.6</v>
      </c>
      <c r="U511">
        <v>135</v>
      </c>
      <c r="V511" s="2">
        <v>37.427777777777777</v>
      </c>
      <c r="W511" s="3">
        <v>0.83194444444444449</v>
      </c>
      <c r="X511">
        <v>0</v>
      </c>
      <c r="Y511">
        <v>0</v>
      </c>
      <c r="AA511">
        <v>75</v>
      </c>
      <c r="AB511">
        <v>98</v>
      </c>
      <c r="AC511">
        <v>14</v>
      </c>
      <c r="AD511">
        <v>43</v>
      </c>
      <c r="AF511" t="s">
        <v>1295</v>
      </c>
    </row>
    <row r="512" spans="1:32" x14ac:dyDescent="0.3">
      <c r="A512">
        <v>497</v>
      </c>
      <c r="B512" t="s">
        <v>1296</v>
      </c>
      <c r="C512">
        <v>31</v>
      </c>
      <c r="D512" t="s">
        <v>472</v>
      </c>
      <c r="E512" t="s">
        <v>87</v>
      </c>
      <c r="F512">
        <v>30</v>
      </c>
      <c r="G512">
        <v>2</v>
      </c>
      <c r="H512">
        <v>6</v>
      </c>
      <c r="I512">
        <v>8</v>
      </c>
      <c r="J512">
        <v>11</v>
      </c>
      <c r="K512">
        <v>14</v>
      </c>
      <c r="L512">
        <v>2</v>
      </c>
      <c r="M512">
        <v>0</v>
      </c>
      <c r="N512">
        <v>0</v>
      </c>
      <c r="O512">
        <v>0</v>
      </c>
      <c r="P512">
        <v>6</v>
      </c>
      <c r="Q512">
        <v>0</v>
      </c>
      <c r="R512">
        <v>0</v>
      </c>
      <c r="S512">
        <v>24</v>
      </c>
      <c r="T512">
        <v>8.3000000000000007</v>
      </c>
      <c r="U512">
        <v>72</v>
      </c>
      <c r="V512" s="2">
        <v>24.031944444444445</v>
      </c>
      <c r="W512" s="3">
        <v>0.80138888888888893</v>
      </c>
      <c r="X512">
        <v>0</v>
      </c>
      <c r="Y512">
        <v>0</v>
      </c>
      <c r="AA512">
        <v>29</v>
      </c>
      <c r="AB512">
        <v>15</v>
      </c>
      <c r="AC512">
        <v>8</v>
      </c>
      <c r="AD512">
        <v>36</v>
      </c>
      <c r="AF512" t="s">
        <v>1297</v>
      </c>
    </row>
    <row r="513" spans="1:32" x14ac:dyDescent="0.3">
      <c r="A513">
        <v>497</v>
      </c>
      <c r="B513" t="s">
        <v>1296</v>
      </c>
      <c r="C513">
        <v>31</v>
      </c>
      <c r="D513" t="s">
        <v>250</v>
      </c>
      <c r="E513" t="s">
        <v>87</v>
      </c>
      <c r="F513">
        <v>6</v>
      </c>
      <c r="G513">
        <v>0</v>
      </c>
      <c r="H513">
        <v>0</v>
      </c>
      <c r="I513">
        <v>0</v>
      </c>
      <c r="J513">
        <v>0</v>
      </c>
      <c r="K513">
        <v>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</v>
      </c>
      <c r="T513">
        <v>0</v>
      </c>
      <c r="U513">
        <v>9</v>
      </c>
      <c r="V513" s="2">
        <v>3.4055555555555554</v>
      </c>
      <c r="W513" s="3">
        <v>0.56736111111111109</v>
      </c>
      <c r="X513">
        <v>0</v>
      </c>
      <c r="Y513">
        <v>0</v>
      </c>
      <c r="AA513">
        <v>3</v>
      </c>
      <c r="AB513">
        <v>2</v>
      </c>
      <c r="AC513">
        <v>2</v>
      </c>
      <c r="AD513">
        <v>8</v>
      </c>
      <c r="AF513" t="s">
        <v>1297</v>
      </c>
    </row>
    <row r="514" spans="1:32" x14ac:dyDescent="0.3">
      <c r="A514">
        <v>497</v>
      </c>
      <c r="B514" t="s">
        <v>1296</v>
      </c>
      <c r="C514">
        <v>31</v>
      </c>
      <c r="D514" t="s">
        <v>150</v>
      </c>
      <c r="E514" t="s">
        <v>87</v>
      </c>
      <c r="F514">
        <v>24</v>
      </c>
      <c r="G514">
        <v>2</v>
      </c>
      <c r="H514">
        <v>6</v>
      </c>
      <c r="I514">
        <v>8</v>
      </c>
      <c r="J514">
        <v>11</v>
      </c>
      <c r="K514">
        <v>6</v>
      </c>
      <c r="L514">
        <v>2</v>
      </c>
      <c r="M514">
        <v>0</v>
      </c>
      <c r="N514">
        <v>0</v>
      </c>
      <c r="O514">
        <v>0</v>
      </c>
      <c r="P514">
        <v>6</v>
      </c>
      <c r="Q514">
        <v>0</v>
      </c>
      <c r="R514">
        <v>0</v>
      </c>
      <c r="S514">
        <v>21</v>
      </c>
      <c r="T514">
        <v>9.5</v>
      </c>
      <c r="U514">
        <v>63</v>
      </c>
      <c r="V514" s="2">
        <v>20.62638888888889</v>
      </c>
      <c r="W514" s="3">
        <v>0.85972222222222228</v>
      </c>
      <c r="X514">
        <v>0</v>
      </c>
      <c r="Y514">
        <v>0</v>
      </c>
      <c r="AA514">
        <v>26</v>
      </c>
      <c r="AB514">
        <v>13</v>
      </c>
      <c r="AC514">
        <v>6</v>
      </c>
      <c r="AD514">
        <v>28</v>
      </c>
      <c r="AF514" t="s">
        <v>1297</v>
      </c>
    </row>
    <row r="515" spans="1:32" x14ac:dyDescent="0.3">
      <c r="A515">
        <v>498</v>
      </c>
      <c r="B515" t="s">
        <v>1298</v>
      </c>
      <c r="C515">
        <v>30</v>
      </c>
      <c r="D515" t="s">
        <v>109</v>
      </c>
      <c r="E515" t="s">
        <v>78</v>
      </c>
      <c r="F515">
        <v>23</v>
      </c>
      <c r="G515">
        <v>3</v>
      </c>
      <c r="H515">
        <v>5</v>
      </c>
      <c r="I515">
        <v>8</v>
      </c>
      <c r="J515">
        <v>3</v>
      </c>
      <c r="K515">
        <v>2</v>
      </c>
      <c r="L515">
        <v>3</v>
      </c>
      <c r="M515">
        <v>0</v>
      </c>
      <c r="N515">
        <v>0</v>
      </c>
      <c r="O515">
        <v>0</v>
      </c>
      <c r="P515">
        <v>5</v>
      </c>
      <c r="Q515">
        <v>0</v>
      </c>
      <c r="R515">
        <v>0</v>
      </c>
      <c r="S515">
        <v>22</v>
      </c>
      <c r="T515">
        <v>13.6</v>
      </c>
      <c r="U515">
        <v>41</v>
      </c>
      <c r="V515" s="2">
        <v>10.914583333333333</v>
      </c>
      <c r="W515" s="3">
        <v>0.47430555555555554</v>
      </c>
      <c r="X515">
        <v>108</v>
      </c>
      <c r="Y515">
        <v>98</v>
      </c>
      <c r="Z515">
        <v>52.4</v>
      </c>
      <c r="AA515">
        <v>11</v>
      </c>
      <c r="AB515">
        <v>27</v>
      </c>
      <c r="AC515">
        <v>3</v>
      </c>
      <c r="AD515">
        <v>12</v>
      </c>
      <c r="AF515" t="s">
        <v>1299</v>
      </c>
    </row>
    <row r="516" spans="1:32" x14ac:dyDescent="0.3">
      <c r="A516">
        <v>499</v>
      </c>
      <c r="B516" t="s">
        <v>1300</v>
      </c>
      <c r="C516">
        <v>25</v>
      </c>
      <c r="D516" t="s">
        <v>103</v>
      </c>
      <c r="E516" t="s">
        <v>87</v>
      </c>
      <c r="F516">
        <v>40</v>
      </c>
      <c r="G516">
        <v>2</v>
      </c>
      <c r="H516">
        <v>6</v>
      </c>
      <c r="I516">
        <v>8</v>
      </c>
      <c r="J516">
        <v>-8</v>
      </c>
      <c r="K516">
        <v>45</v>
      </c>
      <c r="L516">
        <v>2</v>
      </c>
      <c r="M516">
        <v>0</v>
      </c>
      <c r="N516">
        <v>0</v>
      </c>
      <c r="O516">
        <v>0</v>
      </c>
      <c r="P516">
        <v>6</v>
      </c>
      <c r="Q516">
        <v>0</v>
      </c>
      <c r="R516">
        <v>0</v>
      </c>
      <c r="S516">
        <v>42</v>
      </c>
      <c r="T516">
        <v>4.8</v>
      </c>
      <c r="U516">
        <v>93</v>
      </c>
      <c r="V516" s="2">
        <v>22.977777777777778</v>
      </c>
      <c r="W516" s="3">
        <v>0.57430555555555551</v>
      </c>
      <c r="X516">
        <v>0</v>
      </c>
      <c r="Y516">
        <v>0</v>
      </c>
      <c r="AA516">
        <v>27</v>
      </c>
      <c r="AB516">
        <v>51</v>
      </c>
      <c r="AC516">
        <v>5</v>
      </c>
      <c r="AD516">
        <v>35</v>
      </c>
      <c r="AF516" t="s">
        <v>1301</v>
      </c>
    </row>
    <row r="517" spans="1:32" x14ac:dyDescent="0.3">
      <c r="A517">
        <v>500</v>
      </c>
      <c r="B517" t="s">
        <v>1302</v>
      </c>
      <c r="C517">
        <v>24</v>
      </c>
      <c r="D517" t="s">
        <v>472</v>
      </c>
      <c r="E517" t="s">
        <v>95</v>
      </c>
      <c r="F517">
        <v>33</v>
      </c>
      <c r="G517">
        <v>4</v>
      </c>
      <c r="H517">
        <v>4</v>
      </c>
      <c r="I517">
        <v>8</v>
      </c>
      <c r="J517">
        <v>-6</v>
      </c>
      <c r="K517">
        <v>6</v>
      </c>
      <c r="L517">
        <v>4</v>
      </c>
      <c r="M517">
        <v>0</v>
      </c>
      <c r="N517">
        <v>0</v>
      </c>
      <c r="O517">
        <v>1</v>
      </c>
      <c r="P517">
        <v>4</v>
      </c>
      <c r="Q517">
        <v>0</v>
      </c>
      <c r="R517">
        <v>0</v>
      </c>
      <c r="S517">
        <v>43</v>
      </c>
      <c r="T517">
        <v>9.3000000000000007</v>
      </c>
      <c r="U517">
        <v>97</v>
      </c>
      <c r="V517" s="2">
        <v>14.579166666666667</v>
      </c>
      <c r="W517" s="3">
        <v>0.44166666666666665</v>
      </c>
      <c r="X517">
        <v>0</v>
      </c>
      <c r="Y517">
        <v>0</v>
      </c>
      <c r="AA517">
        <v>10</v>
      </c>
      <c r="AB517">
        <v>32</v>
      </c>
      <c r="AC517">
        <v>5</v>
      </c>
      <c r="AD517">
        <v>17</v>
      </c>
      <c r="AF517" t="s">
        <v>1303</v>
      </c>
    </row>
    <row r="518" spans="1:32" x14ac:dyDescent="0.3">
      <c r="A518">
        <v>500</v>
      </c>
      <c r="B518" t="s">
        <v>1302</v>
      </c>
      <c r="C518">
        <v>24</v>
      </c>
      <c r="D518" t="s">
        <v>306</v>
      </c>
      <c r="E518" t="s">
        <v>95</v>
      </c>
      <c r="F518">
        <v>29</v>
      </c>
      <c r="G518">
        <v>3</v>
      </c>
      <c r="H518">
        <v>3</v>
      </c>
      <c r="I518">
        <v>6</v>
      </c>
      <c r="J518">
        <v>-6</v>
      </c>
      <c r="K518">
        <v>6</v>
      </c>
      <c r="L518">
        <v>3</v>
      </c>
      <c r="M518">
        <v>0</v>
      </c>
      <c r="N518">
        <v>0</v>
      </c>
      <c r="O518">
        <v>0</v>
      </c>
      <c r="P518">
        <v>3</v>
      </c>
      <c r="Q518">
        <v>0</v>
      </c>
      <c r="R518">
        <v>0</v>
      </c>
      <c r="S518">
        <v>36</v>
      </c>
      <c r="T518">
        <v>8.3000000000000007</v>
      </c>
      <c r="U518">
        <v>79</v>
      </c>
      <c r="V518" s="2">
        <v>12.445833333333333</v>
      </c>
      <c r="W518" s="3">
        <v>0.42916666666666664</v>
      </c>
      <c r="X518">
        <v>0</v>
      </c>
      <c r="Y518">
        <v>0</v>
      </c>
      <c r="AA518">
        <v>8</v>
      </c>
      <c r="AB518">
        <v>28</v>
      </c>
      <c r="AC518">
        <v>3</v>
      </c>
      <c r="AD518">
        <v>15</v>
      </c>
      <c r="AF518" t="s">
        <v>1303</v>
      </c>
    </row>
    <row r="519" spans="1:32" x14ac:dyDescent="0.3">
      <c r="A519">
        <v>500</v>
      </c>
      <c r="B519" t="s">
        <v>1302</v>
      </c>
      <c r="C519">
        <v>24</v>
      </c>
      <c r="D519" t="s">
        <v>134</v>
      </c>
      <c r="E519" t="s">
        <v>95</v>
      </c>
      <c r="F519">
        <v>4</v>
      </c>
      <c r="G519">
        <v>1</v>
      </c>
      <c r="H519">
        <v>1</v>
      </c>
      <c r="I519">
        <v>2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7</v>
      </c>
      <c r="T519">
        <v>14.3</v>
      </c>
      <c r="U519">
        <v>18</v>
      </c>
      <c r="V519" s="2">
        <v>2.1333333333333333</v>
      </c>
      <c r="W519" s="3">
        <v>0.53333333333333333</v>
      </c>
      <c r="X519">
        <v>0</v>
      </c>
      <c r="Y519">
        <v>0</v>
      </c>
      <c r="AA519">
        <v>2</v>
      </c>
      <c r="AB519">
        <v>4</v>
      </c>
      <c r="AC519">
        <v>2</v>
      </c>
      <c r="AD519">
        <v>2</v>
      </c>
      <c r="AF519" t="s">
        <v>1303</v>
      </c>
    </row>
    <row r="520" spans="1:32" x14ac:dyDescent="0.3">
      <c r="A520">
        <v>501</v>
      </c>
      <c r="B520" t="s">
        <v>1304</v>
      </c>
      <c r="C520">
        <v>29</v>
      </c>
      <c r="D520" t="s">
        <v>472</v>
      </c>
      <c r="E520" t="s">
        <v>101</v>
      </c>
      <c r="F520">
        <v>17</v>
      </c>
      <c r="G520">
        <v>3</v>
      </c>
      <c r="H520">
        <v>5</v>
      </c>
      <c r="I520">
        <v>8</v>
      </c>
      <c r="J520">
        <v>2</v>
      </c>
      <c r="K520">
        <v>8</v>
      </c>
      <c r="L520">
        <v>3</v>
      </c>
      <c r="M520">
        <v>0</v>
      </c>
      <c r="N520">
        <v>0</v>
      </c>
      <c r="O520">
        <v>0</v>
      </c>
      <c r="P520">
        <v>5</v>
      </c>
      <c r="Q520">
        <v>0</v>
      </c>
      <c r="R520">
        <v>0</v>
      </c>
      <c r="S520">
        <v>15</v>
      </c>
      <c r="T520">
        <v>20</v>
      </c>
      <c r="U520">
        <v>24</v>
      </c>
      <c r="V520" s="2">
        <v>5.9944444444444445</v>
      </c>
      <c r="W520" s="3">
        <v>0.3527777777777778</v>
      </c>
      <c r="X520">
        <v>1</v>
      </c>
      <c r="Y520">
        <v>2</v>
      </c>
      <c r="Z520">
        <v>33.299999999999997</v>
      </c>
      <c r="AA520">
        <v>8</v>
      </c>
      <c r="AB520">
        <v>64</v>
      </c>
      <c r="AC520">
        <v>2</v>
      </c>
      <c r="AD520">
        <v>2</v>
      </c>
      <c r="AF520" t="s">
        <v>1305</v>
      </c>
    </row>
    <row r="521" spans="1:32" x14ac:dyDescent="0.3">
      <c r="A521">
        <v>501</v>
      </c>
      <c r="B521" t="s">
        <v>1304</v>
      </c>
      <c r="C521">
        <v>29</v>
      </c>
      <c r="D521" t="s">
        <v>150</v>
      </c>
      <c r="E521" t="s">
        <v>101</v>
      </c>
      <c r="F521">
        <v>8</v>
      </c>
      <c r="G521">
        <v>1</v>
      </c>
      <c r="H521">
        <v>2</v>
      </c>
      <c r="I521">
        <v>3</v>
      </c>
      <c r="J521">
        <v>-2</v>
      </c>
      <c r="K521">
        <v>4</v>
      </c>
      <c r="L521">
        <v>1</v>
      </c>
      <c r="M521">
        <v>0</v>
      </c>
      <c r="N521">
        <v>0</v>
      </c>
      <c r="O521">
        <v>0</v>
      </c>
      <c r="P521">
        <v>2</v>
      </c>
      <c r="Q521">
        <v>0</v>
      </c>
      <c r="R521">
        <v>0</v>
      </c>
      <c r="S521">
        <v>7</v>
      </c>
      <c r="T521">
        <v>14.3</v>
      </c>
      <c r="U521">
        <v>11</v>
      </c>
      <c r="V521" s="2">
        <v>2.7618055555555556</v>
      </c>
      <c r="W521" s="3">
        <v>0.34513888888888888</v>
      </c>
      <c r="X521">
        <v>1</v>
      </c>
      <c r="Y521">
        <v>0</v>
      </c>
      <c r="Z521">
        <v>100</v>
      </c>
      <c r="AA521">
        <v>5</v>
      </c>
      <c r="AB521">
        <v>28</v>
      </c>
      <c r="AC521">
        <v>1</v>
      </c>
      <c r="AD521">
        <v>2</v>
      </c>
      <c r="AF521" t="s">
        <v>1305</v>
      </c>
    </row>
    <row r="522" spans="1:32" x14ac:dyDescent="0.3">
      <c r="A522">
        <v>501</v>
      </c>
      <c r="B522" t="s">
        <v>1304</v>
      </c>
      <c r="C522">
        <v>29</v>
      </c>
      <c r="D522" t="s">
        <v>204</v>
      </c>
      <c r="E522" t="s">
        <v>101</v>
      </c>
      <c r="F522">
        <v>9</v>
      </c>
      <c r="G522">
        <v>2</v>
      </c>
      <c r="H522">
        <v>3</v>
      </c>
      <c r="I522">
        <v>5</v>
      </c>
      <c r="J522">
        <v>4</v>
      </c>
      <c r="K522">
        <v>4</v>
      </c>
      <c r="L522">
        <v>2</v>
      </c>
      <c r="M522">
        <v>0</v>
      </c>
      <c r="N522">
        <v>0</v>
      </c>
      <c r="O522">
        <v>0</v>
      </c>
      <c r="P522">
        <v>3</v>
      </c>
      <c r="Q522">
        <v>0</v>
      </c>
      <c r="R522">
        <v>0</v>
      </c>
      <c r="S522">
        <v>8</v>
      </c>
      <c r="T522">
        <v>25</v>
      </c>
      <c r="U522">
        <v>13</v>
      </c>
      <c r="V522" s="2">
        <v>3.2326388888888888</v>
      </c>
      <c r="W522" s="3">
        <v>0.35902777777777778</v>
      </c>
      <c r="X522">
        <v>0</v>
      </c>
      <c r="Y522">
        <v>2</v>
      </c>
      <c r="Z522">
        <v>0</v>
      </c>
      <c r="AA522">
        <v>3</v>
      </c>
      <c r="AB522">
        <v>36</v>
      </c>
      <c r="AC522">
        <v>1</v>
      </c>
      <c r="AD522">
        <v>0</v>
      </c>
      <c r="AF522" t="s">
        <v>1305</v>
      </c>
    </row>
    <row r="523" spans="1:32" x14ac:dyDescent="0.3">
      <c r="A523">
        <v>502</v>
      </c>
      <c r="B523" t="s">
        <v>1306</v>
      </c>
      <c r="C523">
        <v>32</v>
      </c>
      <c r="D523" t="s">
        <v>472</v>
      </c>
      <c r="E523" t="s">
        <v>78</v>
      </c>
      <c r="F523">
        <v>38</v>
      </c>
      <c r="G523">
        <v>0</v>
      </c>
      <c r="H523">
        <v>8</v>
      </c>
      <c r="I523">
        <v>8</v>
      </c>
      <c r="J523">
        <v>1</v>
      </c>
      <c r="K523">
        <v>12</v>
      </c>
      <c r="L523">
        <v>0</v>
      </c>
      <c r="M523">
        <v>0</v>
      </c>
      <c r="N523">
        <v>0</v>
      </c>
      <c r="O523">
        <v>0</v>
      </c>
      <c r="P523">
        <v>7</v>
      </c>
      <c r="Q523">
        <v>0</v>
      </c>
      <c r="R523">
        <v>1</v>
      </c>
      <c r="S523">
        <v>52</v>
      </c>
      <c r="T523">
        <v>0</v>
      </c>
      <c r="U523">
        <v>107</v>
      </c>
      <c r="V523" s="2">
        <v>25.995833333333334</v>
      </c>
      <c r="W523" s="3">
        <v>0.68402777777777779</v>
      </c>
      <c r="X523">
        <v>295</v>
      </c>
      <c r="Y523">
        <v>244</v>
      </c>
      <c r="Z523">
        <v>54.7</v>
      </c>
      <c r="AA523">
        <v>14</v>
      </c>
      <c r="AB523">
        <v>30</v>
      </c>
      <c r="AC523">
        <v>6</v>
      </c>
      <c r="AD523">
        <v>31</v>
      </c>
      <c r="AF523" t="s">
        <v>1307</v>
      </c>
    </row>
    <row r="524" spans="1:32" x14ac:dyDescent="0.3">
      <c r="A524">
        <v>502</v>
      </c>
      <c r="B524" t="s">
        <v>1306</v>
      </c>
      <c r="C524">
        <v>32</v>
      </c>
      <c r="D524" t="s">
        <v>91</v>
      </c>
      <c r="E524" t="s">
        <v>78</v>
      </c>
      <c r="F524">
        <v>30</v>
      </c>
      <c r="G524">
        <v>0</v>
      </c>
      <c r="H524">
        <v>5</v>
      </c>
      <c r="I524">
        <v>5</v>
      </c>
      <c r="J524">
        <v>3</v>
      </c>
      <c r="K524">
        <v>6</v>
      </c>
      <c r="L524">
        <v>0</v>
      </c>
      <c r="M524">
        <v>0</v>
      </c>
      <c r="N524">
        <v>0</v>
      </c>
      <c r="O524">
        <v>0</v>
      </c>
      <c r="P524">
        <v>4</v>
      </c>
      <c r="Q524">
        <v>0</v>
      </c>
      <c r="R524">
        <v>1</v>
      </c>
      <c r="S524">
        <v>42</v>
      </c>
      <c r="T524">
        <v>0</v>
      </c>
      <c r="U524">
        <v>88</v>
      </c>
      <c r="V524" s="2">
        <v>20.402777777777779</v>
      </c>
      <c r="W524" s="3">
        <v>0.67986111111111114</v>
      </c>
      <c r="X524">
        <v>219</v>
      </c>
      <c r="Y524">
        <v>195</v>
      </c>
      <c r="Z524">
        <v>52.9</v>
      </c>
      <c r="AA524">
        <v>11</v>
      </c>
      <c r="AB524">
        <v>22</v>
      </c>
      <c r="AC524">
        <v>4</v>
      </c>
      <c r="AD524">
        <v>25</v>
      </c>
      <c r="AF524" t="s">
        <v>1307</v>
      </c>
    </row>
    <row r="525" spans="1:32" x14ac:dyDescent="0.3">
      <c r="A525">
        <v>502</v>
      </c>
      <c r="B525" t="s">
        <v>1306</v>
      </c>
      <c r="C525">
        <v>32</v>
      </c>
      <c r="D525" t="s">
        <v>204</v>
      </c>
      <c r="E525" t="s">
        <v>78</v>
      </c>
      <c r="F525">
        <v>8</v>
      </c>
      <c r="G525">
        <v>0</v>
      </c>
      <c r="H525">
        <v>3</v>
      </c>
      <c r="I525">
        <v>3</v>
      </c>
      <c r="J525">
        <v>-2</v>
      </c>
      <c r="K525">
        <v>6</v>
      </c>
      <c r="L525">
        <v>0</v>
      </c>
      <c r="M525">
        <v>0</v>
      </c>
      <c r="N525">
        <v>0</v>
      </c>
      <c r="O525">
        <v>0</v>
      </c>
      <c r="P525">
        <v>3</v>
      </c>
      <c r="Q525">
        <v>0</v>
      </c>
      <c r="R525">
        <v>0</v>
      </c>
      <c r="S525">
        <v>10</v>
      </c>
      <c r="T525">
        <v>0</v>
      </c>
      <c r="U525">
        <v>19</v>
      </c>
      <c r="V525" s="2">
        <v>5.5930555555555559</v>
      </c>
      <c r="W525" s="3">
        <v>0.69930555555555551</v>
      </c>
      <c r="X525">
        <v>76</v>
      </c>
      <c r="Y525">
        <v>49</v>
      </c>
      <c r="Z525">
        <v>60.8</v>
      </c>
      <c r="AA525">
        <v>3</v>
      </c>
      <c r="AB525">
        <v>8</v>
      </c>
      <c r="AC525">
        <v>2</v>
      </c>
      <c r="AD525">
        <v>6</v>
      </c>
      <c r="AF525" t="s">
        <v>1307</v>
      </c>
    </row>
    <row r="526" spans="1:32" x14ac:dyDescent="0.3">
      <c r="A526">
        <v>503</v>
      </c>
      <c r="B526" t="s">
        <v>1308</v>
      </c>
      <c r="C526">
        <v>25</v>
      </c>
      <c r="D526" t="s">
        <v>174</v>
      </c>
      <c r="E526" t="s">
        <v>78</v>
      </c>
      <c r="F526">
        <v>34</v>
      </c>
      <c r="G526">
        <v>3</v>
      </c>
      <c r="H526">
        <v>4</v>
      </c>
      <c r="I526">
        <v>7</v>
      </c>
      <c r="J526">
        <v>5</v>
      </c>
      <c r="K526">
        <v>6</v>
      </c>
      <c r="L526">
        <v>2</v>
      </c>
      <c r="M526">
        <v>0</v>
      </c>
      <c r="N526">
        <v>1</v>
      </c>
      <c r="O526">
        <v>1</v>
      </c>
      <c r="P526">
        <v>4</v>
      </c>
      <c r="Q526">
        <v>0</v>
      </c>
      <c r="R526">
        <v>0</v>
      </c>
      <c r="S526">
        <v>20</v>
      </c>
      <c r="T526">
        <v>15</v>
      </c>
      <c r="U526">
        <v>37</v>
      </c>
      <c r="V526" s="2">
        <v>17.836805555555557</v>
      </c>
      <c r="W526" s="3">
        <v>0.52430555555555558</v>
      </c>
      <c r="X526">
        <v>10</v>
      </c>
      <c r="Y526">
        <v>14</v>
      </c>
      <c r="Z526">
        <v>41.7</v>
      </c>
      <c r="AA526">
        <v>18</v>
      </c>
      <c r="AB526">
        <v>15</v>
      </c>
      <c r="AC526">
        <v>6</v>
      </c>
      <c r="AD526">
        <v>19</v>
      </c>
      <c r="AF526" t="s">
        <v>1309</v>
      </c>
    </row>
    <row r="527" spans="1:32" x14ac:dyDescent="0.3">
      <c r="A527">
        <v>504</v>
      </c>
      <c r="B527" t="s">
        <v>1310</v>
      </c>
      <c r="C527">
        <v>29</v>
      </c>
      <c r="D527" t="s">
        <v>164</v>
      </c>
      <c r="E527" t="s">
        <v>87</v>
      </c>
      <c r="F527">
        <v>34</v>
      </c>
      <c r="G527">
        <v>1</v>
      </c>
      <c r="H527">
        <v>6</v>
      </c>
      <c r="I527">
        <v>7</v>
      </c>
      <c r="J527">
        <v>0</v>
      </c>
      <c r="K527">
        <v>22</v>
      </c>
      <c r="L527">
        <v>1</v>
      </c>
      <c r="M527">
        <v>0</v>
      </c>
      <c r="N527">
        <v>0</v>
      </c>
      <c r="O527">
        <v>0</v>
      </c>
      <c r="P527">
        <v>6</v>
      </c>
      <c r="Q527">
        <v>0</v>
      </c>
      <c r="R527">
        <v>0</v>
      </c>
      <c r="S527">
        <v>30</v>
      </c>
      <c r="T527">
        <v>3.3</v>
      </c>
      <c r="U527">
        <v>70</v>
      </c>
      <c r="V527" s="2">
        <v>20.099305555555556</v>
      </c>
      <c r="W527" s="3">
        <v>0.59097222222222223</v>
      </c>
      <c r="X527">
        <v>0</v>
      </c>
      <c r="Y527">
        <v>0</v>
      </c>
      <c r="AA527">
        <v>25</v>
      </c>
      <c r="AB527">
        <v>46</v>
      </c>
      <c r="AC527">
        <v>14</v>
      </c>
      <c r="AD527">
        <v>16</v>
      </c>
      <c r="AF527" t="s">
        <v>1311</v>
      </c>
    </row>
    <row r="528" spans="1:32" x14ac:dyDescent="0.3">
      <c r="A528">
        <v>505</v>
      </c>
      <c r="B528" t="s">
        <v>1312</v>
      </c>
      <c r="C528">
        <v>24</v>
      </c>
      <c r="D528" t="s">
        <v>216</v>
      </c>
      <c r="E528" t="s">
        <v>78</v>
      </c>
      <c r="F528">
        <v>30</v>
      </c>
      <c r="G528">
        <v>1</v>
      </c>
      <c r="H528">
        <v>6</v>
      </c>
      <c r="I528">
        <v>7</v>
      </c>
      <c r="J528">
        <v>6</v>
      </c>
      <c r="K528">
        <v>6</v>
      </c>
      <c r="L528">
        <v>1</v>
      </c>
      <c r="M528">
        <v>0</v>
      </c>
      <c r="N528">
        <v>0</v>
      </c>
      <c r="O528">
        <v>0</v>
      </c>
      <c r="P528">
        <v>6</v>
      </c>
      <c r="Q528">
        <v>0</v>
      </c>
      <c r="R528">
        <v>0</v>
      </c>
      <c r="S528">
        <v>19</v>
      </c>
      <c r="T528">
        <v>5.3</v>
      </c>
      <c r="U528">
        <v>39</v>
      </c>
      <c r="V528" s="2">
        <v>9.0979166666666664</v>
      </c>
      <c r="W528" s="3">
        <v>0.3034722222222222</v>
      </c>
      <c r="X528">
        <v>55</v>
      </c>
      <c r="Y528">
        <v>75</v>
      </c>
      <c r="Z528">
        <v>42.3</v>
      </c>
      <c r="AA528">
        <v>13</v>
      </c>
      <c r="AB528">
        <v>28</v>
      </c>
      <c r="AC528">
        <v>3</v>
      </c>
      <c r="AD528">
        <v>16</v>
      </c>
      <c r="AF528" t="s">
        <v>1313</v>
      </c>
    </row>
    <row r="529" spans="1:32" x14ac:dyDescent="0.3">
      <c r="A529">
        <v>506</v>
      </c>
      <c r="B529" t="s">
        <v>1314</v>
      </c>
      <c r="C529">
        <v>32</v>
      </c>
      <c r="D529" t="s">
        <v>174</v>
      </c>
      <c r="E529" t="s">
        <v>78</v>
      </c>
      <c r="F529">
        <v>39</v>
      </c>
      <c r="G529">
        <v>2</v>
      </c>
      <c r="H529">
        <v>5</v>
      </c>
      <c r="I529">
        <v>7</v>
      </c>
      <c r="J529">
        <v>0</v>
      </c>
      <c r="K529">
        <v>14</v>
      </c>
      <c r="L529">
        <v>2</v>
      </c>
      <c r="M529">
        <v>0</v>
      </c>
      <c r="N529">
        <v>0</v>
      </c>
      <c r="O529">
        <v>1</v>
      </c>
      <c r="P529">
        <v>5</v>
      </c>
      <c r="Q529">
        <v>0</v>
      </c>
      <c r="R529">
        <v>0</v>
      </c>
      <c r="S529">
        <v>32</v>
      </c>
      <c r="T529">
        <v>6.3</v>
      </c>
      <c r="U529">
        <v>70</v>
      </c>
      <c r="V529" s="2">
        <v>19.108333333333334</v>
      </c>
      <c r="W529" s="3">
        <v>0.49027777777777776</v>
      </c>
      <c r="X529">
        <v>66</v>
      </c>
      <c r="Y529">
        <v>97</v>
      </c>
      <c r="Z529">
        <v>40.5</v>
      </c>
      <c r="AA529">
        <v>18</v>
      </c>
      <c r="AB529">
        <v>58</v>
      </c>
      <c r="AC529">
        <v>6</v>
      </c>
      <c r="AD529">
        <v>20</v>
      </c>
      <c r="AF529" t="s">
        <v>1315</v>
      </c>
    </row>
    <row r="530" spans="1:32" x14ac:dyDescent="0.3">
      <c r="A530">
        <v>507</v>
      </c>
      <c r="B530" t="s">
        <v>1316</v>
      </c>
      <c r="C530">
        <v>27</v>
      </c>
      <c r="D530" t="s">
        <v>164</v>
      </c>
      <c r="E530" t="s">
        <v>78</v>
      </c>
      <c r="F530">
        <v>43</v>
      </c>
      <c r="G530">
        <v>3</v>
      </c>
      <c r="H530">
        <v>4</v>
      </c>
      <c r="I530">
        <v>7</v>
      </c>
      <c r="J530">
        <v>-3</v>
      </c>
      <c r="K530">
        <v>10</v>
      </c>
      <c r="L530">
        <v>3</v>
      </c>
      <c r="M530">
        <v>0</v>
      </c>
      <c r="N530">
        <v>0</v>
      </c>
      <c r="O530">
        <v>1</v>
      </c>
      <c r="P530">
        <v>4</v>
      </c>
      <c r="Q530">
        <v>0</v>
      </c>
      <c r="R530">
        <v>0</v>
      </c>
      <c r="S530">
        <v>38</v>
      </c>
      <c r="T530">
        <v>7.9</v>
      </c>
      <c r="U530">
        <v>73</v>
      </c>
      <c r="V530" s="2">
        <v>20.300694444444446</v>
      </c>
      <c r="W530" s="3">
        <v>0.47222222222222221</v>
      </c>
      <c r="X530">
        <v>23</v>
      </c>
      <c r="Y530">
        <v>46</v>
      </c>
      <c r="Z530">
        <v>33.299999999999997</v>
      </c>
      <c r="AA530">
        <v>22</v>
      </c>
      <c r="AB530">
        <v>90</v>
      </c>
      <c r="AC530">
        <v>3</v>
      </c>
      <c r="AD530">
        <v>28</v>
      </c>
      <c r="AF530" t="s">
        <v>1317</v>
      </c>
    </row>
    <row r="531" spans="1:32" x14ac:dyDescent="0.3">
      <c r="A531">
        <v>508</v>
      </c>
      <c r="B531" t="s">
        <v>1318</v>
      </c>
      <c r="C531">
        <v>33</v>
      </c>
      <c r="D531" t="s">
        <v>256</v>
      </c>
      <c r="E531" t="s">
        <v>78</v>
      </c>
      <c r="F531">
        <v>45</v>
      </c>
      <c r="G531">
        <v>1</v>
      </c>
      <c r="H531">
        <v>6</v>
      </c>
      <c r="I531">
        <v>7</v>
      </c>
      <c r="J531">
        <v>3</v>
      </c>
      <c r="K531">
        <v>35</v>
      </c>
      <c r="L531">
        <v>1</v>
      </c>
      <c r="M531">
        <v>0</v>
      </c>
      <c r="N531">
        <v>0</v>
      </c>
      <c r="O531">
        <v>0</v>
      </c>
      <c r="P531">
        <v>5</v>
      </c>
      <c r="Q531">
        <v>0</v>
      </c>
      <c r="R531">
        <v>1</v>
      </c>
      <c r="S531">
        <v>47</v>
      </c>
      <c r="T531">
        <v>2.1</v>
      </c>
      <c r="U531">
        <v>92</v>
      </c>
      <c r="V531" s="2">
        <v>20.25</v>
      </c>
      <c r="W531" s="3">
        <v>0.45</v>
      </c>
      <c r="X531">
        <v>165</v>
      </c>
      <c r="Y531">
        <v>143</v>
      </c>
      <c r="Z531">
        <v>53.6</v>
      </c>
      <c r="AA531">
        <v>23</v>
      </c>
      <c r="AB531">
        <v>65</v>
      </c>
      <c r="AC531">
        <v>9</v>
      </c>
      <c r="AD531">
        <v>18</v>
      </c>
      <c r="AF531" t="s">
        <v>1319</v>
      </c>
    </row>
    <row r="532" spans="1:32" x14ac:dyDescent="0.3">
      <c r="A532">
        <v>509</v>
      </c>
      <c r="B532" t="s">
        <v>1320</v>
      </c>
      <c r="C532">
        <v>20</v>
      </c>
      <c r="D532" t="s">
        <v>200</v>
      </c>
      <c r="E532" t="s">
        <v>380</v>
      </c>
      <c r="F532">
        <v>29</v>
      </c>
      <c r="G532">
        <v>2</v>
      </c>
      <c r="H532">
        <v>5</v>
      </c>
      <c r="I532">
        <v>7</v>
      </c>
      <c r="J532">
        <v>-2</v>
      </c>
      <c r="K532">
        <v>12</v>
      </c>
      <c r="L532">
        <v>1</v>
      </c>
      <c r="M532">
        <v>1</v>
      </c>
      <c r="N532">
        <v>0</v>
      </c>
      <c r="O532">
        <v>0</v>
      </c>
      <c r="P532">
        <v>4</v>
      </c>
      <c r="Q532">
        <v>1</v>
      </c>
      <c r="R532">
        <v>0</v>
      </c>
      <c r="S532">
        <v>31</v>
      </c>
      <c r="T532">
        <v>6.5</v>
      </c>
      <c r="U532">
        <v>63</v>
      </c>
      <c r="V532" s="2">
        <v>15.629861111111111</v>
      </c>
      <c r="W532" s="3">
        <v>0.53888888888888886</v>
      </c>
      <c r="X532">
        <v>34</v>
      </c>
      <c r="Y532">
        <v>45</v>
      </c>
      <c r="Z532">
        <v>43</v>
      </c>
      <c r="AA532">
        <v>16</v>
      </c>
      <c r="AB532">
        <v>4</v>
      </c>
      <c r="AC532">
        <v>8</v>
      </c>
      <c r="AD532">
        <v>14</v>
      </c>
      <c r="AF532" t="s">
        <v>1321</v>
      </c>
    </row>
    <row r="533" spans="1:32" x14ac:dyDescent="0.3">
      <c r="A533">
        <v>510</v>
      </c>
      <c r="B533" t="s">
        <v>1322</v>
      </c>
      <c r="C533">
        <v>25</v>
      </c>
      <c r="D533" t="s">
        <v>204</v>
      </c>
      <c r="E533" t="s">
        <v>78</v>
      </c>
      <c r="F533">
        <v>15</v>
      </c>
      <c r="G533">
        <v>5</v>
      </c>
      <c r="H533">
        <v>2</v>
      </c>
      <c r="I533">
        <v>7</v>
      </c>
      <c r="J533">
        <v>-2</v>
      </c>
      <c r="K533">
        <v>16</v>
      </c>
      <c r="L533">
        <v>5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22</v>
      </c>
      <c r="T533">
        <v>22.7</v>
      </c>
      <c r="U533">
        <v>44</v>
      </c>
      <c r="V533" s="2">
        <v>8.7652777777777775</v>
      </c>
      <c r="W533" s="3">
        <v>0.58402777777777781</v>
      </c>
      <c r="X533">
        <v>46</v>
      </c>
      <c r="Y533">
        <v>61</v>
      </c>
      <c r="Z533">
        <v>43</v>
      </c>
      <c r="AA533">
        <v>15</v>
      </c>
      <c r="AB533">
        <v>21</v>
      </c>
      <c r="AC533">
        <v>8</v>
      </c>
      <c r="AD533">
        <v>8</v>
      </c>
      <c r="AF533" t="s">
        <v>1323</v>
      </c>
    </row>
    <row r="534" spans="1:32" x14ac:dyDescent="0.3">
      <c r="A534">
        <v>511</v>
      </c>
      <c r="B534" t="s">
        <v>1324</v>
      </c>
      <c r="C534">
        <v>21</v>
      </c>
      <c r="D534" t="s">
        <v>221</v>
      </c>
      <c r="E534" t="s">
        <v>78</v>
      </c>
      <c r="F534">
        <v>28</v>
      </c>
      <c r="G534">
        <v>2</v>
      </c>
      <c r="H534">
        <v>5</v>
      </c>
      <c r="I534">
        <v>7</v>
      </c>
      <c r="J534">
        <v>-7</v>
      </c>
      <c r="K534">
        <v>4</v>
      </c>
      <c r="L534">
        <v>2</v>
      </c>
      <c r="M534">
        <v>0</v>
      </c>
      <c r="N534">
        <v>0</v>
      </c>
      <c r="O534">
        <v>0</v>
      </c>
      <c r="P534">
        <v>2</v>
      </c>
      <c r="Q534">
        <v>3</v>
      </c>
      <c r="R534">
        <v>0</v>
      </c>
      <c r="S534">
        <v>31</v>
      </c>
      <c r="T534">
        <v>6.5</v>
      </c>
      <c r="U534">
        <v>59</v>
      </c>
      <c r="V534" s="2">
        <v>12.895138888888889</v>
      </c>
      <c r="W534" s="3">
        <v>0.46041666666666664</v>
      </c>
      <c r="X534">
        <v>55</v>
      </c>
      <c r="Y534">
        <v>91</v>
      </c>
      <c r="Z534">
        <v>37.700000000000003</v>
      </c>
      <c r="AA534">
        <v>9</v>
      </c>
      <c r="AB534">
        <v>8</v>
      </c>
      <c r="AC534">
        <v>8</v>
      </c>
      <c r="AD534">
        <v>17</v>
      </c>
      <c r="AF534" t="s">
        <v>1325</v>
      </c>
    </row>
    <row r="535" spans="1:32" x14ac:dyDescent="0.3">
      <c r="A535">
        <v>512</v>
      </c>
      <c r="B535" t="s">
        <v>1326</v>
      </c>
      <c r="C535">
        <v>31</v>
      </c>
      <c r="D535" t="s">
        <v>72</v>
      </c>
      <c r="E535" t="s">
        <v>78</v>
      </c>
      <c r="F535">
        <v>32</v>
      </c>
      <c r="G535">
        <v>3</v>
      </c>
      <c r="H535">
        <v>4</v>
      </c>
      <c r="I535">
        <v>7</v>
      </c>
      <c r="J535">
        <v>1</v>
      </c>
      <c r="K535">
        <v>12</v>
      </c>
      <c r="L535">
        <v>3</v>
      </c>
      <c r="M535">
        <v>0</v>
      </c>
      <c r="N535">
        <v>0</v>
      </c>
      <c r="O535">
        <v>1</v>
      </c>
      <c r="P535">
        <v>4</v>
      </c>
      <c r="Q535">
        <v>0</v>
      </c>
      <c r="R535">
        <v>0</v>
      </c>
      <c r="S535">
        <v>32</v>
      </c>
      <c r="T535">
        <v>9.4</v>
      </c>
      <c r="U535">
        <v>66</v>
      </c>
      <c r="V535" s="2">
        <v>14.860416666666667</v>
      </c>
      <c r="W535" s="3">
        <v>0.46458333333333335</v>
      </c>
      <c r="X535">
        <v>178</v>
      </c>
      <c r="Y535">
        <v>143</v>
      </c>
      <c r="Z535">
        <v>55.5</v>
      </c>
      <c r="AA535">
        <v>24</v>
      </c>
      <c r="AB535">
        <v>21</v>
      </c>
      <c r="AC535">
        <v>5</v>
      </c>
      <c r="AD535">
        <v>18</v>
      </c>
      <c r="AF535" t="s">
        <v>1327</v>
      </c>
    </row>
    <row r="536" spans="1:32" x14ac:dyDescent="0.3">
      <c r="A536">
        <v>513</v>
      </c>
      <c r="B536" t="s">
        <v>1328</v>
      </c>
      <c r="C536">
        <v>33</v>
      </c>
      <c r="D536" t="s">
        <v>250</v>
      </c>
      <c r="E536" t="s">
        <v>78</v>
      </c>
      <c r="F536">
        <v>28</v>
      </c>
      <c r="G536">
        <v>1</v>
      </c>
      <c r="H536">
        <v>6</v>
      </c>
      <c r="I536">
        <v>7</v>
      </c>
      <c r="J536">
        <v>-4</v>
      </c>
      <c r="K536">
        <v>16</v>
      </c>
      <c r="L536">
        <v>1</v>
      </c>
      <c r="M536">
        <v>0</v>
      </c>
      <c r="N536">
        <v>0</v>
      </c>
      <c r="O536">
        <v>0</v>
      </c>
      <c r="P536">
        <v>6</v>
      </c>
      <c r="Q536">
        <v>0</v>
      </c>
      <c r="R536">
        <v>0</v>
      </c>
      <c r="S536">
        <v>21</v>
      </c>
      <c r="T536">
        <v>4.8</v>
      </c>
      <c r="U536">
        <v>42</v>
      </c>
      <c r="V536" s="2">
        <v>14.686805555555555</v>
      </c>
      <c r="W536" s="3">
        <v>0.52430555555555558</v>
      </c>
      <c r="X536">
        <v>6</v>
      </c>
      <c r="Y536">
        <v>11</v>
      </c>
      <c r="Z536">
        <v>35.299999999999997</v>
      </c>
      <c r="AA536">
        <v>9</v>
      </c>
      <c r="AB536">
        <v>10</v>
      </c>
      <c r="AC536">
        <v>5</v>
      </c>
      <c r="AD536">
        <v>10</v>
      </c>
      <c r="AF536" t="s">
        <v>1329</v>
      </c>
    </row>
    <row r="537" spans="1:32" x14ac:dyDescent="0.3">
      <c r="A537">
        <v>514</v>
      </c>
      <c r="B537" t="s">
        <v>1330</v>
      </c>
      <c r="C537">
        <v>27</v>
      </c>
      <c r="D537" t="s">
        <v>157</v>
      </c>
      <c r="E537" t="s">
        <v>78</v>
      </c>
      <c r="F537">
        <v>33</v>
      </c>
      <c r="G537">
        <v>3</v>
      </c>
      <c r="H537">
        <v>4</v>
      </c>
      <c r="I537">
        <v>7</v>
      </c>
      <c r="J537">
        <v>-11</v>
      </c>
      <c r="K537">
        <v>16</v>
      </c>
      <c r="L537">
        <v>3</v>
      </c>
      <c r="M537">
        <v>0</v>
      </c>
      <c r="N537">
        <v>0</v>
      </c>
      <c r="O537">
        <v>0</v>
      </c>
      <c r="P537">
        <v>4</v>
      </c>
      <c r="Q537">
        <v>0</v>
      </c>
      <c r="R537">
        <v>0</v>
      </c>
      <c r="S537">
        <v>32</v>
      </c>
      <c r="T537">
        <v>9.4</v>
      </c>
      <c r="U537">
        <v>66</v>
      </c>
      <c r="V537" s="2">
        <v>15.959027777777777</v>
      </c>
      <c r="W537" s="3">
        <v>0.48333333333333334</v>
      </c>
      <c r="X537">
        <v>17</v>
      </c>
      <c r="Y537">
        <v>23</v>
      </c>
      <c r="Z537">
        <v>42.5</v>
      </c>
      <c r="AA537">
        <v>9</v>
      </c>
      <c r="AB537">
        <v>39</v>
      </c>
      <c r="AC537">
        <v>9</v>
      </c>
      <c r="AD537">
        <v>11</v>
      </c>
      <c r="AF537" t="s">
        <v>1331</v>
      </c>
    </row>
    <row r="538" spans="1:32" x14ac:dyDescent="0.3">
      <c r="A538">
        <v>515</v>
      </c>
      <c r="B538" t="s">
        <v>1332</v>
      </c>
      <c r="C538">
        <v>33</v>
      </c>
      <c r="D538" t="s">
        <v>409</v>
      </c>
      <c r="E538" t="s">
        <v>78</v>
      </c>
      <c r="F538">
        <v>14</v>
      </c>
      <c r="G538">
        <v>4</v>
      </c>
      <c r="H538">
        <v>3</v>
      </c>
      <c r="I538">
        <v>7</v>
      </c>
      <c r="J538">
        <v>-1</v>
      </c>
      <c r="K538">
        <v>4</v>
      </c>
      <c r="L538">
        <v>2</v>
      </c>
      <c r="M538">
        <v>1</v>
      </c>
      <c r="N538">
        <v>1</v>
      </c>
      <c r="O538">
        <v>1</v>
      </c>
      <c r="P538">
        <v>3</v>
      </c>
      <c r="Q538">
        <v>0</v>
      </c>
      <c r="R538">
        <v>0</v>
      </c>
      <c r="S538">
        <v>30</v>
      </c>
      <c r="T538">
        <v>13.3</v>
      </c>
      <c r="U538">
        <v>48</v>
      </c>
      <c r="V538" s="2">
        <v>8.8354166666666671</v>
      </c>
      <c r="W538" s="3">
        <v>0.63124999999999998</v>
      </c>
      <c r="X538">
        <v>91</v>
      </c>
      <c r="Y538">
        <v>67</v>
      </c>
      <c r="Z538">
        <v>57.6</v>
      </c>
      <c r="AA538">
        <v>13</v>
      </c>
      <c r="AB538">
        <v>3</v>
      </c>
      <c r="AC538">
        <v>3</v>
      </c>
      <c r="AD538">
        <v>11</v>
      </c>
      <c r="AF538" t="s">
        <v>1333</v>
      </c>
    </row>
    <row r="539" spans="1:32" x14ac:dyDescent="0.3">
      <c r="A539">
        <v>516</v>
      </c>
      <c r="B539" t="s">
        <v>1334</v>
      </c>
      <c r="C539">
        <v>24</v>
      </c>
      <c r="D539" t="s">
        <v>200</v>
      </c>
      <c r="E539" t="s">
        <v>380</v>
      </c>
      <c r="F539">
        <v>36</v>
      </c>
      <c r="G539">
        <v>2</v>
      </c>
      <c r="H539">
        <v>5</v>
      </c>
      <c r="I539">
        <v>7</v>
      </c>
      <c r="J539">
        <v>-7</v>
      </c>
      <c r="K539">
        <v>21</v>
      </c>
      <c r="L539">
        <v>2</v>
      </c>
      <c r="M539">
        <v>0</v>
      </c>
      <c r="N539">
        <v>0</v>
      </c>
      <c r="O539">
        <v>0</v>
      </c>
      <c r="P539">
        <v>5</v>
      </c>
      <c r="Q539">
        <v>0</v>
      </c>
      <c r="R539">
        <v>0</v>
      </c>
      <c r="S539">
        <v>26</v>
      </c>
      <c r="T539">
        <v>7.7</v>
      </c>
      <c r="U539">
        <v>68</v>
      </c>
      <c r="V539" s="2">
        <v>16.108333333333334</v>
      </c>
      <c r="W539" s="3">
        <v>0.44722222222222224</v>
      </c>
      <c r="X539">
        <v>2</v>
      </c>
      <c r="Y539">
        <v>8</v>
      </c>
      <c r="Z539">
        <v>20</v>
      </c>
      <c r="AA539">
        <v>23</v>
      </c>
      <c r="AB539">
        <v>92</v>
      </c>
      <c r="AC539">
        <v>9</v>
      </c>
      <c r="AD539">
        <v>19</v>
      </c>
      <c r="AF539" t="s">
        <v>1335</v>
      </c>
    </row>
    <row r="540" spans="1:32" x14ac:dyDescent="0.3">
      <c r="A540">
        <v>517</v>
      </c>
      <c r="B540" t="s">
        <v>1336</v>
      </c>
      <c r="C540">
        <v>31</v>
      </c>
      <c r="D540" t="s">
        <v>150</v>
      </c>
      <c r="E540" t="s">
        <v>78</v>
      </c>
      <c r="F540">
        <v>25</v>
      </c>
      <c r="G540">
        <v>5</v>
      </c>
      <c r="H540">
        <v>2</v>
      </c>
      <c r="I540">
        <v>7</v>
      </c>
      <c r="J540">
        <v>0</v>
      </c>
      <c r="K540">
        <v>6</v>
      </c>
      <c r="L540">
        <v>3</v>
      </c>
      <c r="M540">
        <v>0</v>
      </c>
      <c r="N540">
        <v>2</v>
      </c>
      <c r="O540">
        <v>1</v>
      </c>
      <c r="P540">
        <v>2</v>
      </c>
      <c r="Q540">
        <v>0</v>
      </c>
      <c r="R540">
        <v>0</v>
      </c>
      <c r="S540">
        <v>32</v>
      </c>
      <c r="T540">
        <v>15.6</v>
      </c>
      <c r="U540">
        <v>54</v>
      </c>
      <c r="V540" s="2">
        <v>14.158333333333333</v>
      </c>
      <c r="W540" s="3">
        <v>0.56666666666666665</v>
      </c>
      <c r="X540">
        <v>175</v>
      </c>
      <c r="Y540">
        <v>111</v>
      </c>
      <c r="Z540">
        <v>61.2</v>
      </c>
      <c r="AA540">
        <v>20</v>
      </c>
      <c r="AB540">
        <v>47</v>
      </c>
      <c r="AC540">
        <v>7</v>
      </c>
      <c r="AD540">
        <v>20</v>
      </c>
      <c r="AF540" t="s">
        <v>1337</v>
      </c>
    </row>
    <row r="541" spans="1:32" x14ac:dyDescent="0.3">
      <c r="A541">
        <v>518</v>
      </c>
      <c r="B541" t="s">
        <v>1338</v>
      </c>
      <c r="C541">
        <v>26</v>
      </c>
      <c r="D541" t="s">
        <v>116</v>
      </c>
      <c r="E541" t="s">
        <v>87</v>
      </c>
      <c r="F541">
        <v>31</v>
      </c>
      <c r="G541">
        <v>0</v>
      </c>
      <c r="H541">
        <v>7</v>
      </c>
      <c r="I541">
        <v>7</v>
      </c>
      <c r="J541">
        <v>-10</v>
      </c>
      <c r="K541">
        <v>18</v>
      </c>
      <c r="L541">
        <v>0</v>
      </c>
      <c r="M541">
        <v>0</v>
      </c>
      <c r="N541">
        <v>0</v>
      </c>
      <c r="O541">
        <v>0</v>
      </c>
      <c r="P541">
        <v>5</v>
      </c>
      <c r="Q541">
        <v>2</v>
      </c>
      <c r="R541">
        <v>0</v>
      </c>
      <c r="S541">
        <v>19</v>
      </c>
      <c r="T541">
        <v>0</v>
      </c>
      <c r="U541">
        <v>68</v>
      </c>
      <c r="V541" s="2">
        <v>26.138194444444444</v>
      </c>
      <c r="W541" s="3">
        <v>0.84305555555555556</v>
      </c>
      <c r="X541">
        <v>0</v>
      </c>
      <c r="Y541">
        <v>0</v>
      </c>
      <c r="AA541">
        <v>71</v>
      </c>
      <c r="AB541">
        <v>29</v>
      </c>
      <c r="AC541">
        <v>5</v>
      </c>
      <c r="AD541">
        <v>34</v>
      </c>
      <c r="AF541" t="s">
        <v>1339</v>
      </c>
    </row>
    <row r="542" spans="1:32" x14ac:dyDescent="0.3">
      <c r="A542">
        <v>519</v>
      </c>
      <c r="B542" t="s">
        <v>1340</v>
      </c>
      <c r="C542">
        <v>31</v>
      </c>
      <c r="D542" t="s">
        <v>174</v>
      </c>
      <c r="E542" t="s">
        <v>87</v>
      </c>
      <c r="F542">
        <v>32</v>
      </c>
      <c r="G542">
        <v>1</v>
      </c>
      <c r="H542">
        <v>6</v>
      </c>
      <c r="I542">
        <v>7</v>
      </c>
      <c r="J542">
        <v>0</v>
      </c>
      <c r="K542">
        <v>34</v>
      </c>
      <c r="L542">
        <v>1</v>
      </c>
      <c r="M542">
        <v>0</v>
      </c>
      <c r="N542">
        <v>0</v>
      </c>
      <c r="O542">
        <v>0</v>
      </c>
      <c r="P542">
        <v>6</v>
      </c>
      <c r="Q542">
        <v>0</v>
      </c>
      <c r="R542">
        <v>0</v>
      </c>
      <c r="S542">
        <v>20</v>
      </c>
      <c r="T542">
        <v>5</v>
      </c>
      <c r="U542">
        <v>41</v>
      </c>
      <c r="V542" s="2">
        <v>22.091666666666665</v>
      </c>
      <c r="W542" s="3">
        <v>0.69027777777777777</v>
      </c>
      <c r="X542">
        <v>0</v>
      </c>
      <c r="Y542">
        <v>0</v>
      </c>
      <c r="AA542">
        <v>57</v>
      </c>
      <c r="AB542">
        <v>50</v>
      </c>
      <c r="AC542">
        <v>7</v>
      </c>
      <c r="AD542">
        <v>30</v>
      </c>
      <c r="AF542" t="s">
        <v>1341</v>
      </c>
    </row>
    <row r="543" spans="1:32" x14ac:dyDescent="0.3">
      <c r="A543">
        <v>520</v>
      </c>
      <c r="B543" t="s">
        <v>1342</v>
      </c>
      <c r="C543">
        <v>27</v>
      </c>
      <c r="D543" t="s">
        <v>139</v>
      </c>
      <c r="E543" t="s">
        <v>101</v>
      </c>
      <c r="F543">
        <v>41</v>
      </c>
      <c r="G543">
        <v>3</v>
      </c>
      <c r="H543">
        <v>4</v>
      </c>
      <c r="I543">
        <v>7</v>
      </c>
      <c r="J543">
        <v>-7</v>
      </c>
      <c r="K543">
        <v>20</v>
      </c>
      <c r="L543">
        <v>3</v>
      </c>
      <c r="M543">
        <v>0</v>
      </c>
      <c r="N543">
        <v>0</v>
      </c>
      <c r="O543">
        <v>0</v>
      </c>
      <c r="P543">
        <v>4</v>
      </c>
      <c r="Q543">
        <v>0</v>
      </c>
      <c r="R543">
        <v>0</v>
      </c>
      <c r="S543">
        <v>40</v>
      </c>
      <c r="T543">
        <v>7.5</v>
      </c>
      <c r="U543">
        <v>72</v>
      </c>
      <c r="V543" s="2">
        <v>19.705555555555556</v>
      </c>
      <c r="W543" s="3">
        <v>0.48055555555555557</v>
      </c>
      <c r="X543">
        <v>1</v>
      </c>
      <c r="Y543">
        <v>4</v>
      </c>
      <c r="Z543">
        <v>20</v>
      </c>
      <c r="AA543">
        <v>44</v>
      </c>
      <c r="AB543">
        <v>140</v>
      </c>
      <c r="AC543">
        <v>6</v>
      </c>
      <c r="AD543">
        <v>19</v>
      </c>
      <c r="AF543" t="s">
        <v>1343</v>
      </c>
    </row>
    <row r="544" spans="1:32" x14ac:dyDescent="0.3">
      <c r="A544">
        <v>521</v>
      </c>
      <c r="B544" t="s">
        <v>1344</v>
      </c>
      <c r="C544">
        <v>33</v>
      </c>
      <c r="D544" t="s">
        <v>188</v>
      </c>
      <c r="E544" t="s">
        <v>87</v>
      </c>
      <c r="F544">
        <v>42</v>
      </c>
      <c r="G544">
        <v>1</v>
      </c>
      <c r="H544">
        <v>6</v>
      </c>
      <c r="I544">
        <v>7</v>
      </c>
      <c r="J544">
        <v>2</v>
      </c>
      <c r="K544">
        <v>53</v>
      </c>
      <c r="L544">
        <v>1</v>
      </c>
      <c r="M544">
        <v>0</v>
      </c>
      <c r="N544">
        <v>0</v>
      </c>
      <c r="O544">
        <v>0</v>
      </c>
      <c r="P544">
        <v>6</v>
      </c>
      <c r="Q544">
        <v>0</v>
      </c>
      <c r="R544">
        <v>0</v>
      </c>
      <c r="S544">
        <v>41</v>
      </c>
      <c r="T544">
        <v>2.4</v>
      </c>
      <c r="U544">
        <v>106</v>
      </c>
      <c r="V544" s="2">
        <v>31.404166666666665</v>
      </c>
      <c r="W544" s="3">
        <v>0.74791666666666667</v>
      </c>
      <c r="X544">
        <v>0</v>
      </c>
      <c r="Y544">
        <v>0</v>
      </c>
      <c r="AA544">
        <v>56</v>
      </c>
      <c r="AB544">
        <v>39</v>
      </c>
      <c r="AC544">
        <v>7</v>
      </c>
      <c r="AD544">
        <v>36</v>
      </c>
      <c r="AF544" t="s">
        <v>1345</v>
      </c>
    </row>
    <row r="545" spans="1:32" x14ac:dyDescent="0.3">
      <c r="A545">
        <v>522</v>
      </c>
      <c r="B545" t="s">
        <v>254</v>
      </c>
      <c r="C545">
        <v>29</v>
      </c>
      <c r="D545" t="s">
        <v>164</v>
      </c>
      <c r="E545" t="s">
        <v>87</v>
      </c>
      <c r="F545">
        <v>43</v>
      </c>
      <c r="G545">
        <v>1</v>
      </c>
      <c r="H545">
        <v>6</v>
      </c>
      <c r="I545">
        <v>7</v>
      </c>
      <c r="J545">
        <v>6</v>
      </c>
      <c r="K545">
        <v>35</v>
      </c>
      <c r="L545">
        <v>1</v>
      </c>
      <c r="M545">
        <v>0</v>
      </c>
      <c r="N545">
        <v>0</v>
      </c>
      <c r="O545">
        <v>0</v>
      </c>
      <c r="P545">
        <v>6</v>
      </c>
      <c r="Q545">
        <v>0</v>
      </c>
      <c r="R545">
        <v>0</v>
      </c>
      <c r="S545">
        <v>44</v>
      </c>
      <c r="T545">
        <v>2.2999999999999998</v>
      </c>
      <c r="U545">
        <v>108</v>
      </c>
      <c r="V545" s="2">
        <v>36.029166666666669</v>
      </c>
      <c r="W545" s="3">
        <v>0.83819444444444446</v>
      </c>
      <c r="X545">
        <v>0</v>
      </c>
      <c r="Y545">
        <v>0</v>
      </c>
      <c r="AA545">
        <v>47</v>
      </c>
      <c r="AB545">
        <v>70</v>
      </c>
      <c r="AC545">
        <v>14</v>
      </c>
      <c r="AD545">
        <v>46</v>
      </c>
      <c r="AF545" t="s">
        <v>1346</v>
      </c>
    </row>
    <row r="546" spans="1:32" x14ac:dyDescent="0.3">
      <c r="A546">
        <v>523</v>
      </c>
      <c r="B546" t="s">
        <v>1347</v>
      </c>
      <c r="C546">
        <v>29</v>
      </c>
      <c r="D546" t="s">
        <v>310</v>
      </c>
      <c r="E546" t="s">
        <v>101</v>
      </c>
      <c r="F546">
        <v>26</v>
      </c>
      <c r="G546">
        <v>4</v>
      </c>
      <c r="H546">
        <v>3</v>
      </c>
      <c r="I546">
        <v>7</v>
      </c>
      <c r="J546">
        <v>1</v>
      </c>
      <c r="K546">
        <v>4</v>
      </c>
      <c r="L546">
        <v>4</v>
      </c>
      <c r="M546">
        <v>0</v>
      </c>
      <c r="N546">
        <v>0</v>
      </c>
      <c r="O546">
        <v>2</v>
      </c>
      <c r="P546">
        <v>3</v>
      </c>
      <c r="Q546">
        <v>0</v>
      </c>
      <c r="R546">
        <v>0</v>
      </c>
      <c r="S546">
        <v>29</v>
      </c>
      <c r="T546">
        <v>13.8</v>
      </c>
      <c r="U546">
        <v>47</v>
      </c>
      <c r="V546" s="2">
        <v>9.8576388888888893</v>
      </c>
      <c r="W546" s="3">
        <v>0.37916666666666665</v>
      </c>
      <c r="X546">
        <v>5</v>
      </c>
      <c r="Y546">
        <v>4</v>
      </c>
      <c r="Z546">
        <v>55.6</v>
      </c>
      <c r="AA546">
        <v>3</v>
      </c>
      <c r="AB546">
        <v>7</v>
      </c>
      <c r="AC546">
        <v>4</v>
      </c>
      <c r="AD546">
        <v>14</v>
      </c>
      <c r="AF546" t="s">
        <v>1348</v>
      </c>
    </row>
    <row r="547" spans="1:32" x14ac:dyDescent="0.3">
      <c r="A547">
        <v>524</v>
      </c>
      <c r="B547" t="s">
        <v>1349</v>
      </c>
      <c r="C547">
        <v>32</v>
      </c>
      <c r="D547" t="s">
        <v>97</v>
      </c>
      <c r="E547" t="s">
        <v>95</v>
      </c>
      <c r="F547">
        <v>38</v>
      </c>
      <c r="G547">
        <v>3</v>
      </c>
      <c r="H547">
        <v>4</v>
      </c>
      <c r="I547">
        <v>7</v>
      </c>
      <c r="J547">
        <v>-12</v>
      </c>
      <c r="K547">
        <v>33</v>
      </c>
      <c r="L547">
        <v>2</v>
      </c>
      <c r="M547">
        <v>1</v>
      </c>
      <c r="N547">
        <v>0</v>
      </c>
      <c r="O547">
        <v>1</v>
      </c>
      <c r="P547">
        <v>2</v>
      </c>
      <c r="Q547">
        <v>2</v>
      </c>
      <c r="R547">
        <v>0</v>
      </c>
      <c r="S547">
        <v>52</v>
      </c>
      <c r="T547">
        <v>5.8</v>
      </c>
      <c r="U547">
        <v>93</v>
      </c>
      <c r="V547" s="2">
        <v>18.611111111111111</v>
      </c>
      <c r="W547" s="3">
        <v>0.48958333333333331</v>
      </c>
      <c r="X547">
        <v>16</v>
      </c>
      <c r="Y547">
        <v>17</v>
      </c>
      <c r="Z547">
        <v>48.5</v>
      </c>
      <c r="AA547">
        <v>15</v>
      </c>
      <c r="AB547">
        <v>33</v>
      </c>
      <c r="AC547">
        <v>3</v>
      </c>
      <c r="AD547">
        <v>23</v>
      </c>
      <c r="AF547" t="s">
        <v>1350</v>
      </c>
    </row>
    <row r="548" spans="1:32" x14ac:dyDescent="0.3">
      <c r="A548">
        <v>525</v>
      </c>
      <c r="B548" t="s">
        <v>1351</v>
      </c>
      <c r="C548">
        <v>31</v>
      </c>
      <c r="D548" t="s">
        <v>188</v>
      </c>
      <c r="E548" t="s">
        <v>87</v>
      </c>
      <c r="F548">
        <v>44</v>
      </c>
      <c r="G548">
        <v>3</v>
      </c>
      <c r="H548">
        <v>4</v>
      </c>
      <c r="I548">
        <v>7</v>
      </c>
      <c r="J548">
        <v>9</v>
      </c>
      <c r="K548">
        <v>20</v>
      </c>
      <c r="L548">
        <v>3</v>
      </c>
      <c r="M548">
        <v>0</v>
      </c>
      <c r="N548">
        <v>0</v>
      </c>
      <c r="O548">
        <v>2</v>
      </c>
      <c r="P548">
        <v>4</v>
      </c>
      <c r="Q548">
        <v>0</v>
      </c>
      <c r="R548">
        <v>0</v>
      </c>
      <c r="S548">
        <v>63</v>
      </c>
      <c r="T548">
        <v>4.8</v>
      </c>
      <c r="U548">
        <v>172</v>
      </c>
      <c r="V548" s="2">
        <v>38.02708333333333</v>
      </c>
      <c r="W548" s="3">
        <v>0.86458333333333337</v>
      </c>
      <c r="X548">
        <v>0</v>
      </c>
      <c r="Y548">
        <v>0</v>
      </c>
      <c r="AA548">
        <v>77</v>
      </c>
      <c r="AB548">
        <v>28</v>
      </c>
      <c r="AC548">
        <v>18</v>
      </c>
      <c r="AD548">
        <v>40</v>
      </c>
      <c r="AF548" t="s">
        <v>1352</v>
      </c>
    </row>
    <row r="549" spans="1:32" x14ac:dyDescent="0.3">
      <c r="A549">
        <v>526</v>
      </c>
      <c r="B549" t="s">
        <v>1353</v>
      </c>
      <c r="C549">
        <v>30</v>
      </c>
      <c r="D549" t="s">
        <v>130</v>
      </c>
      <c r="E549" t="s">
        <v>87</v>
      </c>
      <c r="F549">
        <v>38</v>
      </c>
      <c r="G549">
        <v>2</v>
      </c>
      <c r="H549">
        <v>5</v>
      </c>
      <c r="I549">
        <v>7</v>
      </c>
      <c r="J549">
        <v>1</v>
      </c>
      <c r="K549">
        <v>19</v>
      </c>
      <c r="L549">
        <v>1</v>
      </c>
      <c r="M549">
        <v>1</v>
      </c>
      <c r="N549">
        <v>0</v>
      </c>
      <c r="O549">
        <v>1</v>
      </c>
      <c r="P549">
        <v>4</v>
      </c>
      <c r="Q549">
        <v>1</v>
      </c>
      <c r="R549">
        <v>0</v>
      </c>
      <c r="S549">
        <v>76</v>
      </c>
      <c r="T549">
        <v>2.6</v>
      </c>
      <c r="U549">
        <v>171</v>
      </c>
      <c r="V549" s="2">
        <v>36.179861111111109</v>
      </c>
      <c r="W549" s="3">
        <v>0.95208333333333328</v>
      </c>
      <c r="X549">
        <v>0</v>
      </c>
      <c r="Y549">
        <v>0</v>
      </c>
      <c r="AA549">
        <v>62</v>
      </c>
      <c r="AB549">
        <v>81</v>
      </c>
      <c r="AC549">
        <v>10</v>
      </c>
      <c r="AD549">
        <v>42</v>
      </c>
      <c r="AF549" t="s">
        <v>1354</v>
      </c>
    </row>
    <row r="550" spans="1:32" x14ac:dyDescent="0.3">
      <c r="A550">
        <v>527</v>
      </c>
      <c r="B550" t="s">
        <v>1355</v>
      </c>
      <c r="C550">
        <v>24</v>
      </c>
      <c r="D550" t="s">
        <v>256</v>
      </c>
      <c r="E550" t="s">
        <v>87</v>
      </c>
      <c r="F550">
        <v>35</v>
      </c>
      <c r="G550">
        <v>2</v>
      </c>
      <c r="H550">
        <v>5</v>
      </c>
      <c r="I550">
        <v>7</v>
      </c>
      <c r="J550">
        <v>0</v>
      </c>
      <c r="K550">
        <v>22</v>
      </c>
      <c r="L550">
        <v>2</v>
      </c>
      <c r="M550">
        <v>0</v>
      </c>
      <c r="N550">
        <v>0</v>
      </c>
      <c r="O550">
        <v>0</v>
      </c>
      <c r="P550">
        <v>5</v>
      </c>
      <c r="Q550">
        <v>0</v>
      </c>
      <c r="R550">
        <v>0</v>
      </c>
      <c r="S550">
        <v>32</v>
      </c>
      <c r="T550">
        <v>6.3</v>
      </c>
      <c r="U550">
        <v>98</v>
      </c>
      <c r="V550" s="2">
        <v>23.846527777777776</v>
      </c>
      <c r="W550" s="3">
        <v>0.68125000000000002</v>
      </c>
      <c r="X550">
        <v>0</v>
      </c>
      <c r="Y550">
        <v>0</v>
      </c>
      <c r="AA550">
        <v>41</v>
      </c>
      <c r="AB550">
        <v>53</v>
      </c>
      <c r="AC550">
        <v>0</v>
      </c>
      <c r="AD550">
        <v>21</v>
      </c>
      <c r="AF550" t="s">
        <v>1356</v>
      </c>
    </row>
    <row r="551" spans="1:32" x14ac:dyDescent="0.3">
      <c r="A551">
        <v>528</v>
      </c>
      <c r="B551" t="s">
        <v>1357</v>
      </c>
      <c r="C551">
        <v>22</v>
      </c>
      <c r="D551" t="s">
        <v>139</v>
      </c>
      <c r="E551" t="s">
        <v>95</v>
      </c>
      <c r="F551">
        <v>13</v>
      </c>
      <c r="G551">
        <v>3</v>
      </c>
      <c r="H551">
        <v>4</v>
      </c>
      <c r="I551">
        <v>7</v>
      </c>
      <c r="J551">
        <v>-3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2</v>
      </c>
      <c r="Q551">
        <v>2</v>
      </c>
      <c r="R551">
        <v>0</v>
      </c>
      <c r="S551">
        <v>14</v>
      </c>
      <c r="T551">
        <v>21.4</v>
      </c>
      <c r="U551">
        <v>35</v>
      </c>
      <c r="V551" s="2">
        <v>7.4562499999999998</v>
      </c>
      <c r="W551" s="3">
        <v>0.57361111111111107</v>
      </c>
      <c r="X551">
        <v>1</v>
      </c>
      <c r="Y551">
        <v>0</v>
      </c>
      <c r="Z551">
        <v>100</v>
      </c>
      <c r="AA551">
        <v>9</v>
      </c>
      <c r="AB551">
        <v>6</v>
      </c>
      <c r="AC551">
        <v>4</v>
      </c>
      <c r="AD551">
        <v>10</v>
      </c>
      <c r="AF551" t="s">
        <v>1358</v>
      </c>
    </row>
    <row r="552" spans="1:32" x14ac:dyDescent="0.3">
      <c r="A552">
        <v>529</v>
      </c>
      <c r="B552" t="s">
        <v>1359</v>
      </c>
      <c r="C552">
        <v>33</v>
      </c>
      <c r="D552" t="s">
        <v>409</v>
      </c>
      <c r="E552" t="s">
        <v>101</v>
      </c>
      <c r="F552">
        <v>39</v>
      </c>
      <c r="G552">
        <v>2</v>
      </c>
      <c r="H552">
        <v>5</v>
      </c>
      <c r="I552">
        <v>7</v>
      </c>
      <c r="J552">
        <v>-1</v>
      </c>
      <c r="K552">
        <v>14</v>
      </c>
      <c r="L552">
        <v>2</v>
      </c>
      <c r="M552">
        <v>0</v>
      </c>
      <c r="N552">
        <v>0</v>
      </c>
      <c r="O552">
        <v>0</v>
      </c>
      <c r="P552">
        <v>5</v>
      </c>
      <c r="Q552">
        <v>0</v>
      </c>
      <c r="R552">
        <v>0</v>
      </c>
      <c r="S552">
        <v>64</v>
      </c>
      <c r="T552">
        <v>3.1</v>
      </c>
      <c r="U552">
        <v>113</v>
      </c>
      <c r="V552" s="2">
        <v>22.549305555555556</v>
      </c>
      <c r="W552" s="3">
        <v>0.57847222222222228</v>
      </c>
      <c r="X552">
        <v>8</v>
      </c>
      <c r="Y552">
        <v>20</v>
      </c>
      <c r="Z552">
        <v>28.6</v>
      </c>
      <c r="AA552">
        <v>17</v>
      </c>
      <c r="AB552">
        <v>9</v>
      </c>
      <c r="AC552">
        <v>8</v>
      </c>
      <c r="AD552">
        <v>26</v>
      </c>
      <c r="AF552" t="s">
        <v>1360</v>
      </c>
    </row>
    <row r="553" spans="1:32" x14ac:dyDescent="0.3">
      <c r="A553">
        <v>530</v>
      </c>
      <c r="B553" t="s">
        <v>1361</v>
      </c>
      <c r="C553">
        <v>28</v>
      </c>
      <c r="D553" t="s">
        <v>310</v>
      </c>
      <c r="E553" t="s">
        <v>95</v>
      </c>
      <c r="F553">
        <v>45</v>
      </c>
      <c r="G553">
        <v>4</v>
      </c>
      <c r="H553">
        <v>2</v>
      </c>
      <c r="I553">
        <v>6</v>
      </c>
      <c r="J553">
        <v>-4</v>
      </c>
      <c r="K553">
        <v>49</v>
      </c>
      <c r="L553">
        <v>3</v>
      </c>
      <c r="M553">
        <v>0</v>
      </c>
      <c r="N553">
        <v>1</v>
      </c>
      <c r="O553">
        <v>0</v>
      </c>
      <c r="P553">
        <v>2</v>
      </c>
      <c r="Q553">
        <v>0</v>
      </c>
      <c r="R553">
        <v>0</v>
      </c>
      <c r="S553">
        <v>29</v>
      </c>
      <c r="T553">
        <v>13.8</v>
      </c>
      <c r="U553">
        <v>71</v>
      </c>
      <c r="V553" s="2">
        <v>21.588194444444444</v>
      </c>
      <c r="W553" s="3">
        <v>0.47986111111111113</v>
      </c>
      <c r="X553">
        <v>8</v>
      </c>
      <c r="Y553">
        <v>21</v>
      </c>
      <c r="Z553">
        <v>27.6</v>
      </c>
      <c r="AA553">
        <v>31</v>
      </c>
      <c r="AB553">
        <v>97</v>
      </c>
      <c r="AC553">
        <v>6</v>
      </c>
      <c r="AD553">
        <v>13</v>
      </c>
      <c r="AF553" t="s">
        <v>1362</v>
      </c>
    </row>
    <row r="554" spans="1:32" x14ac:dyDescent="0.3">
      <c r="A554">
        <v>531</v>
      </c>
      <c r="B554" t="s">
        <v>1363</v>
      </c>
      <c r="C554">
        <v>36</v>
      </c>
      <c r="D554" t="s">
        <v>243</v>
      </c>
      <c r="E554" t="s">
        <v>78</v>
      </c>
      <c r="F554">
        <v>29</v>
      </c>
      <c r="G554">
        <v>2</v>
      </c>
      <c r="H554">
        <v>4</v>
      </c>
      <c r="I554">
        <v>6</v>
      </c>
      <c r="J554">
        <v>-7</v>
      </c>
      <c r="K554">
        <v>6</v>
      </c>
      <c r="L554">
        <v>1</v>
      </c>
      <c r="M554">
        <v>0</v>
      </c>
      <c r="N554">
        <v>1</v>
      </c>
      <c r="O554">
        <v>0</v>
      </c>
      <c r="P554">
        <v>4</v>
      </c>
      <c r="Q554">
        <v>0</v>
      </c>
      <c r="R554">
        <v>0</v>
      </c>
      <c r="S554">
        <v>25</v>
      </c>
      <c r="T554">
        <v>8</v>
      </c>
      <c r="U554">
        <v>54</v>
      </c>
      <c r="V554" s="2">
        <v>15.602777777777778</v>
      </c>
      <c r="W554" s="3">
        <v>0.53819444444444442</v>
      </c>
      <c r="X554">
        <v>163</v>
      </c>
      <c r="Y554">
        <v>106</v>
      </c>
      <c r="Z554">
        <v>60.6</v>
      </c>
      <c r="AA554">
        <v>19</v>
      </c>
      <c r="AB554">
        <v>22</v>
      </c>
      <c r="AC554">
        <v>4</v>
      </c>
      <c r="AD554">
        <v>14</v>
      </c>
      <c r="AF554" t="s">
        <v>1364</v>
      </c>
    </row>
    <row r="555" spans="1:32" x14ac:dyDescent="0.3">
      <c r="A555">
        <v>532</v>
      </c>
      <c r="B555" t="s">
        <v>1365</v>
      </c>
      <c r="C555">
        <v>27</v>
      </c>
      <c r="D555" t="s">
        <v>306</v>
      </c>
      <c r="E555" t="s">
        <v>87</v>
      </c>
      <c r="F555">
        <v>43</v>
      </c>
      <c r="G555">
        <v>2</v>
      </c>
      <c r="H555">
        <v>4</v>
      </c>
      <c r="I555">
        <v>6</v>
      </c>
      <c r="J555">
        <v>-15</v>
      </c>
      <c r="K555">
        <v>14</v>
      </c>
      <c r="L555">
        <v>2</v>
      </c>
      <c r="M555">
        <v>0</v>
      </c>
      <c r="N555">
        <v>0</v>
      </c>
      <c r="O555">
        <v>0</v>
      </c>
      <c r="P555">
        <v>4</v>
      </c>
      <c r="Q555">
        <v>0</v>
      </c>
      <c r="R555">
        <v>0</v>
      </c>
      <c r="S555">
        <v>42</v>
      </c>
      <c r="T555">
        <v>4.8</v>
      </c>
      <c r="U555">
        <v>105</v>
      </c>
      <c r="V555" s="2">
        <v>28.8</v>
      </c>
      <c r="W555" s="3">
        <v>0.6694444444444444</v>
      </c>
      <c r="X555">
        <v>0</v>
      </c>
      <c r="Y555">
        <v>0</v>
      </c>
      <c r="AA555">
        <v>76</v>
      </c>
      <c r="AB555">
        <v>37</v>
      </c>
      <c r="AC555">
        <v>11</v>
      </c>
      <c r="AD555">
        <v>36</v>
      </c>
      <c r="AF555" t="s">
        <v>1366</v>
      </c>
    </row>
    <row r="556" spans="1:32" x14ac:dyDescent="0.3">
      <c r="A556">
        <v>533</v>
      </c>
      <c r="B556" t="s">
        <v>1367</v>
      </c>
      <c r="C556">
        <v>23</v>
      </c>
      <c r="D556" t="s">
        <v>243</v>
      </c>
      <c r="E556" t="s">
        <v>78</v>
      </c>
      <c r="F556">
        <v>18</v>
      </c>
      <c r="G556">
        <v>0</v>
      </c>
      <c r="H556">
        <v>6</v>
      </c>
      <c r="I556">
        <v>6</v>
      </c>
      <c r="J556">
        <v>-3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</v>
      </c>
      <c r="Q556">
        <v>3</v>
      </c>
      <c r="R556">
        <v>0</v>
      </c>
      <c r="S556">
        <v>18</v>
      </c>
      <c r="T556">
        <v>0</v>
      </c>
      <c r="U556">
        <v>32</v>
      </c>
      <c r="V556" s="2">
        <v>6.1527777777777777</v>
      </c>
      <c r="W556" s="3">
        <v>0.34166666666666667</v>
      </c>
      <c r="X556">
        <v>22</v>
      </c>
      <c r="Y556">
        <v>35</v>
      </c>
      <c r="Z556">
        <v>38.6</v>
      </c>
      <c r="AA556">
        <v>6</v>
      </c>
      <c r="AB556">
        <v>22</v>
      </c>
      <c r="AC556">
        <v>1</v>
      </c>
      <c r="AD556">
        <v>10</v>
      </c>
      <c r="AF556" t="s">
        <v>1368</v>
      </c>
    </row>
    <row r="557" spans="1:32" x14ac:dyDescent="0.3">
      <c r="A557">
        <v>534</v>
      </c>
      <c r="B557" t="s">
        <v>1369</v>
      </c>
      <c r="C557">
        <v>34</v>
      </c>
      <c r="D557" t="s">
        <v>82</v>
      </c>
      <c r="E557" t="s">
        <v>87</v>
      </c>
      <c r="F557">
        <v>41</v>
      </c>
      <c r="G557">
        <v>0</v>
      </c>
      <c r="H557">
        <v>6</v>
      </c>
      <c r="I557">
        <v>6</v>
      </c>
      <c r="J557">
        <v>-4</v>
      </c>
      <c r="K557">
        <v>25</v>
      </c>
      <c r="L557">
        <v>0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27</v>
      </c>
      <c r="T557">
        <v>0</v>
      </c>
      <c r="U557">
        <v>74</v>
      </c>
      <c r="V557" s="2">
        <v>25.318055555555556</v>
      </c>
      <c r="W557" s="3">
        <v>0.61736111111111114</v>
      </c>
      <c r="X557">
        <v>0</v>
      </c>
      <c r="Y557">
        <v>0</v>
      </c>
      <c r="AA557">
        <v>57</v>
      </c>
      <c r="AB557">
        <v>26</v>
      </c>
      <c r="AC557">
        <v>7</v>
      </c>
      <c r="AD557">
        <v>33</v>
      </c>
      <c r="AF557" t="s">
        <v>1370</v>
      </c>
    </row>
    <row r="558" spans="1:32" x14ac:dyDescent="0.3">
      <c r="A558">
        <v>535</v>
      </c>
      <c r="B558" t="s">
        <v>1371</v>
      </c>
      <c r="C558">
        <v>31</v>
      </c>
      <c r="D558" t="s">
        <v>109</v>
      </c>
      <c r="E558" t="s">
        <v>78</v>
      </c>
      <c r="F558">
        <v>32</v>
      </c>
      <c r="G558">
        <v>2</v>
      </c>
      <c r="H558">
        <v>4</v>
      </c>
      <c r="I558">
        <v>6</v>
      </c>
      <c r="J558">
        <v>-6</v>
      </c>
      <c r="K558">
        <v>6</v>
      </c>
      <c r="L558">
        <v>2</v>
      </c>
      <c r="M558">
        <v>0</v>
      </c>
      <c r="N558">
        <v>0</v>
      </c>
      <c r="O558">
        <v>1</v>
      </c>
      <c r="P558">
        <v>3</v>
      </c>
      <c r="Q558">
        <v>1</v>
      </c>
      <c r="R558">
        <v>0</v>
      </c>
      <c r="S558">
        <v>27</v>
      </c>
      <c r="T558">
        <v>7.4</v>
      </c>
      <c r="U558">
        <v>66</v>
      </c>
      <c r="V558" s="2">
        <v>14.53125</v>
      </c>
      <c r="W558" s="3">
        <v>0.45416666666666666</v>
      </c>
      <c r="X558">
        <v>17</v>
      </c>
      <c r="Y558">
        <v>15</v>
      </c>
      <c r="Z558">
        <v>53.1</v>
      </c>
      <c r="AA558">
        <v>11</v>
      </c>
      <c r="AB558">
        <v>24</v>
      </c>
      <c r="AC558">
        <v>10</v>
      </c>
      <c r="AD558">
        <v>24</v>
      </c>
      <c r="AF558" t="s">
        <v>1372</v>
      </c>
    </row>
    <row r="559" spans="1:32" x14ac:dyDescent="0.3">
      <c r="A559">
        <v>536</v>
      </c>
      <c r="B559" t="s">
        <v>1373</v>
      </c>
      <c r="C559">
        <v>25</v>
      </c>
      <c r="D559" t="s">
        <v>221</v>
      </c>
      <c r="E559" t="s">
        <v>87</v>
      </c>
      <c r="F559">
        <v>45</v>
      </c>
      <c r="G559">
        <v>0</v>
      </c>
      <c r="H559">
        <v>6</v>
      </c>
      <c r="I559">
        <v>6</v>
      </c>
      <c r="J559">
        <v>-12</v>
      </c>
      <c r="K559">
        <v>6</v>
      </c>
      <c r="L559">
        <v>0</v>
      </c>
      <c r="M559">
        <v>0</v>
      </c>
      <c r="N559">
        <v>0</v>
      </c>
      <c r="O559">
        <v>0</v>
      </c>
      <c r="P559">
        <v>6</v>
      </c>
      <c r="Q559">
        <v>0</v>
      </c>
      <c r="R559">
        <v>0</v>
      </c>
      <c r="S559">
        <v>30</v>
      </c>
      <c r="T559">
        <v>0</v>
      </c>
      <c r="U559">
        <v>98</v>
      </c>
      <c r="V559" s="2">
        <v>29.340277777777779</v>
      </c>
      <c r="W559" s="3">
        <v>0.65208333333333335</v>
      </c>
      <c r="X559">
        <v>0</v>
      </c>
      <c r="Y559">
        <v>0</v>
      </c>
      <c r="AA559">
        <v>62</v>
      </c>
      <c r="AB559">
        <v>36</v>
      </c>
      <c r="AC559">
        <v>11</v>
      </c>
      <c r="AD559">
        <v>38</v>
      </c>
      <c r="AF559" t="s">
        <v>1374</v>
      </c>
    </row>
    <row r="560" spans="1:32" x14ac:dyDescent="0.3">
      <c r="A560">
        <v>537</v>
      </c>
      <c r="B560" t="s">
        <v>196</v>
      </c>
      <c r="C560">
        <v>26</v>
      </c>
      <c r="D560" t="s">
        <v>195</v>
      </c>
      <c r="E560" t="s">
        <v>87</v>
      </c>
      <c r="F560">
        <v>27</v>
      </c>
      <c r="G560">
        <v>0</v>
      </c>
      <c r="H560">
        <v>6</v>
      </c>
      <c r="I560">
        <v>6</v>
      </c>
      <c r="J560">
        <v>-2</v>
      </c>
      <c r="K560">
        <v>10</v>
      </c>
      <c r="L560">
        <v>0</v>
      </c>
      <c r="M560">
        <v>0</v>
      </c>
      <c r="N560">
        <v>0</v>
      </c>
      <c r="O560">
        <v>0</v>
      </c>
      <c r="P560">
        <v>4</v>
      </c>
      <c r="Q560">
        <v>2</v>
      </c>
      <c r="R560">
        <v>0</v>
      </c>
      <c r="S560">
        <v>24</v>
      </c>
      <c r="T560">
        <v>0</v>
      </c>
      <c r="U560">
        <v>78</v>
      </c>
      <c r="V560" s="2">
        <v>19.584027777777777</v>
      </c>
      <c r="W560" s="3">
        <v>0.72499999999999998</v>
      </c>
      <c r="X560">
        <v>0</v>
      </c>
      <c r="Y560">
        <v>0</v>
      </c>
      <c r="AA560">
        <v>20</v>
      </c>
      <c r="AB560">
        <v>13</v>
      </c>
      <c r="AC560">
        <v>5</v>
      </c>
      <c r="AD560">
        <v>34</v>
      </c>
      <c r="AF560" t="s">
        <v>1375</v>
      </c>
    </row>
    <row r="561" spans="1:32" x14ac:dyDescent="0.3">
      <c r="A561">
        <v>538</v>
      </c>
      <c r="B561" t="s">
        <v>1376</v>
      </c>
      <c r="C561">
        <v>21</v>
      </c>
      <c r="D561" t="s">
        <v>221</v>
      </c>
      <c r="E561" t="s">
        <v>78</v>
      </c>
      <c r="F561">
        <v>44</v>
      </c>
      <c r="G561">
        <v>3</v>
      </c>
      <c r="H561">
        <v>3</v>
      </c>
      <c r="I561">
        <v>6</v>
      </c>
      <c r="J561">
        <v>-16</v>
      </c>
      <c r="K561">
        <v>29</v>
      </c>
      <c r="L561">
        <v>2</v>
      </c>
      <c r="M561">
        <v>1</v>
      </c>
      <c r="N561">
        <v>0</v>
      </c>
      <c r="O561">
        <v>0</v>
      </c>
      <c r="P561">
        <v>2</v>
      </c>
      <c r="Q561">
        <v>1</v>
      </c>
      <c r="R561">
        <v>0</v>
      </c>
      <c r="S561">
        <v>63</v>
      </c>
      <c r="T561">
        <v>4.8</v>
      </c>
      <c r="U561">
        <v>113</v>
      </c>
      <c r="V561" s="2">
        <v>24.27986111111111</v>
      </c>
      <c r="W561" s="3">
        <v>0.55208333333333337</v>
      </c>
      <c r="X561">
        <v>137</v>
      </c>
      <c r="Y561">
        <v>145</v>
      </c>
      <c r="Z561">
        <v>48.6</v>
      </c>
      <c r="AA561">
        <v>26</v>
      </c>
      <c r="AB561">
        <v>96</v>
      </c>
      <c r="AC561">
        <v>6</v>
      </c>
      <c r="AD561">
        <v>27</v>
      </c>
      <c r="AF561" t="s">
        <v>1377</v>
      </c>
    </row>
    <row r="562" spans="1:32" x14ac:dyDescent="0.3">
      <c r="A562">
        <v>539</v>
      </c>
      <c r="B562" t="s">
        <v>1378</v>
      </c>
      <c r="C562">
        <v>24</v>
      </c>
      <c r="D562" t="s">
        <v>243</v>
      </c>
      <c r="E562" t="s">
        <v>87</v>
      </c>
      <c r="F562">
        <v>38</v>
      </c>
      <c r="G562">
        <v>0</v>
      </c>
      <c r="H562">
        <v>6</v>
      </c>
      <c r="I562">
        <v>6</v>
      </c>
      <c r="J562">
        <v>-11</v>
      </c>
      <c r="K562">
        <v>20</v>
      </c>
      <c r="L562">
        <v>0</v>
      </c>
      <c r="M562">
        <v>0</v>
      </c>
      <c r="N562">
        <v>0</v>
      </c>
      <c r="O562">
        <v>0</v>
      </c>
      <c r="P562">
        <v>5</v>
      </c>
      <c r="Q562">
        <v>0</v>
      </c>
      <c r="R562">
        <v>1</v>
      </c>
      <c r="S562">
        <v>45</v>
      </c>
      <c r="T562">
        <v>0</v>
      </c>
      <c r="U562">
        <v>99</v>
      </c>
      <c r="V562" s="2">
        <v>26.497916666666665</v>
      </c>
      <c r="W562" s="3">
        <v>0.69722222222222219</v>
      </c>
      <c r="X562">
        <v>0</v>
      </c>
      <c r="Y562">
        <v>0</v>
      </c>
      <c r="AA562">
        <v>57</v>
      </c>
      <c r="AB562">
        <v>59</v>
      </c>
      <c r="AC562">
        <v>12</v>
      </c>
      <c r="AD562">
        <v>44</v>
      </c>
      <c r="AF562" t="s">
        <v>1379</v>
      </c>
    </row>
    <row r="563" spans="1:32" x14ac:dyDescent="0.3">
      <c r="A563">
        <v>540</v>
      </c>
      <c r="B563" t="s">
        <v>1380</v>
      </c>
      <c r="C563">
        <v>25</v>
      </c>
      <c r="D563" t="s">
        <v>72</v>
      </c>
      <c r="E563" t="s">
        <v>78</v>
      </c>
      <c r="F563">
        <v>25</v>
      </c>
      <c r="G563">
        <v>2</v>
      </c>
      <c r="H563">
        <v>4</v>
      </c>
      <c r="I563">
        <v>6</v>
      </c>
      <c r="J563">
        <v>-2</v>
      </c>
      <c r="K563">
        <v>8</v>
      </c>
      <c r="L563">
        <v>2</v>
      </c>
      <c r="M563">
        <v>0</v>
      </c>
      <c r="N563">
        <v>0</v>
      </c>
      <c r="O563">
        <v>0</v>
      </c>
      <c r="P563">
        <v>4</v>
      </c>
      <c r="Q563">
        <v>0</v>
      </c>
      <c r="R563">
        <v>0</v>
      </c>
      <c r="S563">
        <v>28</v>
      </c>
      <c r="T563">
        <v>7.1</v>
      </c>
      <c r="U563">
        <v>48</v>
      </c>
      <c r="V563" s="2">
        <v>11.604166666666666</v>
      </c>
      <c r="W563" s="3">
        <v>0.46388888888888891</v>
      </c>
      <c r="X563">
        <v>90</v>
      </c>
      <c r="Y563">
        <v>99</v>
      </c>
      <c r="Z563">
        <v>47.6</v>
      </c>
      <c r="AA563">
        <v>13</v>
      </c>
      <c r="AB563">
        <v>40</v>
      </c>
      <c r="AC563">
        <v>2</v>
      </c>
      <c r="AD563">
        <v>19</v>
      </c>
      <c r="AF563" t="s">
        <v>1381</v>
      </c>
    </row>
    <row r="564" spans="1:32" x14ac:dyDescent="0.3">
      <c r="A564">
        <v>541</v>
      </c>
      <c r="B564" t="s">
        <v>1382</v>
      </c>
      <c r="C564">
        <v>23</v>
      </c>
      <c r="D564" t="s">
        <v>310</v>
      </c>
      <c r="E564" t="s">
        <v>78</v>
      </c>
      <c r="F564">
        <v>42</v>
      </c>
      <c r="G564">
        <v>0</v>
      </c>
      <c r="H564">
        <v>6</v>
      </c>
      <c r="I564">
        <v>6</v>
      </c>
      <c r="J564">
        <v>1</v>
      </c>
      <c r="K564">
        <v>8</v>
      </c>
      <c r="L564">
        <v>0</v>
      </c>
      <c r="M564">
        <v>0</v>
      </c>
      <c r="N564">
        <v>0</v>
      </c>
      <c r="O564">
        <v>0</v>
      </c>
      <c r="P564">
        <v>6</v>
      </c>
      <c r="Q564">
        <v>0</v>
      </c>
      <c r="R564">
        <v>0</v>
      </c>
      <c r="S564">
        <v>32</v>
      </c>
      <c r="T564">
        <v>0</v>
      </c>
      <c r="U564">
        <v>63</v>
      </c>
      <c r="V564" s="2">
        <v>15.631944444444445</v>
      </c>
      <c r="W564" s="3">
        <v>0.37222222222222223</v>
      </c>
      <c r="X564">
        <v>63</v>
      </c>
      <c r="Y564">
        <v>92</v>
      </c>
      <c r="Z564">
        <v>40.6</v>
      </c>
      <c r="AA564">
        <v>11</v>
      </c>
      <c r="AB564">
        <v>23</v>
      </c>
      <c r="AC564">
        <v>5</v>
      </c>
      <c r="AD564">
        <v>20</v>
      </c>
      <c r="AF564" t="s">
        <v>1383</v>
      </c>
    </row>
    <row r="565" spans="1:32" x14ac:dyDescent="0.3">
      <c r="A565">
        <v>542</v>
      </c>
      <c r="B565" t="s">
        <v>1384</v>
      </c>
      <c r="C565">
        <v>27</v>
      </c>
      <c r="D565" t="s">
        <v>200</v>
      </c>
      <c r="E565" t="s">
        <v>87</v>
      </c>
      <c r="F565">
        <v>42</v>
      </c>
      <c r="G565">
        <v>1</v>
      </c>
      <c r="H565">
        <v>5</v>
      </c>
      <c r="I565">
        <v>6</v>
      </c>
      <c r="J565">
        <v>6</v>
      </c>
      <c r="K565">
        <v>43</v>
      </c>
      <c r="L565">
        <v>1</v>
      </c>
      <c r="M565">
        <v>0</v>
      </c>
      <c r="N565">
        <v>0</v>
      </c>
      <c r="O565">
        <v>1</v>
      </c>
      <c r="P565">
        <v>4</v>
      </c>
      <c r="Q565">
        <v>0</v>
      </c>
      <c r="R565">
        <v>1</v>
      </c>
      <c r="S565">
        <v>32</v>
      </c>
      <c r="T565">
        <v>3.1</v>
      </c>
      <c r="U565">
        <v>103</v>
      </c>
      <c r="V565" s="2">
        <v>33.387500000000003</v>
      </c>
      <c r="W565" s="3">
        <v>0.79513888888888884</v>
      </c>
      <c r="X565">
        <v>0</v>
      </c>
      <c r="Y565">
        <v>1</v>
      </c>
      <c r="Z565">
        <v>0</v>
      </c>
      <c r="AA565">
        <v>70</v>
      </c>
      <c r="AB565">
        <v>26</v>
      </c>
      <c r="AC565">
        <v>9</v>
      </c>
      <c r="AD565">
        <v>54</v>
      </c>
      <c r="AF565" t="s">
        <v>1385</v>
      </c>
    </row>
    <row r="566" spans="1:32" x14ac:dyDescent="0.3">
      <c r="A566">
        <v>543</v>
      </c>
      <c r="B566" t="s">
        <v>1386</v>
      </c>
      <c r="C566">
        <v>31</v>
      </c>
      <c r="D566" t="s">
        <v>82</v>
      </c>
      <c r="E566" t="s">
        <v>101</v>
      </c>
      <c r="F566">
        <v>40</v>
      </c>
      <c r="G566">
        <v>3</v>
      </c>
      <c r="H566">
        <v>3</v>
      </c>
      <c r="I566">
        <v>6</v>
      </c>
      <c r="J566">
        <v>0</v>
      </c>
      <c r="K566">
        <v>53</v>
      </c>
      <c r="L566">
        <v>3</v>
      </c>
      <c r="M566">
        <v>0</v>
      </c>
      <c r="N566">
        <v>0</v>
      </c>
      <c r="O566">
        <v>0</v>
      </c>
      <c r="P566">
        <v>3</v>
      </c>
      <c r="Q566">
        <v>0</v>
      </c>
      <c r="R566">
        <v>0</v>
      </c>
      <c r="S566">
        <v>38</v>
      </c>
      <c r="T566">
        <v>7.9</v>
      </c>
      <c r="U566">
        <v>67</v>
      </c>
      <c r="V566" s="2">
        <v>14.778472222222222</v>
      </c>
      <c r="W566" s="3">
        <v>0.36944444444444446</v>
      </c>
      <c r="X566">
        <v>4</v>
      </c>
      <c r="Y566">
        <v>7</v>
      </c>
      <c r="Z566">
        <v>36.4</v>
      </c>
      <c r="AA566">
        <v>12</v>
      </c>
      <c r="AB566">
        <v>98</v>
      </c>
      <c r="AC566">
        <v>2</v>
      </c>
      <c r="AD566">
        <v>16</v>
      </c>
      <c r="AF566" t="s">
        <v>1387</v>
      </c>
    </row>
    <row r="567" spans="1:32" x14ac:dyDescent="0.3">
      <c r="A567">
        <v>544</v>
      </c>
      <c r="B567" t="s">
        <v>1388</v>
      </c>
      <c r="C567">
        <v>24</v>
      </c>
      <c r="D567" t="s">
        <v>121</v>
      </c>
      <c r="E567" t="s">
        <v>87</v>
      </c>
      <c r="F567">
        <v>32</v>
      </c>
      <c r="G567">
        <v>2</v>
      </c>
      <c r="H567">
        <v>4</v>
      </c>
      <c r="I567">
        <v>6</v>
      </c>
      <c r="J567">
        <v>9</v>
      </c>
      <c r="K567">
        <v>43</v>
      </c>
      <c r="L567">
        <v>2</v>
      </c>
      <c r="M567">
        <v>0</v>
      </c>
      <c r="N567">
        <v>0</v>
      </c>
      <c r="O567">
        <v>0</v>
      </c>
      <c r="P567">
        <v>4</v>
      </c>
      <c r="Q567">
        <v>0</v>
      </c>
      <c r="R567">
        <v>0</v>
      </c>
      <c r="S567">
        <v>24</v>
      </c>
      <c r="T567">
        <v>8.3000000000000007</v>
      </c>
      <c r="U567">
        <v>62</v>
      </c>
      <c r="V567" s="2">
        <v>23.125</v>
      </c>
      <c r="W567" s="3">
        <v>0.72291666666666665</v>
      </c>
      <c r="X567">
        <v>0</v>
      </c>
      <c r="Y567">
        <v>0</v>
      </c>
      <c r="AA567">
        <v>33</v>
      </c>
      <c r="AB567">
        <v>53</v>
      </c>
      <c r="AC567">
        <v>5</v>
      </c>
      <c r="AD567">
        <v>25</v>
      </c>
      <c r="AF567" t="s">
        <v>1389</v>
      </c>
    </row>
    <row r="568" spans="1:32" x14ac:dyDescent="0.3">
      <c r="A568">
        <v>545</v>
      </c>
      <c r="B568" t="s">
        <v>1390</v>
      </c>
      <c r="C568">
        <v>24</v>
      </c>
      <c r="D568" t="s">
        <v>113</v>
      </c>
      <c r="E568" t="s">
        <v>87</v>
      </c>
      <c r="F568">
        <v>29</v>
      </c>
      <c r="G568">
        <v>2</v>
      </c>
      <c r="H568">
        <v>4</v>
      </c>
      <c r="I568">
        <v>6</v>
      </c>
      <c r="J568">
        <v>-2</v>
      </c>
      <c r="K568">
        <v>16</v>
      </c>
      <c r="L568">
        <v>2</v>
      </c>
      <c r="M568">
        <v>0</v>
      </c>
      <c r="N568">
        <v>0</v>
      </c>
      <c r="O568">
        <v>1</v>
      </c>
      <c r="P568">
        <v>4</v>
      </c>
      <c r="Q568">
        <v>0</v>
      </c>
      <c r="R568">
        <v>0</v>
      </c>
      <c r="S568">
        <v>30</v>
      </c>
      <c r="T568">
        <v>6.7</v>
      </c>
      <c r="U568">
        <v>87</v>
      </c>
      <c r="V568" s="2">
        <v>18.015972222222221</v>
      </c>
      <c r="W568" s="3">
        <v>0.62152777777777779</v>
      </c>
      <c r="X568">
        <v>0</v>
      </c>
      <c r="Y568">
        <v>0</v>
      </c>
      <c r="AA568">
        <v>56</v>
      </c>
      <c r="AB568">
        <v>11</v>
      </c>
      <c r="AC568">
        <v>10</v>
      </c>
      <c r="AD568">
        <v>24</v>
      </c>
      <c r="AF568" t="s">
        <v>1391</v>
      </c>
    </row>
    <row r="569" spans="1:32" x14ac:dyDescent="0.3">
      <c r="A569">
        <v>546</v>
      </c>
      <c r="B569" t="s">
        <v>1392</v>
      </c>
      <c r="C569">
        <v>24</v>
      </c>
      <c r="D569" t="s">
        <v>116</v>
      </c>
      <c r="E569" t="s">
        <v>87</v>
      </c>
      <c r="F569">
        <v>23</v>
      </c>
      <c r="G569">
        <v>2</v>
      </c>
      <c r="H569">
        <v>4</v>
      </c>
      <c r="I569">
        <v>6</v>
      </c>
      <c r="J569">
        <v>-4</v>
      </c>
      <c r="K569">
        <v>12</v>
      </c>
      <c r="L569">
        <v>2</v>
      </c>
      <c r="M569">
        <v>0</v>
      </c>
      <c r="N569">
        <v>0</v>
      </c>
      <c r="O569">
        <v>0</v>
      </c>
      <c r="P569">
        <v>4</v>
      </c>
      <c r="Q569">
        <v>0</v>
      </c>
      <c r="R569">
        <v>0</v>
      </c>
      <c r="S569">
        <v>18</v>
      </c>
      <c r="T569">
        <v>11.1</v>
      </c>
      <c r="U569">
        <v>48</v>
      </c>
      <c r="V569" s="2">
        <v>15.753472222222221</v>
      </c>
      <c r="W569" s="3">
        <v>0.68472222222222223</v>
      </c>
      <c r="X569">
        <v>0</v>
      </c>
      <c r="Y569">
        <v>0</v>
      </c>
      <c r="AA569">
        <v>27</v>
      </c>
      <c r="AB569">
        <v>11</v>
      </c>
      <c r="AC569">
        <v>3</v>
      </c>
      <c r="AD569">
        <v>25</v>
      </c>
      <c r="AF569" t="s">
        <v>1393</v>
      </c>
    </row>
    <row r="570" spans="1:32" x14ac:dyDescent="0.3">
      <c r="A570">
        <v>547</v>
      </c>
      <c r="B570" t="s">
        <v>1394</v>
      </c>
      <c r="C570">
        <v>21</v>
      </c>
      <c r="D570" t="s">
        <v>200</v>
      </c>
      <c r="E570" t="s">
        <v>95</v>
      </c>
      <c r="F570">
        <v>24</v>
      </c>
      <c r="G570">
        <v>4</v>
      </c>
      <c r="H570">
        <v>2</v>
      </c>
      <c r="I570">
        <v>6</v>
      </c>
      <c r="J570">
        <v>1</v>
      </c>
      <c r="K570">
        <v>6</v>
      </c>
      <c r="L570">
        <v>3</v>
      </c>
      <c r="M570">
        <v>1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31</v>
      </c>
      <c r="T570">
        <v>12.9</v>
      </c>
      <c r="U570">
        <v>68</v>
      </c>
      <c r="V570" s="2">
        <v>10.704861111111111</v>
      </c>
      <c r="W570" s="3">
        <v>0.44583333333333336</v>
      </c>
      <c r="X570">
        <v>2</v>
      </c>
      <c r="Y570">
        <v>4</v>
      </c>
      <c r="Z570">
        <v>33.299999999999997</v>
      </c>
      <c r="AA570">
        <v>4</v>
      </c>
      <c r="AB570">
        <v>20</v>
      </c>
      <c r="AC570">
        <v>1</v>
      </c>
      <c r="AD570">
        <v>13</v>
      </c>
      <c r="AF570" t="s">
        <v>1395</v>
      </c>
    </row>
    <row r="571" spans="1:32" x14ac:dyDescent="0.3">
      <c r="A571">
        <v>548</v>
      </c>
      <c r="B571" t="s">
        <v>1396</v>
      </c>
      <c r="C571">
        <v>31</v>
      </c>
      <c r="D571" t="s">
        <v>97</v>
      </c>
      <c r="E571" t="s">
        <v>87</v>
      </c>
      <c r="F571">
        <v>20</v>
      </c>
      <c r="G571">
        <v>1</v>
      </c>
      <c r="H571">
        <v>5</v>
      </c>
      <c r="I571">
        <v>6</v>
      </c>
      <c r="J571">
        <v>-7</v>
      </c>
      <c r="K571">
        <v>4</v>
      </c>
      <c r="L571">
        <v>1</v>
      </c>
      <c r="M571">
        <v>0</v>
      </c>
      <c r="N571">
        <v>0</v>
      </c>
      <c r="O571">
        <v>0</v>
      </c>
      <c r="P571">
        <v>5</v>
      </c>
      <c r="Q571">
        <v>0</v>
      </c>
      <c r="R571">
        <v>0</v>
      </c>
      <c r="S571">
        <v>26</v>
      </c>
      <c r="T571">
        <v>3.8</v>
      </c>
      <c r="U571">
        <v>51</v>
      </c>
      <c r="V571" s="2">
        <v>17.056249999999999</v>
      </c>
      <c r="W571" s="3">
        <v>0.85277777777777775</v>
      </c>
      <c r="X571">
        <v>0</v>
      </c>
      <c r="Y571">
        <v>0</v>
      </c>
      <c r="AA571">
        <v>52</v>
      </c>
      <c r="AB571">
        <v>7</v>
      </c>
      <c r="AC571">
        <v>8</v>
      </c>
      <c r="AD571">
        <v>11</v>
      </c>
      <c r="AF571" t="s">
        <v>1397</v>
      </c>
    </row>
    <row r="572" spans="1:32" x14ac:dyDescent="0.3">
      <c r="A572">
        <v>549</v>
      </c>
      <c r="B572" t="s">
        <v>267</v>
      </c>
      <c r="C572">
        <v>21</v>
      </c>
      <c r="D572" t="s">
        <v>193</v>
      </c>
      <c r="E572" t="s">
        <v>87</v>
      </c>
      <c r="F572">
        <v>37</v>
      </c>
      <c r="G572">
        <v>1</v>
      </c>
      <c r="H572">
        <v>5</v>
      </c>
      <c r="I572">
        <v>6</v>
      </c>
      <c r="J572">
        <v>-3</v>
      </c>
      <c r="K572">
        <v>10</v>
      </c>
      <c r="L572">
        <v>1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20</v>
      </c>
      <c r="T572">
        <v>5</v>
      </c>
      <c r="U572">
        <v>75</v>
      </c>
      <c r="V572" s="2">
        <v>21.047222222222221</v>
      </c>
      <c r="W572" s="3">
        <v>0.56874999999999998</v>
      </c>
      <c r="X572">
        <v>0</v>
      </c>
      <c r="Y572">
        <v>0</v>
      </c>
      <c r="AA572">
        <v>40</v>
      </c>
      <c r="AB572">
        <v>63</v>
      </c>
      <c r="AC572">
        <v>10</v>
      </c>
      <c r="AD572">
        <v>35</v>
      </c>
      <c r="AF572" t="s">
        <v>1398</v>
      </c>
    </row>
    <row r="573" spans="1:32" x14ac:dyDescent="0.3">
      <c r="A573">
        <v>550</v>
      </c>
      <c r="B573" t="s">
        <v>1399</v>
      </c>
      <c r="C573">
        <v>26</v>
      </c>
      <c r="D573" t="s">
        <v>116</v>
      </c>
      <c r="E573" t="s">
        <v>380</v>
      </c>
      <c r="F573">
        <v>6</v>
      </c>
      <c r="G573">
        <v>6</v>
      </c>
      <c r="H573">
        <v>0</v>
      </c>
      <c r="I573">
        <v>6</v>
      </c>
      <c r="J573">
        <v>0</v>
      </c>
      <c r="K573">
        <v>4</v>
      </c>
      <c r="L573">
        <v>3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19</v>
      </c>
      <c r="T573">
        <v>31.6</v>
      </c>
      <c r="U573">
        <v>25</v>
      </c>
      <c r="V573" s="2">
        <v>3.2826388888888891</v>
      </c>
      <c r="W573" s="3">
        <v>0.54722222222222228</v>
      </c>
      <c r="X573">
        <v>3</v>
      </c>
      <c r="Y573">
        <v>2</v>
      </c>
      <c r="Z573">
        <v>60</v>
      </c>
      <c r="AA573">
        <v>3</v>
      </c>
      <c r="AB573">
        <v>15</v>
      </c>
      <c r="AC573">
        <v>1</v>
      </c>
      <c r="AD573">
        <v>4</v>
      </c>
      <c r="AF573" t="s">
        <v>1400</v>
      </c>
    </row>
    <row r="574" spans="1:32" x14ac:dyDescent="0.3">
      <c r="A574">
        <v>551</v>
      </c>
      <c r="B574" t="s">
        <v>1401</v>
      </c>
      <c r="C574">
        <v>32</v>
      </c>
      <c r="D574" t="s">
        <v>72</v>
      </c>
      <c r="E574" t="s">
        <v>87</v>
      </c>
      <c r="F574">
        <v>27</v>
      </c>
      <c r="G574">
        <v>1</v>
      </c>
      <c r="H574">
        <v>5</v>
      </c>
      <c r="I574">
        <v>6</v>
      </c>
      <c r="J574">
        <v>6</v>
      </c>
      <c r="K574">
        <v>8</v>
      </c>
      <c r="L574">
        <v>0</v>
      </c>
      <c r="M574">
        <v>0</v>
      </c>
      <c r="N574">
        <v>1</v>
      </c>
      <c r="O574">
        <v>0</v>
      </c>
      <c r="P574">
        <v>5</v>
      </c>
      <c r="Q574">
        <v>0</v>
      </c>
      <c r="R574">
        <v>0</v>
      </c>
      <c r="S574">
        <v>43</v>
      </c>
      <c r="T574">
        <v>2.2999999999999998</v>
      </c>
      <c r="U574">
        <v>103</v>
      </c>
      <c r="V574" s="2">
        <v>17.888194444444444</v>
      </c>
      <c r="W574" s="3">
        <v>0.66249999999999998</v>
      </c>
      <c r="X574">
        <v>0</v>
      </c>
      <c r="Y574">
        <v>0</v>
      </c>
      <c r="AA574">
        <v>25</v>
      </c>
      <c r="AB574">
        <v>13</v>
      </c>
      <c r="AC574">
        <v>3</v>
      </c>
      <c r="AD574">
        <v>18</v>
      </c>
      <c r="AF574" t="s">
        <v>1402</v>
      </c>
    </row>
    <row r="575" spans="1:32" x14ac:dyDescent="0.3">
      <c r="A575">
        <v>552</v>
      </c>
      <c r="B575" t="s">
        <v>1403</v>
      </c>
      <c r="C575">
        <v>27</v>
      </c>
      <c r="D575" t="s">
        <v>130</v>
      </c>
      <c r="E575" t="s">
        <v>87</v>
      </c>
      <c r="F575">
        <v>27</v>
      </c>
      <c r="G575">
        <v>0</v>
      </c>
      <c r="H575">
        <v>6</v>
      </c>
      <c r="I575">
        <v>6</v>
      </c>
      <c r="J575">
        <v>1</v>
      </c>
      <c r="K575">
        <v>8</v>
      </c>
      <c r="L575">
        <v>0</v>
      </c>
      <c r="M575">
        <v>0</v>
      </c>
      <c r="N575">
        <v>0</v>
      </c>
      <c r="O575">
        <v>0</v>
      </c>
      <c r="P575">
        <v>6</v>
      </c>
      <c r="Q575">
        <v>0</v>
      </c>
      <c r="R575">
        <v>0</v>
      </c>
      <c r="S575">
        <v>36</v>
      </c>
      <c r="T575">
        <v>0</v>
      </c>
      <c r="U575">
        <v>96</v>
      </c>
      <c r="V575" s="2">
        <v>24.118749999999999</v>
      </c>
      <c r="W575" s="3">
        <v>0.8930555555555556</v>
      </c>
      <c r="X575">
        <v>0</v>
      </c>
      <c r="Y575">
        <v>0</v>
      </c>
      <c r="AA575">
        <v>49</v>
      </c>
      <c r="AB575">
        <v>23</v>
      </c>
      <c r="AC575">
        <v>14</v>
      </c>
      <c r="AD575">
        <v>29</v>
      </c>
      <c r="AF575" t="s">
        <v>1404</v>
      </c>
    </row>
    <row r="576" spans="1:32" x14ac:dyDescent="0.3">
      <c r="A576">
        <v>553</v>
      </c>
      <c r="B576" t="s">
        <v>1405</v>
      </c>
      <c r="C576">
        <v>32</v>
      </c>
      <c r="D576" t="s">
        <v>278</v>
      </c>
      <c r="E576" t="s">
        <v>87</v>
      </c>
      <c r="F576">
        <v>42</v>
      </c>
      <c r="G576">
        <v>1</v>
      </c>
      <c r="H576">
        <v>5</v>
      </c>
      <c r="I576">
        <v>6</v>
      </c>
      <c r="J576">
        <v>-2</v>
      </c>
      <c r="K576">
        <v>17</v>
      </c>
      <c r="L576">
        <v>1</v>
      </c>
      <c r="M576">
        <v>0</v>
      </c>
      <c r="N576">
        <v>0</v>
      </c>
      <c r="O576">
        <v>0</v>
      </c>
      <c r="P576">
        <v>5</v>
      </c>
      <c r="Q576">
        <v>0</v>
      </c>
      <c r="R576">
        <v>0</v>
      </c>
      <c r="S576">
        <v>55</v>
      </c>
      <c r="T576">
        <v>1.8</v>
      </c>
      <c r="U576">
        <v>144</v>
      </c>
      <c r="V576" s="2">
        <v>33.422222222222224</v>
      </c>
      <c r="W576" s="3">
        <v>0.79583333333333328</v>
      </c>
      <c r="X576">
        <v>0</v>
      </c>
      <c r="Y576">
        <v>0</v>
      </c>
      <c r="AA576">
        <v>82</v>
      </c>
      <c r="AB576">
        <v>72</v>
      </c>
      <c r="AC576">
        <v>9</v>
      </c>
      <c r="AD576">
        <v>26</v>
      </c>
      <c r="AF576" t="s">
        <v>1406</v>
      </c>
    </row>
    <row r="577" spans="1:32" x14ac:dyDescent="0.3">
      <c r="A577">
        <v>554</v>
      </c>
      <c r="B577" t="s">
        <v>1407</v>
      </c>
      <c r="C577">
        <v>32</v>
      </c>
      <c r="D577" t="s">
        <v>409</v>
      </c>
      <c r="E577" t="s">
        <v>78</v>
      </c>
      <c r="F577">
        <v>38</v>
      </c>
      <c r="G577">
        <v>3</v>
      </c>
      <c r="H577">
        <v>3</v>
      </c>
      <c r="I577">
        <v>6</v>
      </c>
      <c r="J577">
        <v>-6</v>
      </c>
      <c r="K577">
        <v>15</v>
      </c>
      <c r="L577">
        <v>3</v>
      </c>
      <c r="M577">
        <v>0</v>
      </c>
      <c r="N577">
        <v>0</v>
      </c>
      <c r="O577">
        <v>1</v>
      </c>
      <c r="P577">
        <v>2</v>
      </c>
      <c r="Q577">
        <v>1</v>
      </c>
      <c r="R577">
        <v>0</v>
      </c>
      <c r="S577">
        <v>38</v>
      </c>
      <c r="T577">
        <v>7.9</v>
      </c>
      <c r="U577">
        <v>72</v>
      </c>
      <c r="V577" s="2">
        <v>18.531944444444445</v>
      </c>
      <c r="W577" s="3">
        <v>0.48749999999999999</v>
      </c>
      <c r="X577">
        <v>217</v>
      </c>
      <c r="Y577">
        <v>178</v>
      </c>
      <c r="Z577">
        <v>54.9</v>
      </c>
      <c r="AA577">
        <v>24</v>
      </c>
      <c r="AB577">
        <v>55</v>
      </c>
      <c r="AC577">
        <v>4</v>
      </c>
      <c r="AD577">
        <v>19</v>
      </c>
      <c r="AF577" t="s">
        <v>1408</v>
      </c>
    </row>
    <row r="578" spans="1:32" x14ac:dyDescent="0.3">
      <c r="A578">
        <v>555</v>
      </c>
      <c r="B578" t="s">
        <v>1409</v>
      </c>
      <c r="C578">
        <v>30</v>
      </c>
      <c r="D578" t="s">
        <v>157</v>
      </c>
      <c r="E578" t="s">
        <v>380</v>
      </c>
      <c r="F578">
        <v>24</v>
      </c>
      <c r="G578">
        <v>4</v>
      </c>
      <c r="H578">
        <v>2</v>
      </c>
      <c r="I578">
        <v>6</v>
      </c>
      <c r="J578">
        <v>-2</v>
      </c>
      <c r="K578">
        <v>21</v>
      </c>
      <c r="L578">
        <v>4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1</v>
      </c>
      <c r="S578">
        <v>31</v>
      </c>
      <c r="T578">
        <v>12.9</v>
      </c>
      <c r="U578">
        <v>65</v>
      </c>
      <c r="V578" s="2">
        <v>14.158333333333333</v>
      </c>
      <c r="W578" s="3">
        <v>0.59027777777777779</v>
      </c>
      <c r="X578">
        <v>2</v>
      </c>
      <c r="Y578">
        <v>8</v>
      </c>
      <c r="Z578">
        <v>20</v>
      </c>
      <c r="AA578">
        <v>7</v>
      </c>
      <c r="AB578">
        <v>76</v>
      </c>
      <c r="AC578">
        <v>5</v>
      </c>
      <c r="AD578">
        <v>9</v>
      </c>
      <c r="AF578" t="s">
        <v>1410</v>
      </c>
    </row>
    <row r="579" spans="1:32" x14ac:dyDescent="0.3">
      <c r="A579">
        <v>556</v>
      </c>
      <c r="B579" t="s">
        <v>1411</v>
      </c>
      <c r="C579">
        <v>31</v>
      </c>
      <c r="D579" t="s">
        <v>256</v>
      </c>
      <c r="E579" t="s">
        <v>87</v>
      </c>
      <c r="F579">
        <v>41</v>
      </c>
      <c r="G579">
        <v>3</v>
      </c>
      <c r="H579">
        <v>3</v>
      </c>
      <c r="I579">
        <v>6</v>
      </c>
      <c r="J579">
        <v>8</v>
      </c>
      <c r="K579">
        <v>16</v>
      </c>
      <c r="L579">
        <v>3</v>
      </c>
      <c r="M579">
        <v>0</v>
      </c>
      <c r="N579">
        <v>0</v>
      </c>
      <c r="O579">
        <v>0</v>
      </c>
      <c r="P579">
        <v>3</v>
      </c>
      <c r="Q579">
        <v>0</v>
      </c>
      <c r="R579">
        <v>0</v>
      </c>
      <c r="S579">
        <v>34</v>
      </c>
      <c r="T579">
        <v>8.8000000000000007</v>
      </c>
      <c r="U579">
        <v>86</v>
      </c>
      <c r="V579" s="2">
        <v>29.870833333333334</v>
      </c>
      <c r="W579" s="3">
        <v>0.72847222222222219</v>
      </c>
      <c r="X579">
        <v>0</v>
      </c>
      <c r="Y579">
        <v>0</v>
      </c>
      <c r="AA579">
        <v>57</v>
      </c>
      <c r="AB579">
        <v>63</v>
      </c>
      <c r="AC579">
        <v>12</v>
      </c>
      <c r="AD579">
        <v>41</v>
      </c>
      <c r="AF579" t="s">
        <v>1412</v>
      </c>
    </row>
    <row r="580" spans="1:32" x14ac:dyDescent="0.3">
      <c r="A580">
        <v>557</v>
      </c>
      <c r="B580" t="s">
        <v>1413</v>
      </c>
      <c r="C580">
        <v>20</v>
      </c>
      <c r="D580" t="s">
        <v>103</v>
      </c>
      <c r="E580" t="s">
        <v>78</v>
      </c>
      <c r="F580">
        <v>11</v>
      </c>
      <c r="G580">
        <v>1</v>
      </c>
      <c r="H580">
        <v>5</v>
      </c>
      <c r="I580">
        <v>6</v>
      </c>
      <c r="J580">
        <v>4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5</v>
      </c>
      <c r="Q580">
        <v>0</v>
      </c>
      <c r="R580">
        <v>0</v>
      </c>
      <c r="S580">
        <v>8</v>
      </c>
      <c r="T580">
        <v>12.5</v>
      </c>
      <c r="U580">
        <v>21</v>
      </c>
      <c r="V580" s="2">
        <v>6.2416666666666663</v>
      </c>
      <c r="W580" s="3">
        <v>0.56736111111111109</v>
      </c>
      <c r="X580">
        <v>4</v>
      </c>
      <c r="Y580">
        <v>5</v>
      </c>
      <c r="Z580">
        <v>44.4</v>
      </c>
      <c r="AA580">
        <v>8</v>
      </c>
      <c r="AB580">
        <v>22</v>
      </c>
      <c r="AC580">
        <v>2</v>
      </c>
      <c r="AD580">
        <v>5</v>
      </c>
      <c r="AF580" t="s">
        <v>1414</v>
      </c>
    </row>
    <row r="581" spans="1:32" x14ac:dyDescent="0.3">
      <c r="A581">
        <v>558</v>
      </c>
      <c r="B581" t="s">
        <v>1415</v>
      </c>
      <c r="C581">
        <v>32</v>
      </c>
      <c r="D581" t="s">
        <v>113</v>
      </c>
      <c r="E581" t="s">
        <v>78</v>
      </c>
      <c r="F581">
        <v>23</v>
      </c>
      <c r="G581">
        <v>2</v>
      </c>
      <c r="H581">
        <v>4</v>
      </c>
      <c r="I581">
        <v>6</v>
      </c>
      <c r="J581">
        <v>-5</v>
      </c>
      <c r="K581">
        <v>14</v>
      </c>
      <c r="L581">
        <v>1</v>
      </c>
      <c r="M581">
        <v>1</v>
      </c>
      <c r="N581">
        <v>0</v>
      </c>
      <c r="O581">
        <v>0</v>
      </c>
      <c r="P581">
        <v>4</v>
      </c>
      <c r="Q581">
        <v>0</v>
      </c>
      <c r="R581">
        <v>0</v>
      </c>
      <c r="S581">
        <v>28</v>
      </c>
      <c r="T581">
        <v>7.1</v>
      </c>
      <c r="U581">
        <v>62</v>
      </c>
      <c r="V581" s="2">
        <v>11.519444444444444</v>
      </c>
      <c r="W581" s="3">
        <v>0.50069444444444444</v>
      </c>
      <c r="X581">
        <v>73</v>
      </c>
      <c r="Y581">
        <v>93</v>
      </c>
      <c r="Z581">
        <v>44</v>
      </c>
      <c r="AA581">
        <v>3</v>
      </c>
      <c r="AB581">
        <v>10</v>
      </c>
      <c r="AC581">
        <v>2</v>
      </c>
      <c r="AD581">
        <v>13</v>
      </c>
      <c r="AF581" t="s">
        <v>1416</v>
      </c>
    </row>
    <row r="582" spans="1:32" x14ac:dyDescent="0.3">
      <c r="A582">
        <v>559</v>
      </c>
      <c r="B582" t="s">
        <v>1417</v>
      </c>
      <c r="C582">
        <v>24</v>
      </c>
      <c r="D582" t="s">
        <v>204</v>
      </c>
      <c r="E582" t="s">
        <v>87</v>
      </c>
      <c r="F582">
        <v>35</v>
      </c>
      <c r="G582">
        <v>0</v>
      </c>
      <c r="H582">
        <v>6</v>
      </c>
      <c r="I582">
        <v>6</v>
      </c>
      <c r="J582">
        <v>-2</v>
      </c>
      <c r="K582">
        <v>36</v>
      </c>
      <c r="L582">
        <v>0</v>
      </c>
      <c r="M582">
        <v>0</v>
      </c>
      <c r="N582">
        <v>0</v>
      </c>
      <c r="O582">
        <v>0</v>
      </c>
      <c r="P582">
        <v>6</v>
      </c>
      <c r="Q582">
        <v>0</v>
      </c>
      <c r="R582">
        <v>0</v>
      </c>
      <c r="S582">
        <v>12</v>
      </c>
      <c r="T582">
        <v>0</v>
      </c>
      <c r="U582">
        <v>55</v>
      </c>
      <c r="V582" s="2">
        <v>21.099305555555556</v>
      </c>
      <c r="W582" s="3">
        <v>0.60277777777777775</v>
      </c>
      <c r="X582">
        <v>0</v>
      </c>
      <c r="Y582">
        <v>0</v>
      </c>
      <c r="AA582">
        <v>17</v>
      </c>
      <c r="AB582">
        <v>62</v>
      </c>
      <c r="AC582">
        <v>5</v>
      </c>
      <c r="AD582">
        <v>36</v>
      </c>
      <c r="AF582" t="s">
        <v>1418</v>
      </c>
    </row>
    <row r="583" spans="1:32" x14ac:dyDescent="0.3">
      <c r="A583">
        <v>560</v>
      </c>
      <c r="B583" t="s">
        <v>1419</v>
      </c>
      <c r="C583">
        <v>27</v>
      </c>
      <c r="D583" t="s">
        <v>139</v>
      </c>
      <c r="E583" t="s">
        <v>87</v>
      </c>
      <c r="F583">
        <v>33</v>
      </c>
      <c r="G583">
        <v>0</v>
      </c>
      <c r="H583">
        <v>6</v>
      </c>
      <c r="I583">
        <v>6</v>
      </c>
      <c r="J583">
        <v>-11</v>
      </c>
      <c r="K583">
        <v>16</v>
      </c>
      <c r="L583">
        <v>0</v>
      </c>
      <c r="M583">
        <v>0</v>
      </c>
      <c r="N583">
        <v>0</v>
      </c>
      <c r="O583">
        <v>0</v>
      </c>
      <c r="P583">
        <v>6</v>
      </c>
      <c r="Q583">
        <v>0</v>
      </c>
      <c r="R583">
        <v>0</v>
      </c>
      <c r="S583">
        <v>33</v>
      </c>
      <c r="T583">
        <v>0</v>
      </c>
      <c r="U583">
        <v>90</v>
      </c>
      <c r="V583" s="2">
        <v>26.45</v>
      </c>
      <c r="W583" s="3">
        <v>0.80138888888888893</v>
      </c>
      <c r="X583">
        <v>0</v>
      </c>
      <c r="Y583">
        <v>0</v>
      </c>
      <c r="AA583">
        <v>70</v>
      </c>
      <c r="AB583">
        <v>25</v>
      </c>
      <c r="AC583">
        <v>8</v>
      </c>
      <c r="AD583">
        <v>40</v>
      </c>
      <c r="AF583" t="s">
        <v>1420</v>
      </c>
    </row>
    <row r="584" spans="1:32" x14ac:dyDescent="0.3">
      <c r="A584">
        <v>561</v>
      </c>
      <c r="B584" t="s">
        <v>1421</v>
      </c>
      <c r="C584">
        <v>26</v>
      </c>
      <c r="D584" t="s">
        <v>103</v>
      </c>
      <c r="E584" t="s">
        <v>95</v>
      </c>
      <c r="F584">
        <v>29</v>
      </c>
      <c r="G584">
        <v>2</v>
      </c>
      <c r="H584">
        <v>4</v>
      </c>
      <c r="I584">
        <v>6</v>
      </c>
      <c r="J584">
        <v>-4</v>
      </c>
      <c r="K584">
        <v>22</v>
      </c>
      <c r="L584">
        <v>1</v>
      </c>
      <c r="M584">
        <v>0</v>
      </c>
      <c r="N584">
        <v>1</v>
      </c>
      <c r="O584">
        <v>0</v>
      </c>
      <c r="P584">
        <v>3</v>
      </c>
      <c r="Q584">
        <v>0</v>
      </c>
      <c r="R584">
        <v>1</v>
      </c>
      <c r="S584">
        <v>29</v>
      </c>
      <c r="T584">
        <v>6.9</v>
      </c>
      <c r="U584">
        <v>51</v>
      </c>
      <c r="V584" s="2">
        <v>14.820833333333333</v>
      </c>
      <c r="W584" s="3">
        <v>0.51111111111111107</v>
      </c>
      <c r="X584">
        <v>1</v>
      </c>
      <c r="Y584">
        <v>1</v>
      </c>
      <c r="Z584">
        <v>50</v>
      </c>
      <c r="AA584">
        <v>32</v>
      </c>
      <c r="AB584">
        <v>64</v>
      </c>
      <c r="AC584">
        <v>3</v>
      </c>
      <c r="AD584">
        <v>16</v>
      </c>
      <c r="AF584" t="s">
        <v>1422</v>
      </c>
    </row>
    <row r="585" spans="1:32" x14ac:dyDescent="0.3">
      <c r="A585">
        <v>562</v>
      </c>
      <c r="B585" t="s">
        <v>1423</v>
      </c>
      <c r="C585">
        <v>34</v>
      </c>
      <c r="D585" t="s">
        <v>310</v>
      </c>
      <c r="E585" t="s">
        <v>87</v>
      </c>
      <c r="F585">
        <v>33</v>
      </c>
      <c r="G585">
        <v>1</v>
      </c>
      <c r="H585">
        <v>5</v>
      </c>
      <c r="I585">
        <v>6</v>
      </c>
      <c r="J585">
        <v>-4</v>
      </c>
      <c r="K585">
        <v>12</v>
      </c>
      <c r="L585">
        <v>1</v>
      </c>
      <c r="M585">
        <v>0</v>
      </c>
      <c r="N585">
        <v>0</v>
      </c>
      <c r="O585">
        <v>0</v>
      </c>
      <c r="P585">
        <v>5</v>
      </c>
      <c r="Q585">
        <v>0</v>
      </c>
      <c r="R585">
        <v>0</v>
      </c>
      <c r="S585">
        <v>18</v>
      </c>
      <c r="T585">
        <v>5.6</v>
      </c>
      <c r="U585">
        <v>46</v>
      </c>
      <c r="V585" s="2">
        <v>21.488194444444446</v>
      </c>
      <c r="W585" s="3">
        <v>0.65138888888888891</v>
      </c>
      <c r="X585">
        <v>0</v>
      </c>
      <c r="Y585">
        <v>0</v>
      </c>
      <c r="AA585">
        <v>44</v>
      </c>
      <c r="AB585">
        <v>3</v>
      </c>
      <c r="AC585">
        <v>9</v>
      </c>
      <c r="AD585">
        <v>24</v>
      </c>
      <c r="AF585" t="s">
        <v>1424</v>
      </c>
    </row>
    <row r="586" spans="1:32" x14ac:dyDescent="0.3">
      <c r="A586">
        <v>563</v>
      </c>
      <c r="B586" t="s">
        <v>1425</v>
      </c>
      <c r="C586">
        <v>31</v>
      </c>
      <c r="D586" t="s">
        <v>113</v>
      </c>
      <c r="E586" t="s">
        <v>101</v>
      </c>
      <c r="F586">
        <v>38</v>
      </c>
      <c r="G586">
        <v>3</v>
      </c>
      <c r="H586">
        <v>3</v>
      </c>
      <c r="I586">
        <v>6</v>
      </c>
      <c r="J586">
        <v>-10</v>
      </c>
      <c r="K586">
        <v>36</v>
      </c>
      <c r="L586">
        <v>3</v>
      </c>
      <c r="M586">
        <v>0</v>
      </c>
      <c r="N586">
        <v>0</v>
      </c>
      <c r="O586">
        <v>1</v>
      </c>
      <c r="P586">
        <v>2</v>
      </c>
      <c r="Q586">
        <v>1</v>
      </c>
      <c r="R586">
        <v>0</v>
      </c>
      <c r="S586">
        <v>68</v>
      </c>
      <c r="T586">
        <v>4.4000000000000004</v>
      </c>
      <c r="U586">
        <v>118</v>
      </c>
      <c r="V586" s="2">
        <v>19.545138888888889</v>
      </c>
      <c r="W586" s="3">
        <v>0.51458333333333328</v>
      </c>
      <c r="X586">
        <v>5</v>
      </c>
      <c r="Y586">
        <v>8</v>
      </c>
      <c r="Z586">
        <v>38.5</v>
      </c>
      <c r="AA586">
        <v>24</v>
      </c>
      <c r="AB586">
        <v>67</v>
      </c>
      <c r="AC586">
        <v>5</v>
      </c>
      <c r="AD586">
        <v>15</v>
      </c>
      <c r="AF586" t="s">
        <v>1426</v>
      </c>
    </row>
    <row r="587" spans="1:32" x14ac:dyDescent="0.3">
      <c r="A587">
        <v>564</v>
      </c>
      <c r="B587" t="s">
        <v>1427</v>
      </c>
      <c r="C587">
        <v>25</v>
      </c>
      <c r="D587" t="s">
        <v>157</v>
      </c>
      <c r="E587" t="s">
        <v>87</v>
      </c>
      <c r="F587">
        <v>33</v>
      </c>
      <c r="G587">
        <v>1</v>
      </c>
      <c r="H587">
        <v>5</v>
      </c>
      <c r="I587">
        <v>6</v>
      </c>
      <c r="J587">
        <v>-4</v>
      </c>
      <c r="K587">
        <v>14</v>
      </c>
      <c r="L587">
        <v>1</v>
      </c>
      <c r="M587">
        <v>0</v>
      </c>
      <c r="N587">
        <v>0</v>
      </c>
      <c r="O587">
        <v>0</v>
      </c>
      <c r="P587">
        <v>5</v>
      </c>
      <c r="Q587">
        <v>0</v>
      </c>
      <c r="R587">
        <v>0</v>
      </c>
      <c r="S587">
        <v>29</v>
      </c>
      <c r="T587">
        <v>3.4</v>
      </c>
      <c r="U587">
        <v>68</v>
      </c>
      <c r="V587" s="2">
        <v>23.249305555555555</v>
      </c>
      <c r="W587" s="3">
        <v>0.70486111111111116</v>
      </c>
      <c r="X587">
        <v>0</v>
      </c>
      <c r="Y587">
        <v>0</v>
      </c>
      <c r="AA587">
        <v>26</v>
      </c>
      <c r="AB587">
        <v>12</v>
      </c>
      <c r="AC587">
        <v>8</v>
      </c>
      <c r="AD587">
        <v>27</v>
      </c>
      <c r="AF587" t="s">
        <v>1428</v>
      </c>
    </row>
    <row r="588" spans="1:32" x14ac:dyDescent="0.3">
      <c r="A588">
        <v>565</v>
      </c>
      <c r="B588" t="s">
        <v>1429</v>
      </c>
      <c r="C588">
        <v>25</v>
      </c>
      <c r="D588" t="s">
        <v>193</v>
      </c>
      <c r="E588" t="s">
        <v>380</v>
      </c>
      <c r="F588">
        <v>26</v>
      </c>
      <c r="G588">
        <v>1</v>
      </c>
      <c r="H588">
        <v>4</v>
      </c>
      <c r="I588">
        <v>5</v>
      </c>
      <c r="J588">
        <v>0</v>
      </c>
      <c r="K588">
        <v>12</v>
      </c>
      <c r="L588">
        <v>1</v>
      </c>
      <c r="M588">
        <v>0</v>
      </c>
      <c r="N588">
        <v>0</v>
      </c>
      <c r="O588">
        <v>0</v>
      </c>
      <c r="P588">
        <v>3</v>
      </c>
      <c r="Q588">
        <v>1</v>
      </c>
      <c r="R588">
        <v>0</v>
      </c>
      <c r="S588">
        <v>14</v>
      </c>
      <c r="T588">
        <v>7.1</v>
      </c>
      <c r="U588">
        <v>26</v>
      </c>
      <c r="V588" s="2">
        <v>9.9090277777777782</v>
      </c>
      <c r="W588" s="3">
        <v>0.38124999999999998</v>
      </c>
      <c r="X588">
        <v>2</v>
      </c>
      <c r="Y588">
        <v>12</v>
      </c>
      <c r="Z588">
        <v>14.3</v>
      </c>
      <c r="AA588">
        <v>5</v>
      </c>
      <c r="AB588">
        <v>22</v>
      </c>
      <c r="AC588">
        <v>6</v>
      </c>
      <c r="AD588">
        <v>9</v>
      </c>
      <c r="AF588" t="s">
        <v>1430</v>
      </c>
    </row>
    <row r="589" spans="1:32" x14ac:dyDescent="0.3">
      <c r="A589">
        <v>566</v>
      </c>
      <c r="B589" t="s">
        <v>1431</v>
      </c>
      <c r="C589">
        <v>33</v>
      </c>
      <c r="D589" t="s">
        <v>103</v>
      </c>
      <c r="E589" t="s">
        <v>78</v>
      </c>
      <c r="F589">
        <v>25</v>
      </c>
      <c r="G589">
        <v>4</v>
      </c>
      <c r="H589">
        <v>1</v>
      </c>
      <c r="I589">
        <v>5</v>
      </c>
      <c r="J589">
        <v>-4</v>
      </c>
      <c r="K589">
        <v>12</v>
      </c>
      <c r="L589">
        <v>4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39</v>
      </c>
      <c r="T589">
        <v>10.3</v>
      </c>
      <c r="U589">
        <v>64</v>
      </c>
      <c r="V589" s="2">
        <v>11.922916666666667</v>
      </c>
      <c r="W589" s="3">
        <v>0.47708333333333336</v>
      </c>
      <c r="X589">
        <v>74</v>
      </c>
      <c r="Y589">
        <v>68</v>
      </c>
      <c r="Z589">
        <v>52.1</v>
      </c>
      <c r="AA589">
        <v>18</v>
      </c>
      <c r="AB589">
        <v>52</v>
      </c>
      <c r="AC589">
        <v>2</v>
      </c>
      <c r="AD589">
        <v>4</v>
      </c>
      <c r="AF589" t="s">
        <v>1432</v>
      </c>
    </row>
    <row r="590" spans="1:32" x14ac:dyDescent="0.3">
      <c r="A590">
        <v>567</v>
      </c>
      <c r="B590" t="s">
        <v>1433</v>
      </c>
      <c r="C590">
        <v>34</v>
      </c>
      <c r="D590" t="s">
        <v>109</v>
      </c>
      <c r="E590" t="s">
        <v>101</v>
      </c>
      <c r="F590">
        <v>35</v>
      </c>
      <c r="G590">
        <v>1</v>
      </c>
      <c r="H590">
        <v>4</v>
      </c>
      <c r="I590">
        <v>5</v>
      </c>
      <c r="J590">
        <v>-9</v>
      </c>
      <c r="K590">
        <v>34</v>
      </c>
      <c r="L590">
        <v>1</v>
      </c>
      <c r="M590">
        <v>0</v>
      </c>
      <c r="N590">
        <v>0</v>
      </c>
      <c r="O590">
        <v>0</v>
      </c>
      <c r="P590">
        <v>4</v>
      </c>
      <c r="Q590">
        <v>0</v>
      </c>
      <c r="R590">
        <v>0</v>
      </c>
      <c r="S590">
        <v>35</v>
      </c>
      <c r="T590">
        <v>2.9</v>
      </c>
      <c r="U590">
        <v>68</v>
      </c>
      <c r="V590" s="2">
        <v>18.713194444444444</v>
      </c>
      <c r="W590" s="3">
        <v>0.53472222222222221</v>
      </c>
      <c r="X590">
        <v>3</v>
      </c>
      <c r="Y590">
        <v>5</v>
      </c>
      <c r="Z590">
        <v>37.5</v>
      </c>
      <c r="AA590">
        <v>32</v>
      </c>
      <c r="AB590">
        <v>111</v>
      </c>
      <c r="AC590">
        <v>5</v>
      </c>
      <c r="AD590">
        <v>15</v>
      </c>
      <c r="AF590" t="s">
        <v>1434</v>
      </c>
    </row>
    <row r="591" spans="1:32" x14ac:dyDescent="0.3">
      <c r="A591">
        <v>568</v>
      </c>
      <c r="B591" t="s">
        <v>1435</v>
      </c>
      <c r="C591">
        <v>31</v>
      </c>
      <c r="D591" t="s">
        <v>306</v>
      </c>
      <c r="E591" t="s">
        <v>78</v>
      </c>
      <c r="F591">
        <v>19</v>
      </c>
      <c r="G591">
        <v>2</v>
      </c>
      <c r="H591">
        <v>3</v>
      </c>
      <c r="I591">
        <v>5</v>
      </c>
      <c r="J591">
        <v>0</v>
      </c>
      <c r="K591">
        <v>12</v>
      </c>
      <c r="L591">
        <v>0</v>
      </c>
      <c r="M591">
        <v>0</v>
      </c>
      <c r="N591">
        <v>2</v>
      </c>
      <c r="O591">
        <v>1</v>
      </c>
      <c r="P591">
        <v>3</v>
      </c>
      <c r="Q591">
        <v>0</v>
      </c>
      <c r="R591">
        <v>0</v>
      </c>
      <c r="S591">
        <v>21</v>
      </c>
      <c r="T591">
        <v>9.5</v>
      </c>
      <c r="U591">
        <v>45</v>
      </c>
      <c r="V591" s="2">
        <v>9.5965277777777782</v>
      </c>
      <c r="W591" s="3">
        <v>0.50486111111111109</v>
      </c>
      <c r="X591">
        <v>78</v>
      </c>
      <c r="Y591">
        <v>53</v>
      </c>
      <c r="Z591">
        <v>59.5</v>
      </c>
      <c r="AA591">
        <v>15</v>
      </c>
      <c r="AB591">
        <v>39</v>
      </c>
      <c r="AC591">
        <v>6</v>
      </c>
      <c r="AD591">
        <v>4</v>
      </c>
      <c r="AF591" t="s">
        <v>1436</v>
      </c>
    </row>
    <row r="592" spans="1:32" x14ac:dyDescent="0.3">
      <c r="A592">
        <v>569</v>
      </c>
      <c r="B592" t="s">
        <v>1437</v>
      </c>
      <c r="C592">
        <v>28</v>
      </c>
      <c r="D592" t="s">
        <v>139</v>
      </c>
      <c r="E592" t="s">
        <v>101</v>
      </c>
      <c r="F592">
        <v>27</v>
      </c>
      <c r="G592">
        <v>1</v>
      </c>
      <c r="H592">
        <v>4</v>
      </c>
      <c r="I592">
        <v>5</v>
      </c>
      <c r="J592">
        <v>-10</v>
      </c>
      <c r="K592">
        <v>19</v>
      </c>
      <c r="L592">
        <v>1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25</v>
      </c>
      <c r="T592">
        <v>4</v>
      </c>
      <c r="U592">
        <v>54</v>
      </c>
      <c r="V592" s="2">
        <v>14.416666666666666</v>
      </c>
      <c r="W592" s="3">
        <v>0.53402777777777777</v>
      </c>
      <c r="X592">
        <v>8</v>
      </c>
      <c r="Y592">
        <v>17</v>
      </c>
      <c r="Z592">
        <v>32</v>
      </c>
      <c r="AA592">
        <v>9</v>
      </c>
      <c r="AB592">
        <v>39</v>
      </c>
      <c r="AC592">
        <v>4</v>
      </c>
      <c r="AD592">
        <v>14</v>
      </c>
      <c r="AF592" t="s">
        <v>1438</v>
      </c>
    </row>
    <row r="593" spans="1:32" x14ac:dyDescent="0.3">
      <c r="A593">
        <v>570</v>
      </c>
      <c r="B593" t="s">
        <v>1439</v>
      </c>
      <c r="C593">
        <v>33</v>
      </c>
      <c r="D593" t="s">
        <v>134</v>
      </c>
      <c r="E593" t="s">
        <v>95</v>
      </c>
      <c r="F593">
        <v>21</v>
      </c>
      <c r="G593">
        <v>3</v>
      </c>
      <c r="H593">
        <v>2</v>
      </c>
      <c r="I593">
        <v>5</v>
      </c>
      <c r="J593">
        <v>-4</v>
      </c>
      <c r="K593">
        <v>4</v>
      </c>
      <c r="L593">
        <v>3</v>
      </c>
      <c r="M593">
        <v>0</v>
      </c>
      <c r="N593">
        <v>0</v>
      </c>
      <c r="O593">
        <v>1</v>
      </c>
      <c r="P593">
        <v>2</v>
      </c>
      <c r="Q593">
        <v>0</v>
      </c>
      <c r="R593">
        <v>0</v>
      </c>
      <c r="S593">
        <v>37</v>
      </c>
      <c r="T593">
        <v>8.1</v>
      </c>
      <c r="U593">
        <v>59</v>
      </c>
      <c r="V593" s="2">
        <v>11.411111111111111</v>
      </c>
      <c r="W593" s="3">
        <v>0.54305555555555551</v>
      </c>
      <c r="X593">
        <v>33</v>
      </c>
      <c r="Y593">
        <v>52</v>
      </c>
      <c r="Z593">
        <v>38.799999999999997</v>
      </c>
      <c r="AA593">
        <v>7</v>
      </c>
      <c r="AB593">
        <v>25</v>
      </c>
      <c r="AC593">
        <v>3</v>
      </c>
      <c r="AD593">
        <v>15</v>
      </c>
      <c r="AF593" t="s">
        <v>1440</v>
      </c>
    </row>
    <row r="594" spans="1:32" x14ac:dyDescent="0.3">
      <c r="A594">
        <v>571</v>
      </c>
      <c r="B594" t="s">
        <v>1441</v>
      </c>
      <c r="C594">
        <v>34</v>
      </c>
      <c r="D594" t="s">
        <v>150</v>
      </c>
      <c r="E594" t="s">
        <v>78</v>
      </c>
      <c r="F594">
        <v>27</v>
      </c>
      <c r="G594">
        <v>5</v>
      </c>
      <c r="H594">
        <v>0</v>
      </c>
      <c r="I594">
        <v>5</v>
      </c>
      <c r="J594">
        <v>-7</v>
      </c>
      <c r="K594">
        <v>4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25</v>
      </c>
      <c r="T594">
        <v>20</v>
      </c>
      <c r="U594">
        <v>36</v>
      </c>
      <c r="V594" s="2">
        <v>13.019444444444444</v>
      </c>
      <c r="W594" s="3">
        <v>0.48194444444444445</v>
      </c>
      <c r="X594">
        <v>8</v>
      </c>
      <c r="Y594">
        <v>5</v>
      </c>
      <c r="Z594">
        <v>61.5</v>
      </c>
      <c r="AA594">
        <v>4</v>
      </c>
      <c r="AB594">
        <v>17</v>
      </c>
      <c r="AC594">
        <v>3</v>
      </c>
      <c r="AD594">
        <v>7</v>
      </c>
      <c r="AF594" t="s">
        <v>1442</v>
      </c>
    </row>
    <row r="595" spans="1:32" x14ac:dyDescent="0.3">
      <c r="A595">
        <v>572</v>
      </c>
      <c r="B595" t="s">
        <v>1443</v>
      </c>
      <c r="C595">
        <v>28</v>
      </c>
      <c r="D595" t="s">
        <v>278</v>
      </c>
      <c r="E595" t="s">
        <v>87</v>
      </c>
      <c r="F595">
        <v>29</v>
      </c>
      <c r="G595">
        <v>1</v>
      </c>
      <c r="H595">
        <v>4</v>
      </c>
      <c r="I595">
        <v>5</v>
      </c>
      <c r="J595">
        <v>2</v>
      </c>
      <c r="K595">
        <v>8</v>
      </c>
      <c r="L595">
        <v>1</v>
      </c>
      <c r="M595">
        <v>0</v>
      </c>
      <c r="N595">
        <v>0</v>
      </c>
      <c r="O595">
        <v>0</v>
      </c>
      <c r="P595">
        <v>4</v>
      </c>
      <c r="Q595">
        <v>0</v>
      </c>
      <c r="R595">
        <v>0</v>
      </c>
      <c r="S595">
        <v>19</v>
      </c>
      <c r="T595">
        <v>5.3</v>
      </c>
      <c r="U595">
        <v>47</v>
      </c>
      <c r="V595" s="2">
        <v>16.392361111111111</v>
      </c>
      <c r="W595" s="3">
        <v>0.56527777777777777</v>
      </c>
      <c r="X595">
        <v>0</v>
      </c>
      <c r="Y595">
        <v>0</v>
      </c>
      <c r="AA595">
        <v>19</v>
      </c>
      <c r="AB595">
        <v>58</v>
      </c>
      <c r="AC595">
        <v>3</v>
      </c>
      <c r="AD595">
        <v>27</v>
      </c>
      <c r="AF595" t="s">
        <v>1444</v>
      </c>
    </row>
    <row r="596" spans="1:32" x14ac:dyDescent="0.3">
      <c r="A596">
        <v>573</v>
      </c>
      <c r="B596" t="s">
        <v>1445</v>
      </c>
      <c r="C596">
        <v>29</v>
      </c>
      <c r="D596" t="s">
        <v>250</v>
      </c>
      <c r="E596" t="s">
        <v>95</v>
      </c>
      <c r="F596">
        <v>8</v>
      </c>
      <c r="G596">
        <v>1</v>
      </c>
      <c r="H596">
        <v>4</v>
      </c>
      <c r="I596">
        <v>5</v>
      </c>
      <c r="J596">
        <v>-1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4</v>
      </c>
      <c r="Q596">
        <v>0</v>
      </c>
      <c r="R596">
        <v>0</v>
      </c>
      <c r="S596">
        <v>8</v>
      </c>
      <c r="T596">
        <v>12.5</v>
      </c>
      <c r="U596">
        <v>17</v>
      </c>
      <c r="V596" s="2">
        <v>4.291666666666667</v>
      </c>
      <c r="W596" s="3">
        <v>0.53680555555555554</v>
      </c>
      <c r="X596">
        <v>0</v>
      </c>
      <c r="Y596">
        <v>1</v>
      </c>
      <c r="Z596">
        <v>0</v>
      </c>
      <c r="AA596">
        <v>4</v>
      </c>
      <c r="AB596">
        <v>22</v>
      </c>
      <c r="AC596">
        <v>1</v>
      </c>
      <c r="AD596">
        <v>5</v>
      </c>
      <c r="AF596" t="s">
        <v>1446</v>
      </c>
    </row>
    <row r="597" spans="1:32" x14ac:dyDescent="0.3">
      <c r="A597">
        <v>574</v>
      </c>
      <c r="B597" t="s">
        <v>1447</v>
      </c>
      <c r="C597">
        <v>22</v>
      </c>
      <c r="D597" t="s">
        <v>134</v>
      </c>
      <c r="E597" t="s">
        <v>95</v>
      </c>
      <c r="F597">
        <v>27</v>
      </c>
      <c r="G597">
        <v>2</v>
      </c>
      <c r="H597">
        <v>3</v>
      </c>
      <c r="I597">
        <v>5</v>
      </c>
      <c r="J597">
        <v>-5</v>
      </c>
      <c r="K597">
        <v>8</v>
      </c>
      <c r="L597">
        <v>1</v>
      </c>
      <c r="M597">
        <v>1</v>
      </c>
      <c r="N597">
        <v>0</v>
      </c>
      <c r="O597">
        <v>0</v>
      </c>
      <c r="P597">
        <v>1</v>
      </c>
      <c r="Q597">
        <v>2</v>
      </c>
      <c r="R597">
        <v>0</v>
      </c>
      <c r="S597">
        <v>28</v>
      </c>
      <c r="T597">
        <v>7.1</v>
      </c>
      <c r="U597">
        <v>70</v>
      </c>
      <c r="V597" s="2">
        <v>14.270138888888889</v>
      </c>
      <c r="W597" s="3">
        <v>0.52847222222222223</v>
      </c>
      <c r="X597">
        <v>2</v>
      </c>
      <c r="Y597">
        <v>0</v>
      </c>
      <c r="Z597">
        <v>100</v>
      </c>
      <c r="AA597">
        <v>11</v>
      </c>
      <c r="AB597">
        <v>3</v>
      </c>
      <c r="AC597">
        <v>5</v>
      </c>
      <c r="AD597">
        <v>12</v>
      </c>
      <c r="AF597" t="s">
        <v>1448</v>
      </c>
    </row>
    <row r="598" spans="1:32" x14ac:dyDescent="0.3">
      <c r="A598">
        <v>575</v>
      </c>
      <c r="B598" t="s">
        <v>1449</v>
      </c>
      <c r="C598">
        <v>21</v>
      </c>
      <c r="D598" t="s">
        <v>139</v>
      </c>
      <c r="E598" t="s">
        <v>78</v>
      </c>
      <c r="F598">
        <v>12</v>
      </c>
      <c r="G598">
        <v>3</v>
      </c>
      <c r="H598">
        <v>2</v>
      </c>
      <c r="I598">
        <v>5</v>
      </c>
      <c r="J598">
        <v>-4</v>
      </c>
      <c r="K598">
        <v>4</v>
      </c>
      <c r="L598">
        <v>3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0</v>
      </c>
      <c r="S598">
        <v>20</v>
      </c>
      <c r="T598">
        <v>15</v>
      </c>
      <c r="U598">
        <v>43</v>
      </c>
      <c r="V598" s="2">
        <v>8.1819444444444436</v>
      </c>
      <c r="W598" s="3">
        <v>0.68194444444444446</v>
      </c>
      <c r="X598">
        <v>68</v>
      </c>
      <c r="Y598">
        <v>95</v>
      </c>
      <c r="Z598">
        <v>41.7</v>
      </c>
      <c r="AA598">
        <v>12</v>
      </c>
      <c r="AB598">
        <v>9</v>
      </c>
      <c r="AC598">
        <v>1</v>
      </c>
      <c r="AD598">
        <v>10</v>
      </c>
      <c r="AF598" t="s">
        <v>1450</v>
      </c>
    </row>
    <row r="599" spans="1:32" x14ac:dyDescent="0.3">
      <c r="A599">
        <v>576</v>
      </c>
      <c r="B599" t="s">
        <v>1451</v>
      </c>
      <c r="C599">
        <v>28</v>
      </c>
      <c r="D599" t="s">
        <v>409</v>
      </c>
      <c r="E599" t="s">
        <v>87</v>
      </c>
      <c r="F599">
        <v>28</v>
      </c>
      <c r="G599">
        <v>0</v>
      </c>
      <c r="H599">
        <v>5</v>
      </c>
      <c r="I599">
        <v>5</v>
      </c>
      <c r="J599">
        <v>1</v>
      </c>
      <c r="K599">
        <v>39</v>
      </c>
      <c r="L599">
        <v>0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25</v>
      </c>
      <c r="T599">
        <v>0</v>
      </c>
      <c r="U599">
        <v>78</v>
      </c>
      <c r="V599" s="2">
        <v>18.90625</v>
      </c>
      <c r="W599" s="3">
        <v>0.67500000000000004</v>
      </c>
      <c r="X599">
        <v>0</v>
      </c>
      <c r="Y599">
        <v>0</v>
      </c>
      <c r="AA599">
        <v>50</v>
      </c>
      <c r="AB599">
        <v>104</v>
      </c>
      <c r="AC599">
        <v>5</v>
      </c>
      <c r="AD599">
        <v>19</v>
      </c>
      <c r="AF599" t="s">
        <v>1452</v>
      </c>
    </row>
    <row r="600" spans="1:32" x14ac:dyDescent="0.3">
      <c r="A600">
        <v>577</v>
      </c>
      <c r="B600" t="s">
        <v>1453</v>
      </c>
      <c r="C600">
        <v>26</v>
      </c>
      <c r="D600" t="s">
        <v>306</v>
      </c>
      <c r="E600" t="s">
        <v>78</v>
      </c>
      <c r="F600">
        <v>35</v>
      </c>
      <c r="G600">
        <v>1</v>
      </c>
      <c r="H600">
        <v>4</v>
      </c>
      <c r="I600">
        <v>5</v>
      </c>
      <c r="J600">
        <v>-5</v>
      </c>
      <c r="K600">
        <v>4</v>
      </c>
      <c r="L600">
        <v>1</v>
      </c>
      <c r="M600">
        <v>0</v>
      </c>
      <c r="N600">
        <v>0</v>
      </c>
      <c r="O600">
        <v>0</v>
      </c>
      <c r="P600">
        <v>4</v>
      </c>
      <c r="Q600">
        <v>0</v>
      </c>
      <c r="R600">
        <v>0</v>
      </c>
      <c r="S600">
        <v>30</v>
      </c>
      <c r="T600">
        <v>3.3</v>
      </c>
      <c r="U600">
        <v>49</v>
      </c>
      <c r="V600" s="2">
        <v>18.025694444444444</v>
      </c>
      <c r="W600" s="3">
        <v>0.51527777777777772</v>
      </c>
      <c r="X600">
        <v>94</v>
      </c>
      <c r="Y600">
        <v>81</v>
      </c>
      <c r="Z600">
        <v>53.7</v>
      </c>
      <c r="AA600">
        <v>16</v>
      </c>
      <c r="AB600">
        <v>13</v>
      </c>
      <c r="AC600">
        <v>3</v>
      </c>
      <c r="AD600">
        <v>23</v>
      </c>
      <c r="AF600" t="s">
        <v>1454</v>
      </c>
    </row>
    <row r="601" spans="1:32" x14ac:dyDescent="0.3">
      <c r="A601">
        <v>578</v>
      </c>
      <c r="B601" t="s">
        <v>1455</v>
      </c>
      <c r="C601">
        <v>22</v>
      </c>
      <c r="D601" t="s">
        <v>472</v>
      </c>
      <c r="E601" t="s">
        <v>101</v>
      </c>
      <c r="F601">
        <v>30</v>
      </c>
      <c r="G601">
        <v>3</v>
      </c>
      <c r="H601">
        <v>2</v>
      </c>
      <c r="I601">
        <v>5</v>
      </c>
      <c r="J601">
        <v>-4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2</v>
      </c>
      <c r="Q601">
        <v>0</v>
      </c>
      <c r="R601">
        <v>0</v>
      </c>
      <c r="S601">
        <v>40</v>
      </c>
      <c r="T601">
        <v>7.5</v>
      </c>
      <c r="U601">
        <v>82</v>
      </c>
      <c r="V601" s="2">
        <v>13.036111111111111</v>
      </c>
      <c r="W601" s="3">
        <v>0.43472222222222223</v>
      </c>
      <c r="X601">
        <v>5</v>
      </c>
      <c r="Y601">
        <v>5</v>
      </c>
      <c r="Z601">
        <v>50</v>
      </c>
      <c r="AA601">
        <v>17</v>
      </c>
      <c r="AB601">
        <v>44</v>
      </c>
      <c r="AC601">
        <v>3</v>
      </c>
      <c r="AD601">
        <v>14</v>
      </c>
      <c r="AF601" t="s">
        <v>1456</v>
      </c>
    </row>
    <row r="602" spans="1:32" x14ac:dyDescent="0.3">
      <c r="A602">
        <v>578</v>
      </c>
      <c r="B602" t="s">
        <v>1455</v>
      </c>
      <c r="C602">
        <v>22</v>
      </c>
      <c r="D602" t="s">
        <v>109</v>
      </c>
      <c r="E602" t="s">
        <v>101</v>
      </c>
      <c r="F602">
        <v>18</v>
      </c>
      <c r="G602">
        <v>0</v>
      </c>
      <c r="H602">
        <v>0</v>
      </c>
      <c r="I602">
        <v>0</v>
      </c>
      <c r="J602">
        <v>-3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</v>
      </c>
      <c r="T602">
        <v>0</v>
      </c>
      <c r="U602">
        <v>40</v>
      </c>
      <c r="V602" s="2">
        <v>7.15</v>
      </c>
      <c r="W602" s="3">
        <v>0.3972222222222222</v>
      </c>
      <c r="X602">
        <v>2</v>
      </c>
      <c r="Y602">
        <v>1</v>
      </c>
      <c r="Z602">
        <v>66.7</v>
      </c>
      <c r="AA602">
        <v>8</v>
      </c>
      <c r="AB602">
        <v>29</v>
      </c>
      <c r="AC602">
        <v>1</v>
      </c>
      <c r="AD602">
        <v>7</v>
      </c>
      <c r="AF602" t="s">
        <v>1456</v>
      </c>
    </row>
    <row r="603" spans="1:32" x14ac:dyDescent="0.3">
      <c r="A603">
        <v>578</v>
      </c>
      <c r="B603" t="s">
        <v>1455</v>
      </c>
      <c r="C603">
        <v>22</v>
      </c>
      <c r="D603" t="s">
        <v>193</v>
      </c>
      <c r="E603" t="s">
        <v>101</v>
      </c>
      <c r="F603">
        <v>12</v>
      </c>
      <c r="G603">
        <v>3</v>
      </c>
      <c r="H603">
        <v>2</v>
      </c>
      <c r="I603">
        <v>5</v>
      </c>
      <c r="J603">
        <v>-1</v>
      </c>
      <c r="K603">
        <v>0</v>
      </c>
      <c r="L603">
        <v>3</v>
      </c>
      <c r="M603">
        <v>0</v>
      </c>
      <c r="N603">
        <v>0</v>
      </c>
      <c r="O603">
        <v>0</v>
      </c>
      <c r="P603">
        <v>2</v>
      </c>
      <c r="Q603">
        <v>0</v>
      </c>
      <c r="R603">
        <v>0</v>
      </c>
      <c r="S603">
        <v>22</v>
      </c>
      <c r="T603">
        <v>13.6</v>
      </c>
      <c r="U603">
        <v>42</v>
      </c>
      <c r="V603" s="2">
        <v>5.8861111111111111</v>
      </c>
      <c r="W603" s="3">
        <v>0.49027777777777776</v>
      </c>
      <c r="X603">
        <v>3</v>
      </c>
      <c r="Y603">
        <v>4</v>
      </c>
      <c r="Z603">
        <v>42.9</v>
      </c>
      <c r="AA603">
        <v>9</v>
      </c>
      <c r="AB603">
        <v>15</v>
      </c>
      <c r="AC603">
        <v>2</v>
      </c>
      <c r="AD603">
        <v>7</v>
      </c>
      <c r="AF603" t="s">
        <v>1456</v>
      </c>
    </row>
    <row r="604" spans="1:32" x14ac:dyDescent="0.3">
      <c r="A604">
        <v>579</v>
      </c>
      <c r="B604" t="s">
        <v>1457</v>
      </c>
      <c r="C604">
        <v>20</v>
      </c>
      <c r="D604" t="s">
        <v>256</v>
      </c>
      <c r="E604" t="s">
        <v>95</v>
      </c>
      <c r="F604">
        <v>12</v>
      </c>
      <c r="G604">
        <v>1</v>
      </c>
      <c r="H604">
        <v>4</v>
      </c>
      <c r="I604">
        <v>5</v>
      </c>
      <c r="J604">
        <v>3</v>
      </c>
      <c r="K604">
        <v>2</v>
      </c>
      <c r="L604">
        <v>0</v>
      </c>
      <c r="M604">
        <v>1</v>
      </c>
      <c r="N604">
        <v>0</v>
      </c>
      <c r="O604">
        <v>0</v>
      </c>
      <c r="P604">
        <v>3</v>
      </c>
      <c r="Q604">
        <v>1</v>
      </c>
      <c r="R604">
        <v>0</v>
      </c>
      <c r="S604">
        <v>10</v>
      </c>
      <c r="T604">
        <v>10</v>
      </c>
      <c r="U604">
        <v>26</v>
      </c>
      <c r="V604" s="2">
        <v>6.9569444444444448</v>
      </c>
      <c r="W604" s="3">
        <v>0.57986111111111116</v>
      </c>
      <c r="X604">
        <v>3</v>
      </c>
      <c r="Y604">
        <v>0</v>
      </c>
      <c r="Z604">
        <v>100</v>
      </c>
      <c r="AA604">
        <v>11</v>
      </c>
      <c r="AB604">
        <v>7</v>
      </c>
      <c r="AC604">
        <v>3</v>
      </c>
      <c r="AD604">
        <v>9</v>
      </c>
      <c r="AF604" t="s">
        <v>1458</v>
      </c>
    </row>
    <row r="605" spans="1:32" x14ac:dyDescent="0.3">
      <c r="A605">
        <v>580</v>
      </c>
      <c r="B605" t="s">
        <v>1459</v>
      </c>
      <c r="C605">
        <v>22</v>
      </c>
      <c r="D605" t="s">
        <v>157</v>
      </c>
      <c r="E605" t="s">
        <v>101</v>
      </c>
      <c r="F605">
        <v>20</v>
      </c>
      <c r="G605">
        <v>4</v>
      </c>
      <c r="H605">
        <v>1</v>
      </c>
      <c r="I605">
        <v>5</v>
      </c>
      <c r="J605">
        <v>-4</v>
      </c>
      <c r="K605">
        <v>11</v>
      </c>
      <c r="L605">
        <v>4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19</v>
      </c>
      <c r="T605">
        <v>21.1</v>
      </c>
      <c r="U605">
        <v>41</v>
      </c>
      <c r="V605" s="2">
        <v>8.7347222222222225</v>
      </c>
      <c r="W605" s="3">
        <v>0.43680555555555556</v>
      </c>
      <c r="X605">
        <v>0</v>
      </c>
      <c r="Y605">
        <v>0</v>
      </c>
      <c r="AA605">
        <v>17</v>
      </c>
      <c r="AB605">
        <v>51</v>
      </c>
      <c r="AC605">
        <v>2</v>
      </c>
      <c r="AD605">
        <v>8</v>
      </c>
      <c r="AF605" t="s">
        <v>1460</v>
      </c>
    </row>
    <row r="606" spans="1:32" x14ac:dyDescent="0.3">
      <c r="A606">
        <v>581</v>
      </c>
      <c r="B606" t="s">
        <v>1461</v>
      </c>
      <c r="C606">
        <v>36</v>
      </c>
      <c r="D606" t="s">
        <v>130</v>
      </c>
      <c r="E606" t="s">
        <v>87</v>
      </c>
      <c r="F606">
        <v>30</v>
      </c>
      <c r="G606">
        <v>1</v>
      </c>
      <c r="H606">
        <v>4</v>
      </c>
      <c r="I606">
        <v>5</v>
      </c>
      <c r="J606">
        <v>-4</v>
      </c>
      <c r="K606">
        <v>21</v>
      </c>
      <c r="L606">
        <v>1</v>
      </c>
      <c r="M606">
        <v>0</v>
      </c>
      <c r="N606">
        <v>0</v>
      </c>
      <c r="O606">
        <v>0</v>
      </c>
      <c r="P606">
        <v>4</v>
      </c>
      <c r="Q606">
        <v>0</v>
      </c>
      <c r="R606">
        <v>0</v>
      </c>
      <c r="S606">
        <v>23</v>
      </c>
      <c r="T606">
        <v>4.3</v>
      </c>
      <c r="U606">
        <v>63</v>
      </c>
      <c r="V606" s="2">
        <v>17.0625</v>
      </c>
      <c r="W606" s="3">
        <v>0.56874999999999998</v>
      </c>
      <c r="X606">
        <v>0</v>
      </c>
      <c r="Y606">
        <v>0</v>
      </c>
      <c r="AA606">
        <v>35</v>
      </c>
      <c r="AB606">
        <v>88</v>
      </c>
      <c r="AC606">
        <v>6</v>
      </c>
      <c r="AD606">
        <v>30</v>
      </c>
      <c r="AF606" t="s">
        <v>1462</v>
      </c>
    </row>
    <row r="607" spans="1:32" x14ac:dyDescent="0.3">
      <c r="A607">
        <v>582</v>
      </c>
      <c r="B607" t="s">
        <v>1463</v>
      </c>
      <c r="C607">
        <v>29</v>
      </c>
      <c r="D607" t="s">
        <v>250</v>
      </c>
      <c r="E607" t="s">
        <v>380</v>
      </c>
      <c r="F607">
        <v>22</v>
      </c>
      <c r="G607">
        <v>3</v>
      </c>
      <c r="H607">
        <v>2</v>
      </c>
      <c r="I607">
        <v>5</v>
      </c>
      <c r="J607">
        <v>-6</v>
      </c>
      <c r="K607">
        <v>10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30</v>
      </c>
      <c r="T607">
        <v>10</v>
      </c>
      <c r="U607">
        <v>52</v>
      </c>
      <c r="V607" s="2">
        <v>9.8618055555555557</v>
      </c>
      <c r="W607" s="3">
        <v>0.44861111111111113</v>
      </c>
      <c r="X607">
        <v>30</v>
      </c>
      <c r="Y607">
        <v>34</v>
      </c>
      <c r="Z607">
        <v>46.9</v>
      </c>
      <c r="AA607">
        <v>6</v>
      </c>
      <c r="AB607">
        <v>17</v>
      </c>
      <c r="AC607">
        <v>3</v>
      </c>
      <c r="AD607">
        <v>12</v>
      </c>
      <c r="AF607" t="s">
        <v>1464</v>
      </c>
    </row>
    <row r="608" spans="1:32" x14ac:dyDescent="0.3">
      <c r="A608">
        <v>583</v>
      </c>
      <c r="B608" t="s">
        <v>1465</v>
      </c>
      <c r="C608">
        <v>29</v>
      </c>
      <c r="D608" t="s">
        <v>409</v>
      </c>
      <c r="E608" t="s">
        <v>87</v>
      </c>
      <c r="F608">
        <v>42</v>
      </c>
      <c r="G608">
        <v>1</v>
      </c>
      <c r="H608">
        <v>4</v>
      </c>
      <c r="I608">
        <v>5</v>
      </c>
      <c r="J608">
        <v>-9</v>
      </c>
      <c r="K608">
        <v>20</v>
      </c>
      <c r="L608">
        <v>1</v>
      </c>
      <c r="M608">
        <v>0</v>
      </c>
      <c r="N608">
        <v>0</v>
      </c>
      <c r="O608">
        <v>0</v>
      </c>
      <c r="P608">
        <v>4</v>
      </c>
      <c r="Q608">
        <v>0</v>
      </c>
      <c r="R608">
        <v>0</v>
      </c>
      <c r="S608">
        <v>29</v>
      </c>
      <c r="T608">
        <v>3.4</v>
      </c>
      <c r="U608">
        <v>97</v>
      </c>
      <c r="V608" s="2">
        <v>32.829166666666666</v>
      </c>
      <c r="W608" s="3">
        <v>0.78194444444444444</v>
      </c>
      <c r="X608">
        <v>0</v>
      </c>
      <c r="Y608">
        <v>0</v>
      </c>
      <c r="AA608">
        <v>59</v>
      </c>
      <c r="AB608">
        <v>68</v>
      </c>
      <c r="AC608">
        <v>7</v>
      </c>
      <c r="AD608">
        <v>33</v>
      </c>
      <c r="AF608" t="s">
        <v>1466</v>
      </c>
    </row>
    <row r="609" spans="1:32" x14ac:dyDescent="0.3">
      <c r="A609">
        <v>584</v>
      </c>
      <c r="B609" t="s">
        <v>1467</v>
      </c>
      <c r="C609">
        <v>23</v>
      </c>
      <c r="D609" t="s">
        <v>472</v>
      </c>
      <c r="E609" t="s">
        <v>101</v>
      </c>
      <c r="F609">
        <v>19</v>
      </c>
      <c r="G609">
        <v>2</v>
      </c>
      <c r="H609">
        <v>3</v>
      </c>
      <c r="I609">
        <v>5</v>
      </c>
      <c r="J609">
        <v>-4</v>
      </c>
      <c r="K609">
        <v>6</v>
      </c>
      <c r="L609">
        <v>2</v>
      </c>
      <c r="M609">
        <v>0</v>
      </c>
      <c r="N609">
        <v>0</v>
      </c>
      <c r="O609">
        <v>0</v>
      </c>
      <c r="P609">
        <v>3</v>
      </c>
      <c r="Q609">
        <v>0</v>
      </c>
      <c r="R609">
        <v>0</v>
      </c>
      <c r="S609">
        <v>15</v>
      </c>
      <c r="T609">
        <v>13.3</v>
      </c>
      <c r="U609">
        <v>36</v>
      </c>
      <c r="V609" s="2">
        <v>9.7006944444444443</v>
      </c>
      <c r="W609" s="3">
        <v>0.51041666666666663</v>
      </c>
      <c r="X609">
        <v>46</v>
      </c>
      <c r="Y609">
        <v>71</v>
      </c>
      <c r="Z609">
        <v>39.299999999999997</v>
      </c>
      <c r="AA609">
        <v>11</v>
      </c>
      <c r="AB609">
        <v>7</v>
      </c>
      <c r="AC609">
        <v>2</v>
      </c>
      <c r="AD609">
        <v>13</v>
      </c>
      <c r="AF609" t="s">
        <v>1468</v>
      </c>
    </row>
    <row r="610" spans="1:32" x14ac:dyDescent="0.3">
      <c r="A610">
        <v>584</v>
      </c>
      <c r="B610" t="s">
        <v>1467</v>
      </c>
      <c r="C610">
        <v>23</v>
      </c>
      <c r="D610" t="s">
        <v>290</v>
      </c>
      <c r="E610" t="s">
        <v>101</v>
      </c>
      <c r="F610">
        <v>5</v>
      </c>
      <c r="G610">
        <v>2</v>
      </c>
      <c r="H610">
        <v>2</v>
      </c>
      <c r="I610">
        <v>4</v>
      </c>
      <c r="J610">
        <v>1</v>
      </c>
      <c r="K610">
        <v>2</v>
      </c>
      <c r="L610">
        <v>2</v>
      </c>
      <c r="M610">
        <v>0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6</v>
      </c>
      <c r="T610">
        <v>33.299999999999997</v>
      </c>
      <c r="U610">
        <v>10</v>
      </c>
      <c r="V610" s="2">
        <v>2.0548611111111112</v>
      </c>
      <c r="W610" s="3">
        <v>0.41111111111111109</v>
      </c>
      <c r="X610">
        <v>2</v>
      </c>
      <c r="Y610">
        <v>5</v>
      </c>
      <c r="Z610">
        <v>28.6</v>
      </c>
      <c r="AA610">
        <v>3</v>
      </c>
      <c r="AB610">
        <v>1</v>
      </c>
      <c r="AC610">
        <v>1</v>
      </c>
      <c r="AD610">
        <v>4</v>
      </c>
      <c r="AF610" t="s">
        <v>1468</v>
      </c>
    </row>
    <row r="611" spans="1:32" x14ac:dyDescent="0.3">
      <c r="A611">
        <v>584</v>
      </c>
      <c r="B611" t="s">
        <v>1467</v>
      </c>
      <c r="C611">
        <v>23</v>
      </c>
      <c r="D611" t="s">
        <v>193</v>
      </c>
      <c r="E611" t="s">
        <v>101</v>
      </c>
      <c r="F611">
        <v>14</v>
      </c>
      <c r="G611">
        <v>0</v>
      </c>
      <c r="H611">
        <v>1</v>
      </c>
      <c r="I611">
        <v>1</v>
      </c>
      <c r="J611">
        <v>-5</v>
      </c>
      <c r="K611">
        <v>4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9</v>
      </c>
      <c r="T611">
        <v>0</v>
      </c>
      <c r="U611">
        <v>26</v>
      </c>
      <c r="V611" s="2">
        <v>7.645833333333333</v>
      </c>
      <c r="W611" s="3">
        <v>0.54583333333333328</v>
      </c>
      <c r="X611">
        <v>44</v>
      </c>
      <c r="Y611">
        <v>66</v>
      </c>
      <c r="Z611">
        <v>40</v>
      </c>
      <c r="AA611">
        <v>8</v>
      </c>
      <c r="AB611">
        <v>6</v>
      </c>
      <c r="AC611">
        <v>1</v>
      </c>
      <c r="AD611">
        <v>9</v>
      </c>
      <c r="AF611" t="s">
        <v>1468</v>
      </c>
    </row>
    <row r="612" spans="1:32" x14ac:dyDescent="0.3">
      <c r="A612">
        <v>585</v>
      </c>
      <c r="B612" t="s">
        <v>1469</v>
      </c>
      <c r="C612">
        <v>31</v>
      </c>
      <c r="D612" t="s">
        <v>306</v>
      </c>
      <c r="E612" t="s">
        <v>78</v>
      </c>
      <c r="F612">
        <v>24</v>
      </c>
      <c r="G612">
        <v>0</v>
      </c>
      <c r="H612">
        <v>4</v>
      </c>
      <c r="I612">
        <v>4</v>
      </c>
      <c r="J612">
        <v>0</v>
      </c>
      <c r="K612">
        <v>10</v>
      </c>
      <c r="L612">
        <v>0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16</v>
      </c>
      <c r="T612">
        <v>0</v>
      </c>
      <c r="U612">
        <v>29</v>
      </c>
      <c r="V612" s="2">
        <v>9.7777777777777786</v>
      </c>
      <c r="W612" s="3">
        <v>0.40763888888888888</v>
      </c>
      <c r="X612">
        <v>6</v>
      </c>
      <c r="Y612">
        <v>18</v>
      </c>
      <c r="Z612">
        <v>25</v>
      </c>
      <c r="AA612">
        <v>15</v>
      </c>
      <c r="AB612">
        <v>63</v>
      </c>
      <c r="AC612">
        <v>2</v>
      </c>
      <c r="AD612">
        <v>10</v>
      </c>
      <c r="AF612" t="s">
        <v>1470</v>
      </c>
    </row>
    <row r="613" spans="1:32" x14ac:dyDescent="0.3">
      <c r="A613">
        <v>586</v>
      </c>
      <c r="B613" t="s">
        <v>1471</v>
      </c>
      <c r="C613">
        <v>24</v>
      </c>
      <c r="D613" t="s">
        <v>157</v>
      </c>
      <c r="E613" t="s">
        <v>87</v>
      </c>
      <c r="F613">
        <v>21</v>
      </c>
      <c r="G613">
        <v>0</v>
      </c>
      <c r="H613">
        <v>4</v>
      </c>
      <c r="I613">
        <v>4</v>
      </c>
      <c r="J613">
        <v>0</v>
      </c>
      <c r="K613">
        <v>6</v>
      </c>
      <c r="L613">
        <v>0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15</v>
      </c>
      <c r="T613">
        <v>0</v>
      </c>
      <c r="U613">
        <v>46</v>
      </c>
      <c r="V613" s="2">
        <v>12.797916666666667</v>
      </c>
      <c r="W613" s="3">
        <v>0.60972222222222228</v>
      </c>
      <c r="X613">
        <v>0</v>
      </c>
      <c r="Y613">
        <v>0</v>
      </c>
      <c r="AA613">
        <v>23</v>
      </c>
      <c r="AB613">
        <v>13</v>
      </c>
      <c r="AC613">
        <v>1</v>
      </c>
      <c r="AD613">
        <v>32</v>
      </c>
      <c r="AF613" t="s">
        <v>1472</v>
      </c>
    </row>
    <row r="614" spans="1:32" x14ac:dyDescent="0.3">
      <c r="A614">
        <v>587</v>
      </c>
      <c r="B614" t="s">
        <v>1473</v>
      </c>
      <c r="C614">
        <v>35</v>
      </c>
      <c r="D614" t="s">
        <v>109</v>
      </c>
      <c r="E614" t="s">
        <v>87</v>
      </c>
      <c r="F614">
        <v>23</v>
      </c>
      <c r="G614">
        <v>1</v>
      </c>
      <c r="H614">
        <v>3</v>
      </c>
      <c r="I614">
        <v>4</v>
      </c>
      <c r="J614">
        <v>8</v>
      </c>
      <c r="K614">
        <v>4</v>
      </c>
      <c r="L614">
        <v>1</v>
      </c>
      <c r="M614">
        <v>0</v>
      </c>
      <c r="N614">
        <v>0</v>
      </c>
      <c r="O614">
        <v>0</v>
      </c>
      <c r="P614">
        <v>3</v>
      </c>
      <c r="Q614">
        <v>0</v>
      </c>
      <c r="R614">
        <v>0</v>
      </c>
      <c r="S614">
        <v>20</v>
      </c>
      <c r="T614">
        <v>5</v>
      </c>
      <c r="U614">
        <v>41</v>
      </c>
      <c r="V614" s="2">
        <v>14.254861111111111</v>
      </c>
      <c r="W614" s="3">
        <v>0.61944444444444446</v>
      </c>
      <c r="X614">
        <v>0</v>
      </c>
      <c r="Y614">
        <v>1</v>
      </c>
      <c r="Z614">
        <v>0</v>
      </c>
      <c r="AA614">
        <v>20</v>
      </c>
      <c r="AB614">
        <v>20</v>
      </c>
      <c r="AC614">
        <v>5</v>
      </c>
      <c r="AD614">
        <v>12</v>
      </c>
      <c r="AF614" t="s">
        <v>1474</v>
      </c>
    </row>
    <row r="615" spans="1:32" x14ac:dyDescent="0.3">
      <c r="A615">
        <v>588</v>
      </c>
      <c r="B615" t="s">
        <v>1475</v>
      </c>
      <c r="C615">
        <v>29</v>
      </c>
      <c r="D615" t="s">
        <v>256</v>
      </c>
      <c r="E615" t="s">
        <v>87</v>
      </c>
      <c r="F615">
        <v>38</v>
      </c>
      <c r="G615">
        <v>2</v>
      </c>
      <c r="H615">
        <v>2</v>
      </c>
      <c r="I615">
        <v>4</v>
      </c>
      <c r="J615">
        <v>2</v>
      </c>
      <c r="K615">
        <v>22</v>
      </c>
      <c r="L615">
        <v>2</v>
      </c>
      <c r="M615">
        <v>0</v>
      </c>
      <c r="N615">
        <v>0</v>
      </c>
      <c r="O615">
        <v>2</v>
      </c>
      <c r="P615">
        <v>2</v>
      </c>
      <c r="Q615">
        <v>0</v>
      </c>
      <c r="R615">
        <v>0</v>
      </c>
      <c r="S615">
        <v>36</v>
      </c>
      <c r="T615">
        <v>5.6</v>
      </c>
      <c r="U615">
        <v>95</v>
      </c>
      <c r="V615" s="2">
        <v>29.359722222222221</v>
      </c>
      <c r="W615" s="3">
        <v>0.7729166666666667</v>
      </c>
      <c r="X615">
        <v>0</v>
      </c>
      <c r="Y615">
        <v>0</v>
      </c>
      <c r="AA615">
        <v>48</v>
      </c>
      <c r="AB615">
        <v>57</v>
      </c>
      <c r="AC615">
        <v>11</v>
      </c>
      <c r="AD615">
        <v>34</v>
      </c>
      <c r="AF615" t="s">
        <v>1476</v>
      </c>
    </row>
    <row r="616" spans="1:32" x14ac:dyDescent="0.3">
      <c r="A616">
        <v>589</v>
      </c>
      <c r="B616" t="s">
        <v>1477</v>
      </c>
      <c r="C616">
        <v>28</v>
      </c>
      <c r="D616" t="s">
        <v>139</v>
      </c>
      <c r="E616" t="s">
        <v>87</v>
      </c>
      <c r="F616">
        <v>26</v>
      </c>
      <c r="G616">
        <v>1</v>
      </c>
      <c r="H616">
        <v>3</v>
      </c>
      <c r="I616">
        <v>4</v>
      </c>
      <c r="J616">
        <v>-2</v>
      </c>
      <c r="K616">
        <v>6</v>
      </c>
      <c r="L616">
        <v>1</v>
      </c>
      <c r="M616">
        <v>0</v>
      </c>
      <c r="N616">
        <v>0</v>
      </c>
      <c r="O616">
        <v>0</v>
      </c>
      <c r="P616">
        <v>3</v>
      </c>
      <c r="Q616">
        <v>0</v>
      </c>
      <c r="R616">
        <v>0</v>
      </c>
      <c r="S616">
        <v>9</v>
      </c>
      <c r="T616">
        <v>11.1</v>
      </c>
      <c r="U616">
        <v>31</v>
      </c>
      <c r="V616" s="2">
        <v>11.522916666666667</v>
      </c>
      <c r="W616" s="3">
        <v>0.44305555555555554</v>
      </c>
      <c r="X616">
        <v>0</v>
      </c>
      <c r="Y616">
        <v>0</v>
      </c>
      <c r="AA616">
        <v>12</v>
      </c>
      <c r="AB616">
        <v>7</v>
      </c>
      <c r="AC616">
        <v>2</v>
      </c>
      <c r="AD616">
        <v>9</v>
      </c>
      <c r="AF616" t="s">
        <v>1478</v>
      </c>
    </row>
    <row r="617" spans="1:32" x14ac:dyDescent="0.3">
      <c r="A617">
        <v>590</v>
      </c>
      <c r="B617" t="s">
        <v>1479</v>
      </c>
      <c r="C617">
        <v>20</v>
      </c>
      <c r="D617" t="s">
        <v>210</v>
      </c>
      <c r="E617" t="s">
        <v>101</v>
      </c>
      <c r="F617">
        <v>18</v>
      </c>
      <c r="G617">
        <v>2</v>
      </c>
      <c r="H617">
        <v>2</v>
      </c>
      <c r="I617">
        <v>4</v>
      </c>
      <c r="J617">
        <v>1</v>
      </c>
      <c r="K617">
        <v>6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2</v>
      </c>
      <c r="R617">
        <v>0</v>
      </c>
      <c r="S617">
        <v>29</v>
      </c>
      <c r="T617">
        <v>6.9</v>
      </c>
      <c r="U617">
        <v>67</v>
      </c>
      <c r="V617" s="2">
        <v>9.53125</v>
      </c>
      <c r="W617" s="3">
        <v>0.52986111111111112</v>
      </c>
      <c r="X617">
        <v>5</v>
      </c>
      <c r="Y617">
        <v>7</v>
      </c>
      <c r="Z617">
        <v>41.7</v>
      </c>
      <c r="AA617">
        <v>10</v>
      </c>
      <c r="AB617">
        <v>7</v>
      </c>
      <c r="AC617">
        <v>2</v>
      </c>
      <c r="AD617">
        <v>10</v>
      </c>
      <c r="AF617" t="s">
        <v>1480</v>
      </c>
    </row>
    <row r="618" spans="1:32" x14ac:dyDescent="0.3">
      <c r="A618">
        <v>591</v>
      </c>
      <c r="B618" t="s">
        <v>1481</v>
      </c>
      <c r="C618">
        <v>28</v>
      </c>
      <c r="D618" t="s">
        <v>174</v>
      </c>
      <c r="E618" t="s">
        <v>87</v>
      </c>
      <c r="F618">
        <v>20</v>
      </c>
      <c r="G618">
        <v>1</v>
      </c>
      <c r="H618">
        <v>3</v>
      </c>
      <c r="I618">
        <v>4</v>
      </c>
      <c r="J618">
        <v>2</v>
      </c>
      <c r="K618">
        <v>6</v>
      </c>
      <c r="L618">
        <v>1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12</v>
      </c>
      <c r="T618">
        <v>8.3000000000000007</v>
      </c>
      <c r="U618">
        <v>41</v>
      </c>
      <c r="V618" s="2">
        <v>10.18125</v>
      </c>
      <c r="W618" s="3">
        <v>0.50902777777777775</v>
      </c>
      <c r="X618">
        <v>0</v>
      </c>
      <c r="Y618">
        <v>0</v>
      </c>
      <c r="AA618">
        <v>13</v>
      </c>
      <c r="AB618">
        <v>8</v>
      </c>
      <c r="AC618">
        <v>8</v>
      </c>
      <c r="AD618">
        <v>10</v>
      </c>
      <c r="AF618" t="s">
        <v>1482</v>
      </c>
    </row>
    <row r="619" spans="1:32" x14ac:dyDescent="0.3">
      <c r="A619">
        <v>592</v>
      </c>
      <c r="B619" t="s">
        <v>1483</v>
      </c>
      <c r="C619">
        <v>28</v>
      </c>
      <c r="D619" t="s">
        <v>121</v>
      </c>
      <c r="E619" t="s">
        <v>87</v>
      </c>
      <c r="F619">
        <v>23</v>
      </c>
      <c r="G619">
        <v>0</v>
      </c>
      <c r="H619">
        <v>4</v>
      </c>
      <c r="I619">
        <v>4</v>
      </c>
      <c r="J619">
        <v>0</v>
      </c>
      <c r="K619">
        <v>23</v>
      </c>
      <c r="L619">
        <v>0</v>
      </c>
      <c r="M619">
        <v>0</v>
      </c>
      <c r="N619">
        <v>0</v>
      </c>
      <c r="O619">
        <v>0</v>
      </c>
      <c r="P619">
        <v>3</v>
      </c>
      <c r="Q619">
        <v>0</v>
      </c>
      <c r="R619">
        <v>1</v>
      </c>
      <c r="S619">
        <v>14</v>
      </c>
      <c r="T619">
        <v>0</v>
      </c>
      <c r="U619">
        <v>44</v>
      </c>
      <c r="V619" s="2">
        <v>18.564583333333335</v>
      </c>
      <c r="W619" s="3">
        <v>0.80694444444444446</v>
      </c>
      <c r="X619">
        <v>0</v>
      </c>
      <c r="Y619">
        <v>0</v>
      </c>
      <c r="AA619">
        <v>47</v>
      </c>
      <c r="AB619">
        <v>50</v>
      </c>
      <c r="AC619">
        <v>4</v>
      </c>
      <c r="AD619">
        <v>22</v>
      </c>
      <c r="AF619" t="s">
        <v>1484</v>
      </c>
    </row>
    <row r="620" spans="1:32" x14ac:dyDescent="0.3">
      <c r="A620">
        <v>593</v>
      </c>
      <c r="B620" t="s">
        <v>1485</v>
      </c>
      <c r="C620">
        <v>19</v>
      </c>
      <c r="D620" t="s">
        <v>116</v>
      </c>
      <c r="E620" t="s">
        <v>87</v>
      </c>
      <c r="F620">
        <v>34</v>
      </c>
      <c r="G620">
        <v>1</v>
      </c>
      <c r="H620">
        <v>3</v>
      </c>
      <c r="I620">
        <v>4</v>
      </c>
      <c r="J620">
        <v>-2</v>
      </c>
      <c r="K620">
        <v>10</v>
      </c>
      <c r="L620">
        <v>1</v>
      </c>
      <c r="M620">
        <v>0</v>
      </c>
      <c r="N620">
        <v>0</v>
      </c>
      <c r="O620">
        <v>0</v>
      </c>
      <c r="P620">
        <v>3</v>
      </c>
      <c r="Q620">
        <v>0</v>
      </c>
      <c r="R620">
        <v>0</v>
      </c>
      <c r="S620">
        <v>30</v>
      </c>
      <c r="T620">
        <v>3.3</v>
      </c>
      <c r="U620">
        <v>72</v>
      </c>
      <c r="V620" s="2">
        <v>21.857638888888889</v>
      </c>
      <c r="W620" s="3">
        <v>0.6430555555555556</v>
      </c>
      <c r="X620">
        <v>0</v>
      </c>
      <c r="Y620">
        <v>0</v>
      </c>
      <c r="AA620">
        <v>28</v>
      </c>
      <c r="AB620">
        <v>26</v>
      </c>
      <c r="AC620">
        <v>9</v>
      </c>
      <c r="AD620">
        <v>32</v>
      </c>
      <c r="AF620" t="s">
        <v>1486</v>
      </c>
    </row>
    <row r="621" spans="1:32" x14ac:dyDescent="0.3">
      <c r="A621">
        <v>594</v>
      </c>
      <c r="B621" t="s">
        <v>1487</v>
      </c>
      <c r="C621">
        <v>27</v>
      </c>
      <c r="D621" t="s">
        <v>139</v>
      </c>
      <c r="E621" t="s">
        <v>78</v>
      </c>
      <c r="F621">
        <v>27</v>
      </c>
      <c r="G621">
        <v>1</v>
      </c>
      <c r="H621">
        <v>3</v>
      </c>
      <c r="I621">
        <v>4</v>
      </c>
      <c r="J621">
        <v>-4</v>
      </c>
      <c r="K621">
        <v>29</v>
      </c>
      <c r="L621">
        <v>1</v>
      </c>
      <c r="M621">
        <v>0</v>
      </c>
      <c r="N621">
        <v>0</v>
      </c>
      <c r="O621">
        <v>0</v>
      </c>
      <c r="P621">
        <v>3</v>
      </c>
      <c r="Q621">
        <v>0</v>
      </c>
      <c r="R621">
        <v>0</v>
      </c>
      <c r="S621">
        <v>23</v>
      </c>
      <c r="T621">
        <v>4.3</v>
      </c>
      <c r="U621">
        <v>48</v>
      </c>
      <c r="V621" s="2">
        <v>10.794444444444444</v>
      </c>
      <c r="W621" s="3">
        <v>0.4</v>
      </c>
      <c r="X621">
        <v>41</v>
      </c>
      <c r="Y621">
        <v>44</v>
      </c>
      <c r="Z621">
        <v>48.2</v>
      </c>
      <c r="AA621">
        <v>12</v>
      </c>
      <c r="AB621">
        <v>31</v>
      </c>
      <c r="AC621">
        <v>5</v>
      </c>
      <c r="AD621">
        <v>14</v>
      </c>
      <c r="AF621" t="s">
        <v>1488</v>
      </c>
    </row>
    <row r="622" spans="1:32" x14ac:dyDescent="0.3">
      <c r="A622">
        <v>595</v>
      </c>
      <c r="B622" t="s">
        <v>1489</v>
      </c>
      <c r="C622">
        <v>25</v>
      </c>
      <c r="D622" t="s">
        <v>256</v>
      </c>
      <c r="E622" t="s">
        <v>78</v>
      </c>
      <c r="F622">
        <v>24</v>
      </c>
      <c r="G622">
        <v>2</v>
      </c>
      <c r="H622">
        <v>2</v>
      </c>
      <c r="I622">
        <v>4</v>
      </c>
      <c r="J622">
        <v>5</v>
      </c>
      <c r="K622">
        <v>2</v>
      </c>
      <c r="L622">
        <v>2</v>
      </c>
      <c r="M622">
        <v>0</v>
      </c>
      <c r="N622">
        <v>0</v>
      </c>
      <c r="O622">
        <v>1</v>
      </c>
      <c r="P622">
        <v>2</v>
      </c>
      <c r="Q622">
        <v>0</v>
      </c>
      <c r="R622">
        <v>0</v>
      </c>
      <c r="S622">
        <v>21</v>
      </c>
      <c r="T622">
        <v>9.5</v>
      </c>
      <c r="U622">
        <v>35</v>
      </c>
      <c r="V622" s="2">
        <v>9.5666666666666664</v>
      </c>
      <c r="W622" s="3">
        <v>0.39861111111111114</v>
      </c>
      <c r="X622">
        <v>2</v>
      </c>
      <c r="Y622">
        <v>0</v>
      </c>
      <c r="Z622">
        <v>100</v>
      </c>
      <c r="AA622">
        <v>13</v>
      </c>
      <c r="AB622">
        <v>48</v>
      </c>
      <c r="AC622">
        <v>5</v>
      </c>
      <c r="AD622">
        <v>12</v>
      </c>
      <c r="AF622" t="s">
        <v>1490</v>
      </c>
    </row>
    <row r="623" spans="1:32" x14ac:dyDescent="0.3">
      <c r="A623">
        <v>596</v>
      </c>
      <c r="B623" t="s">
        <v>1491</v>
      </c>
      <c r="C623">
        <v>30</v>
      </c>
      <c r="D623" t="s">
        <v>174</v>
      </c>
      <c r="E623" t="s">
        <v>101</v>
      </c>
      <c r="F623">
        <v>18</v>
      </c>
      <c r="G623">
        <v>3</v>
      </c>
      <c r="H623">
        <v>1</v>
      </c>
      <c r="I623">
        <v>4</v>
      </c>
      <c r="J623">
        <v>2</v>
      </c>
      <c r="K623">
        <v>4</v>
      </c>
      <c r="L623">
        <v>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15</v>
      </c>
      <c r="T623">
        <v>20</v>
      </c>
      <c r="U623">
        <v>35</v>
      </c>
      <c r="V623" s="2">
        <v>7.166666666666667</v>
      </c>
      <c r="W623" s="3">
        <v>0.39791666666666664</v>
      </c>
      <c r="X623">
        <v>2</v>
      </c>
      <c r="Y623">
        <v>3</v>
      </c>
      <c r="Z623">
        <v>40</v>
      </c>
      <c r="AA623">
        <v>9</v>
      </c>
      <c r="AB623">
        <v>59</v>
      </c>
      <c r="AC623">
        <v>1</v>
      </c>
      <c r="AD623">
        <v>4</v>
      </c>
      <c r="AF623" t="s">
        <v>1492</v>
      </c>
    </row>
    <row r="624" spans="1:32" x14ac:dyDescent="0.3">
      <c r="A624">
        <v>597</v>
      </c>
      <c r="B624" t="s">
        <v>1493</v>
      </c>
      <c r="C624">
        <v>36</v>
      </c>
      <c r="D624" t="s">
        <v>97</v>
      </c>
      <c r="E624" t="s">
        <v>78</v>
      </c>
      <c r="F624">
        <v>44</v>
      </c>
      <c r="G624">
        <v>0</v>
      </c>
      <c r="H624">
        <v>4</v>
      </c>
      <c r="I624">
        <v>4</v>
      </c>
      <c r="J624">
        <v>-7</v>
      </c>
      <c r="K624">
        <v>2</v>
      </c>
      <c r="L624">
        <v>0</v>
      </c>
      <c r="M624">
        <v>0</v>
      </c>
      <c r="N624">
        <v>0</v>
      </c>
      <c r="O624">
        <v>0</v>
      </c>
      <c r="P624">
        <v>3</v>
      </c>
      <c r="Q624">
        <v>0</v>
      </c>
      <c r="R624">
        <v>1</v>
      </c>
      <c r="S624">
        <v>24</v>
      </c>
      <c r="T624">
        <v>0</v>
      </c>
      <c r="U624">
        <v>46</v>
      </c>
      <c r="V624" s="2">
        <v>18.777083333333334</v>
      </c>
      <c r="W624" s="3">
        <v>0.42708333333333331</v>
      </c>
      <c r="X624">
        <v>226</v>
      </c>
      <c r="Y624">
        <v>226</v>
      </c>
      <c r="Z624">
        <v>50</v>
      </c>
      <c r="AA624">
        <v>36</v>
      </c>
      <c r="AB624">
        <v>61</v>
      </c>
      <c r="AC624">
        <v>5</v>
      </c>
      <c r="AD624">
        <v>8</v>
      </c>
      <c r="AF624" t="s">
        <v>1494</v>
      </c>
    </row>
    <row r="625" spans="1:32" x14ac:dyDescent="0.3">
      <c r="A625">
        <v>598</v>
      </c>
      <c r="B625" t="s">
        <v>1495</v>
      </c>
      <c r="C625">
        <v>25</v>
      </c>
      <c r="D625" t="s">
        <v>134</v>
      </c>
      <c r="E625" t="s">
        <v>78</v>
      </c>
      <c r="F625">
        <v>13</v>
      </c>
      <c r="G625">
        <v>1</v>
      </c>
      <c r="H625">
        <v>3</v>
      </c>
      <c r="I625">
        <v>4</v>
      </c>
      <c r="J625">
        <v>4</v>
      </c>
      <c r="K625">
        <v>2</v>
      </c>
      <c r="L625">
        <v>0</v>
      </c>
      <c r="M625">
        <v>0</v>
      </c>
      <c r="N625">
        <v>1</v>
      </c>
      <c r="O625">
        <v>1</v>
      </c>
      <c r="P625">
        <v>3</v>
      </c>
      <c r="Q625">
        <v>0</v>
      </c>
      <c r="R625">
        <v>0</v>
      </c>
      <c r="S625">
        <v>22</v>
      </c>
      <c r="T625">
        <v>4.5</v>
      </c>
      <c r="U625">
        <v>47</v>
      </c>
      <c r="V625" s="2">
        <v>7.1187500000000004</v>
      </c>
      <c r="W625" s="3">
        <v>0.54791666666666672</v>
      </c>
      <c r="X625">
        <v>0</v>
      </c>
      <c r="Y625">
        <v>2</v>
      </c>
      <c r="Z625">
        <v>0</v>
      </c>
      <c r="AA625">
        <v>5</v>
      </c>
      <c r="AB625">
        <v>3</v>
      </c>
      <c r="AC625">
        <v>2</v>
      </c>
      <c r="AD625">
        <v>12</v>
      </c>
      <c r="AF625" t="s">
        <v>1496</v>
      </c>
    </row>
    <row r="626" spans="1:32" x14ac:dyDescent="0.3">
      <c r="A626">
        <v>599</v>
      </c>
      <c r="B626" t="s">
        <v>1497</v>
      </c>
      <c r="C626">
        <v>21</v>
      </c>
      <c r="D626" t="s">
        <v>82</v>
      </c>
      <c r="E626" t="s">
        <v>101</v>
      </c>
      <c r="F626">
        <v>18</v>
      </c>
      <c r="G626">
        <v>2</v>
      </c>
      <c r="H626">
        <v>2</v>
      </c>
      <c r="I626">
        <v>4</v>
      </c>
      <c r="J626">
        <v>1</v>
      </c>
      <c r="K626">
        <v>2</v>
      </c>
      <c r="L626">
        <v>2</v>
      </c>
      <c r="M626">
        <v>0</v>
      </c>
      <c r="N626">
        <v>0</v>
      </c>
      <c r="O626">
        <v>0</v>
      </c>
      <c r="P626">
        <v>2</v>
      </c>
      <c r="Q626">
        <v>0</v>
      </c>
      <c r="R626">
        <v>0</v>
      </c>
      <c r="S626">
        <v>22</v>
      </c>
      <c r="T626">
        <v>9.1</v>
      </c>
      <c r="U626">
        <v>42</v>
      </c>
      <c r="V626" s="2">
        <v>9.2562499999999996</v>
      </c>
      <c r="W626" s="3">
        <v>0.51458333333333328</v>
      </c>
      <c r="X626">
        <v>6</v>
      </c>
      <c r="Y626">
        <v>5</v>
      </c>
      <c r="Z626">
        <v>54.5</v>
      </c>
      <c r="AA626">
        <v>6</v>
      </c>
      <c r="AB626">
        <v>35</v>
      </c>
      <c r="AC626">
        <v>1</v>
      </c>
      <c r="AD626">
        <v>9</v>
      </c>
      <c r="AF626" t="s">
        <v>1498</v>
      </c>
    </row>
    <row r="627" spans="1:32" x14ac:dyDescent="0.3">
      <c r="A627">
        <v>600</v>
      </c>
      <c r="B627" t="s">
        <v>217</v>
      </c>
      <c r="C627">
        <v>29</v>
      </c>
      <c r="D627" t="s">
        <v>216</v>
      </c>
      <c r="E627" t="s">
        <v>380</v>
      </c>
      <c r="F627">
        <v>21</v>
      </c>
      <c r="G627">
        <v>1</v>
      </c>
      <c r="H627">
        <v>3</v>
      </c>
      <c r="I627">
        <v>4</v>
      </c>
      <c r="J627">
        <v>0</v>
      </c>
      <c r="K627">
        <v>6</v>
      </c>
      <c r="L627">
        <v>1</v>
      </c>
      <c r="M627">
        <v>0</v>
      </c>
      <c r="N627">
        <v>0</v>
      </c>
      <c r="O627">
        <v>0</v>
      </c>
      <c r="P627">
        <v>3</v>
      </c>
      <c r="Q627">
        <v>0</v>
      </c>
      <c r="R627">
        <v>0</v>
      </c>
      <c r="S627">
        <v>13</v>
      </c>
      <c r="T627">
        <v>7.7</v>
      </c>
      <c r="U627">
        <v>29</v>
      </c>
      <c r="V627" s="2">
        <v>8.3048611111111104</v>
      </c>
      <c r="W627" s="3">
        <v>0.39513888888888887</v>
      </c>
      <c r="X627">
        <v>3</v>
      </c>
      <c r="Y627">
        <v>3</v>
      </c>
      <c r="Z627">
        <v>50</v>
      </c>
      <c r="AA627">
        <v>5</v>
      </c>
      <c r="AB627">
        <v>30</v>
      </c>
      <c r="AC627">
        <v>1</v>
      </c>
      <c r="AD627">
        <v>8</v>
      </c>
      <c r="AF627" t="s">
        <v>1499</v>
      </c>
    </row>
    <row r="628" spans="1:32" x14ac:dyDescent="0.3">
      <c r="A628">
        <v>601</v>
      </c>
      <c r="B628" t="s">
        <v>1500</v>
      </c>
      <c r="C628">
        <v>23</v>
      </c>
      <c r="D628" t="s">
        <v>139</v>
      </c>
      <c r="E628" t="s">
        <v>78</v>
      </c>
      <c r="F628">
        <v>24</v>
      </c>
      <c r="G628">
        <v>2</v>
      </c>
      <c r="H628">
        <v>2</v>
      </c>
      <c r="I628">
        <v>4</v>
      </c>
      <c r="J628">
        <v>-4</v>
      </c>
      <c r="K628">
        <v>2</v>
      </c>
      <c r="L628">
        <v>2</v>
      </c>
      <c r="M628">
        <v>0</v>
      </c>
      <c r="N628">
        <v>0</v>
      </c>
      <c r="O628">
        <v>0</v>
      </c>
      <c r="P628">
        <v>2</v>
      </c>
      <c r="Q628">
        <v>0</v>
      </c>
      <c r="R628">
        <v>0</v>
      </c>
      <c r="S628">
        <v>19</v>
      </c>
      <c r="T628">
        <v>10.5</v>
      </c>
      <c r="U628">
        <v>35</v>
      </c>
      <c r="V628" s="2">
        <v>11.947222222222223</v>
      </c>
      <c r="W628" s="3">
        <v>0.49791666666666667</v>
      </c>
      <c r="X628">
        <v>120</v>
      </c>
      <c r="Y628">
        <v>126</v>
      </c>
      <c r="Z628">
        <v>48.8</v>
      </c>
      <c r="AA628">
        <v>23</v>
      </c>
      <c r="AB628">
        <v>62</v>
      </c>
      <c r="AC628">
        <v>7</v>
      </c>
      <c r="AD628">
        <v>13</v>
      </c>
      <c r="AF628" t="s">
        <v>1501</v>
      </c>
    </row>
    <row r="629" spans="1:32" x14ac:dyDescent="0.3">
      <c r="A629">
        <v>602</v>
      </c>
      <c r="B629" t="s">
        <v>1502</v>
      </c>
      <c r="C629">
        <v>20</v>
      </c>
      <c r="D629" t="s">
        <v>290</v>
      </c>
      <c r="E629" t="s">
        <v>101</v>
      </c>
      <c r="F629">
        <v>13</v>
      </c>
      <c r="G629">
        <v>3</v>
      </c>
      <c r="H629">
        <v>1</v>
      </c>
      <c r="I629">
        <v>4</v>
      </c>
      <c r="J629">
        <v>-7</v>
      </c>
      <c r="K629">
        <v>6</v>
      </c>
      <c r="L629">
        <v>1</v>
      </c>
      <c r="M629">
        <v>2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22</v>
      </c>
      <c r="T629">
        <v>13.6</v>
      </c>
      <c r="U629">
        <v>47</v>
      </c>
      <c r="V629" s="2">
        <v>6.8618055555555557</v>
      </c>
      <c r="W629" s="3">
        <v>0.52777777777777779</v>
      </c>
      <c r="X629">
        <v>0</v>
      </c>
      <c r="Y629">
        <v>1</v>
      </c>
      <c r="Z629">
        <v>0</v>
      </c>
      <c r="AA629">
        <v>2</v>
      </c>
      <c r="AB629">
        <v>24</v>
      </c>
      <c r="AC629">
        <v>2</v>
      </c>
      <c r="AD629">
        <v>7</v>
      </c>
      <c r="AF629" t="s">
        <v>1503</v>
      </c>
    </row>
    <row r="630" spans="1:32" x14ac:dyDescent="0.3">
      <c r="A630">
        <v>603</v>
      </c>
      <c r="B630" t="s">
        <v>1504</v>
      </c>
      <c r="C630">
        <v>27</v>
      </c>
      <c r="D630" t="s">
        <v>221</v>
      </c>
      <c r="E630" t="s">
        <v>101</v>
      </c>
      <c r="F630">
        <v>9</v>
      </c>
      <c r="G630">
        <v>2</v>
      </c>
      <c r="H630">
        <v>2</v>
      </c>
      <c r="I630">
        <v>4</v>
      </c>
      <c r="J630">
        <v>-2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9</v>
      </c>
      <c r="T630">
        <v>22.2</v>
      </c>
      <c r="U630">
        <v>26</v>
      </c>
      <c r="V630" s="2">
        <v>4.5076388888888888</v>
      </c>
      <c r="W630" s="3">
        <v>0.50069444444444444</v>
      </c>
      <c r="X630">
        <v>0</v>
      </c>
      <c r="Y630">
        <v>0</v>
      </c>
      <c r="AA630">
        <v>6</v>
      </c>
      <c r="AB630">
        <v>8</v>
      </c>
      <c r="AC630">
        <v>2</v>
      </c>
      <c r="AD630">
        <v>10</v>
      </c>
      <c r="AF630" t="s">
        <v>1505</v>
      </c>
    </row>
    <row r="631" spans="1:32" x14ac:dyDescent="0.3">
      <c r="A631">
        <v>604</v>
      </c>
      <c r="B631" t="s">
        <v>1506</v>
      </c>
      <c r="C631">
        <v>25</v>
      </c>
      <c r="D631" t="s">
        <v>174</v>
      </c>
      <c r="E631" t="s">
        <v>87</v>
      </c>
      <c r="F631">
        <v>17</v>
      </c>
      <c r="G631">
        <v>2</v>
      </c>
      <c r="H631">
        <v>2</v>
      </c>
      <c r="I631">
        <v>4</v>
      </c>
      <c r="J631">
        <v>5</v>
      </c>
      <c r="K631">
        <v>6</v>
      </c>
      <c r="L631">
        <v>2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0</v>
      </c>
      <c r="S631">
        <v>15</v>
      </c>
      <c r="T631">
        <v>13.3</v>
      </c>
      <c r="U631">
        <v>38</v>
      </c>
      <c r="V631" s="2">
        <v>11.095138888888888</v>
      </c>
      <c r="W631" s="3">
        <v>0.65277777777777779</v>
      </c>
      <c r="X631">
        <v>0</v>
      </c>
      <c r="Y631">
        <v>0</v>
      </c>
      <c r="AA631">
        <v>20</v>
      </c>
      <c r="AB631">
        <v>16</v>
      </c>
      <c r="AC631">
        <v>4</v>
      </c>
      <c r="AD631">
        <v>21</v>
      </c>
      <c r="AF631" t="s">
        <v>1507</v>
      </c>
    </row>
    <row r="632" spans="1:32" x14ac:dyDescent="0.3">
      <c r="A632">
        <v>605</v>
      </c>
      <c r="B632" t="s">
        <v>1508</v>
      </c>
      <c r="C632">
        <v>31</v>
      </c>
      <c r="D632" t="s">
        <v>193</v>
      </c>
      <c r="E632" t="s">
        <v>101</v>
      </c>
      <c r="F632">
        <v>8</v>
      </c>
      <c r="G632">
        <v>1</v>
      </c>
      <c r="H632">
        <v>3</v>
      </c>
      <c r="I632">
        <v>4</v>
      </c>
      <c r="J632">
        <v>0</v>
      </c>
      <c r="K632">
        <v>12</v>
      </c>
      <c r="L632">
        <v>1</v>
      </c>
      <c r="M632">
        <v>0</v>
      </c>
      <c r="N632">
        <v>0</v>
      </c>
      <c r="O632">
        <v>0</v>
      </c>
      <c r="P632">
        <v>3</v>
      </c>
      <c r="Q632">
        <v>0</v>
      </c>
      <c r="R632">
        <v>0</v>
      </c>
      <c r="S632">
        <v>6</v>
      </c>
      <c r="T632">
        <v>16.7</v>
      </c>
      <c r="U632">
        <v>10</v>
      </c>
      <c r="V632" s="2">
        <v>3.3944444444444444</v>
      </c>
      <c r="W632" s="3">
        <v>0.42430555555555555</v>
      </c>
      <c r="X632">
        <v>1</v>
      </c>
      <c r="Y632">
        <v>1</v>
      </c>
      <c r="Z632">
        <v>50</v>
      </c>
      <c r="AA632">
        <v>6</v>
      </c>
      <c r="AB632">
        <v>10</v>
      </c>
      <c r="AC632">
        <v>1</v>
      </c>
      <c r="AD632">
        <v>3</v>
      </c>
      <c r="AF632" t="s">
        <v>1509</v>
      </c>
    </row>
    <row r="633" spans="1:32" x14ac:dyDescent="0.3">
      <c r="A633">
        <v>606</v>
      </c>
      <c r="B633" t="s">
        <v>1510</v>
      </c>
      <c r="C633">
        <v>29</v>
      </c>
      <c r="D633" t="s">
        <v>91</v>
      </c>
      <c r="E633" t="s">
        <v>380</v>
      </c>
      <c r="F633">
        <v>27</v>
      </c>
      <c r="G633">
        <v>3</v>
      </c>
      <c r="H633">
        <v>1</v>
      </c>
      <c r="I633">
        <v>4</v>
      </c>
      <c r="J633">
        <v>-3</v>
      </c>
      <c r="K633">
        <v>23</v>
      </c>
      <c r="L633">
        <v>3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28</v>
      </c>
      <c r="T633">
        <v>10.7</v>
      </c>
      <c r="U633">
        <v>64</v>
      </c>
      <c r="V633" s="2">
        <v>9.6319444444444446</v>
      </c>
      <c r="W633" s="3">
        <v>0.35694444444444445</v>
      </c>
      <c r="X633">
        <v>2</v>
      </c>
      <c r="Y633">
        <v>2</v>
      </c>
      <c r="Z633">
        <v>50</v>
      </c>
      <c r="AA633">
        <v>12</v>
      </c>
      <c r="AB633">
        <v>77</v>
      </c>
      <c r="AC633">
        <v>4</v>
      </c>
      <c r="AD633">
        <v>9</v>
      </c>
      <c r="AF633" t="s">
        <v>1511</v>
      </c>
    </row>
    <row r="634" spans="1:32" x14ac:dyDescent="0.3">
      <c r="A634">
        <v>607</v>
      </c>
      <c r="B634" t="s">
        <v>244</v>
      </c>
      <c r="C634">
        <v>27</v>
      </c>
      <c r="D634" t="s">
        <v>243</v>
      </c>
      <c r="E634" t="s">
        <v>87</v>
      </c>
      <c r="F634">
        <v>29</v>
      </c>
      <c r="G634">
        <v>0</v>
      </c>
      <c r="H634">
        <v>4</v>
      </c>
      <c r="I634">
        <v>4</v>
      </c>
      <c r="J634">
        <v>0</v>
      </c>
      <c r="K634">
        <v>10</v>
      </c>
      <c r="L634">
        <v>0</v>
      </c>
      <c r="M634">
        <v>0</v>
      </c>
      <c r="N634">
        <v>0</v>
      </c>
      <c r="O634">
        <v>0</v>
      </c>
      <c r="P634">
        <v>4</v>
      </c>
      <c r="Q634">
        <v>0</v>
      </c>
      <c r="R634">
        <v>0</v>
      </c>
      <c r="S634">
        <v>19</v>
      </c>
      <c r="T634">
        <v>0</v>
      </c>
      <c r="U634">
        <v>63</v>
      </c>
      <c r="V634" s="2">
        <v>18.384722222222223</v>
      </c>
      <c r="W634" s="3">
        <v>0.63402777777777775</v>
      </c>
      <c r="X634">
        <v>0</v>
      </c>
      <c r="Y634">
        <v>0</v>
      </c>
      <c r="AA634">
        <v>33</v>
      </c>
      <c r="AB634">
        <v>26</v>
      </c>
      <c r="AC634">
        <v>7</v>
      </c>
      <c r="AD634">
        <v>17</v>
      </c>
      <c r="AF634" t="s">
        <v>1512</v>
      </c>
    </row>
    <row r="635" spans="1:32" x14ac:dyDescent="0.3">
      <c r="A635">
        <v>608</v>
      </c>
      <c r="B635" t="s">
        <v>1513</v>
      </c>
      <c r="C635">
        <v>22</v>
      </c>
      <c r="D635" t="s">
        <v>200</v>
      </c>
      <c r="E635" t="s">
        <v>95</v>
      </c>
      <c r="F635">
        <v>13</v>
      </c>
      <c r="G635">
        <v>1</v>
      </c>
      <c r="H635">
        <v>3</v>
      </c>
      <c r="I635">
        <v>4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3</v>
      </c>
      <c r="Q635">
        <v>0</v>
      </c>
      <c r="R635">
        <v>0</v>
      </c>
      <c r="S635">
        <v>11</v>
      </c>
      <c r="T635">
        <v>9.1</v>
      </c>
      <c r="U635">
        <v>28</v>
      </c>
      <c r="V635" s="2">
        <v>5.0791666666666666</v>
      </c>
      <c r="W635" s="3">
        <v>0.39097222222222222</v>
      </c>
      <c r="X635">
        <v>1</v>
      </c>
      <c r="Y635">
        <v>0</v>
      </c>
      <c r="Z635">
        <v>100</v>
      </c>
      <c r="AA635">
        <v>4</v>
      </c>
      <c r="AB635">
        <v>53</v>
      </c>
      <c r="AC635">
        <v>2</v>
      </c>
      <c r="AD635">
        <v>7</v>
      </c>
      <c r="AF635" t="s">
        <v>1514</v>
      </c>
    </row>
    <row r="636" spans="1:32" x14ac:dyDescent="0.3">
      <c r="A636">
        <v>609</v>
      </c>
      <c r="B636" t="s">
        <v>1515</v>
      </c>
      <c r="C636">
        <v>25</v>
      </c>
      <c r="D636" t="s">
        <v>409</v>
      </c>
      <c r="E636" t="s">
        <v>101</v>
      </c>
      <c r="F636">
        <v>27</v>
      </c>
      <c r="G636">
        <v>1</v>
      </c>
      <c r="H636">
        <v>3</v>
      </c>
      <c r="I636">
        <v>4</v>
      </c>
      <c r="J636">
        <v>-4</v>
      </c>
      <c r="K636">
        <v>8</v>
      </c>
      <c r="L636">
        <v>1</v>
      </c>
      <c r="M636">
        <v>0</v>
      </c>
      <c r="N636">
        <v>0</v>
      </c>
      <c r="O636">
        <v>0</v>
      </c>
      <c r="P636">
        <v>3</v>
      </c>
      <c r="Q636">
        <v>0</v>
      </c>
      <c r="R636">
        <v>0</v>
      </c>
      <c r="S636">
        <v>17</v>
      </c>
      <c r="T636">
        <v>5.9</v>
      </c>
      <c r="U636">
        <v>43</v>
      </c>
      <c r="V636" s="2">
        <v>10.713888888888889</v>
      </c>
      <c r="W636" s="3">
        <v>0.39652777777777776</v>
      </c>
      <c r="X636">
        <v>3</v>
      </c>
      <c r="Y636">
        <v>4</v>
      </c>
      <c r="Z636">
        <v>42.9</v>
      </c>
      <c r="AA636">
        <v>4</v>
      </c>
      <c r="AB636">
        <v>51</v>
      </c>
      <c r="AC636">
        <v>2</v>
      </c>
      <c r="AD636">
        <v>13</v>
      </c>
      <c r="AF636" t="s">
        <v>1516</v>
      </c>
    </row>
    <row r="637" spans="1:32" x14ac:dyDescent="0.3">
      <c r="A637">
        <v>610</v>
      </c>
      <c r="B637" t="s">
        <v>1517</v>
      </c>
      <c r="C637">
        <v>28</v>
      </c>
      <c r="D637" t="s">
        <v>97</v>
      </c>
      <c r="E637" t="s">
        <v>87</v>
      </c>
      <c r="F637">
        <v>44</v>
      </c>
      <c r="G637">
        <v>0</v>
      </c>
      <c r="H637">
        <v>4</v>
      </c>
      <c r="I637">
        <v>4</v>
      </c>
      <c r="J637">
        <v>-9</v>
      </c>
      <c r="K637">
        <v>29</v>
      </c>
      <c r="L637">
        <v>0</v>
      </c>
      <c r="M637">
        <v>0</v>
      </c>
      <c r="N637">
        <v>0</v>
      </c>
      <c r="O637">
        <v>0</v>
      </c>
      <c r="P637">
        <v>3</v>
      </c>
      <c r="Q637">
        <v>0</v>
      </c>
      <c r="R637">
        <v>1</v>
      </c>
      <c r="S637">
        <v>39</v>
      </c>
      <c r="T637">
        <v>0</v>
      </c>
      <c r="U637">
        <v>92</v>
      </c>
      <c r="V637" s="2">
        <v>36.31527777777778</v>
      </c>
      <c r="W637" s="3">
        <v>0.8256944444444444</v>
      </c>
      <c r="X637">
        <v>0</v>
      </c>
      <c r="Y637">
        <v>0</v>
      </c>
      <c r="AA637">
        <v>75</v>
      </c>
      <c r="AB637">
        <v>61</v>
      </c>
      <c r="AC637">
        <v>16</v>
      </c>
      <c r="AD637">
        <v>56</v>
      </c>
      <c r="AF637" t="s">
        <v>1518</v>
      </c>
    </row>
    <row r="638" spans="1:32" x14ac:dyDescent="0.3">
      <c r="A638">
        <v>611</v>
      </c>
      <c r="B638" t="s">
        <v>1519</v>
      </c>
      <c r="C638">
        <v>23</v>
      </c>
      <c r="D638" t="s">
        <v>290</v>
      </c>
      <c r="E638" t="s">
        <v>101</v>
      </c>
      <c r="F638">
        <v>18</v>
      </c>
      <c r="G638">
        <v>2</v>
      </c>
      <c r="H638">
        <v>2</v>
      </c>
      <c r="I638">
        <v>4</v>
      </c>
      <c r="J638">
        <v>3</v>
      </c>
      <c r="K638">
        <v>14</v>
      </c>
      <c r="L638">
        <v>2</v>
      </c>
      <c r="M638">
        <v>0</v>
      </c>
      <c r="N638">
        <v>0</v>
      </c>
      <c r="O638">
        <v>1</v>
      </c>
      <c r="P638">
        <v>2</v>
      </c>
      <c r="Q638">
        <v>0</v>
      </c>
      <c r="R638">
        <v>0</v>
      </c>
      <c r="S638">
        <v>17</v>
      </c>
      <c r="T638">
        <v>11.8</v>
      </c>
      <c r="U638">
        <v>36</v>
      </c>
      <c r="V638" s="2">
        <v>8.0451388888888893</v>
      </c>
      <c r="W638" s="3">
        <v>0.44722222222222224</v>
      </c>
      <c r="X638">
        <v>0</v>
      </c>
      <c r="Y638">
        <v>0</v>
      </c>
      <c r="AA638">
        <v>7</v>
      </c>
      <c r="AB638">
        <v>34</v>
      </c>
      <c r="AC638">
        <v>2</v>
      </c>
      <c r="AD638">
        <v>6</v>
      </c>
      <c r="AF638" t="s">
        <v>1520</v>
      </c>
    </row>
    <row r="639" spans="1:32" x14ac:dyDescent="0.3">
      <c r="A639">
        <v>612</v>
      </c>
      <c r="B639" t="s">
        <v>1521</v>
      </c>
      <c r="C639">
        <v>26</v>
      </c>
      <c r="D639" t="s">
        <v>204</v>
      </c>
      <c r="E639" t="s">
        <v>78</v>
      </c>
      <c r="F639">
        <v>39</v>
      </c>
      <c r="G639">
        <v>2</v>
      </c>
      <c r="H639">
        <v>2</v>
      </c>
      <c r="I639">
        <v>4</v>
      </c>
      <c r="J639">
        <v>-7</v>
      </c>
      <c r="K639">
        <v>13</v>
      </c>
      <c r="L639">
        <v>2</v>
      </c>
      <c r="M639">
        <v>0</v>
      </c>
      <c r="N639">
        <v>0</v>
      </c>
      <c r="O639">
        <v>1</v>
      </c>
      <c r="P639">
        <v>2</v>
      </c>
      <c r="Q639">
        <v>0</v>
      </c>
      <c r="R639">
        <v>0</v>
      </c>
      <c r="S639">
        <v>39</v>
      </c>
      <c r="T639">
        <v>5.0999999999999996</v>
      </c>
      <c r="U639">
        <v>68</v>
      </c>
      <c r="V639" s="2">
        <v>19.871527777777779</v>
      </c>
      <c r="W639" s="3">
        <v>0.50972222222222219</v>
      </c>
      <c r="X639">
        <v>125</v>
      </c>
      <c r="Y639">
        <v>119</v>
      </c>
      <c r="Z639">
        <v>51.2</v>
      </c>
      <c r="AA639">
        <v>22</v>
      </c>
      <c r="AB639">
        <v>87</v>
      </c>
      <c r="AC639">
        <v>6</v>
      </c>
      <c r="AD639">
        <v>12</v>
      </c>
      <c r="AF639" t="s">
        <v>1522</v>
      </c>
    </row>
    <row r="640" spans="1:32" x14ac:dyDescent="0.3">
      <c r="A640">
        <v>613</v>
      </c>
      <c r="B640" t="s">
        <v>1523</v>
      </c>
      <c r="C640">
        <v>28</v>
      </c>
      <c r="D640" t="s">
        <v>97</v>
      </c>
      <c r="E640" t="s">
        <v>87</v>
      </c>
      <c r="F640">
        <v>23</v>
      </c>
      <c r="G640">
        <v>0</v>
      </c>
      <c r="H640">
        <v>4</v>
      </c>
      <c r="I640">
        <v>4</v>
      </c>
      <c r="J640">
        <v>2</v>
      </c>
      <c r="K640">
        <v>2</v>
      </c>
      <c r="L640">
        <v>0</v>
      </c>
      <c r="M640">
        <v>0</v>
      </c>
      <c r="N640">
        <v>0</v>
      </c>
      <c r="O640">
        <v>0</v>
      </c>
      <c r="P640">
        <v>4</v>
      </c>
      <c r="Q640">
        <v>0</v>
      </c>
      <c r="R640">
        <v>0</v>
      </c>
      <c r="S640">
        <v>14</v>
      </c>
      <c r="T640">
        <v>0</v>
      </c>
      <c r="U640">
        <v>32</v>
      </c>
      <c r="V640" s="2">
        <v>11.745138888888889</v>
      </c>
      <c r="W640" s="3">
        <v>0.51041666666666663</v>
      </c>
      <c r="X640">
        <v>0</v>
      </c>
      <c r="Y640">
        <v>0</v>
      </c>
      <c r="AA640">
        <v>16</v>
      </c>
      <c r="AB640">
        <v>23</v>
      </c>
      <c r="AC640">
        <v>4</v>
      </c>
      <c r="AD640">
        <v>21</v>
      </c>
      <c r="AF640" t="s">
        <v>1524</v>
      </c>
    </row>
    <row r="641" spans="1:32" x14ac:dyDescent="0.3">
      <c r="A641">
        <v>614</v>
      </c>
      <c r="B641" t="s">
        <v>1525</v>
      </c>
      <c r="C641">
        <v>23</v>
      </c>
      <c r="D641" t="s">
        <v>157</v>
      </c>
      <c r="E641" t="s">
        <v>95</v>
      </c>
      <c r="F641">
        <v>24</v>
      </c>
      <c r="G641">
        <v>1</v>
      </c>
      <c r="H641">
        <v>3</v>
      </c>
      <c r="I641">
        <v>4</v>
      </c>
      <c r="J641">
        <v>-6</v>
      </c>
      <c r="K641">
        <v>30</v>
      </c>
      <c r="L641">
        <v>1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22</v>
      </c>
      <c r="T641">
        <v>4.5</v>
      </c>
      <c r="U641">
        <v>47</v>
      </c>
      <c r="V641" s="2">
        <v>10.627777777777778</v>
      </c>
      <c r="W641" s="3">
        <v>0.44305555555555554</v>
      </c>
      <c r="X641">
        <v>0</v>
      </c>
      <c r="Y641">
        <v>4</v>
      </c>
      <c r="Z641">
        <v>0</v>
      </c>
      <c r="AA641">
        <v>10</v>
      </c>
      <c r="AB641">
        <v>60</v>
      </c>
      <c r="AC641">
        <v>5</v>
      </c>
      <c r="AD641">
        <v>11</v>
      </c>
      <c r="AF641" t="s">
        <v>1526</v>
      </c>
    </row>
    <row r="642" spans="1:32" x14ac:dyDescent="0.3">
      <c r="A642">
        <v>615</v>
      </c>
      <c r="B642" t="s">
        <v>1527</v>
      </c>
      <c r="C642">
        <v>32</v>
      </c>
      <c r="D642" t="s">
        <v>472</v>
      </c>
      <c r="E642" t="s">
        <v>87</v>
      </c>
      <c r="F642">
        <v>42</v>
      </c>
      <c r="G642">
        <v>0</v>
      </c>
      <c r="H642">
        <v>4</v>
      </c>
      <c r="I642">
        <v>4</v>
      </c>
      <c r="J642">
        <v>-5</v>
      </c>
      <c r="K642">
        <v>16</v>
      </c>
      <c r="L642">
        <v>0</v>
      </c>
      <c r="M642">
        <v>0</v>
      </c>
      <c r="N642">
        <v>0</v>
      </c>
      <c r="O642">
        <v>0</v>
      </c>
      <c r="P642">
        <v>4</v>
      </c>
      <c r="Q642">
        <v>0</v>
      </c>
      <c r="R642">
        <v>0</v>
      </c>
      <c r="S642">
        <v>44</v>
      </c>
      <c r="T642">
        <v>0</v>
      </c>
      <c r="U642">
        <v>116</v>
      </c>
      <c r="V642" s="2">
        <v>31.813194444444445</v>
      </c>
      <c r="W642" s="3">
        <v>0.75763888888888886</v>
      </c>
      <c r="X642">
        <v>0</v>
      </c>
      <c r="Y642">
        <v>0</v>
      </c>
      <c r="AA642">
        <v>60</v>
      </c>
      <c r="AB642">
        <v>6</v>
      </c>
      <c r="AC642">
        <v>5</v>
      </c>
      <c r="AD642">
        <v>30</v>
      </c>
      <c r="AF642" t="s">
        <v>1528</v>
      </c>
    </row>
    <row r="643" spans="1:32" x14ac:dyDescent="0.3">
      <c r="A643">
        <v>615</v>
      </c>
      <c r="B643" t="s">
        <v>1527</v>
      </c>
      <c r="C643">
        <v>32</v>
      </c>
      <c r="D643" t="s">
        <v>250</v>
      </c>
      <c r="E643" t="s">
        <v>87</v>
      </c>
      <c r="F643">
        <v>31</v>
      </c>
      <c r="G643">
        <v>0</v>
      </c>
      <c r="H643">
        <v>2</v>
      </c>
      <c r="I643">
        <v>2</v>
      </c>
      <c r="J643">
        <v>-7</v>
      </c>
      <c r="K643">
        <v>10</v>
      </c>
      <c r="L643">
        <v>0</v>
      </c>
      <c r="M643">
        <v>0</v>
      </c>
      <c r="N643">
        <v>0</v>
      </c>
      <c r="O643">
        <v>0</v>
      </c>
      <c r="P643">
        <v>2</v>
      </c>
      <c r="Q643">
        <v>0</v>
      </c>
      <c r="R643">
        <v>0</v>
      </c>
      <c r="S643">
        <v>33</v>
      </c>
      <c r="T643">
        <v>0</v>
      </c>
      <c r="U643">
        <v>87</v>
      </c>
      <c r="V643" s="2">
        <v>22.869444444444444</v>
      </c>
      <c r="W643" s="3">
        <v>0.73750000000000004</v>
      </c>
      <c r="X643">
        <v>0</v>
      </c>
      <c r="Y643">
        <v>0</v>
      </c>
      <c r="AA643">
        <v>38</v>
      </c>
      <c r="AB643">
        <v>4</v>
      </c>
      <c r="AC643">
        <v>5</v>
      </c>
      <c r="AD643">
        <v>18</v>
      </c>
      <c r="AF643" t="s">
        <v>1528</v>
      </c>
    </row>
    <row r="644" spans="1:32" x14ac:dyDescent="0.3">
      <c r="A644">
        <v>615</v>
      </c>
      <c r="B644" t="s">
        <v>1527</v>
      </c>
      <c r="C644">
        <v>32</v>
      </c>
      <c r="D644" t="s">
        <v>134</v>
      </c>
      <c r="E644" t="s">
        <v>87</v>
      </c>
      <c r="F644">
        <v>11</v>
      </c>
      <c r="G644">
        <v>0</v>
      </c>
      <c r="H644">
        <v>2</v>
      </c>
      <c r="I644">
        <v>2</v>
      </c>
      <c r="J644">
        <v>2</v>
      </c>
      <c r="K644">
        <v>6</v>
      </c>
      <c r="L644">
        <v>0</v>
      </c>
      <c r="M644">
        <v>0</v>
      </c>
      <c r="N644">
        <v>0</v>
      </c>
      <c r="O644">
        <v>0</v>
      </c>
      <c r="P644">
        <v>2</v>
      </c>
      <c r="Q644">
        <v>0</v>
      </c>
      <c r="R644">
        <v>0</v>
      </c>
      <c r="S644">
        <v>11</v>
      </c>
      <c r="T644">
        <v>0</v>
      </c>
      <c r="U644">
        <v>29</v>
      </c>
      <c r="V644" s="2">
        <v>8.9437499999999996</v>
      </c>
      <c r="W644" s="3">
        <v>0.81319444444444444</v>
      </c>
      <c r="X644">
        <v>0</v>
      </c>
      <c r="Y644">
        <v>0</v>
      </c>
      <c r="AA644">
        <v>22</v>
      </c>
      <c r="AB644">
        <v>2</v>
      </c>
      <c r="AC644">
        <v>0</v>
      </c>
      <c r="AD644">
        <v>12</v>
      </c>
      <c r="AF644" t="s">
        <v>1528</v>
      </c>
    </row>
    <row r="645" spans="1:32" x14ac:dyDescent="0.3">
      <c r="A645">
        <v>616</v>
      </c>
      <c r="B645" t="s">
        <v>1529</v>
      </c>
      <c r="C645">
        <v>20</v>
      </c>
      <c r="D645" t="s">
        <v>278</v>
      </c>
      <c r="E645" t="s">
        <v>78</v>
      </c>
      <c r="F645">
        <v>9</v>
      </c>
      <c r="G645">
        <v>1</v>
      </c>
      <c r="H645">
        <v>2</v>
      </c>
      <c r="I645">
        <v>3</v>
      </c>
      <c r="J645">
        <v>0</v>
      </c>
      <c r="K645">
        <v>4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11</v>
      </c>
      <c r="T645">
        <v>9.1</v>
      </c>
      <c r="U645">
        <v>19</v>
      </c>
      <c r="V645" s="2">
        <v>5.0902777777777777</v>
      </c>
      <c r="W645" s="3">
        <v>0.56527777777777777</v>
      </c>
      <c r="X645">
        <v>1</v>
      </c>
      <c r="Y645">
        <v>5</v>
      </c>
      <c r="Z645">
        <v>16.7</v>
      </c>
      <c r="AA645">
        <v>7</v>
      </c>
      <c r="AB645">
        <v>8</v>
      </c>
      <c r="AC645">
        <v>0</v>
      </c>
      <c r="AD645">
        <v>4</v>
      </c>
      <c r="AF645" t="s">
        <v>1530</v>
      </c>
    </row>
    <row r="646" spans="1:32" x14ac:dyDescent="0.3">
      <c r="A646">
        <v>617</v>
      </c>
      <c r="B646" t="s">
        <v>1531</v>
      </c>
      <c r="C646">
        <v>28</v>
      </c>
      <c r="D646" t="s">
        <v>174</v>
      </c>
      <c r="E646" t="s">
        <v>95</v>
      </c>
      <c r="F646">
        <v>21</v>
      </c>
      <c r="G646">
        <v>3</v>
      </c>
      <c r="H646">
        <v>0</v>
      </c>
      <c r="I646">
        <v>3</v>
      </c>
      <c r="J646">
        <v>3</v>
      </c>
      <c r="K646">
        <v>10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14</v>
      </c>
      <c r="T646">
        <v>21.4</v>
      </c>
      <c r="U646">
        <v>22</v>
      </c>
      <c r="V646" s="2">
        <v>7.2666666666666666</v>
      </c>
      <c r="W646" s="3">
        <v>0.34583333333333333</v>
      </c>
      <c r="X646">
        <v>0</v>
      </c>
      <c r="Y646">
        <v>0</v>
      </c>
      <c r="AA646">
        <v>5</v>
      </c>
      <c r="AB646">
        <v>50</v>
      </c>
      <c r="AC646">
        <v>1</v>
      </c>
      <c r="AD646">
        <v>5</v>
      </c>
      <c r="AF646" t="s">
        <v>1532</v>
      </c>
    </row>
    <row r="647" spans="1:32" x14ac:dyDescent="0.3">
      <c r="A647">
        <v>618</v>
      </c>
      <c r="B647" t="s">
        <v>1533</v>
      </c>
      <c r="C647">
        <v>27</v>
      </c>
      <c r="D647" t="s">
        <v>150</v>
      </c>
      <c r="E647" t="s">
        <v>87</v>
      </c>
      <c r="F647">
        <v>38</v>
      </c>
      <c r="G647">
        <v>0</v>
      </c>
      <c r="H647">
        <v>3</v>
      </c>
      <c r="I647">
        <v>3</v>
      </c>
      <c r="J647">
        <v>-3</v>
      </c>
      <c r="K647">
        <v>23</v>
      </c>
      <c r="L647">
        <v>0</v>
      </c>
      <c r="M647">
        <v>0</v>
      </c>
      <c r="N647">
        <v>0</v>
      </c>
      <c r="O647">
        <v>0</v>
      </c>
      <c r="P647">
        <v>3</v>
      </c>
      <c r="Q647">
        <v>0</v>
      </c>
      <c r="R647">
        <v>0</v>
      </c>
      <c r="S647">
        <v>24</v>
      </c>
      <c r="T647">
        <v>0</v>
      </c>
      <c r="U647">
        <v>73</v>
      </c>
      <c r="V647" s="2">
        <v>27.659027777777776</v>
      </c>
      <c r="W647" s="3">
        <v>0.72777777777777775</v>
      </c>
      <c r="X647">
        <v>0</v>
      </c>
      <c r="Y647">
        <v>0</v>
      </c>
      <c r="AA647">
        <v>60</v>
      </c>
      <c r="AB647">
        <v>98</v>
      </c>
      <c r="AC647">
        <v>6</v>
      </c>
      <c r="AD647">
        <v>39</v>
      </c>
      <c r="AF647" t="s">
        <v>1534</v>
      </c>
    </row>
    <row r="648" spans="1:32" x14ac:dyDescent="0.3">
      <c r="A648">
        <v>619</v>
      </c>
      <c r="B648" t="s">
        <v>1535</v>
      </c>
      <c r="C648">
        <v>21</v>
      </c>
      <c r="D648" t="s">
        <v>174</v>
      </c>
      <c r="E648" t="s">
        <v>87</v>
      </c>
      <c r="F648">
        <v>26</v>
      </c>
      <c r="G648">
        <v>1</v>
      </c>
      <c r="H648">
        <v>2</v>
      </c>
      <c r="I648">
        <v>3</v>
      </c>
      <c r="J648">
        <v>6</v>
      </c>
      <c r="K648">
        <v>22</v>
      </c>
      <c r="L648">
        <v>1</v>
      </c>
      <c r="M648">
        <v>0</v>
      </c>
      <c r="N648">
        <v>0</v>
      </c>
      <c r="O648">
        <v>0</v>
      </c>
      <c r="P648">
        <v>2</v>
      </c>
      <c r="Q648">
        <v>0</v>
      </c>
      <c r="R648">
        <v>0</v>
      </c>
      <c r="S648">
        <v>9</v>
      </c>
      <c r="T648">
        <v>11.1</v>
      </c>
      <c r="U648">
        <v>30</v>
      </c>
      <c r="V648" s="2">
        <v>17.127083333333335</v>
      </c>
      <c r="W648" s="3">
        <v>0.65902777777777777</v>
      </c>
      <c r="X648">
        <v>0</v>
      </c>
      <c r="Y648">
        <v>0</v>
      </c>
      <c r="AA648">
        <v>24</v>
      </c>
      <c r="AB648">
        <v>85</v>
      </c>
      <c r="AC648">
        <v>4</v>
      </c>
      <c r="AD648">
        <v>23</v>
      </c>
      <c r="AF648" t="s">
        <v>1536</v>
      </c>
    </row>
    <row r="649" spans="1:32" x14ac:dyDescent="0.3">
      <c r="A649">
        <v>620</v>
      </c>
      <c r="B649" t="s">
        <v>1537</v>
      </c>
      <c r="C649">
        <v>25</v>
      </c>
      <c r="D649" t="s">
        <v>121</v>
      </c>
      <c r="E649" t="s">
        <v>87</v>
      </c>
      <c r="F649">
        <v>21</v>
      </c>
      <c r="G649">
        <v>1</v>
      </c>
      <c r="H649">
        <v>2</v>
      </c>
      <c r="I649">
        <v>3</v>
      </c>
      <c r="J649">
        <v>0</v>
      </c>
      <c r="K649">
        <v>8</v>
      </c>
      <c r="L649">
        <v>1</v>
      </c>
      <c r="M649">
        <v>0</v>
      </c>
      <c r="N649">
        <v>0</v>
      </c>
      <c r="O649">
        <v>0</v>
      </c>
      <c r="P649">
        <v>2</v>
      </c>
      <c r="Q649">
        <v>0</v>
      </c>
      <c r="R649">
        <v>0</v>
      </c>
      <c r="S649">
        <v>16</v>
      </c>
      <c r="T649">
        <v>6.3</v>
      </c>
      <c r="U649">
        <v>45</v>
      </c>
      <c r="V649" s="2">
        <v>12.277777777777779</v>
      </c>
      <c r="W649" s="3">
        <v>0.58472222222222225</v>
      </c>
      <c r="X649">
        <v>0</v>
      </c>
      <c r="Y649">
        <v>0</v>
      </c>
      <c r="AA649">
        <v>17</v>
      </c>
      <c r="AB649">
        <v>23</v>
      </c>
      <c r="AC649">
        <v>4</v>
      </c>
      <c r="AD649">
        <v>10</v>
      </c>
      <c r="AF649" t="s">
        <v>1538</v>
      </c>
    </row>
    <row r="650" spans="1:32" x14ac:dyDescent="0.3">
      <c r="A650">
        <v>621</v>
      </c>
      <c r="B650" t="s">
        <v>1539</v>
      </c>
      <c r="C650">
        <v>26</v>
      </c>
      <c r="D650" t="s">
        <v>310</v>
      </c>
      <c r="E650" t="s">
        <v>87</v>
      </c>
      <c r="F650">
        <v>16</v>
      </c>
      <c r="G650">
        <v>0</v>
      </c>
      <c r="H650">
        <v>3</v>
      </c>
      <c r="I650">
        <v>3</v>
      </c>
      <c r="J650">
        <v>1</v>
      </c>
      <c r="K650">
        <v>2</v>
      </c>
      <c r="L650">
        <v>0</v>
      </c>
      <c r="M650">
        <v>0</v>
      </c>
      <c r="N650">
        <v>0</v>
      </c>
      <c r="O650">
        <v>0</v>
      </c>
      <c r="P650">
        <v>3</v>
      </c>
      <c r="Q650">
        <v>0</v>
      </c>
      <c r="R650">
        <v>0</v>
      </c>
      <c r="S650">
        <v>15</v>
      </c>
      <c r="T650">
        <v>0</v>
      </c>
      <c r="U650">
        <v>35</v>
      </c>
      <c r="V650" s="2">
        <v>9.8659722222222221</v>
      </c>
      <c r="W650" s="3">
        <v>0.6166666666666667</v>
      </c>
      <c r="X650">
        <v>0</v>
      </c>
      <c r="Y650">
        <v>0</v>
      </c>
      <c r="AA650">
        <v>14</v>
      </c>
      <c r="AB650">
        <v>5</v>
      </c>
      <c r="AC650">
        <v>4</v>
      </c>
      <c r="AD650">
        <v>18</v>
      </c>
      <c r="AF650" t="s">
        <v>1540</v>
      </c>
    </row>
    <row r="651" spans="1:32" x14ac:dyDescent="0.3">
      <c r="A651">
        <v>622</v>
      </c>
      <c r="B651" t="s">
        <v>1541</v>
      </c>
      <c r="C651">
        <v>26</v>
      </c>
      <c r="D651" t="s">
        <v>193</v>
      </c>
      <c r="E651" t="s">
        <v>78</v>
      </c>
      <c r="F651">
        <v>6</v>
      </c>
      <c r="G651">
        <v>3</v>
      </c>
      <c r="H651">
        <v>0</v>
      </c>
      <c r="I651">
        <v>3</v>
      </c>
      <c r="J651">
        <v>0</v>
      </c>
      <c r="K651">
        <v>6</v>
      </c>
      <c r="L651">
        <v>3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15</v>
      </c>
      <c r="T651">
        <v>20</v>
      </c>
      <c r="U651">
        <v>22</v>
      </c>
      <c r="V651" s="2">
        <v>3.9090277777777778</v>
      </c>
      <c r="W651" s="3">
        <v>0.65138888888888891</v>
      </c>
      <c r="X651">
        <v>36</v>
      </c>
      <c r="Y651">
        <v>40</v>
      </c>
      <c r="Z651">
        <v>47.4</v>
      </c>
      <c r="AA651">
        <v>4</v>
      </c>
      <c r="AB651">
        <v>3</v>
      </c>
      <c r="AC651">
        <v>2</v>
      </c>
      <c r="AD651">
        <v>3</v>
      </c>
      <c r="AF651" t="s">
        <v>1542</v>
      </c>
    </row>
    <row r="652" spans="1:32" x14ac:dyDescent="0.3">
      <c r="A652">
        <v>623</v>
      </c>
      <c r="B652" t="s">
        <v>1543</v>
      </c>
      <c r="C652">
        <v>29</v>
      </c>
      <c r="D652" t="s">
        <v>200</v>
      </c>
      <c r="E652" t="s">
        <v>332</v>
      </c>
      <c r="F652">
        <v>26</v>
      </c>
      <c r="G652">
        <v>0</v>
      </c>
      <c r="H652">
        <v>3</v>
      </c>
      <c r="I652">
        <v>3</v>
      </c>
      <c r="J652">
        <v>0</v>
      </c>
      <c r="K652">
        <v>4</v>
      </c>
      <c r="L652">
        <v>0</v>
      </c>
      <c r="M652">
        <v>0</v>
      </c>
      <c r="N652">
        <v>0</v>
      </c>
      <c r="O652">
        <v>0</v>
      </c>
      <c r="P652">
        <v>3</v>
      </c>
      <c r="Q652">
        <v>0</v>
      </c>
      <c r="R652">
        <v>0</v>
      </c>
      <c r="S652">
        <v>1</v>
      </c>
      <c r="T652">
        <v>0</v>
      </c>
      <c r="U652">
        <v>3</v>
      </c>
      <c r="V652" s="2">
        <v>62.905555555555559</v>
      </c>
      <c r="W652" s="2">
        <v>2.4194444444444443</v>
      </c>
      <c r="X652">
        <v>0</v>
      </c>
      <c r="Y652">
        <v>0</v>
      </c>
      <c r="AA652">
        <v>0</v>
      </c>
      <c r="AB652">
        <v>0</v>
      </c>
      <c r="AC652">
        <v>0</v>
      </c>
      <c r="AD652">
        <v>18</v>
      </c>
      <c r="AF652" t="s">
        <v>1544</v>
      </c>
    </row>
    <row r="653" spans="1:32" x14ac:dyDescent="0.3">
      <c r="A653">
        <v>624</v>
      </c>
      <c r="B653" t="s">
        <v>1545</v>
      </c>
      <c r="C653">
        <v>31</v>
      </c>
      <c r="D653" t="s">
        <v>210</v>
      </c>
      <c r="E653" t="s">
        <v>87</v>
      </c>
      <c r="F653">
        <v>20</v>
      </c>
      <c r="G653">
        <v>2</v>
      </c>
      <c r="H653">
        <v>1</v>
      </c>
      <c r="I653">
        <v>3</v>
      </c>
      <c r="J653">
        <v>0</v>
      </c>
      <c r="K653">
        <v>4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20</v>
      </c>
      <c r="T653">
        <v>10</v>
      </c>
      <c r="U653">
        <v>40</v>
      </c>
      <c r="V653" s="2">
        <v>12.012499999999999</v>
      </c>
      <c r="W653" s="3">
        <v>0.60069444444444442</v>
      </c>
      <c r="X653">
        <v>0</v>
      </c>
      <c r="Y653">
        <v>0</v>
      </c>
      <c r="AA653">
        <v>15</v>
      </c>
      <c r="AB653">
        <v>10</v>
      </c>
      <c r="AC653">
        <v>2</v>
      </c>
      <c r="AD653">
        <v>17</v>
      </c>
      <c r="AF653" t="s">
        <v>1546</v>
      </c>
    </row>
    <row r="654" spans="1:32" x14ac:dyDescent="0.3">
      <c r="A654">
        <v>625</v>
      </c>
      <c r="B654" t="s">
        <v>1547</v>
      </c>
      <c r="C654">
        <v>31</v>
      </c>
      <c r="D654" t="s">
        <v>134</v>
      </c>
      <c r="E654" t="s">
        <v>87</v>
      </c>
      <c r="F654">
        <v>11</v>
      </c>
      <c r="G654">
        <v>1</v>
      </c>
      <c r="H654">
        <v>2</v>
      </c>
      <c r="I654">
        <v>3</v>
      </c>
      <c r="J654">
        <v>-5</v>
      </c>
      <c r="K654">
        <v>11</v>
      </c>
      <c r="L654">
        <v>1</v>
      </c>
      <c r="M654">
        <v>0</v>
      </c>
      <c r="N654">
        <v>0</v>
      </c>
      <c r="O654">
        <v>0</v>
      </c>
      <c r="P654">
        <v>2</v>
      </c>
      <c r="Q654">
        <v>0</v>
      </c>
      <c r="R654">
        <v>0</v>
      </c>
      <c r="S654">
        <v>7</v>
      </c>
      <c r="T654">
        <v>14.3</v>
      </c>
      <c r="U654">
        <v>26</v>
      </c>
      <c r="V654" s="2">
        <v>6.8458333333333332</v>
      </c>
      <c r="W654" s="3">
        <v>0.62222222222222223</v>
      </c>
      <c r="X654">
        <v>0</v>
      </c>
      <c r="Y654">
        <v>0</v>
      </c>
      <c r="AA654">
        <v>12</v>
      </c>
      <c r="AB654">
        <v>16</v>
      </c>
      <c r="AC654">
        <v>6</v>
      </c>
      <c r="AD654">
        <v>8</v>
      </c>
      <c r="AF654" t="s">
        <v>1548</v>
      </c>
    </row>
    <row r="655" spans="1:32" x14ac:dyDescent="0.3">
      <c r="A655">
        <v>626</v>
      </c>
      <c r="B655" t="s">
        <v>1549</v>
      </c>
      <c r="C655">
        <v>30</v>
      </c>
      <c r="D655" t="s">
        <v>103</v>
      </c>
      <c r="E655" t="s">
        <v>78</v>
      </c>
      <c r="F655">
        <v>9</v>
      </c>
      <c r="G655">
        <v>0</v>
      </c>
      <c r="H655">
        <v>3</v>
      </c>
      <c r="I655">
        <v>3</v>
      </c>
      <c r="J655">
        <v>-2</v>
      </c>
      <c r="K655">
        <v>6</v>
      </c>
      <c r="L655">
        <v>0</v>
      </c>
      <c r="M655">
        <v>0</v>
      </c>
      <c r="N655">
        <v>0</v>
      </c>
      <c r="O655">
        <v>0</v>
      </c>
      <c r="P655">
        <v>3</v>
      </c>
      <c r="Q655">
        <v>0</v>
      </c>
      <c r="R655">
        <v>0</v>
      </c>
      <c r="S655">
        <v>10</v>
      </c>
      <c r="T655">
        <v>0</v>
      </c>
      <c r="U655">
        <v>18</v>
      </c>
      <c r="V655" s="2">
        <v>4.7687499999999998</v>
      </c>
      <c r="W655" s="3">
        <v>0.52986111111111112</v>
      </c>
      <c r="X655">
        <v>3</v>
      </c>
      <c r="Y655">
        <v>2</v>
      </c>
      <c r="Z655">
        <v>60</v>
      </c>
      <c r="AA655">
        <v>4</v>
      </c>
      <c r="AB655">
        <v>16</v>
      </c>
      <c r="AC655">
        <v>0</v>
      </c>
      <c r="AD655">
        <v>3</v>
      </c>
      <c r="AF655" t="s">
        <v>1550</v>
      </c>
    </row>
    <row r="656" spans="1:32" x14ac:dyDescent="0.3">
      <c r="A656">
        <v>627</v>
      </c>
      <c r="B656" t="s">
        <v>1551</v>
      </c>
      <c r="C656">
        <v>23</v>
      </c>
      <c r="D656" t="s">
        <v>121</v>
      </c>
      <c r="E656" t="s">
        <v>78</v>
      </c>
      <c r="F656">
        <v>13</v>
      </c>
      <c r="G656">
        <v>2</v>
      </c>
      <c r="H656">
        <v>1</v>
      </c>
      <c r="I656">
        <v>3</v>
      </c>
      <c r="J656">
        <v>3</v>
      </c>
      <c r="K656">
        <v>12</v>
      </c>
      <c r="L656">
        <v>2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10</v>
      </c>
      <c r="T656">
        <v>20</v>
      </c>
      <c r="U656">
        <v>14</v>
      </c>
      <c r="V656" s="2">
        <v>4.8493055555555555</v>
      </c>
      <c r="W656" s="3">
        <v>0.37291666666666667</v>
      </c>
      <c r="X656">
        <v>59</v>
      </c>
      <c r="Y656">
        <v>62</v>
      </c>
      <c r="Z656">
        <v>48.8</v>
      </c>
      <c r="AA656">
        <v>1</v>
      </c>
      <c r="AB656">
        <v>19</v>
      </c>
      <c r="AC656">
        <v>0</v>
      </c>
      <c r="AD656">
        <v>4</v>
      </c>
      <c r="AF656" t="s">
        <v>1552</v>
      </c>
    </row>
    <row r="657" spans="1:32" x14ac:dyDescent="0.3">
      <c r="A657">
        <v>628</v>
      </c>
      <c r="B657" t="s">
        <v>1553</v>
      </c>
      <c r="C657">
        <v>27</v>
      </c>
      <c r="D657" t="s">
        <v>250</v>
      </c>
      <c r="E657" t="s">
        <v>78</v>
      </c>
      <c r="F657">
        <v>42</v>
      </c>
      <c r="G657">
        <v>2</v>
      </c>
      <c r="H657">
        <v>1</v>
      </c>
      <c r="I657">
        <v>3</v>
      </c>
      <c r="J657">
        <v>-10</v>
      </c>
      <c r="K657">
        <v>37</v>
      </c>
      <c r="L657">
        <v>2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39</v>
      </c>
      <c r="T657">
        <v>5.0999999999999996</v>
      </c>
      <c r="U657">
        <v>71</v>
      </c>
      <c r="V657" s="2">
        <v>19.254861111111111</v>
      </c>
      <c r="W657" s="3">
        <v>0.45833333333333331</v>
      </c>
      <c r="X657">
        <v>49</v>
      </c>
      <c r="Y657">
        <v>40</v>
      </c>
      <c r="Z657">
        <v>55.1</v>
      </c>
      <c r="AA657">
        <v>12</v>
      </c>
      <c r="AB657">
        <v>103</v>
      </c>
      <c r="AC657">
        <v>5</v>
      </c>
      <c r="AD657">
        <v>17</v>
      </c>
      <c r="AF657" t="s">
        <v>1554</v>
      </c>
    </row>
    <row r="658" spans="1:32" x14ac:dyDescent="0.3">
      <c r="A658">
        <v>629</v>
      </c>
      <c r="B658" t="s">
        <v>1555</v>
      </c>
      <c r="C658">
        <v>27</v>
      </c>
      <c r="D658" t="s">
        <v>164</v>
      </c>
      <c r="E658" t="s">
        <v>101</v>
      </c>
      <c r="F658">
        <v>10</v>
      </c>
      <c r="G658">
        <v>0</v>
      </c>
      <c r="H658">
        <v>3</v>
      </c>
      <c r="I658">
        <v>3</v>
      </c>
      <c r="J658">
        <v>2</v>
      </c>
      <c r="K658">
        <v>7</v>
      </c>
      <c r="L658">
        <v>0</v>
      </c>
      <c r="M658">
        <v>0</v>
      </c>
      <c r="N658">
        <v>0</v>
      </c>
      <c r="O658">
        <v>0</v>
      </c>
      <c r="P658">
        <v>3</v>
      </c>
      <c r="Q658">
        <v>0</v>
      </c>
      <c r="R658">
        <v>0</v>
      </c>
      <c r="S658">
        <v>8</v>
      </c>
      <c r="T658">
        <v>0</v>
      </c>
      <c r="U658">
        <v>12</v>
      </c>
      <c r="V658" s="2">
        <v>3.3097222222222222</v>
      </c>
      <c r="W658" s="3">
        <v>0.33124999999999999</v>
      </c>
      <c r="X658">
        <v>0</v>
      </c>
      <c r="Y658">
        <v>0</v>
      </c>
      <c r="AA658">
        <v>3</v>
      </c>
      <c r="AB658">
        <v>30</v>
      </c>
      <c r="AC658">
        <v>3</v>
      </c>
      <c r="AD658">
        <v>3</v>
      </c>
      <c r="AF658" t="s">
        <v>1556</v>
      </c>
    </row>
    <row r="659" spans="1:32" x14ac:dyDescent="0.3">
      <c r="A659">
        <v>630</v>
      </c>
      <c r="B659" t="s">
        <v>1557</v>
      </c>
      <c r="C659">
        <v>27</v>
      </c>
      <c r="D659" t="s">
        <v>164</v>
      </c>
      <c r="E659" t="s">
        <v>78</v>
      </c>
      <c r="F659">
        <v>24</v>
      </c>
      <c r="G659">
        <v>1</v>
      </c>
      <c r="H659">
        <v>2</v>
      </c>
      <c r="I659">
        <v>3</v>
      </c>
      <c r="J659">
        <v>-7</v>
      </c>
      <c r="K659">
        <v>11</v>
      </c>
      <c r="L659">
        <v>1</v>
      </c>
      <c r="M659">
        <v>0</v>
      </c>
      <c r="N659">
        <v>0</v>
      </c>
      <c r="O659">
        <v>0</v>
      </c>
      <c r="P659">
        <v>2</v>
      </c>
      <c r="Q659">
        <v>0</v>
      </c>
      <c r="R659">
        <v>0</v>
      </c>
      <c r="S659">
        <v>20</v>
      </c>
      <c r="T659">
        <v>5</v>
      </c>
      <c r="U659">
        <v>41</v>
      </c>
      <c r="V659" s="2">
        <v>8.0777777777777775</v>
      </c>
      <c r="W659" s="3">
        <v>0.33680555555555558</v>
      </c>
      <c r="X659">
        <v>12</v>
      </c>
      <c r="Y659">
        <v>21</v>
      </c>
      <c r="Z659">
        <v>36.4</v>
      </c>
      <c r="AA659">
        <v>7</v>
      </c>
      <c r="AB659">
        <v>27</v>
      </c>
      <c r="AC659">
        <v>1</v>
      </c>
      <c r="AD659">
        <v>8</v>
      </c>
      <c r="AF659" t="s">
        <v>1558</v>
      </c>
    </row>
    <row r="660" spans="1:32" x14ac:dyDescent="0.3">
      <c r="A660">
        <v>631</v>
      </c>
      <c r="B660" t="s">
        <v>1559</v>
      </c>
      <c r="C660">
        <v>28</v>
      </c>
      <c r="D660" t="s">
        <v>113</v>
      </c>
      <c r="E660" t="s">
        <v>78</v>
      </c>
      <c r="F660">
        <v>21</v>
      </c>
      <c r="G660">
        <v>3</v>
      </c>
      <c r="H660">
        <v>0</v>
      </c>
      <c r="I660">
        <v>3</v>
      </c>
      <c r="J660">
        <v>-4</v>
      </c>
      <c r="K660">
        <v>11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13</v>
      </c>
      <c r="T660">
        <v>23.1</v>
      </c>
      <c r="U660">
        <v>26</v>
      </c>
      <c r="V660" s="2">
        <v>7.8569444444444443</v>
      </c>
      <c r="W660" s="3">
        <v>0.37430555555555556</v>
      </c>
      <c r="X660">
        <v>60</v>
      </c>
      <c r="Y660">
        <v>58</v>
      </c>
      <c r="Z660">
        <v>50.8</v>
      </c>
      <c r="AA660">
        <v>15</v>
      </c>
      <c r="AB660">
        <v>65</v>
      </c>
      <c r="AC660">
        <v>2</v>
      </c>
      <c r="AD660">
        <v>11</v>
      </c>
      <c r="AF660" t="s">
        <v>1560</v>
      </c>
    </row>
    <row r="661" spans="1:32" x14ac:dyDescent="0.3">
      <c r="A661">
        <v>632</v>
      </c>
      <c r="B661" t="s">
        <v>1561</v>
      </c>
      <c r="C661">
        <v>24</v>
      </c>
      <c r="D661" t="s">
        <v>409</v>
      </c>
      <c r="E661" t="s">
        <v>95</v>
      </c>
      <c r="F661">
        <v>13</v>
      </c>
      <c r="G661">
        <v>1</v>
      </c>
      <c r="H661">
        <v>2</v>
      </c>
      <c r="I661">
        <v>3</v>
      </c>
      <c r="J661">
        <v>0</v>
      </c>
      <c r="K661">
        <v>8</v>
      </c>
      <c r="L661">
        <v>1</v>
      </c>
      <c r="M661">
        <v>0</v>
      </c>
      <c r="N661">
        <v>0</v>
      </c>
      <c r="O661">
        <v>0</v>
      </c>
      <c r="P661">
        <v>2</v>
      </c>
      <c r="Q661">
        <v>0</v>
      </c>
      <c r="R661">
        <v>0</v>
      </c>
      <c r="S661">
        <v>16</v>
      </c>
      <c r="T661">
        <v>6.3</v>
      </c>
      <c r="U661">
        <v>36</v>
      </c>
      <c r="V661" s="2">
        <v>6.8069444444444445</v>
      </c>
      <c r="W661" s="3">
        <v>0.52361111111111114</v>
      </c>
      <c r="X661">
        <v>2</v>
      </c>
      <c r="Y661">
        <v>6</v>
      </c>
      <c r="Z661">
        <v>25</v>
      </c>
      <c r="AA661">
        <v>7</v>
      </c>
      <c r="AB661">
        <v>4</v>
      </c>
      <c r="AC661">
        <v>1</v>
      </c>
      <c r="AD661">
        <v>8</v>
      </c>
      <c r="AF661" t="s">
        <v>1562</v>
      </c>
    </row>
    <row r="662" spans="1:32" x14ac:dyDescent="0.3">
      <c r="A662">
        <v>633</v>
      </c>
      <c r="B662" t="s">
        <v>1563</v>
      </c>
      <c r="C662">
        <v>21</v>
      </c>
      <c r="D662" t="s">
        <v>250</v>
      </c>
      <c r="E662" t="s">
        <v>101</v>
      </c>
      <c r="F662">
        <v>20</v>
      </c>
      <c r="G662">
        <v>2</v>
      </c>
      <c r="H662">
        <v>1</v>
      </c>
      <c r="I662">
        <v>3</v>
      </c>
      <c r="J662">
        <v>-5</v>
      </c>
      <c r="K662">
        <v>10</v>
      </c>
      <c r="L662">
        <v>2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25</v>
      </c>
      <c r="T662">
        <v>8</v>
      </c>
      <c r="U662">
        <v>53</v>
      </c>
      <c r="V662" s="2">
        <v>8.2645833333333325</v>
      </c>
      <c r="W662" s="3">
        <v>0.41319444444444442</v>
      </c>
      <c r="X662">
        <v>0</v>
      </c>
      <c r="Y662">
        <v>0</v>
      </c>
      <c r="AA662">
        <v>1</v>
      </c>
      <c r="AB662">
        <v>3</v>
      </c>
      <c r="AC662">
        <v>2</v>
      </c>
      <c r="AD662">
        <v>10</v>
      </c>
      <c r="AF662" t="s">
        <v>1564</v>
      </c>
    </row>
    <row r="663" spans="1:32" x14ac:dyDescent="0.3">
      <c r="A663">
        <v>634</v>
      </c>
      <c r="B663" t="s">
        <v>1565</v>
      </c>
      <c r="C663">
        <v>23</v>
      </c>
      <c r="D663" t="s">
        <v>116</v>
      </c>
      <c r="E663" t="s">
        <v>87</v>
      </c>
      <c r="F663">
        <v>18</v>
      </c>
      <c r="G663">
        <v>0</v>
      </c>
      <c r="H663">
        <v>3</v>
      </c>
      <c r="I663">
        <v>3</v>
      </c>
      <c r="J663">
        <v>-3</v>
      </c>
      <c r="K663">
        <v>10</v>
      </c>
      <c r="L663">
        <v>0</v>
      </c>
      <c r="M663">
        <v>0</v>
      </c>
      <c r="N663">
        <v>0</v>
      </c>
      <c r="O663">
        <v>0</v>
      </c>
      <c r="P663">
        <v>3</v>
      </c>
      <c r="Q663">
        <v>0</v>
      </c>
      <c r="R663">
        <v>0</v>
      </c>
      <c r="S663">
        <v>6</v>
      </c>
      <c r="T663">
        <v>0</v>
      </c>
      <c r="U663">
        <v>26</v>
      </c>
      <c r="V663" s="2">
        <v>12.447222222222223</v>
      </c>
      <c r="W663" s="3">
        <v>0.69166666666666665</v>
      </c>
      <c r="X663">
        <v>0</v>
      </c>
      <c r="Y663">
        <v>0</v>
      </c>
      <c r="AA663">
        <v>27</v>
      </c>
      <c r="AB663">
        <v>10</v>
      </c>
      <c r="AC663">
        <v>2</v>
      </c>
      <c r="AD663">
        <v>14</v>
      </c>
      <c r="AF663" t="s">
        <v>1566</v>
      </c>
    </row>
    <row r="664" spans="1:32" x14ac:dyDescent="0.3">
      <c r="A664">
        <v>635</v>
      </c>
      <c r="B664" t="s">
        <v>1567</v>
      </c>
      <c r="C664">
        <v>31</v>
      </c>
      <c r="D664" t="s">
        <v>193</v>
      </c>
      <c r="E664" t="s">
        <v>78</v>
      </c>
      <c r="F664">
        <v>22</v>
      </c>
      <c r="G664">
        <v>2</v>
      </c>
      <c r="H664">
        <v>1</v>
      </c>
      <c r="I664">
        <v>3</v>
      </c>
      <c r="J664">
        <v>-5</v>
      </c>
      <c r="K664">
        <v>6</v>
      </c>
      <c r="L664">
        <v>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16</v>
      </c>
      <c r="T664">
        <v>12.5</v>
      </c>
      <c r="U664">
        <v>30</v>
      </c>
      <c r="V664" s="2">
        <v>13.984722222222222</v>
      </c>
      <c r="W664" s="3">
        <v>0.63541666666666663</v>
      </c>
      <c r="X664">
        <v>177</v>
      </c>
      <c r="Y664">
        <v>158</v>
      </c>
      <c r="Z664">
        <v>52.8</v>
      </c>
      <c r="AA664">
        <v>15</v>
      </c>
      <c r="AB664">
        <v>22</v>
      </c>
      <c r="AC664">
        <v>1</v>
      </c>
      <c r="AD664">
        <v>10</v>
      </c>
      <c r="AF664" t="s">
        <v>1568</v>
      </c>
    </row>
    <row r="665" spans="1:32" x14ac:dyDescent="0.3">
      <c r="A665">
        <v>636</v>
      </c>
      <c r="B665" t="s">
        <v>1569</v>
      </c>
      <c r="C665">
        <v>25</v>
      </c>
      <c r="D665" t="s">
        <v>103</v>
      </c>
      <c r="E665" t="s">
        <v>87</v>
      </c>
      <c r="F665">
        <v>20</v>
      </c>
      <c r="G665">
        <v>2</v>
      </c>
      <c r="H665">
        <v>1</v>
      </c>
      <c r="I665">
        <v>3</v>
      </c>
      <c r="J665">
        <v>0</v>
      </c>
      <c r="K665">
        <v>4</v>
      </c>
      <c r="L665">
        <v>2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11</v>
      </c>
      <c r="T665">
        <v>18.2</v>
      </c>
      <c r="U665">
        <v>29</v>
      </c>
      <c r="V665" s="2">
        <v>9.9861111111111107</v>
      </c>
      <c r="W665" s="3">
        <v>0.49930555555555556</v>
      </c>
      <c r="X665">
        <v>0</v>
      </c>
      <c r="Y665">
        <v>0</v>
      </c>
      <c r="AA665">
        <v>11</v>
      </c>
      <c r="AB665">
        <v>7</v>
      </c>
      <c r="AC665">
        <v>1</v>
      </c>
      <c r="AD665">
        <v>11</v>
      </c>
      <c r="AF665" t="s">
        <v>1570</v>
      </c>
    </row>
    <row r="666" spans="1:32" x14ac:dyDescent="0.3">
      <c r="A666">
        <v>637</v>
      </c>
      <c r="B666" t="s">
        <v>1571</v>
      </c>
      <c r="C666">
        <v>24</v>
      </c>
      <c r="D666" t="s">
        <v>472</v>
      </c>
      <c r="E666" t="s">
        <v>87</v>
      </c>
      <c r="F666">
        <v>13</v>
      </c>
      <c r="G666">
        <v>1</v>
      </c>
      <c r="H666">
        <v>2</v>
      </c>
      <c r="I666">
        <v>3</v>
      </c>
      <c r="J666">
        <v>2</v>
      </c>
      <c r="K666">
        <v>4</v>
      </c>
      <c r="L666">
        <v>1</v>
      </c>
      <c r="M666">
        <v>0</v>
      </c>
      <c r="N666">
        <v>0</v>
      </c>
      <c r="O666">
        <v>1</v>
      </c>
      <c r="P666">
        <v>2</v>
      </c>
      <c r="Q666">
        <v>0</v>
      </c>
      <c r="R666">
        <v>0</v>
      </c>
      <c r="S666">
        <v>12</v>
      </c>
      <c r="T666">
        <v>8.3000000000000007</v>
      </c>
      <c r="U666">
        <v>24</v>
      </c>
      <c r="V666" s="2">
        <v>6.7930555555555552</v>
      </c>
      <c r="W666" s="3">
        <v>0.52222222222222225</v>
      </c>
      <c r="X666">
        <v>0</v>
      </c>
      <c r="Y666">
        <v>0</v>
      </c>
      <c r="AA666">
        <v>13</v>
      </c>
      <c r="AB666">
        <v>5</v>
      </c>
      <c r="AC666">
        <v>3</v>
      </c>
      <c r="AD666">
        <v>4</v>
      </c>
      <c r="AF666" t="s">
        <v>1572</v>
      </c>
    </row>
    <row r="667" spans="1:32" x14ac:dyDescent="0.3">
      <c r="A667">
        <v>637</v>
      </c>
      <c r="B667" t="s">
        <v>1571</v>
      </c>
      <c r="C667">
        <v>24</v>
      </c>
      <c r="D667" t="s">
        <v>174</v>
      </c>
      <c r="E667" t="s">
        <v>87</v>
      </c>
      <c r="F667">
        <v>11</v>
      </c>
      <c r="G667">
        <v>1</v>
      </c>
      <c r="H667">
        <v>2</v>
      </c>
      <c r="I667">
        <v>3</v>
      </c>
      <c r="J667">
        <v>3</v>
      </c>
      <c r="K667">
        <v>4</v>
      </c>
      <c r="L667">
        <v>1</v>
      </c>
      <c r="M667">
        <v>0</v>
      </c>
      <c r="N667">
        <v>0</v>
      </c>
      <c r="O667">
        <v>1</v>
      </c>
      <c r="P667">
        <v>2</v>
      </c>
      <c r="Q667">
        <v>0</v>
      </c>
      <c r="R667">
        <v>0</v>
      </c>
      <c r="S667">
        <v>10</v>
      </c>
      <c r="T667">
        <v>10</v>
      </c>
      <c r="U667">
        <v>19</v>
      </c>
      <c r="V667" s="2">
        <v>5.7854166666666664</v>
      </c>
      <c r="W667" s="3">
        <v>0.52569444444444446</v>
      </c>
      <c r="X667">
        <v>0</v>
      </c>
      <c r="Y667">
        <v>0</v>
      </c>
      <c r="AA667">
        <v>10</v>
      </c>
      <c r="AB667">
        <v>5</v>
      </c>
      <c r="AC667">
        <v>2</v>
      </c>
      <c r="AD667">
        <v>1</v>
      </c>
      <c r="AF667" t="s">
        <v>1572</v>
      </c>
    </row>
    <row r="668" spans="1:32" x14ac:dyDescent="0.3">
      <c r="A668">
        <v>637</v>
      </c>
      <c r="B668" t="s">
        <v>1571</v>
      </c>
      <c r="C668">
        <v>24</v>
      </c>
      <c r="D668" t="s">
        <v>195</v>
      </c>
      <c r="E668" t="s">
        <v>87</v>
      </c>
      <c r="F668">
        <v>2</v>
      </c>
      <c r="G668">
        <v>0</v>
      </c>
      <c r="H668">
        <v>0</v>
      </c>
      <c r="I668">
        <v>0</v>
      </c>
      <c r="J668">
        <v>-1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2</v>
      </c>
      <c r="T668">
        <v>0</v>
      </c>
      <c r="U668">
        <v>5</v>
      </c>
      <c r="V668" s="2">
        <v>1.007638888888889</v>
      </c>
      <c r="W668" s="3">
        <v>0.50416666666666665</v>
      </c>
      <c r="X668">
        <v>0</v>
      </c>
      <c r="Y668">
        <v>0</v>
      </c>
      <c r="AA668">
        <v>3</v>
      </c>
      <c r="AB668">
        <v>0</v>
      </c>
      <c r="AC668">
        <v>1</v>
      </c>
      <c r="AD668">
        <v>3</v>
      </c>
      <c r="AF668" t="s">
        <v>1572</v>
      </c>
    </row>
    <row r="669" spans="1:32" x14ac:dyDescent="0.3">
      <c r="A669">
        <v>638</v>
      </c>
      <c r="B669" t="s">
        <v>1573</v>
      </c>
      <c r="C669">
        <v>28</v>
      </c>
      <c r="D669" t="s">
        <v>164</v>
      </c>
      <c r="E669" t="s">
        <v>78</v>
      </c>
      <c r="F669">
        <v>33</v>
      </c>
      <c r="G669">
        <v>2</v>
      </c>
      <c r="H669">
        <v>1</v>
      </c>
      <c r="I669">
        <v>3</v>
      </c>
      <c r="J669">
        <v>-8</v>
      </c>
      <c r="K669">
        <v>21</v>
      </c>
      <c r="L669">
        <v>2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25</v>
      </c>
      <c r="T669">
        <v>8</v>
      </c>
      <c r="U669">
        <v>53</v>
      </c>
      <c r="V669" s="2">
        <v>12.034027777777778</v>
      </c>
      <c r="W669" s="3">
        <v>0.36458333333333331</v>
      </c>
      <c r="X669">
        <v>102</v>
      </c>
      <c r="Y669">
        <v>93</v>
      </c>
      <c r="Z669">
        <v>52.3</v>
      </c>
      <c r="AA669">
        <v>28</v>
      </c>
      <c r="AB669">
        <v>64</v>
      </c>
      <c r="AC669">
        <v>2</v>
      </c>
      <c r="AD669">
        <v>13</v>
      </c>
      <c r="AF669" t="s">
        <v>1574</v>
      </c>
    </row>
    <row r="670" spans="1:32" x14ac:dyDescent="0.3">
      <c r="A670">
        <v>639</v>
      </c>
      <c r="B670" t="s">
        <v>1575</v>
      </c>
      <c r="C670">
        <v>30</v>
      </c>
      <c r="D670" t="s">
        <v>250</v>
      </c>
      <c r="E670" t="s">
        <v>78</v>
      </c>
      <c r="F670">
        <v>22</v>
      </c>
      <c r="G670">
        <v>3</v>
      </c>
      <c r="H670">
        <v>0</v>
      </c>
      <c r="I670">
        <v>3</v>
      </c>
      <c r="J670">
        <v>-2</v>
      </c>
      <c r="K670">
        <v>2</v>
      </c>
      <c r="L670">
        <v>3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10</v>
      </c>
      <c r="T670">
        <v>30</v>
      </c>
      <c r="U670">
        <v>29</v>
      </c>
      <c r="V670" s="2">
        <v>8.3715277777777786</v>
      </c>
      <c r="W670" s="3">
        <v>0.38055555555555554</v>
      </c>
      <c r="X670">
        <v>70</v>
      </c>
      <c r="Y670">
        <v>57</v>
      </c>
      <c r="Z670">
        <v>55.1</v>
      </c>
      <c r="AA670">
        <v>12</v>
      </c>
      <c r="AB670">
        <v>45</v>
      </c>
      <c r="AC670">
        <v>1</v>
      </c>
      <c r="AD670">
        <v>0</v>
      </c>
      <c r="AF670" t="s">
        <v>1576</v>
      </c>
    </row>
    <row r="671" spans="1:32" x14ac:dyDescent="0.3">
      <c r="A671">
        <v>640</v>
      </c>
      <c r="B671" t="s">
        <v>1577</v>
      </c>
      <c r="C671">
        <v>34</v>
      </c>
      <c r="D671" t="s">
        <v>116</v>
      </c>
      <c r="E671" t="s">
        <v>87</v>
      </c>
      <c r="F671">
        <v>17</v>
      </c>
      <c r="G671">
        <v>0</v>
      </c>
      <c r="H671">
        <v>3</v>
      </c>
      <c r="I671">
        <v>3</v>
      </c>
      <c r="J671">
        <v>-8</v>
      </c>
      <c r="K671">
        <v>6</v>
      </c>
      <c r="L671">
        <v>0</v>
      </c>
      <c r="M671">
        <v>0</v>
      </c>
      <c r="N671">
        <v>0</v>
      </c>
      <c r="O671">
        <v>0</v>
      </c>
      <c r="P671">
        <v>3</v>
      </c>
      <c r="Q671">
        <v>0</v>
      </c>
      <c r="R671">
        <v>0</v>
      </c>
      <c r="S671">
        <v>6</v>
      </c>
      <c r="T671">
        <v>0</v>
      </c>
      <c r="U671">
        <v>18</v>
      </c>
      <c r="V671" s="2">
        <v>12.331250000000001</v>
      </c>
      <c r="W671" s="3">
        <v>0.72569444444444442</v>
      </c>
      <c r="X671">
        <v>0</v>
      </c>
      <c r="Y671">
        <v>0</v>
      </c>
      <c r="AA671">
        <v>23</v>
      </c>
      <c r="AB671">
        <v>2</v>
      </c>
      <c r="AC671">
        <v>4</v>
      </c>
      <c r="AD671">
        <v>12</v>
      </c>
      <c r="AF671" t="s">
        <v>1578</v>
      </c>
    </row>
    <row r="672" spans="1:32" x14ac:dyDescent="0.3">
      <c r="A672">
        <v>641</v>
      </c>
      <c r="B672" t="s">
        <v>1579</v>
      </c>
      <c r="C672">
        <v>26</v>
      </c>
      <c r="D672" t="s">
        <v>188</v>
      </c>
      <c r="E672" t="s">
        <v>380</v>
      </c>
      <c r="F672">
        <v>29</v>
      </c>
      <c r="G672">
        <v>1</v>
      </c>
      <c r="H672">
        <v>2</v>
      </c>
      <c r="I672">
        <v>3</v>
      </c>
      <c r="J672">
        <v>-5</v>
      </c>
      <c r="K672">
        <v>27</v>
      </c>
      <c r="L672">
        <v>1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0</v>
      </c>
      <c r="S672">
        <v>23</v>
      </c>
      <c r="T672">
        <v>4.3</v>
      </c>
      <c r="U672">
        <v>37</v>
      </c>
      <c r="V672" s="2">
        <v>12.957638888888889</v>
      </c>
      <c r="W672" s="3">
        <v>0.4465277777777778</v>
      </c>
      <c r="X672">
        <v>26</v>
      </c>
      <c r="Y672">
        <v>15</v>
      </c>
      <c r="Z672">
        <v>63.4</v>
      </c>
      <c r="AA672">
        <v>9</v>
      </c>
      <c r="AB672">
        <v>56</v>
      </c>
      <c r="AC672">
        <v>2</v>
      </c>
      <c r="AD672">
        <v>9</v>
      </c>
      <c r="AF672" t="s">
        <v>1580</v>
      </c>
    </row>
    <row r="673" spans="1:32" x14ac:dyDescent="0.3">
      <c r="A673">
        <v>642</v>
      </c>
      <c r="B673" t="s">
        <v>1581</v>
      </c>
      <c r="C673">
        <v>27</v>
      </c>
      <c r="D673" t="s">
        <v>200</v>
      </c>
      <c r="E673" t="s">
        <v>87</v>
      </c>
      <c r="F673">
        <v>20</v>
      </c>
      <c r="G673">
        <v>1</v>
      </c>
      <c r="H673">
        <v>2</v>
      </c>
      <c r="I673">
        <v>3</v>
      </c>
      <c r="J673">
        <v>9</v>
      </c>
      <c r="K673">
        <v>16</v>
      </c>
      <c r="L673">
        <v>1</v>
      </c>
      <c r="M673">
        <v>0</v>
      </c>
      <c r="N673">
        <v>0</v>
      </c>
      <c r="O673">
        <v>1</v>
      </c>
      <c r="P673">
        <v>2</v>
      </c>
      <c r="Q673">
        <v>0</v>
      </c>
      <c r="R673">
        <v>0</v>
      </c>
      <c r="S673">
        <v>12</v>
      </c>
      <c r="T673">
        <v>8.3000000000000007</v>
      </c>
      <c r="U673">
        <v>33</v>
      </c>
      <c r="V673" s="2">
        <v>12.836805555555555</v>
      </c>
      <c r="W673" s="3">
        <v>0.64166666666666672</v>
      </c>
      <c r="X673">
        <v>0</v>
      </c>
      <c r="Y673">
        <v>0</v>
      </c>
      <c r="AA673">
        <v>32</v>
      </c>
      <c r="AB673">
        <v>22</v>
      </c>
      <c r="AC673">
        <v>2</v>
      </c>
      <c r="AD673">
        <v>11</v>
      </c>
      <c r="AF673" t="s">
        <v>1582</v>
      </c>
    </row>
    <row r="674" spans="1:32" x14ac:dyDescent="0.3">
      <c r="A674">
        <v>643</v>
      </c>
      <c r="B674" t="s">
        <v>1583</v>
      </c>
      <c r="C674">
        <v>21</v>
      </c>
      <c r="D674" t="s">
        <v>134</v>
      </c>
      <c r="E674" t="s">
        <v>95</v>
      </c>
      <c r="F674">
        <v>16</v>
      </c>
      <c r="G674">
        <v>2</v>
      </c>
      <c r="H674">
        <v>1</v>
      </c>
      <c r="I674">
        <v>3</v>
      </c>
      <c r="J674">
        <v>-5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28</v>
      </c>
      <c r="T674">
        <v>7.1</v>
      </c>
      <c r="U674">
        <v>43</v>
      </c>
      <c r="V674" s="2">
        <v>8.1479166666666671</v>
      </c>
      <c r="W674" s="3">
        <v>0.50902777777777775</v>
      </c>
      <c r="X674">
        <v>2</v>
      </c>
      <c r="Y674">
        <v>9</v>
      </c>
      <c r="Z674">
        <v>18.2</v>
      </c>
      <c r="AA674">
        <v>4</v>
      </c>
      <c r="AB674">
        <v>16</v>
      </c>
      <c r="AC674">
        <v>0</v>
      </c>
      <c r="AD674">
        <v>10</v>
      </c>
      <c r="AF674" t="s">
        <v>1584</v>
      </c>
    </row>
    <row r="675" spans="1:32" x14ac:dyDescent="0.3">
      <c r="A675">
        <v>644</v>
      </c>
      <c r="B675" t="s">
        <v>1585</v>
      </c>
      <c r="C675">
        <v>35</v>
      </c>
      <c r="D675" t="s">
        <v>409</v>
      </c>
      <c r="E675" t="s">
        <v>87</v>
      </c>
      <c r="F675">
        <v>38</v>
      </c>
      <c r="G675">
        <v>2</v>
      </c>
      <c r="H675">
        <v>1</v>
      </c>
      <c r="I675">
        <v>3</v>
      </c>
      <c r="J675">
        <v>-5</v>
      </c>
      <c r="K675">
        <v>18</v>
      </c>
      <c r="L675">
        <v>2</v>
      </c>
      <c r="M675">
        <v>0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33</v>
      </c>
      <c r="T675">
        <v>6.1</v>
      </c>
      <c r="U675">
        <v>106</v>
      </c>
      <c r="V675" s="2">
        <v>32.920833333333334</v>
      </c>
      <c r="W675" s="3">
        <v>0.8666666666666667</v>
      </c>
      <c r="X675">
        <v>0</v>
      </c>
      <c r="Y675">
        <v>0</v>
      </c>
      <c r="AA675">
        <v>98</v>
      </c>
      <c r="AB675">
        <v>63</v>
      </c>
      <c r="AC675">
        <v>13</v>
      </c>
      <c r="AD675">
        <v>29</v>
      </c>
      <c r="AF675" t="s">
        <v>1586</v>
      </c>
    </row>
    <row r="676" spans="1:32" x14ac:dyDescent="0.3">
      <c r="A676">
        <v>645</v>
      </c>
      <c r="B676" t="s">
        <v>1587</v>
      </c>
      <c r="C676">
        <v>18</v>
      </c>
      <c r="D676" t="s">
        <v>116</v>
      </c>
      <c r="E676" t="s">
        <v>380</v>
      </c>
      <c r="F676">
        <v>7</v>
      </c>
      <c r="G676">
        <v>1</v>
      </c>
      <c r="H676">
        <v>2</v>
      </c>
      <c r="I676">
        <v>3</v>
      </c>
      <c r="J676">
        <v>-1</v>
      </c>
      <c r="K676">
        <v>2</v>
      </c>
      <c r="L676">
        <v>1</v>
      </c>
      <c r="M676">
        <v>0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13</v>
      </c>
      <c r="T676">
        <v>7.7</v>
      </c>
      <c r="U676">
        <v>22</v>
      </c>
      <c r="V676" s="2">
        <v>3.4236111111111112</v>
      </c>
      <c r="W676" s="3">
        <v>0.48888888888888887</v>
      </c>
      <c r="X676">
        <v>20</v>
      </c>
      <c r="Y676">
        <v>18</v>
      </c>
      <c r="Z676">
        <v>52.6</v>
      </c>
      <c r="AA676">
        <v>5</v>
      </c>
      <c r="AB676">
        <v>2</v>
      </c>
      <c r="AC676">
        <v>0</v>
      </c>
      <c r="AD676">
        <v>5</v>
      </c>
      <c r="AF676" t="s">
        <v>1588</v>
      </c>
    </row>
    <row r="677" spans="1:32" x14ac:dyDescent="0.3">
      <c r="A677">
        <v>646</v>
      </c>
      <c r="B677" t="s">
        <v>1589</v>
      </c>
      <c r="C677">
        <v>23</v>
      </c>
      <c r="D677" t="s">
        <v>256</v>
      </c>
      <c r="E677" t="s">
        <v>87</v>
      </c>
      <c r="F677">
        <v>17</v>
      </c>
      <c r="G677">
        <v>0</v>
      </c>
      <c r="H677">
        <v>3</v>
      </c>
      <c r="I677">
        <v>3</v>
      </c>
      <c r="J677">
        <v>0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2</v>
      </c>
      <c r="Q677">
        <v>1</v>
      </c>
      <c r="R677">
        <v>0</v>
      </c>
      <c r="S677">
        <v>15</v>
      </c>
      <c r="T677">
        <v>0</v>
      </c>
      <c r="U677">
        <v>55</v>
      </c>
      <c r="V677" s="2">
        <v>11.079166666666667</v>
      </c>
      <c r="W677" s="3">
        <v>0.65138888888888891</v>
      </c>
      <c r="X677">
        <v>0</v>
      </c>
      <c r="Y677">
        <v>0</v>
      </c>
      <c r="AA677">
        <v>17</v>
      </c>
      <c r="AB677">
        <v>5</v>
      </c>
      <c r="AC677">
        <v>0</v>
      </c>
      <c r="AD677">
        <v>14</v>
      </c>
      <c r="AF677" t="s">
        <v>1590</v>
      </c>
    </row>
    <row r="678" spans="1:32" x14ac:dyDescent="0.3">
      <c r="A678">
        <v>647</v>
      </c>
      <c r="B678" t="s">
        <v>1591</v>
      </c>
      <c r="C678">
        <v>31</v>
      </c>
      <c r="D678" t="s">
        <v>210</v>
      </c>
      <c r="E678" t="s">
        <v>78</v>
      </c>
      <c r="F678">
        <v>23</v>
      </c>
      <c r="G678">
        <v>2</v>
      </c>
      <c r="H678">
        <v>1</v>
      </c>
      <c r="I678">
        <v>3</v>
      </c>
      <c r="J678">
        <v>-4</v>
      </c>
      <c r="K678">
        <v>29</v>
      </c>
      <c r="L678">
        <v>2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22</v>
      </c>
      <c r="T678">
        <v>9.1</v>
      </c>
      <c r="U678">
        <v>55</v>
      </c>
      <c r="V678" s="2">
        <v>8.6791666666666671</v>
      </c>
      <c r="W678" s="3">
        <v>0.37708333333333333</v>
      </c>
      <c r="X678">
        <v>2</v>
      </c>
      <c r="Y678">
        <v>0</v>
      </c>
      <c r="Z678">
        <v>100</v>
      </c>
      <c r="AA678">
        <v>9</v>
      </c>
      <c r="AB678">
        <v>55</v>
      </c>
      <c r="AC678">
        <v>1</v>
      </c>
      <c r="AD678">
        <v>6</v>
      </c>
      <c r="AF678" t="s">
        <v>1592</v>
      </c>
    </row>
    <row r="679" spans="1:32" x14ac:dyDescent="0.3">
      <c r="A679">
        <v>648</v>
      </c>
      <c r="B679" t="s">
        <v>1593</v>
      </c>
      <c r="C679">
        <v>22</v>
      </c>
      <c r="D679" t="s">
        <v>116</v>
      </c>
      <c r="E679" t="s">
        <v>78</v>
      </c>
      <c r="F679">
        <v>21</v>
      </c>
      <c r="G679">
        <v>2</v>
      </c>
      <c r="H679">
        <v>1</v>
      </c>
      <c r="I679">
        <v>3</v>
      </c>
      <c r="J679">
        <v>-4</v>
      </c>
      <c r="K679">
        <v>4</v>
      </c>
      <c r="L679">
        <v>2</v>
      </c>
      <c r="M679">
        <v>0</v>
      </c>
      <c r="N679">
        <v>0</v>
      </c>
      <c r="O679">
        <v>2</v>
      </c>
      <c r="P679">
        <v>1</v>
      </c>
      <c r="Q679">
        <v>0</v>
      </c>
      <c r="R679">
        <v>0</v>
      </c>
      <c r="S679">
        <v>19</v>
      </c>
      <c r="T679">
        <v>10.5</v>
      </c>
      <c r="U679">
        <v>28</v>
      </c>
      <c r="V679" s="2">
        <v>8.3909722222222225</v>
      </c>
      <c r="W679" s="3">
        <v>0.39930555555555558</v>
      </c>
      <c r="X679">
        <v>93</v>
      </c>
      <c r="Y679">
        <v>88</v>
      </c>
      <c r="Z679">
        <v>51.4</v>
      </c>
      <c r="AA679">
        <v>7</v>
      </c>
      <c r="AB679">
        <v>56</v>
      </c>
      <c r="AC679">
        <v>3</v>
      </c>
      <c r="AD679">
        <v>6</v>
      </c>
      <c r="AF679" t="s">
        <v>1594</v>
      </c>
    </row>
    <row r="680" spans="1:32" x14ac:dyDescent="0.3">
      <c r="A680">
        <v>649</v>
      </c>
      <c r="B680" t="s">
        <v>1595</v>
      </c>
      <c r="C680">
        <v>26</v>
      </c>
      <c r="D680" t="s">
        <v>82</v>
      </c>
      <c r="E680" t="s">
        <v>87</v>
      </c>
      <c r="F680">
        <v>22</v>
      </c>
      <c r="G680">
        <v>0</v>
      </c>
      <c r="H680">
        <v>3</v>
      </c>
      <c r="I680">
        <v>3</v>
      </c>
      <c r="J680">
        <v>-2</v>
      </c>
      <c r="K680">
        <v>33</v>
      </c>
      <c r="L680">
        <v>0</v>
      </c>
      <c r="M680">
        <v>0</v>
      </c>
      <c r="N680">
        <v>0</v>
      </c>
      <c r="O680">
        <v>0</v>
      </c>
      <c r="P680">
        <v>3</v>
      </c>
      <c r="Q680">
        <v>0</v>
      </c>
      <c r="R680">
        <v>0</v>
      </c>
      <c r="S680">
        <v>14</v>
      </c>
      <c r="T680">
        <v>0</v>
      </c>
      <c r="U680">
        <v>54</v>
      </c>
      <c r="V680" s="2">
        <v>12.30486111111111</v>
      </c>
      <c r="W680" s="3">
        <v>0.55902777777777779</v>
      </c>
      <c r="X680">
        <v>0</v>
      </c>
      <c r="Y680">
        <v>0</v>
      </c>
      <c r="AA680">
        <v>18</v>
      </c>
      <c r="AB680">
        <v>54</v>
      </c>
      <c r="AC680">
        <v>5</v>
      </c>
      <c r="AD680">
        <v>17</v>
      </c>
      <c r="AF680" t="s">
        <v>1596</v>
      </c>
    </row>
    <row r="681" spans="1:32" x14ac:dyDescent="0.3">
      <c r="A681">
        <v>650</v>
      </c>
      <c r="B681" t="s">
        <v>1597</v>
      </c>
      <c r="C681">
        <v>24</v>
      </c>
      <c r="D681" t="s">
        <v>256</v>
      </c>
      <c r="E681" t="s">
        <v>78</v>
      </c>
      <c r="F681">
        <v>14</v>
      </c>
      <c r="G681">
        <v>2</v>
      </c>
      <c r="H681">
        <v>1</v>
      </c>
      <c r="I681">
        <v>3</v>
      </c>
      <c r="J681">
        <v>3</v>
      </c>
      <c r="K681">
        <v>2</v>
      </c>
      <c r="L681">
        <v>2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12</v>
      </c>
      <c r="T681">
        <v>16.7</v>
      </c>
      <c r="U681">
        <v>21</v>
      </c>
      <c r="V681" s="2">
        <v>5.209027777777778</v>
      </c>
      <c r="W681" s="3">
        <v>0.37222222222222223</v>
      </c>
      <c r="X681">
        <v>14</v>
      </c>
      <c r="Y681">
        <v>15</v>
      </c>
      <c r="Z681">
        <v>48.3</v>
      </c>
      <c r="AA681">
        <v>9</v>
      </c>
      <c r="AB681">
        <v>20</v>
      </c>
      <c r="AC681">
        <v>3</v>
      </c>
      <c r="AD681">
        <v>6</v>
      </c>
      <c r="AF681" t="s">
        <v>1598</v>
      </c>
    </row>
    <row r="682" spans="1:32" x14ac:dyDescent="0.3">
      <c r="A682">
        <v>651</v>
      </c>
      <c r="B682" t="s">
        <v>1599</v>
      </c>
      <c r="C682">
        <v>27</v>
      </c>
      <c r="D682" t="s">
        <v>472</v>
      </c>
      <c r="E682" t="s">
        <v>380</v>
      </c>
      <c r="F682">
        <v>17</v>
      </c>
      <c r="G682">
        <v>2</v>
      </c>
      <c r="H682">
        <v>1</v>
      </c>
      <c r="I682">
        <v>3</v>
      </c>
      <c r="J682">
        <v>-7</v>
      </c>
      <c r="K682">
        <v>4</v>
      </c>
      <c r="L682">
        <v>2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14</v>
      </c>
      <c r="T682">
        <v>14.3</v>
      </c>
      <c r="U682">
        <v>22</v>
      </c>
      <c r="V682" s="2">
        <v>7.0430555555555552</v>
      </c>
      <c r="W682" s="3">
        <v>0.41458333333333336</v>
      </c>
      <c r="X682">
        <v>69</v>
      </c>
      <c r="Y682">
        <v>54</v>
      </c>
      <c r="Z682">
        <v>56.1</v>
      </c>
      <c r="AA682">
        <v>2</v>
      </c>
      <c r="AB682">
        <v>30</v>
      </c>
      <c r="AC682">
        <v>5</v>
      </c>
      <c r="AD682">
        <v>7</v>
      </c>
      <c r="AF682" t="s">
        <v>1600</v>
      </c>
    </row>
    <row r="683" spans="1:32" x14ac:dyDescent="0.3">
      <c r="A683">
        <v>651</v>
      </c>
      <c r="B683" t="s">
        <v>1599</v>
      </c>
      <c r="C683">
        <v>27</v>
      </c>
      <c r="D683" t="s">
        <v>250</v>
      </c>
      <c r="E683" t="s">
        <v>380</v>
      </c>
      <c r="F683">
        <v>15</v>
      </c>
      <c r="G683">
        <v>2</v>
      </c>
      <c r="H683">
        <v>1</v>
      </c>
      <c r="I683">
        <v>3</v>
      </c>
      <c r="J683">
        <v>-7</v>
      </c>
      <c r="K683">
        <v>4</v>
      </c>
      <c r="L683">
        <v>2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12</v>
      </c>
      <c r="T683">
        <v>16.7</v>
      </c>
      <c r="U683">
        <v>19</v>
      </c>
      <c r="V683" s="2">
        <v>6.2750000000000004</v>
      </c>
      <c r="W683" s="3">
        <v>0.41805555555555557</v>
      </c>
      <c r="X683">
        <v>58</v>
      </c>
      <c r="Y683">
        <v>44</v>
      </c>
      <c r="Z683">
        <v>56.9</v>
      </c>
      <c r="AA683">
        <v>2</v>
      </c>
      <c r="AB683">
        <v>24</v>
      </c>
      <c r="AC683">
        <v>4</v>
      </c>
      <c r="AD683">
        <v>7</v>
      </c>
      <c r="AF683" t="s">
        <v>1600</v>
      </c>
    </row>
    <row r="684" spans="1:32" x14ac:dyDescent="0.3">
      <c r="A684">
        <v>651</v>
      </c>
      <c r="B684" t="s">
        <v>1599</v>
      </c>
      <c r="C684">
        <v>27</v>
      </c>
      <c r="D684" t="s">
        <v>72</v>
      </c>
      <c r="E684" t="s">
        <v>380</v>
      </c>
      <c r="F684">
        <v>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2</v>
      </c>
      <c r="T684">
        <v>0</v>
      </c>
      <c r="U684">
        <v>3</v>
      </c>
      <c r="V684" s="3">
        <v>0.7680555555555556</v>
      </c>
      <c r="W684" s="3">
        <v>0.3840277777777778</v>
      </c>
      <c r="X684">
        <v>11</v>
      </c>
      <c r="Y684">
        <v>10</v>
      </c>
      <c r="Z684">
        <v>52.4</v>
      </c>
      <c r="AA684">
        <v>0</v>
      </c>
      <c r="AB684">
        <v>6</v>
      </c>
      <c r="AC684">
        <v>1</v>
      </c>
      <c r="AD684">
        <v>0</v>
      </c>
      <c r="AF684" t="s">
        <v>1600</v>
      </c>
    </row>
    <row r="685" spans="1:32" x14ac:dyDescent="0.3">
      <c r="A685">
        <v>652</v>
      </c>
      <c r="B685" t="s">
        <v>1601</v>
      </c>
      <c r="C685">
        <v>39</v>
      </c>
      <c r="D685" t="s">
        <v>116</v>
      </c>
      <c r="E685" t="s">
        <v>95</v>
      </c>
      <c r="F685">
        <v>37</v>
      </c>
      <c r="G685">
        <v>3</v>
      </c>
      <c r="H685">
        <v>0</v>
      </c>
      <c r="I685">
        <v>3</v>
      </c>
      <c r="J685">
        <v>-9</v>
      </c>
      <c r="K685">
        <v>30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20</v>
      </c>
      <c r="T685">
        <v>15</v>
      </c>
      <c r="U685">
        <v>45</v>
      </c>
      <c r="V685" s="2">
        <v>12.475</v>
      </c>
      <c r="W685" s="3">
        <v>0.33750000000000002</v>
      </c>
      <c r="X685">
        <v>0</v>
      </c>
      <c r="Y685">
        <v>2</v>
      </c>
      <c r="Z685">
        <v>0</v>
      </c>
      <c r="AA685">
        <v>12</v>
      </c>
      <c r="AB685">
        <v>125</v>
      </c>
      <c r="AC685">
        <v>5</v>
      </c>
      <c r="AD685">
        <v>13</v>
      </c>
      <c r="AF685" t="s">
        <v>1602</v>
      </c>
    </row>
    <row r="686" spans="1:32" x14ac:dyDescent="0.3">
      <c r="A686">
        <v>653</v>
      </c>
      <c r="B686" t="s">
        <v>1603</v>
      </c>
      <c r="C686">
        <v>25</v>
      </c>
      <c r="D686" t="s">
        <v>250</v>
      </c>
      <c r="E686" t="s">
        <v>87</v>
      </c>
      <c r="F686">
        <v>26</v>
      </c>
      <c r="G686">
        <v>0</v>
      </c>
      <c r="H686">
        <v>3</v>
      </c>
      <c r="I686">
        <v>3</v>
      </c>
      <c r="J686">
        <v>-15</v>
      </c>
      <c r="K686">
        <v>35</v>
      </c>
      <c r="L686">
        <v>0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0</v>
      </c>
      <c r="S686">
        <v>15</v>
      </c>
      <c r="T686">
        <v>0</v>
      </c>
      <c r="U686">
        <v>43</v>
      </c>
      <c r="V686" s="2">
        <v>16.353472222222223</v>
      </c>
      <c r="W686" s="3">
        <v>0.62916666666666665</v>
      </c>
      <c r="X686">
        <v>0</v>
      </c>
      <c r="Y686">
        <v>0</v>
      </c>
      <c r="AA686">
        <v>42</v>
      </c>
      <c r="AB686">
        <v>14</v>
      </c>
      <c r="AC686">
        <v>7</v>
      </c>
      <c r="AD686">
        <v>28</v>
      </c>
      <c r="AF686" t="s">
        <v>1604</v>
      </c>
    </row>
    <row r="687" spans="1:32" x14ac:dyDescent="0.3">
      <c r="A687">
        <v>654</v>
      </c>
      <c r="B687" t="s">
        <v>279</v>
      </c>
      <c r="C687">
        <v>31</v>
      </c>
      <c r="D687" t="s">
        <v>278</v>
      </c>
      <c r="E687" t="s">
        <v>87</v>
      </c>
      <c r="F687">
        <v>11</v>
      </c>
      <c r="G687">
        <v>0</v>
      </c>
      <c r="H687">
        <v>3</v>
      </c>
      <c r="I687">
        <v>3</v>
      </c>
      <c r="J687">
        <v>1</v>
      </c>
      <c r="K687">
        <v>4</v>
      </c>
      <c r="L687">
        <v>0</v>
      </c>
      <c r="M687">
        <v>0</v>
      </c>
      <c r="N687">
        <v>0</v>
      </c>
      <c r="O687">
        <v>0</v>
      </c>
      <c r="P687">
        <v>2</v>
      </c>
      <c r="Q687">
        <v>0</v>
      </c>
      <c r="R687">
        <v>1</v>
      </c>
      <c r="S687">
        <v>19</v>
      </c>
      <c r="T687">
        <v>0</v>
      </c>
      <c r="U687">
        <v>47</v>
      </c>
      <c r="V687" s="2">
        <v>9.594444444444445</v>
      </c>
      <c r="W687" s="3">
        <v>0.87222222222222223</v>
      </c>
      <c r="X687">
        <v>0</v>
      </c>
      <c r="Y687">
        <v>0</v>
      </c>
      <c r="AA687">
        <v>21</v>
      </c>
      <c r="AB687">
        <v>14</v>
      </c>
      <c r="AC687">
        <v>2</v>
      </c>
      <c r="AD687">
        <v>6</v>
      </c>
      <c r="AF687" t="s">
        <v>1605</v>
      </c>
    </row>
    <row r="688" spans="1:32" x14ac:dyDescent="0.3">
      <c r="A688">
        <v>655</v>
      </c>
      <c r="B688" t="s">
        <v>1606</v>
      </c>
      <c r="C688">
        <v>33</v>
      </c>
      <c r="D688" t="s">
        <v>121</v>
      </c>
      <c r="E688" t="s">
        <v>380</v>
      </c>
      <c r="F688">
        <v>9</v>
      </c>
      <c r="G688">
        <v>1</v>
      </c>
      <c r="H688">
        <v>2</v>
      </c>
      <c r="I688">
        <v>3</v>
      </c>
      <c r="J688">
        <v>0</v>
      </c>
      <c r="K688">
        <v>63</v>
      </c>
      <c r="L688">
        <v>1</v>
      </c>
      <c r="M688">
        <v>0</v>
      </c>
      <c r="N688">
        <v>0</v>
      </c>
      <c r="O688">
        <v>0</v>
      </c>
      <c r="P688">
        <v>2</v>
      </c>
      <c r="Q688">
        <v>0</v>
      </c>
      <c r="R688">
        <v>0</v>
      </c>
      <c r="S688">
        <v>5</v>
      </c>
      <c r="T688">
        <v>20</v>
      </c>
      <c r="U688">
        <v>11</v>
      </c>
      <c r="V688" s="2">
        <v>3.0756944444444443</v>
      </c>
      <c r="W688" s="3">
        <v>0.34166666666666667</v>
      </c>
      <c r="X688">
        <v>0</v>
      </c>
      <c r="Y688">
        <v>2</v>
      </c>
      <c r="Z688">
        <v>0</v>
      </c>
      <c r="AA688">
        <v>4</v>
      </c>
      <c r="AB688">
        <v>15</v>
      </c>
      <c r="AC688">
        <v>0</v>
      </c>
      <c r="AD688">
        <v>4</v>
      </c>
      <c r="AF688" t="s">
        <v>1607</v>
      </c>
    </row>
    <row r="689" spans="1:32" x14ac:dyDescent="0.3">
      <c r="A689">
        <v>656</v>
      </c>
      <c r="B689" t="s">
        <v>1608</v>
      </c>
      <c r="C689">
        <v>24</v>
      </c>
      <c r="D689" t="s">
        <v>221</v>
      </c>
      <c r="E689" t="s">
        <v>95</v>
      </c>
      <c r="F689">
        <v>25</v>
      </c>
      <c r="G689">
        <v>2</v>
      </c>
      <c r="H689">
        <v>1</v>
      </c>
      <c r="I689">
        <v>3</v>
      </c>
      <c r="J689">
        <v>-3</v>
      </c>
      <c r="K689">
        <v>8</v>
      </c>
      <c r="L689">
        <v>2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26</v>
      </c>
      <c r="T689">
        <v>7.7</v>
      </c>
      <c r="U689">
        <v>61</v>
      </c>
      <c r="V689" s="2">
        <v>10.988888888888889</v>
      </c>
      <c r="W689" s="3">
        <v>0.43958333333333333</v>
      </c>
      <c r="X689">
        <v>1</v>
      </c>
      <c r="Y689">
        <v>0</v>
      </c>
      <c r="Z689">
        <v>100</v>
      </c>
      <c r="AA689">
        <v>6</v>
      </c>
      <c r="AB689">
        <v>38</v>
      </c>
      <c r="AC689">
        <v>4</v>
      </c>
      <c r="AD689">
        <v>17</v>
      </c>
      <c r="AF689" t="s">
        <v>1609</v>
      </c>
    </row>
    <row r="690" spans="1:32" x14ac:dyDescent="0.3">
      <c r="A690">
        <v>657</v>
      </c>
      <c r="B690" t="s">
        <v>1610</v>
      </c>
      <c r="C690">
        <v>26</v>
      </c>
      <c r="D690" t="s">
        <v>134</v>
      </c>
      <c r="E690" t="s">
        <v>87</v>
      </c>
      <c r="F690">
        <v>10</v>
      </c>
      <c r="G690">
        <v>0</v>
      </c>
      <c r="H690">
        <v>3</v>
      </c>
      <c r="I690">
        <v>3</v>
      </c>
      <c r="J690">
        <v>2</v>
      </c>
      <c r="K690">
        <v>4</v>
      </c>
      <c r="L690">
        <v>0</v>
      </c>
      <c r="M690">
        <v>0</v>
      </c>
      <c r="N690">
        <v>0</v>
      </c>
      <c r="O690">
        <v>0</v>
      </c>
      <c r="P690">
        <v>3</v>
      </c>
      <c r="Q690">
        <v>0</v>
      </c>
      <c r="R690">
        <v>0</v>
      </c>
      <c r="S690">
        <v>14</v>
      </c>
      <c r="T690">
        <v>0</v>
      </c>
      <c r="U690">
        <v>27</v>
      </c>
      <c r="V690" s="2">
        <v>6.7625000000000002</v>
      </c>
      <c r="W690" s="3">
        <v>0.67638888888888893</v>
      </c>
      <c r="X690">
        <v>0</v>
      </c>
      <c r="Y690">
        <v>0</v>
      </c>
      <c r="AA690">
        <v>12</v>
      </c>
      <c r="AB690">
        <v>28</v>
      </c>
      <c r="AC690">
        <v>2</v>
      </c>
      <c r="AD690">
        <v>7</v>
      </c>
      <c r="AF690" t="s">
        <v>1611</v>
      </c>
    </row>
    <row r="691" spans="1:32" x14ac:dyDescent="0.3">
      <c r="A691">
        <v>658</v>
      </c>
      <c r="B691" t="s">
        <v>1612</v>
      </c>
      <c r="C691">
        <v>27</v>
      </c>
      <c r="D691" t="s">
        <v>256</v>
      </c>
      <c r="E691" t="s">
        <v>87</v>
      </c>
      <c r="F691">
        <v>20</v>
      </c>
      <c r="G691">
        <v>0</v>
      </c>
      <c r="H691">
        <v>3</v>
      </c>
      <c r="I691">
        <v>3</v>
      </c>
      <c r="J691">
        <v>-2</v>
      </c>
      <c r="K691">
        <v>12</v>
      </c>
      <c r="L691">
        <v>0</v>
      </c>
      <c r="M691">
        <v>0</v>
      </c>
      <c r="N691">
        <v>0</v>
      </c>
      <c r="O691">
        <v>0</v>
      </c>
      <c r="P691">
        <v>3</v>
      </c>
      <c r="Q691">
        <v>0</v>
      </c>
      <c r="R691">
        <v>0</v>
      </c>
      <c r="S691">
        <v>12</v>
      </c>
      <c r="T691">
        <v>0</v>
      </c>
      <c r="U691">
        <v>41</v>
      </c>
      <c r="V691" s="2">
        <v>11.423611111111111</v>
      </c>
      <c r="W691" s="3">
        <v>0.57152777777777775</v>
      </c>
      <c r="X691">
        <v>0</v>
      </c>
      <c r="Y691">
        <v>0</v>
      </c>
      <c r="AA691">
        <v>15</v>
      </c>
      <c r="AB691">
        <v>7</v>
      </c>
      <c r="AC691">
        <v>3</v>
      </c>
      <c r="AD691">
        <v>13</v>
      </c>
      <c r="AF691" t="s">
        <v>1613</v>
      </c>
    </row>
    <row r="692" spans="1:32" x14ac:dyDescent="0.3">
      <c r="A692">
        <v>659</v>
      </c>
      <c r="B692" t="s">
        <v>1614</v>
      </c>
      <c r="C692">
        <v>24</v>
      </c>
      <c r="D692" t="s">
        <v>188</v>
      </c>
      <c r="E692" t="s">
        <v>87</v>
      </c>
      <c r="F692">
        <v>8</v>
      </c>
      <c r="G692">
        <v>0</v>
      </c>
      <c r="H692">
        <v>3</v>
      </c>
      <c r="I692">
        <v>3</v>
      </c>
      <c r="J692">
        <v>0</v>
      </c>
      <c r="K692">
        <v>4</v>
      </c>
      <c r="L692">
        <v>0</v>
      </c>
      <c r="M692">
        <v>0</v>
      </c>
      <c r="N692">
        <v>0</v>
      </c>
      <c r="O692">
        <v>0</v>
      </c>
      <c r="P692">
        <v>3</v>
      </c>
      <c r="Q692">
        <v>0</v>
      </c>
      <c r="R692">
        <v>0</v>
      </c>
      <c r="S692">
        <v>7</v>
      </c>
      <c r="T692">
        <v>0</v>
      </c>
      <c r="U692">
        <v>19</v>
      </c>
      <c r="V692" s="2">
        <v>3.8256944444444443</v>
      </c>
      <c r="W692" s="3">
        <v>0.47847222222222224</v>
      </c>
      <c r="X692">
        <v>0</v>
      </c>
      <c r="Y692">
        <v>0</v>
      </c>
      <c r="AA692">
        <v>5</v>
      </c>
      <c r="AB692">
        <v>7</v>
      </c>
      <c r="AC692">
        <v>1</v>
      </c>
      <c r="AD692">
        <v>7</v>
      </c>
      <c r="AF692" t="s">
        <v>1615</v>
      </c>
    </row>
    <row r="693" spans="1:32" x14ac:dyDescent="0.3">
      <c r="A693">
        <v>660</v>
      </c>
      <c r="B693" t="s">
        <v>1616</v>
      </c>
      <c r="C693">
        <v>24</v>
      </c>
      <c r="D693" t="s">
        <v>472</v>
      </c>
      <c r="E693" t="s">
        <v>78</v>
      </c>
      <c r="F693">
        <v>25</v>
      </c>
      <c r="G693">
        <v>1</v>
      </c>
      <c r="H693">
        <v>2</v>
      </c>
      <c r="I693">
        <v>3</v>
      </c>
      <c r="J693">
        <v>-5</v>
      </c>
      <c r="K693">
        <v>29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21</v>
      </c>
      <c r="T693">
        <v>4.8</v>
      </c>
      <c r="U693">
        <v>42</v>
      </c>
      <c r="V693" s="2">
        <v>10.228472222222223</v>
      </c>
      <c r="W693" s="3">
        <v>0.40902777777777777</v>
      </c>
      <c r="X693">
        <v>43</v>
      </c>
      <c r="Y693">
        <v>60</v>
      </c>
      <c r="Z693">
        <v>41.7</v>
      </c>
      <c r="AA693">
        <v>18</v>
      </c>
      <c r="AB693">
        <v>18</v>
      </c>
      <c r="AC693">
        <v>2</v>
      </c>
      <c r="AD693">
        <v>8</v>
      </c>
      <c r="AF693" t="s">
        <v>1617</v>
      </c>
    </row>
    <row r="694" spans="1:32" x14ac:dyDescent="0.3">
      <c r="A694">
        <v>660</v>
      </c>
      <c r="B694" t="s">
        <v>1616</v>
      </c>
      <c r="C694">
        <v>24</v>
      </c>
      <c r="D694" t="s">
        <v>195</v>
      </c>
      <c r="E694" t="s">
        <v>78</v>
      </c>
      <c r="F694">
        <v>6</v>
      </c>
      <c r="G694">
        <v>1</v>
      </c>
      <c r="H694">
        <v>0</v>
      </c>
      <c r="I694">
        <v>1</v>
      </c>
      <c r="J694">
        <v>-1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6</v>
      </c>
      <c r="T694">
        <v>16.7</v>
      </c>
      <c r="U694">
        <v>10</v>
      </c>
      <c r="V694" s="2">
        <v>2.6013888888888888</v>
      </c>
      <c r="W694" s="3">
        <v>0.43333333333333335</v>
      </c>
      <c r="X694">
        <v>0</v>
      </c>
      <c r="Y694">
        <v>3</v>
      </c>
      <c r="Z694">
        <v>0</v>
      </c>
      <c r="AA694">
        <v>4</v>
      </c>
      <c r="AB694">
        <v>7</v>
      </c>
      <c r="AC694">
        <v>0</v>
      </c>
      <c r="AD694">
        <v>1</v>
      </c>
      <c r="AF694" t="s">
        <v>1617</v>
      </c>
    </row>
    <row r="695" spans="1:32" x14ac:dyDescent="0.3">
      <c r="A695">
        <v>660</v>
      </c>
      <c r="B695" t="s">
        <v>1616</v>
      </c>
      <c r="C695">
        <v>24</v>
      </c>
      <c r="D695" t="s">
        <v>82</v>
      </c>
      <c r="E695" t="s">
        <v>78</v>
      </c>
      <c r="F695">
        <v>19</v>
      </c>
      <c r="G695">
        <v>0</v>
      </c>
      <c r="H695">
        <v>2</v>
      </c>
      <c r="I695">
        <v>2</v>
      </c>
      <c r="J695">
        <v>-4</v>
      </c>
      <c r="K695">
        <v>29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15</v>
      </c>
      <c r="T695">
        <v>0</v>
      </c>
      <c r="U695">
        <v>32</v>
      </c>
      <c r="V695" s="2">
        <v>7.6270833333333332</v>
      </c>
      <c r="W695" s="3">
        <v>0.40138888888888891</v>
      </c>
      <c r="X695">
        <v>43</v>
      </c>
      <c r="Y695">
        <v>57</v>
      </c>
      <c r="Z695">
        <v>43</v>
      </c>
      <c r="AA695">
        <v>14</v>
      </c>
      <c r="AB695">
        <v>11</v>
      </c>
      <c r="AC695">
        <v>2</v>
      </c>
      <c r="AD695">
        <v>7</v>
      </c>
      <c r="AF695" t="s">
        <v>1617</v>
      </c>
    </row>
    <row r="696" spans="1:32" x14ac:dyDescent="0.3">
      <c r="A696">
        <v>661</v>
      </c>
      <c r="B696" t="s">
        <v>1618</v>
      </c>
      <c r="C696">
        <v>26</v>
      </c>
      <c r="D696" t="s">
        <v>195</v>
      </c>
      <c r="E696" t="s">
        <v>87</v>
      </c>
      <c r="F696">
        <v>24</v>
      </c>
      <c r="G696">
        <v>2</v>
      </c>
      <c r="H696">
        <v>0</v>
      </c>
      <c r="I696">
        <v>2</v>
      </c>
      <c r="J696">
        <v>10</v>
      </c>
      <c r="K696">
        <v>17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17</v>
      </c>
      <c r="T696">
        <v>11.8</v>
      </c>
      <c r="U696">
        <v>49</v>
      </c>
      <c r="V696" s="2">
        <v>16.301388888888887</v>
      </c>
      <c r="W696" s="3">
        <v>0.6791666666666667</v>
      </c>
      <c r="X696">
        <v>0</v>
      </c>
      <c r="Y696">
        <v>0</v>
      </c>
      <c r="AA696">
        <v>29</v>
      </c>
      <c r="AB696">
        <v>41</v>
      </c>
      <c r="AC696">
        <v>3</v>
      </c>
      <c r="AD696">
        <v>21</v>
      </c>
      <c r="AF696" t="s">
        <v>1619</v>
      </c>
    </row>
    <row r="697" spans="1:32" x14ac:dyDescent="0.3">
      <c r="A697">
        <v>662</v>
      </c>
      <c r="B697" t="s">
        <v>1620</v>
      </c>
      <c r="C697">
        <v>27</v>
      </c>
      <c r="D697" t="s">
        <v>82</v>
      </c>
      <c r="E697" t="s">
        <v>87</v>
      </c>
      <c r="F697">
        <v>16</v>
      </c>
      <c r="G697">
        <v>1</v>
      </c>
      <c r="H697">
        <v>1</v>
      </c>
      <c r="I697">
        <v>2</v>
      </c>
      <c r="J697">
        <v>-7</v>
      </c>
      <c r="K697">
        <v>16</v>
      </c>
      <c r="L697">
        <v>1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16</v>
      </c>
      <c r="T697">
        <v>6.3</v>
      </c>
      <c r="U697">
        <v>44</v>
      </c>
      <c r="V697" s="2">
        <v>10.636111111111111</v>
      </c>
      <c r="W697" s="3">
        <v>0.6645833333333333</v>
      </c>
      <c r="X697">
        <v>0</v>
      </c>
      <c r="Y697">
        <v>0</v>
      </c>
      <c r="AA697">
        <v>29</v>
      </c>
      <c r="AB697">
        <v>3</v>
      </c>
      <c r="AC697">
        <v>5</v>
      </c>
      <c r="AD697">
        <v>15</v>
      </c>
      <c r="AF697" t="s">
        <v>1621</v>
      </c>
    </row>
    <row r="698" spans="1:32" x14ac:dyDescent="0.3">
      <c r="A698">
        <v>663</v>
      </c>
      <c r="B698" t="s">
        <v>1622</v>
      </c>
      <c r="C698">
        <v>25</v>
      </c>
      <c r="D698" t="s">
        <v>221</v>
      </c>
      <c r="E698" t="s">
        <v>87</v>
      </c>
      <c r="F698">
        <v>29</v>
      </c>
      <c r="G698">
        <v>0</v>
      </c>
      <c r="H698">
        <v>2</v>
      </c>
      <c r="I698">
        <v>2</v>
      </c>
      <c r="J698">
        <v>3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2</v>
      </c>
      <c r="Q698">
        <v>0</v>
      </c>
      <c r="R698">
        <v>0</v>
      </c>
      <c r="S698">
        <v>22</v>
      </c>
      <c r="T698">
        <v>0</v>
      </c>
      <c r="U698">
        <v>52</v>
      </c>
      <c r="V698" s="2">
        <v>17.215277777777779</v>
      </c>
      <c r="W698" s="3">
        <v>0.59375</v>
      </c>
      <c r="X698">
        <v>0</v>
      </c>
      <c r="Y698">
        <v>0</v>
      </c>
      <c r="AA698">
        <v>44</v>
      </c>
      <c r="AB698">
        <v>40</v>
      </c>
      <c r="AC698">
        <v>6</v>
      </c>
      <c r="AD698">
        <v>23</v>
      </c>
      <c r="AF698" t="s">
        <v>1623</v>
      </c>
    </row>
    <row r="699" spans="1:32" x14ac:dyDescent="0.3">
      <c r="A699">
        <v>664</v>
      </c>
      <c r="B699" t="s">
        <v>1624</v>
      </c>
      <c r="C699">
        <v>29</v>
      </c>
      <c r="D699" t="s">
        <v>150</v>
      </c>
      <c r="E699" t="s">
        <v>87</v>
      </c>
      <c r="F699">
        <v>20</v>
      </c>
      <c r="G699">
        <v>0</v>
      </c>
      <c r="H699">
        <v>2</v>
      </c>
      <c r="I699">
        <v>2</v>
      </c>
      <c r="J699">
        <v>4</v>
      </c>
      <c r="K699">
        <v>6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0</v>
      </c>
      <c r="R699">
        <v>0</v>
      </c>
      <c r="S699">
        <v>25</v>
      </c>
      <c r="T699">
        <v>0</v>
      </c>
      <c r="U699">
        <v>54</v>
      </c>
      <c r="V699" s="2">
        <v>16.567361111111111</v>
      </c>
      <c r="W699" s="3">
        <v>0.82847222222222228</v>
      </c>
      <c r="X699">
        <v>0</v>
      </c>
      <c r="Y699">
        <v>0</v>
      </c>
      <c r="AA699">
        <v>35</v>
      </c>
      <c r="AB699">
        <v>14</v>
      </c>
      <c r="AC699">
        <v>2</v>
      </c>
      <c r="AD699">
        <v>23</v>
      </c>
      <c r="AF699" t="s">
        <v>1625</v>
      </c>
    </row>
    <row r="700" spans="1:32" x14ac:dyDescent="0.3">
      <c r="A700">
        <v>665</v>
      </c>
      <c r="B700" t="s">
        <v>1626</v>
      </c>
      <c r="C700">
        <v>29</v>
      </c>
      <c r="D700" t="s">
        <v>116</v>
      </c>
      <c r="E700" t="s">
        <v>87</v>
      </c>
      <c r="F700">
        <v>20</v>
      </c>
      <c r="G700">
        <v>0</v>
      </c>
      <c r="H700">
        <v>2</v>
      </c>
      <c r="I700">
        <v>2</v>
      </c>
      <c r="J700">
        <v>1</v>
      </c>
      <c r="K700">
        <v>32</v>
      </c>
      <c r="L700">
        <v>0</v>
      </c>
      <c r="M700">
        <v>0</v>
      </c>
      <c r="N700">
        <v>0</v>
      </c>
      <c r="O700">
        <v>0</v>
      </c>
      <c r="P700">
        <v>2</v>
      </c>
      <c r="Q700">
        <v>0</v>
      </c>
      <c r="R700">
        <v>0</v>
      </c>
      <c r="S700">
        <v>12</v>
      </c>
      <c r="T700">
        <v>0</v>
      </c>
      <c r="U700">
        <v>33</v>
      </c>
      <c r="V700" s="2">
        <v>13.797222222222222</v>
      </c>
      <c r="W700" s="3">
        <v>0.68958333333333333</v>
      </c>
      <c r="X700">
        <v>0</v>
      </c>
      <c r="Y700">
        <v>0</v>
      </c>
      <c r="AA700">
        <v>34</v>
      </c>
      <c r="AB700">
        <v>28</v>
      </c>
      <c r="AC700">
        <v>2</v>
      </c>
      <c r="AD700">
        <v>16</v>
      </c>
      <c r="AF700" t="s">
        <v>1627</v>
      </c>
    </row>
    <row r="701" spans="1:32" x14ac:dyDescent="0.3">
      <c r="A701">
        <v>666</v>
      </c>
      <c r="B701" t="s">
        <v>1628</v>
      </c>
      <c r="C701">
        <v>25</v>
      </c>
      <c r="D701" t="s">
        <v>121</v>
      </c>
      <c r="E701" t="s">
        <v>78</v>
      </c>
      <c r="F701">
        <v>27</v>
      </c>
      <c r="G701">
        <v>0</v>
      </c>
      <c r="H701">
        <v>2</v>
      </c>
      <c r="I701">
        <v>2</v>
      </c>
      <c r="J701">
        <v>1</v>
      </c>
      <c r="K701">
        <v>75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0</v>
      </c>
      <c r="S701">
        <v>15</v>
      </c>
      <c r="T701">
        <v>0</v>
      </c>
      <c r="U701">
        <v>31</v>
      </c>
      <c r="V701" s="2">
        <v>6.7159722222222218</v>
      </c>
      <c r="W701" s="3">
        <v>0.24861111111111112</v>
      </c>
      <c r="X701">
        <v>2</v>
      </c>
      <c r="Y701">
        <v>2</v>
      </c>
      <c r="Z701">
        <v>50</v>
      </c>
      <c r="AA701">
        <v>6</v>
      </c>
      <c r="AB701">
        <v>29</v>
      </c>
      <c r="AC701">
        <v>3</v>
      </c>
      <c r="AD701">
        <v>9</v>
      </c>
      <c r="AF701" t="s">
        <v>1629</v>
      </c>
    </row>
    <row r="702" spans="1:32" x14ac:dyDescent="0.3">
      <c r="A702">
        <v>667</v>
      </c>
      <c r="B702" t="s">
        <v>1630</v>
      </c>
      <c r="C702">
        <v>27</v>
      </c>
      <c r="D702" t="s">
        <v>200</v>
      </c>
      <c r="E702" t="s">
        <v>87</v>
      </c>
      <c r="F702">
        <v>12</v>
      </c>
      <c r="G702">
        <v>1</v>
      </c>
      <c r="H702">
        <v>1</v>
      </c>
      <c r="I702">
        <v>2</v>
      </c>
      <c r="J702">
        <v>3</v>
      </c>
      <c r="K702">
        <v>5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17</v>
      </c>
      <c r="T702">
        <v>5.9</v>
      </c>
      <c r="U702">
        <v>33</v>
      </c>
      <c r="V702" s="2">
        <v>8.7583333333333329</v>
      </c>
      <c r="W702" s="3">
        <v>0.72986111111111107</v>
      </c>
      <c r="X702">
        <v>0</v>
      </c>
      <c r="Y702">
        <v>0</v>
      </c>
      <c r="AA702">
        <v>13</v>
      </c>
      <c r="AB702">
        <v>15</v>
      </c>
      <c r="AC702">
        <v>3</v>
      </c>
      <c r="AD702">
        <v>10</v>
      </c>
      <c r="AF702" t="s">
        <v>1631</v>
      </c>
    </row>
    <row r="703" spans="1:32" x14ac:dyDescent="0.3">
      <c r="A703">
        <v>668</v>
      </c>
      <c r="B703" t="s">
        <v>1632</v>
      </c>
      <c r="C703">
        <v>26</v>
      </c>
      <c r="D703" t="s">
        <v>188</v>
      </c>
      <c r="E703" t="s">
        <v>380</v>
      </c>
      <c r="F703">
        <v>17</v>
      </c>
      <c r="G703">
        <v>1</v>
      </c>
      <c r="H703">
        <v>1</v>
      </c>
      <c r="I703">
        <v>2</v>
      </c>
      <c r="J703">
        <v>1</v>
      </c>
      <c r="K703">
        <v>2</v>
      </c>
      <c r="L703">
        <v>1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22</v>
      </c>
      <c r="T703">
        <v>4.5</v>
      </c>
      <c r="U703">
        <v>31</v>
      </c>
      <c r="V703" s="2">
        <v>7.458333333333333</v>
      </c>
      <c r="W703" s="3">
        <v>0.43888888888888888</v>
      </c>
      <c r="X703">
        <v>0</v>
      </c>
      <c r="Y703">
        <v>1</v>
      </c>
      <c r="Z703">
        <v>0</v>
      </c>
      <c r="AA703">
        <v>11</v>
      </c>
      <c r="AB703">
        <v>88</v>
      </c>
      <c r="AC703">
        <v>3</v>
      </c>
      <c r="AD703">
        <v>6</v>
      </c>
      <c r="AF703" t="s">
        <v>1633</v>
      </c>
    </row>
    <row r="704" spans="1:32" x14ac:dyDescent="0.3">
      <c r="A704">
        <v>669</v>
      </c>
      <c r="B704" t="s">
        <v>1634</v>
      </c>
      <c r="C704">
        <v>24</v>
      </c>
      <c r="D704" t="s">
        <v>204</v>
      </c>
      <c r="E704" t="s">
        <v>87</v>
      </c>
      <c r="F704">
        <v>5</v>
      </c>
      <c r="G704">
        <v>1</v>
      </c>
      <c r="H704">
        <v>1</v>
      </c>
      <c r="I704">
        <v>2</v>
      </c>
      <c r="J704">
        <v>1</v>
      </c>
      <c r="K704">
        <v>7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7</v>
      </c>
      <c r="T704">
        <v>14.3</v>
      </c>
      <c r="U704">
        <v>13</v>
      </c>
      <c r="V704" s="2">
        <v>4.0083333333333337</v>
      </c>
      <c r="W704" s="3">
        <v>0.80138888888888893</v>
      </c>
      <c r="X704">
        <v>0</v>
      </c>
      <c r="Y704">
        <v>0</v>
      </c>
      <c r="AA704">
        <v>5</v>
      </c>
      <c r="AB704">
        <v>16</v>
      </c>
      <c r="AC704">
        <v>3</v>
      </c>
      <c r="AD704">
        <v>7</v>
      </c>
      <c r="AF704" t="s">
        <v>1635</v>
      </c>
    </row>
    <row r="705" spans="1:32" x14ac:dyDescent="0.3">
      <c r="A705">
        <v>670</v>
      </c>
      <c r="B705" t="s">
        <v>1636</v>
      </c>
      <c r="C705">
        <v>25</v>
      </c>
      <c r="D705" t="s">
        <v>195</v>
      </c>
      <c r="E705" t="s">
        <v>87</v>
      </c>
      <c r="F705">
        <v>5</v>
      </c>
      <c r="G705">
        <v>1</v>
      </c>
      <c r="H705">
        <v>1</v>
      </c>
      <c r="I705">
        <v>2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9</v>
      </c>
      <c r="T705">
        <v>11.1</v>
      </c>
      <c r="U705">
        <v>12</v>
      </c>
      <c r="V705" s="2">
        <v>3.2562500000000001</v>
      </c>
      <c r="W705" s="3">
        <v>0.65138888888888891</v>
      </c>
      <c r="X705">
        <v>0</v>
      </c>
      <c r="Y705">
        <v>0</v>
      </c>
      <c r="AA705">
        <v>3</v>
      </c>
      <c r="AB705">
        <v>4</v>
      </c>
      <c r="AC705">
        <v>1</v>
      </c>
      <c r="AD705">
        <v>5</v>
      </c>
      <c r="AF705" t="s">
        <v>1637</v>
      </c>
    </row>
    <row r="706" spans="1:32" x14ac:dyDescent="0.3">
      <c r="A706">
        <v>671</v>
      </c>
      <c r="B706" t="s">
        <v>1638</v>
      </c>
      <c r="C706">
        <v>30</v>
      </c>
      <c r="D706" t="s">
        <v>472</v>
      </c>
      <c r="E706" t="s">
        <v>78</v>
      </c>
      <c r="F706">
        <v>16</v>
      </c>
      <c r="G706">
        <v>1</v>
      </c>
      <c r="H706">
        <v>1</v>
      </c>
      <c r="I706">
        <v>2</v>
      </c>
      <c r="J706">
        <v>2</v>
      </c>
      <c r="K706">
        <v>8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16</v>
      </c>
      <c r="T706">
        <v>6.3</v>
      </c>
      <c r="U706">
        <v>40</v>
      </c>
      <c r="V706" s="2">
        <v>7.4145833333333337</v>
      </c>
      <c r="W706" s="3">
        <v>0.46319444444444446</v>
      </c>
      <c r="X706">
        <v>5</v>
      </c>
      <c r="Y706">
        <v>12</v>
      </c>
      <c r="Z706">
        <v>29.4</v>
      </c>
      <c r="AA706">
        <v>12</v>
      </c>
      <c r="AB706">
        <v>20</v>
      </c>
      <c r="AC706">
        <v>3</v>
      </c>
      <c r="AD706">
        <v>4</v>
      </c>
      <c r="AF706" t="s">
        <v>1639</v>
      </c>
    </row>
    <row r="707" spans="1:32" x14ac:dyDescent="0.3">
      <c r="A707">
        <v>671</v>
      </c>
      <c r="B707" t="s">
        <v>1638</v>
      </c>
      <c r="C707">
        <v>30</v>
      </c>
      <c r="D707" t="s">
        <v>134</v>
      </c>
      <c r="E707" t="s">
        <v>78</v>
      </c>
      <c r="F707">
        <v>13</v>
      </c>
      <c r="G707">
        <v>1</v>
      </c>
      <c r="H707">
        <v>1</v>
      </c>
      <c r="I707">
        <v>2</v>
      </c>
      <c r="J707">
        <v>1</v>
      </c>
      <c r="K707">
        <v>8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14</v>
      </c>
      <c r="T707">
        <v>7.1</v>
      </c>
      <c r="U707">
        <v>35</v>
      </c>
      <c r="V707" s="2">
        <v>6.3201388888888888</v>
      </c>
      <c r="W707" s="3">
        <v>0.4861111111111111</v>
      </c>
      <c r="X707">
        <v>5</v>
      </c>
      <c r="Y707">
        <v>11</v>
      </c>
      <c r="Z707">
        <v>31.3</v>
      </c>
      <c r="AA707">
        <v>10</v>
      </c>
      <c r="AB707">
        <v>16</v>
      </c>
      <c r="AC707">
        <v>2</v>
      </c>
      <c r="AD707">
        <v>4</v>
      </c>
      <c r="AF707" t="s">
        <v>1639</v>
      </c>
    </row>
    <row r="708" spans="1:32" x14ac:dyDescent="0.3">
      <c r="A708">
        <v>671</v>
      </c>
      <c r="B708" t="s">
        <v>1638</v>
      </c>
      <c r="C708">
        <v>30</v>
      </c>
      <c r="D708" t="s">
        <v>306</v>
      </c>
      <c r="E708" t="s">
        <v>78</v>
      </c>
      <c r="F708">
        <v>3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2</v>
      </c>
      <c r="T708">
        <v>0</v>
      </c>
      <c r="U708">
        <v>5</v>
      </c>
      <c r="V708" s="2">
        <v>1.0944444444444446</v>
      </c>
      <c r="W708" s="3">
        <v>0.36458333333333331</v>
      </c>
      <c r="X708">
        <v>0</v>
      </c>
      <c r="Y708">
        <v>1</v>
      </c>
      <c r="Z708">
        <v>0</v>
      </c>
      <c r="AA708">
        <v>2</v>
      </c>
      <c r="AB708">
        <v>4</v>
      </c>
      <c r="AC708">
        <v>1</v>
      </c>
      <c r="AD708">
        <v>0</v>
      </c>
      <c r="AF708" t="s">
        <v>1639</v>
      </c>
    </row>
    <row r="709" spans="1:32" x14ac:dyDescent="0.3">
      <c r="A709">
        <v>672</v>
      </c>
      <c r="B709" t="s">
        <v>1640</v>
      </c>
      <c r="C709">
        <v>23</v>
      </c>
      <c r="D709" t="s">
        <v>109</v>
      </c>
      <c r="E709" t="s">
        <v>87</v>
      </c>
      <c r="F709">
        <v>13</v>
      </c>
      <c r="G709">
        <v>0</v>
      </c>
      <c r="H709">
        <v>2</v>
      </c>
      <c r="I709">
        <v>2</v>
      </c>
      <c r="J709">
        <v>3</v>
      </c>
      <c r="K709">
        <v>4</v>
      </c>
      <c r="L709">
        <v>0</v>
      </c>
      <c r="M709">
        <v>0</v>
      </c>
      <c r="N709">
        <v>0</v>
      </c>
      <c r="O709">
        <v>0</v>
      </c>
      <c r="P709">
        <v>2</v>
      </c>
      <c r="Q709">
        <v>0</v>
      </c>
      <c r="R709">
        <v>0</v>
      </c>
      <c r="S709">
        <v>3</v>
      </c>
      <c r="T709">
        <v>0</v>
      </c>
      <c r="U709">
        <v>16</v>
      </c>
      <c r="V709" s="2">
        <v>6.7020833333333334</v>
      </c>
      <c r="W709" s="3">
        <v>0.51527777777777772</v>
      </c>
      <c r="X709">
        <v>0</v>
      </c>
      <c r="Y709">
        <v>0</v>
      </c>
      <c r="AA709">
        <v>19</v>
      </c>
      <c r="AB709">
        <v>11</v>
      </c>
      <c r="AC709">
        <v>1</v>
      </c>
      <c r="AD709">
        <v>8</v>
      </c>
      <c r="AF709" t="s">
        <v>1641</v>
      </c>
    </row>
    <row r="710" spans="1:32" x14ac:dyDescent="0.3">
      <c r="A710">
        <v>673</v>
      </c>
      <c r="B710" t="s">
        <v>1642</v>
      </c>
      <c r="C710">
        <v>27</v>
      </c>
      <c r="D710" t="s">
        <v>250</v>
      </c>
      <c r="E710" t="s">
        <v>101</v>
      </c>
      <c r="F710">
        <v>8</v>
      </c>
      <c r="G710">
        <v>1</v>
      </c>
      <c r="H710">
        <v>1</v>
      </c>
      <c r="I710">
        <v>2</v>
      </c>
      <c r="J710">
        <v>0</v>
      </c>
      <c r="K710">
        <v>5</v>
      </c>
      <c r="L710">
        <v>1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12</v>
      </c>
      <c r="T710">
        <v>8.3000000000000007</v>
      </c>
      <c r="U710">
        <v>15</v>
      </c>
      <c r="V710" s="2">
        <v>2.5236111111111112</v>
      </c>
      <c r="W710" s="3">
        <v>0.31527777777777777</v>
      </c>
      <c r="X710">
        <v>0</v>
      </c>
      <c r="Y710">
        <v>0</v>
      </c>
      <c r="AA710">
        <v>2</v>
      </c>
      <c r="AB710">
        <v>20</v>
      </c>
      <c r="AC710">
        <v>2</v>
      </c>
      <c r="AD710">
        <v>4</v>
      </c>
      <c r="AF710" t="s">
        <v>1643</v>
      </c>
    </row>
    <row r="711" spans="1:32" x14ac:dyDescent="0.3">
      <c r="A711">
        <v>674</v>
      </c>
      <c r="B711" t="s">
        <v>1644</v>
      </c>
      <c r="C711">
        <v>30</v>
      </c>
      <c r="D711" t="s">
        <v>290</v>
      </c>
      <c r="E711" t="s">
        <v>78</v>
      </c>
      <c r="F711">
        <v>17</v>
      </c>
      <c r="G711">
        <v>1</v>
      </c>
      <c r="H711">
        <v>1</v>
      </c>
      <c r="I711">
        <v>2</v>
      </c>
      <c r="J711">
        <v>2</v>
      </c>
      <c r="K711">
        <v>14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6</v>
      </c>
      <c r="T711">
        <v>16.7</v>
      </c>
      <c r="U711">
        <v>15</v>
      </c>
      <c r="V711" s="2">
        <v>6.3861111111111111</v>
      </c>
      <c r="W711" s="3">
        <v>0.37569444444444444</v>
      </c>
      <c r="X711">
        <v>10</v>
      </c>
      <c r="Y711">
        <v>10</v>
      </c>
      <c r="Z711">
        <v>50</v>
      </c>
      <c r="AA711">
        <v>1</v>
      </c>
      <c r="AB711">
        <v>20</v>
      </c>
      <c r="AC711">
        <v>1</v>
      </c>
      <c r="AD711">
        <v>9</v>
      </c>
      <c r="AF711" t="s">
        <v>1645</v>
      </c>
    </row>
    <row r="712" spans="1:32" x14ac:dyDescent="0.3">
      <c r="A712">
        <v>675</v>
      </c>
      <c r="B712" t="s">
        <v>1646</v>
      </c>
      <c r="C712">
        <v>30</v>
      </c>
      <c r="D712" t="s">
        <v>97</v>
      </c>
      <c r="E712" t="s">
        <v>95</v>
      </c>
      <c r="F712">
        <v>22</v>
      </c>
      <c r="G712">
        <v>0</v>
      </c>
      <c r="H712">
        <v>2</v>
      </c>
      <c r="I712">
        <v>2</v>
      </c>
      <c r="J712">
        <v>-4</v>
      </c>
      <c r="K712">
        <v>4</v>
      </c>
      <c r="L712">
        <v>0</v>
      </c>
      <c r="M712">
        <v>0</v>
      </c>
      <c r="N712">
        <v>0</v>
      </c>
      <c r="O712">
        <v>0</v>
      </c>
      <c r="P712">
        <v>2</v>
      </c>
      <c r="Q712">
        <v>0</v>
      </c>
      <c r="R712">
        <v>0</v>
      </c>
      <c r="S712">
        <v>15</v>
      </c>
      <c r="T712">
        <v>0</v>
      </c>
      <c r="U712">
        <v>25</v>
      </c>
      <c r="V712" s="2">
        <v>9.3152777777777782</v>
      </c>
      <c r="W712" s="3">
        <v>0.4236111111111111</v>
      </c>
      <c r="X712">
        <v>54</v>
      </c>
      <c r="Y712">
        <v>55</v>
      </c>
      <c r="Z712">
        <v>49.5</v>
      </c>
      <c r="AA712">
        <v>13</v>
      </c>
      <c r="AB712">
        <v>37</v>
      </c>
      <c r="AC712">
        <v>2</v>
      </c>
      <c r="AD712">
        <v>4</v>
      </c>
      <c r="AF712" t="s">
        <v>1647</v>
      </c>
    </row>
    <row r="713" spans="1:32" x14ac:dyDescent="0.3">
      <c r="A713">
        <v>676</v>
      </c>
      <c r="B713" t="s">
        <v>1648</v>
      </c>
      <c r="C713">
        <v>22</v>
      </c>
      <c r="D713" t="s">
        <v>72</v>
      </c>
      <c r="E713" t="s">
        <v>87</v>
      </c>
      <c r="F713">
        <v>8</v>
      </c>
      <c r="G713">
        <v>1</v>
      </c>
      <c r="H713">
        <v>1</v>
      </c>
      <c r="I713">
        <v>2</v>
      </c>
      <c r="J713">
        <v>4</v>
      </c>
      <c r="K713">
        <v>10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10</v>
      </c>
      <c r="T713">
        <v>10</v>
      </c>
      <c r="U713">
        <v>24</v>
      </c>
      <c r="V713" s="2">
        <v>4.4229166666666666</v>
      </c>
      <c r="W713" s="3">
        <v>0.55277777777777781</v>
      </c>
      <c r="X713">
        <v>0</v>
      </c>
      <c r="Y713">
        <v>0</v>
      </c>
      <c r="AA713">
        <v>6</v>
      </c>
      <c r="AB713">
        <v>9</v>
      </c>
      <c r="AC713">
        <v>4</v>
      </c>
      <c r="AD713">
        <v>8</v>
      </c>
      <c r="AF713" t="s">
        <v>1649</v>
      </c>
    </row>
    <row r="714" spans="1:32" x14ac:dyDescent="0.3">
      <c r="A714">
        <v>677</v>
      </c>
      <c r="B714" t="s">
        <v>1650</v>
      </c>
      <c r="C714">
        <v>21</v>
      </c>
      <c r="D714" t="s">
        <v>193</v>
      </c>
      <c r="E714" t="s">
        <v>95</v>
      </c>
      <c r="F714">
        <v>8</v>
      </c>
      <c r="G714">
        <v>1</v>
      </c>
      <c r="H714">
        <v>1</v>
      </c>
      <c r="I714">
        <v>2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4</v>
      </c>
      <c r="T714">
        <v>25</v>
      </c>
      <c r="U714">
        <v>13</v>
      </c>
      <c r="V714" s="2">
        <v>3.6284722222222223</v>
      </c>
      <c r="W714" s="3">
        <v>0.45347222222222222</v>
      </c>
      <c r="X714">
        <v>0</v>
      </c>
      <c r="Y714">
        <v>0</v>
      </c>
      <c r="AA714">
        <v>3</v>
      </c>
      <c r="AB714">
        <v>6</v>
      </c>
      <c r="AC714">
        <v>0</v>
      </c>
      <c r="AD714">
        <v>6</v>
      </c>
      <c r="AF714" t="s">
        <v>1651</v>
      </c>
    </row>
    <row r="715" spans="1:32" x14ac:dyDescent="0.3">
      <c r="A715">
        <v>678</v>
      </c>
      <c r="B715" t="s">
        <v>1652</v>
      </c>
      <c r="C715">
        <v>26</v>
      </c>
      <c r="D715" t="s">
        <v>243</v>
      </c>
      <c r="E715" t="s">
        <v>95</v>
      </c>
      <c r="F715">
        <v>7</v>
      </c>
      <c r="G715">
        <v>1</v>
      </c>
      <c r="H715">
        <v>1</v>
      </c>
      <c r="I715">
        <v>2</v>
      </c>
      <c r="J715">
        <v>-2</v>
      </c>
      <c r="K715">
        <v>0</v>
      </c>
      <c r="L715">
        <v>1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0</v>
      </c>
      <c r="S715">
        <v>7</v>
      </c>
      <c r="T715">
        <v>14.3</v>
      </c>
      <c r="U715">
        <v>10</v>
      </c>
      <c r="V715" s="2">
        <v>2.8805555555555555</v>
      </c>
      <c r="W715" s="3">
        <v>0.41180555555555554</v>
      </c>
      <c r="X715">
        <v>0</v>
      </c>
      <c r="Y715">
        <v>0</v>
      </c>
      <c r="AA715">
        <v>4</v>
      </c>
      <c r="AB715">
        <v>4</v>
      </c>
      <c r="AC715">
        <v>1</v>
      </c>
      <c r="AD715">
        <v>1</v>
      </c>
      <c r="AF715" t="s">
        <v>1653</v>
      </c>
    </row>
    <row r="716" spans="1:32" x14ac:dyDescent="0.3">
      <c r="A716">
        <v>679</v>
      </c>
      <c r="B716" t="s">
        <v>1654</v>
      </c>
      <c r="C716">
        <v>22</v>
      </c>
      <c r="D716" t="s">
        <v>103</v>
      </c>
      <c r="E716" t="s">
        <v>87</v>
      </c>
      <c r="F716">
        <v>30</v>
      </c>
      <c r="G716">
        <v>1</v>
      </c>
      <c r="H716">
        <v>1</v>
      </c>
      <c r="I716">
        <v>2</v>
      </c>
      <c r="J716">
        <v>-20</v>
      </c>
      <c r="K716">
        <v>31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29</v>
      </c>
      <c r="T716">
        <v>3.4</v>
      </c>
      <c r="U716">
        <v>68</v>
      </c>
      <c r="V716" s="2">
        <v>16.758333333333333</v>
      </c>
      <c r="W716" s="3">
        <v>0.55833333333333335</v>
      </c>
      <c r="X716">
        <v>0</v>
      </c>
      <c r="Y716">
        <v>0</v>
      </c>
      <c r="AA716">
        <v>18</v>
      </c>
      <c r="AB716">
        <v>33</v>
      </c>
      <c r="AC716">
        <v>4</v>
      </c>
      <c r="AD716">
        <v>24</v>
      </c>
      <c r="AF716" t="s">
        <v>1655</v>
      </c>
    </row>
    <row r="717" spans="1:32" x14ac:dyDescent="0.3">
      <c r="A717">
        <v>680</v>
      </c>
      <c r="B717" t="s">
        <v>1656</v>
      </c>
      <c r="C717">
        <v>36</v>
      </c>
      <c r="D717" t="s">
        <v>97</v>
      </c>
      <c r="E717" t="s">
        <v>332</v>
      </c>
      <c r="F717">
        <v>22</v>
      </c>
      <c r="G717">
        <v>0</v>
      </c>
      <c r="H717">
        <v>2</v>
      </c>
      <c r="I717">
        <v>2</v>
      </c>
      <c r="J717">
        <v>0</v>
      </c>
      <c r="K717">
        <v>6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U717">
        <v>0</v>
      </c>
      <c r="V717" s="2">
        <v>50.988194444444446</v>
      </c>
      <c r="W717" s="2">
        <v>2.317361111111111</v>
      </c>
      <c r="X717">
        <v>0</v>
      </c>
      <c r="Y717">
        <v>0</v>
      </c>
      <c r="AA717">
        <v>0</v>
      </c>
      <c r="AB717">
        <v>0</v>
      </c>
      <c r="AC717">
        <v>0</v>
      </c>
      <c r="AD717">
        <v>12</v>
      </c>
      <c r="AF717" t="s">
        <v>1657</v>
      </c>
    </row>
    <row r="718" spans="1:32" x14ac:dyDescent="0.3">
      <c r="A718">
        <v>681</v>
      </c>
      <c r="B718" t="s">
        <v>1658</v>
      </c>
      <c r="C718">
        <v>27</v>
      </c>
      <c r="D718" t="s">
        <v>103</v>
      </c>
      <c r="E718" t="s">
        <v>101</v>
      </c>
      <c r="F718">
        <v>3</v>
      </c>
      <c r="G718">
        <v>1</v>
      </c>
      <c r="H718">
        <v>1</v>
      </c>
      <c r="I718">
        <v>2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4</v>
      </c>
      <c r="T718">
        <v>25</v>
      </c>
      <c r="U718">
        <v>5</v>
      </c>
      <c r="V718" s="2">
        <v>1.3590277777777777</v>
      </c>
      <c r="W718" s="3">
        <v>0.45277777777777778</v>
      </c>
      <c r="X718">
        <v>4</v>
      </c>
      <c r="Y718">
        <v>1</v>
      </c>
      <c r="Z718">
        <v>80</v>
      </c>
      <c r="AA718">
        <v>2</v>
      </c>
      <c r="AB718">
        <v>0</v>
      </c>
      <c r="AC718">
        <v>1</v>
      </c>
      <c r="AD718">
        <v>2</v>
      </c>
      <c r="AF718" t="s">
        <v>1659</v>
      </c>
    </row>
    <row r="719" spans="1:32" x14ac:dyDescent="0.3">
      <c r="A719">
        <v>682</v>
      </c>
      <c r="B719" t="s">
        <v>1660</v>
      </c>
      <c r="C719">
        <v>29</v>
      </c>
      <c r="D719" t="s">
        <v>150</v>
      </c>
      <c r="E719" t="s">
        <v>87</v>
      </c>
      <c r="F719">
        <v>23</v>
      </c>
      <c r="G719">
        <v>0</v>
      </c>
      <c r="H719">
        <v>2</v>
      </c>
      <c r="I719">
        <v>2</v>
      </c>
      <c r="J719">
        <v>-8</v>
      </c>
      <c r="K719">
        <v>14</v>
      </c>
      <c r="L719">
        <v>0</v>
      </c>
      <c r="M719">
        <v>0</v>
      </c>
      <c r="N719">
        <v>0</v>
      </c>
      <c r="O719">
        <v>0</v>
      </c>
      <c r="P719">
        <v>2</v>
      </c>
      <c r="Q719">
        <v>0</v>
      </c>
      <c r="R719">
        <v>0</v>
      </c>
      <c r="S719">
        <v>24</v>
      </c>
      <c r="T719">
        <v>0</v>
      </c>
      <c r="U719">
        <v>57</v>
      </c>
      <c r="V719" s="2">
        <v>13.301388888888889</v>
      </c>
      <c r="W719" s="3">
        <v>0.57847222222222228</v>
      </c>
      <c r="X719">
        <v>0</v>
      </c>
      <c r="Y719">
        <v>0</v>
      </c>
      <c r="AA719">
        <v>29</v>
      </c>
      <c r="AB719">
        <v>36</v>
      </c>
      <c r="AC719">
        <v>3</v>
      </c>
      <c r="AD719">
        <v>16</v>
      </c>
      <c r="AF719" t="s">
        <v>1661</v>
      </c>
    </row>
    <row r="720" spans="1:32" x14ac:dyDescent="0.3">
      <c r="A720">
        <v>683</v>
      </c>
      <c r="B720" t="s">
        <v>1662</v>
      </c>
      <c r="C720">
        <v>20</v>
      </c>
      <c r="D720" t="s">
        <v>72</v>
      </c>
      <c r="E720" t="s">
        <v>101</v>
      </c>
      <c r="F720">
        <v>8</v>
      </c>
      <c r="G720">
        <v>2</v>
      </c>
      <c r="H720">
        <v>0</v>
      </c>
      <c r="I720">
        <v>2</v>
      </c>
      <c r="J720">
        <v>-2</v>
      </c>
      <c r="K720">
        <v>0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8</v>
      </c>
      <c r="T720">
        <v>25</v>
      </c>
      <c r="U720">
        <v>22</v>
      </c>
      <c r="V720" s="2">
        <v>3.95</v>
      </c>
      <c r="W720" s="3">
        <v>0.49375000000000002</v>
      </c>
      <c r="X720">
        <v>0</v>
      </c>
      <c r="Y720">
        <v>1</v>
      </c>
      <c r="Z720">
        <v>0</v>
      </c>
      <c r="AA720">
        <v>4</v>
      </c>
      <c r="AB720">
        <v>12</v>
      </c>
      <c r="AC720">
        <v>0</v>
      </c>
      <c r="AD720">
        <v>7</v>
      </c>
      <c r="AF720" t="s">
        <v>1663</v>
      </c>
    </row>
    <row r="721" spans="1:32" x14ac:dyDescent="0.3">
      <c r="A721">
        <v>684</v>
      </c>
      <c r="B721" t="s">
        <v>1664</v>
      </c>
      <c r="C721">
        <v>24</v>
      </c>
      <c r="D721" t="s">
        <v>164</v>
      </c>
      <c r="E721" t="s">
        <v>95</v>
      </c>
      <c r="F721">
        <v>10</v>
      </c>
      <c r="G721">
        <v>2</v>
      </c>
      <c r="H721">
        <v>0</v>
      </c>
      <c r="I721">
        <v>2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7</v>
      </c>
      <c r="T721">
        <v>28.6</v>
      </c>
      <c r="U721">
        <v>14</v>
      </c>
      <c r="V721" s="2">
        <v>3.6</v>
      </c>
      <c r="W721" s="3">
        <v>0.35972222222222222</v>
      </c>
      <c r="X721">
        <v>27</v>
      </c>
      <c r="Y721">
        <v>38</v>
      </c>
      <c r="Z721">
        <v>41.5</v>
      </c>
      <c r="AA721">
        <v>6</v>
      </c>
      <c r="AB721">
        <v>9</v>
      </c>
      <c r="AC721">
        <v>2</v>
      </c>
      <c r="AD721">
        <v>3</v>
      </c>
      <c r="AF721" t="s">
        <v>1665</v>
      </c>
    </row>
    <row r="722" spans="1:32" x14ac:dyDescent="0.3">
      <c r="A722">
        <v>685</v>
      </c>
      <c r="B722" t="s">
        <v>1666</v>
      </c>
      <c r="C722">
        <v>24</v>
      </c>
      <c r="D722" t="s">
        <v>472</v>
      </c>
      <c r="E722" t="s">
        <v>87</v>
      </c>
      <c r="F722">
        <v>15</v>
      </c>
      <c r="G722">
        <v>0</v>
      </c>
      <c r="H722">
        <v>2</v>
      </c>
      <c r="I722">
        <v>2</v>
      </c>
      <c r="J722">
        <v>-1</v>
      </c>
      <c r="K722">
        <v>32</v>
      </c>
      <c r="L722">
        <v>0</v>
      </c>
      <c r="M722">
        <v>0</v>
      </c>
      <c r="N722">
        <v>0</v>
      </c>
      <c r="O722">
        <v>0</v>
      </c>
      <c r="P722">
        <v>2</v>
      </c>
      <c r="Q722">
        <v>0</v>
      </c>
      <c r="R722">
        <v>0</v>
      </c>
      <c r="S722">
        <v>9</v>
      </c>
      <c r="T722">
        <v>0</v>
      </c>
      <c r="U722">
        <v>30</v>
      </c>
      <c r="V722" s="2">
        <v>8.1812500000000004</v>
      </c>
      <c r="W722" s="3">
        <v>0.54513888888888884</v>
      </c>
      <c r="X722">
        <v>0</v>
      </c>
      <c r="Y722">
        <v>0</v>
      </c>
      <c r="AA722">
        <v>12</v>
      </c>
      <c r="AB722">
        <v>25</v>
      </c>
      <c r="AC722">
        <v>2</v>
      </c>
      <c r="AD722">
        <v>14</v>
      </c>
      <c r="AF722" t="s">
        <v>1667</v>
      </c>
    </row>
    <row r="723" spans="1:32" x14ac:dyDescent="0.3">
      <c r="A723">
        <v>685</v>
      </c>
      <c r="B723" t="s">
        <v>1666</v>
      </c>
      <c r="C723">
        <v>24</v>
      </c>
      <c r="D723" t="s">
        <v>243</v>
      </c>
      <c r="E723" t="s">
        <v>87</v>
      </c>
      <c r="F723">
        <v>2</v>
      </c>
      <c r="G723">
        <v>0</v>
      </c>
      <c r="H723">
        <v>0</v>
      </c>
      <c r="I723">
        <v>0</v>
      </c>
      <c r="J723">
        <v>-1</v>
      </c>
      <c r="K723">
        <v>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5</v>
      </c>
      <c r="V723" s="2">
        <v>1.26875</v>
      </c>
      <c r="W723" s="3">
        <v>0.63472222222222219</v>
      </c>
      <c r="X723">
        <v>0</v>
      </c>
      <c r="Y723">
        <v>0</v>
      </c>
      <c r="AA723">
        <v>0</v>
      </c>
      <c r="AB723">
        <v>1</v>
      </c>
      <c r="AC723">
        <v>0</v>
      </c>
      <c r="AD723">
        <v>1</v>
      </c>
      <c r="AF723" t="s">
        <v>1667</v>
      </c>
    </row>
    <row r="724" spans="1:32" x14ac:dyDescent="0.3">
      <c r="A724">
        <v>685</v>
      </c>
      <c r="B724" t="s">
        <v>1666</v>
      </c>
      <c r="C724">
        <v>24</v>
      </c>
      <c r="D724" t="s">
        <v>164</v>
      </c>
      <c r="E724" t="s">
        <v>87</v>
      </c>
      <c r="F724">
        <v>13</v>
      </c>
      <c r="G724">
        <v>0</v>
      </c>
      <c r="H724">
        <v>2</v>
      </c>
      <c r="I724">
        <v>2</v>
      </c>
      <c r="J724">
        <v>0</v>
      </c>
      <c r="K724">
        <v>27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</v>
      </c>
      <c r="R724">
        <v>0</v>
      </c>
      <c r="S724">
        <v>8</v>
      </c>
      <c r="T724">
        <v>0</v>
      </c>
      <c r="U724">
        <v>25</v>
      </c>
      <c r="V724" s="2">
        <v>6.9124999999999996</v>
      </c>
      <c r="W724" s="3">
        <v>0.53194444444444444</v>
      </c>
      <c r="X724">
        <v>0</v>
      </c>
      <c r="Y724">
        <v>0</v>
      </c>
      <c r="AA724">
        <v>12</v>
      </c>
      <c r="AB724">
        <v>24</v>
      </c>
      <c r="AC724">
        <v>2</v>
      </c>
      <c r="AD724">
        <v>13</v>
      </c>
      <c r="AF724" t="s">
        <v>1667</v>
      </c>
    </row>
    <row r="725" spans="1:32" x14ac:dyDescent="0.3">
      <c r="A725">
        <v>686</v>
      </c>
      <c r="B725" t="s">
        <v>1668</v>
      </c>
      <c r="C725">
        <v>24</v>
      </c>
      <c r="D725" t="s">
        <v>134</v>
      </c>
      <c r="E725" t="s">
        <v>332</v>
      </c>
      <c r="F725">
        <v>19</v>
      </c>
      <c r="G725">
        <v>0</v>
      </c>
      <c r="H725">
        <v>2</v>
      </c>
      <c r="I725">
        <v>2</v>
      </c>
      <c r="J725">
        <v>0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U725">
        <v>0</v>
      </c>
      <c r="V725" s="2">
        <v>45.554166666666667</v>
      </c>
      <c r="W725" s="2">
        <v>2.3979166666666667</v>
      </c>
      <c r="X725">
        <v>0</v>
      </c>
      <c r="Y725">
        <v>0</v>
      </c>
      <c r="AA725">
        <v>0</v>
      </c>
      <c r="AB725">
        <v>0</v>
      </c>
      <c r="AC725">
        <v>0</v>
      </c>
      <c r="AD725">
        <v>8</v>
      </c>
      <c r="AF725" t="s">
        <v>1669</v>
      </c>
    </row>
    <row r="726" spans="1:32" x14ac:dyDescent="0.3">
      <c r="A726">
        <v>687</v>
      </c>
      <c r="B726" t="s">
        <v>1670</v>
      </c>
      <c r="C726">
        <v>36</v>
      </c>
      <c r="D726" t="s">
        <v>306</v>
      </c>
      <c r="E726" t="s">
        <v>87</v>
      </c>
      <c r="F726">
        <v>15</v>
      </c>
      <c r="G726">
        <v>0</v>
      </c>
      <c r="H726">
        <v>2</v>
      </c>
      <c r="I726">
        <v>2</v>
      </c>
      <c r="J726">
        <v>-1</v>
      </c>
      <c r="K726">
        <v>11</v>
      </c>
      <c r="L726">
        <v>0</v>
      </c>
      <c r="M726">
        <v>0</v>
      </c>
      <c r="N726">
        <v>0</v>
      </c>
      <c r="O726">
        <v>0</v>
      </c>
      <c r="P726">
        <v>2</v>
      </c>
      <c r="Q726">
        <v>0</v>
      </c>
      <c r="R726">
        <v>0</v>
      </c>
      <c r="S726">
        <v>10</v>
      </c>
      <c r="T726">
        <v>0</v>
      </c>
      <c r="U726">
        <v>21</v>
      </c>
      <c r="V726" s="2">
        <v>6.9236111111111107</v>
      </c>
      <c r="W726" s="3">
        <v>0.46180555555555558</v>
      </c>
      <c r="X726">
        <v>0</v>
      </c>
      <c r="Y726">
        <v>0</v>
      </c>
      <c r="AA726">
        <v>11</v>
      </c>
      <c r="AB726">
        <v>12</v>
      </c>
      <c r="AC726">
        <v>5</v>
      </c>
      <c r="AD726">
        <v>15</v>
      </c>
      <c r="AF726" t="s">
        <v>1671</v>
      </c>
    </row>
    <row r="727" spans="1:32" x14ac:dyDescent="0.3">
      <c r="A727">
        <v>688</v>
      </c>
      <c r="B727" t="s">
        <v>1672</v>
      </c>
      <c r="C727">
        <v>25</v>
      </c>
      <c r="D727" t="s">
        <v>216</v>
      </c>
      <c r="E727" t="s">
        <v>87</v>
      </c>
      <c r="F727">
        <v>12</v>
      </c>
      <c r="G727">
        <v>0</v>
      </c>
      <c r="H727">
        <v>2</v>
      </c>
      <c r="I727">
        <v>2</v>
      </c>
      <c r="J727">
        <v>-1</v>
      </c>
      <c r="K727">
        <v>4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10</v>
      </c>
      <c r="T727">
        <v>0</v>
      </c>
      <c r="U727">
        <v>31</v>
      </c>
      <c r="V727" s="2">
        <v>6.0152777777777775</v>
      </c>
      <c r="W727" s="3">
        <v>0.50138888888888888</v>
      </c>
      <c r="X727">
        <v>0</v>
      </c>
      <c r="Y727">
        <v>0</v>
      </c>
      <c r="AA727">
        <v>17</v>
      </c>
      <c r="AB727">
        <v>15</v>
      </c>
      <c r="AC727">
        <v>2</v>
      </c>
      <c r="AD727">
        <v>4</v>
      </c>
      <c r="AF727" t="s">
        <v>1673</v>
      </c>
    </row>
    <row r="728" spans="1:32" x14ac:dyDescent="0.3">
      <c r="A728">
        <v>689</v>
      </c>
      <c r="B728" t="s">
        <v>1674</v>
      </c>
      <c r="C728">
        <v>34</v>
      </c>
      <c r="D728" t="s">
        <v>210</v>
      </c>
      <c r="E728" t="s">
        <v>101</v>
      </c>
      <c r="F728">
        <v>32</v>
      </c>
      <c r="G728">
        <v>0</v>
      </c>
      <c r="H728">
        <v>2</v>
      </c>
      <c r="I728">
        <v>2</v>
      </c>
      <c r="J728">
        <v>-9</v>
      </c>
      <c r="K728">
        <v>19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0</v>
      </c>
      <c r="R728">
        <v>0</v>
      </c>
      <c r="S728">
        <v>22</v>
      </c>
      <c r="T728">
        <v>0</v>
      </c>
      <c r="U728">
        <v>42</v>
      </c>
      <c r="V728" s="2">
        <v>12.970138888888888</v>
      </c>
      <c r="W728" s="3">
        <v>0.40555555555555556</v>
      </c>
      <c r="X728">
        <v>3</v>
      </c>
      <c r="Y728">
        <v>11</v>
      </c>
      <c r="Z728">
        <v>21.4</v>
      </c>
      <c r="AA728">
        <v>18</v>
      </c>
      <c r="AB728">
        <v>89</v>
      </c>
      <c r="AC728">
        <v>4</v>
      </c>
      <c r="AD728">
        <v>19</v>
      </c>
      <c r="AF728" t="s">
        <v>1675</v>
      </c>
    </row>
    <row r="729" spans="1:32" x14ac:dyDescent="0.3">
      <c r="A729">
        <v>690</v>
      </c>
      <c r="B729" t="s">
        <v>1676</v>
      </c>
      <c r="C729">
        <v>36</v>
      </c>
      <c r="D729" t="s">
        <v>150</v>
      </c>
      <c r="E729" t="s">
        <v>87</v>
      </c>
      <c r="F729">
        <v>11</v>
      </c>
      <c r="G729">
        <v>0</v>
      </c>
      <c r="H729">
        <v>2</v>
      </c>
      <c r="I729">
        <v>2</v>
      </c>
      <c r="J729">
        <v>8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0</v>
      </c>
      <c r="R729">
        <v>0</v>
      </c>
      <c r="S729">
        <v>8</v>
      </c>
      <c r="T729">
        <v>0</v>
      </c>
      <c r="U729">
        <v>18</v>
      </c>
      <c r="V729" s="2">
        <v>8.2375000000000007</v>
      </c>
      <c r="W729" s="3">
        <v>0.74861111111111112</v>
      </c>
      <c r="X729">
        <v>0</v>
      </c>
      <c r="Y729">
        <v>0</v>
      </c>
      <c r="AA729">
        <v>15</v>
      </c>
      <c r="AB729">
        <v>2</v>
      </c>
      <c r="AC729">
        <v>5</v>
      </c>
      <c r="AD729">
        <v>8</v>
      </c>
      <c r="AF729" t="s">
        <v>1677</v>
      </c>
    </row>
    <row r="730" spans="1:32" x14ac:dyDescent="0.3">
      <c r="A730">
        <v>691</v>
      </c>
      <c r="B730" t="s">
        <v>1678</v>
      </c>
      <c r="C730">
        <v>25</v>
      </c>
      <c r="D730" t="s">
        <v>204</v>
      </c>
      <c r="E730" t="s">
        <v>87</v>
      </c>
      <c r="F730">
        <v>40</v>
      </c>
      <c r="G730">
        <v>1</v>
      </c>
      <c r="H730">
        <v>1</v>
      </c>
      <c r="I730">
        <v>2</v>
      </c>
      <c r="J730">
        <v>-3</v>
      </c>
      <c r="K730">
        <v>85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29</v>
      </c>
      <c r="T730">
        <v>3.4</v>
      </c>
      <c r="U730">
        <v>82</v>
      </c>
      <c r="V730" s="2">
        <v>19.577083333333334</v>
      </c>
      <c r="W730" s="3">
        <v>0.48958333333333331</v>
      </c>
      <c r="X730">
        <v>0</v>
      </c>
      <c r="Y730">
        <v>0</v>
      </c>
      <c r="AA730">
        <v>28</v>
      </c>
      <c r="AB730">
        <v>102</v>
      </c>
      <c r="AC730">
        <v>2</v>
      </c>
      <c r="AD730">
        <v>25</v>
      </c>
      <c r="AF730" t="s">
        <v>1679</v>
      </c>
    </row>
    <row r="731" spans="1:32" x14ac:dyDescent="0.3">
      <c r="A731">
        <v>692</v>
      </c>
      <c r="B731" t="s">
        <v>1680</v>
      </c>
      <c r="C731">
        <v>28</v>
      </c>
      <c r="D731" t="s">
        <v>216</v>
      </c>
      <c r="E731" t="s">
        <v>87</v>
      </c>
      <c r="F731">
        <v>6</v>
      </c>
      <c r="G731">
        <v>0</v>
      </c>
      <c r="H731">
        <v>1</v>
      </c>
      <c r="I731">
        <v>1</v>
      </c>
      <c r="J731">
        <v>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2</v>
      </c>
      <c r="T731">
        <v>0</v>
      </c>
      <c r="U731">
        <v>8</v>
      </c>
      <c r="V731" s="2">
        <v>2.838888888888889</v>
      </c>
      <c r="W731" s="3">
        <v>0.47291666666666665</v>
      </c>
      <c r="X731">
        <v>0</v>
      </c>
      <c r="Y731">
        <v>0</v>
      </c>
      <c r="AA731">
        <v>4</v>
      </c>
      <c r="AB731">
        <v>5</v>
      </c>
      <c r="AC731">
        <v>0</v>
      </c>
      <c r="AD731">
        <v>2</v>
      </c>
      <c r="AF731" t="s">
        <v>1681</v>
      </c>
    </row>
    <row r="732" spans="1:32" x14ac:dyDescent="0.3">
      <c r="A732">
        <v>693</v>
      </c>
      <c r="B732" t="s">
        <v>1682</v>
      </c>
      <c r="C732">
        <v>29</v>
      </c>
      <c r="D732" t="s">
        <v>109</v>
      </c>
      <c r="E732" t="s">
        <v>95</v>
      </c>
      <c r="F732">
        <v>4</v>
      </c>
      <c r="G732">
        <v>0</v>
      </c>
      <c r="H732">
        <v>1</v>
      </c>
      <c r="I732">
        <v>1</v>
      </c>
      <c r="J732">
        <v>1</v>
      </c>
      <c r="K732">
        <v>6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4</v>
      </c>
      <c r="T732">
        <v>0</v>
      </c>
      <c r="U732">
        <v>10</v>
      </c>
      <c r="V732" s="2">
        <v>2.0222222222222221</v>
      </c>
      <c r="W732" s="3">
        <v>0.50555555555555554</v>
      </c>
      <c r="X732">
        <v>0</v>
      </c>
      <c r="Y732">
        <v>5</v>
      </c>
      <c r="Z732">
        <v>0</v>
      </c>
      <c r="AA732">
        <v>4</v>
      </c>
      <c r="AB732">
        <v>4</v>
      </c>
      <c r="AC732">
        <v>1</v>
      </c>
      <c r="AD732">
        <v>1</v>
      </c>
      <c r="AF732" t="s">
        <v>1683</v>
      </c>
    </row>
    <row r="733" spans="1:32" x14ac:dyDescent="0.3">
      <c r="A733">
        <v>694</v>
      </c>
      <c r="B733" t="s">
        <v>1684</v>
      </c>
      <c r="C733">
        <v>21</v>
      </c>
      <c r="D733" t="s">
        <v>204</v>
      </c>
      <c r="E733" t="s">
        <v>78</v>
      </c>
      <c r="F733">
        <v>13</v>
      </c>
      <c r="G733">
        <v>1</v>
      </c>
      <c r="H733">
        <v>0</v>
      </c>
      <c r="I733">
        <v>1</v>
      </c>
      <c r="J733">
        <v>4</v>
      </c>
      <c r="K733">
        <v>6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11</v>
      </c>
      <c r="T733">
        <v>9.1</v>
      </c>
      <c r="U733">
        <v>24</v>
      </c>
      <c r="V733" s="2">
        <v>4.9694444444444441</v>
      </c>
      <c r="W733" s="3">
        <v>0.38194444444444442</v>
      </c>
      <c r="X733">
        <v>39</v>
      </c>
      <c r="Y733">
        <v>26</v>
      </c>
      <c r="Z733">
        <v>60</v>
      </c>
      <c r="AA733">
        <v>6</v>
      </c>
      <c r="AB733">
        <v>22</v>
      </c>
      <c r="AC733">
        <v>1</v>
      </c>
      <c r="AD733">
        <v>8</v>
      </c>
      <c r="AF733" t="s">
        <v>1685</v>
      </c>
    </row>
    <row r="734" spans="1:32" x14ac:dyDescent="0.3">
      <c r="A734">
        <v>695</v>
      </c>
      <c r="B734" t="s">
        <v>324</v>
      </c>
      <c r="C734">
        <v>32</v>
      </c>
      <c r="D734" t="s">
        <v>103</v>
      </c>
      <c r="E734" t="s">
        <v>332</v>
      </c>
      <c r="F734">
        <v>26</v>
      </c>
      <c r="G734">
        <v>0</v>
      </c>
      <c r="H734">
        <v>1</v>
      </c>
      <c r="I734">
        <v>1</v>
      </c>
      <c r="J734">
        <v>0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U734">
        <v>0</v>
      </c>
      <c r="V734" s="2">
        <v>59.112499999999997</v>
      </c>
      <c r="W734" s="2">
        <v>2.2736111111111112</v>
      </c>
      <c r="X734">
        <v>0</v>
      </c>
      <c r="Y734">
        <v>0</v>
      </c>
      <c r="AA734">
        <v>0</v>
      </c>
      <c r="AB734">
        <v>0</v>
      </c>
      <c r="AC734">
        <v>0</v>
      </c>
      <c r="AD734">
        <v>14</v>
      </c>
      <c r="AF734" t="s">
        <v>1686</v>
      </c>
    </row>
    <row r="735" spans="1:32" x14ac:dyDescent="0.3">
      <c r="A735">
        <v>696</v>
      </c>
      <c r="B735" t="s">
        <v>1687</v>
      </c>
      <c r="C735">
        <v>31</v>
      </c>
      <c r="D735" t="s">
        <v>193</v>
      </c>
      <c r="E735" t="s">
        <v>78</v>
      </c>
      <c r="F735">
        <v>2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2</v>
      </c>
      <c r="T735">
        <v>50</v>
      </c>
      <c r="U735">
        <v>2</v>
      </c>
      <c r="V735" s="2">
        <v>1.3187500000000001</v>
      </c>
      <c r="W735" s="3">
        <v>0.65972222222222221</v>
      </c>
      <c r="X735">
        <v>9</v>
      </c>
      <c r="Y735">
        <v>17</v>
      </c>
      <c r="Z735">
        <v>34.6</v>
      </c>
      <c r="AA735">
        <v>3</v>
      </c>
      <c r="AB735">
        <v>3</v>
      </c>
      <c r="AC735">
        <v>0</v>
      </c>
      <c r="AD735">
        <v>1</v>
      </c>
      <c r="AF735" t="s">
        <v>1688</v>
      </c>
    </row>
    <row r="736" spans="1:32" x14ac:dyDescent="0.3">
      <c r="A736">
        <v>697</v>
      </c>
      <c r="B736" t="s">
        <v>1689</v>
      </c>
      <c r="C736">
        <v>37</v>
      </c>
      <c r="D736" t="s">
        <v>164</v>
      </c>
      <c r="E736" t="s">
        <v>332</v>
      </c>
      <c r="F736">
        <v>30</v>
      </c>
      <c r="G736">
        <v>0</v>
      </c>
      <c r="H736">
        <v>1</v>
      </c>
      <c r="I736">
        <v>1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U736">
        <v>0</v>
      </c>
      <c r="V736" s="2">
        <v>73.392361111111114</v>
      </c>
      <c r="W736" s="2">
        <v>2.4465277777777779</v>
      </c>
      <c r="X736">
        <v>0</v>
      </c>
      <c r="Y736">
        <v>0</v>
      </c>
      <c r="AA736">
        <v>0</v>
      </c>
      <c r="AB736">
        <v>0</v>
      </c>
      <c r="AC736">
        <v>0</v>
      </c>
      <c r="AD736">
        <v>14</v>
      </c>
      <c r="AF736" t="s">
        <v>1690</v>
      </c>
    </row>
    <row r="737" spans="1:32" x14ac:dyDescent="0.3">
      <c r="A737">
        <v>698</v>
      </c>
      <c r="B737" t="s">
        <v>1691</v>
      </c>
      <c r="C737">
        <v>25</v>
      </c>
      <c r="D737" t="s">
        <v>188</v>
      </c>
      <c r="E737" t="s">
        <v>87</v>
      </c>
      <c r="F737">
        <v>12</v>
      </c>
      <c r="G737">
        <v>0</v>
      </c>
      <c r="H737">
        <v>1</v>
      </c>
      <c r="I737">
        <v>1</v>
      </c>
      <c r="J737">
        <v>-1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5</v>
      </c>
      <c r="T737">
        <v>0</v>
      </c>
      <c r="U737">
        <v>18</v>
      </c>
      <c r="V737" s="2">
        <v>6.3319444444444448</v>
      </c>
      <c r="W737" s="3">
        <v>0.52777777777777779</v>
      </c>
      <c r="X737">
        <v>0</v>
      </c>
      <c r="Y737">
        <v>0</v>
      </c>
      <c r="AA737">
        <v>12</v>
      </c>
      <c r="AB737">
        <v>4</v>
      </c>
      <c r="AC737">
        <v>1</v>
      </c>
      <c r="AD737">
        <v>7</v>
      </c>
      <c r="AF737" t="s">
        <v>1692</v>
      </c>
    </row>
    <row r="738" spans="1:32" x14ac:dyDescent="0.3">
      <c r="A738">
        <v>699</v>
      </c>
      <c r="B738" t="s">
        <v>1693</v>
      </c>
      <c r="C738">
        <v>20</v>
      </c>
      <c r="D738" t="s">
        <v>221</v>
      </c>
      <c r="E738" t="s">
        <v>380</v>
      </c>
      <c r="F738">
        <v>9</v>
      </c>
      <c r="G738">
        <v>0</v>
      </c>
      <c r="H738">
        <v>1</v>
      </c>
      <c r="I738">
        <v>1</v>
      </c>
      <c r="J738">
        <v>-5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14</v>
      </c>
      <c r="T738">
        <v>0</v>
      </c>
      <c r="U738">
        <v>35</v>
      </c>
      <c r="V738" s="2">
        <v>4.6687500000000002</v>
      </c>
      <c r="W738" s="3">
        <v>0.51875000000000004</v>
      </c>
      <c r="X738">
        <v>0</v>
      </c>
      <c r="Y738">
        <v>0</v>
      </c>
      <c r="AA738">
        <v>3</v>
      </c>
      <c r="AB738">
        <v>28</v>
      </c>
      <c r="AC738">
        <v>2</v>
      </c>
      <c r="AD738">
        <v>10</v>
      </c>
      <c r="AF738" t="s">
        <v>1694</v>
      </c>
    </row>
    <row r="739" spans="1:32" x14ac:dyDescent="0.3">
      <c r="A739">
        <v>700</v>
      </c>
      <c r="B739" t="s">
        <v>1695</v>
      </c>
      <c r="C739">
        <v>19</v>
      </c>
      <c r="D739" t="s">
        <v>134</v>
      </c>
      <c r="E739" t="s">
        <v>87</v>
      </c>
      <c r="F739">
        <v>9</v>
      </c>
      <c r="G739">
        <v>1</v>
      </c>
      <c r="H739">
        <v>0</v>
      </c>
      <c r="I739">
        <v>1</v>
      </c>
      <c r="J739">
        <v>-4</v>
      </c>
      <c r="K739">
        <v>6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8</v>
      </c>
      <c r="T739">
        <v>12.5</v>
      </c>
      <c r="U739">
        <v>22</v>
      </c>
      <c r="V739" s="2">
        <v>5.8930555555555557</v>
      </c>
      <c r="W739" s="3">
        <v>0.65486111111111112</v>
      </c>
      <c r="X739">
        <v>0</v>
      </c>
      <c r="Y739">
        <v>0</v>
      </c>
      <c r="AA739">
        <v>13</v>
      </c>
      <c r="AB739">
        <v>4</v>
      </c>
      <c r="AC739">
        <v>1</v>
      </c>
      <c r="AD739">
        <v>14</v>
      </c>
      <c r="AF739" t="s">
        <v>1696</v>
      </c>
    </row>
    <row r="740" spans="1:32" x14ac:dyDescent="0.3">
      <c r="A740">
        <v>701</v>
      </c>
      <c r="B740" t="s">
        <v>1697</v>
      </c>
      <c r="C740">
        <v>21</v>
      </c>
      <c r="D740" t="s">
        <v>82</v>
      </c>
      <c r="E740" t="s">
        <v>87</v>
      </c>
      <c r="F740">
        <v>12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12</v>
      </c>
      <c r="T740">
        <v>0</v>
      </c>
      <c r="U740">
        <v>32</v>
      </c>
      <c r="V740" s="2">
        <v>6.8506944444444446</v>
      </c>
      <c r="W740" s="3">
        <v>0.5708333333333333</v>
      </c>
      <c r="X740">
        <v>0</v>
      </c>
      <c r="Y740">
        <v>0</v>
      </c>
      <c r="AA740">
        <v>3</v>
      </c>
      <c r="AB740">
        <v>6</v>
      </c>
      <c r="AC740">
        <v>0</v>
      </c>
      <c r="AD740">
        <v>6</v>
      </c>
      <c r="AF740" t="s">
        <v>1698</v>
      </c>
    </row>
    <row r="741" spans="1:32" x14ac:dyDescent="0.3">
      <c r="A741">
        <v>702</v>
      </c>
      <c r="B741" t="s">
        <v>1699</v>
      </c>
      <c r="C741">
        <v>27</v>
      </c>
      <c r="D741" t="s">
        <v>72</v>
      </c>
      <c r="E741" t="s">
        <v>332</v>
      </c>
      <c r="F741">
        <v>18</v>
      </c>
      <c r="G741">
        <v>0</v>
      </c>
      <c r="H741">
        <v>1</v>
      </c>
      <c r="I741">
        <v>1</v>
      </c>
      <c r="J741">
        <v>0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U741">
        <v>0</v>
      </c>
      <c r="V741" s="2">
        <v>45.818750000000001</v>
      </c>
      <c r="W741" s="2">
        <v>2.5458333333333334</v>
      </c>
      <c r="X741">
        <v>0</v>
      </c>
      <c r="Y741">
        <v>0</v>
      </c>
      <c r="AA741">
        <v>0</v>
      </c>
      <c r="AB741">
        <v>0</v>
      </c>
      <c r="AC741">
        <v>0</v>
      </c>
      <c r="AD741">
        <v>14</v>
      </c>
      <c r="AF741" t="s">
        <v>1700</v>
      </c>
    </row>
    <row r="742" spans="1:32" x14ac:dyDescent="0.3">
      <c r="A742">
        <v>703</v>
      </c>
      <c r="B742" t="s">
        <v>1701</v>
      </c>
      <c r="C742">
        <v>23</v>
      </c>
      <c r="D742" t="s">
        <v>116</v>
      </c>
      <c r="E742" t="s">
        <v>95</v>
      </c>
      <c r="F742">
        <v>7</v>
      </c>
      <c r="G742">
        <v>1</v>
      </c>
      <c r="H742">
        <v>0</v>
      </c>
      <c r="I742">
        <v>1</v>
      </c>
      <c r="J742">
        <v>-3</v>
      </c>
      <c r="K742">
        <v>2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6</v>
      </c>
      <c r="T742">
        <v>16.7</v>
      </c>
      <c r="U742">
        <v>19</v>
      </c>
      <c r="V742" s="2">
        <v>3.4798611111111111</v>
      </c>
      <c r="W742" s="3">
        <v>0.49722222222222223</v>
      </c>
      <c r="X742">
        <v>0</v>
      </c>
      <c r="Y742">
        <v>0</v>
      </c>
      <c r="AA742">
        <v>1</v>
      </c>
      <c r="AB742">
        <v>9</v>
      </c>
      <c r="AC742">
        <v>3</v>
      </c>
      <c r="AD742">
        <v>5</v>
      </c>
      <c r="AF742" t="s">
        <v>1702</v>
      </c>
    </row>
    <row r="743" spans="1:32" x14ac:dyDescent="0.3">
      <c r="A743">
        <v>704</v>
      </c>
      <c r="B743" t="s">
        <v>1703</v>
      </c>
      <c r="C743">
        <v>27</v>
      </c>
      <c r="D743" t="s">
        <v>97</v>
      </c>
      <c r="E743" t="s">
        <v>87</v>
      </c>
      <c r="F743">
        <v>15</v>
      </c>
      <c r="G743">
        <v>0</v>
      </c>
      <c r="H743">
        <v>1</v>
      </c>
      <c r="I743">
        <v>1</v>
      </c>
      <c r="J743">
        <v>-5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10</v>
      </c>
      <c r="T743">
        <v>0</v>
      </c>
      <c r="U743">
        <v>22</v>
      </c>
      <c r="V743" s="2">
        <v>9.0388888888888896</v>
      </c>
      <c r="W743" s="3">
        <v>0.60277777777777775</v>
      </c>
      <c r="X743">
        <v>0</v>
      </c>
      <c r="Y743">
        <v>0</v>
      </c>
      <c r="AA743">
        <v>15</v>
      </c>
      <c r="AB743">
        <v>3</v>
      </c>
      <c r="AC743">
        <v>4</v>
      </c>
      <c r="AD743">
        <v>15</v>
      </c>
      <c r="AF743" t="s">
        <v>1704</v>
      </c>
    </row>
    <row r="744" spans="1:32" x14ac:dyDescent="0.3">
      <c r="A744">
        <v>705</v>
      </c>
      <c r="B744" t="s">
        <v>1705</v>
      </c>
      <c r="C744">
        <v>26</v>
      </c>
      <c r="D744" t="s">
        <v>306</v>
      </c>
      <c r="E744" t="s">
        <v>87</v>
      </c>
      <c r="F744">
        <v>26</v>
      </c>
      <c r="G744">
        <v>0</v>
      </c>
      <c r="H744">
        <v>1</v>
      </c>
      <c r="I744">
        <v>1</v>
      </c>
      <c r="J744">
        <v>-9</v>
      </c>
      <c r="K744">
        <v>4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18</v>
      </c>
      <c r="T744">
        <v>0</v>
      </c>
      <c r="U744">
        <v>54</v>
      </c>
      <c r="V744" s="2">
        <v>11.024305555555555</v>
      </c>
      <c r="W744" s="3">
        <v>0.42430555555555555</v>
      </c>
      <c r="X744">
        <v>0</v>
      </c>
      <c r="Y744">
        <v>0</v>
      </c>
      <c r="AA744">
        <v>12</v>
      </c>
      <c r="AB744">
        <v>18</v>
      </c>
      <c r="AC744">
        <v>1</v>
      </c>
      <c r="AD744">
        <v>11</v>
      </c>
      <c r="AF744" t="s">
        <v>1706</v>
      </c>
    </row>
    <row r="745" spans="1:32" x14ac:dyDescent="0.3">
      <c r="A745">
        <v>706</v>
      </c>
      <c r="B745" t="s">
        <v>1707</v>
      </c>
      <c r="C745">
        <v>20</v>
      </c>
      <c r="D745" t="s">
        <v>250</v>
      </c>
      <c r="E745" t="s">
        <v>380</v>
      </c>
      <c r="F745">
        <v>5</v>
      </c>
      <c r="G745">
        <v>1</v>
      </c>
      <c r="H745">
        <v>0</v>
      </c>
      <c r="I745">
        <v>1</v>
      </c>
      <c r="J745">
        <v>1</v>
      </c>
      <c r="K745">
        <v>13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</v>
      </c>
      <c r="T745">
        <v>33.299999999999997</v>
      </c>
      <c r="U745">
        <v>7</v>
      </c>
      <c r="V745" s="2">
        <v>1.5013888888888889</v>
      </c>
      <c r="W745" s="3">
        <v>0.3</v>
      </c>
      <c r="X745">
        <v>0</v>
      </c>
      <c r="Y745">
        <v>0</v>
      </c>
      <c r="AA745">
        <v>3</v>
      </c>
      <c r="AB745">
        <v>17</v>
      </c>
      <c r="AC745">
        <v>0</v>
      </c>
      <c r="AD745">
        <v>4</v>
      </c>
      <c r="AF745" t="s">
        <v>1708</v>
      </c>
    </row>
    <row r="746" spans="1:32" x14ac:dyDescent="0.3">
      <c r="A746">
        <v>707</v>
      </c>
      <c r="B746" t="s">
        <v>1709</v>
      </c>
      <c r="C746">
        <v>24</v>
      </c>
      <c r="D746" t="s">
        <v>113</v>
      </c>
      <c r="E746" t="s">
        <v>95</v>
      </c>
      <c r="F746">
        <v>7</v>
      </c>
      <c r="G746">
        <v>1</v>
      </c>
      <c r="H746">
        <v>0</v>
      </c>
      <c r="I746">
        <v>1</v>
      </c>
      <c r="J746">
        <v>-3</v>
      </c>
      <c r="K746">
        <v>4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</v>
      </c>
      <c r="T746">
        <v>33.299999999999997</v>
      </c>
      <c r="U746">
        <v>11</v>
      </c>
      <c r="V746" s="2">
        <v>2.9756944444444446</v>
      </c>
      <c r="W746" s="3">
        <v>0.42499999999999999</v>
      </c>
      <c r="X746">
        <v>1</v>
      </c>
      <c r="Y746">
        <v>1</v>
      </c>
      <c r="Z746">
        <v>50</v>
      </c>
      <c r="AA746">
        <v>1</v>
      </c>
      <c r="AB746">
        <v>9</v>
      </c>
      <c r="AC746">
        <v>0</v>
      </c>
      <c r="AD746">
        <v>6</v>
      </c>
      <c r="AF746" t="s">
        <v>1710</v>
      </c>
    </row>
    <row r="747" spans="1:32" x14ac:dyDescent="0.3">
      <c r="A747">
        <v>708</v>
      </c>
      <c r="B747" t="s">
        <v>1711</v>
      </c>
      <c r="C747">
        <v>26</v>
      </c>
      <c r="D747" t="s">
        <v>97</v>
      </c>
      <c r="E747" t="s">
        <v>101</v>
      </c>
      <c r="F747">
        <v>8</v>
      </c>
      <c r="G747">
        <v>1</v>
      </c>
      <c r="H747">
        <v>0</v>
      </c>
      <c r="I747">
        <v>1</v>
      </c>
      <c r="J747">
        <v>1</v>
      </c>
      <c r="K747">
        <v>4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4</v>
      </c>
      <c r="T747">
        <v>25</v>
      </c>
      <c r="U747">
        <v>9</v>
      </c>
      <c r="V747" s="2">
        <v>2.8687499999999999</v>
      </c>
      <c r="W747" s="3">
        <v>0.35833333333333334</v>
      </c>
      <c r="X747">
        <v>1</v>
      </c>
      <c r="Y747">
        <v>2</v>
      </c>
      <c r="Z747">
        <v>33.299999999999997</v>
      </c>
      <c r="AA747">
        <v>7</v>
      </c>
      <c r="AB747">
        <v>5</v>
      </c>
      <c r="AC747">
        <v>0</v>
      </c>
      <c r="AD747">
        <v>2</v>
      </c>
      <c r="AF747" t="s">
        <v>1712</v>
      </c>
    </row>
    <row r="748" spans="1:32" x14ac:dyDescent="0.3">
      <c r="A748">
        <v>709</v>
      </c>
      <c r="B748" t="s">
        <v>1713</v>
      </c>
      <c r="C748">
        <v>23</v>
      </c>
      <c r="D748" t="s">
        <v>204</v>
      </c>
      <c r="E748" t="s">
        <v>78</v>
      </c>
      <c r="F748">
        <v>10</v>
      </c>
      <c r="G748">
        <v>0</v>
      </c>
      <c r="H748">
        <v>1</v>
      </c>
      <c r="I748">
        <v>1</v>
      </c>
      <c r="J748">
        <v>-4</v>
      </c>
      <c r="K748">
        <v>10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9</v>
      </c>
      <c r="T748">
        <v>0</v>
      </c>
      <c r="U748">
        <v>19</v>
      </c>
      <c r="V748" s="2">
        <v>3.6319444444444446</v>
      </c>
      <c r="W748" s="3">
        <v>0.36319444444444443</v>
      </c>
      <c r="X748">
        <v>0</v>
      </c>
      <c r="Y748">
        <v>1</v>
      </c>
      <c r="Z748">
        <v>0</v>
      </c>
      <c r="AA748">
        <v>1</v>
      </c>
      <c r="AB748">
        <v>18</v>
      </c>
      <c r="AC748">
        <v>1</v>
      </c>
      <c r="AD748">
        <v>5</v>
      </c>
      <c r="AF748" t="s">
        <v>1714</v>
      </c>
    </row>
    <row r="749" spans="1:32" x14ac:dyDescent="0.3">
      <c r="A749">
        <v>710</v>
      </c>
      <c r="B749" t="s">
        <v>1715</v>
      </c>
      <c r="C749">
        <v>22</v>
      </c>
      <c r="D749" t="s">
        <v>306</v>
      </c>
      <c r="E749" t="s">
        <v>78</v>
      </c>
      <c r="F749">
        <v>13</v>
      </c>
      <c r="G749">
        <v>0</v>
      </c>
      <c r="H749">
        <v>1</v>
      </c>
      <c r="I749">
        <v>1</v>
      </c>
      <c r="J749">
        <v>-2</v>
      </c>
      <c r="K749">
        <v>4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11</v>
      </c>
      <c r="T749">
        <v>0</v>
      </c>
      <c r="U749">
        <v>16</v>
      </c>
      <c r="V749" s="2">
        <v>4.7527777777777782</v>
      </c>
      <c r="W749" s="3">
        <v>0.36527777777777776</v>
      </c>
      <c r="X749">
        <v>23</v>
      </c>
      <c r="Y749">
        <v>37</v>
      </c>
      <c r="Z749">
        <v>38.299999999999997</v>
      </c>
      <c r="AA749">
        <v>10</v>
      </c>
      <c r="AB749">
        <v>2</v>
      </c>
      <c r="AC749">
        <v>2</v>
      </c>
      <c r="AD749">
        <v>1</v>
      </c>
      <c r="AF749" t="s">
        <v>1716</v>
      </c>
    </row>
    <row r="750" spans="1:32" x14ac:dyDescent="0.3">
      <c r="A750">
        <v>711</v>
      </c>
      <c r="B750" t="s">
        <v>1717</v>
      </c>
      <c r="C750">
        <v>30</v>
      </c>
      <c r="D750" t="s">
        <v>193</v>
      </c>
      <c r="E750" t="s">
        <v>332</v>
      </c>
      <c r="F750">
        <v>19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U750">
        <v>0</v>
      </c>
      <c r="V750" s="2">
        <v>45.661111111111111</v>
      </c>
      <c r="W750" s="2">
        <v>2.4034722222222222</v>
      </c>
      <c r="X750">
        <v>0</v>
      </c>
      <c r="Y750">
        <v>0</v>
      </c>
      <c r="AA750">
        <v>0</v>
      </c>
      <c r="AB750">
        <v>0</v>
      </c>
      <c r="AC750">
        <v>0</v>
      </c>
      <c r="AD750">
        <v>9</v>
      </c>
      <c r="AF750" t="s">
        <v>1718</v>
      </c>
    </row>
    <row r="751" spans="1:32" x14ac:dyDescent="0.3">
      <c r="A751">
        <v>712</v>
      </c>
      <c r="B751" t="s">
        <v>1719</v>
      </c>
      <c r="C751">
        <v>25</v>
      </c>
      <c r="D751" t="s">
        <v>139</v>
      </c>
      <c r="E751" t="s">
        <v>332</v>
      </c>
      <c r="F751">
        <v>9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U751">
        <v>0</v>
      </c>
      <c r="V751" s="2">
        <v>20.949305555555554</v>
      </c>
      <c r="W751" s="2">
        <v>2.3277777777777779</v>
      </c>
      <c r="X751">
        <v>0</v>
      </c>
      <c r="Y751">
        <v>0</v>
      </c>
      <c r="AA751">
        <v>0</v>
      </c>
      <c r="AB751">
        <v>0</v>
      </c>
      <c r="AC751">
        <v>0</v>
      </c>
      <c r="AD751">
        <v>7</v>
      </c>
      <c r="AF751" t="s">
        <v>1720</v>
      </c>
    </row>
    <row r="752" spans="1:32" x14ac:dyDescent="0.3">
      <c r="A752">
        <v>713</v>
      </c>
      <c r="B752" t="s">
        <v>1721</v>
      </c>
      <c r="C752">
        <v>25</v>
      </c>
      <c r="D752" t="s">
        <v>130</v>
      </c>
      <c r="E752" t="s">
        <v>380</v>
      </c>
      <c r="F752">
        <v>11</v>
      </c>
      <c r="G752">
        <v>0</v>
      </c>
      <c r="H752">
        <v>1</v>
      </c>
      <c r="I752">
        <v>1</v>
      </c>
      <c r="J752">
        <v>-2</v>
      </c>
      <c r="K752">
        <v>4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7</v>
      </c>
      <c r="T752">
        <v>0</v>
      </c>
      <c r="U752">
        <v>20</v>
      </c>
      <c r="V752" s="2">
        <v>4.5</v>
      </c>
      <c r="W752" s="3">
        <v>0.40902777777777777</v>
      </c>
      <c r="X752">
        <v>29</v>
      </c>
      <c r="Y752">
        <v>36</v>
      </c>
      <c r="Z752">
        <v>44.6</v>
      </c>
      <c r="AA752">
        <v>11</v>
      </c>
      <c r="AB752">
        <v>20</v>
      </c>
      <c r="AC752">
        <v>2</v>
      </c>
      <c r="AD752">
        <v>1</v>
      </c>
      <c r="AF752" t="s">
        <v>1722</v>
      </c>
    </row>
    <row r="753" spans="1:32" x14ac:dyDescent="0.3">
      <c r="A753">
        <v>714</v>
      </c>
      <c r="B753" t="s">
        <v>1723</v>
      </c>
      <c r="C753">
        <v>21</v>
      </c>
      <c r="D753" t="s">
        <v>121</v>
      </c>
      <c r="E753" t="s">
        <v>78</v>
      </c>
      <c r="F753">
        <v>6</v>
      </c>
      <c r="G753">
        <v>0</v>
      </c>
      <c r="H753">
        <v>1</v>
      </c>
      <c r="I753">
        <v>1</v>
      </c>
      <c r="J753">
        <v>0</v>
      </c>
      <c r="K753">
        <v>4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5</v>
      </c>
      <c r="T753">
        <v>0</v>
      </c>
      <c r="U753">
        <v>12</v>
      </c>
      <c r="V753" s="2">
        <v>2.5062500000000001</v>
      </c>
      <c r="W753" s="3">
        <v>0.41805555555555557</v>
      </c>
      <c r="X753">
        <v>8</v>
      </c>
      <c r="Y753">
        <v>13</v>
      </c>
      <c r="Z753">
        <v>38.1</v>
      </c>
      <c r="AA753">
        <v>5</v>
      </c>
      <c r="AB753">
        <v>15</v>
      </c>
      <c r="AC753">
        <v>0</v>
      </c>
      <c r="AD753">
        <v>5</v>
      </c>
      <c r="AF753" t="s">
        <v>1724</v>
      </c>
    </row>
    <row r="754" spans="1:32" x14ac:dyDescent="0.3">
      <c r="A754">
        <v>715</v>
      </c>
      <c r="B754" t="s">
        <v>1725</v>
      </c>
      <c r="C754">
        <v>32</v>
      </c>
      <c r="D754" t="s">
        <v>221</v>
      </c>
      <c r="E754" t="s">
        <v>332</v>
      </c>
      <c r="F754">
        <v>26</v>
      </c>
      <c r="G754">
        <v>0</v>
      </c>
      <c r="H754">
        <v>1</v>
      </c>
      <c r="I754">
        <v>1</v>
      </c>
      <c r="J754">
        <v>0</v>
      </c>
      <c r="K754">
        <v>2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U754">
        <v>0</v>
      </c>
      <c r="V754" s="2">
        <v>62.94166666666667</v>
      </c>
      <c r="W754" s="2">
        <v>2.4208333333333334</v>
      </c>
      <c r="X754">
        <v>0</v>
      </c>
      <c r="Y754">
        <v>0</v>
      </c>
      <c r="AA754">
        <v>0</v>
      </c>
      <c r="AB754">
        <v>0</v>
      </c>
      <c r="AC754">
        <v>0</v>
      </c>
      <c r="AD754">
        <v>11</v>
      </c>
      <c r="AF754" t="s">
        <v>1726</v>
      </c>
    </row>
    <row r="755" spans="1:32" x14ac:dyDescent="0.3">
      <c r="A755">
        <v>716</v>
      </c>
      <c r="B755" t="s">
        <v>1727</v>
      </c>
      <c r="C755">
        <v>26</v>
      </c>
      <c r="D755" t="s">
        <v>116</v>
      </c>
      <c r="E755" t="s">
        <v>380</v>
      </c>
      <c r="F755">
        <v>3</v>
      </c>
      <c r="G755">
        <v>0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2</v>
      </c>
      <c r="T755">
        <v>0</v>
      </c>
      <c r="U755">
        <v>5</v>
      </c>
      <c r="V755" s="2">
        <v>1.1083333333333334</v>
      </c>
      <c r="W755" s="3">
        <v>0.36944444444444446</v>
      </c>
      <c r="X755">
        <v>9</v>
      </c>
      <c r="Y755">
        <v>6</v>
      </c>
      <c r="Z755">
        <v>60</v>
      </c>
      <c r="AA755">
        <v>2</v>
      </c>
      <c r="AB755">
        <v>3</v>
      </c>
      <c r="AC755">
        <v>0</v>
      </c>
      <c r="AD755">
        <v>1</v>
      </c>
      <c r="AF755" t="s">
        <v>1728</v>
      </c>
    </row>
    <row r="756" spans="1:32" x14ac:dyDescent="0.3">
      <c r="A756">
        <v>717</v>
      </c>
      <c r="B756" t="s">
        <v>1729</v>
      </c>
      <c r="C756">
        <v>30</v>
      </c>
      <c r="D756" t="s">
        <v>134</v>
      </c>
      <c r="E756" t="s">
        <v>87</v>
      </c>
      <c r="F756">
        <v>17</v>
      </c>
      <c r="G756">
        <v>1</v>
      </c>
      <c r="H756">
        <v>0</v>
      </c>
      <c r="I756">
        <v>1</v>
      </c>
      <c r="J756">
        <v>-4</v>
      </c>
      <c r="K756">
        <v>8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19</v>
      </c>
      <c r="T756">
        <v>5.3</v>
      </c>
      <c r="U756">
        <v>57</v>
      </c>
      <c r="V756" s="2">
        <v>10.854861111111111</v>
      </c>
      <c r="W756" s="3">
        <v>0.6381944444444444</v>
      </c>
      <c r="X756">
        <v>0</v>
      </c>
      <c r="Y756">
        <v>0</v>
      </c>
      <c r="AA756">
        <v>31</v>
      </c>
      <c r="AB756">
        <v>13</v>
      </c>
      <c r="AC756">
        <v>5</v>
      </c>
      <c r="AD756">
        <v>11</v>
      </c>
      <c r="AF756" t="s">
        <v>1730</v>
      </c>
    </row>
    <row r="757" spans="1:32" x14ac:dyDescent="0.3">
      <c r="A757">
        <v>718</v>
      </c>
      <c r="B757" t="s">
        <v>1731</v>
      </c>
      <c r="C757">
        <v>19</v>
      </c>
      <c r="D757" t="s">
        <v>82</v>
      </c>
      <c r="E757" t="s">
        <v>380</v>
      </c>
      <c r="F757">
        <v>4</v>
      </c>
      <c r="G757">
        <v>1</v>
      </c>
      <c r="H757">
        <v>0</v>
      </c>
      <c r="I757">
        <v>1</v>
      </c>
      <c r="J757">
        <v>-3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9</v>
      </c>
      <c r="T757">
        <v>11.1</v>
      </c>
      <c r="U757">
        <v>15</v>
      </c>
      <c r="V757" s="2">
        <v>2.4527777777777779</v>
      </c>
      <c r="W757" s="3">
        <v>0.61319444444444449</v>
      </c>
      <c r="X757">
        <v>0</v>
      </c>
      <c r="Y757">
        <v>4</v>
      </c>
      <c r="Z757">
        <v>0</v>
      </c>
      <c r="AA757">
        <v>3</v>
      </c>
      <c r="AB757">
        <v>1</v>
      </c>
      <c r="AC757">
        <v>2</v>
      </c>
      <c r="AD757">
        <v>6</v>
      </c>
      <c r="AF757" t="s">
        <v>1732</v>
      </c>
    </row>
    <row r="758" spans="1:32" x14ac:dyDescent="0.3">
      <c r="A758">
        <v>719</v>
      </c>
      <c r="B758" t="s">
        <v>1733</v>
      </c>
      <c r="C758">
        <v>24</v>
      </c>
      <c r="D758" t="s">
        <v>121</v>
      </c>
      <c r="E758" t="s">
        <v>95</v>
      </c>
      <c r="F758">
        <v>1</v>
      </c>
      <c r="G758">
        <v>0</v>
      </c>
      <c r="H758">
        <v>1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1</v>
      </c>
      <c r="V758" s="3">
        <v>0.54374999999999996</v>
      </c>
      <c r="W758" s="3">
        <v>0.54374999999999996</v>
      </c>
      <c r="X758">
        <v>0</v>
      </c>
      <c r="Y758">
        <v>0</v>
      </c>
      <c r="AA758">
        <v>1</v>
      </c>
      <c r="AB758">
        <v>0</v>
      </c>
      <c r="AC758">
        <v>0</v>
      </c>
      <c r="AD758">
        <v>1</v>
      </c>
      <c r="AF758" t="s">
        <v>1734</v>
      </c>
    </row>
    <row r="759" spans="1:32" x14ac:dyDescent="0.3">
      <c r="A759">
        <v>720</v>
      </c>
      <c r="B759" t="s">
        <v>1735</v>
      </c>
      <c r="C759">
        <v>27</v>
      </c>
      <c r="D759" t="s">
        <v>97</v>
      </c>
      <c r="E759" t="s">
        <v>380</v>
      </c>
      <c r="F759">
        <v>9</v>
      </c>
      <c r="G759">
        <v>1</v>
      </c>
      <c r="H759">
        <v>0</v>
      </c>
      <c r="I759">
        <v>1</v>
      </c>
      <c r="J759">
        <v>-1</v>
      </c>
      <c r="K759">
        <v>5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4</v>
      </c>
      <c r="T759">
        <v>25</v>
      </c>
      <c r="U759">
        <v>11</v>
      </c>
      <c r="V759" s="2">
        <v>2.8131944444444446</v>
      </c>
      <c r="W759" s="3">
        <v>0.3125</v>
      </c>
      <c r="X759">
        <v>0</v>
      </c>
      <c r="Y759">
        <v>0</v>
      </c>
      <c r="AA759">
        <v>2</v>
      </c>
      <c r="AB759">
        <v>18</v>
      </c>
      <c r="AC759">
        <v>2</v>
      </c>
      <c r="AD759">
        <v>2</v>
      </c>
      <c r="AF759" t="s">
        <v>1736</v>
      </c>
    </row>
    <row r="760" spans="1:32" x14ac:dyDescent="0.3">
      <c r="A760">
        <v>721</v>
      </c>
      <c r="B760" t="s">
        <v>1737</v>
      </c>
      <c r="C760">
        <v>35</v>
      </c>
      <c r="D760" t="s">
        <v>221</v>
      </c>
      <c r="E760" t="s">
        <v>87</v>
      </c>
      <c r="F760">
        <v>19</v>
      </c>
      <c r="G760">
        <v>0</v>
      </c>
      <c r="H760">
        <v>1</v>
      </c>
      <c r="I760">
        <v>1</v>
      </c>
      <c r="J760">
        <v>-11</v>
      </c>
      <c r="K760">
        <v>18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16</v>
      </c>
      <c r="T760">
        <v>0</v>
      </c>
      <c r="U760">
        <v>32</v>
      </c>
      <c r="V760" s="2">
        <v>11.505555555555556</v>
      </c>
      <c r="W760" s="3">
        <v>0.60555555555555551</v>
      </c>
      <c r="X760">
        <v>0</v>
      </c>
      <c r="Y760">
        <v>0</v>
      </c>
      <c r="AA760">
        <v>26</v>
      </c>
      <c r="AB760">
        <v>19</v>
      </c>
      <c r="AC760">
        <v>4</v>
      </c>
      <c r="AD760">
        <v>17</v>
      </c>
      <c r="AF760" t="s">
        <v>1738</v>
      </c>
    </row>
    <row r="761" spans="1:32" x14ac:dyDescent="0.3">
      <c r="A761">
        <v>722</v>
      </c>
      <c r="B761" t="s">
        <v>1739</v>
      </c>
      <c r="C761">
        <v>23</v>
      </c>
      <c r="D761" t="s">
        <v>91</v>
      </c>
      <c r="E761" t="s">
        <v>78</v>
      </c>
      <c r="F761">
        <v>16</v>
      </c>
      <c r="G761">
        <v>1</v>
      </c>
      <c r="H761">
        <v>0</v>
      </c>
      <c r="I761">
        <v>1</v>
      </c>
      <c r="J761">
        <v>-1</v>
      </c>
      <c r="K761">
        <v>7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5</v>
      </c>
      <c r="T761">
        <v>20</v>
      </c>
      <c r="U761">
        <v>11</v>
      </c>
      <c r="V761" s="2">
        <v>4.5069444444444446</v>
      </c>
      <c r="W761" s="3">
        <v>0.28194444444444444</v>
      </c>
      <c r="X761">
        <v>33</v>
      </c>
      <c r="Y761">
        <v>34</v>
      </c>
      <c r="Z761">
        <v>49.3</v>
      </c>
      <c r="AA761">
        <v>3</v>
      </c>
      <c r="AB761">
        <v>35</v>
      </c>
      <c r="AC761">
        <v>1</v>
      </c>
      <c r="AD761">
        <v>5</v>
      </c>
      <c r="AF761" t="s">
        <v>1740</v>
      </c>
    </row>
    <row r="762" spans="1:32" x14ac:dyDescent="0.3">
      <c r="A762">
        <v>723</v>
      </c>
      <c r="B762" t="s">
        <v>1741</v>
      </c>
      <c r="C762">
        <v>24</v>
      </c>
      <c r="D762" t="s">
        <v>250</v>
      </c>
      <c r="E762" t="s">
        <v>380</v>
      </c>
      <c r="F762">
        <v>4</v>
      </c>
      <c r="G762">
        <v>1</v>
      </c>
      <c r="H762">
        <v>0</v>
      </c>
      <c r="I762">
        <v>1</v>
      </c>
      <c r="J762">
        <v>-1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3</v>
      </c>
      <c r="T762">
        <v>33.299999999999997</v>
      </c>
      <c r="U762">
        <v>6</v>
      </c>
      <c r="V762" s="2">
        <v>1.3326388888888889</v>
      </c>
      <c r="W762">
        <v>0.33333333333333331</v>
      </c>
      <c r="X762">
        <v>0</v>
      </c>
      <c r="Y762">
        <v>1</v>
      </c>
      <c r="Z762">
        <v>0</v>
      </c>
      <c r="AA762">
        <v>1</v>
      </c>
      <c r="AB762">
        <v>0</v>
      </c>
      <c r="AC762">
        <v>0</v>
      </c>
      <c r="AD762">
        <v>3</v>
      </c>
      <c r="AF762" t="s">
        <v>1742</v>
      </c>
    </row>
    <row r="763" spans="1:32" x14ac:dyDescent="0.3">
      <c r="A763">
        <v>724</v>
      </c>
      <c r="B763" t="s">
        <v>1743</v>
      </c>
      <c r="C763">
        <v>28</v>
      </c>
      <c r="D763" t="s">
        <v>250</v>
      </c>
      <c r="E763" t="s">
        <v>332</v>
      </c>
      <c r="F763">
        <v>5</v>
      </c>
      <c r="G763">
        <v>0</v>
      </c>
      <c r="H763">
        <v>1</v>
      </c>
      <c r="I763">
        <v>1</v>
      </c>
      <c r="J763">
        <v>0</v>
      </c>
      <c r="K763">
        <v>2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U763">
        <v>0</v>
      </c>
      <c r="V763" s="2">
        <v>12.413194444444445</v>
      </c>
      <c r="W763" s="2">
        <v>2.4826388888888888</v>
      </c>
      <c r="X763">
        <v>0</v>
      </c>
      <c r="Y763">
        <v>0</v>
      </c>
      <c r="AA763">
        <v>0</v>
      </c>
      <c r="AB763">
        <v>0</v>
      </c>
      <c r="AC763">
        <v>0</v>
      </c>
      <c r="AD763">
        <v>2</v>
      </c>
      <c r="AF763" t="s">
        <v>1744</v>
      </c>
    </row>
    <row r="764" spans="1:32" x14ac:dyDescent="0.3">
      <c r="A764">
        <v>725</v>
      </c>
      <c r="B764" t="s">
        <v>1745</v>
      </c>
      <c r="C764">
        <v>23</v>
      </c>
      <c r="D764" t="s">
        <v>216</v>
      </c>
      <c r="E764" t="s">
        <v>380</v>
      </c>
      <c r="F764">
        <v>4</v>
      </c>
      <c r="G764">
        <v>0</v>
      </c>
      <c r="H764">
        <v>1</v>
      </c>
      <c r="I764">
        <v>1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3</v>
      </c>
      <c r="T764">
        <v>0</v>
      </c>
      <c r="U764">
        <v>4</v>
      </c>
      <c r="V764" s="2">
        <v>1.4409722222222223</v>
      </c>
      <c r="W764" s="3">
        <v>0.36041666666666666</v>
      </c>
      <c r="X764">
        <v>2</v>
      </c>
      <c r="Y764">
        <v>5</v>
      </c>
      <c r="Z764">
        <v>28.6</v>
      </c>
      <c r="AA764">
        <v>1</v>
      </c>
      <c r="AB764">
        <v>1</v>
      </c>
      <c r="AC764">
        <v>0</v>
      </c>
      <c r="AD764">
        <v>1</v>
      </c>
      <c r="AF764" t="s">
        <v>1746</v>
      </c>
    </row>
    <row r="765" spans="1:32" x14ac:dyDescent="0.3">
      <c r="A765">
        <v>726</v>
      </c>
      <c r="B765" t="s">
        <v>1747</v>
      </c>
      <c r="C765">
        <v>28</v>
      </c>
      <c r="D765" t="s">
        <v>134</v>
      </c>
      <c r="E765" t="s">
        <v>87</v>
      </c>
      <c r="F765">
        <v>7</v>
      </c>
      <c r="G765">
        <v>0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5</v>
      </c>
      <c r="T765">
        <v>0</v>
      </c>
      <c r="U765">
        <v>17</v>
      </c>
      <c r="V765" s="2">
        <v>5.0083333333333337</v>
      </c>
      <c r="W765" s="3">
        <v>0.71527777777777779</v>
      </c>
      <c r="X765">
        <v>0</v>
      </c>
      <c r="Y765">
        <v>0</v>
      </c>
      <c r="AA765">
        <v>15</v>
      </c>
      <c r="AB765">
        <v>10</v>
      </c>
      <c r="AC765">
        <v>1</v>
      </c>
      <c r="AD765">
        <v>4</v>
      </c>
      <c r="AF765" t="s">
        <v>1748</v>
      </c>
    </row>
    <row r="766" spans="1:32" x14ac:dyDescent="0.3">
      <c r="A766">
        <v>727</v>
      </c>
      <c r="B766" t="s">
        <v>1749</v>
      </c>
      <c r="C766">
        <v>26</v>
      </c>
      <c r="D766" t="s">
        <v>193</v>
      </c>
      <c r="E766" t="s">
        <v>87</v>
      </c>
      <c r="F766">
        <v>14</v>
      </c>
      <c r="G766">
        <v>0</v>
      </c>
      <c r="H766">
        <v>1</v>
      </c>
      <c r="I766">
        <v>1</v>
      </c>
      <c r="J766">
        <v>-6</v>
      </c>
      <c r="K766">
        <v>2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10</v>
      </c>
      <c r="T766">
        <v>0</v>
      </c>
      <c r="U766">
        <v>25</v>
      </c>
      <c r="V766" s="2">
        <v>7.2388888888888889</v>
      </c>
      <c r="W766" s="3">
        <v>0.51736111111111116</v>
      </c>
      <c r="X766">
        <v>0</v>
      </c>
      <c r="Y766">
        <v>0</v>
      </c>
      <c r="AA766">
        <v>12</v>
      </c>
      <c r="AB766">
        <v>5</v>
      </c>
      <c r="AC766">
        <v>3</v>
      </c>
      <c r="AD766">
        <v>4</v>
      </c>
      <c r="AF766" t="s">
        <v>1750</v>
      </c>
    </row>
    <row r="767" spans="1:32" x14ac:dyDescent="0.3">
      <c r="A767">
        <v>728</v>
      </c>
      <c r="B767" t="s">
        <v>1751</v>
      </c>
      <c r="C767">
        <v>24</v>
      </c>
      <c r="D767" t="s">
        <v>243</v>
      </c>
      <c r="E767" t="s">
        <v>95</v>
      </c>
      <c r="F767">
        <v>2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4</v>
      </c>
      <c r="T767">
        <v>0</v>
      </c>
      <c r="U767">
        <v>8</v>
      </c>
      <c r="V767" s="3">
        <v>0.88402777777777775</v>
      </c>
      <c r="W767" s="3">
        <v>0.44236111111111109</v>
      </c>
      <c r="X767">
        <v>0</v>
      </c>
      <c r="Y767">
        <v>0</v>
      </c>
      <c r="AA767">
        <v>0</v>
      </c>
      <c r="AB767">
        <v>0</v>
      </c>
      <c r="AC767">
        <v>0</v>
      </c>
      <c r="AD767">
        <v>2</v>
      </c>
      <c r="AF767" t="s">
        <v>1752</v>
      </c>
    </row>
    <row r="768" spans="1:32" x14ac:dyDescent="0.3">
      <c r="A768">
        <v>729</v>
      </c>
      <c r="B768" t="s">
        <v>1753</v>
      </c>
      <c r="C768">
        <v>31</v>
      </c>
      <c r="D768" t="s">
        <v>210</v>
      </c>
      <c r="E768" t="s">
        <v>78</v>
      </c>
      <c r="F768">
        <v>9</v>
      </c>
      <c r="G768">
        <v>1</v>
      </c>
      <c r="H768">
        <v>0</v>
      </c>
      <c r="I768">
        <v>1</v>
      </c>
      <c r="J768">
        <v>-2</v>
      </c>
      <c r="K768">
        <v>8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</v>
      </c>
      <c r="T768">
        <v>9.1</v>
      </c>
      <c r="U768">
        <v>15</v>
      </c>
      <c r="V768" s="2">
        <v>3.8770833333333332</v>
      </c>
      <c r="W768" s="3">
        <v>0.43055555555555558</v>
      </c>
      <c r="X768">
        <v>18</v>
      </c>
      <c r="Y768">
        <v>24</v>
      </c>
      <c r="Z768">
        <v>42.9</v>
      </c>
      <c r="AA768">
        <v>8</v>
      </c>
      <c r="AB768">
        <v>3</v>
      </c>
      <c r="AC768">
        <v>1</v>
      </c>
      <c r="AD768">
        <v>4</v>
      </c>
      <c r="AF768" t="s">
        <v>1754</v>
      </c>
    </row>
    <row r="769" spans="1:32" x14ac:dyDescent="0.3">
      <c r="A769">
        <v>730</v>
      </c>
      <c r="B769" t="s">
        <v>1755</v>
      </c>
      <c r="C769">
        <v>27</v>
      </c>
      <c r="D769" t="s">
        <v>109</v>
      </c>
      <c r="E769" t="s">
        <v>87</v>
      </c>
      <c r="F769">
        <v>4</v>
      </c>
      <c r="G769">
        <v>0</v>
      </c>
      <c r="H769">
        <v>1</v>
      </c>
      <c r="I769">
        <v>1</v>
      </c>
      <c r="J769">
        <v>-1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4</v>
      </c>
      <c r="T769">
        <v>0</v>
      </c>
      <c r="U769">
        <v>5</v>
      </c>
      <c r="V769" s="2">
        <v>2.2833333333333332</v>
      </c>
      <c r="W769" s="3">
        <v>0.5708333333333333</v>
      </c>
      <c r="X769">
        <v>0</v>
      </c>
      <c r="Y769">
        <v>0</v>
      </c>
      <c r="AA769">
        <v>5</v>
      </c>
      <c r="AB769">
        <v>0</v>
      </c>
      <c r="AC769">
        <v>0</v>
      </c>
      <c r="AD769">
        <v>5</v>
      </c>
      <c r="AF769" t="s">
        <v>1756</v>
      </c>
    </row>
    <row r="770" spans="1:32" x14ac:dyDescent="0.3">
      <c r="A770">
        <v>731</v>
      </c>
      <c r="B770" t="s">
        <v>1757</v>
      </c>
      <c r="C770">
        <v>29</v>
      </c>
      <c r="D770" t="s">
        <v>82</v>
      </c>
      <c r="E770" t="s">
        <v>101</v>
      </c>
      <c r="F770">
        <v>12</v>
      </c>
      <c r="G770">
        <v>0</v>
      </c>
      <c r="H770">
        <v>1</v>
      </c>
      <c r="I770">
        <v>1</v>
      </c>
      <c r="J770">
        <v>-1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6</v>
      </c>
      <c r="T770">
        <v>0</v>
      </c>
      <c r="U770">
        <v>20</v>
      </c>
      <c r="V770" s="2">
        <v>4.7611111111111111</v>
      </c>
      <c r="W770" s="3">
        <v>0.39652777777777776</v>
      </c>
      <c r="X770">
        <v>46</v>
      </c>
      <c r="Y770">
        <v>38</v>
      </c>
      <c r="Z770">
        <v>54.8</v>
      </c>
      <c r="AA770">
        <v>6</v>
      </c>
      <c r="AB770">
        <v>21</v>
      </c>
      <c r="AC770">
        <v>3</v>
      </c>
      <c r="AD770">
        <v>5</v>
      </c>
      <c r="AF770" t="s">
        <v>1758</v>
      </c>
    </row>
    <row r="771" spans="1:32" x14ac:dyDescent="0.3">
      <c r="A771">
        <v>732</v>
      </c>
      <c r="B771" t="s">
        <v>1759</v>
      </c>
      <c r="C771">
        <v>24</v>
      </c>
      <c r="D771" t="s">
        <v>290</v>
      </c>
      <c r="E771" t="s">
        <v>332</v>
      </c>
      <c r="F771">
        <v>30</v>
      </c>
      <c r="G771">
        <v>0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U771">
        <v>0</v>
      </c>
      <c r="V771" s="2">
        <v>74.56805555555556</v>
      </c>
      <c r="W771" s="2">
        <v>2.4854166666666666</v>
      </c>
      <c r="X771">
        <v>0</v>
      </c>
      <c r="Y771">
        <v>0</v>
      </c>
      <c r="AA771">
        <v>0</v>
      </c>
      <c r="AB771">
        <v>0</v>
      </c>
      <c r="AC771">
        <v>0</v>
      </c>
      <c r="AD771">
        <v>23</v>
      </c>
      <c r="AF771" t="s">
        <v>1760</v>
      </c>
    </row>
    <row r="772" spans="1:32" x14ac:dyDescent="0.3">
      <c r="A772">
        <v>733</v>
      </c>
      <c r="B772" t="s">
        <v>1761</v>
      </c>
      <c r="C772">
        <v>27</v>
      </c>
      <c r="D772" t="s">
        <v>134</v>
      </c>
      <c r="E772" t="s">
        <v>101</v>
      </c>
      <c r="F772">
        <v>10</v>
      </c>
      <c r="G772">
        <v>0</v>
      </c>
      <c r="H772">
        <v>1</v>
      </c>
      <c r="I772">
        <v>1</v>
      </c>
      <c r="J772">
        <v>-1</v>
      </c>
      <c r="K772">
        <v>2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6</v>
      </c>
      <c r="T772">
        <v>0</v>
      </c>
      <c r="U772">
        <v>16</v>
      </c>
      <c r="V772" s="2">
        <v>5.1944444444444446</v>
      </c>
      <c r="W772" s="3">
        <v>0.51944444444444449</v>
      </c>
      <c r="X772">
        <v>12</v>
      </c>
      <c r="Y772">
        <v>13</v>
      </c>
      <c r="Z772">
        <v>48</v>
      </c>
      <c r="AA772">
        <v>4</v>
      </c>
      <c r="AB772">
        <v>9</v>
      </c>
      <c r="AC772">
        <v>2</v>
      </c>
      <c r="AD772">
        <v>4</v>
      </c>
      <c r="AF772" t="s">
        <v>1762</v>
      </c>
    </row>
    <row r="773" spans="1:32" x14ac:dyDescent="0.3">
      <c r="A773">
        <v>734</v>
      </c>
      <c r="B773" t="s">
        <v>1763</v>
      </c>
      <c r="C773">
        <v>27</v>
      </c>
      <c r="D773" t="s">
        <v>204</v>
      </c>
      <c r="E773" t="s">
        <v>95</v>
      </c>
      <c r="F773">
        <v>5</v>
      </c>
      <c r="G773">
        <v>0</v>
      </c>
      <c r="H773">
        <v>1</v>
      </c>
      <c r="I773">
        <v>1</v>
      </c>
      <c r="J773">
        <v>-3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6</v>
      </c>
      <c r="T773">
        <v>0</v>
      </c>
      <c r="U773">
        <v>20</v>
      </c>
      <c r="V773" s="2">
        <v>2.6263888888888891</v>
      </c>
      <c r="W773" s="3">
        <v>0.52500000000000002</v>
      </c>
      <c r="X773">
        <v>2</v>
      </c>
      <c r="Y773">
        <v>1</v>
      </c>
      <c r="Z773">
        <v>66.7</v>
      </c>
      <c r="AA773">
        <v>0</v>
      </c>
      <c r="AB773">
        <v>2</v>
      </c>
      <c r="AC773">
        <v>0</v>
      </c>
      <c r="AD773">
        <v>2</v>
      </c>
      <c r="AF773" t="s">
        <v>1764</v>
      </c>
    </row>
    <row r="774" spans="1:32" x14ac:dyDescent="0.3">
      <c r="A774">
        <v>735</v>
      </c>
      <c r="B774" t="s">
        <v>1765</v>
      </c>
      <c r="C774">
        <v>22</v>
      </c>
      <c r="D774" t="s">
        <v>130</v>
      </c>
      <c r="E774" t="s">
        <v>78</v>
      </c>
      <c r="F774">
        <v>4</v>
      </c>
      <c r="G774">
        <v>1</v>
      </c>
      <c r="H774">
        <v>0</v>
      </c>
      <c r="I774">
        <v>1</v>
      </c>
      <c r="J774">
        <v>-1</v>
      </c>
      <c r="K774">
        <v>2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3</v>
      </c>
      <c r="T774">
        <v>33.299999999999997</v>
      </c>
      <c r="U774">
        <v>6</v>
      </c>
      <c r="V774" s="2">
        <v>1.5041666666666667</v>
      </c>
      <c r="W774" s="3">
        <v>0.37638888888888888</v>
      </c>
      <c r="X774">
        <v>0</v>
      </c>
      <c r="Y774">
        <v>1</v>
      </c>
      <c r="Z774">
        <v>0</v>
      </c>
      <c r="AA774">
        <v>1</v>
      </c>
      <c r="AB774">
        <v>3</v>
      </c>
      <c r="AC774">
        <v>0</v>
      </c>
      <c r="AD774">
        <v>3</v>
      </c>
      <c r="AF774" t="s">
        <v>1766</v>
      </c>
    </row>
    <row r="775" spans="1:32" x14ac:dyDescent="0.3">
      <c r="A775">
        <v>736</v>
      </c>
      <c r="B775" t="s">
        <v>1767</v>
      </c>
      <c r="C775">
        <v>22</v>
      </c>
      <c r="D775" t="s">
        <v>210</v>
      </c>
      <c r="E775" t="s">
        <v>87</v>
      </c>
      <c r="F775">
        <v>5</v>
      </c>
      <c r="G775">
        <v>0</v>
      </c>
      <c r="H775">
        <v>1</v>
      </c>
      <c r="I775">
        <v>1</v>
      </c>
      <c r="J775">
        <v>4</v>
      </c>
      <c r="K775">
        <v>2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4</v>
      </c>
      <c r="T775">
        <v>0</v>
      </c>
      <c r="U775">
        <v>10</v>
      </c>
      <c r="V775" s="2">
        <v>3.0527777777777776</v>
      </c>
      <c r="W775" s="3">
        <v>0.61041666666666672</v>
      </c>
      <c r="X775">
        <v>0</v>
      </c>
      <c r="Y775">
        <v>0</v>
      </c>
      <c r="AA775">
        <v>9</v>
      </c>
      <c r="AB775">
        <v>11</v>
      </c>
      <c r="AC775">
        <v>2</v>
      </c>
      <c r="AD775">
        <v>4</v>
      </c>
      <c r="AF775" t="s">
        <v>1768</v>
      </c>
    </row>
    <row r="776" spans="1:32" x14ac:dyDescent="0.3">
      <c r="A776">
        <v>737</v>
      </c>
      <c r="B776" t="s">
        <v>321</v>
      </c>
      <c r="C776">
        <v>30</v>
      </c>
      <c r="D776" t="s">
        <v>193</v>
      </c>
      <c r="E776" t="s">
        <v>332</v>
      </c>
      <c r="F776">
        <v>21</v>
      </c>
      <c r="G776">
        <v>0</v>
      </c>
      <c r="H776">
        <v>1</v>
      </c>
      <c r="I776">
        <v>1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U776">
        <v>0</v>
      </c>
      <c r="V776" s="2">
        <v>51.34375</v>
      </c>
      <c r="W776" s="2">
        <v>2.4451388888888888</v>
      </c>
      <c r="X776">
        <v>0</v>
      </c>
      <c r="Y776">
        <v>0</v>
      </c>
      <c r="AA776">
        <v>0</v>
      </c>
      <c r="AB776">
        <v>0</v>
      </c>
      <c r="AC776">
        <v>0</v>
      </c>
      <c r="AD776">
        <v>5</v>
      </c>
      <c r="AF776" t="s">
        <v>1769</v>
      </c>
    </row>
    <row r="777" spans="1:32" x14ac:dyDescent="0.3">
      <c r="A777">
        <v>738</v>
      </c>
      <c r="B777" t="s">
        <v>1770</v>
      </c>
      <c r="C777">
        <v>32</v>
      </c>
      <c r="D777" t="s">
        <v>310</v>
      </c>
      <c r="E777" t="s">
        <v>332</v>
      </c>
      <c r="F777">
        <v>14</v>
      </c>
      <c r="G777">
        <v>0</v>
      </c>
      <c r="H777">
        <v>1</v>
      </c>
      <c r="I777">
        <v>1</v>
      </c>
      <c r="J777">
        <v>0</v>
      </c>
      <c r="K777">
        <v>2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1</v>
      </c>
      <c r="V777" s="2">
        <v>34.301388888888887</v>
      </c>
      <c r="W777" s="2">
        <v>2.4500000000000002</v>
      </c>
      <c r="X777">
        <v>0</v>
      </c>
      <c r="Y777">
        <v>0</v>
      </c>
      <c r="AA777">
        <v>0</v>
      </c>
      <c r="AB777">
        <v>0</v>
      </c>
      <c r="AC777">
        <v>0</v>
      </c>
      <c r="AD777">
        <v>12</v>
      </c>
      <c r="AF777" t="s">
        <v>1771</v>
      </c>
    </row>
    <row r="778" spans="1:32" x14ac:dyDescent="0.3">
      <c r="A778">
        <v>739</v>
      </c>
      <c r="B778" t="s">
        <v>1772</v>
      </c>
      <c r="C778">
        <v>28</v>
      </c>
      <c r="D778" t="s">
        <v>103</v>
      </c>
      <c r="E778" t="s">
        <v>95</v>
      </c>
      <c r="F778">
        <v>5</v>
      </c>
      <c r="G778">
        <v>1</v>
      </c>
      <c r="H778">
        <v>0</v>
      </c>
      <c r="I778">
        <v>1</v>
      </c>
      <c r="J778">
        <v>-2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5</v>
      </c>
      <c r="T778">
        <v>20</v>
      </c>
      <c r="U778">
        <v>7</v>
      </c>
      <c r="V778" s="2">
        <v>1.9027777777777777</v>
      </c>
      <c r="W778" s="3">
        <v>0.38055555555555554</v>
      </c>
      <c r="X778">
        <v>0</v>
      </c>
      <c r="Y778">
        <v>0</v>
      </c>
      <c r="AA778">
        <v>4</v>
      </c>
      <c r="AB778">
        <v>8</v>
      </c>
      <c r="AC778">
        <v>2</v>
      </c>
      <c r="AD778">
        <v>0</v>
      </c>
      <c r="AF778" t="s">
        <v>1773</v>
      </c>
    </row>
    <row r="779" spans="1:32" x14ac:dyDescent="0.3">
      <c r="A779">
        <v>740</v>
      </c>
      <c r="B779" t="s">
        <v>1774</v>
      </c>
      <c r="C779">
        <v>33</v>
      </c>
      <c r="D779" t="s">
        <v>139</v>
      </c>
      <c r="E779" t="s">
        <v>332</v>
      </c>
      <c r="F779">
        <v>21</v>
      </c>
      <c r="G779">
        <v>0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U779">
        <v>0</v>
      </c>
      <c r="V779" s="2">
        <v>47.80972222222222</v>
      </c>
      <c r="W779" s="2">
        <v>2.276388888888889</v>
      </c>
      <c r="X779">
        <v>0</v>
      </c>
      <c r="Y779">
        <v>0</v>
      </c>
      <c r="AA779">
        <v>0</v>
      </c>
      <c r="AB779">
        <v>0</v>
      </c>
      <c r="AC779">
        <v>0</v>
      </c>
      <c r="AD779">
        <v>8</v>
      </c>
      <c r="AF779" t="s">
        <v>1775</v>
      </c>
    </row>
    <row r="780" spans="1:32" x14ac:dyDescent="0.3">
      <c r="A780">
        <v>741</v>
      </c>
      <c r="B780" t="s">
        <v>1776</v>
      </c>
      <c r="C780">
        <v>31</v>
      </c>
      <c r="D780" t="s">
        <v>210</v>
      </c>
      <c r="E780" t="s">
        <v>87</v>
      </c>
      <c r="F780">
        <v>19</v>
      </c>
      <c r="G780">
        <v>0</v>
      </c>
      <c r="H780">
        <v>1</v>
      </c>
      <c r="I780">
        <v>1</v>
      </c>
      <c r="J780">
        <v>-4</v>
      </c>
      <c r="K780">
        <v>2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9</v>
      </c>
      <c r="T780">
        <v>0</v>
      </c>
      <c r="U780">
        <v>22</v>
      </c>
      <c r="V780" s="2">
        <v>9.4291666666666671</v>
      </c>
      <c r="W780" s="3">
        <v>0.49652777777777779</v>
      </c>
      <c r="X780">
        <v>0</v>
      </c>
      <c r="Y780">
        <v>0</v>
      </c>
      <c r="AA780">
        <v>16</v>
      </c>
      <c r="AB780">
        <v>1</v>
      </c>
      <c r="AC780">
        <v>2</v>
      </c>
      <c r="AD780">
        <v>14</v>
      </c>
      <c r="AF780" t="s">
        <v>1777</v>
      </c>
    </row>
    <row r="781" spans="1:32" x14ac:dyDescent="0.3">
      <c r="A781">
        <v>742</v>
      </c>
      <c r="B781" t="s">
        <v>1778</v>
      </c>
      <c r="C781">
        <v>31</v>
      </c>
      <c r="D781" t="s">
        <v>243</v>
      </c>
      <c r="E781" t="s">
        <v>101</v>
      </c>
      <c r="F781">
        <v>16</v>
      </c>
      <c r="G781">
        <v>0</v>
      </c>
      <c r="H781">
        <v>1</v>
      </c>
      <c r="I781">
        <v>1</v>
      </c>
      <c r="J781">
        <v>-3</v>
      </c>
      <c r="K781">
        <v>33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2</v>
      </c>
      <c r="T781">
        <v>0</v>
      </c>
      <c r="U781">
        <v>3</v>
      </c>
      <c r="V781" s="2">
        <v>2.6784722222222221</v>
      </c>
      <c r="W781" s="3">
        <v>0.1673611111111111</v>
      </c>
      <c r="X781">
        <v>0</v>
      </c>
      <c r="Y781">
        <v>0</v>
      </c>
      <c r="AA781">
        <v>5</v>
      </c>
      <c r="AB781">
        <v>13</v>
      </c>
      <c r="AC781">
        <v>0</v>
      </c>
      <c r="AD781">
        <v>2</v>
      </c>
      <c r="AF781" t="s">
        <v>1779</v>
      </c>
    </row>
    <row r="782" spans="1:32" x14ac:dyDescent="0.3">
      <c r="A782">
        <v>743</v>
      </c>
      <c r="B782" t="s">
        <v>1780</v>
      </c>
      <c r="C782">
        <v>18</v>
      </c>
      <c r="D782" t="s">
        <v>157</v>
      </c>
      <c r="E782" t="s">
        <v>78</v>
      </c>
      <c r="F782">
        <v>3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2</v>
      </c>
      <c r="T782">
        <v>0</v>
      </c>
      <c r="U782">
        <v>3</v>
      </c>
      <c r="V782" s="2">
        <v>1.4270833333333333</v>
      </c>
      <c r="W782" s="3">
        <v>0.47569444444444442</v>
      </c>
      <c r="X782">
        <v>5</v>
      </c>
      <c r="Y782">
        <v>11</v>
      </c>
      <c r="Z782">
        <v>31.3</v>
      </c>
      <c r="AA782">
        <v>2</v>
      </c>
      <c r="AB782">
        <v>0</v>
      </c>
      <c r="AC782">
        <v>0</v>
      </c>
      <c r="AD782">
        <v>4</v>
      </c>
      <c r="AF782" t="s">
        <v>1781</v>
      </c>
    </row>
    <row r="783" spans="1:32" x14ac:dyDescent="0.3">
      <c r="A783">
        <v>744</v>
      </c>
      <c r="B783" t="s">
        <v>1782</v>
      </c>
      <c r="C783">
        <v>29</v>
      </c>
      <c r="D783" t="s">
        <v>306</v>
      </c>
      <c r="E783" t="s">
        <v>87</v>
      </c>
      <c r="F783">
        <v>2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4</v>
      </c>
      <c r="T783">
        <v>0</v>
      </c>
      <c r="U783">
        <v>6</v>
      </c>
      <c r="V783" s="3">
        <v>0.71458333333333335</v>
      </c>
      <c r="W783" s="3">
        <v>0.3576388888888889</v>
      </c>
      <c r="X783">
        <v>0</v>
      </c>
      <c r="Y783">
        <v>0</v>
      </c>
      <c r="AA783">
        <v>1</v>
      </c>
      <c r="AB783">
        <v>0</v>
      </c>
      <c r="AC783">
        <v>0</v>
      </c>
      <c r="AD783">
        <v>0</v>
      </c>
      <c r="AF783" t="s">
        <v>1783</v>
      </c>
    </row>
    <row r="784" spans="1:32" x14ac:dyDescent="0.3">
      <c r="A784">
        <v>745</v>
      </c>
      <c r="B784" t="s">
        <v>1784</v>
      </c>
      <c r="C784">
        <v>32</v>
      </c>
      <c r="D784" t="s">
        <v>150</v>
      </c>
      <c r="E784" t="s">
        <v>87</v>
      </c>
      <c r="F784">
        <v>11</v>
      </c>
      <c r="G784">
        <v>1</v>
      </c>
      <c r="H784">
        <v>0</v>
      </c>
      <c r="I784">
        <v>1</v>
      </c>
      <c r="J784">
        <v>-3</v>
      </c>
      <c r="K784">
        <v>11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5</v>
      </c>
      <c r="T784">
        <v>20</v>
      </c>
      <c r="U784">
        <v>15</v>
      </c>
      <c r="V784" s="2">
        <v>5.9708333333333332</v>
      </c>
      <c r="W784" s="3">
        <v>0.54305555555555551</v>
      </c>
      <c r="X784">
        <v>0</v>
      </c>
      <c r="Y784">
        <v>0</v>
      </c>
      <c r="AA784">
        <v>9</v>
      </c>
      <c r="AB784">
        <v>8</v>
      </c>
      <c r="AC784">
        <v>2</v>
      </c>
      <c r="AD784">
        <v>8</v>
      </c>
      <c r="AF784" t="s">
        <v>1785</v>
      </c>
    </row>
    <row r="785" spans="1:32" x14ac:dyDescent="0.3">
      <c r="A785">
        <v>746</v>
      </c>
      <c r="B785" t="s">
        <v>1786</v>
      </c>
      <c r="C785">
        <v>31</v>
      </c>
      <c r="D785" t="s">
        <v>306</v>
      </c>
      <c r="E785" t="s">
        <v>332</v>
      </c>
      <c r="F785">
        <v>14</v>
      </c>
      <c r="G785">
        <v>0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U785">
        <v>0</v>
      </c>
      <c r="V785" s="2">
        <v>33.455555555555556</v>
      </c>
      <c r="W785" s="2">
        <v>2.3895833333333334</v>
      </c>
      <c r="X785">
        <v>0</v>
      </c>
      <c r="Y785">
        <v>0</v>
      </c>
      <c r="AA785">
        <v>0</v>
      </c>
      <c r="AB785">
        <v>0</v>
      </c>
      <c r="AC785">
        <v>0</v>
      </c>
      <c r="AD785">
        <v>6</v>
      </c>
      <c r="AF785" t="s">
        <v>1787</v>
      </c>
    </row>
    <row r="786" spans="1:32" x14ac:dyDescent="0.3">
      <c r="A786">
        <v>747</v>
      </c>
      <c r="B786" t="s">
        <v>1788</v>
      </c>
      <c r="C786">
        <v>27</v>
      </c>
      <c r="D786" t="s">
        <v>139</v>
      </c>
      <c r="E786" t="s">
        <v>87</v>
      </c>
      <c r="F786">
        <v>13</v>
      </c>
      <c r="G786">
        <v>1</v>
      </c>
      <c r="H786">
        <v>0</v>
      </c>
      <c r="I786">
        <v>1</v>
      </c>
      <c r="J786">
        <v>8</v>
      </c>
      <c r="K786">
        <v>4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6</v>
      </c>
      <c r="T786">
        <v>16.7</v>
      </c>
      <c r="U786">
        <v>14</v>
      </c>
      <c r="V786" s="2">
        <v>5.5847222222222221</v>
      </c>
      <c r="W786" s="3">
        <v>0.42986111111111114</v>
      </c>
      <c r="X786">
        <v>0</v>
      </c>
      <c r="Y786">
        <v>0</v>
      </c>
      <c r="AA786">
        <v>7</v>
      </c>
      <c r="AB786">
        <v>3</v>
      </c>
      <c r="AC786">
        <v>2</v>
      </c>
      <c r="AD786">
        <v>11</v>
      </c>
      <c r="AF786" t="s">
        <v>1789</v>
      </c>
    </row>
    <row r="787" spans="1:32" x14ac:dyDescent="0.3">
      <c r="A787">
        <v>748</v>
      </c>
      <c r="B787" t="s">
        <v>1790</v>
      </c>
      <c r="C787">
        <v>33</v>
      </c>
      <c r="D787" t="s">
        <v>130</v>
      </c>
      <c r="E787" t="s">
        <v>87</v>
      </c>
      <c r="F787">
        <v>14</v>
      </c>
      <c r="G787">
        <v>0</v>
      </c>
      <c r="H787">
        <v>1</v>
      </c>
      <c r="I787">
        <v>1</v>
      </c>
      <c r="J787">
        <v>-8</v>
      </c>
      <c r="K787">
        <v>6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16</v>
      </c>
      <c r="T787">
        <v>0</v>
      </c>
      <c r="U787">
        <v>47</v>
      </c>
      <c r="V787" s="2">
        <v>8.4222222222222225</v>
      </c>
      <c r="W787" s="3">
        <v>0.60138888888888886</v>
      </c>
      <c r="X787">
        <v>0</v>
      </c>
      <c r="Y787">
        <v>0</v>
      </c>
      <c r="AA787">
        <v>10</v>
      </c>
      <c r="AB787">
        <v>25</v>
      </c>
      <c r="AC787">
        <v>2</v>
      </c>
      <c r="AD787">
        <v>11</v>
      </c>
      <c r="AF787" t="s">
        <v>1791</v>
      </c>
    </row>
    <row r="788" spans="1:32" x14ac:dyDescent="0.3">
      <c r="A788">
        <v>749</v>
      </c>
      <c r="B788" t="s">
        <v>1792</v>
      </c>
      <c r="C788">
        <v>26</v>
      </c>
      <c r="D788" t="s">
        <v>188</v>
      </c>
      <c r="E788" t="s">
        <v>87</v>
      </c>
      <c r="F788">
        <v>9</v>
      </c>
      <c r="G788">
        <v>1</v>
      </c>
      <c r="H788">
        <v>0</v>
      </c>
      <c r="I788">
        <v>1</v>
      </c>
      <c r="J788">
        <v>0</v>
      </c>
      <c r="K788">
        <v>6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4</v>
      </c>
      <c r="T788">
        <v>25</v>
      </c>
      <c r="U788">
        <v>13</v>
      </c>
      <c r="V788" s="2">
        <v>4.3263888888888893</v>
      </c>
      <c r="W788" s="3">
        <v>0.48055555555555557</v>
      </c>
      <c r="X788">
        <v>0</v>
      </c>
      <c r="Y788">
        <v>0</v>
      </c>
      <c r="AA788">
        <v>6</v>
      </c>
      <c r="AB788">
        <v>13</v>
      </c>
      <c r="AC788">
        <v>0</v>
      </c>
      <c r="AD788">
        <v>6</v>
      </c>
      <c r="AF788" t="s">
        <v>1793</v>
      </c>
    </row>
    <row r="789" spans="1:32" x14ac:dyDescent="0.3">
      <c r="A789">
        <v>750</v>
      </c>
      <c r="B789" t="s">
        <v>1794</v>
      </c>
      <c r="C789">
        <v>20</v>
      </c>
      <c r="D789" t="s">
        <v>200</v>
      </c>
      <c r="E789" t="s">
        <v>78</v>
      </c>
      <c r="F789">
        <v>2</v>
      </c>
      <c r="G789">
        <v>0</v>
      </c>
      <c r="H789">
        <v>1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2</v>
      </c>
      <c r="V789" s="3">
        <v>0.5</v>
      </c>
      <c r="W789" s="3">
        <v>0.25</v>
      </c>
      <c r="X789">
        <v>5</v>
      </c>
      <c r="Y789">
        <v>2</v>
      </c>
      <c r="Z789">
        <v>71.400000000000006</v>
      </c>
      <c r="AA789">
        <v>0</v>
      </c>
      <c r="AB789">
        <v>1</v>
      </c>
      <c r="AC789">
        <v>1</v>
      </c>
      <c r="AD789">
        <v>1</v>
      </c>
      <c r="AF789" t="s">
        <v>1795</v>
      </c>
    </row>
    <row r="790" spans="1:32" x14ac:dyDescent="0.3">
      <c r="A790">
        <v>751</v>
      </c>
      <c r="B790" t="s">
        <v>1796</v>
      </c>
      <c r="C790">
        <v>30</v>
      </c>
      <c r="D790" t="s">
        <v>116</v>
      </c>
      <c r="E790" t="s">
        <v>332</v>
      </c>
      <c r="F790">
        <v>19</v>
      </c>
      <c r="G790">
        <v>0</v>
      </c>
      <c r="H790">
        <v>1</v>
      </c>
      <c r="I790">
        <v>1</v>
      </c>
      <c r="J790">
        <v>0</v>
      </c>
      <c r="K790">
        <v>2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U790">
        <v>0</v>
      </c>
      <c r="V790" s="2">
        <v>44.755555555555553</v>
      </c>
      <c r="W790" s="2">
        <v>2.3555555555555556</v>
      </c>
      <c r="X790">
        <v>0</v>
      </c>
      <c r="Y790">
        <v>0</v>
      </c>
      <c r="AA790">
        <v>0</v>
      </c>
      <c r="AB790">
        <v>0</v>
      </c>
      <c r="AC790">
        <v>0</v>
      </c>
      <c r="AD790">
        <v>11</v>
      </c>
      <c r="AF790" t="s">
        <v>1797</v>
      </c>
    </row>
    <row r="791" spans="1:32" x14ac:dyDescent="0.3">
      <c r="A791">
        <v>752</v>
      </c>
      <c r="B791" t="s">
        <v>1798</v>
      </c>
      <c r="C791">
        <v>25</v>
      </c>
      <c r="D791" t="s">
        <v>216</v>
      </c>
      <c r="E791" t="s">
        <v>380</v>
      </c>
      <c r="F791">
        <v>4</v>
      </c>
      <c r="G791">
        <v>0</v>
      </c>
      <c r="H791">
        <v>1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3</v>
      </c>
      <c r="T791">
        <v>0</v>
      </c>
      <c r="U791">
        <v>6</v>
      </c>
      <c r="V791" s="2">
        <v>1.0506944444444444</v>
      </c>
      <c r="W791" s="3">
        <v>0.26250000000000001</v>
      </c>
      <c r="X791">
        <v>0</v>
      </c>
      <c r="Y791">
        <v>0</v>
      </c>
      <c r="AA791">
        <v>1</v>
      </c>
      <c r="AB791">
        <v>9</v>
      </c>
      <c r="AC791">
        <v>0</v>
      </c>
      <c r="AD791">
        <v>2</v>
      </c>
      <c r="AF791" t="s">
        <v>1799</v>
      </c>
    </row>
    <row r="792" spans="1:32" x14ac:dyDescent="0.3">
      <c r="A792">
        <v>753</v>
      </c>
      <c r="B792" t="s">
        <v>328</v>
      </c>
      <c r="C792">
        <v>27</v>
      </c>
      <c r="D792" t="s">
        <v>174</v>
      </c>
      <c r="E792" t="s">
        <v>332</v>
      </c>
      <c r="F792">
        <v>28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U792">
        <v>0</v>
      </c>
      <c r="V792" s="2">
        <v>68.897222222222226</v>
      </c>
      <c r="W792" s="2">
        <v>2.4604166666666667</v>
      </c>
      <c r="X792">
        <v>0</v>
      </c>
      <c r="Y792">
        <v>0</v>
      </c>
      <c r="AA792">
        <v>0</v>
      </c>
      <c r="AB792">
        <v>0</v>
      </c>
      <c r="AC792">
        <v>0</v>
      </c>
      <c r="AD792">
        <v>8</v>
      </c>
      <c r="AF792" t="s">
        <v>1800</v>
      </c>
    </row>
    <row r="793" spans="1:32" x14ac:dyDescent="0.3">
      <c r="A793">
        <v>754</v>
      </c>
      <c r="B793" t="s">
        <v>1801</v>
      </c>
      <c r="C793">
        <v>19</v>
      </c>
      <c r="D793" t="s">
        <v>82</v>
      </c>
      <c r="E793" t="s">
        <v>87</v>
      </c>
      <c r="F793">
        <v>11</v>
      </c>
      <c r="G793">
        <v>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11</v>
      </c>
      <c r="T793">
        <v>0</v>
      </c>
      <c r="U793">
        <v>35</v>
      </c>
      <c r="V793" s="2">
        <v>6.7666666666666666</v>
      </c>
      <c r="W793" s="3">
        <v>0.61527777777777781</v>
      </c>
      <c r="X793">
        <v>0</v>
      </c>
      <c r="Y793">
        <v>0</v>
      </c>
      <c r="AA793">
        <v>5</v>
      </c>
      <c r="AB793">
        <v>5</v>
      </c>
      <c r="AC793">
        <v>3</v>
      </c>
      <c r="AD793">
        <v>17</v>
      </c>
      <c r="AF793" t="s">
        <v>1802</v>
      </c>
    </row>
    <row r="794" spans="1:32" x14ac:dyDescent="0.3">
      <c r="A794">
        <v>755</v>
      </c>
      <c r="B794" t="s">
        <v>1803</v>
      </c>
      <c r="C794">
        <v>34</v>
      </c>
      <c r="D794" t="s">
        <v>109</v>
      </c>
      <c r="E794" t="s">
        <v>78</v>
      </c>
      <c r="F794">
        <v>23</v>
      </c>
      <c r="G794">
        <v>1</v>
      </c>
      <c r="H794">
        <v>0</v>
      </c>
      <c r="I794">
        <v>1</v>
      </c>
      <c r="J794">
        <v>-1</v>
      </c>
      <c r="K794">
        <v>24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19</v>
      </c>
      <c r="T794">
        <v>5.3</v>
      </c>
      <c r="U794">
        <v>34</v>
      </c>
      <c r="V794" s="2">
        <v>7.4888888888888889</v>
      </c>
      <c r="W794" s="3">
        <v>0.32569444444444445</v>
      </c>
      <c r="X794">
        <v>0</v>
      </c>
      <c r="Y794">
        <v>3</v>
      </c>
      <c r="Z794">
        <v>0</v>
      </c>
      <c r="AA794">
        <v>13</v>
      </c>
      <c r="AB794">
        <v>58</v>
      </c>
      <c r="AC794">
        <v>4</v>
      </c>
      <c r="AD794">
        <v>6</v>
      </c>
      <c r="AF794" t="s">
        <v>1804</v>
      </c>
    </row>
    <row r="795" spans="1:32" x14ac:dyDescent="0.3">
      <c r="A795">
        <v>756</v>
      </c>
      <c r="B795" t="s">
        <v>1805</v>
      </c>
      <c r="C795">
        <v>23</v>
      </c>
      <c r="D795" t="s">
        <v>256</v>
      </c>
      <c r="E795" t="s">
        <v>78</v>
      </c>
      <c r="F795">
        <v>20</v>
      </c>
      <c r="G795">
        <v>1</v>
      </c>
      <c r="H795">
        <v>0</v>
      </c>
      <c r="I795">
        <v>1</v>
      </c>
      <c r="J795">
        <v>0</v>
      </c>
      <c r="K795">
        <v>7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13</v>
      </c>
      <c r="T795">
        <v>7.7</v>
      </c>
      <c r="U795">
        <v>27</v>
      </c>
      <c r="V795" s="2">
        <v>7.2701388888888889</v>
      </c>
      <c r="W795" s="3">
        <v>0.36319444444444443</v>
      </c>
      <c r="X795">
        <v>3</v>
      </c>
      <c r="Y795">
        <v>5</v>
      </c>
      <c r="Z795">
        <v>37.5</v>
      </c>
      <c r="AA795">
        <v>4</v>
      </c>
      <c r="AB795">
        <v>67</v>
      </c>
      <c r="AC795">
        <v>2</v>
      </c>
      <c r="AD795">
        <v>5</v>
      </c>
      <c r="AF795" t="s">
        <v>1806</v>
      </c>
    </row>
    <row r="796" spans="1:32" x14ac:dyDescent="0.3">
      <c r="A796">
        <v>757</v>
      </c>
      <c r="B796" t="s">
        <v>1807</v>
      </c>
      <c r="C796">
        <v>22</v>
      </c>
      <c r="D796" t="s">
        <v>72</v>
      </c>
      <c r="E796" t="s">
        <v>78</v>
      </c>
      <c r="F796">
        <v>2</v>
      </c>
      <c r="G796">
        <v>0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2</v>
      </c>
      <c r="T796">
        <v>0</v>
      </c>
      <c r="U796">
        <v>3</v>
      </c>
      <c r="V796" s="3">
        <v>0.89027777777777772</v>
      </c>
      <c r="W796" s="3">
        <v>0.44513888888888886</v>
      </c>
      <c r="X796">
        <v>12</v>
      </c>
      <c r="Y796">
        <v>12</v>
      </c>
      <c r="Z796">
        <v>50</v>
      </c>
      <c r="AA796">
        <v>1</v>
      </c>
      <c r="AB796">
        <v>3</v>
      </c>
      <c r="AC796">
        <v>0</v>
      </c>
      <c r="AD796">
        <v>1</v>
      </c>
      <c r="AF796" t="s">
        <v>1808</v>
      </c>
    </row>
    <row r="797" spans="1:32" x14ac:dyDescent="0.3">
      <c r="A797">
        <v>758</v>
      </c>
      <c r="B797" t="s">
        <v>1809</v>
      </c>
      <c r="C797">
        <v>26</v>
      </c>
      <c r="D797" t="s">
        <v>188</v>
      </c>
      <c r="E797" t="s">
        <v>87</v>
      </c>
      <c r="F797">
        <v>15</v>
      </c>
      <c r="G797">
        <v>0</v>
      </c>
      <c r="H797">
        <v>1</v>
      </c>
      <c r="I797">
        <v>1</v>
      </c>
      <c r="J797">
        <v>-7</v>
      </c>
      <c r="K797">
        <v>6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17</v>
      </c>
      <c r="T797">
        <v>0</v>
      </c>
      <c r="U797">
        <v>38</v>
      </c>
      <c r="V797" s="2">
        <v>12.152777777777779</v>
      </c>
      <c r="W797" s="3">
        <v>0.81041666666666667</v>
      </c>
      <c r="X797">
        <v>0</v>
      </c>
      <c r="Y797">
        <v>0</v>
      </c>
      <c r="AA797">
        <v>31</v>
      </c>
      <c r="AB797">
        <v>31</v>
      </c>
      <c r="AC797">
        <v>4</v>
      </c>
      <c r="AD797">
        <v>18</v>
      </c>
      <c r="AF797" t="s">
        <v>1810</v>
      </c>
    </row>
    <row r="798" spans="1:32" x14ac:dyDescent="0.3">
      <c r="A798">
        <v>759</v>
      </c>
      <c r="B798" t="s">
        <v>1811</v>
      </c>
      <c r="C798">
        <v>32</v>
      </c>
      <c r="D798" t="s">
        <v>210</v>
      </c>
      <c r="E798" t="s">
        <v>78</v>
      </c>
      <c r="F798">
        <v>1</v>
      </c>
      <c r="G798">
        <v>1</v>
      </c>
      <c r="H798">
        <v>0</v>
      </c>
      <c r="I798">
        <v>1</v>
      </c>
      <c r="J798">
        <v>1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100</v>
      </c>
      <c r="U798">
        <v>3</v>
      </c>
      <c r="V798" s="3">
        <v>0.40555555555555556</v>
      </c>
      <c r="W798" s="3">
        <v>0.40555555555555556</v>
      </c>
      <c r="X798">
        <v>2</v>
      </c>
      <c r="Y798">
        <v>6</v>
      </c>
      <c r="Z798">
        <v>25</v>
      </c>
      <c r="AA798">
        <v>0</v>
      </c>
      <c r="AB798">
        <v>0</v>
      </c>
      <c r="AC798">
        <v>0</v>
      </c>
      <c r="AD798">
        <v>1</v>
      </c>
      <c r="AF798" t="s">
        <v>1812</v>
      </c>
    </row>
    <row r="799" spans="1:32" x14ac:dyDescent="0.3">
      <c r="A799">
        <v>760</v>
      </c>
      <c r="B799" t="s">
        <v>1813</v>
      </c>
      <c r="C799">
        <v>30</v>
      </c>
      <c r="D799" t="s">
        <v>121</v>
      </c>
      <c r="E799" t="s">
        <v>87</v>
      </c>
      <c r="F799">
        <v>9</v>
      </c>
      <c r="G799">
        <v>0</v>
      </c>
      <c r="H799">
        <v>1</v>
      </c>
      <c r="I799">
        <v>1</v>
      </c>
      <c r="J799">
        <v>1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3</v>
      </c>
      <c r="T799">
        <v>0</v>
      </c>
      <c r="U799">
        <v>16</v>
      </c>
      <c r="V799" s="2">
        <v>4.3347222222222221</v>
      </c>
      <c r="W799" s="3">
        <v>0.48194444444444445</v>
      </c>
      <c r="X799">
        <v>0</v>
      </c>
      <c r="Y799">
        <v>0</v>
      </c>
      <c r="AA799">
        <v>6</v>
      </c>
      <c r="AB799">
        <v>7</v>
      </c>
      <c r="AC799">
        <v>0</v>
      </c>
      <c r="AD799">
        <v>4</v>
      </c>
      <c r="AF799" t="s">
        <v>1814</v>
      </c>
    </row>
    <row r="800" spans="1:32" x14ac:dyDescent="0.3">
      <c r="A800">
        <v>761</v>
      </c>
      <c r="B800" t="s">
        <v>1815</v>
      </c>
      <c r="C800">
        <v>20</v>
      </c>
      <c r="D800" t="s">
        <v>210</v>
      </c>
      <c r="E800" t="s">
        <v>87</v>
      </c>
      <c r="F800">
        <v>24</v>
      </c>
      <c r="G800">
        <v>0</v>
      </c>
      <c r="H800">
        <v>1</v>
      </c>
      <c r="I800">
        <v>1</v>
      </c>
      <c r="J800">
        <v>-9</v>
      </c>
      <c r="K800">
        <v>18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23</v>
      </c>
      <c r="T800">
        <v>0</v>
      </c>
      <c r="U800">
        <v>42</v>
      </c>
      <c r="V800" s="2">
        <v>15.472916666666666</v>
      </c>
      <c r="W800" s="3">
        <v>0.64444444444444449</v>
      </c>
      <c r="X800">
        <v>0</v>
      </c>
      <c r="Y800">
        <v>0</v>
      </c>
      <c r="AA800">
        <v>26</v>
      </c>
      <c r="AB800">
        <v>8</v>
      </c>
      <c r="AC800">
        <v>1</v>
      </c>
      <c r="AD800">
        <v>26</v>
      </c>
      <c r="AF800" t="s">
        <v>1816</v>
      </c>
    </row>
    <row r="801" spans="1:32" x14ac:dyDescent="0.3">
      <c r="A801">
        <v>762</v>
      </c>
      <c r="B801" t="s">
        <v>1817</v>
      </c>
      <c r="C801">
        <v>24</v>
      </c>
      <c r="D801" t="s">
        <v>195</v>
      </c>
      <c r="E801" t="s">
        <v>87</v>
      </c>
      <c r="F801">
        <v>8</v>
      </c>
      <c r="G801">
        <v>0</v>
      </c>
      <c r="H801">
        <v>1</v>
      </c>
      <c r="I801">
        <v>1</v>
      </c>
      <c r="J801">
        <v>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8</v>
      </c>
      <c r="T801">
        <v>0</v>
      </c>
      <c r="U801">
        <v>15</v>
      </c>
      <c r="V801" s="2">
        <v>4.5590277777777777</v>
      </c>
      <c r="W801" s="3">
        <v>0.57013888888888886</v>
      </c>
      <c r="X801">
        <v>0</v>
      </c>
      <c r="Y801">
        <v>0</v>
      </c>
      <c r="AA801">
        <v>10</v>
      </c>
      <c r="AB801">
        <v>1</v>
      </c>
      <c r="AC801">
        <v>2</v>
      </c>
      <c r="AD801">
        <v>11</v>
      </c>
      <c r="AF801" t="s">
        <v>1818</v>
      </c>
    </row>
    <row r="802" spans="1:32" x14ac:dyDescent="0.3">
      <c r="A802">
        <v>763</v>
      </c>
      <c r="B802" t="s">
        <v>1819</v>
      </c>
      <c r="C802">
        <v>38</v>
      </c>
      <c r="D802" t="s">
        <v>221</v>
      </c>
      <c r="E802" t="s">
        <v>332</v>
      </c>
      <c r="F802">
        <v>21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U802">
        <v>0</v>
      </c>
      <c r="V802" s="2">
        <v>50.099305555555553</v>
      </c>
      <c r="W802" s="2">
        <v>2.3854166666666665</v>
      </c>
      <c r="X802">
        <v>0</v>
      </c>
      <c r="Y802">
        <v>0</v>
      </c>
      <c r="AA802">
        <v>0</v>
      </c>
      <c r="AB802">
        <v>0</v>
      </c>
      <c r="AC802">
        <v>0</v>
      </c>
      <c r="AD802">
        <v>16</v>
      </c>
      <c r="AF802" t="s">
        <v>1820</v>
      </c>
    </row>
    <row r="803" spans="1:32" x14ac:dyDescent="0.3">
      <c r="A803">
        <v>764</v>
      </c>
      <c r="B803" t="s">
        <v>326</v>
      </c>
      <c r="C803">
        <v>28</v>
      </c>
      <c r="D803" t="s">
        <v>310</v>
      </c>
      <c r="E803" t="s">
        <v>332</v>
      </c>
      <c r="F803">
        <v>32</v>
      </c>
      <c r="G803">
        <v>0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U803">
        <v>1</v>
      </c>
      <c r="V803" s="2">
        <v>78.657638888888883</v>
      </c>
      <c r="W803" t="s">
        <v>1821</v>
      </c>
      <c r="X803">
        <v>0</v>
      </c>
      <c r="Y803">
        <v>0</v>
      </c>
      <c r="AA803">
        <v>0</v>
      </c>
      <c r="AB803">
        <v>0</v>
      </c>
      <c r="AC803">
        <v>0</v>
      </c>
      <c r="AD803">
        <v>16</v>
      </c>
      <c r="AF803" t="s">
        <v>1822</v>
      </c>
    </row>
    <row r="804" spans="1:32" x14ac:dyDescent="0.3">
      <c r="A804">
        <v>765</v>
      </c>
      <c r="B804" t="s">
        <v>1823</v>
      </c>
      <c r="C804">
        <v>24</v>
      </c>
      <c r="D804" t="s">
        <v>134</v>
      </c>
      <c r="E804" t="s">
        <v>78</v>
      </c>
      <c r="F804">
        <v>9</v>
      </c>
      <c r="G804">
        <v>0</v>
      </c>
      <c r="H804">
        <v>1</v>
      </c>
      <c r="I804">
        <v>1</v>
      </c>
      <c r="J804">
        <v>-2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9</v>
      </c>
      <c r="T804">
        <v>0</v>
      </c>
      <c r="U804">
        <v>21</v>
      </c>
      <c r="V804" s="2">
        <v>4.5645833333333332</v>
      </c>
      <c r="W804" s="3">
        <v>0.50694444444444442</v>
      </c>
      <c r="X804">
        <v>2</v>
      </c>
      <c r="Y804">
        <v>2</v>
      </c>
      <c r="Z804">
        <v>50</v>
      </c>
      <c r="AA804">
        <v>7</v>
      </c>
      <c r="AB804">
        <v>11</v>
      </c>
      <c r="AC804">
        <v>0</v>
      </c>
      <c r="AD804">
        <v>3</v>
      </c>
      <c r="AF804" t="s">
        <v>1824</v>
      </c>
    </row>
    <row r="805" spans="1:32" x14ac:dyDescent="0.3">
      <c r="A805">
        <v>766</v>
      </c>
      <c r="B805" t="s">
        <v>1825</v>
      </c>
      <c r="C805">
        <v>31</v>
      </c>
      <c r="D805" t="s">
        <v>290</v>
      </c>
      <c r="E805" t="s">
        <v>78</v>
      </c>
      <c r="F805">
        <v>5</v>
      </c>
      <c r="G805">
        <v>0</v>
      </c>
      <c r="H805">
        <v>1</v>
      </c>
      <c r="I805">
        <v>1</v>
      </c>
      <c r="J805">
        <v>1</v>
      </c>
      <c r="K805">
        <v>4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6</v>
      </c>
      <c r="T805">
        <v>0</v>
      </c>
      <c r="U805">
        <v>11</v>
      </c>
      <c r="V805" s="2">
        <v>1.9159722222222222</v>
      </c>
      <c r="W805" s="3">
        <v>0.38333333333333336</v>
      </c>
      <c r="X805">
        <v>10</v>
      </c>
      <c r="Y805">
        <v>12</v>
      </c>
      <c r="Z805">
        <v>45.5</v>
      </c>
      <c r="AA805">
        <v>0</v>
      </c>
      <c r="AB805">
        <v>10</v>
      </c>
      <c r="AC805">
        <v>1</v>
      </c>
      <c r="AD805">
        <v>2</v>
      </c>
      <c r="AF805" t="s">
        <v>1826</v>
      </c>
    </row>
    <row r="806" spans="1:32" x14ac:dyDescent="0.3">
      <c r="A806">
        <v>767</v>
      </c>
      <c r="B806" t="s">
        <v>1827</v>
      </c>
      <c r="C806">
        <v>27</v>
      </c>
      <c r="D806" t="s">
        <v>188</v>
      </c>
      <c r="E806" t="s">
        <v>380</v>
      </c>
      <c r="F806">
        <v>23</v>
      </c>
      <c r="G806">
        <v>1</v>
      </c>
      <c r="H806">
        <v>0</v>
      </c>
      <c r="I806">
        <v>1</v>
      </c>
      <c r="J806">
        <v>-7</v>
      </c>
      <c r="K806">
        <v>2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17</v>
      </c>
      <c r="T806">
        <v>5.9</v>
      </c>
      <c r="U806">
        <v>41</v>
      </c>
      <c r="V806" s="2">
        <v>9.406944444444445</v>
      </c>
      <c r="W806" s="3">
        <v>0.40902777777777777</v>
      </c>
      <c r="X806">
        <v>7</v>
      </c>
      <c r="Y806">
        <v>8</v>
      </c>
      <c r="Z806">
        <v>46.7</v>
      </c>
      <c r="AA806">
        <v>4</v>
      </c>
      <c r="AB806">
        <v>42</v>
      </c>
      <c r="AC806">
        <v>3</v>
      </c>
      <c r="AD806">
        <v>16</v>
      </c>
      <c r="AF806" t="s">
        <v>1828</v>
      </c>
    </row>
    <row r="807" spans="1:32" x14ac:dyDescent="0.3">
      <c r="A807">
        <v>768</v>
      </c>
      <c r="B807" t="s">
        <v>1829</v>
      </c>
      <c r="C807">
        <v>27</v>
      </c>
      <c r="D807" t="s">
        <v>195</v>
      </c>
      <c r="E807" t="s">
        <v>101</v>
      </c>
      <c r="F807">
        <v>4</v>
      </c>
      <c r="G807">
        <v>1</v>
      </c>
      <c r="H807">
        <v>0</v>
      </c>
      <c r="I807">
        <v>1</v>
      </c>
      <c r="J807">
        <v>-1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4</v>
      </c>
      <c r="T807">
        <v>25</v>
      </c>
      <c r="U807">
        <v>8</v>
      </c>
      <c r="V807" s="2">
        <v>1.945138888888889</v>
      </c>
      <c r="W807" s="3">
        <v>0.4861111111111111</v>
      </c>
      <c r="X807">
        <v>0</v>
      </c>
      <c r="Y807">
        <v>0</v>
      </c>
      <c r="AA807">
        <v>1</v>
      </c>
      <c r="AB807">
        <v>7</v>
      </c>
      <c r="AC807">
        <v>0</v>
      </c>
      <c r="AD807">
        <v>1</v>
      </c>
      <c r="AF807" t="s">
        <v>1830</v>
      </c>
    </row>
    <row r="808" spans="1:32" x14ac:dyDescent="0.3">
      <c r="A808">
        <v>769</v>
      </c>
      <c r="B808" t="s">
        <v>1831</v>
      </c>
      <c r="C808">
        <v>30</v>
      </c>
      <c r="D808" t="s">
        <v>210</v>
      </c>
      <c r="E808" t="s">
        <v>332</v>
      </c>
      <c r="F808">
        <v>12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U808">
        <v>0</v>
      </c>
      <c r="V808" s="2">
        <v>29.099305555555556</v>
      </c>
      <c r="W808" s="2">
        <v>2.4249999999999998</v>
      </c>
      <c r="X808">
        <v>0</v>
      </c>
      <c r="Y808">
        <v>0</v>
      </c>
      <c r="AA808">
        <v>0</v>
      </c>
      <c r="AB808">
        <v>0</v>
      </c>
      <c r="AC808">
        <v>0</v>
      </c>
      <c r="AD808">
        <v>7</v>
      </c>
      <c r="AF808" t="s">
        <v>1832</v>
      </c>
    </row>
    <row r="809" spans="1:32" x14ac:dyDescent="0.3">
      <c r="A809">
        <v>770</v>
      </c>
      <c r="B809" t="s">
        <v>1833</v>
      </c>
      <c r="C809">
        <v>31</v>
      </c>
      <c r="D809" t="s">
        <v>121</v>
      </c>
      <c r="E809" t="s">
        <v>332</v>
      </c>
      <c r="F809">
        <v>26</v>
      </c>
      <c r="G809">
        <v>0</v>
      </c>
      <c r="H809">
        <v>1</v>
      </c>
      <c r="I809">
        <v>1</v>
      </c>
      <c r="J809">
        <v>0</v>
      </c>
      <c r="K809">
        <v>4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U809">
        <v>0</v>
      </c>
      <c r="V809" s="2">
        <v>64.044444444444451</v>
      </c>
      <c r="W809" s="2">
        <v>2.4631944444444445</v>
      </c>
      <c r="X809">
        <v>0</v>
      </c>
      <c r="Y809">
        <v>0</v>
      </c>
      <c r="AA809">
        <v>0</v>
      </c>
      <c r="AB809">
        <v>0</v>
      </c>
      <c r="AC809">
        <v>0</v>
      </c>
      <c r="AD809">
        <v>9</v>
      </c>
      <c r="AF809" t="s">
        <v>1834</v>
      </c>
    </row>
    <row r="810" spans="1:32" x14ac:dyDescent="0.3">
      <c r="A810">
        <v>771</v>
      </c>
      <c r="B810" t="s">
        <v>1835</v>
      </c>
      <c r="C810">
        <v>29</v>
      </c>
      <c r="D810" t="s">
        <v>210</v>
      </c>
      <c r="E810" t="s">
        <v>332</v>
      </c>
      <c r="F810">
        <v>34</v>
      </c>
      <c r="G810">
        <v>0</v>
      </c>
      <c r="H810">
        <v>1</v>
      </c>
      <c r="I810">
        <v>1</v>
      </c>
      <c r="J810">
        <v>0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U810">
        <v>0</v>
      </c>
      <c r="V810" s="2">
        <v>82.802777777777777</v>
      </c>
      <c r="W810" s="2">
        <v>2.4354166666666668</v>
      </c>
      <c r="X810">
        <v>0</v>
      </c>
      <c r="Y810">
        <v>0</v>
      </c>
      <c r="AA810">
        <v>0</v>
      </c>
      <c r="AB810">
        <v>0</v>
      </c>
      <c r="AC810">
        <v>0</v>
      </c>
      <c r="AD810">
        <v>12</v>
      </c>
      <c r="AF810" t="s">
        <v>1836</v>
      </c>
    </row>
    <row r="811" spans="1:32" x14ac:dyDescent="0.3">
      <c r="A811">
        <v>772</v>
      </c>
      <c r="B811" t="s">
        <v>1837</v>
      </c>
      <c r="C811">
        <v>27</v>
      </c>
      <c r="D811" t="s">
        <v>91</v>
      </c>
      <c r="E811" t="s">
        <v>380</v>
      </c>
      <c r="F811">
        <v>2</v>
      </c>
      <c r="G811">
        <v>0</v>
      </c>
      <c r="H811">
        <v>1</v>
      </c>
      <c r="I811">
        <v>1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8</v>
      </c>
      <c r="V811" s="2">
        <v>1.0763888888888888</v>
      </c>
      <c r="W811" s="3">
        <v>0.53819444444444442</v>
      </c>
      <c r="X811">
        <v>0</v>
      </c>
      <c r="Y811">
        <v>1</v>
      </c>
      <c r="Z811">
        <v>0</v>
      </c>
      <c r="AA811">
        <v>2</v>
      </c>
      <c r="AB811">
        <v>1</v>
      </c>
      <c r="AC811">
        <v>0</v>
      </c>
      <c r="AD811">
        <v>0</v>
      </c>
      <c r="AF811" t="s">
        <v>1838</v>
      </c>
    </row>
    <row r="812" spans="1:32" x14ac:dyDescent="0.3">
      <c r="A812">
        <v>773</v>
      </c>
      <c r="B812" t="s">
        <v>1839</v>
      </c>
      <c r="C812">
        <v>33</v>
      </c>
      <c r="D812" t="s">
        <v>216</v>
      </c>
      <c r="E812" t="s">
        <v>332</v>
      </c>
      <c r="F812">
        <v>28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U812">
        <v>0</v>
      </c>
      <c r="V812" s="2">
        <v>67.238888888888894</v>
      </c>
      <c r="W812" s="2">
        <v>2.401388888888889</v>
      </c>
      <c r="X812">
        <v>0</v>
      </c>
      <c r="Y812">
        <v>0</v>
      </c>
      <c r="AA812">
        <v>0</v>
      </c>
      <c r="AB812">
        <v>0</v>
      </c>
      <c r="AC812">
        <v>0</v>
      </c>
      <c r="AD812">
        <v>12</v>
      </c>
      <c r="AF812" t="s">
        <v>1840</v>
      </c>
    </row>
    <row r="813" spans="1:32" x14ac:dyDescent="0.3">
      <c r="A813">
        <v>774</v>
      </c>
      <c r="B813" t="s">
        <v>1841</v>
      </c>
      <c r="C813">
        <v>21</v>
      </c>
      <c r="D813" t="s">
        <v>204</v>
      </c>
      <c r="E813" t="s">
        <v>101</v>
      </c>
      <c r="F813">
        <v>5</v>
      </c>
      <c r="G813">
        <v>0</v>
      </c>
      <c r="H813">
        <v>1</v>
      </c>
      <c r="I813">
        <v>1</v>
      </c>
      <c r="J813">
        <v>-1</v>
      </c>
      <c r="K813">
        <v>7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4</v>
      </c>
      <c r="T813">
        <v>0</v>
      </c>
      <c r="U813">
        <v>8</v>
      </c>
      <c r="V813" s="2">
        <v>1.9993055555555554</v>
      </c>
      <c r="W813" s="3">
        <v>0.4</v>
      </c>
      <c r="X813">
        <v>0</v>
      </c>
      <c r="Y813">
        <v>0</v>
      </c>
      <c r="AA813">
        <v>4</v>
      </c>
      <c r="AB813">
        <v>9</v>
      </c>
      <c r="AC813">
        <v>0</v>
      </c>
      <c r="AD813">
        <v>4</v>
      </c>
      <c r="AF813" t="s">
        <v>1842</v>
      </c>
    </row>
    <row r="814" spans="1:32" x14ac:dyDescent="0.3">
      <c r="A814">
        <v>775</v>
      </c>
      <c r="B814" t="s">
        <v>1843</v>
      </c>
      <c r="C814">
        <v>25</v>
      </c>
      <c r="D814" t="s">
        <v>472</v>
      </c>
      <c r="E814" t="s">
        <v>87</v>
      </c>
      <c r="F814">
        <v>14</v>
      </c>
      <c r="G814">
        <v>0</v>
      </c>
      <c r="H814">
        <v>1</v>
      </c>
      <c r="I814">
        <v>1</v>
      </c>
      <c r="J814">
        <v>3</v>
      </c>
      <c r="K814">
        <v>4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9</v>
      </c>
      <c r="T814">
        <v>0</v>
      </c>
      <c r="U814">
        <v>20</v>
      </c>
      <c r="V814" s="2">
        <v>8.0659722222222214</v>
      </c>
      <c r="W814" s="3">
        <v>0.57638888888888884</v>
      </c>
      <c r="X814">
        <v>0</v>
      </c>
      <c r="Y814">
        <v>0</v>
      </c>
      <c r="AA814">
        <v>16</v>
      </c>
      <c r="AB814">
        <v>2</v>
      </c>
      <c r="AC814">
        <v>1</v>
      </c>
      <c r="AD814">
        <v>12</v>
      </c>
      <c r="AF814" t="s">
        <v>1844</v>
      </c>
    </row>
    <row r="815" spans="1:32" x14ac:dyDescent="0.3">
      <c r="A815">
        <v>775</v>
      </c>
      <c r="B815" t="s">
        <v>1843</v>
      </c>
      <c r="C815">
        <v>25</v>
      </c>
      <c r="D815" t="s">
        <v>278</v>
      </c>
      <c r="E815" t="s">
        <v>87</v>
      </c>
      <c r="F815">
        <v>13</v>
      </c>
      <c r="G815">
        <v>0</v>
      </c>
      <c r="H815">
        <v>1</v>
      </c>
      <c r="I815">
        <v>1</v>
      </c>
      <c r="J815">
        <v>4</v>
      </c>
      <c r="K815">
        <v>4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9</v>
      </c>
      <c r="T815">
        <v>0</v>
      </c>
      <c r="U815">
        <v>19</v>
      </c>
      <c r="V815" s="2">
        <v>7.5993055555555555</v>
      </c>
      <c r="W815" s="3">
        <v>0.58472222222222225</v>
      </c>
      <c r="X815">
        <v>0</v>
      </c>
      <c r="Y815">
        <v>0</v>
      </c>
      <c r="AA815">
        <v>15</v>
      </c>
      <c r="AB815">
        <v>2</v>
      </c>
      <c r="AC815">
        <v>1</v>
      </c>
      <c r="AD815">
        <v>10</v>
      </c>
      <c r="AF815" t="s">
        <v>1844</v>
      </c>
    </row>
    <row r="816" spans="1:32" x14ac:dyDescent="0.3">
      <c r="A816">
        <v>775</v>
      </c>
      <c r="B816" t="s">
        <v>1843</v>
      </c>
      <c r="C816">
        <v>25</v>
      </c>
      <c r="D816" t="s">
        <v>306</v>
      </c>
      <c r="E816" t="s">
        <v>87</v>
      </c>
      <c r="F816">
        <v>1</v>
      </c>
      <c r="G816">
        <v>0</v>
      </c>
      <c r="H816">
        <v>0</v>
      </c>
      <c r="I816">
        <v>0</v>
      </c>
      <c r="J816">
        <v>-1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>
        <v>1</v>
      </c>
      <c r="V816" s="3">
        <v>0.46666666666666667</v>
      </c>
      <c r="W816" s="3">
        <v>0.46666666666666667</v>
      </c>
      <c r="X816">
        <v>0</v>
      </c>
      <c r="Y816">
        <v>0</v>
      </c>
      <c r="AA816">
        <v>1</v>
      </c>
      <c r="AB816">
        <v>0</v>
      </c>
      <c r="AC816">
        <v>0</v>
      </c>
      <c r="AD816">
        <v>2</v>
      </c>
      <c r="AF816" t="s">
        <v>1844</v>
      </c>
    </row>
    <row r="817" spans="1:32" x14ac:dyDescent="0.3">
      <c r="A817">
        <v>776</v>
      </c>
      <c r="B817" t="s">
        <v>1845</v>
      </c>
      <c r="C817">
        <v>35</v>
      </c>
      <c r="D817" t="s">
        <v>210</v>
      </c>
      <c r="E817" t="s">
        <v>101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>
        <v>1</v>
      </c>
      <c r="V817" s="3">
        <v>0.51111111111111107</v>
      </c>
      <c r="W817" s="3">
        <v>0.25555555555555554</v>
      </c>
      <c r="X817">
        <v>3</v>
      </c>
      <c r="Y817">
        <v>4</v>
      </c>
      <c r="Z817">
        <v>42.9</v>
      </c>
      <c r="AA817">
        <v>1</v>
      </c>
      <c r="AB817">
        <v>4</v>
      </c>
      <c r="AC817">
        <v>1</v>
      </c>
      <c r="AD817">
        <v>1</v>
      </c>
      <c r="AF817" t="s">
        <v>1846</v>
      </c>
    </row>
    <row r="818" spans="1:32" x14ac:dyDescent="0.3">
      <c r="A818">
        <v>777</v>
      </c>
      <c r="B818" t="s">
        <v>1847</v>
      </c>
      <c r="C818">
        <v>24</v>
      </c>
      <c r="D818" t="s">
        <v>150</v>
      </c>
      <c r="E818" t="s">
        <v>332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>
        <v>0</v>
      </c>
      <c r="V818" s="3">
        <v>0.43888888888888888</v>
      </c>
      <c r="W818" s="3">
        <v>0.43888888888888888</v>
      </c>
      <c r="X818">
        <v>0</v>
      </c>
      <c r="Y818">
        <v>0</v>
      </c>
      <c r="AA818">
        <v>0</v>
      </c>
      <c r="AB818">
        <v>0</v>
      </c>
      <c r="AC818">
        <v>0</v>
      </c>
      <c r="AD818">
        <v>0</v>
      </c>
      <c r="AF818" t="s">
        <v>1848</v>
      </c>
    </row>
    <row r="819" spans="1:32" x14ac:dyDescent="0.3">
      <c r="A819">
        <v>778</v>
      </c>
      <c r="B819" t="s">
        <v>1849</v>
      </c>
      <c r="C819">
        <v>35</v>
      </c>
      <c r="D819" t="s">
        <v>97</v>
      </c>
      <c r="E819" t="s">
        <v>332</v>
      </c>
      <c r="F819">
        <v>23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>
        <v>0</v>
      </c>
      <c r="V819" s="2">
        <v>56.432638888888889</v>
      </c>
      <c r="W819" s="2">
        <v>2.4534722222222221</v>
      </c>
      <c r="X819">
        <v>0</v>
      </c>
      <c r="Y819">
        <v>0</v>
      </c>
      <c r="AA819">
        <v>0</v>
      </c>
      <c r="AB819">
        <v>0</v>
      </c>
      <c r="AC819">
        <v>0</v>
      </c>
      <c r="AD819">
        <v>5</v>
      </c>
      <c r="AF819" t="s">
        <v>1850</v>
      </c>
    </row>
    <row r="820" spans="1:32" x14ac:dyDescent="0.3">
      <c r="A820">
        <v>779</v>
      </c>
      <c r="B820" t="s">
        <v>1851</v>
      </c>
      <c r="C820">
        <v>25</v>
      </c>
      <c r="D820" t="s">
        <v>193</v>
      </c>
      <c r="E820" t="s">
        <v>78</v>
      </c>
      <c r="F820">
        <v>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3</v>
      </c>
      <c r="V820" s="3">
        <v>0.72152777777777777</v>
      </c>
      <c r="W820" s="3">
        <v>0.3611111111111111</v>
      </c>
      <c r="X820">
        <v>1</v>
      </c>
      <c r="Y820">
        <v>1</v>
      </c>
      <c r="Z820">
        <v>50</v>
      </c>
      <c r="AA820">
        <v>1</v>
      </c>
      <c r="AB820">
        <v>2</v>
      </c>
      <c r="AC820">
        <v>0</v>
      </c>
      <c r="AD820">
        <v>1</v>
      </c>
      <c r="AF820" t="s">
        <v>1852</v>
      </c>
    </row>
    <row r="821" spans="1:32" x14ac:dyDescent="0.3">
      <c r="A821">
        <v>780</v>
      </c>
      <c r="B821" t="s">
        <v>1853</v>
      </c>
      <c r="C821">
        <v>36</v>
      </c>
      <c r="D821" t="s">
        <v>72</v>
      </c>
      <c r="E821" t="s">
        <v>332</v>
      </c>
      <c r="F821">
        <v>18</v>
      </c>
      <c r="G821">
        <v>0</v>
      </c>
      <c r="H821">
        <v>0</v>
      </c>
      <c r="I821">
        <v>0</v>
      </c>
      <c r="J821">
        <v>0</v>
      </c>
      <c r="K821">
        <v>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>
        <v>0</v>
      </c>
      <c r="V821" s="2">
        <v>44.806944444444447</v>
      </c>
      <c r="W821" s="2">
        <v>2.4895833333333335</v>
      </c>
      <c r="X821">
        <v>0</v>
      </c>
      <c r="Y821">
        <v>0</v>
      </c>
      <c r="AA821">
        <v>0</v>
      </c>
      <c r="AB821">
        <v>0</v>
      </c>
      <c r="AC821">
        <v>0</v>
      </c>
      <c r="AD821">
        <v>14</v>
      </c>
      <c r="AF821" t="s">
        <v>1854</v>
      </c>
    </row>
    <row r="822" spans="1:32" x14ac:dyDescent="0.3">
      <c r="A822">
        <v>781</v>
      </c>
      <c r="B822" t="s">
        <v>1855</v>
      </c>
      <c r="C822">
        <v>25</v>
      </c>
      <c r="D822" t="s">
        <v>157</v>
      </c>
      <c r="E822" t="s">
        <v>332</v>
      </c>
      <c r="F822">
        <v>12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>
        <v>0</v>
      </c>
      <c r="V822" s="2">
        <v>25.086805555555557</v>
      </c>
      <c r="W822" s="2">
        <v>2.0902777777777777</v>
      </c>
      <c r="X822">
        <v>0</v>
      </c>
      <c r="Y822">
        <v>0</v>
      </c>
      <c r="AA822">
        <v>0</v>
      </c>
      <c r="AB822">
        <v>0</v>
      </c>
      <c r="AC822">
        <v>0</v>
      </c>
      <c r="AD822">
        <v>1</v>
      </c>
      <c r="AF822" t="s">
        <v>1856</v>
      </c>
    </row>
    <row r="823" spans="1:32" x14ac:dyDescent="0.3">
      <c r="A823">
        <v>782</v>
      </c>
      <c r="B823" t="s">
        <v>1857</v>
      </c>
      <c r="C823">
        <v>23</v>
      </c>
      <c r="D823" t="s">
        <v>116</v>
      </c>
      <c r="E823" t="s">
        <v>332</v>
      </c>
      <c r="F823">
        <v>28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>
        <v>0</v>
      </c>
      <c r="V823" s="2">
        <v>63.236805555555556</v>
      </c>
      <c r="W823" s="2">
        <v>2.2583333333333333</v>
      </c>
      <c r="X823">
        <v>0</v>
      </c>
      <c r="Y823">
        <v>0</v>
      </c>
      <c r="AA823">
        <v>0</v>
      </c>
      <c r="AB823">
        <v>0</v>
      </c>
      <c r="AC823">
        <v>0</v>
      </c>
      <c r="AD823">
        <v>9</v>
      </c>
      <c r="AF823" t="s">
        <v>1858</v>
      </c>
    </row>
    <row r="824" spans="1:32" x14ac:dyDescent="0.3">
      <c r="A824">
        <v>783</v>
      </c>
      <c r="B824" t="s">
        <v>1859</v>
      </c>
      <c r="C824">
        <v>31</v>
      </c>
      <c r="D824" t="s">
        <v>150</v>
      </c>
      <c r="E824" t="s">
        <v>87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>
        <v>1</v>
      </c>
      <c r="V824" s="3">
        <v>0.5180555555555556</v>
      </c>
      <c r="W824" s="3">
        <v>0.5180555555555556</v>
      </c>
      <c r="X824">
        <v>0</v>
      </c>
      <c r="Y824">
        <v>0</v>
      </c>
      <c r="AA824">
        <v>3</v>
      </c>
      <c r="AB824">
        <v>0</v>
      </c>
      <c r="AC824">
        <v>0</v>
      </c>
      <c r="AD824">
        <v>1</v>
      </c>
      <c r="AF824" t="s">
        <v>1860</v>
      </c>
    </row>
    <row r="825" spans="1:32" x14ac:dyDescent="0.3">
      <c r="A825">
        <v>784</v>
      </c>
      <c r="B825" t="s">
        <v>1861</v>
      </c>
      <c r="C825">
        <v>23</v>
      </c>
      <c r="D825" t="s">
        <v>256</v>
      </c>
      <c r="E825" t="s">
        <v>101</v>
      </c>
      <c r="F825">
        <v>12</v>
      </c>
      <c r="G825">
        <v>0</v>
      </c>
      <c r="H825">
        <v>0</v>
      </c>
      <c r="I825">
        <v>0</v>
      </c>
      <c r="J825">
        <v>-1</v>
      </c>
      <c r="K825">
        <v>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10</v>
      </c>
      <c r="T825">
        <v>0</v>
      </c>
      <c r="U825">
        <v>34</v>
      </c>
      <c r="V825" s="2">
        <v>5.3458333333333332</v>
      </c>
      <c r="W825" s="3">
        <v>0.44583333333333336</v>
      </c>
      <c r="X825">
        <v>0</v>
      </c>
      <c r="Y825">
        <v>0</v>
      </c>
      <c r="AA825">
        <v>9</v>
      </c>
      <c r="AB825">
        <v>15</v>
      </c>
      <c r="AC825">
        <v>1</v>
      </c>
      <c r="AD825">
        <v>9</v>
      </c>
      <c r="AF825" t="s">
        <v>1862</v>
      </c>
    </row>
    <row r="826" spans="1:32" x14ac:dyDescent="0.3">
      <c r="A826">
        <v>785</v>
      </c>
      <c r="B826" t="s">
        <v>1863</v>
      </c>
      <c r="C826">
        <v>29</v>
      </c>
      <c r="D826" t="s">
        <v>216</v>
      </c>
      <c r="E826" t="s">
        <v>332</v>
      </c>
      <c r="F826">
        <v>16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>
        <v>0</v>
      </c>
      <c r="V826" s="2">
        <v>36.256250000000001</v>
      </c>
      <c r="W826" s="2">
        <v>2.2659722222222221</v>
      </c>
      <c r="X826">
        <v>0</v>
      </c>
      <c r="Y826">
        <v>0</v>
      </c>
      <c r="AA826">
        <v>0</v>
      </c>
      <c r="AB826">
        <v>0</v>
      </c>
      <c r="AC826">
        <v>0</v>
      </c>
      <c r="AD826">
        <v>1</v>
      </c>
      <c r="AF826" t="s">
        <v>1864</v>
      </c>
    </row>
    <row r="827" spans="1:32" x14ac:dyDescent="0.3">
      <c r="A827">
        <v>786</v>
      </c>
      <c r="B827" t="s">
        <v>1865</v>
      </c>
      <c r="C827">
        <v>30</v>
      </c>
      <c r="D827" t="s">
        <v>256</v>
      </c>
      <c r="E827" t="s">
        <v>101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 s="3">
        <v>0.64652777777777781</v>
      </c>
      <c r="W827" s="3">
        <v>0.32361111111111113</v>
      </c>
      <c r="X827">
        <v>0</v>
      </c>
      <c r="Y827">
        <v>0</v>
      </c>
      <c r="AA827">
        <v>0</v>
      </c>
      <c r="AB827">
        <v>8</v>
      </c>
      <c r="AC827">
        <v>0</v>
      </c>
      <c r="AD827">
        <v>0</v>
      </c>
      <c r="AF827" t="s">
        <v>1866</v>
      </c>
    </row>
    <row r="828" spans="1:32" x14ac:dyDescent="0.3">
      <c r="A828">
        <v>787</v>
      </c>
      <c r="B828" t="s">
        <v>1867</v>
      </c>
      <c r="C828">
        <v>25</v>
      </c>
      <c r="D828" t="s">
        <v>195</v>
      </c>
      <c r="E828" t="s">
        <v>95</v>
      </c>
      <c r="F828">
        <v>4</v>
      </c>
      <c r="G828">
        <v>0</v>
      </c>
      <c r="H828">
        <v>0</v>
      </c>
      <c r="I828">
        <v>0</v>
      </c>
      <c r="J828">
        <v>-3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4</v>
      </c>
      <c r="T828">
        <v>0</v>
      </c>
      <c r="U828">
        <v>10</v>
      </c>
      <c r="V828" s="2">
        <v>1.8111111111111111</v>
      </c>
      <c r="W828" s="3">
        <v>0.45277777777777778</v>
      </c>
      <c r="X828">
        <v>0</v>
      </c>
      <c r="Y828">
        <v>1</v>
      </c>
      <c r="Z828">
        <v>0</v>
      </c>
      <c r="AA828">
        <v>2</v>
      </c>
      <c r="AB828">
        <v>2</v>
      </c>
      <c r="AC828">
        <v>0</v>
      </c>
      <c r="AD828">
        <v>3</v>
      </c>
      <c r="AF828" t="s">
        <v>1868</v>
      </c>
    </row>
    <row r="829" spans="1:32" x14ac:dyDescent="0.3">
      <c r="A829">
        <v>788</v>
      </c>
      <c r="B829" t="s">
        <v>1869</v>
      </c>
      <c r="C829">
        <v>23</v>
      </c>
      <c r="D829" t="s">
        <v>243</v>
      </c>
      <c r="E829" t="s">
        <v>78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3</v>
      </c>
      <c r="T829">
        <v>0</v>
      </c>
      <c r="U829">
        <v>5</v>
      </c>
      <c r="V829" s="3">
        <v>0.27986111111111112</v>
      </c>
      <c r="W829" s="3">
        <v>0.27986111111111112</v>
      </c>
      <c r="X829">
        <v>0</v>
      </c>
      <c r="Y829">
        <v>0</v>
      </c>
      <c r="AA829">
        <v>0</v>
      </c>
      <c r="AB829">
        <v>0</v>
      </c>
      <c r="AC829">
        <v>0</v>
      </c>
      <c r="AD829">
        <v>0</v>
      </c>
      <c r="AF829" t="s">
        <v>1870</v>
      </c>
    </row>
    <row r="830" spans="1:32" x14ac:dyDescent="0.3">
      <c r="A830">
        <v>789</v>
      </c>
      <c r="B830" t="s">
        <v>1871</v>
      </c>
      <c r="C830">
        <v>23</v>
      </c>
      <c r="D830" t="s">
        <v>134</v>
      </c>
      <c r="E830" t="s">
        <v>78</v>
      </c>
      <c r="F830">
        <v>1</v>
      </c>
      <c r="G830">
        <v>0</v>
      </c>
      <c r="H830">
        <v>0</v>
      </c>
      <c r="I830">
        <v>0</v>
      </c>
      <c r="J830">
        <v>-1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</v>
      </c>
      <c r="T830">
        <v>0</v>
      </c>
      <c r="U830">
        <v>2</v>
      </c>
      <c r="V830" s="3">
        <v>0.47916666666666669</v>
      </c>
      <c r="W830" s="3">
        <v>0.47916666666666669</v>
      </c>
      <c r="X830">
        <v>3</v>
      </c>
      <c r="Y830">
        <v>3</v>
      </c>
      <c r="Z830">
        <v>50</v>
      </c>
      <c r="AA830">
        <v>0</v>
      </c>
      <c r="AB830">
        <v>0</v>
      </c>
      <c r="AC830">
        <v>0</v>
      </c>
      <c r="AD830">
        <v>1</v>
      </c>
      <c r="AF830" t="s">
        <v>1872</v>
      </c>
    </row>
    <row r="831" spans="1:32" x14ac:dyDescent="0.3">
      <c r="A831">
        <v>790</v>
      </c>
      <c r="B831" t="s">
        <v>1873</v>
      </c>
      <c r="C831">
        <v>23</v>
      </c>
      <c r="D831" t="s">
        <v>113</v>
      </c>
      <c r="E831" t="s">
        <v>332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>
        <v>0</v>
      </c>
      <c r="V831" s="3">
        <v>0.83333333333333337</v>
      </c>
      <c r="W831" s="3">
        <v>0.83333333333333337</v>
      </c>
      <c r="X831">
        <v>0</v>
      </c>
      <c r="Y831">
        <v>0</v>
      </c>
      <c r="AA831">
        <v>0</v>
      </c>
      <c r="AB831">
        <v>0</v>
      </c>
      <c r="AC831">
        <v>0</v>
      </c>
      <c r="AD831">
        <v>0</v>
      </c>
      <c r="AF831" t="s">
        <v>1874</v>
      </c>
    </row>
    <row r="832" spans="1:32" x14ac:dyDescent="0.3">
      <c r="A832">
        <v>791</v>
      </c>
      <c r="B832" t="s">
        <v>1875</v>
      </c>
      <c r="C832">
        <v>26</v>
      </c>
      <c r="D832" t="s">
        <v>195</v>
      </c>
      <c r="E832" t="s">
        <v>87</v>
      </c>
      <c r="F832">
        <v>5</v>
      </c>
      <c r="G832">
        <v>0</v>
      </c>
      <c r="H832">
        <v>0</v>
      </c>
      <c r="I832">
        <v>0</v>
      </c>
      <c r="J832">
        <v>-1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3</v>
      </c>
      <c r="T832">
        <v>0</v>
      </c>
      <c r="U832">
        <v>4</v>
      </c>
      <c r="V832" s="2">
        <v>2.7062499999999998</v>
      </c>
      <c r="W832" s="3">
        <v>0.54097222222222219</v>
      </c>
      <c r="X832">
        <v>0</v>
      </c>
      <c r="Y832">
        <v>0</v>
      </c>
      <c r="AA832">
        <v>9</v>
      </c>
      <c r="AB832">
        <v>3</v>
      </c>
      <c r="AC832">
        <v>2</v>
      </c>
      <c r="AD832">
        <v>3</v>
      </c>
      <c r="AF832" t="s">
        <v>1876</v>
      </c>
    </row>
    <row r="833" spans="1:32" x14ac:dyDescent="0.3">
      <c r="A833">
        <v>792</v>
      </c>
      <c r="B833" t="s">
        <v>1877</v>
      </c>
      <c r="C833">
        <v>22</v>
      </c>
      <c r="D833" t="s">
        <v>97</v>
      </c>
      <c r="E833" t="s">
        <v>87</v>
      </c>
      <c r="F833">
        <v>2</v>
      </c>
      <c r="G833">
        <v>0</v>
      </c>
      <c r="H833">
        <v>0</v>
      </c>
      <c r="I833">
        <v>0</v>
      </c>
      <c r="J833">
        <v>-3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4</v>
      </c>
      <c r="T833">
        <v>0</v>
      </c>
      <c r="U833">
        <v>8</v>
      </c>
      <c r="V833" s="2">
        <v>1.5006944444444446</v>
      </c>
      <c r="W833" s="3">
        <v>0.75069444444444444</v>
      </c>
      <c r="X833">
        <v>0</v>
      </c>
      <c r="Y833">
        <v>0</v>
      </c>
      <c r="AA833">
        <v>1</v>
      </c>
      <c r="AB833">
        <v>0</v>
      </c>
      <c r="AC833">
        <v>2</v>
      </c>
      <c r="AD833">
        <v>3</v>
      </c>
      <c r="AF833" t="s">
        <v>1878</v>
      </c>
    </row>
    <row r="834" spans="1:32" x14ac:dyDescent="0.3">
      <c r="A834">
        <v>793</v>
      </c>
      <c r="B834" t="s">
        <v>1879</v>
      </c>
      <c r="C834">
        <v>28</v>
      </c>
      <c r="D834" t="s">
        <v>121</v>
      </c>
      <c r="E834" t="s">
        <v>380</v>
      </c>
      <c r="F834">
        <v>7</v>
      </c>
      <c r="G834">
        <v>0</v>
      </c>
      <c r="H834">
        <v>0</v>
      </c>
      <c r="I834">
        <v>0</v>
      </c>
      <c r="J834">
        <v>0</v>
      </c>
      <c r="K834">
        <v>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8</v>
      </c>
      <c r="T834">
        <v>0</v>
      </c>
      <c r="U834">
        <v>10</v>
      </c>
      <c r="V834" s="2">
        <v>2.7680555555555557</v>
      </c>
      <c r="W834" s="3">
        <v>0.39513888888888887</v>
      </c>
      <c r="X834">
        <v>1</v>
      </c>
      <c r="Y834">
        <v>2</v>
      </c>
      <c r="Z834">
        <v>33.299999999999997</v>
      </c>
      <c r="AA834">
        <v>2</v>
      </c>
      <c r="AB834">
        <v>19</v>
      </c>
      <c r="AC834">
        <v>0</v>
      </c>
      <c r="AD834">
        <v>5</v>
      </c>
      <c r="AF834" t="s">
        <v>1880</v>
      </c>
    </row>
    <row r="835" spans="1:32" x14ac:dyDescent="0.3">
      <c r="A835">
        <v>794</v>
      </c>
      <c r="B835" t="s">
        <v>1881</v>
      </c>
      <c r="C835">
        <v>22</v>
      </c>
      <c r="D835" t="s">
        <v>130</v>
      </c>
      <c r="E835" t="s">
        <v>95</v>
      </c>
      <c r="F835">
        <v>8</v>
      </c>
      <c r="G835">
        <v>0</v>
      </c>
      <c r="H835">
        <v>0</v>
      </c>
      <c r="I835">
        <v>0</v>
      </c>
      <c r="J835">
        <v>0</v>
      </c>
      <c r="K835">
        <v>12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5</v>
      </c>
      <c r="T835">
        <v>0</v>
      </c>
      <c r="U835">
        <v>16</v>
      </c>
      <c r="V835" s="2">
        <v>3.0652777777777778</v>
      </c>
      <c r="W835" s="3">
        <v>0.38333333333333336</v>
      </c>
      <c r="X835">
        <v>0</v>
      </c>
      <c r="Y835">
        <v>0</v>
      </c>
      <c r="AA835">
        <v>5</v>
      </c>
      <c r="AB835">
        <v>10</v>
      </c>
      <c r="AC835">
        <v>2</v>
      </c>
      <c r="AD835">
        <v>6</v>
      </c>
      <c r="AF835" t="s">
        <v>1882</v>
      </c>
    </row>
    <row r="836" spans="1:32" x14ac:dyDescent="0.3">
      <c r="A836">
        <v>795</v>
      </c>
      <c r="B836" t="s">
        <v>1883</v>
      </c>
      <c r="C836">
        <v>22</v>
      </c>
      <c r="D836" t="s">
        <v>256</v>
      </c>
      <c r="E836" t="s">
        <v>95</v>
      </c>
      <c r="F836">
        <v>6</v>
      </c>
      <c r="G836">
        <v>0</v>
      </c>
      <c r="H836">
        <v>0</v>
      </c>
      <c r="I836">
        <v>0</v>
      </c>
      <c r="J836">
        <v>-2</v>
      </c>
      <c r="K836">
        <v>7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3</v>
      </c>
      <c r="T836">
        <v>0</v>
      </c>
      <c r="U836">
        <v>6</v>
      </c>
      <c r="V836" s="2">
        <v>1.9638888888888888</v>
      </c>
      <c r="W836" s="3">
        <v>0.32708333333333334</v>
      </c>
      <c r="X836">
        <v>0</v>
      </c>
      <c r="Y836">
        <v>0</v>
      </c>
      <c r="AA836">
        <v>3</v>
      </c>
      <c r="AB836">
        <v>13</v>
      </c>
      <c r="AC836">
        <v>0</v>
      </c>
      <c r="AD836">
        <v>1</v>
      </c>
      <c r="AF836" t="s">
        <v>1884</v>
      </c>
    </row>
    <row r="837" spans="1:32" x14ac:dyDescent="0.3">
      <c r="A837">
        <v>796</v>
      </c>
      <c r="B837" t="s">
        <v>1885</v>
      </c>
      <c r="C837">
        <v>30</v>
      </c>
      <c r="D837" t="s">
        <v>134</v>
      </c>
      <c r="E837" t="s">
        <v>87</v>
      </c>
      <c r="F837">
        <v>15</v>
      </c>
      <c r="G837">
        <v>0</v>
      </c>
      <c r="H837">
        <v>0</v>
      </c>
      <c r="I837">
        <v>0</v>
      </c>
      <c r="J837">
        <v>-3</v>
      </c>
      <c r="K837">
        <v>10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12</v>
      </c>
      <c r="T837">
        <v>0</v>
      </c>
      <c r="U837">
        <v>39</v>
      </c>
      <c r="V837" s="2">
        <v>9.9854166666666675</v>
      </c>
      <c r="W837" s="3">
        <v>0.66597222222222219</v>
      </c>
      <c r="X837">
        <v>0</v>
      </c>
      <c r="Y837">
        <v>0</v>
      </c>
      <c r="AA837">
        <v>26</v>
      </c>
      <c r="AB837">
        <v>63</v>
      </c>
      <c r="AC837">
        <v>5</v>
      </c>
      <c r="AD837">
        <v>10</v>
      </c>
      <c r="AF837" t="s">
        <v>1886</v>
      </c>
    </row>
    <row r="838" spans="1:32" x14ac:dyDescent="0.3">
      <c r="A838">
        <v>797</v>
      </c>
      <c r="B838" t="s">
        <v>1887</v>
      </c>
      <c r="C838">
        <v>27</v>
      </c>
      <c r="D838" t="s">
        <v>409</v>
      </c>
      <c r="E838" t="s">
        <v>87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>
        <v>1</v>
      </c>
      <c r="V838" s="3">
        <v>0.66527777777777775</v>
      </c>
      <c r="W838" s="3">
        <v>0.66527777777777775</v>
      </c>
      <c r="X838">
        <v>0</v>
      </c>
      <c r="Y838">
        <v>0</v>
      </c>
      <c r="AA838">
        <v>3</v>
      </c>
      <c r="AB838">
        <v>0</v>
      </c>
      <c r="AC838">
        <v>0</v>
      </c>
      <c r="AD838">
        <v>1</v>
      </c>
      <c r="AF838" t="s">
        <v>1888</v>
      </c>
    </row>
    <row r="839" spans="1:32" x14ac:dyDescent="0.3">
      <c r="A839">
        <v>798</v>
      </c>
      <c r="B839" t="s">
        <v>1889</v>
      </c>
      <c r="C839">
        <v>23</v>
      </c>
      <c r="D839" t="s">
        <v>290</v>
      </c>
      <c r="E839" t="s">
        <v>332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>
        <v>0</v>
      </c>
      <c r="V839" s="2">
        <v>2.5</v>
      </c>
      <c r="W839" s="2">
        <v>2.5</v>
      </c>
      <c r="X839">
        <v>0</v>
      </c>
      <c r="Y839">
        <v>0</v>
      </c>
      <c r="AA839">
        <v>0</v>
      </c>
      <c r="AB839">
        <v>0</v>
      </c>
      <c r="AC839">
        <v>0</v>
      </c>
      <c r="AD839">
        <v>0</v>
      </c>
      <c r="AF839" t="s">
        <v>1890</v>
      </c>
    </row>
    <row r="840" spans="1:32" x14ac:dyDescent="0.3">
      <c r="A840">
        <v>799</v>
      </c>
      <c r="B840" t="s">
        <v>1891</v>
      </c>
      <c r="C840">
        <v>30</v>
      </c>
      <c r="D840" t="s">
        <v>130</v>
      </c>
      <c r="E840" t="s">
        <v>332</v>
      </c>
      <c r="F840">
        <v>17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>
        <v>0</v>
      </c>
      <c r="V840" s="2">
        <v>39.006250000000001</v>
      </c>
      <c r="W840" s="2">
        <v>2.2944444444444443</v>
      </c>
      <c r="X840">
        <v>0</v>
      </c>
      <c r="Y840">
        <v>0</v>
      </c>
      <c r="AA840">
        <v>0</v>
      </c>
      <c r="AB840">
        <v>0</v>
      </c>
      <c r="AC840">
        <v>0</v>
      </c>
      <c r="AD840">
        <v>7</v>
      </c>
      <c r="AF840" t="s">
        <v>1892</v>
      </c>
    </row>
    <row r="841" spans="1:32" x14ac:dyDescent="0.3">
      <c r="A841">
        <v>800</v>
      </c>
      <c r="B841" t="s">
        <v>1893</v>
      </c>
      <c r="C841">
        <v>28</v>
      </c>
      <c r="D841" t="s">
        <v>82</v>
      </c>
      <c r="E841" t="s">
        <v>332</v>
      </c>
      <c r="F841">
        <v>13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U841">
        <v>0</v>
      </c>
      <c r="V841" s="2">
        <v>29.150694444444444</v>
      </c>
      <c r="W841" s="2">
        <v>2.2423611111111112</v>
      </c>
      <c r="X841">
        <v>0</v>
      </c>
      <c r="Y841">
        <v>0</v>
      </c>
      <c r="AA841">
        <v>0</v>
      </c>
      <c r="AB841">
        <v>0</v>
      </c>
      <c r="AC841">
        <v>0</v>
      </c>
      <c r="AD841">
        <v>4</v>
      </c>
      <c r="AF841" t="s">
        <v>1894</v>
      </c>
    </row>
    <row r="842" spans="1:32" x14ac:dyDescent="0.3">
      <c r="A842">
        <v>801</v>
      </c>
      <c r="B842" t="s">
        <v>1895</v>
      </c>
      <c r="C842">
        <v>18</v>
      </c>
      <c r="D842" t="s">
        <v>193</v>
      </c>
      <c r="E842" t="s">
        <v>78</v>
      </c>
      <c r="F842">
        <v>3</v>
      </c>
      <c r="G842">
        <v>0</v>
      </c>
      <c r="H842">
        <v>0</v>
      </c>
      <c r="I842">
        <v>0</v>
      </c>
      <c r="J842">
        <v>-2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>
        <v>0</v>
      </c>
      <c r="V842" s="2">
        <v>1.3472222222222223</v>
      </c>
      <c r="W842" s="3">
        <v>0.44930555555555557</v>
      </c>
      <c r="X842">
        <v>5</v>
      </c>
      <c r="Y842">
        <v>8</v>
      </c>
      <c r="Z842">
        <v>38.5</v>
      </c>
      <c r="AA842">
        <v>1</v>
      </c>
      <c r="AB842">
        <v>3</v>
      </c>
      <c r="AC842">
        <v>0</v>
      </c>
      <c r="AD842">
        <v>4</v>
      </c>
      <c r="AF842" t="s">
        <v>1896</v>
      </c>
    </row>
    <row r="843" spans="1:32" x14ac:dyDescent="0.3">
      <c r="A843">
        <v>802</v>
      </c>
      <c r="B843" t="s">
        <v>1897</v>
      </c>
      <c r="C843">
        <v>34</v>
      </c>
      <c r="D843" t="s">
        <v>91</v>
      </c>
      <c r="E843" t="s">
        <v>332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>
        <v>0</v>
      </c>
      <c r="V843" s="2">
        <v>2.4402777777777778</v>
      </c>
      <c r="W843" s="2">
        <v>2.4402777777777778</v>
      </c>
      <c r="X843">
        <v>0</v>
      </c>
      <c r="Y843">
        <v>0</v>
      </c>
      <c r="AA843">
        <v>0</v>
      </c>
      <c r="AB843">
        <v>0</v>
      </c>
      <c r="AC843">
        <v>0</v>
      </c>
      <c r="AD843">
        <v>0</v>
      </c>
      <c r="AF843" t="s">
        <v>1898</v>
      </c>
    </row>
    <row r="844" spans="1:32" x14ac:dyDescent="0.3">
      <c r="A844">
        <v>803</v>
      </c>
      <c r="B844" t="s">
        <v>1899</v>
      </c>
      <c r="C844">
        <v>36</v>
      </c>
      <c r="D844" t="s">
        <v>97</v>
      </c>
      <c r="E844" t="s">
        <v>95</v>
      </c>
      <c r="F844">
        <v>5</v>
      </c>
      <c r="G844">
        <v>0</v>
      </c>
      <c r="H844">
        <v>0</v>
      </c>
      <c r="I844">
        <v>0</v>
      </c>
      <c r="J844">
        <v>-1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7</v>
      </c>
      <c r="T844">
        <v>0</v>
      </c>
      <c r="U844">
        <v>13</v>
      </c>
      <c r="V844" s="2">
        <v>2.3041666666666667</v>
      </c>
      <c r="W844" s="3">
        <v>0.46111111111111114</v>
      </c>
      <c r="X844">
        <v>0</v>
      </c>
      <c r="Y844">
        <v>0</v>
      </c>
      <c r="AA844">
        <v>4</v>
      </c>
      <c r="AB844">
        <v>2</v>
      </c>
      <c r="AC844">
        <v>2</v>
      </c>
      <c r="AD844">
        <v>5</v>
      </c>
      <c r="AF844" t="s">
        <v>1900</v>
      </c>
    </row>
    <row r="845" spans="1:32" x14ac:dyDescent="0.3">
      <c r="A845">
        <v>804</v>
      </c>
      <c r="B845" t="s">
        <v>1901</v>
      </c>
      <c r="C845">
        <v>32</v>
      </c>
      <c r="D845" t="s">
        <v>139</v>
      </c>
      <c r="E845" t="s">
        <v>95</v>
      </c>
      <c r="F845">
        <v>4</v>
      </c>
      <c r="G845">
        <v>0</v>
      </c>
      <c r="H845">
        <v>0</v>
      </c>
      <c r="I845">
        <v>0</v>
      </c>
      <c r="J845">
        <v>-2</v>
      </c>
      <c r="K845">
        <v>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</v>
      </c>
      <c r="T845">
        <v>0</v>
      </c>
      <c r="U845">
        <v>6</v>
      </c>
      <c r="V845" s="2">
        <v>1.9506944444444445</v>
      </c>
      <c r="W845" s="3">
        <v>0.48749999999999999</v>
      </c>
      <c r="X845">
        <v>17</v>
      </c>
      <c r="Y845">
        <v>14</v>
      </c>
      <c r="Z845">
        <v>54.8</v>
      </c>
      <c r="AA845">
        <v>4</v>
      </c>
      <c r="AB845">
        <v>3</v>
      </c>
      <c r="AC845">
        <v>0</v>
      </c>
      <c r="AD845">
        <v>3</v>
      </c>
      <c r="AF845" t="s">
        <v>1902</v>
      </c>
    </row>
    <row r="846" spans="1:32" x14ac:dyDescent="0.3">
      <c r="A846">
        <v>805</v>
      </c>
      <c r="B846" t="s">
        <v>1903</v>
      </c>
      <c r="C846">
        <v>25</v>
      </c>
      <c r="D846" t="s">
        <v>97</v>
      </c>
      <c r="E846" t="s">
        <v>332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>
        <v>0</v>
      </c>
      <c r="V846" s="2">
        <v>2.5</v>
      </c>
      <c r="W846" s="2">
        <v>2.5</v>
      </c>
      <c r="X846">
        <v>0</v>
      </c>
      <c r="Y846">
        <v>0</v>
      </c>
      <c r="AA846">
        <v>0</v>
      </c>
      <c r="AB846">
        <v>0</v>
      </c>
      <c r="AC846">
        <v>0</v>
      </c>
      <c r="AD846">
        <v>2</v>
      </c>
      <c r="AF846" t="s">
        <v>1904</v>
      </c>
    </row>
    <row r="847" spans="1:32" x14ac:dyDescent="0.3">
      <c r="A847">
        <v>806</v>
      </c>
      <c r="B847" t="s">
        <v>1905</v>
      </c>
      <c r="C847">
        <v>23</v>
      </c>
      <c r="D847" t="s">
        <v>290</v>
      </c>
      <c r="E847" t="s">
        <v>87</v>
      </c>
      <c r="F847">
        <v>2</v>
      </c>
      <c r="G847">
        <v>0</v>
      </c>
      <c r="H847">
        <v>0</v>
      </c>
      <c r="I847">
        <v>0</v>
      </c>
      <c r="J847">
        <v>-1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3</v>
      </c>
      <c r="T847">
        <v>0</v>
      </c>
      <c r="U847">
        <v>5</v>
      </c>
      <c r="V847" s="2">
        <v>1.3625</v>
      </c>
      <c r="W847" s="3">
        <v>0.68125000000000002</v>
      </c>
      <c r="X847">
        <v>0</v>
      </c>
      <c r="Y847">
        <v>0</v>
      </c>
      <c r="AA847">
        <v>3</v>
      </c>
      <c r="AB847">
        <v>6</v>
      </c>
      <c r="AC847">
        <v>0</v>
      </c>
      <c r="AD847">
        <v>3</v>
      </c>
      <c r="AF847" t="s">
        <v>1906</v>
      </c>
    </row>
    <row r="848" spans="1:32" x14ac:dyDescent="0.3">
      <c r="A848">
        <v>807</v>
      </c>
      <c r="B848" t="s">
        <v>1907</v>
      </c>
      <c r="C848">
        <v>34</v>
      </c>
      <c r="D848" t="s">
        <v>278</v>
      </c>
      <c r="E848" t="s">
        <v>101</v>
      </c>
      <c r="F848">
        <v>16</v>
      </c>
      <c r="G848">
        <v>0</v>
      </c>
      <c r="H848">
        <v>0</v>
      </c>
      <c r="I848">
        <v>0</v>
      </c>
      <c r="J848">
        <v>-3</v>
      </c>
      <c r="K848">
        <v>24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7</v>
      </c>
      <c r="T848">
        <v>0</v>
      </c>
      <c r="U848">
        <v>16</v>
      </c>
      <c r="V848" s="2">
        <v>5.447916666666667</v>
      </c>
      <c r="W848" s="3">
        <v>0.34027777777777779</v>
      </c>
      <c r="X848">
        <v>1</v>
      </c>
      <c r="Y848">
        <v>0</v>
      </c>
      <c r="Z848">
        <v>100</v>
      </c>
      <c r="AA848">
        <v>4</v>
      </c>
      <c r="AB848">
        <v>56</v>
      </c>
      <c r="AC848">
        <v>2</v>
      </c>
      <c r="AD848">
        <v>7</v>
      </c>
      <c r="AF848" t="s">
        <v>1908</v>
      </c>
    </row>
    <row r="849" spans="1:32" x14ac:dyDescent="0.3">
      <c r="A849">
        <v>808</v>
      </c>
      <c r="B849" t="s">
        <v>1909</v>
      </c>
      <c r="C849">
        <v>34</v>
      </c>
      <c r="D849" t="s">
        <v>174</v>
      </c>
      <c r="E849" t="s">
        <v>332</v>
      </c>
      <c r="F849">
        <v>17</v>
      </c>
      <c r="G849">
        <v>0</v>
      </c>
      <c r="H849">
        <v>0</v>
      </c>
      <c r="I849">
        <v>0</v>
      </c>
      <c r="J849">
        <v>0</v>
      </c>
      <c r="K849">
        <v>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>
        <v>0</v>
      </c>
      <c r="V849" s="2">
        <v>41.84236111111111</v>
      </c>
      <c r="W849" s="2">
        <v>2.4611111111111112</v>
      </c>
      <c r="X849">
        <v>0</v>
      </c>
      <c r="Y849">
        <v>0</v>
      </c>
      <c r="AA849">
        <v>0</v>
      </c>
      <c r="AB849">
        <v>0</v>
      </c>
      <c r="AC849">
        <v>0</v>
      </c>
      <c r="AD849">
        <v>5</v>
      </c>
      <c r="AF849" t="s">
        <v>1910</v>
      </c>
    </row>
    <row r="850" spans="1:32" x14ac:dyDescent="0.3">
      <c r="A850">
        <v>809</v>
      </c>
      <c r="B850" t="s">
        <v>1911</v>
      </c>
      <c r="C850">
        <v>22</v>
      </c>
      <c r="D850" t="s">
        <v>164</v>
      </c>
      <c r="E850" t="s">
        <v>95</v>
      </c>
      <c r="F850">
        <v>6</v>
      </c>
      <c r="G850">
        <v>0</v>
      </c>
      <c r="H850">
        <v>0</v>
      </c>
      <c r="I850">
        <v>0</v>
      </c>
      <c r="J850">
        <v>-3</v>
      </c>
      <c r="K850">
        <v>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6</v>
      </c>
      <c r="T850">
        <v>0</v>
      </c>
      <c r="U850">
        <v>14</v>
      </c>
      <c r="V850" s="2">
        <v>2.1097222222222221</v>
      </c>
      <c r="W850" s="3">
        <v>0.35138888888888886</v>
      </c>
      <c r="X850">
        <v>0</v>
      </c>
      <c r="Y850">
        <v>0</v>
      </c>
      <c r="AA850">
        <v>0</v>
      </c>
      <c r="AB850">
        <v>4</v>
      </c>
      <c r="AC850">
        <v>0</v>
      </c>
      <c r="AD850">
        <v>2</v>
      </c>
      <c r="AF850" t="s">
        <v>1912</v>
      </c>
    </row>
    <row r="851" spans="1:32" x14ac:dyDescent="0.3">
      <c r="A851">
        <v>810</v>
      </c>
      <c r="B851" t="s">
        <v>1913</v>
      </c>
      <c r="C851">
        <v>24</v>
      </c>
      <c r="D851" t="s">
        <v>204</v>
      </c>
      <c r="E851" t="s">
        <v>332</v>
      </c>
      <c r="F851">
        <v>21</v>
      </c>
      <c r="G851">
        <v>0</v>
      </c>
      <c r="H851">
        <v>0</v>
      </c>
      <c r="I851">
        <v>0</v>
      </c>
      <c r="J851">
        <v>0</v>
      </c>
      <c r="K851">
        <v>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>
        <v>0</v>
      </c>
      <c r="V851" s="2">
        <v>49.854861111111113</v>
      </c>
      <c r="W851" s="2">
        <v>2.3743055555555554</v>
      </c>
      <c r="X851">
        <v>0</v>
      </c>
      <c r="Y851">
        <v>0</v>
      </c>
      <c r="AA851">
        <v>0</v>
      </c>
      <c r="AB851">
        <v>0</v>
      </c>
      <c r="AC851">
        <v>0</v>
      </c>
      <c r="AD851">
        <v>9</v>
      </c>
      <c r="AF851" t="s">
        <v>1914</v>
      </c>
    </row>
    <row r="852" spans="1:32" x14ac:dyDescent="0.3">
      <c r="A852">
        <v>811</v>
      </c>
      <c r="B852" t="s">
        <v>1915</v>
      </c>
      <c r="C852">
        <v>25</v>
      </c>
      <c r="D852" t="s">
        <v>113</v>
      </c>
      <c r="E852" t="s">
        <v>332</v>
      </c>
      <c r="F852">
        <v>28</v>
      </c>
      <c r="G852">
        <v>0</v>
      </c>
      <c r="H852">
        <v>0</v>
      </c>
      <c r="I852">
        <v>0</v>
      </c>
      <c r="J852">
        <v>0</v>
      </c>
      <c r="K852">
        <v>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>
        <v>1</v>
      </c>
      <c r="V852" s="2">
        <v>65.311111111111117</v>
      </c>
      <c r="W852" s="2">
        <v>2.3326388888888889</v>
      </c>
      <c r="X852">
        <v>0</v>
      </c>
      <c r="Y852">
        <v>0</v>
      </c>
      <c r="AA852">
        <v>0</v>
      </c>
      <c r="AB852">
        <v>0</v>
      </c>
      <c r="AC852">
        <v>0</v>
      </c>
      <c r="AD852">
        <v>12</v>
      </c>
      <c r="AF852" t="s">
        <v>1916</v>
      </c>
    </row>
    <row r="853" spans="1:32" x14ac:dyDescent="0.3">
      <c r="A853">
        <v>812</v>
      </c>
      <c r="B853" t="s">
        <v>1917</v>
      </c>
      <c r="C853">
        <v>35</v>
      </c>
      <c r="D853" t="s">
        <v>256</v>
      </c>
      <c r="E853" t="s">
        <v>78</v>
      </c>
      <c r="F853">
        <v>2</v>
      </c>
      <c r="G853">
        <v>0</v>
      </c>
      <c r="H853">
        <v>0</v>
      </c>
      <c r="I853">
        <v>0</v>
      </c>
      <c r="J853">
        <v>-1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3</v>
      </c>
      <c r="V853" s="3">
        <v>0.59930555555555554</v>
      </c>
      <c r="W853" s="3">
        <v>0.3</v>
      </c>
      <c r="X853">
        <v>1</v>
      </c>
      <c r="Y853">
        <v>2</v>
      </c>
      <c r="Z853">
        <v>33.299999999999997</v>
      </c>
      <c r="AA853">
        <v>1</v>
      </c>
      <c r="AB853">
        <v>3</v>
      </c>
      <c r="AC853">
        <v>0</v>
      </c>
      <c r="AD853">
        <v>0</v>
      </c>
      <c r="AF853" t="s">
        <v>1918</v>
      </c>
    </row>
    <row r="854" spans="1:32" x14ac:dyDescent="0.3">
      <c r="A854">
        <v>813</v>
      </c>
      <c r="B854" t="s">
        <v>1919</v>
      </c>
      <c r="C854">
        <v>27</v>
      </c>
      <c r="D854" t="s">
        <v>310</v>
      </c>
      <c r="E854" t="s">
        <v>78</v>
      </c>
      <c r="F854">
        <v>6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9</v>
      </c>
      <c r="T854">
        <v>0</v>
      </c>
      <c r="U854">
        <v>19</v>
      </c>
      <c r="V854" s="2">
        <v>3.8833333333333333</v>
      </c>
      <c r="W854" s="3">
        <v>0.64722222222222225</v>
      </c>
      <c r="X854">
        <v>33</v>
      </c>
      <c r="Y854">
        <v>45</v>
      </c>
      <c r="Z854">
        <v>42.3</v>
      </c>
      <c r="AA854">
        <v>3</v>
      </c>
      <c r="AB854">
        <v>6</v>
      </c>
      <c r="AC854">
        <v>1</v>
      </c>
      <c r="AD854">
        <v>2</v>
      </c>
      <c r="AF854" t="s">
        <v>1920</v>
      </c>
    </row>
    <row r="855" spans="1:32" x14ac:dyDescent="0.3">
      <c r="A855">
        <v>814</v>
      </c>
      <c r="B855" t="s">
        <v>1921</v>
      </c>
      <c r="C855">
        <v>22</v>
      </c>
      <c r="D855" t="s">
        <v>204</v>
      </c>
      <c r="E855" t="s">
        <v>87</v>
      </c>
      <c r="F855">
        <v>11</v>
      </c>
      <c r="G855">
        <v>0</v>
      </c>
      <c r="H855">
        <v>0</v>
      </c>
      <c r="I855">
        <v>0</v>
      </c>
      <c r="J855">
        <v>3</v>
      </c>
      <c r="K855">
        <v>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7</v>
      </c>
      <c r="T855">
        <v>0</v>
      </c>
      <c r="U855">
        <v>19</v>
      </c>
      <c r="V855" s="2">
        <v>5.7472222222222218</v>
      </c>
      <c r="W855" s="3">
        <v>0.52222222222222225</v>
      </c>
      <c r="X855">
        <v>0</v>
      </c>
      <c r="Y855">
        <v>0</v>
      </c>
      <c r="AA855">
        <v>5</v>
      </c>
      <c r="AB855">
        <v>4</v>
      </c>
      <c r="AC855">
        <v>2</v>
      </c>
      <c r="AD855">
        <v>6</v>
      </c>
      <c r="AF855" t="s">
        <v>1922</v>
      </c>
    </row>
    <row r="856" spans="1:32" x14ac:dyDescent="0.3">
      <c r="A856">
        <v>815</v>
      </c>
      <c r="B856" t="s">
        <v>1923</v>
      </c>
      <c r="C856">
        <v>26</v>
      </c>
      <c r="D856" t="s">
        <v>278</v>
      </c>
      <c r="E856" t="s">
        <v>332</v>
      </c>
      <c r="F856">
        <v>15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>
        <v>0</v>
      </c>
      <c r="V856" s="2">
        <v>38.81527777777778</v>
      </c>
      <c r="W856" s="2">
        <v>2.5874999999999999</v>
      </c>
      <c r="X856">
        <v>0</v>
      </c>
      <c r="Y856">
        <v>0</v>
      </c>
      <c r="AA856">
        <v>0</v>
      </c>
      <c r="AB856">
        <v>0</v>
      </c>
      <c r="AC856">
        <v>0</v>
      </c>
      <c r="AD856">
        <v>3</v>
      </c>
      <c r="AF856" t="s">
        <v>1924</v>
      </c>
    </row>
    <row r="857" spans="1:32" x14ac:dyDescent="0.3">
      <c r="A857">
        <v>816</v>
      </c>
      <c r="B857" t="s">
        <v>1925</v>
      </c>
      <c r="C857">
        <v>24</v>
      </c>
      <c r="D857" t="s">
        <v>72</v>
      </c>
      <c r="E857" t="s">
        <v>87</v>
      </c>
      <c r="F857">
        <v>1</v>
      </c>
      <c r="G857">
        <v>0</v>
      </c>
      <c r="H857">
        <v>0</v>
      </c>
      <c r="I857">
        <v>0</v>
      </c>
      <c r="J857">
        <v>-2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</v>
      </c>
      <c r="T857">
        <v>0</v>
      </c>
      <c r="U857">
        <v>5</v>
      </c>
      <c r="V857" s="3">
        <v>0.80694444444444446</v>
      </c>
      <c r="W857" s="3">
        <v>0.80694444444444446</v>
      </c>
      <c r="X857">
        <v>0</v>
      </c>
      <c r="Y857">
        <v>0</v>
      </c>
      <c r="AA857">
        <v>3</v>
      </c>
      <c r="AB857">
        <v>1</v>
      </c>
      <c r="AC857">
        <v>0</v>
      </c>
      <c r="AD857">
        <v>0</v>
      </c>
      <c r="AF857" t="s">
        <v>1926</v>
      </c>
    </row>
    <row r="858" spans="1:32" x14ac:dyDescent="0.3">
      <c r="A858">
        <v>817</v>
      </c>
      <c r="B858" t="s">
        <v>1927</v>
      </c>
      <c r="C858">
        <v>29</v>
      </c>
      <c r="D858" t="s">
        <v>130</v>
      </c>
      <c r="E858" t="s">
        <v>87</v>
      </c>
      <c r="F858">
        <v>17</v>
      </c>
      <c r="G858">
        <v>0</v>
      </c>
      <c r="H858">
        <v>0</v>
      </c>
      <c r="I858">
        <v>0</v>
      </c>
      <c r="J858">
        <v>-7</v>
      </c>
      <c r="K858">
        <v>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11</v>
      </c>
      <c r="T858">
        <v>0</v>
      </c>
      <c r="U858">
        <v>28</v>
      </c>
      <c r="V858" s="2">
        <v>9.8645833333333339</v>
      </c>
      <c r="W858" s="3">
        <v>0.5805555555555556</v>
      </c>
      <c r="X858">
        <v>0</v>
      </c>
      <c r="Y858">
        <v>0</v>
      </c>
      <c r="AA858">
        <v>26</v>
      </c>
      <c r="AB858">
        <v>23</v>
      </c>
      <c r="AC858">
        <v>5</v>
      </c>
      <c r="AD858">
        <v>11</v>
      </c>
      <c r="AF858" t="s">
        <v>1928</v>
      </c>
    </row>
    <row r="859" spans="1:32" x14ac:dyDescent="0.3">
      <c r="A859">
        <v>818</v>
      </c>
      <c r="B859" t="s">
        <v>1929</v>
      </c>
      <c r="C859">
        <v>33</v>
      </c>
      <c r="D859" t="s">
        <v>193</v>
      </c>
      <c r="E859" t="s">
        <v>87</v>
      </c>
      <c r="F859">
        <v>2</v>
      </c>
      <c r="G859">
        <v>0</v>
      </c>
      <c r="H859">
        <v>0</v>
      </c>
      <c r="I859">
        <v>0</v>
      </c>
      <c r="J859">
        <v>0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 s="2">
        <v>1.1611111111111112</v>
      </c>
      <c r="W859" s="3">
        <v>0.5805555555555556</v>
      </c>
      <c r="X859">
        <v>0</v>
      </c>
      <c r="Y859">
        <v>0</v>
      </c>
      <c r="AA859">
        <v>4</v>
      </c>
      <c r="AB859">
        <v>2</v>
      </c>
      <c r="AC859">
        <v>0</v>
      </c>
      <c r="AD859">
        <v>5</v>
      </c>
      <c r="AF859" t="s">
        <v>1930</v>
      </c>
    </row>
    <row r="860" spans="1:32" x14ac:dyDescent="0.3">
      <c r="A860">
        <v>819</v>
      </c>
      <c r="B860" t="s">
        <v>1931</v>
      </c>
      <c r="C860">
        <v>33</v>
      </c>
      <c r="D860" t="s">
        <v>91</v>
      </c>
      <c r="E860" t="s">
        <v>332</v>
      </c>
      <c r="F860">
        <v>16</v>
      </c>
      <c r="G860">
        <v>0</v>
      </c>
      <c r="H860">
        <v>0</v>
      </c>
      <c r="I860">
        <v>0</v>
      </c>
      <c r="J860">
        <v>0</v>
      </c>
      <c r="K860">
        <v>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>
        <v>0</v>
      </c>
      <c r="V860" s="2">
        <v>37.868749999999999</v>
      </c>
      <c r="W860" s="2">
        <v>2.3666666666666667</v>
      </c>
      <c r="X860">
        <v>0</v>
      </c>
      <c r="Y860">
        <v>0</v>
      </c>
      <c r="AA860">
        <v>0</v>
      </c>
      <c r="AB860">
        <v>0</v>
      </c>
      <c r="AC860">
        <v>0</v>
      </c>
      <c r="AD860">
        <v>4</v>
      </c>
      <c r="AF860" t="s">
        <v>1932</v>
      </c>
    </row>
    <row r="861" spans="1:32" x14ac:dyDescent="0.3">
      <c r="A861">
        <v>820</v>
      </c>
      <c r="B861" t="s">
        <v>1933</v>
      </c>
      <c r="C861">
        <v>21</v>
      </c>
      <c r="D861" t="s">
        <v>204</v>
      </c>
      <c r="E861" t="s">
        <v>332</v>
      </c>
      <c r="F861">
        <v>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>
        <v>0</v>
      </c>
      <c r="V861" s="2">
        <v>20.021527777777777</v>
      </c>
      <c r="W861" s="2">
        <v>2.5027777777777778</v>
      </c>
      <c r="X861">
        <v>0</v>
      </c>
      <c r="Y861">
        <v>0</v>
      </c>
      <c r="AA861">
        <v>0</v>
      </c>
      <c r="AB861">
        <v>0</v>
      </c>
      <c r="AC861">
        <v>0</v>
      </c>
      <c r="AD861">
        <v>2</v>
      </c>
      <c r="AF861" t="s">
        <v>1934</v>
      </c>
    </row>
    <row r="862" spans="1:32" x14ac:dyDescent="0.3">
      <c r="A862">
        <v>821</v>
      </c>
      <c r="B862" t="s">
        <v>1935</v>
      </c>
      <c r="C862">
        <v>24</v>
      </c>
      <c r="D862" t="s">
        <v>278</v>
      </c>
      <c r="E862" t="s">
        <v>380</v>
      </c>
      <c r="F862">
        <v>3</v>
      </c>
      <c r="G862">
        <v>0</v>
      </c>
      <c r="H862">
        <v>0</v>
      </c>
      <c r="I862">
        <v>0</v>
      </c>
      <c r="J862">
        <v>-1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3</v>
      </c>
      <c r="T862">
        <v>0</v>
      </c>
      <c r="U862">
        <v>4</v>
      </c>
      <c r="V862" s="2">
        <v>1.0958333333333334</v>
      </c>
      <c r="W862" s="3">
        <v>0.36527777777777776</v>
      </c>
      <c r="X862">
        <v>9</v>
      </c>
      <c r="Y862">
        <v>10</v>
      </c>
      <c r="Z862">
        <v>47.4</v>
      </c>
      <c r="AA862">
        <v>1</v>
      </c>
      <c r="AB862">
        <v>2</v>
      </c>
      <c r="AC862">
        <v>0</v>
      </c>
      <c r="AD862">
        <v>2</v>
      </c>
      <c r="AF862" t="s">
        <v>1936</v>
      </c>
    </row>
    <row r="863" spans="1:32" x14ac:dyDescent="0.3">
      <c r="A863">
        <v>822</v>
      </c>
      <c r="B863" t="s">
        <v>1937</v>
      </c>
      <c r="C863">
        <v>30</v>
      </c>
      <c r="D863" t="s">
        <v>139</v>
      </c>
      <c r="E863" t="s">
        <v>87</v>
      </c>
      <c r="F863">
        <v>5</v>
      </c>
      <c r="G863">
        <v>0</v>
      </c>
      <c r="H863">
        <v>0</v>
      </c>
      <c r="I863">
        <v>0</v>
      </c>
      <c r="J863">
        <v>-1</v>
      </c>
      <c r="K863">
        <v>12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2</v>
      </c>
      <c r="V863" s="3">
        <v>0.85833333333333328</v>
      </c>
      <c r="W863" s="3">
        <v>0.17152777777777778</v>
      </c>
      <c r="X863">
        <v>0</v>
      </c>
      <c r="Y863">
        <v>0</v>
      </c>
      <c r="AA863">
        <v>0</v>
      </c>
      <c r="AB863">
        <v>8</v>
      </c>
      <c r="AC863">
        <v>0</v>
      </c>
      <c r="AD863">
        <v>0</v>
      </c>
      <c r="AF863" t="s">
        <v>1938</v>
      </c>
    </row>
    <row r="864" spans="1:32" x14ac:dyDescent="0.3">
      <c r="A864">
        <v>823</v>
      </c>
      <c r="B864" t="s">
        <v>1939</v>
      </c>
      <c r="C864">
        <v>29</v>
      </c>
      <c r="D864" t="s">
        <v>243</v>
      </c>
      <c r="E864" t="s">
        <v>87</v>
      </c>
      <c r="F864">
        <v>1</v>
      </c>
      <c r="G864">
        <v>0</v>
      </c>
      <c r="H864">
        <v>0</v>
      </c>
      <c r="I864">
        <v>0</v>
      </c>
      <c r="J864">
        <v>-1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>
        <v>2</v>
      </c>
      <c r="V864" s="3">
        <v>0.57638888888888884</v>
      </c>
      <c r="W864" s="3">
        <v>0.57638888888888884</v>
      </c>
      <c r="X864">
        <v>0</v>
      </c>
      <c r="Y864">
        <v>0</v>
      </c>
      <c r="AA864">
        <v>1</v>
      </c>
      <c r="AB864">
        <v>0</v>
      </c>
      <c r="AC864">
        <v>0</v>
      </c>
      <c r="AD864">
        <v>3</v>
      </c>
      <c r="AF864" t="s">
        <v>1940</v>
      </c>
    </row>
    <row r="865" spans="1:32" x14ac:dyDescent="0.3">
      <c r="A865">
        <v>824</v>
      </c>
      <c r="B865" t="s">
        <v>1941</v>
      </c>
      <c r="C865">
        <v>26</v>
      </c>
      <c r="D865" t="s">
        <v>278</v>
      </c>
      <c r="E865" t="s">
        <v>87</v>
      </c>
      <c r="F865">
        <v>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2</v>
      </c>
      <c r="T865">
        <v>0</v>
      </c>
      <c r="U865">
        <v>9</v>
      </c>
      <c r="V865" s="2">
        <v>3.1958333333333333</v>
      </c>
      <c r="W865" s="3">
        <v>0.63888888888888884</v>
      </c>
      <c r="X865">
        <v>0</v>
      </c>
      <c r="Y865">
        <v>0</v>
      </c>
      <c r="AA865">
        <v>5</v>
      </c>
      <c r="AB865">
        <v>4</v>
      </c>
      <c r="AC865">
        <v>0</v>
      </c>
      <c r="AD865">
        <v>5</v>
      </c>
      <c r="AF865" t="s">
        <v>1942</v>
      </c>
    </row>
    <row r="866" spans="1:32" x14ac:dyDescent="0.3">
      <c r="A866">
        <v>825</v>
      </c>
      <c r="B866" t="s">
        <v>1943</v>
      </c>
      <c r="C866">
        <v>24</v>
      </c>
      <c r="D866" t="s">
        <v>306</v>
      </c>
      <c r="E866" t="s">
        <v>332</v>
      </c>
      <c r="F866">
        <v>30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1</v>
      </c>
      <c r="V866" s="2">
        <v>74.920138888888886</v>
      </c>
      <c r="W866" s="2">
        <v>2.4972222222222222</v>
      </c>
      <c r="X866">
        <v>0</v>
      </c>
      <c r="Y866">
        <v>0</v>
      </c>
      <c r="AA866">
        <v>0</v>
      </c>
      <c r="AB866">
        <v>0</v>
      </c>
      <c r="AC866">
        <v>0</v>
      </c>
      <c r="AD866">
        <v>10</v>
      </c>
      <c r="AF866" t="s">
        <v>1944</v>
      </c>
    </row>
    <row r="867" spans="1:32" x14ac:dyDescent="0.3">
      <c r="A867">
        <v>826</v>
      </c>
      <c r="B867" t="s">
        <v>1945</v>
      </c>
      <c r="C867">
        <v>34</v>
      </c>
      <c r="D867" t="s">
        <v>200</v>
      </c>
      <c r="E867" t="s">
        <v>332</v>
      </c>
      <c r="F867">
        <v>15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>
        <v>0</v>
      </c>
      <c r="V867" s="2">
        <v>34.195833333333333</v>
      </c>
      <c r="W867" s="2">
        <v>2.2798611111111109</v>
      </c>
      <c r="X867">
        <v>0</v>
      </c>
      <c r="Y867">
        <v>0</v>
      </c>
      <c r="AA867">
        <v>0</v>
      </c>
      <c r="AB867">
        <v>0</v>
      </c>
      <c r="AC867">
        <v>0</v>
      </c>
      <c r="AD867">
        <v>7</v>
      </c>
      <c r="AF867" t="s">
        <v>1946</v>
      </c>
    </row>
    <row r="868" spans="1:32" x14ac:dyDescent="0.3">
      <c r="A868">
        <v>827</v>
      </c>
      <c r="B868" t="s">
        <v>1947</v>
      </c>
      <c r="C868">
        <v>34</v>
      </c>
      <c r="D868" t="s">
        <v>306</v>
      </c>
      <c r="E868" t="s">
        <v>87</v>
      </c>
      <c r="F868">
        <v>4</v>
      </c>
      <c r="G868">
        <v>0</v>
      </c>
      <c r="H868">
        <v>0</v>
      </c>
      <c r="I868">
        <v>0</v>
      </c>
      <c r="J868">
        <v>-2</v>
      </c>
      <c r="K868">
        <v>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3</v>
      </c>
      <c r="T868">
        <v>0</v>
      </c>
      <c r="U868">
        <v>7</v>
      </c>
      <c r="V868" s="2">
        <v>2.473611111111111</v>
      </c>
      <c r="W868" s="3">
        <v>0.61875000000000002</v>
      </c>
      <c r="X868">
        <v>0</v>
      </c>
      <c r="Y868">
        <v>0</v>
      </c>
      <c r="AA868">
        <v>1</v>
      </c>
      <c r="AB868">
        <v>5</v>
      </c>
      <c r="AC868">
        <v>1</v>
      </c>
      <c r="AD868">
        <v>3</v>
      </c>
      <c r="AF868" t="s">
        <v>1948</v>
      </c>
    </row>
    <row r="869" spans="1:32" x14ac:dyDescent="0.3">
      <c r="A869">
        <v>828</v>
      </c>
      <c r="B869" t="s">
        <v>1949</v>
      </c>
      <c r="C869">
        <v>33</v>
      </c>
      <c r="D869" t="s">
        <v>221</v>
      </c>
      <c r="E869" t="s">
        <v>87</v>
      </c>
      <c r="F869">
        <v>1</v>
      </c>
      <c r="G869">
        <v>0</v>
      </c>
      <c r="H869">
        <v>0</v>
      </c>
      <c r="I869">
        <v>0</v>
      </c>
      <c r="J869">
        <v>-1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</v>
      </c>
      <c r="T869">
        <v>0</v>
      </c>
      <c r="U869">
        <v>2</v>
      </c>
      <c r="V869" s="3">
        <v>0.72430555555555554</v>
      </c>
      <c r="W869" s="3">
        <v>0.72430555555555554</v>
      </c>
      <c r="X869">
        <v>0</v>
      </c>
      <c r="Y869">
        <v>0</v>
      </c>
      <c r="AA869">
        <v>1</v>
      </c>
      <c r="AB869">
        <v>1</v>
      </c>
      <c r="AC869">
        <v>1</v>
      </c>
      <c r="AD869">
        <v>1</v>
      </c>
      <c r="AF869" t="s">
        <v>1950</v>
      </c>
    </row>
    <row r="870" spans="1:32" x14ac:dyDescent="0.3">
      <c r="A870">
        <v>829</v>
      </c>
      <c r="B870" t="s">
        <v>318</v>
      </c>
      <c r="C870">
        <v>27</v>
      </c>
      <c r="D870" t="s">
        <v>109</v>
      </c>
      <c r="E870" t="s">
        <v>332</v>
      </c>
      <c r="F870">
        <v>27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>
        <v>0</v>
      </c>
      <c r="V870" s="2">
        <v>67.66180555555556</v>
      </c>
      <c r="W870" s="2">
        <v>2.5062500000000001</v>
      </c>
      <c r="X870">
        <v>0</v>
      </c>
      <c r="Y870">
        <v>0</v>
      </c>
      <c r="AA870">
        <v>0</v>
      </c>
      <c r="AB870">
        <v>0</v>
      </c>
      <c r="AC870">
        <v>0</v>
      </c>
      <c r="AD870">
        <v>15</v>
      </c>
      <c r="AF870" t="s">
        <v>1951</v>
      </c>
    </row>
    <row r="871" spans="1:32" x14ac:dyDescent="0.3">
      <c r="A871">
        <v>830</v>
      </c>
      <c r="B871" t="s">
        <v>1952</v>
      </c>
      <c r="C871">
        <v>21</v>
      </c>
      <c r="D871" t="s">
        <v>109</v>
      </c>
      <c r="E871" t="s">
        <v>78</v>
      </c>
      <c r="F871">
        <v>2</v>
      </c>
      <c r="G871">
        <v>0</v>
      </c>
      <c r="H871">
        <v>0</v>
      </c>
      <c r="I871">
        <v>0</v>
      </c>
      <c r="J871">
        <v>-2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>
        <v>0</v>
      </c>
      <c r="V871" s="3">
        <v>0.78055555555555556</v>
      </c>
      <c r="W871" s="3">
        <v>0.39027777777777778</v>
      </c>
      <c r="X871">
        <v>7</v>
      </c>
      <c r="Y871">
        <v>9</v>
      </c>
      <c r="Z871">
        <v>43.8</v>
      </c>
      <c r="AA871">
        <v>0</v>
      </c>
      <c r="AB871">
        <v>2</v>
      </c>
      <c r="AC871">
        <v>0</v>
      </c>
      <c r="AD871">
        <v>0</v>
      </c>
      <c r="AF871" t="s">
        <v>1953</v>
      </c>
    </row>
    <row r="872" spans="1:32" x14ac:dyDescent="0.3">
      <c r="A872">
        <v>831</v>
      </c>
      <c r="B872" t="s">
        <v>1954</v>
      </c>
      <c r="C872">
        <v>29</v>
      </c>
      <c r="D872" t="s">
        <v>121</v>
      </c>
      <c r="E872" t="s">
        <v>332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>
        <v>0</v>
      </c>
      <c r="V872" s="3">
        <v>4.1666666666666666E-3</v>
      </c>
      <c r="W872" s="3">
        <v>4.1666666666666666E-3</v>
      </c>
      <c r="X872">
        <v>0</v>
      </c>
      <c r="Y872">
        <v>0</v>
      </c>
      <c r="AA872">
        <v>0</v>
      </c>
      <c r="AB872">
        <v>0</v>
      </c>
      <c r="AC872">
        <v>0</v>
      </c>
      <c r="AD872">
        <v>0</v>
      </c>
      <c r="AF872" t="s">
        <v>1955</v>
      </c>
    </row>
    <row r="873" spans="1:32" x14ac:dyDescent="0.3">
      <c r="A873">
        <v>832</v>
      </c>
      <c r="B873" t="s">
        <v>1956</v>
      </c>
      <c r="C873">
        <v>27</v>
      </c>
      <c r="D873" t="s">
        <v>409</v>
      </c>
      <c r="E873" t="s">
        <v>332</v>
      </c>
      <c r="F873">
        <v>12</v>
      </c>
      <c r="G873">
        <v>0</v>
      </c>
      <c r="H873">
        <v>0</v>
      </c>
      <c r="I873">
        <v>0</v>
      </c>
      <c r="J873">
        <v>0</v>
      </c>
      <c r="K873">
        <v>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>
        <v>0</v>
      </c>
      <c r="V873" s="2">
        <v>27.470833333333335</v>
      </c>
      <c r="W873" s="2">
        <v>2.2895833333333333</v>
      </c>
      <c r="X873">
        <v>0</v>
      </c>
      <c r="Y873">
        <v>0</v>
      </c>
      <c r="AA873">
        <v>0</v>
      </c>
      <c r="AB873">
        <v>0</v>
      </c>
      <c r="AC873">
        <v>0</v>
      </c>
      <c r="AD873">
        <v>5</v>
      </c>
      <c r="AF873" t="s">
        <v>1957</v>
      </c>
    </row>
    <row r="874" spans="1:32" x14ac:dyDescent="0.3">
      <c r="A874">
        <v>833</v>
      </c>
      <c r="B874" t="s">
        <v>1958</v>
      </c>
      <c r="C874">
        <v>34</v>
      </c>
      <c r="D874" t="s">
        <v>278</v>
      </c>
      <c r="E874" t="s">
        <v>95</v>
      </c>
      <c r="F874">
        <v>36</v>
      </c>
      <c r="G874">
        <v>0</v>
      </c>
      <c r="H874">
        <v>0</v>
      </c>
      <c r="I874">
        <v>0</v>
      </c>
      <c r="J874">
        <v>-6</v>
      </c>
      <c r="K874">
        <v>37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18</v>
      </c>
      <c r="T874">
        <v>0</v>
      </c>
      <c r="U874">
        <v>35</v>
      </c>
      <c r="V874" s="2">
        <v>15.315277777777778</v>
      </c>
      <c r="W874" s="3">
        <v>0.42569444444444443</v>
      </c>
      <c r="X874">
        <v>5</v>
      </c>
      <c r="Y874">
        <v>1</v>
      </c>
      <c r="Z874">
        <v>83.3</v>
      </c>
      <c r="AA874">
        <v>26</v>
      </c>
      <c r="AB874">
        <v>132</v>
      </c>
      <c r="AC874">
        <v>4</v>
      </c>
      <c r="AD874">
        <v>17</v>
      </c>
      <c r="AF874" t="s">
        <v>1959</v>
      </c>
    </row>
    <row r="875" spans="1:32" x14ac:dyDescent="0.3">
      <c r="A875">
        <v>834</v>
      </c>
      <c r="B875" t="s">
        <v>1960</v>
      </c>
      <c r="C875">
        <v>30</v>
      </c>
      <c r="D875" t="s">
        <v>200</v>
      </c>
      <c r="E875" t="s">
        <v>78</v>
      </c>
      <c r="F875">
        <v>3</v>
      </c>
      <c r="G875">
        <v>0</v>
      </c>
      <c r="H875">
        <v>0</v>
      </c>
      <c r="I875">
        <v>0</v>
      </c>
      <c r="J875">
        <v>-1</v>
      </c>
      <c r="K875">
        <v>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</v>
      </c>
      <c r="T875">
        <v>0</v>
      </c>
      <c r="U875">
        <v>5</v>
      </c>
      <c r="V875" s="2">
        <v>1.2597222222222222</v>
      </c>
      <c r="W875" s="3">
        <v>0.4201388888888889</v>
      </c>
      <c r="X875">
        <v>6</v>
      </c>
      <c r="Y875">
        <v>9</v>
      </c>
      <c r="Z875">
        <v>40</v>
      </c>
      <c r="AA875">
        <v>2</v>
      </c>
      <c r="AB875">
        <v>7</v>
      </c>
      <c r="AC875">
        <v>1</v>
      </c>
      <c r="AD875">
        <v>2</v>
      </c>
      <c r="AF875" t="s">
        <v>1961</v>
      </c>
    </row>
    <row r="876" spans="1:32" x14ac:dyDescent="0.3">
      <c r="A876">
        <v>835</v>
      </c>
      <c r="B876" t="s">
        <v>329</v>
      </c>
      <c r="C876">
        <v>32</v>
      </c>
      <c r="D876" t="s">
        <v>130</v>
      </c>
      <c r="E876" t="s">
        <v>332</v>
      </c>
      <c r="F876">
        <v>25</v>
      </c>
      <c r="G876">
        <v>0</v>
      </c>
      <c r="H876">
        <v>0</v>
      </c>
      <c r="I876">
        <v>0</v>
      </c>
      <c r="J876">
        <v>0</v>
      </c>
      <c r="K876">
        <v>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>
        <v>0</v>
      </c>
      <c r="V876" s="2">
        <v>62.229166666666664</v>
      </c>
      <c r="W876" s="2">
        <v>2.4888888888888889</v>
      </c>
      <c r="X876">
        <v>0</v>
      </c>
      <c r="Y876">
        <v>0</v>
      </c>
      <c r="AA876">
        <v>0</v>
      </c>
      <c r="AB876">
        <v>0</v>
      </c>
      <c r="AC876">
        <v>0</v>
      </c>
      <c r="AD876">
        <v>8</v>
      </c>
      <c r="AF876" t="s">
        <v>1962</v>
      </c>
    </row>
    <row r="877" spans="1:32" x14ac:dyDescent="0.3">
      <c r="A877">
        <v>836</v>
      </c>
      <c r="B877" t="s">
        <v>1963</v>
      </c>
      <c r="C877">
        <v>24</v>
      </c>
      <c r="D877" t="s">
        <v>150</v>
      </c>
      <c r="E877" t="s">
        <v>332</v>
      </c>
      <c r="F877">
        <v>16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>
        <v>0</v>
      </c>
      <c r="V877" s="2">
        <v>33.669444444444444</v>
      </c>
      <c r="W877" s="2">
        <v>2.1041666666666665</v>
      </c>
      <c r="X877">
        <v>0</v>
      </c>
      <c r="Y877">
        <v>0</v>
      </c>
      <c r="AA877">
        <v>0</v>
      </c>
      <c r="AB877">
        <v>0</v>
      </c>
      <c r="AC877">
        <v>0</v>
      </c>
      <c r="AD877">
        <v>5</v>
      </c>
      <c r="AF877" t="s">
        <v>1964</v>
      </c>
    </row>
    <row r="878" spans="1:32" x14ac:dyDescent="0.3">
      <c r="A878">
        <v>837</v>
      </c>
      <c r="B878" t="s">
        <v>1965</v>
      </c>
      <c r="C878">
        <v>29</v>
      </c>
      <c r="D878" t="s">
        <v>409</v>
      </c>
      <c r="E878" t="s">
        <v>332</v>
      </c>
      <c r="F878">
        <v>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>
        <v>0</v>
      </c>
      <c r="V878" s="2">
        <v>9.1534722222222218</v>
      </c>
      <c r="W878" s="2">
        <v>1.8305555555555555</v>
      </c>
      <c r="X878">
        <v>0</v>
      </c>
      <c r="Y878">
        <v>0</v>
      </c>
      <c r="AA878">
        <v>0</v>
      </c>
      <c r="AB878">
        <v>0</v>
      </c>
      <c r="AC878">
        <v>0</v>
      </c>
      <c r="AD878">
        <v>0</v>
      </c>
      <c r="AF878" t="s">
        <v>1966</v>
      </c>
    </row>
    <row r="879" spans="1:32" x14ac:dyDescent="0.3">
      <c r="A879">
        <v>838</v>
      </c>
      <c r="B879" t="s">
        <v>1967</v>
      </c>
      <c r="C879">
        <v>29</v>
      </c>
      <c r="D879" t="s">
        <v>243</v>
      </c>
      <c r="E879" t="s">
        <v>95</v>
      </c>
      <c r="F879">
        <v>9</v>
      </c>
      <c r="G879">
        <v>0</v>
      </c>
      <c r="H879">
        <v>0</v>
      </c>
      <c r="I879">
        <v>0</v>
      </c>
      <c r="J879">
        <v>-1</v>
      </c>
      <c r="K879">
        <v>11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3</v>
      </c>
      <c r="T879">
        <v>0</v>
      </c>
      <c r="U879">
        <v>10</v>
      </c>
      <c r="V879" s="2">
        <v>2.3854166666666665</v>
      </c>
      <c r="W879" s="3">
        <v>0.26527777777777778</v>
      </c>
      <c r="X879">
        <v>0</v>
      </c>
      <c r="Y879">
        <v>0</v>
      </c>
      <c r="AA879">
        <v>0</v>
      </c>
      <c r="AB879">
        <v>23</v>
      </c>
      <c r="AC879">
        <v>0</v>
      </c>
      <c r="AD879">
        <v>3</v>
      </c>
      <c r="AF879" t="s">
        <v>1968</v>
      </c>
    </row>
    <row r="880" spans="1:32" x14ac:dyDescent="0.3">
      <c r="A880">
        <v>839</v>
      </c>
      <c r="B880" t="s">
        <v>1969</v>
      </c>
      <c r="C880">
        <v>25</v>
      </c>
      <c r="D880" t="s">
        <v>103</v>
      </c>
      <c r="E880" t="s">
        <v>332</v>
      </c>
      <c r="F880">
        <v>24</v>
      </c>
      <c r="G880">
        <v>0</v>
      </c>
      <c r="H880">
        <v>0</v>
      </c>
      <c r="I880">
        <v>0</v>
      </c>
      <c r="J880">
        <v>0</v>
      </c>
      <c r="K880">
        <v>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>
        <v>4</v>
      </c>
      <c r="V880" s="2">
        <v>53.638194444444444</v>
      </c>
      <c r="W880" s="2">
        <v>2.2347222222222221</v>
      </c>
      <c r="X880">
        <v>0</v>
      </c>
      <c r="Y880">
        <v>0</v>
      </c>
      <c r="AA880">
        <v>0</v>
      </c>
      <c r="AB880">
        <v>0</v>
      </c>
      <c r="AC880">
        <v>0</v>
      </c>
      <c r="AD880">
        <v>18</v>
      </c>
      <c r="AF880" t="s">
        <v>1970</v>
      </c>
    </row>
    <row r="881" spans="1:32" x14ac:dyDescent="0.3">
      <c r="A881">
        <v>840</v>
      </c>
      <c r="B881" t="s">
        <v>1971</v>
      </c>
      <c r="C881">
        <v>31</v>
      </c>
      <c r="D881" t="s">
        <v>188</v>
      </c>
      <c r="E881" t="s">
        <v>332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>
        <v>0</v>
      </c>
      <c r="V881" s="3">
        <v>0.56180555555555556</v>
      </c>
      <c r="W881" s="3">
        <v>0.56180555555555556</v>
      </c>
      <c r="X881">
        <v>0</v>
      </c>
      <c r="Y881">
        <v>0</v>
      </c>
      <c r="AA881">
        <v>0</v>
      </c>
      <c r="AB881">
        <v>0</v>
      </c>
      <c r="AC881">
        <v>0</v>
      </c>
      <c r="AD881">
        <v>0</v>
      </c>
      <c r="AF881" t="s">
        <v>1972</v>
      </c>
    </row>
    <row r="882" spans="1:32" x14ac:dyDescent="0.3">
      <c r="A882">
        <v>841</v>
      </c>
      <c r="B882" t="s">
        <v>1973</v>
      </c>
      <c r="C882">
        <v>25</v>
      </c>
      <c r="D882" t="s">
        <v>193</v>
      </c>
      <c r="E882" t="s">
        <v>101</v>
      </c>
      <c r="F882">
        <v>10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8</v>
      </c>
      <c r="T882">
        <v>0</v>
      </c>
      <c r="U882">
        <v>26</v>
      </c>
      <c r="V882" s="2">
        <v>4.8798611111111114</v>
      </c>
      <c r="W882" s="3">
        <v>0.48819444444444443</v>
      </c>
      <c r="X882">
        <v>0</v>
      </c>
      <c r="Y882">
        <v>0</v>
      </c>
      <c r="AA882">
        <v>3</v>
      </c>
      <c r="AB882">
        <v>16</v>
      </c>
      <c r="AC882">
        <v>1</v>
      </c>
      <c r="AD882">
        <v>4</v>
      </c>
      <c r="AF882" t="s">
        <v>1974</v>
      </c>
    </row>
    <row r="883" spans="1:32" x14ac:dyDescent="0.3">
      <c r="A883">
        <v>842</v>
      </c>
      <c r="B883" t="s">
        <v>1975</v>
      </c>
      <c r="C883">
        <v>30</v>
      </c>
      <c r="D883" t="s">
        <v>82</v>
      </c>
      <c r="E883" t="s">
        <v>101</v>
      </c>
      <c r="F883">
        <v>2</v>
      </c>
      <c r="G883">
        <v>0</v>
      </c>
      <c r="H883">
        <v>0</v>
      </c>
      <c r="I883">
        <v>0</v>
      </c>
      <c r="J883">
        <v>-2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3</v>
      </c>
      <c r="T883">
        <v>0</v>
      </c>
      <c r="U883">
        <v>3</v>
      </c>
      <c r="V883" s="3">
        <v>0.88402777777777775</v>
      </c>
      <c r="W883" s="3">
        <v>0.44236111111111109</v>
      </c>
      <c r="X883">
        <v>0</v>
      </c>
      <c r="Y883">
        <v>0</v>
      </c>
      <c r="AA883">
        <v>4</v>
      </c>
      <c r="AB883">
        <v>4</v>
      </c>
      <c r="AC883">
        <v>0</v>
      </c>
      <c r="AD883">
        <v>1</v>
      </c>
      <c r="AF883" t="s">
        <v>1976</v>
      </c>
    </row>
    <row r="884" spans="1:32" x14ac:dyDescent="0.3">
      <c r="A884">
        <v>843</v>
      </c>
      <c r="B884" t="s">
        <v>1977</v>
      </c>
      <c r="C884">
        <v>30</v>
      </c>
      <c r="D884" t="s">
        <v>113</v>
      </c>
      <c r="E884" t="s">
        <v>332</v>
      </c>
      <c r="F884">
        <v>10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>
        <v>0</v>
      </c>
      <c r="V884" s="2">
        <v>22.518750000000001</v>
      </c>
      <c r="W884" s="2">
        <v>2.2520833333333332</v>
      </c>
      <c r="X884">
        <v>0</v>
      </c>
      <c r="Y884">
        <v>0</v>
      </c>
      <c r="AA884">
        <v>0</v>
      </c>
      <c r="AB884">
        <v>0</v>
      </c>
      <c r="AC884">
        <v>0</v>
      </c>
      <c r="AD884">
        <v>6</v>
      </c>
      <c r="AF884" t="s">
        <v>1978</v>
      </c>
    </row>
    <row r="885" spans="1:32" x14ac:dyDescent="0.3">
      <c r="A885">
        <v>844</v>
      </c>
      <c r="B885" t="s">
        <v>1979</v>
      </c>
      <c r="C885">
        <v>29</v>
      </c>
      <c r="D885" t="s">
        <v>134</v>
      </c>
      <c r="E885" t="s">
        <v>101</v>
      </c>
      <c r="F885">
        <v>2</v>
      </c>
      <c r="G885">
        <v>0</v>
      </c>
      <c r="H885">
        <v>0</v>
      </c>
      <c r="I885">
        <v>0</v>
      </c>
      <c r="J885">
        <v>0</v>
      </c>
      <c r="K885">
        <v>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2</v>
      </c>
      <c r="T885">
        <v>0</v>
      </c>
      <c r="U885">
        <v>4</v>
      </c>
      <c r="V885" s="3">
        <v>0.63680555555555551</v>
      </c>
      <c r="W885" s="3">
        <v>0.31874999999999998</v>
      </c>
      <c r="X885">
        <v>0</v>
      </c>
      <c r="Y885">
        <v>0</v>
      </c>
      <c r="AA885">
        <v>0</v>
      </c>
      <c r="AB885">
        <v>3</v>
      </c>
      <c r="AC885">
        <v>0</v>
      </c>
      <c r="AD885">
        <v>2</v>
      </c>
      <c r="AF885" t="s">
        <v>1980</v>
      </c>
    </row>
    <row r="886" spans="1:32" x14ac:dyDescent="0.3">
      <c r="A886">
        <v>845</v>
      </c>
      <c r="B886" t="s">
        <v>1981</v>
      </c>
      <c r="C886">
        <v>30</v>
      </c>
      <c r="D886" t="s">
        <v>472</v>
      </c>
      <c r="E886" t="s">
        <v>332</v>
      </c>
      <c r="F886">
        <v>17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>
        <v>0</v>
      </c>
      <c r="V886" s="2">
        <v>40.283333333333331</v>
      </c>
      <c r="W886" s="2">
        <v>2.3694444444444445</v>
      </c>
      <c r="X886">
        <v>0</v>
      </c>
      <c r="Y886">
        <v>0</v>
      </c>
      <c r="AA886">
        <v>0</v>
      </c>
      <c r="AB886">
        <v>0</v>
      </c>
      <c r="AC886">
        <v>0</v>
      </c>
      <c r="AD886">
        <v>4</v>
      </c>
      <c r="AF886" t="s">
        <v>1982</v>
      </c>
    </row>
    <row r="887" spans="1:32" x14ac:dyDescent="0.3">
      <c r="A887">
        <v>845</v>
      </c>
      <c r="B887" t="s">
        <v>1981</v>
      </c>
      <c r="C887">
        <v>30</v>
      </c>
      <c r="D887" t="s">
        <v>134</v>
      </c>
      <c r="E887" t="s">
        <v>332</v>
      </c>
      <c r="F887">
        <v>14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>
        <v>0</v>
      </c>
      <c r="V887" s="2">
        <v>33.78125</v>
      </c>
      <c r="W887" s="2">
        <v>2.4131944444444446</v>
      </c>
      <c r="X887">
        <v>0</v>
      </c>
      <c r="Y887">
        <v>0</v>
      </c>
      <c r="AA887">
        <v>0</v>
      </c>
      <c r="AB887">
        <v>0</v>
      </c>
      <c r="AC887">
        <v>0</v>
      </c>
      <c r="AD887">
        <v>4</v>
      </c>
      <c r="AF887" t="s">
        <v>1982</v>
      </c>
    </row>
    <row r="888" spans="1:32" x14ac:dyDescent="0.3">
      <c r="A888">
        <v>845</v>
      </c>
      <c r="B888" t="s">
        <v>1981</v>
      </c>
      <c r="C888">
        <v>30</v>
      </c>
      <c r="D888" t="s">
        <v>250</v>
      </c>
      <c r="E888" t="s">
        <v>332</v>
      </c>
      <c r="F888">
        <v>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>
        <v>0</v>
      </c>
      <c r="V888" s="2">
        <v>6.5020833333333332</v>
      </c>
      <c r="W888" s="2">
        <v>2.1673611111111111</v>
      </c>
      <c r="X888">
        <v>0</v>
      </c>
      <c r="Y888">
        <v>0</v>
      </c>
      <c r="AA888">
        <v>0</v>
      </c>
      <c r="AB888">
        <v>0</v>
      </c>
      <c r="AC888">
        <v>0</v>
      </c>
      <c r="AD888">
        <v>0</v>
      </c>
      <c r="AF888" t="s">
        <v>1982</v>
      </c>
    </row>
    <row r="889" spans="1:32" x14ac:dyDescent="0.3">
      <c r="A889">
        <v>846</v>
      </c>
      <c r="B889" t="s">
        <v>1983</v>
      </c>
      <c r="C889">
        <v>22</v>
      </c>
      <c r="D889" t="s">
        <v>109</v>
      </c>
      <c r="E889" t="s">
        <v>87</v>
      </c>
      <c r="F889">
        <v>18</v>
      </c>
      <c r="G889">
        <v>0</v>
      </c>
      <c r="H889">
        <v>0</v>
      </c>
      <c r="I889">
        <v>0</v>
      </c>
      <c r="J889">
        <v>1</v>
      </c>
      <c r="K889">
        <v>12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11</v>
      </c>
      <c r="T889">
        <v>0</v>
      </c>
      <c r="U889">
        <v>32</v>
      </c>
      <c r="V889" s="2">
        <v>9.094444444444445</v>
      </c>
      <c r="W889" s="3">
        <v>0.50555555555555554</v>
      </c>
      <c r="X889">
        <v>0</v>
      </c>
      <c r="Y889">
        <v>0</v>
      </c>
      <c r="AA889">
        <v>14</v>
      </c>
      <c r="AB889">
        <v>5</v>
      </c>
      <c r="AC889">
        <v>3</v>
      </c>
      <c r="AD889">
        <v>17</v>
      </c>
      <c r="AF889" t="s">
        <v>1984</v>
      </c>
    </row>
    <row r="890" spans="1:32" x14ac:dyDescent="0.3">
      <c r="A890">
        <v>847</v>
      </c>
      <c r="B890" t="s">
        <v>1985</v>
      </c>
      <c r="C890">
        <v>30</v>
      </c>
      <c r="D890" t="s">
        <v>121</v>
      </c>
      <c r="E890" t="s">
        <v>332</v>
      </c>
      <c r="F890">
        <v>17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>
        <v>0</v>
      </c>
      <c r="V890" s="2">
        <v>40.580555555555556</v>
      </c>
      <c r="W890" s="2">
        <v>2.3868055555555556</v>
      </c>
      <c r="X890">
        <v>0</v>
      </c>
      <c r="Y890">
        <v>0</v>
      </c>
      <c r="AA890">
        <v>0</v>
      </c>
      <c r="AB890">
        <v>0</v>
      </c>
      <c r="AC890">
        <v>0</v>
      </c>
      <c r="AD890">
        <v>2</v>
      </c>
      <c r="AF890" t="s">
        <v>1986</v>
      </c>
    </row>
    <row r="891" spans="1:32" x14ac:dyDescent="0.3">
      <c r="A891">
        <v>848</v>
      </c>
      <c r="B891" t="s">
        <v>1987</v>
      </c>
      <c r="C891">
        <v>24</v>
      </c>
      <c r="D891" t="s">
        <v>139</v>
      </c>
      <c r="E891" t="s">
        <v>87</v>
      </c>
      <c r="F891">
        <v>3</v>
      </c>
      <c r="G891">
        <v>0</v>
      </c>
      <c r="H891">
        <v>0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>
        <v>4</v>
      </c>
      <c r="V891" s="2">
        <v>1.125</v>
      </c>
      <c r="W891" s="3">
        <v>0.375</v>
      </c>
      <c r="X891">
        <v>0</v>
      </c>
      <c r="Y891">
        <v>0</v>
      </c>
      <c r="AA891">
        <v>3</v>
      </c>
      <c r="AB891">
        <v>2</v>
      </c>
      <c r="AC891">
        <v>2</v>
      </c>
      <c r="AD891">
        <v>2</v>
      </c>
      <c r="AF891" t="s">
        <v>1988</v>
      </c>
    </row>
    <row r="892" spans="1:32" x14ac:dyDescent="0.3">
      <c r="A892">
        <v>849</v>
      </c>
      <c r="B892" t="s">
        <v>1989</v>
      </c>
      <c r="C892">
        <v>26</v>
      </c>
      <c r="D892" t="s">
        <v>109</v>
      </c>
      <c r="E892" t="s">
        <v>380</v>
      </c>
      <c r="F892">
        <v>20</v>
      </c>
      <c r="G892">
        <v>0</v>
      </c>
      <c r="H892">
        <v>0</v>
      </c>
      <c r="I892">
        <v>0</v>
      </c>
      <c r="J892">
        <v>-6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17</v>
      </c>
      <c r="T892">
        <v>0</v>
      </c>
      <c r="U892">
        <v>32</v>
      </c>
      <c r="V892" s="2">
        <v>7.2319444444444443</v>
      </c>
      <c r="W892" s="3">
        <v>0.36180555555555555</v>
      </c>
      <c r="X892">
        <v>60</v>
      </c>
      <c r="Y892">
        <v>46</v>
      </c>
      <c r="Z892">
        <v>56.6</v>
      </c>
      <c r="AA892">
        <v>7</v>
      </c>
      <c r="AB892">
        <v>47</v>
      </c>
      <c r="AC892">
        <v>1</v>
      </c>
      <c r="AD892">
        <v>8</v>
      </c>
      <c r="AF892" t="s">
        <v>1990</v>
      </c>
    </row>
    <row r="893" spans="1:32" x14ac:dyDescent="0.3">
      <c r="A893">
        <v>850</v>
      </c>
      <c r="B893" t="s">
        <v>1991</v>
      </c>
      <c r="C893">
        <v>21</v>
      </c>
      <c r="D893" t="s">
        <v>103</v>
      </c>
      <c r="E893" t="s">
        <v>78</v>
      </c>
      <c r="F893">
        <v>5</v>
      </c>
      <c r="G893">
        <v>0</v>
      </c>
      <c r="H893">
        <v>0</v>
      </c>
      <c r="I893">
        <v>0</v>
      </c>
      <c r="J893">
        <v>-6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6</v>
      </c>
      <c r="T893">
        <v>0</v>
      </c>
      <c r="U893">
        <v>8</v>
      </c>
      <c r="V893" s="2">
        <v>2.1652777777777779</v>
      </c>
      <c r="W893" s="3">
        <v>0.43333333333333335</v>
      </c>
      <c r="X893">
        <v>1</v>
      </c>
      <c r="Y893">
        <v>1</v>
      </c>
      <c r="Z893">
        <v>50</v>
      </c>
      <c r="AA893">
        <v>3</v>
      </c>
      <c r="AB893">
        <v>2</v>
      </c>
      <c r="AC893">
        <v>0</v>
      </c>
      <c r="AD893">
        <v>2</v>
      </c>
      <c r="AF893" t="s">
        <v>1992</v>
      </c>
    </row>
    <row r="894" spans="1:32" x14ac:dyDescent="0.3">
      <c r="A894">
        <v>851</v>
      </c>
      <c r="B894" t="s">
        <v>1993</v>
      </c>
      <c r="C894">
        <v>27</v>
      </c>
      <c r="D894" t="s">
        <v>121</v>
      </c>
      <c r="E894" t="s">
        <v>101</v>
      </c>
      <c r="F894">
        <v>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>
        <v>1</v>
      </c>
      <c r="V894" s="2">
        <v>1.523611111111111</v>
      </c>
      <c r="W894" s="3">
        <v>0.50763888888888886</v>
      </c>
      <c r="X894">
        <v>7</v>
      </c>
      <c r="Y894">
        <v>12</v>
      </c>
      <c r="Z894">
        <v>36.799999999999997</v>
      </c>
      <c r="AA894">
        <v>2</v>
      </c>
      <c r="AB894">
        <v>5</v>
      </c>
      <c r="AC894">
        <v>0</v>
      </c>
      <c r="AD894">
        <v>0</v>
      </c>
      <c r="AF894" t="s">
        <v>1994</v>
      </c>
    </row>
    <row r="895" spans="1:32" x14ac:dyDescent="0.3">
      <c r="A895">
        <v>852</v>
      </c>
      <c r="B895" t="s">
        <v>1995</v>
      </c>
      <c r="C895">
        <v>21</v>
      </c>
      <c r="D895" t="s">
        <v>157</v>
      </c>
      <c r="E895" t="s">
        <v>95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5</v>
      </c>
      <c r="V895" s="3">
        <v>0.92222222222222228</v>
      </c>
      <c r="W895" s="3">
        <v>0.46111111111111114</v>
      </c>
      <c r="X895">
        <v>0</v>
      </c>
      <c r="Y895">
        <v>1</v>
      </c>
      <c r="Z895">
        <v>0</v>
      </c>
      <c r="AA895">
        <v>1</v>
      </c>
      <c r="AB895">
        <v>4</v>
      </c>
      <c r="AC895">
        <v>0</v>
      </c>
      <c r="AD895">
        <v>0</v>
      </c>
      <c r="AF895" t="s">
        <v>1996</v>
      </c>
    </row>
    <row r="896" spans="1:32" x14ac:dyDescent="0.3">
      <c r="A896">
        <v>853</v>
      </c>
      <c r="B896" t="s">
        <v>1997</v>
      </c>
      <c r="C896">
        <v>23</v>
      </c>
      <c r="D896" t="s">
        <v>82</v>
      </c>
      <c r="E896" t="s">
        <v>78</v>
      </c>
      <c r="F896">
        <v>2</v>
      </c>
      <c r="G896">
        <v>0</v>
      </c>
      <c r="H896">
        <v>0</v>
      </c>
      <c r="I896">
        <v>0</v>
      </c>
      <c r="J896">
        <v>-1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6</v>
      </c>
      <c r="V896" s="2">
        <v>1.3208333333333333</v>
      </c>
      <c r="W896" s="3">
        <v>0.66041666666666665</v>
      </c>
      <c r="X896">
        <v>0</v>
      </c>
      <c r="Y896">
        <v>3</v>
      </c>
      <c r="Z896">
        <v>0</v>
      </c>
      <c r="AA896">
        <v>3</v>
      </c>
      <c r="AB896">
        <v>1</v>
      </c>
      <c r="AC896">
        <v>0</v>
      </c>
      <c r="AD896">
        <v>1</v>
      </c>
      <c r="AF896" t="s">
        <v>1998</v>
      </c>
    </row>
    <row r="897" spans="1:32" x14ac:dyDescent="0.3">
      <c r="A897">
        <v>854</v>
      </c>
      <c r="B897" t="s">
        <v>1999</v>
      </c>
      <c r="C897">
        <v>26</v>
      </c>
      <c r="D897" t="s">
        <v>139</v>
      </c>
      <c r="E897" t="s">
        <v>87</v>
      </c>
      <c r="F897">
        <v>16</v>
      </c>
      <c r="G897">
        <v>0</v>
      </c>
      <c r="H897">
        <v>0</v>
      </c>
      <c r="I897">
        <v>0</v>
      </c>
      <c r="J897">
        <v>-4</v>
      </c>
      <c r="K897">
        <v>10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23</v>
      </c>
      <c r="T897">
        <v>0</v>
      </c>
      <c r="U897">
        <v>57</v>
      </c>
      <c r="V897" s="2">
        <v>10.157638888888888</v>
      </c>
      <c r="W897" s="3">
        <v>0.63472222222222219</v>
      </c>
      <c r="X897">
        <v>0</v>
      </c>
      <c r="Y897">
        <v>0</v>
      </c>
      <c r="AA897">
        <v>22</v>
      </c>
      <c r="AB897">
        <v>14</v>
      </c>
      <c r="AC897">
        <v>4</v>
      </c>
      <c r="AD897">
        <v>23</v>
      </c>
      <c r="AF897" t="s">
        <v>2000</v>
      </c>
    </row>
    <row r="898" spans="1:32" x14ac:dyDescent="0.3">
      <c r="A898">
        <v>855</v>
      </c>
      <c r="B898" t="s">
        <v>2001</v>
      </c>
      <c r="C898">
        <v>26</v>
      </c>
      <c r="D898" t="s">
        <v>72</v>
      </c>
      <c r="E898" t="s">
        <v>332</v>
      </c>
      <c r="F898">
        <v>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>
        <v>1</v>
      </c>
      <c r="V898" s="2">
        <v>20.422916666666666</v>
      </c>
      <c r="W898" s="2">
        <v>2.2694444444444444</v>
      </c>
      <c r="X898">
        <v>0</v>
      </c>
      <c r="Y898">
        <v>0</v>
      </c>
      <c r="AA898">
        <v>0</v>
      </c>
      <c r="AB898">
        <v>0</v>
      </c>
      <c r="AC898">
        <v>0</v>
      </c>
      <c r="AD898">
        <v>7</v>
      </c>
      <c r="AF898" t="s">
        <v>2002</v>
      </c>
    </row>
    <row r="899" spans="1:32" x14ac:dyDescent="0.3">
      <c r="A899">
        <v>856</v>
      </c>
      <c r="B899" t="s">
        <v>2003</v>
      </c>
      <c r="C899">
        <v>24</v>
      </c>
      <c r="D899" t="s">
        <v>278</v>
      </c>
      <c r="E899" t="s">
        <v>332</v>
      </c>
      <c r="F899">
        <v>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>
        <v>0</v>
      </c>
      <c r="V899" s="2">
        <v>3.0784722222222221</v>
      </c>
      <c r="W899" s="2">
        <v>1.5395833333333333</v>
      </c>
      <c r="X899">
        <v>0</v>
      </c>
      <c r="Y899">
        <v>0</v>
      </c>
      <c r="AA899">
        <v>0</v>
      </c>
      <c r="AB899">
        <v>0</v>
      </c>
      <c r="AC899">
        <v>0</v>
      </c>
      <c r="AD899">
        <v>1</v>
      </c>
      <c r="AF899" t="s">
        <v>2004</v>
      </c>
    </row>
    <row r="900" spans="1:32" x14ac:dyDescent="0.3">
      <c r="A900">
        <v>857</v>
      </c>
      <c r="B900" t="s">
        <v>2005</v>
      </c>
      <c r="C900">
        <v>21</v>
      </c>
      <c r="D900" t="s">
        <v>290</v>
      </c>
      <c r="E900" t="s">
        <v>87</v>
      </c>
      <c r="F900">
        <v>1</v>
      </c>
      <c r="G900">
        <v>0</v>
      </c>
      <c r="H900">
        <v>0</v>
      </c>
      <c r="I900">
        <v>0</v>
      </c>
      <c r="J900">
        <v>-3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>
        <v>0</v>
      </c>
      <c r="V900" s="3">
        <v>0.57847222222222228</v>
      </c>
      <c r="W900" s="3">
        <v>0.57847222222222228</v>
      </c>
      <c r="X900">
        <v>0</v>
      </c>
      <c r="Y900">
        <v>0</v>
      </c>
      <c r="AA900">
        <v>1</v>
      </c>
      <c r="AB900">
        <v>0</v>
      </c>
      <c r="AC900">
        <v>1</v>
      </c>
      <c r="AD900">
        <v>1</v>
      </c>
      <c r="AF900" t="s">
        <v>2006</v>
      </c>
    </row>
    <row r="901" spans="1:32" x14ac:dyDescent="0.3">
      <c r="A901">
        <v>858</v>
      </c>
      <c r="B901" t="s">
        <v>2007</v>
      </c>
      <c r="C901">
        <v>31</v>
      </c>
      <c r="D901" t="s">
        <v>195</v>
      </c>
      <c r="E901" t="s">
        <v>332</v>
      </c>
      <c r="F901">
        <v>16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>
        <v>0</v>
      </c>
      <c r="V901" s="2">
        <v>36.569444444444443</v>
      </c>
      <c r="W901" s="2">
        <v>2.2854166666666669</v>
      </c>
      <c r="X901">
        <v>0</v>
      </c>
      <c r="Y901">
        <v>0</v>
      </c>
      <c r="AA901">
        <v>0</v>
      </c>
      <c r="AB901">
        <v>0</v>
      </c>
      <c r="AC901">
        <v>0</v>
      </c>
      <c r="AD901">
        <v>10</v>
      </c>
      <c r="AF901" t="s">
        <v>2008</v>
      </c>
    </row>
    <row r="902" spans="1:32" x14ac:dyDescent="0.3">
      <c r="A902">
        <v>859</v>
      </c>
      <c r="B902" t="s">
        <v>325</v>
      </c>
      <c r="C902">
        <v>35</v>
      </c>
      <c r="D902" t="s">
        <v>91</v>
      </c>
      <c r="E902" t="s">
        <v>332</v>
      </c>
      <c r="F902">
        <v>28</v>
      </c>
      <c r="G902">
        <v>0</v>
      </c>
      <c r="H902">
        <v>0</v>
      </c>
      <c r="I902">
        <v>0</v>
      </c>
      <c r="J902">
        <v>0</v>
      </c>
      <c r="K902">
        <v>4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>
        <v>0</v>
      </c>
      <c r="V902" s="2">
        <v>67.942361111111111</v>
      </c>
      <c r="W902" s="2">
        <v>2.4263888888888889</v>
      </c>
      <c r="X902">
        <v>0</v>
      </c>
      <c r="Y902">
        <v>0</v>
      </c>
      <c r="AA902">
        <v>0</v>
      </c>
      <c r="AB902">
        <v>0</v>
      </c>
      <c r="AC902">
        <v>0</v>
      </c>
      <c r="AD902">
        <v>9</v>
      </c>
      <c r="AF902" t="s">
        <v>2009</v>
      </c>
    </row>
    <row r="903" spans="1:32" x14ac:dyDescent="0.3">
      <c r="A903">
        <v>860</v>
      </c>
      <c r="B903" t="s">
        <v>2010</v>
      </c>
      <c r="C903">
        <v>35</v>
      </c>
      <c r="D903" t="s">
        <v>164</v>
      </c>
      <c r="E903" t="s">
        <v>87</v>
      </c>
      <c r="F903">
        <v>2</v>
      </c>
      <c r="G903">
        <v>0</v>
      </c>
      <c r="H903">
        <v>0</v>
      </c>
      <c r="I903">
        <v>0</v>
      </c>
      <c r="J903">
        <v>-1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 s="3">
        <v>0.8979166666666667</v>
      </c>
      <c r="W903" s="3">
        <v>0.44930555555555557</v>
      </c>
      <c r="X903">
        <v>0</v>
      </c>
      <c r="Y903">
        <v>0</v>
      </c>
      <c r="AA903">
        <v>0</v>
      </c>
      <c r="AB903">
        <v>1</v>
      </c>
      <c r="AC903">
        <v>0</v>
      </c>
      <c r="AD903">
        <v>2</v>
      </c>
      <c r="AF903" t="s">
        <v>2011</v>
      </c>
    </row>
    <row r="904" spans="1:32" x14ac:dyDescent="0.3">
      <c r="A904">
        <v>861</v>
      </c>
      <c r="B904" t="s">
        <v>2012</v>
      </c>
      <c r="C904">
        <v>24</v>
      </c>
      <c r="D904" t="s">
        <v>139</v>
      </c>
      <c r="E904" t="s">
        <v>78</v>
      </c>
      <c r="F904">
        <v>1</v>
      </c>
      <c r="G904">
        <v>0</v>
      </c>
      <c r="H904">
        <v>0</v>
      </c>
      <c r="I904">
        <v>0</v>
      </c>
      <c r="J904">
        <v>-1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>
        <v>1</v>
      </c>
      <c r="V904" s="3">
        <v>0.21666666666666667</v>
      </c>
      <c r="W904" s="3">
        <v>0.21666666666666667</v>
      </c>
      <c r="X904">
        <v>0</v>
      </c>
      <c r="Y904">
        <v>0</v>
      </c>
      <c r="AA904">
        <v>0</v>
      </c>
      <c r="AB904">
        <v>1</v>
      </c>
      <c r="AC904">
        <v>0</v>
      </c>
      <c r="AD904">
        <v>0</v>
      </c>
      <c r="AF904" t="s">
        <v>2013</v>
      </c>
    </row>
    <row r="905" spans="1:32" x14ac:dyDescent="0.3">
      <c r="A905">
        <v>862</v>
      </c>
      <c r="B905" t="s">
        <v>2014</v>
      </c>
      <c r="C905">
        <v>32</v>
      </c>
      <c r="D905" t="s">
        <v>193</v>
      </c>
      <c r="E905" t="s">
        <v>78</v>
      </c>
      <c r="F905">
        <v>1</v>
      </c>
      <c r="G905">
        <v>0</v>
      </c>
      <c r="H905">
        <v>0</v>
      </c>
      <c r="I905">
        <v>0</v>
      </c>
      <c r="J905">
        <v>-1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2</v>
      </c>
      <c r="T905">
        <v>0</v>
      </c>
      <c r="U905">
        <v>3</v>
      </c>
      <c r="V905" s="3">
        <v>0.3972222222222222</v>
      </c>
      <c r="W905" s="3">
        <v>0.3972222222222222</v>
      </c>
      <c r="X905">
        <v>1</v>
      </c>
      <c r="Y905">
        <v>1</v>
      </c>
      <c r="Z905">
        <v>50</v>
      </c>
      <c r="AA905">
        <v>2</v>
      </c>
      <c r="AB905">
        <v>6</v>
      </c>
      <c r="AC905">
        <v>0</v>
      </c>
      <c r="AD905">
        <v>0</v>
      </c>
      <c r="AF905" t="s">
        <v>2015</v>
      </c>
    </row>
    <row r="906" spans="1:32" x14ac:dyDescent="0.3">
      <c r="A906">
        <v>863</v>
      </c>
      <c r="B906" t="s">
        <v>2016</v>
      </c>
      <c r="C906">
        <v>22</v>
      </c>
      <c r="D906" t="s">
        <v>97</v>
      </c>
      <c r="E906" t="s">
        <v>101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>
        <v>0</v>
      </c>
      <c r="V906" s="3">
        <v>0.30902777777777779</v>
      </c>
      <c r="W906" s="3">
        <v>0.30902777777777779</v>
      </c>
      <c r="X906">
        <v>1</v>
      </c>
      <c r="Y906">
        <v>0</v>
      </c>
      <c r="Z906">
        <v>100</v>
      </c>
      <c r="AA906">
        <v>0</v>
      </c>
      <c r="AB906">
        <v>1</v>
      </c>
      <c r="AC906">
        <v>0</v>
      </c>
      <c r="AD906">
        <v>0</v>
      </c>
      <c r="AF906" t="s">
        <v>2017</v>
      </c>
    </row>
    <row r="907" spans="1:32" x14ac:dyDescent="0.3">
      <c r="A907">
        <v>864</v>
      </c>
      <c r="B907" t="s">
        <v>2018</v>
      </c>
      <c r="C907">
        <v>23</v>
      </c>
      <c r="D907" t="s">
        <v>109</v>
      </c>
      <c r="E907" t="s">
        <v>87</v>
      </c>
      <c r="F907">
        <v>1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2</v>
      </c>
      <c r="V907" s="3">
        <v>0.42777777777777776</v>
      </c>
      <c r="W907" s="3">
        <v>0.42777777777777776</v>
      </c>
      <c r="X907">
        <v>0</v>
      </c>
      <c r="Y907">
        <v>0</v>
      </c>
      <c r="AA907">
        <v>1</v>
      </c>
      <c r="AB907">
        <v>0</v>
      </c>
      <c r="AC907">
        <v>0</v>
      </c>
      <c r="AD907">
        <v>2</v>
      </c>
      <c r="AF907" t="s">
        <v>2019</v>
      </c>
    </row>
    <row r="908" spans="1:32" x14ac:dyDescent="0.3">
      <c r="A908">
        <v>865</v>
      </c>
      <c r="B908" t="s">
        <v>2020</v>
      </c>
      <c r="C908">
        <v>26</v>
      </c>
      <c r="D908" t="s">
        <v>310</v>
      </c>
      <c r="E908" t="s">
        <v>95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>
        <v>1</v>
      </c>
      <c r="V908" s="3">
        <v>0.68263888888888891</v>
      </c>
      <c r="W908" s="3">
        <v>0.34166666666666667</v>
      </c>
      <c r="X908">
        <v>1</v>
      </c>
      <c r="Y908">
        <v>1</v>
      </c>
      <c r="Z908">
        <v>50</v>
      </c>
      <c r="AA908">
        <v>0</v>
      </c>
      <c r="AB908">
        <v>2</v>
      </c>
      <c r="AC908">
        <v>0</v>
      </c>
      <c r="AD908">
        <v>1</v>
      </c>
      <c r="AF908" t="s">
        <v>2021</v>
      </c>
    </row>
    <row r="909" spans="1:32" x14ac:dyDescent="0.3">
      <c r="A909">
        <v>866</v>
      </c>
      <c r="B909" t="s">
        <v>2022</v>
      </c>
      <c r="C909">
        <v>25</v>
      </c>
      <c r="D909" t="s">
        <v>91</v>
      </c>
      <c r="E909" t="s">
        <v>101</v>
      </c>
      <c r="F909">
        <v>2</v>
      </c>
      <c r="G909">
        <v>0</v>
      </c>
      <c r="H909">
        <v>0</v>
      </c>
      <c r="I909">
        <v>0</v>
      </c>
      <c r="J909">
        <v>-1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6</v>
      </c>
      <c r="V909" s="3">
        <v>0.84930555555555554</v>
      </c>
      <c r="W909" s="3">
        <v>0.42499999999999999</v>
      </c>
      <c r="X909">
        <v>0</v>
      </c>
      <c r="Y909">
        <v>0</v>
      </c>
      <c r="AA909">
        <v>1</v>
      </c>
      <c r="AB909">
        <v>4</v>
      </c>
      <c r="AC909">
        <v>1</v>
      </c>
      <c r="AD909">
        <v>1</v>
      </c>
      <c r="AF909" t="s">
        <v>2023</v>
      </c>
    </row>
    <row r="910" spans="1:32" x14ac:dyDescent="0.3">
      <c r="A910">
        <v>867</v>
      </c>
      <c r="B910" t="s">
        <v>2024</v>
      </c>
      <c r="C910">
        <v>25</v>
      </c>
      <c r="D910" t="s">
        <v>97</v>
      </c>
      <c r="E910" t="s">
        <v>95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>
        <v>0</v>
      </c>
      <c r="V910" s="3">
        <v>0.34375</v>
      </c>
      <c r="W910" s="3">
        <v>0.34375</v>
      </c>
      <c r="X910">
        <v>0</v>
      </c>
      <c r="Y910">
        <v>1</v>
      </c>
      <c r="Z910">
        <v>0</v>
      </c>
      <c r="AA910">
        <v>1</v>
      </c>
      <c r="AB910">
        <v>2</v>
      </c>
      <c r="AC910">
        <v>0</v>
      </c>
      <c r="AD910">
        <v>0</v>
      </c>
      <c r="AF910" t="s">
        <v>2025</v>
      </c>
    </row>
    <row r="911" spans="1:32" x14ac:dyDescent="0.3">
      <c r="A911">
        <v>868</v>
      </c>
      <c r="B911" t="s">
        <v>2026</v>
      </c>
      <c r="C911">
        <v>22</v>
      </c>
      <c r="D911" t="s">
        <v>409</v>
      </c>
      <c r="E911" t="s">
        <v>332</v>
      </c>
      <c r="F911">
        <v>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>
        <v>0</v>
      </c>
      <c r="V911" s="2">
        <v>17.52986111111111</v>
      </c>
      <c r="W911" s="2">
        <v>2.5041666666666669</v>
      </c>
      <c r="X911">
        <v>0</v>
      </c>
      <c r="Y911">
        <v>0</v>
      </c>
      <c r="AA911">
        <v>0</v>
      </c>
      <c r="AB911">
        <v>0</v>
      </c>
      <c r="AC911">
        <v>0</v>
      </c>
      <c r="AD911">
        <v>1</v>
      </c>
      <c r="AF911" t="s">
        <v>2027</v>
      </c>
    </row>
    <row r="912" spans="1:32" x14ac:dyDescent="0.3">
      <c r="A912">
        <v>869</v>
      </c>
      <c r="B912" t="s">
        <v>2028</v>
      </c>
      <c r="C912">
        <v>19</v>
      </c>
      <c r="D912" t="s">
        <v>278</v>
      </c>
      <c r="E912" t="s">
        <v>380</v>
      </c>
      <c r="F912">
        <v>4</v>
      </c>
      <c r="G912">
        <v>0</v>
      </c>
      <c r="H912">
        <v>0</v>
      </c>
      <c r="I912">
        <v>0</v>
      </c>
      <c r="J912">
        <v>-3</v>
      </c>
      <c r="K912">
        <v>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2</v>
      </c>
      <c r="V912" s="2">
        <v>1.4944444444444445</v>
      </c>
      <c r="W912" s="3">
        <v>0.37361111111111112</v>
      </c>
      <c r="X912">
        <v>11</v>
      </c>
      <c r="Y912">
        <v>10</v>
      </c>
      <c r="Z912">
        <v>52.4</v>
      </c>
      <c r="AA912">
        <v>3</v>
      </c>
      <c r="AB912">
        <v>2</v>
      </c>
      <c r="AC912">
        <v>0</v>
      </c>
      <c r="AD912">
        <v>1</v>
      </c>
      <c r="AF912" t="s">
        <v>2029</v>
      </c>
    </row>
    <row r="913" spans="1:32" x14ac:dyDescent="0.3">
      <c r="A913">
        <v>870</v>
      </c>
      <c r="B913" t="s">
        <v>320</v>
      </c>
      <c r="C913">
        <v>26</v>
      </c>
      <c r="D913" t="s">
        <v>139</v>
      </c>
      <c r="E913" t="s">
        <v>332</v>
      </c>
      <c r="F913">
        <v>15</v>
      </c>
      <c r="G913">
        <v>0</v>
      </c>
      <c r="H913">
        <v>0</v>
      </c>
      <c r="I913">
        <v>0</v>
      </c>
      <c r="J913">
        <v>0</v>
      </c>
      <c r="K913">
        <v>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>
        <v>0</v>
      </c>
      <c r="V913" s="2">
        <v>36.463888888888889</v>
      </c>
      <c r="W913" s="2">
        <v>2.4312499999999999</v>
      </c>
      <c r="X913">
        <v>0</v>
      </c>
      <c r="Y913">
        <v>0</v>
      </c>
      <c r="AA913">
        <v>0</v>
      </c>
      <c r="AB913">
        <v>0</v>
      </c>
      <c r="AC913">
        <v>0</v>
      </c>
      <c r="AD913">
        <v>7</v>
      </c>
      <c r="AF913" t="s">
        <v>2030</v>
      </c>
    </row>
    <row r="914" spans="1:32" x14ac:dyDescent="0.3">
      <c r="A914">
        <v>871</v>
      </c>
      <c r="B914" t="s">
        <v>2031</v>
      </c>
      <c r="C914">
        <v>29</v>
      </c>
      <c r="D914" t="s">
        <v>97</v>
      </c>
      <c r="E914" t="s">
        <v>78</v>
      </c>
      <c r="F914">
        <v>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4</v>
      </c>
      <c r="T914">
        <v>0</v>
      </c>
      <c r="U914">
        <v>7</v>
      </c>
      <c r="V914" s="3">
        <v>0.79166666666666663</v>
      </c>
      <c r="W914" s="3">
        <v>0.2638888888888889</v>
      </c>
      <c r="X914">
        <v>0</v>
      </c>
      <c r="Y914">
        <v>2</v>
      </c>
      <c r="Z914">
        <v>0</v>
      </c>
      <c r="AA914">
        <v>1</v>
      </c>
      <c r="AB914">
        <v>6</v>
      </c>
      <c r="AC914">
        <v>1</v>
      </c>
      <c r="AD914">
        <v>2</v>
      </c>
      <c r="AF914" t="s">
        <v>2032</v>
      </c>
    </row>
    <row r="915" spans="1:32" x14ac:dyDescent="0.3">
      <c r="A915">
        <v>872</v>
      </c>
      <c r="B915" t="s">
        <v>2033</v>
      </c>
      <c r="C915">
        <v>24</v>
      </c>
      <c r="D915" t="s">
        <v>216</v>
      </c>
      <c r="E915" t="s">
        <v>101</v>
      </c>
      <c r="F915">
        <v>5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</v>
      </c>
      <c r="T915">
        <v>0</v>
      </c>
      <c r="U915">
        <v>8</v>
      </c>
      <c r="V915" s="2">
        <v>1.1430555555555555</v>
      </c>
      <c r="W915" s="3">
        <v>0.22847222222222222</v>
      </c>
      <c r="X915">
        <v>0</v>
      </c>
      <c r="Y915">
        <v>0</v>
      </c>
      <c r="AA915">
        <v>1</v>
      </c>
      <c r="AB915">
        <v>7</v>
      </c>
      <c r="AC915">
        <v>0</v>
      </c>
      <c r="AD915">
        <v>0</v>
      </c>
      <c r="AF915" t="s">
        <v>2034</v>
      </c>
    </row>
    <row r="916" spans="1:32" x14ac:dyDescent="0.3">
      <c r="A916">
        <v>873</v>
      </c>
      <c r="B916" t="s">
        <v>2035</v>
      </c>
      <c r="C916">
        <v>23</v>
      </c>
      <c r="D916" t="s">
        <v>193</v>
      </c>
      <c r="E916" t="s">
        <v>87</v>
      </c>
      <c r="F916">
        <v>5</v>
      </c>
      <c r="G916">
        <v>0</v>
      </c>
      <c r="H916">
        <v>0</v>
      </c>
      <c r="I916">
        <v>0</v>
      </c>
      <c r="J916">
        <v>-2</v>
      </c>
      <c r="K916">
        <v>5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</v>
      </c>
      <c r="T916">
        <v>0</v>
      </c>
      <c r="U916">
        <v>7</v>
      </c>
      <c r="V916" s="2">
        <v>2.1930555555555555</v>
      </c>
      <c r="W916" s="3">
        <v>0.43888888888888888</v>
      </c>
      <c r="X916">
        <v>0</v>
      </c>
      <c r="Y916">
        <v>0</v>
      </c>
      <c r="AA916">
        <v>5</v>
      </c>
      <c r="AB916">
        <v>6</v>
      </c>
      <c r="AC916">
        <v>0</v>
      </c>
      <c r="AD916">
        <v>2</v>
      </c>
      <c r="AF916" t="s">
        <v>2036</v>
      </c>
    </row>
    <row r="917" spans="1:32" x14ac:dyDescent="0.3">
      <c r="A917">
        <v>874</v>
      </c>
      <c r="B917" t="s">
        <v>2037</v>
      </c>
      <c r="C917">
        <v>33</v>
      </c>
      <c r="D917" t="s">
        <v>310</v>
      </c>
      <c r="E917" t="s">
        <v>87</v>
      </c>
      <c r="F917">
        <v>7</v>
      </c>
      <c r="G917">
        <v>0</v>
      </c>
      <c r="H917">
        <v>0</v>
      </c>
      <c r="I917">
        <v>0</v>
      </c>
      <c r="J917">
        <v>0</v>
      </c>
      <c r="K917">
        <v>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</v>
      </c>
      <c r="T917">
        <v>0</v>
      </c>
      <c r="U917">
        <v>8</v>
      </c>
      <c r="V917" s="2">
        <v>2.8291666666666666</v>
      </c>
      <c r="W917" s="3">
        <v>0.40416666666666667</v>
      </c>
      <c r="X917">
        <v>0</v>
      </c>
      <c r="Y917">
        <v>0</v>
      </c>
      <c r="AA917">
        <v>5</v>
      </c>
      <c r="AB917">
        <v>14</v>
      </c>
      <c r="AC917">
        <v>0</v>
      </c>
      <c r="AD917">
        <v>5</v>
      </c>
      <c r="AF917" t="s">
        <v>2038</v>
      </c>
    </row>
    <row r="918" spans="1:32" x14ac:dyDescent="0.3">
      <c r="A918">
        <v>875</v>
      </c>
      <c r="B918" t="s">
        <v>2039</v>
      </c>
      <c r="C918">
        <v>24</v>
      </c>
      <c r="D918" t="s">
        <v>188</v>
      </c>
      <c r="E918" t="s">
        <v>87</v>
      </c>
      <c r="F918">
        <v>3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 s="2">
        <v>1.7166666666666666</v>
      </c>
      <c r="W918" s="3">
        <v>0.57222222222222219</v>
      </c>
      <c r="X918">
        <v>0</v>
      </c>
      <c r="Y918">
        <v>0</v>
      </c>
      <c r="AA918">
        <v>5</v>
      </c>
      <c r="AB918">
        <v>4</v>
      </c>
      <c r="AC918">
        <v>2</v>
      </c>
      <c r="AD918">
        <v>3</v>
      </c>
      <c r="AF918" t="s">
        <v>2040</v>
      </c>
    </row>
    <row r="919" spans="1:32" x14ac:dyDescent="0.3">
      <c r="A919">
        <v>876</v>
      </c>
      <c r="B919" t="s">
        <v>2041</v>
      </c>
      <c r="C919">
        <v>33</v>
      </c>
      <c r="D919" t="s">
        <v>409</v>
      </c>
      <c r="E919" t="s">
        <v>87</v>
      </c>
      <c r="F919">
        <v>3</v>
      </c>
      <c r="G919">
        <v>0</v>
      </c>
      <c r="H919">
        <v>0</v>
      </c>
      <c r="I919">
        <v>0</v>
      </c>
      <c r="J919">
        <v>-5</v>
      </c>
      <c r="K919">
        <v>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>
        <v>0</v>
      </c>
      <c r="V919" s="2">
        <v>1.3111111111111111</v>
      </c>
      <c r="W919" s="3">
        <v>0.43680555555555556</v>
      </c>
      <c r="X919">
        <v>0</v>
      </c>
      <c r="Y919">
        <v>0</v>
      </c>
      <c r="AA919">
        <v>1</v>
      </c>
      <c r="AB919">
        <v>5</v>
      </c>
      <c r="AC919">
        <v>0</v>
      </c>
      <c r="AD919">
        <v>2</v>
      </c>
      <c r="AF919" t="s">
        <v>2042</v>
      </c>
    </row>
    <row r="920" spans="1:32" x14ac:dyDescent="0.3">
      <c r="A920">
        <v>877</v>
      </c>
      <c r="B920" t="s">
        <v>2043</v>
      </c>
      <c r="C920">
        <v>23</v>
      </c>
      <c r="D920" t="s">
        <v>243</v>
      </c>
      <c r="E920" t="s">
        <v>332</v>
      </c>
      <c r="F920">
        <v>16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>
        <v>0</v>
      </c>
      <c r="V920" s="2">
        <v>35.672222222222224</v>
      </c>
      <c r="W920" s="2">
        <v>2.2298611111111111</v>
      </c>
      <c r="X920">
        <v>0</v>
      </c>
      <c r="Y920">
        <v>0</v>
      </c>
      <c r="AA920">
        <v>0</v>
      </c>
      <c r="AB920">
        <v>0</v>
      </c>
      <c r="AC920">
        <v>0</v>
      </c>
      <c r="AD920">
        <v>4</v>
      </c>
      <c r="AF920" t="s">
        <v>2044</v>
      </c>
    </row>
    <row r="921" spans="1:32" x14ac:dyDescent="0.3">
      <c r="A921">
        <v>878</v>
      </c>
      <c r="B921" t="s">
        <v>2045</v>
      </c>
      <c r="C921">
        <v>25</v>
      </c>
      <c r="D921" t="s">
        <v>195</v>
      </c>
      <c r="E921" t="s">
        <v>380</v>
      </c>
      <c r="F921">
        <v>1</v>
      </c>
      <c r="G921">
        <v>0</v>
      </c>
      <c r="H921">
        <v>0</v>
      </c>
      <c r="I921">
        <v>0</v>
      </c>
      <c r="J921">
        <v>-1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>
        <v>1</v>
      </c>
      <c r="V921" s="3">
        <v>0.44097222222222221</v>
      </c>
      <c r="W921" s="3">
        <v>0.44097222222222221</v>
      </c>
      <c r="X921">
        <v>0</v>
      </c>
      <c r="Y921">
        <v>0</v>
      </c>
      <c r="AA921">
        <v>0</v>
      </c>
      <c r="AB921">
        <v>0</v>
      </c>
      <c r="AC921">
        <v>0</v>
      </c>
      <c r="AD921">
        <v>0</v>
      </c>
      <c r="AF921" t="s">
        <v>2046</v>
      </c>
    </row>
    <row r="922" spans="1:32" x14ac:dyDescent="0.3">
      <c r="A922">
        <v>879</v>
      </c>
      <c r="B922" t="s">
        <v>2047</v>
      </c>
      <c r="C922">
        <v>22</v>
      </c>
      <c r="D922" t="s">
        <v>130</v>
      </c>
      <c r="E922" t="s">
        <v>332</v>
      </c>
      <c r="F922">
        <v>3</v>
      </c>
      <c r="G922">
        <v>0</v>
      </c>
      <c r="H922">
        <v>0</v>
      </c>
      <c r="I922">
        <v>0</v>
      </c>
      <c r="J922">
        <v>0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>
        <v>0</v>
      </c>
      <c r="V922" s="2">
        <v>5.7763888888888886</v>
      </c>
      <c r="W922" s="2">
        <v>1.9256944444444444</v>
      </c>
      <c r="X922">
        <v>0</v>
      </c>
      <c r="Y922">
        <v>0</v>
      </c>
      <c r="AA922">
        <v>0</v>
      </c>
      <c r="AB922">
        <v>0</v>
      </c>
      <c r="AC922">
        <v>0</v>
      </c>
      <c r="AD922">
        <v>0</v>
      </c>
      <c r="AF922" t="s">
        <v>2048</v>
      </c>
    </row>
    <row r="923" spans="1:32" x14ac:dyDescent="0.3">
      <c r="A923">
        <v>880</v>
      </c>
      <c r="B923" t="s">
        <v>2049</v>
      </c>
      <c r="C923">
        <v>24</v>
      </c>
      <c r="D923" t="s">
        <v>216</v>
      </c>
      <c r="E923" t="s">
        <v>332</v>
      </c>
      <c r="F923">
        <v>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>
        <v>0</v>
      </c>
      <c r="V923" s="2">
        <v>4.7173611111111109</v>
      </c>
      <c r="W923" s="2">
        <v>2.3590277777777779</v>
      </c>
      <c r="X923">
        <v>0</v>
      </c>
      <c r="Y923">
        <v>0</v>
      </c>
      <c r="AA923">
        <v>0</v>
      </c>
      <c r="AB923">
        <v>0</v>
      </c>
      <c r="AC923">
        <v>0</v>
      </c>
      <c r="AD923">
        <v>0</v>
      </c>
      <c r="AF923" t="s">
        <v>2050</v>
      </c>
    </row>
    <row r="924" spans="1:32" x14ac:dyDescent="0.3">
      <c r="A924">
        <v>881</v>
      </c>
      <c r="B924" t="s">
        <v>2051</v>
      </c>
      <c r="C924">
        <v>28</v>
      </c>
      <c r="D924" t="s">
        <v>82</v>
      </c>
      <c r="E924" t="s">
        <v>87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>
        <v>2</v>
      </c>
      <c r="V924" s="3">
        <v>0.74236111111111114</v>
      </c>
      <c r="W924" s="3">
        <v>0.74236111111111114</v>
      </c>
      <c r="X924">
        <v>0</v>
      </c>
      <c r="Y924">
        <v>0</v>
      </c>
      <c r="AA924">
        <v>2</v>
      </c>
      <c r="AB924">
        <v>0</v>
      </c>
      <c r="AC924">
        <v>0</v>
      </c>
      <c r="AD924">
        <v>1</v>
      </c>
      <c r="AF924" t="s">
        <v>2052</v>
      </c>
    </row>
    <row r="925" spans="1:32" x14ac:dyDescent="0.3">
      <c r="A925">
        <v>882</v>
      </c>
      <c r="B925" t="s">
        <v>2053</v>
      </c>
      <c r="C925">
        <v>21</v>
      </c>
      <c r="D925" t="s">
        <v>310</v>
      </c>
      <c r="E925" t="s">
        <v>101</v>
      </c>
      <c r="F925">
        <v>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3</v>
      </c>
      <c r="T925">
        <v>0</v>
      </c>
      <c r="U925">
        <v>8</v>
      </c>
      <c r="V925" s="3">
        <v>0.80347222222222225</v>
      </c>
      <c r="W925" s="3">
        <v>0.40208333333333335</v>
      </c>
      <c r="X925">
        <v>0</v>
      </c>
      <c r="Y925">
        <v>0</v>
      </c>
      <c r="AA925">
        <v>1</v>
      </c>
      <c r="AB925">
        <v>4</v>
      </c>
      <c r="AC925">
        <v>0</v>
      </c>
      <c r="AD925">
        <v>0</v>
      </c>
      <c r="AF925" t="s">
        <v>2054</v>
      </c>
    </row>
    <row r="926" spans="1:32" x14ac:dyDescent="0.3">
      <c r="A926">
        <v>883</v>
      </c>
      <c r="B926" t="s">
        <v>2055</v>
      </c>
      <c r="C926">
        <v>29</v>
      </c>
      <c r="D926" t="s">
        <v>204</v>
      </c>
      <c r="E926" t="s">
        <v>332</v>
      </c>
      <c r="F926">
        <v>18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>
        <v>0</v>
      </c>
      <c r="V926" s="2">
        <v>41.325000000000003</v>
      </c>
      <c r="W926" s="2">
        <v>2.2958333333333334</v>
      </c>
      <c r="X926">
        <v>0</v>
      </c>
      <c r="Y926">
        <v>0</v>
      </c>
      <c r="AA926">
        <v>0</v>
      </c>
      <c r="AB926">
        <v>0</v>
      </c>
      <c r="AC926">
        <v>0</v>
      </c>
      <c r="AD926">
        <v>3</v>
      </c>
      <c r="AF926" t="s">
        <v>2056</v>
      </c>
    </row>
    <row r="927" spans="1:32" x14ac:dyDescent="0.3">
      <c r="A927">
        <v>884</v>
      </c>
      <c r="B927" t="s">
        <v>2057</v>
      </c>
      <c r="C927">
        <v>26</v>
      </c>
      <c r="D927" t="s">
        <v>82</v>
      </c>
      <c r="E927" t="s">
        <v>380</v>
      </c>
      <c r="F927">
        <v>3</v>
      </c>
      <c r="G927">
        <v>0</v>
      </c>
      <c r="H927">
        <v>0</v>
      </c>
      <c r="I927">
        <v>0</v>
      </c>
      <c r="J927">
        <v>-1</v>
      </c>
      <c r="K927">
        <v>10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3</v>
      </c>
      <c r="T927">
        <v>0</v>
      </c>
      <c r="U927">
        <v>7</v>
      </c>
      <c r="V927" s="2">
        <v>1.1666666666666667</v>
      </c>
      <c r="W927" s="3">
        <v>0.3888888888888889</v>
      </c>
      <c r="X927">
        <v>16</v>
      </c>
      <c r="Y927">
        <v>8</v>
      </c>
      <c r="Z927">
        <v>66.7</v>
      </c>
      <c r="AA927">
        <v>1</v>
      </c>
      <c r="AB927">
        <v>9</v>
      </c>
      <c r="AC927">
        <v>1</v>
      </c>
      <c r="AD927">
        <v>2</v>
      </c>
      <c r="AF927" t="s">
        <v>2058</v>
      </c>
    </row>
    <row r="928" spans="1:32" x14ac:dyDescent="0.3">
      <c r="A928">
        <v>885</v>
      </c>
      <c r="B928" t="s">
        <v>2059</v>
      </c>
      <c r="C928">
        <v>27</v>
      </c>
      <c r="D928" t="s">
        <v>91</v>
      </c>
      <c r="E928" t="s">
        <v>87</v>
      </c>
      <c r="F928">
        <v>10</v>
      </c>
      <c r="G928">
        <v>0</v>
      </c>
      <c r="H928">
        <v>0</v>
      </c>
      <c r="I928">
        <v>0</v>
      </c>
      <c r="J928">
        <v>-3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4</v>
      </c>
      <c r="T928">
        <v>0</v>
      </c>
      <c r="U928">
        <v>15</v>
      </c>
      <c r="V928" s="2">
        <v>3.7708333333333335</v>
      </c>
      <c r="W928" s="3">
        <v>0.37708333333333333</v>
      </c>
      <c r="X928">
        <v>0</v>
      </c>
      <c r="Y928">
        <v>0</v>
      </c>
      <c r="AA928">
        <v>5</v>
      </c>
      <c r="AB928">
        <v>3</v>
      </c>
      <c r="AC928">
        <v>1</v>
      </c>
      <c r="AD928">
        <v>1</v>
      </c>
      <c r="AF928" t="s">
        <v>2060</v>
      </c>
    </row>
    <row r="929" spans="1:32" x14ac:dyDescent="0.3">
      <c r="A929">
        <v>886</v>
      </c>
      <c r="B929" t="s">
        <v>2061</v>
      </c>
      <c r="C929">
        <v>33</v>
      </c>
      <c r="D929" t="s">
        <v>113</v>
      </c>
      <c r="E929" t="s">
        <v>332</v>
      </c>
      <c r="F929">
        <v>10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>
        <v>0</v>
      </c>
      <c r="V929" s="2">
        <v>21.495138888888889</v>
      </c>
      <c r="W929" s="2">
        <v>2.1493055555555554</v>
      </c>
      <c r="X929">
        <v>0</v>
      </c>
      <c r="Y929">
        <v>0</v>
      </c>
      <c r="AA929">
        <v>0</v>
      </c>
      <c r="AB929">
        <v>0</v>
      </c>
      <c r="AC929">
        <v>0</v>
      </c>
      <c r="AD929">
        <v>5</v>
      </c>
      <c r="AF929" t="s">
        <v>2062</v>
      </c>
    </row>
    <row r="930" spans="1:32" x14ac:dyDescent="0.3">
      <c r="A930">
        <v>887</v>
      </c>
      <c r="B930" t="s">
        <v>2063</v>
      </c>
      <c r="C930">
        <v>21</v>
      </c>
      <c r="D930" t="s">
        <v>134</v>
      </c>
      <c r="E930" t="s">
        <v>332</v>
      </c>
      <c r="F930">
        <v>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>
        <v>0</v>
      </c>
      <c r="V930" s="2">
        <v>11.720138888888888</v>
      </c>
      <c r="W930" s="2">
        <v>2.34375</v>
      </c>
      <c r="X930">
        <v>0</v>
      </c>
      <c r="Y930">
        <v>0</v>
      </c>
      <c r="AA930">
        <v>0</v>
      </c>
      <c r="AB930">
        <v>0</v>
      </c>
      <c r="AC930">
        <v>0</v>
      </c>
      <c r="AD930">
        <v>3</v>
      </c>
      <c r="AF930" t="s">
        <v>2064</v>
      </c>
    </row>
    <row r="931" spans="1:32" x14ac:dyDescent="0.3">
      <c r="A931">
        <v>888</v>
      </c>
      <c r="B931" t="s">
        <v>2065</v>
      </c>
      <c r="C931">
        <v>22</v>
      </c>
      <c r="D931" t="s">
        <v>278</v>
      </c>
      <c r="E931" t="s">
        <v>87</v>
      </c>
      <c r="F931">
        <v>3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2</v>
      </c>
      <c r="V931" s="2">
        <v>1.8756944444444446</v>
      </c>
      <c r="W931" s="3">
        <v>0.625</v>
      </c>
      <c r="X931">
        <v>0</v>
      </c>
      <c r="Y931">
        <v>0</v>
      </c>
      <c r="AA931">
        <v>2</v>
      </c>
      <c r="AB931">
        <v>5</v>
      </c>
      <c r="AC931">
        <v>0</v>
      </c>
      <c r="AD931">
        <v>3</v>
      </c>
      <c r="AF931" t="s">
        <v>2066</v>
      </c>
    </row>
    <row r="932" spans="1:32" x14ac:dyDescent="0.3">
      <c r="A932">
        <v>889</v>
      </c>
      <c r="B932" t="s">
        <v>2067</v>
      </c>
      <c r="C932">
        <v>31</v>
      </c>
      <c r="D932" t="s">
        <v>200</v>
      </c>
      <c r="E932" t="s">
        <v>332</v>
      </c>
      <c r="F932">
        <v>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>
        <v>0</v>
      </c>
      <c r="V932" s="2">
        <v>9.0368055555555564</v>
      </c>
      <c r="W932" s="2">
        <v>1.8076388888888888</v>
      </c>
      <c r="X932">
        <v>0</v>
      </c>
      <c r="Y932">
        <v>0</v>
      </c>
      <c r="AA932">
        <v>0</v>
      </c>
      <c r="AB932">
        <v>0</v>
      </c>
      <c r="AC932">
        <v>0</v>
      </c>
      <c r="AD932">
        <v>2</v>
      </c>
      <c r="AF932" t="s">
        <v>2068</v>
      </c>
    </row>
    <row r="933" spans="1:32" x14ac:dyDescent="0.3">
      <c r="A933">
        <v>890</v>
      </c>
      <c r="B933" t="s">
        <v>2069</v>
      </c>
      <c r="C933">
        <v>23</v>
      </c>
      <c r="D933" t="s">
        <v>256</v>
      </c>
      <c r="E933" t="s">
        <v>101</v>
      </c>
      <c r="F933">
        <v>6</v>
      </c>
      <c r="G933">
        <v>0</v>
      </c>
      <c r="H933">
        <v>0</v>
      </c>
      <c r="I933">
        <v>0</v>
      </c>
      <c r="J933">
        <v>-3</v>
      </c>
      <c r="K933">
        <v>7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5</v>
      </c>
      <c r="T933">
        <v>0</v>
      </c>
      <c r="U933">
        <v>11</v>
      </c>
      <c r="V933" s="2">
        <v>2.0423611111111111</v>
      </c>
      <c r="W933" s="3">
        <v>0.34027777777777779</v>
      </c>
      <c r="X933">
        <v>0</v>
      </c>
      <c r="Y933">
        <v>0</v>
      </c>
      <c r="AA933">
        <v>3</v>
      </c>
      <c r="AB933">
        <v>6</v>
      </c>
      <c r="AC933">
        <v>0</v>
      </c>
      <c r="AD933">
        <v>0</v>
      </c>
      <c r="AF933" t="s">
        <v>2070</v>
      </c>
    </row>
    <row r="934" spans="1:32" x14ac:dyDescent="0.3">
      <c r="A934">
        <v>891</v>
      </c>
      <c r="B934" t="s">
        <v>2071</v>
      </c>
      <c r="C934">
        <v>24</v>
      </c>
      <c r="D934" t="s">
        <v>97</v>
      </c>
      <c r="E934" t="s">
        <v>380</v>
      </c>
      <c r="F934">
        <v>5</v>
      </c>
      <c r="G934">
        <v>0</v>
      </c>
      <c r="H934">
        <v>0</v>
      </c>
      <c r="I934">
        <v>0</v>
      </c>
      <c r="J934">
        <v>-1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2</v>
      </c>
      <c r="T934">
        <v>0</v>
      </c>
      <c r="U934">
        <v>6</v>
      </c>
      <c r="V934" s="2">
        <v>1.7861111111111112</v>
      </c>
      <c r="W934" s="3">
        <v>0.35694444444444445</v>
      </c>
      <c r="X934">
        <v>0</v>
      </c>
      <c r="Y934">
        <v>0</v>
      </c>
      <c r="AA934">
        <v>1</v>
      </c>
      <c r="AB934">
        <v>7</v>
      </c>
      <c r="AC934">
        <v>1</v>
      </c>
      <c r="AD934">
        <v>1</v>
      </c>
      <c r="AF934" t="s">
        <v>2072</v>
      </c>
    </row>
    <row r="935" spans="1:32" x14ac:dyDescent="0.3">
      <c r="A935">
        <v>892</v>
      </c>
      <c r="B935" t="s">
        <v>2073</v>
      </c>
      <c r="C935">
        <v>26</v>
      </c>
      <c r="D935" t="s">
        <v>193</v>
      </c>
      <c r="E935" t="s">
        <v>332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>
        <v>0</v>
      </c>
      <c r="V935" s="2">
        <v>2.3673611111111112</v>
      </c>
      <c r="W935" s="2">
        <v>2.3673611111111112</v>
      </c>
      <c r="X935">
        <v>0</v>
      </c>
      <c r="Y935">
        <v>0</v>
      </c>
      <c r="AA935">
        <v>0</v>
      </c>
      <c r="AB935">
        <v>0</v>
      </c>
      <c r="AC935">
        <v>0</v>
      </c>
      <c r="AD935">
        <v>0</v>
      </c>
      <c r="AF935" t="s">
        <v>2074</v>
      </c>
    </row>
    <row r="936" spans="1:32" x14ac:dyDescent="0.3">
      <c r="A936">
        <v>893</v>
      </c>
      <c r="B936" t="s">
        <v>2075</v>
      </c>
      <c r="C936">
        <v>24</v>
      </c>
      <c r="D936" t="s">
        <v>121</v>
      </c>
      <c r="E936" t="s">
        <v>101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>
        <v>3</v>
      </c>
      <c r="V936" s="3">
        <v>0.25833333333333336</v>
      </c>
      <c r="W936" s="3">
        <v>0.25833333333333336</v>
      </c>
      <c r="X936">
        <v>1</v>
      </c>
      <c r="Y936">
        <v>0</v>
      </c>
      <c r="Z936">
        <v>100</v>
      </c>
      <c r="AA936">
        <v>1</v>
      </c>
      <c r="AB936">
        <v>1</v>
      </c>
      <c r="AC936">
        <v>0</v>
      </c>
      <c r="AD936">
        <v>0</v>
      </c>
      <c r="AF936" t="s">
        <v>2076</v>
      </c>
    </row>
    <row r="937" spans="1:32" x14ac:dyDescent="0.3">
      <c r="A937">
        <v>894</v>
      </c>
      <c r="B937" t="s">
        <v>2077</v>
      </c>
      <c r="C937">
        <v>33</v>
      </c>
      <c r="D937" t="s">
        <v>250</v>
      </c>
      <c r="E937" t="s">
        <v>332</v>
      </c>
      <c r="F937">
        <v>16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>
        <v>0</v>
      </c>
      <c r="V937" s="2">
        <v>36.005555555555553</v>
      </c>
      <c r="W937" s="2">
        <v>2.2506944444444446</v>
      </c>
      <c r="X937">
        <v>0</v>
      </c>
      <c r="Y937">
        <v>0</v>
      </c>
      <c r="AA937">
        <v>0</v>
      </c>
      <c r="AB937">
        <v>0</v>
      </c>
      <c r="AC937">
        <v>0</v>
      </c>
      <c r="AD937">
        <v>12</v>
      </c>
      <c r="AF937" t="s">
        <v>2078</v>
      </c>
    </row>
    <row r="938" spans="1:32" x14ac:dyDescent="0.3">
      <c r="A938">
        <v>895</v>
      </c>
      <c r="B938" t="s">
        <v>2079</v>
      </c>
      <c r="C938">
        <v>22</v>
      </c>
      <c r="D938" t="s">
        <v>134</v>
      </c>
      <c r="E938" t="s">
        <v>87</v>
      </c>
      <c r="F938">
        <v>4</v>
      </c>
      <c r="G938">
        <v>0</v>
      </c>
      <c r="H938">
        <v>0</v>
      </c>
      <c r="I938">
        <v>0</v>
      </c>
      <c r="J938">
        <v>-3</v>
      </c>
      <c r="K938">
        <v>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6</v>
      </c>
      <c r="V938" s="2">
        <v>2.0159722222222221</v>
      </c>
      <c r="W938" s="3">
        <v>0.50416666666666665</v>
      </c>
      <c r="X938">
        <v>0</v>
      </c>
      <c r="Y938">
        <v>0</v>
      </c>
      <c r="AA938">
        <v>2</v>
      </c>
      <c r="AB938">
        <v>1</v>
      </c>
      <c r="AC938">
        <v>1</v>
      </c>
      <c r="AD938">
        <v>4</v>
      </c>
      <c r="AF938" t="s">
        <v>2080</v>
      </c>
    </row>
    <row r="939" spans="1:32" x14ac:dyDescent="0.3">
      <c r="A939">
        <v>896</v>
      </c>
      <c r="B939" t="s">
        <v>2081</v>
      </c>
      <c r="C939">
        <v>20</v>
      </c>
      <c r="D939" t="s">
        <v>306</v>
      </c>
      <c r="E939" t="s">
        <v>78</v>
      </c>
      <c r="F939">
        <v>3</v>
      </c>
      <c r="G939">
        <v>0</v>
      </c>
      <c r="H939">
        <v>0</v>
      </c>
      <c r="I939">
        <v>0</v>
      </c>
      <c r="J939">
        <v>-1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6</v>
      </c>
      <c r="T939">
        <v>0</v>
      </c>
      <c r="U939">
        <v>10</v>
      </c>
      <c r="V939" s="2">
        <v>1.7208333333333334</v>
      </c>
      <c r="W939" s="3">
        <v>0.57361111111111107</v>
      </c>
      <c r="X939">
        <v>0</v>
      </c>
      <c r="Y939">
        <v>0</v>
      </c>
      <c r="AA939">
        <v>1</v>
      </c>
      <c r="AB939">
        <v>2</v>
      </c>
      <c r="AC939">
        <v>0</v>
      </c>
      <c r="AD939">
        <v>3</v>
      </c>
      <c r="AF939" t="s">
        <v>2082</v>
      </c>
    </row>
    <row r="940" spans="1:32" x14ac:dyDescent="0.3">
      <c r="A940">
        <v>897</v>
      </c>
      <c r="B940" t="s">
        <v>2083</v>
      </c>
      <c r="C940">
        <v>26</v>
      </c>
      <c r="D940" t="s">
        <v>216</v>
      </c>
      <c r="E940" t="s">
        <v>380</v>
      </c>
      <c r="F940">
        <v>2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>
        <v>0</v>
      </c>
      <c r="V940" s="3">
        <v>0.49791666666666667</v>
      </c>
      <c r="W940" s="3">
        <v>0.24930555555555556</v>
      </c>
      <c r="X940">
        <v>0</v>
      </c>
      <c r="Y940">
        <v>0</v>
      </c>
      <c r="AA940">
        <v>2</v>
      </c>
      <c r="AB940">
        <v>7</v>
      </c>
      <c r="AC940">
        <v>0</v>
      </c>
      <c r="AD940">
        <v>0</v>
      </c>
      <c r="AF940" t="s">
        <v>2084</v>
      </c>
    </row>
    <row r="941" spans="1:32" x14ac:dyDescent="0.3">
      <c r="A941">
        <v>898</v>
      </c>
      <c r="B941" t="s">
        <v>2085</v>
      </c>
      <c r="C941">
        <v>24</v>
      </c>
      <c r="D941" t="s">
        <v>134</v>
      </c>
      <c r="E941" t="s">
        <v>95</v>
      </c>
      <c r="F941">
        <v>2</v>
      </c>
      <c r="G941">
        <v>0</v>
      </c>
      <c r="H941">
        <v>0</v>
      </c>
      <c r="I941">
        <v>0</v>
      </c>
      <c r="J941">
        <v>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6</v>
      </c>
      <c r="V941" s="2">
        <v>1.1513888888888888</v>
      </c>
      <c r="W941" s="3">
        <v>0.5756944444444444</v>
      </c>
      <c r="X941">
        <v>0</v>
      </c>
      <c r="Y941">
        <v>0</v>
      </c>
      <c r="AA941">
        <v>2</v>
      </c>
      <c r="AB941">
        <v>2</v>
      </c>
      <c r="AC941">
        <v>1</v>
      </c>
      <c r="AD941">
        <v>1</v>
      </c>
      <c r="AF941" t="s">
        <v>2086</v>
      </c>
    </row>
    <row r="942" spans="1:32" x14ac:dyDescent="0.3">
      <c r="A942">
        <v>899</v>
      </c>
      <c r="B942" t="s">
        <v>2087</v>
      </c>
      <c r="C942">
        <v>26</v>
      </c>
      <c r="D942" t="s">
        <v>150</v>
      </c>
      <c r="E942" t="s">
        <v>332</v>
      </c>
      <c r="F942">
        <v>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>
        <v>0</v>
      </c>
      <c r="V942" s="2">
        <v>7.5611111111111109</v>
      </c>
      <c r="W942" s="2">
        <v>2.5201388888888889</v>
      </c>
      <c r="X942">
        <v>0</v>
      </c>
      <c r="Y942">
        <v>0</v>
      </c>
      <c r="AA942">
        <v>0</v>
      </c>
      <c r="AB942">
        <v>0</v>
      </c>
      <c r="AC942">
        <v>0</v>
      </c>
      <c r="AD942">
        <v>1</v>
      </c>
      <c r="AF942" t="s">
        <v>2088</v>
      </c>
    </row>
    <row r="943" spans="1:32" x14ac:dyDescent="0.3">
      <c r="A943">
        <v>900</v>
      </c>
      <c r="B943" t="s">
        <v>2089</v>
      </c>
      <c r="C943">
        <v>24</v>
      </c>
      <c r="D943" t="s">
        <v>306</v>
      </c>
      <c r="E943" t="s">
        <v>101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>
        <v>2</v>
      </c>
      <c r="V943" s="3">
        <v>0.39374999999999999</v>
      </c>
      <c r="W943" s="3">
        <v>0.39374999999999999</v>
      </c>
      <c r="X943">
        <v>0</v>
      </c>
      <c r="Y943">
        <v>0</v>
      </c>
      <c r="AA943">
        <v>0</v>
      </c>
      <c r="AB943">
        <v>0</v>
      </c>
      <c r="AC943">
        <v>0</v>
      </c>
      <c r="AD943">
        <v>0</v>
      </c>
      <c r="AF943" t="s">
        <v>2090</v>
      </c>
    </row>
    <row r="944" spans="1:32" x14ac:dyDescent="0.3">
      <c r="A944">
        <v>901</v>
      </c>
      <c r="B944" t="s">
        <v>2091</v>
      </c>
      <c r="C944">
        <v>40</v>
      </c>
      <c r="D944" t="s">
        <v>256</v>
      </c>
      <c r="E944" t="s">
        <v>332</v>
      </c>
      <c r="F944">
        <v>12</v>
      </c>
      <c r="G944">
        <v>0</v>
      </c>
      <c r="H944">
        <v>0</v>
      </c>
      <c r="I944">
        <v>0</v>
      </c>
      <c r="J944">
        <v>0</v>
      </c>
      <c r="K944">
        <v>14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>
        <v>0</v>
      </c>
      <c r="V944" s="2">
        <v>29.290277777777778</v>
      </c>
      <c r="W944" s="2">
        <v>2.4409722222222223</v>
      </c>
      <c r="X944">
        <v>0</v>
      </c>
      <c r="Y944">
        <v>0</v>
      </c>
      <c r="AA944">
        <v>0</v>
      </c>
      <c r="AB944">
        <v>0</v>
      </c>
      <c r="AC944">
        <v>0</v>
      </c>
      <c r="AD944">
        <v>6</v>
      </c>
      <c r="AF944" t="s">
        <v>2092</v>
      </c>
    </row>
    <row r="945" spans="1:32" x14ac:dyDescent="0.3">
      <c r="A945">
        <v>902</v>
      </c>
      <c r="B945" t="s">
        <v>2093</v>
      </c>
      <c r="C945">
        <v>23</v>
      </c>
      <c r="D945" t="s">
        <v>150</v>
      </c>
      <c r="E945" t="s">
        <v>380</v>
      </c>
      <c r="F945">
        <v>3</v>
      </c>
      <c r="G945">
        <v>0</v>
      </c>
      <c r="H945">
        <v>0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2</v>
      </c>
      <c r="V945" s="2">
        <v>1.0131944444444445</v>
      </c>
      <c r="W945" s="3">
        <v>0.33750000000000002</v>
      </c>
      <c r="X945">
        <v>5</v>
      </c>
      <c r="Y945">
        <v>8</v>
      </c>
      <c r="Z945">
        <v>38.5</v>
      </c>
      <c r="AA945">
        <v>0</v>
      </c>
      <c r="AB945">
        <v>7</v>
      </c>
      <c r="AC945">
        <v>0</v>
      </c>
      <c r="AD945">
        <v>2</v>
      </c>
      <c r="AF945" t="s">
        <v>2094</v>
      </c>
    </row>
    <row r="946" spans="1:32" x14ac:dyDescent="0.3">
      <c r="A946">
        <v>903</v>
      </c>
      <c r="B946" t="s">
        <v>2095</v>
      </c>
      <c r="C946">
        <v>33</v>
      </c>
      <c r="D946" t="s">
        <v>188</v>
      </c>
      <c r="E946" t="s">
        <v>332</v>
      </c>
      <c r="F946">
        <v>19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  <c r="V946" s="2">
        <v>48.024305555555557</v>
      </c>
      <c r="W946" s="2">
        <v>2.5277777777777777</v>
      </c>
      <c r="X946">
        <v>0</v>
      </c>
      <c r="Y946">
        <v>0</v>
      </c>
      <c r="AA946">
        <v>0</v>
      </c>
      <c r="AB946">
        <v>0</v>
      </c>
      <c r="AC946">
        <v>0</v>
      </c>
      <c r="AD946">
        <v>16</v>
      </c>
      <c r="AF946" t="s">
        <v>2096</v>
      </c>
    </row>
    <row r="947" spans="1:32" x14ac:dyDescent="0.3">
      <c r="A947">
        <v>904</v>
      </c>
      <c r="B947" t="s">
        <v>2097</v>
      </c>
      <c r="C947">
        <v>22</v>
      </c>
      <c r="D947" t="s">
        <v>204</v>
      </c>
      <c r="E947" t="s">
        <v>95</v>
      </c>
      <c r="F947">
        <v>3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2</v>
      </c>
      <c r="T947">
        <v>0</v>
      </c>
      <c r="U947">
        <v>6</v>
      </c>
      <c r="V947" s="2">
        <v>1.2236111111111112</v>
      </c>
      <c r="W947" s="3">
        <v>0.40763888888888888</v>
      </c>
      <c r="X947">
        <v>0</v>
      </c>
      <c r="Y947">
        <v>0</v>
      </c>
      <c r="AA947">
        <v>0</v>
      </c>
      <c r="AB947">
        <v>6</v>
      </c>
      <c r="AC947">
        <v>0</v>
      </c>
      <c r="AD947">
        <v>3</v>
      </c>
      <c r="AF947" t="s">
        <v>2098</v>
      </c>
    </row>
    <row r="948" spans="1:32" x14ac:dyDescent="0.3">
      <c r="A948">
        <v>905</v>
      </c>
      <c r="B948" t="s">
        <v>2099</v>
      </c>
      <c r="C948">
        <v>21</v>
      </c>
      <c r="D948" t="s">
        <v>130</v>
      </c>
      <c r="E948" t="s">
        <v>87</v>
      </c>
      <c r="F948">
        <v>4</v>
      </c>
      <c r="G948">
        <v>0</v>
      </c>
      <c r="H948">
        <v>0</v>
      </c>
      <c r="I948">
        <v>0</v>
      </c>
      <c r="J948">
        <v>-4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</v>
      </c>
      <c r="T948">
        <v>0</v>
      </c>
      <c r="U948">
        <v>7</v>
      </c>
      <c r="V948" s="2">
        <v>2.4548611111111112</v>
      </c>
      <c r="W948" s="3">
        <v>0.61388888888888893</v>
      </c>
      <c r="X948">
        <v>0</v>
      </c>
      <c r="Y948">
        <v>0</v>
      </c>
      <c r="AA948">
        <v>5</v>
      </c>
      <c r="AB948">
        <v>5</v>
      </c>
      <c r="AC948">
        <v>0</v>
      </c>
      <c r="AD948">
        <v>3</v>
      </c>
      <c r="AF948" t="s">
        <v>2100</v>
      </c>
    </row>
    <row r="949" spans="1:32" x14ac:dyDescent="0.3">
      <c r="A949">
        <v>906</v>
      </c>
      <c r="B949" t="s">
        <v>322</v>
      </c>
      <c r="C949">
        <v>30</v>
      </c>
      <c r="D949" t="s">
        <v>157</v>
      </c>
      <c r="E949" t="s">
        <v>332</v>
      </c>
      <c r="F949">
        <v>34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>
        <v>0</v>
      </c>
      <c r="V949" s="2">
        <v>82.750694444444449</v>
      </c>
      <c r="W949" s="2">
        <v>2.4340277777777777</v>
      </c>
      <c r="X949">
        <v>0</v>
      </c>
      <c r="Y949">
        <v>0</v>
      </c>
      <c r="AA949">
        <v>0</v>
      </c>
      <c r="AB949">
        <v>0</v>
      </c>
      <c r="AC949">
        <v>0</v>
      </c>
      <c r="AD949">
        <v>16</v>
      </c>
      <c r="AF949" t="s">
        <v>2101</v>
      </c>
    </row>
    <row r="950" spans="1:32" x14ac:dyDescent="0.3">
      <c r="A950">
        <v>907</v>
      </c>
      <c r="B950" t="s">
        <v>2102</v>
      </c>
      <c r="C950">
        <v>25</v>
      </c>
      <c r="D950" t="s">
        <v>409</v>
      </c>
      <c r="E950" t="s">
        <v>332</v>
      </c>
      <c r="F950">
        <v>22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>
        <v>0</v>
      </c>
      <c r="V950" s="2">
        <v>52.735416666666666</v>
      </c>
      <c r="W950" s="2">
        <v>2.3972222222222221</v>
      </c>
      <c r="X950">
        <v>0</v>
      </c>
      <c r="Y950">
        <v>0</v>
      </c>
      <c r="AA950">
        <v>0</v>
      </c>
      <c r="AB950">
        <v>0</v>
      </c>
      <c r="AC950">
        <v>0</v>
      </c>
      <c r="AD950">
        <v>6</v>
      </c>
      <c r="AF950" t="s">
        <v>2103</v>
      </c>
    </row>
    <row r="951" spans="1:32" x14ac:dyDescent="0.3">
      <c r="A951">
        <v>908</v>
      </c>
      <c r="B951" t="s">
        <v>2104</v>
      </c>
      <c r="C951">
        <v>30</v>
      </c>
      <c r="D951" t="s">
        <v>243</v>
      </c>
      <c r="E951" t="s">
        <v>332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>
        <v>0</v>
      </c>
      <c r="V951" s="2">
        <v>1.4909722222222221</v>
      </c>
      <c r="W951" s="2">
        <v>1.4909722222222221</v>
      </c>
      <c r="X951">
        <v>0</v>
      </c>
      <c r="Y951">
        <v>0</v>
      </c>
      <c r="AA951">
        <v>0</v>
      </c>
      <c r="AB951">
        <v>0</v>
      </c>
      <c r="AC951">
        <v>0</v>
      </c>
      <c r="AD951">
        <v>0</v>
      </c>
      <c r="AF951" t="s">
        <v>2105</v>
      </c>
    </row>
    <row r="952" spans="1:32" x14ac:dyDescent="0.3">
      <c r="A952">
        <v>909</v>
      </c>
      <c r="B952" t="s">
        <v>2106</v>
      </c>
      <c r="C952">
        <v>30</v>
      </c>
      <c r="D952" t="s">
        <v>256</v>
      </c>
      <c r="E952" t="s">
        <v>332</v>
      </c>
      <c r="F952">
        <v>34</v>
      </c>
      <c r="G952">
        <v>0</v>
      </c>
      <c r="H952">
        <v>0</v>
      </c>
      <c r="I952">
        <v>0</v>
      </c>
      <c r="J952">
        <v>0</v>
      </c>
      <c r="K952">
        <v>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</v>
      </c>
      <c r="T952">
        <v>0</v>
      </c>
      <c r="U952">
        <v>2</v>
      </c>
      <c r="V952" s="2">
        <v>83.583333333333329</v>
      </c>
      <c r="W952" s="2">
        <v>2.4583333333333335</v>
      </c>
      <c r="X952">
        <v>0</v>
      </c>
      <c r="Y952">
        <v>0</v>
      </c>
      <c r="AA952">
        <v>0</v>
      </c>
      <c r="AB952">
        <v>0</v>
      </c>
      <c r="AC952">
        <v>0</v>
      </c>
      <c r="AD952">
        <v>17</v>
      </c>
      <c r="AF952" t="s">
        <v>2107</v>
      </c>
    </row>
    <row r="953" spans="1:32" x14ac:dyDescent="0.3">
      <c r="A953">
        <v>910</v>
      </c>
      <c r="B953" t="s">
        <v>2108</v>
      </c>
      <c r="C953">
        <v>24</v>
      </c>
      <c r="D953" t="s">
        <v>103</v>
      </c>
      <c r="E953" t="s">
        <v>87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>
        <v>1</v>
      </c>
      <c r="V953" s="3">
        <v>0.44791666666666669</v>
      </c>
      <c r="W953" s="3">
        <v>0.44791666666666669</v>
      </c>
      <c r="X953">
        <v>0</v>
      </c>
      <c r="Y953">
        <v>0</v>
      </c>
      <c r="AA953">
        <v>1</v>
      </c>
      <c r="AB953">
        <v>4</v>
      </c>
      <c r="AC953">
        <v>0</v>
      </c>
      <c r="AD953">
        <v>0</v>
      </c>
      <c r="AF953" t="s">
        <v>2109</v>
      </c>
    </row>
    <row r="954" spans="1:32" x14ac:dyDescent="0.3">
      <c r="A954">
        <v>911</v>
      </c>
      <c r="B954" t="s">
        <v>2110</v>
      </c>
      <c r="C954">
        <v>27</v>
      </c>
      <c r="D954" t="s">
        <v>472</v>
      </c>
      <c r="E954" t="s">
        <v>332</v>
      </c>
      <c r="F954">
        <v>29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>
        <v>0</v>
      </c>
      <c r="V954" s="2">
        <v>69.534722222222229</v>
      </c>
      <c r="W954" s="2">
        <v>2.3979166666666667</v>
      </c>
      <c r="X954">
        <v>0</v>
      </c>
      <c r="Y954">
        <v>0</v>
      </c>
      <c r="AA954">
        <v>0</v>
      </c>
      <c r="AB954">
        <v>0</v>
      </c>
      <c r="AC954">
        <v>0</v>
      </c>
      <c r="AD954">
        <v>16</v>
      </c>
      <c r="AF954" t="s">
        <v>2111</v>
      </c>
    </row>
    <row r="955" spans="1:32" x14ac:dyDescent="0.3">
      <c r="A955">
        <v>911</v>
      </c>
      <c r="B955" t="s">
        <v>2110</v>
      </c>
      <c r="C955">
        <v>27</v>
      </c>
      <c r="D955" t="s">
        <v>250</v>
      </c>
      <c r="E955" t="s">
        <v>332</v>
      </c>
      <c r="F955">
        <v>23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>
        <v>0</v>
      </c>
      <c r="V955" s="2">
        <v>54.860416666666666</v>
      </c>
      <c r="W955" s="2">
        <v>2.3854166666666665</v>
      </c>
      <c r="X955">
        <v>0</v>
      </c>
      <c r="Y955">
        <v>0</v>
      </c>
      <c r="AA955">
        <v>0</v>
      </c>
      <c r="AB955">
        <v>0</v>
      </c>
      <c r="AC955">
        <v>0</v>
      </c>
      <c r="AD955">
        <v>10</v>
      </c>
      <c r="AF955" t="s">
        <v>2111</v>
      </c>
    </row>
    <row r="956" spans="1:32" x14ac:dyDescent="0.3">
      <c r="A956">
        <v>911</v>
      </c>
      <c r="B956" t="s">
        <v>2110</v>
      </c>
      <c r="C956">
        <v>27</v>
      </c>
      <c r="D956" t="s">
        <v>134</v>
      </c>
      <c r="E956" t="s">
        <v>332</v>
      </c>
      <c r="F956">
        <v>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>
        <v>0</v>
      </c>
      <c r="V956" s="2">
        <v>14.674305555555556</v>
      </c>
      <c r="W956" s="2">
        <v>2.4458333333333333</v>
      </c>
      <c r="X956">
        <v>0</v>
      </c>
      <c r="Y956">
        <v>0</v>
      </c>
      <c r="AA956">
        <v>0</v>
      </c>
      <c r="AB956">
        <v>0</v>
      </c>
      <c r="AC956">
        <v>0</v>
      </c>
      <c r="AD956">
        <v>6</v>
      </c>
      <c r="AF956" t="s">
        <v>2111</v>
      </c>
    </row>
    <row r="957" spans="1:32" x14ac:dyDescent="0.3">
      <c r="A957">
        <v>912</v>
      </c>
      <c r="B957" t="s">
        <v>285</v>
      </c>
      <c r="C957">
        <v>31</v>
      </c>
      <c r="D957" t="s">
        <v>72</v>
      </c>
      <c r="E957" t="s">
        <v>87</v>
      </c>
      <c r="F957">
        <v>5</v>
      </c>
      <c r="G957">
        <v>0</v>
      </c>
      <c r="H957">
        <v>0</v>
      </c>
      <c r="I957">
        <v>0</v>
      </c>
      <c r="J957">
        <v>-2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4</v>
      </c>
      <c r="T957">
        <v>0</v>
      </c>
      <c r="U957">
        <v>14</v>
      </c>
      <c r="V957" s="2">
        <v>3.6236111111111109</v>
      </c>
      <c r="W957" s="3">
        <v>0.72499999999999998</v>
      </c>
      <c r="X957">
        <v>0</v>
      </c>
      <c r="Y957">
        <v>0</v>
      </c>
      <c r="AA957">
        <v>8</v>
      </c>
      <c r="AB957">
        <v>0</v>
      </c>
      <c r="AC957">
        <v>5</v>
      </c>
      <c r="AD957">
        <v>6</v>
      </c>
      <c r="AF957" t="s">
        <v>2112</v>
      </c>
    </row>
    <row r="958" spans="1:32" x14ac:dyDescent="0.3">
      <c r="A958">
        <v>913</v>
      </c>
      <c r="B958" t="s">
        <v>2113</v>
      </c>
      <c r="C958">
        <v>26</v>
      </c>
      <c r="D958" t="s">
        <v>290</v>
      </c>
      <c r="E958" t="s">
        <v>332</v>
      </c>
      <c r="F958">
        <v>14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>
        <v>0</v>
      </c>
      <c r="V958" s="2">
        <v>33.62083333333333</v>
      </c>
      <c r="W958" s="2">
        <v>2.401388888888889</v>
      </c>
      <c r="X958">
        <v>0</v>
      </c>
      <c r="Y958">
        <v>0</v>
      </c>
      <c r="AA958">
        <v>0</v>
      </c>
      <c r="AB958">
        <v>0</v>
      </c>
      <c r="AC958">
        <v>0</v>
      </c>
      <c r="AD958">
        <v>4</v>
      </c>
      <c r="AF958" t="s">
        <v>2114</v>
      </c>
    </row>
    <row r="959" spans="1:32" x14ac:dyDescent="0.3">
      <c r="A959">
        <v>914</v>
      </c>
      <c r="B959" t="s">
        <v>2115</v>
      </c>
      <c r="C959">
        <v>30</v>
      </c>
      <c r="D959" t="s">
        <v>188</v>
      </c>
      <c r="E959" t="s">
        <v>332</v>
      </c>
      <c r="F959">
        <v>25</v>
      </c>
      <c r="G959">
        <v>0</v>
      </c>
      <c r="H959">
        <v>0</v>
      </c>
      <c r="I959">
        <v>0</v>
      </c>
      <c r="J959">
        <v>0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>
        <v>0</v>
      </c>
      <c r="V959" s="2">
        <v>62.356250000000003</v>
      </c>
      <c r="W959" s="2">
        <v>2.4944444444444445</v>
      </c>
      <c r="X959">
        <v>0</v>
      </c>
      <c r="Y959">
        <v>0</v>
      </c>
      <c r="AA959">
        <v>0</v>
      </c>
      <c r="AB959">
        <v>0</v>
      </c>
      <c r="AC959">
        <v>0</v>
      </c>
      <c r="AD959">
        <v>5</v>
      </c>
      <c r="AF959" t="s">
        <v>2116</v>
      </c>
    </row>
    <row r="960" spans="1:32" x14ac:dyDescent="0.3">
      <c r="A960">
        <v>915</v>
      </c>
      <c r="B960" t="s">
        <v>2117</v>
      </c>
      <c r="C960">
        <v>27</v>
      </c>
      <c r="D960" t="s">
        <v>250</v>
      </c>
      <c r="E960" t="s">
        <v>87</v>
      </c>
      <c r="F960">
        <v>4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4</v>
      </c>
      <c r="V960" s="2">
        <v>2.0055555555555555</v>
      </c>
      <c r="W960" s="3">
        <v>0.50138888888888888</v>
      </c>
      <c r="X960">
        <v>0</v>
      </c>
      <c r="Y960">
        <v>0</v>
      </c>
      <c r="AA960">
        <v>4</v>
      </c>
      <c r="AB960">
        <v>7</v>
      </c>
      <c r="AC960">
        <v>0</v>
      </c>
      <c r="AD960">
        <v>2</v>
      </c>
      <c r="AF960" t="s">
        <v>2118</v>
      </c>
    </row>
    <row r="961" spans="1:32" x14ac:dyDescent="0.3">
      <c r="A961">
        <v>916</v>
      </c>
      <c r="B961" t="s">
        <v>2119</v>
      </c>
      <c r="C961">
        <v>32</v>
      </c>
      <c r="D961" t="s">
        <v>150</v>
      </c>
      <c r="E961" t="s">
        <v>332</v>
      </c>
      <c r="F961">
        <v>13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>
        <v>0</v>
      </c>
      <c r="V961" s="2">
        <v>29.21736111111111</v>
      </c>
      <c r="W961" s="2">
        <v>2.2472222222222222</v>
      </c>
      <c r="X961">
        <v>0</v>
      </c>
      <c r="Y961">
        <v>0</v>
      </c>
      <c r="AA961">
        <v>0</v>
      </c>
      <c r="AB961">
        <v>0</v>
      </c>
      <c r="AC961">
        <v>0</v>
      </c>
      <c r="AD961">
        <v>1</v>
      </c>
      <c r="AF961" t="s">
        <v>2120</v>
      </c>
    </row>
    <row r="962" spans="1:32" x14ac:dyDescent="0.3">
      <c r="A962">
        <v>917</v>
      </c>
      <c r="B962" t="s">
        <v>2121</v>
      </c>
      <c r="C962">
        <v>22</v>
      </c>
      <c r="D962" t="s">
        <v>82</v>
      </c>
      <c r="E962" t="s">
        <v>101</v>
      </c>
      <c r="F962">
        <v>1</v>
      </c>
      <c r="G962">
        <v>0</v>
      </c>
      <c r="H962">
        <v>0</v>
      </c>
      <c r="I962">
        <v>0</v>
      </c>
      <c r="J962">
        <v>-1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>
        <v>0</v>
      </c>
      <c r="V962" s="3">
        <v>0.33611111111111114</v>
      </c>
      <c r="W962" s="3">
        <v>0.33611111111111114</v>
      </c>
      <c r="X962">
        <v>0</v>
      </c>
      <c r="Y962">
        <v>0</v>
      </c>
      <c r="AA962">
        <v>0</v>
      </c>
      <c r="AB962">
        <v>0</v>
      </c>
      <c r="AC962">
        <v>0</v>
      </c>
      <c r="AD962">
        <v>0</v>
      </c>
      <c r="AF962" t="s">
        <v>2122</v>
      </c>
    </row>
    <row r="963" spans="1:32" x14ac:dyDescent="0.3">
      <c r="A963">
        <v>918</v>
      </c>
      <c r="B963" t="s">
        <v>2123</v>
      </c>
      <c r="C963">
        <v>26</v>
      </c>
      <c r="D963" t="s">
        <v>164</v>
      </c>
      <c r="E963" t="s">
        <v>78</v>
      </c>
      <c r="F963">
        <v>16</v>
      </c>
      <c r="G963">
        <v>0</v>
      </c>
      <c r="H963">
        <v>0</v>
      </c>
      <c r="I963">
        <v>0</v>
      </c>
      <c r="J963">
        <v>-5</v>
      </c>
      <c r="K963">
        <v>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14</v>
      </c>
      <c r="T963">
        <v>0</v>
      </c>
      <c r="U963">
        <v>24</v>
      </c>
      <c r="V963" s="2">
        <v>4.7979166666666666</v>
      </c>
      <c r="W963" s="3">
        <v>0.3</v>
      </c>
      <c r="X963">
        <v>21</v>
      </c>
      <c r="Y963">
        <v>36</v>
      </c>
      <c r="Z963">
        <v>36.799999999999997</v>
      </c>
      <c r="AA963">
        <v>5</v>
      </c>
      <c r="AB963">
        <v>18</v>
      </c>
      <c r="AC963">
        <v>1</v>
      </c>
      <c r="AD963">
        <v>3</v>
      </c>
      <c r="AF963" t="s">
        <v>2124</v>
      </c>
    </row>
    <row r="964" spans="1:32" x14ac:dyDescent="0.3">
      <c r="A964">
        <v>919</v>
      </c>
      <c r="B964" t="s">
        <v>330</v>
      </c>
      <c r="C964">
        <v>27</v>
      </c>
      <c r="D964" t="s">
        <v>195</v>
      </c>
      <c r="E964" t="s">
        <v>332</v>
      </c>
      <c r="F964">
        <v>30</v>
      </c>
      <c r="G964">
        <v>0</v>
      </c>
      <c r="H964">
        <v>0</v>
      </c>
      <c r="I964">
        <v>0</v>
      </c>
      <c r="J964">
        <v>0</v>
      </c>
      <c r="K964">
        <v>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>
        <v>1</v>
      </c>
      <c r="V964" s="2">
        <v>73.816666666666663</v>
      </c>
      <c r="W964" s="2">
        <v>2.4604166666666667</v>
      </c>
      <c r="X964">
        <v>0</v>
      </c>
      <c r="Y964">
        <v>0</v>
      </c>
      <c r="AA964">
        <v>0</v>
      </c>
      <c r="AB964">
        <v>0</v>
      </c>
      <c r="AC964">
        <v>0</v>
      </c>
      <c r="AD964">
        <v>12</v>
      </c>
      <c r="AF964" t="s">
        <v>2125</v>
      </c>
    </row>
    <row r="965" spans="1:32" x14ac:dyDescent="0.3">
      <c r="A965">
        <v>920</v>
      </c>
      <c r="B965" t="s">
        <v>2126</v>
      </c>
      <c r="C965">
        <v>25</v>
      </c>
      <c r="D965" t="s">
        <v>243</v>
      </c>
      <c r="E965" t="s">
        <v>332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>
        <v>0</v>
      </c>
      <c r="V965" s="3">
        <v>0.72569444444444442</v>
      </c>
      <c r="W965" s="3">
        <v>0.72569444444444442</v>
      </c>
      <c r="X965">
        <v>0</v>
      </c>
      <c r="Y965">
        <v>0</v>
      </c>
      <c r="AA965">
        <v>0</v>
      </c>
      <c r="AB965">
        <v>0</v>
      </c>
      <c r="AC965">
        <v>0</v>
      </c>
      <c r="AD965">
        <v>0</v>
      </c>
      <c r="AF965" t="s">
        <v>2127</v>
      </c>
    </row>
    <row r="966" spans="1:32" x14ac:dyDescent="0.3">
      <c r="A966">
        <v>921</v>
      </c>
      <c r="B966" t="s">
        <v>2128</v>
      </c>
      <c r="C966">
        <v>26</v>
      </c>
      <c r="D966" t="s">
        <v>164</v>
      </c>
      <c r="E966" t="s">
        <v>332</v>
      </c>
      <c r="F966">
        <v>14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>
        <v>0</v>
      </c>
      <c r="V966" s="2">
        <v>33.774999999999999</v>
      </c>
      <c r="W966" s="2">
        <v>2.4125000000000001</v>
      </c>
      <c r="X966">
        <v>0</v>
      </c>
      <c r="Y966">
        <v>0</v>
      </c>
      <c r="AA966">
        <v>0</v>
      </c>
      <c r="AB966">
        <v>0</v>
      </c>
      <c r="AC966">
        <v>0</v>
      </c>
      <c r="AD966">
        <v>9</v>
      </c>
      <c r="AF966" t="s">
        <v>2129</v>
      </c>
    </row>
    <row r="967" spans="1:32" x14ac:dyDescent="0.3">
      <c r="A967">
        <v>922</v>
      </c>
      <c r="B967" t="s">
        <v>2130</v>
      </c>
      <c r="C967">
        <v>24</v>
      </c>
      <c r="D967" t="s">
        <v>150</v>
      </c>
      <c r="E967" t="s">
        <v>87</v>
      </c>
      <c r="F967">
        <v>4</v>
      </c>
      <c r="G967">
        <v>0</v>
      </c>
      <c r="H967">
        <v>0</v>
      </c>
      <c r="I967">
        <v>0</v>
      </c>
      <c r="J967">
        <v>-1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4</v>
      </c>
      <c r="T967">
        <v>0</v>
      </c>
      <c r="U967">
        <v>5</v>
      </c>
      <c r="V967" s="2">
        <v>2.4770833333333333</v>
      </c>
      <c r="W967" s="3">
        <v>0.61944444444444446</v>
      </c>
      <c r="X967">
        <v>0</v>
      </c>
      <c r="Y967">
        <v>0</v>
      </c>
      <c r="AA967">
        <v>4</v>
      </c>
      <c r="AB967">
        <v>3</v>
      </c>
      <c r="AC967">
        <v>0</v>
      </c>
      <c r="AD967">
        <v>1</v>
      </c>
      <c r="AF967" t="s">
        <v>2131</v>
      </c>
    </row>
    <row r="968" spans="1:32" x14ac:dyDescent="0.3">
      <c r="A968">
        <v>923</v>
      </c>
      <c r="B968" t="s">
        <v>2132</v>
      </c>
      <c r="C968">
        <v>25</v>
      </c>
      <c r="D968" t="s">
        <v>193</v>
      </c>
      <c r="E968" t="s">
        <v>332</v>
      </c>
      <c r="F968">
        <v>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>
        <v>0</v>
      </c>
      <c r="V968" s="2">
        <v>8.1993055555555561</v>
      </c>
      <c r="W968" s="2">
        <v>2.0499999999999998</v>
      </c>
      <c r="X968">
        <v>0</v>
      </c>
      <c r="Y968">
        <v>0</v>
      </c>
      <c r="AA968">
        <v>0</v>
      </c>
      <c r="AB968">
        <v>0</v>
      </c>
      <c r="AC968">
        <v>0</v>
      </c>
      <c r="AD968">
        <v>2</v>
      </c>
      <c r="AF968" t="s">
        <v>2133</v>
      </c>
    </row>
    <row r="969" spans="1:32" x14ac:dyDescent="0.3">
      <c r="A969">
        <v>924</v>
      </c>
      <c r="B969" t="s">
        <v>2134</v>
      </c>
      <c r="C969">
        <v>23</v>
      </c>
      <c r="D969" t="s">
        <v>310</v>
      </c>
      <c r="E969" t="s">
        <v>95</v>
      </c>
      <c r="F969">
        <v>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3</v>
      </c>
      <c r="V969" s="3">
        <v>0.87708333333333333</v>
      </c>
      <c r="W969" s="3">
        <v>0.43888888888888888</v>
      </c>
      <c r="X969">
        <v>0</v>
      </c>
      <c r="Y969">
        <v>0</v>
      </c>
      <c r="AA969">
        <v>2</v>
      </c>
      <c r="AB969">
        <v>1</v>
      </c>
      <c r="AC969">
        <v>1</v>
      </c>
      <c r="AD969">
        <v>1</v>
      </c>
      <c r="AF969" t="s">
        <v>2135</v>
      </c>
    </row>
    <row r="970" spans="1:32" x14ac:dyDescent="0.3">
      <c r="A970">
        <v>925</v>
      </c>
      <c r="B970" t="s">
        <v>2136</v>
      </c>
      <c r="C970">
        <v>32</v>
      </c>
      <c r="D970" t="s">
        <v>243</v>
      </c>
      <c r="E970" t="s">
        <v>332</v>
      </c>
      <c r="F970">
        <v>28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>
        <v>1</v>
      </c>
      <c r="V970" s="2">
        <v>69.410416666666663</v>
      </c>
      <c r="W970" s="2">
        <v>2.4791666666666665</v>
      </c>
      <c r="X970">
        <v>0</v>
      </c>
      <c r="Y970">
        <v>0</v>
      </c>
      <c r="AA970">
        <v>0</v>
      </c>
      <c r="AB970">
        <v>0</v>
      </c>
      <c r="AC970">
        <v>0</v>
      </c>
      <c r="AD970">
        <v>6</v>
      </c>
      <c r="AF970" t="s">
        <v>2137</v>
      </c>
    </row>
    <row r="971" spans="1:32" x14ac:dyDescent="0.3">
      <c r="A971">
        <v>926</v>
      </c>
      <c r="B971" t="s">
        <v>2138</v>
      </c>
      <c r="C971">
        <v>29</v>
      </c>
      <c r="D971" t="s">
        <v>195</v>
      </c>
      <c r="E971" t="s">
        <v>380</v>
      </c>
      <c r="F971">
        <v>10</v>
      </c>
      <c r="G971">
        <v>0</v>
      </c>
      <c r="H971">
        <v>0</v>
      </c>
      <c r="I971">
        <v>0</v>
      </c>
      <c r="J971">
        <v>-1</v>
      </c>
      <c r="K971">
        <v>30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11</v>
      </c>
      <c r="T971">
        <v>0</v>
      </c>
      <c r="U971">
        <v>21</v>
      </c>
      <c r="V971" s="2">
        <v>3.9604166666666667</v>
      </c>
      <c r="W971" s="3">
        <v>0.39583333333333331</v>
      </c>
      <c r="X971">
        <v>1</v>
      </c>
      <c r="Y971">
        <v>1</v>
      </c>
      <c r="Z971">
        <v>50</v>
      </c>
      <c r="AA971">
        <v>4</v>
      </c>
      <c r="AB971">
        <v>27</v>
      </c>
      <c r="AC971">
        <v>1</v>
      </c>
      <c r="AD971">
        <v>2</v>
      </c>
      <c r="AF971" t="s">
        <v>2139</v>
      </c>
    </row>
    <row r="972" spans="1:32" x14ac:dyDescent="0.3">
      <c r="A972">
        <v>927</v>
      </c>
      <c r="B972" t="s">
        <v>2140</v>
      </c>
      <c r="C972">
        <v>28</v>
      </c>
      <c r="D972" t="s">
        <v>278</v>
      </c>
      <c r="E972" t="s">
        <v>332</v>
      </c>
      <c r="F972">
        <v>26</v>
      </c>
      <c r="G972">
        <v>0</v>
      </c>
      <c r="H972">
        <v>0</v>
      </c>
      <c r="I972">
        <v>0</v>
      </c>
      <c r="J972">
        <v>0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>
        <v>0</v>
      </c>
      <c r="V972" s="2">
        <v>64.830555555555549</v>
      </c>
      <c r="W972" s="2">
        <v>2.4937499999999999</v>
      </c>
      <c r="X972">
        <v>0</v>
      </c>
      <c r="Y972">
        <v>0</v>
      </c>
      <c r="AA972">
        <v>0</v>
      </c>
      <c r="AB972">
        <v>0</v>
      </c>
      <c r="AC972">
        <v>0</v>
      </c>
      <c r="AD972">
        <v>7</v>
      </c>
      <c r="AF972" t="s">
        <v>2141</v>
      </c>
    </row>
    <row r="973" spans="1:32" x14ac:dyDescent="0.3">
      <c r="A973">
        <v>928</v>
      </c>
      <c r="B973" t="s">
        <v>319</v>
      </c>
      <c r="C973">
        <v>23</v>
      </c>
      <c r="D973" t="s">
        <v>109</v>
      </c>
      <c r="E973" t="s">
        <v>332</v>
      </c>
      <c r="F973">
        <v>18</v>
      </c>
      <c r="G973">
        <v>0</v>
      </c>
      <c r="H973">
        <v>0</v>
      </c>
      <c r="I973">
        <v>0</v>
      </c>
      <c r="J973">
        <v>0</v>
      </c>
      <c r="K973">
        <v>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>
        <v>0</v>
      </c>
      <c r="V973" s="2">
        <v>46.061805555555559</v>
      </c>
      <c r="W973" s="2">
        <v>2.5590277777777777</v>
      </c>
      <c r="X973">
        <v>0</v>
      </c>
      <c r="Y973">
        <v>0</v>
      </c>
      <c r="AA973">
        <v>0</v>
      </c>
      <c r="AB973">
        <v>0</v>
      </c>
      <c r="AC973">
        <v>0</v>
      </c>
      <c r="AD973">
        <v>10</v>
      </c>
      <c r="AF973" t="s">
        <v>2142</v>
      </c>
    </row>
    <row r="974" spans="1:32" x14ac:dyDescent="0.3">
      <c r="A974">
        <v>929</v>
      </c>
      <c r="B974" t="s">
        <v>2143</v>
      </c>
      <c r="C974">
        <v>24</v>
      </c>
      <c r="D974" t="s">
        <v>113</v>
      </c>
      <c r="E974" t="s">
        <v>380</v>
      </c>
      <c r="F974">
        <v>1</v>
      </c>
      <c r="G974">
        <v>0</v>
      </c>
      <c r="H974">
        <v>0</v>
      </c>
      <c r="I974">
        <v>0</v>
      </c>
      <c r="J974">
        <v>-1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>
        <v>0</v>
      </c>
      <c r="V974" s="3">
        <v>0.43333333333333335</v>
      </c>
      <c r="W974" s="3">
        <v>0.43333333333333335</v>
      </c>
      <c r="X974">
        <v>3</v>
      </c>
      <c r="Y974">
        <v>5</v>
      </c>
      <c r="Z974">
        <v>37.5</v>
      </c>
      <c r="AA974">
        <v>0</v>
      </c>
      <c r="AB974">
        <v>1</v>
      </c>
      <c r="AC974">
        <v>0</v>
      </c>
      <c r="AD974">
        <v>1</v>
      </c>
      <c r="AF974" t="s">
        <v>2144</v>
      </c>
    </row>
    <row r="975" spans="1:32" x14ac:dyDescent="0.3">
      <c r="A975">
        <v>930</v>
      </c>
      <c r="B975" t="s">
        <v>2145</v>
      </c>
      <c r="C975">
        <v>24</v>
      </c>
      <c r="D975" t="s">
        <v>82</v>
      </c>
      <c r="E975" t="s">
        <v>332</v>
      </c>
      <c r="F975">
        <v>35</v>
      </c>
      <c r="G975">
        <v>0</v>
      </c>
      <c r="H975">
        <v>0</v>
      </c>
      <c r="I975">
        <v>0</v>
      </c>
      <c r="J975">
        <v>0</v>
      </c>
      <c r="K975">
        <v>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>
        <v>0</v>
      </c>
      <c r="V975" s="2">
        <v>80.756944444444443</v>
      </c>
      <c r="W975" s="2">
        <v>2.307638888888889</v>
      </c>
      <c r="X975">
        <v>0</v>
      </c>
      <c r="Y975">
        <v>0</v>
      </c>
      <c r="AA975">
        <v>0</v>
      </c>
      <c r="AB975">
        <v>0</v>
      </c>
      <c r="AC975">
        <v>0</v>
      </c>
      <c r="AD975">
        <v>18</v>
      </c>
      <c r="AF975" t="s">
        <v>2146</v>
      </c>
    </row>
    <row r="976" spans="1:32" x14ac:dyDescent="0.3">
      <c r="A976">
        <v>931</v>
      </c>
      <c r="B976" t="s">
        <v>2147</v>
      </c>
      <c r="C976">
        <v>27</v>
      </c>
      <c r="D976" t="s">
        <v>150</v>
      </c>
      <c r="E976" t="s">
        <v>332</v>
      </c>
      <c r="F976">
        <v>16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>
        <v>0</v>
      </c>
      <c r="V976" s="2">
        <v>37.127083333333331</v>
      </c>
      <c r="W976" s="2">
        <v>2.3201388888888888</v>
      </c>
      <c r="X976">
        <v>0</v>
      </c>
      <c r="Y976">
        <v>0</v>
      </c>
      <c r="AA976">
        <v>0</v>
      </c>
      <c r="AB976">
        <v>0</v>
      </c>
      <c r="AC976">
        <v>0</v>
      </c>
      <c r="AD976">
        <v>8</v>
      </c>
      <c r="AF976" t="s">
        <v>2148</v>
      </c>
    </row>
    <row r="977" spans="1:32" x14ac:dyDescent="0.3">
      <c r="A977">
        <v>932</v>
      </c>
      <c r="B977" t="s">
        <v>2149</v>
      </c>
      <c r="C977">
        <v>22</v>
      </c>
      <c r="D977" t="s">
        <v>130</v>
      </c>
      <c r="E977" t="s">
        <v>78</v>
      </c>
      <c r="F977">
        <v>2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>
        <v>3</v>
      </c>
      <c r="V977" s="3">
        <v>0.72361111111111109</v>
      </c>
      <c r="W977" s="3">
        <v>0.36180555555555555</v>
      </c>
      <c r="X977">
        <v>4</v>
      </c>
      <c r="Y977">
        <v>6</v>
      </c>
      <c r="Z977">
        <v>40</v>
      </c>
      <c r="AA977">
        <v>2</v>
      </c>
      <c r="AB977">
        <v>1</v>
      </c>
      <c r="AC977">
        <v>0</v>
      </c>
      <c r="AD977">
        <v>0</v>
      </c>
      <c r="AF977" t="s">
        <v>2150</v>
      </c>
    </row>
    <row r="978" spans="1:32" x14ac:dyDescent="0.3">
      <c r="B978" t="s">
        <v>2151</v>
      </c>
      <c r="T978">
        <v>10.9</v>
      </c>
      <c r="W978" s="3">
        <v>0.78263888888888888</v>
      </c>
      <c r="Z978">
        <v>50</v>
      </c>
      <c r="AF978">
        <v>-9999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EC70-F3D8-456A-B221-2763E5D397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55B7-A511-4A5A-A553-1C8EC6B33AB3}">
  <dimension ref="A1:BS88"/>
  <sheetViews>
    <sheetView workbookViewId="0">
      <selection activeCell="P35" sqref="P35"/>
    </sheetView>
  </sheetViews>
  <sheetFormatPr defaultRowHeight="14.4" x14ac:dyDescent="0.3"/>
  <sheetData>
    <row r="1" spans="1: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">
      <c r="A2" t="s">
        <v>71</v>
      </c>
      <c r="B2">
        <v>20260108</v>
      </c>
      <c r="C2">
        <v>3</v>
      </c>
      <c r="D2" t="s">
        <v>72</v>
      </c>
      <c r="E2">
        <v>5630</v>
      </c>
      <c r="F2" t="s">
        <v>73</v>
      </c>
      <c r="G2" t="s">
        <v>74</v>
      </c>
      <c r="H2">
        <v>28</v>
      </c>
      <c r="I2" t="s">
        <v>75</v>
      </c>
      <c r="J2">
        <v>176</v>
      </c>
      <c r="K2" t="s">
        <v>76</v>
      </c>
      <c r="L2" t="s">
        <v>77</v>
      </c>
      <c r="M2" t="b">
        <v>0</v>
      </c>
      <c r="N2" t="s">
        <v>78</v>
      </c>
      <c r="O2">
        <v>43</v>
      </c>
      <c r="P2">
        <v>17</v>
      </c>
      <c r="Q2">
        <v>26</v>
      </c>
      <c r="R2">
        <v>43</v>
      </c>
      <c r="S2">
        <v>2.37</v>
      </c>
      <c r="T2">
        <v>0.6</v>
      </c>
      <c r="U2">
        <v>0.4</v>
      </c>
      <c r="V2">
        <v>1</v>
      </c>
      <c r="W2">
        <v>15.9</v>
      </c>
      <c r="X2">
        <v>13.9</v>
      </c>
      <c r="Y2">
        <v>5</v>
      </c>
      <c r="Z2">
        <v>4</v>
      </c>
      <c r="AA2">
        <v>8</v>
      </c>
      <c r="AB2">
        <v>12</v>
      </c>
      <c r="AC2">
        <v>1</v>
      </c>
      <c r="AD2">
        <v>1</v>
      </c>
      <c r="AE2">
        <v>2</v>
      </c>
      <c r="AF2">
        <v>2</v>
      </c>
      <c r="AG2">
        <v>0</v>
      </c>
      <c r="AH2">
        <v>1</v>
      </c>
      <c r="AI2">
        <v>2</v>
      </c>
      <c r="AJ2">
        <v>1</v>
      </c>
      <c r="AK2">
        <v>0</v>
      </c>
      <c r="AL2">
        <v>0</v>
      </c>
      <c r="AM2">
        <v>6</v>
      </c>
      <c r="AN2">
        <v>218</v>
      </c>
      <c r="AO2">
        <v>102</v>
      </c>
      <c r="AP2">
        <v>16.7</v>
      </c>
      <c r="AQ2">
        <v>16</v>
      </c>
      <c r="AR2">
        <v>43</v>
      </c>
      <c r="AS2">
        <v>73</v>
      </c>
      <c r="AT2">
        <v>37</v>
      </c>
      <c r="AU2">
        <v>36</v>
      </c>
      <c r="AV2">
        <v>54</v>
      </c>
      <c r="AW2">
        <v>19</v>
      </c>
      <c r="AX2">
        <v>677</v>
      </c>
      <c r="AY2">
        <v>329</v>
      </c>
      <c r="AZ2">
        <v>348</v>
      </c>
      <c r="BA2">
        <v>48.6</v>
      </c>
      <c r="BB2">
        <v>9</v>
      </c>
      <c r="BC2">
        <v>18</v>
      </c>
      <c r="BD2">
        <v>10</v>
      </c>
      <c r="BE2">
        <v>20</v>
      </c>
      <c r="BF2">
        <v>0</v>
      </c>
      <c r="BG2">
        <v>974</v>
      </c>
      <c r="BH2">
        <v>441</v>
      </c>
      <c r="BI2">
        <v>189</v>
      </c>
      <c r="BJ2">
        <v>361</v>
      </c>
      <c r="BK2">
        <v>51227</v>
      </c>
      <c r="BL2">
        <v>10330</v>
      </c>
      <c r="BM2">
        <v>3183</v>
      </c>
      <c r="BN2">
        <v>37714</v>
      </c>
      <c r="BO2" t="s">
        <v>72</v>
      </c>
      <c r="BP2" t="s">
        <v>79</v>
      </c>
      <c r="BQ2" t="s">
        <v>80</v>
      </c>
      <c r="BR2" t="s">
        <v>76</v>
      </c>
      <c r="BS2" t="s">
        <v>81</v>
      </c>
    </row>
    <row r="3" spans="1:71" x14ac:dyDescent="0.3">
      <c r="A3" t="s">
        <v>71</v>
      </c>
      <c r="B3">
        <v>20260108</v>
      </c>
      <c r="C3">
        <v>23</v>
      </c>
      <c r="D3" t="s">
        <v>82</v>
      </c>
      <c r="E3">
        <v>5647</v>
      </c>
      <c r="F3" t="s">
        <v>83</v>
      </c>
      <c r="G3" t="s">
        <v>74</v>
      </c>
      <c r="H3">
        <v>29</v>
      </c>
      <c r="I3" t="s">
        <v>84</v>
      </c>
      <c r="J3">
        <v>214</v>
      </c>
      <c r="K3" t="s">
        <v>85</v>
      </c>
      <c r="L3" t="s">
        <v>86</v>
      </c>
      <c r="M3" t="b">
        <v>0</v>
      </c>
      <c r="N3" t="s">
        <v>87</v>
      </c>
      <c r="O3">
        <v>43</v>
      </c>
      <c r="P3">
        <v>9</v>
      </c>
      <c r="Q3">
        <v>18</v>
      </c>
      <c r="R3">
        <v>27</v>
      </c>
      <c r="S3">
        <v>2.4</v>
      </c>
      <c r="T3">
        <v>0.42</v>
      </c>
      <c r="U3">
        <v>0.21</v>
      </c>
      <c r="V3">
        <v>0.63</v>
      </c>
      <c r="W3">
        <v>49.6</v>
      </c>
      <c r="X3">
        <v>32.1</v>
      </c>
      <c r="Y3">
        <v>3</v>
      </c>
      <c r="Z3">
        <v>3</v>
      </c>
      <c r="AA3">
        <v>5</v>
      </c>
      <c r="AB3">
        <v>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0</v>
      </c>
      <c r="AL3">
        <v>0</v>
      </c>
      <c r="AM3">
        <v>2</v>
      </c>
      <c r="AN3">
        <v>239</v>
      </c>
      <c r="AO3">
        <v>103</v>
      </c>
      <c r="AP3">
        <v>8.6999999999999993</v>
      </c>
      <c r="AQ3">
        <v>80</v>
      </c>
      <c r="AR3">
        <v>75</v>
      </c>
      <c r="AS3">
        <v>61</v>
      </c>
      <c r="AT3">
        <v>23</v>
      </c>
      <c r="AU3">
        <v>61</v>
      </c>
      <c r="AV3">
        <v>60</v>
      </c>
      <c r="AW3">
        <v>17</v>
      </c>
      <c r="AX3">
        <v>0</v>
      </c>
      <c r="AY3">
        <v>0</v>
      </c>
      <c r="AZ3">
        <v>0</v>
      </c>
      <c r="BA3">
        <v>0</v>
      </c>
      <c r="BB3">
        <v>19</v>
      </c>
      <c r="BC3">
        <v>46</v>
      </c>
      <c r="BD3">
        <v>14</v>
      </c>
      <c r="BE3">
        <v>28</v>
      </c>
      <c r="BF3">
        <v>0</v>
      </c>
      <c r="BG3">
        <v>1448</v>
      </c>
      <c r="BH3">
        <v>666</v>
      </c>
      <c r="BI3">
        <v>312</v>
      </c>
      <c r="BJ3">
        <v>480</v>
      </c>
      <c r="BK3">
        <v>62325</v>
      </c>
      <c r="BL3">
        <v>9188</v>
      </c>
      <c r="BM3">
        <v>4227</v>
      </c>
      <c r="BN3">
        <v>48872</v>
      </c>
      <c r="BO3" t="s">
        <v>82</v>
      </c>
      <c r="BP3" t="s">
        <v>88</v>
      </c>
      <c r="BQ3" t="s">
        <v>89</v>
      </c>
      <c r="BR3" t="s">
        <v>85</v>
      </c>
      <c r="BS3" t="s">
        <v>90</v>
      </c>
    </row>
    <row r="4" spans="1:71" x14ac:dyDescent="0.3">
      <c r="A4" t="s">
        <v>71</v>
      </c>
      <c r="B4">
        <v>20260108</v>
      </c>
      <c r="C4">
        <v>28</v>
      </c>
      <c r="D4" t="s">
        <v>91</v>
      </c>
      <c r="E4">
        <v>5505</v>
      </c>
      <c r="F4" t="s">
        <v>92</v>
      </c>
      <c r="G4" t="s">
        <v>74</v>
      </c>
      <c r="H4">
        <v>32</v>
      </c>
      <c r="I4" t="s">
        <v>93</v>
      </c>
      <c r="J4">
        <v>218</v>
      </c>
      <c r="K4" t="s">
        <v>76</v>
      </c>
      <c r="L4" t="s">
        <v>94</v>
      </c>
      <c r="M4" t="b">
        <v>0</v>
      </c>
      <c r="N4" t="s">
        <v>95</v>
      </c>
      <c r="O4">
        <v>41</v>
      </c>
      <c r="P4">
        <v>9</v>
      </c>
      <c r="Q4">
        <v>7</v>
      </c>
      <c r="R4">
        <v>16</v>
      </c>
      <c r="S4">
        <v>1.24</v>
      </c>
      <c r="T4">
        <v>0.17</v>
      </c>
      <c r="U4">
        <v>0.22</v>
      </c>
      <c r="V4">
        <v>0.39</v>
      </c>
      <c r="W4">
        <v>20.7</v>
      </c>
      <c r="X4">
        <v>17</v>
      </c>
      <c r="Y4">
        <v>3</v>
      </c>
      <c r="Z4">
        <v>1</v>
      </c>
      <c r="AA4">
        <v>0</v>
      </c>
      <c r="AB4">
        <v>1</v>
      </c>
      <c r="AC4">
        <v>3</v>
      </c>
      <c r="AD4">
        <v>1</v>
      </c>
      <c r="AE4">
        <v>4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5</v>
      </c>
      <c r="AN4">
        <v>108</v>
      </c>
      <c r="AO4">
        <v>51</v>
      </c>
      <c r="AP4">
        <v>17.600000000000001</v>
      </c>
      <c r="AQ4">
        <v>24</v>
      </c>
      <c r="AR4">
        <v>30</v>
      </c>
      <c r="AS4">
        <v>27</v>
      </c>
      <c r="AT4">
        <v>38</v>
      </c>
      <c r="AU4">
        <v>31</v>
      </c>
      <c r="AV4">
        <v>33</v>
      </c>
      <c r="AW4">
        <v>22</v>
      </c>
      <c r="AX4">
        <v>30</v>
      </c>
      <c r="AY4">
        <v>11</v>
      </c>
      <c r="AZ4">
        <v>19</v>
      </c>
      <c r="BA4">
        <v>36.700000000000003</v>
      </c>
      <c r="BB4">
        <v>11</v>
      </c>
      <c r="BC4">
        <v>22</v>
      </c>
      <c r="BD4">
        <v>3</v>
      </c>
      <c r="BE4">
        <v>6</v>
      </c>
      <c r="BF4">
        <v>0</v>
      </c>
      <c r="BG4">
        <v>761</v>
      </c>
      <c r="BH4">
        <v>352</v>
      </c>
      <c r="BI4">
        <v>219</v>
      </c>
      <c r="BJ4">
        <v>199</v>
      </c>
      <c r="BK4">
        <v>35072</v>
      </c>
      <c r="BL4">
        <v>6984</v>
      </c>
      <c r="BM4">
        <v>3962</v>
      </c>
      <c r="BN4">
        <v>24126</v>
      </c>
      <c r="BO4" t="s">
        <v>91</v>
      </c>
      <c r="BP4" t="s">
        <v>88</v>
      </c>
      <c r="BQ4" t="s">
        <v>89</v>
      </c>
      <c r="BR4" t="s">
        <v>76</v>
      </c>
      <c r="BS4" t="s">
        <v>96</v>
      </c>
    </row>
    <row r="5" spans="1:71" x14ac:dyDescent="0.3">
      <c r="A5" t="s">
        <v>71</v>
      </c>
      <c r="B5">
        <v>20260108</v>
      </c>
      <c r="C5">
        <v>7</v>
      </c>
      <c r="D5" t="s">
        <v>97</v>
      </c>
      <c r="E5">
        <v>13722</v>
      </c>
      <c r="F5" t="s">
        <v>98</v>
      </c>
      <c r="G5" t="s">
        <v>74</v>
      </c>
      <c r="H5">
        <v>27</v>
      </c>
      <c r="I5" t="s">
        <v>99</v>
      </c>
      <c r="J5">
        <v>175</v>
      </c>
      <c r="K5" t="s">
        <v>85</v>
      </c>
      <c r="L5" t="s">
        <v>100</v>
      </c>
      <c r="M5" t="b">
        <v>0</v>
      </c>
      <c r="N5" t="s">
        <v>101</v>
      </c>
      <c r="O5">
        <v>43</v>
      </c>
      <c r="P5">
        <v>9</v>
      </c>
      <c r="Q5">
        <v>24</v>
      </c>
      <c r="R5">
        <v>33</v>
      </c>
      <c r="S5">
        <v>2.35</v>
      </c>
      <c r="T5">
        <v>0.56000000000000005</v>
      </c>
      <c r="U5">
        <v>0.21</v>
      </c>
      <c r="V5">
        <v>0.77</v>
      </c>
      <c r="W5">
        <v>15.6</v>
      </c>
      <c r="X5">
        <v>6.2</v>
      </c>
      <c r="Y5">
        <v>3</v>
      </c>
      <c r="Z5">
        <v>3</v>
      </c>
      <c r="AA5">
        <v>9</v>
      </c>
      <c r="AB5">
        <v>12</v>
      </c>
      <c r="AC5">
        <v>1</v>
      </c>
      <c r="AD5">
        <v>0</v>
      </c>
      <c r="AE5">
        <v>1</v>
      </c>
      <c r="AF5">
        <v>2</v>
      </c>
      <c r="AG5">
        <v>0</v>
      </c>
      <c r="AH5">
        <v>1</v>
      </c>
      <c r="AI5">
        <v>3</v>
      </c>
      <c r="AJ5">
        <v>0</v>
      </c>
      <c r="AK5">
        <v>3</v>
      </c>
      <c r="AL5">
        <v>100</v>
      </c>
      <c r="AM5">
        <v>-11</v>
      </c>
      <c r="AN5">
        <v>200</v>
      </c>
      <c r="AO5">
        <v>101</v>
      </c>
      <c r="AP5">
        <v>8.9</v>
      </c>
      <c r="AQ5">
        <v>14</v>
      </c>
      <c r="AR5">
        <v>47</v>
      </c>
      <c r="AS5">
        <v>52</v>
      </c>
      <c r="AT5">
        <v>41</v>
      </c>
      <c r="AU5">
        <v>29</v>
      </c>
      <c r="AV5">
        <v>39</v>
      </c>
      <c r="AW5">
        <v>17</v>
      </c>
      <c r="AX5">
        <v>3</v>
      </c>
      <c r="AY5">
        <v>1</v>
      </c>
      <c r="AZ5">
        <v>2</v>
      </c>
      <c r="BA5">
        <v>33.299999999999997</v>
      </c>
      <c r="BB5">
        <v>4</v>
      </c>
      <c r="BC5">
        <v>8</v>
      </c>
      <c r="BD5">
        <v>7</v>
      </c>
      <c r="BE5">
        <v>14</v>
      </c>
      <c r="BF5">
        <v>0</v>
      </c>
      <c r="BG5">
        <v>973</v>
      </c>
      <c r="BH5">
        <v>509</v>
      </c>
      <c r="BI5">
        <v>207</v>
      </c>
      <c r="BJ5">
        <v>268</v>
      </c>
      <c r="BK5">
        <v>49059</v>
      </c>
      <c r="BL5">
        <v>9186</v>
      </c>
      <c r="BM5">
        <v>3038</v>
      </c>
      <c r="BN5">
        <v>37045</v>
      </c>
      <c r="BO5" t="s">
        <v>97</v>
      </c>
      <c r="BP5" t="s">
        <v>79</v>
      </c>
      <c r="BQ5" t="s">
        <v>80</v>
      </c>
      <c r="BR5" t="s">
        <v>85</v>
      </c>
      <c r="BS5" t="s">
        <v>102</v>
      </c>
    </row>
    <row r="6" spans="1:71" x14ac:dyDescent="0.3">
      <c r="A6" t="s">
        <v>71</v>
      </c>
      <c r="B6">
        <v>20260108</v>
      </c>
      <c r="C6">
        <v>17</v>
      </c>
      <c r="D6" t="s">
        <v>103</v>
      </c>
      <c r="E6">
        <v>17150</v>
      </c>
      <c r="F6" t="s">
        <v>104</v>
      </c>
      <c r="G6" t="s">
        <v>74</v>
      </c>
      <c r="H6">
        <v>24</v>
      </c>
      <c r="I6" t="s">
        <v>105</v>
      </c>
      <c r="J6">
        <v>200</v>
      </c>
      <c r="K6" t="s">
        <v>85</v>
      </c>
      <c r="L6" t="s">
        <v>106</v>
      </c>
      <c r="M6" t="b">
        <v>1</v>
      </c>
      <c r="N6" t="s">
        <v>87</v>
      </c>
      <c r="O6">
        <v>44</v>
      </c>
      <c r="P6">
        <v>2</v>
      </c>
      <c r="Q6">
        <v>12</v>
      </c>
      <c r="R6">
        <v>14</v>
      </c>
      <c r="S6">
        <v>1.25</v>
      </c>
      <c r="T6">
        <v>0.27</v>
      </c>
      <c r="U6">
        <v>0.05</v>
      </c>
      <c r="V6">
        <v>0.32</v>
      </c>
      <c r="W6">
        <v>42.8</v>
      </c>
      <c r="X6">
        <v>3.1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-1</v>
      </c>
      <c r="AN6">
        <v>148</v>
      </c>
      <c r="AO6">
        <v>55</v>
      </c>
      <c r="AP6">
        <v>3.6</v>
      </c>
      <c r="AQ6">
        <v>70</v>
      </c>
      <c r="AR6">
        <v>59</v>
      </c>
      <c r="AS6">
        <v>34</v>
      </c>
      <c r="AT6">
        <v>17</v>
      </c>
      <c r="AU6">
        <v>84</v>
      </c>
      <c r="AV6">
        <v>61</v>
      </c>
      <c r="AW6">
        <v>12</v>
      </c>
      <c r="AX6">
        <v>0</v>
      </c>
      <c r="AY6">
        <v>0</v>
      </c>
      <c r="AZ6">
        <v>0</v>
      </c>
      <c r="BA6">
        <v>0</v>
      </c>
      <c r="BB6">
        <v>2</v>
      </c>
      <c r="BC6">
        <v>4</v>
      </c>
      <c r="BD6">
        <v>11</v>
      </c>
      <c r="BE6">
        <v>22</v>
      </c>
      <c r="BF6">
        <v>0</v>
      </c>
      <c r="BG6">
        <v>1235</v>
      </c>
      <c r="BH6">
        <v>758</v>
      </c>
      <c r="BI6">
        <v>250</v>
      </c>
      <c r="BJ6">
        <v>229</v>
      </c>
      <c r="BK6">
        <v>61413</v>
      </c>
      <c r="BL6">
        <v>9043</v>
      </c>
      <c r="BM6">
        <v>3492</v>
      </c>
      <c r="BN6">
        <v>48878</v>
      </c>
      <c r="BO6" t="s">
        <v>103</v>
      </c>
      <c r="BP6" t="s">
        <v>107</v>
      </c>
      <c r="BQ6" t="s">
        <v>89</v>
      </c>
      <c r="BR6" t="s">
        <v>85</v>
      </c>
      <c r="BS6" t="s">
        <v>108</v>
      </c>
    </row>
    <row r="7" spans="1:71" x14ac:dyDescent="0.3">
      <c r="A7" t="s">
        <v>71</v>
      </c>
      <c r="B7">
        <v>20260108</v>
      </c>
      <c r="C7">
        <v>25</v>
      </c>
      <c r="D7" t="s">
        <v>109</v>
      </c>
      <c r="E7">
        <v>5123</v>
      </c>
      <c r="F7" t="s">
        <v>110</v>
      </c>
      <c r="G7" t="s">
        <v>74</v>
      </c>
      <c r="H7">
        <v>32</v>
      </c>
      <c r="I7" t="s">
        <v>84</v>
      </c>
      <c r="J7">
        <v>194</v>
      </c>
      <c r="K7" t="s">
        <v>85</v>
      </c>
      <c r="L7" t="s">
        <v>111</v>
      </c>
      <c r="M7" t="b">
        <v>0</v>
      </c>
      <c r="N7" t="s">
        <v>87</v>
      </c>
      <c r="O7">
        <v>39</v>
      </c>
      <c r="P7">
        <v>3</v>
      </c>
      <c r="Q7">
        <v>11</v>
      </c>
      <c r="R7">
        <v>14</v>
      </c>
      <c r="S7">
        <v>0.97</v>
      </c>
      <c r="T7">
        <v>0.28000000000000003</v>
      </c>
      <c r="U7">
        <v>0.08</v>
      </c>
      <c r="V7">
        <v>0.36</v>
      </c>
      <c r="W7">
        <v>50.2</v>
      </c>
      <c r="X7">
        <v>6.2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16</v>
      </c>
      <c r="AN7">
        <v>100</v>
      </c>
      <c r="AO7">
        <v>38</v>
      </c>
      <c r="AP7">
        <v>7.9</v>
      </c>
      <c r="AQ7">
        <v>86</v>
      </c>
      <c r="AR7">
        <v>41</v>
      </c>
      <c r="AS7">
        <v>21</v>
      </c>
      <c r="AT7">
        <v>8</v>
      </c>
      <c r="AU7">
        <v>55</v>
      </c>
      <c r="AV7">
        <v>29</v>
      </c>
      <c r="AW7">
        <v>9</v>
      </c>
      <c r="AX7">
        <v>0</v>
      </c>
      <c r="AY7">
        <v>0</v>
      </c>
      <c r="AZ7">
        <v>0</v>
      </c>
      <c r="BA7">
        <v>0</v>
      </c>
      <c r="BB7">
        <v>4</v>
      </c>
      <c r="BC7">
        <v>8</v>
      </c>
      <c r="BD7">
        <v>8</v>
      </c>
      <c r="BE7">
        <v>16</v>
      </c>
      <c r="BF7">
        <v>0</v>
      </c>
      <c r="BG7">
        <v>961</v>
      </c>
      <c r="BH7">
        <v>546</v>
      </c>
      <c r="BI7">
        <v>208</v>
      </c>
      <c r="BJ7">
        <v>210</v>
      </c>
      <c r="BK7">
        <v>50352</v>
      </c>
      <c r="BL7">
        <v>8679</v>
      </c>
      <c r="BM7">
        <v>4712</v>
      </c>
      <c r="BN7">
        <v>36961</v>
      </c>
      <c r="BO7" t="s">
        <v>109</v>
      </c>
      <c r="BP7" t="s">
        <v>107</v>
      </c>
      <c r="BQ7" t="s">
        <v>89</v>
      </c>
      <c r="BR7" t="s">
        <v>85</v>
      </c>
      <c r="BS7" t="s">
        <v>112</v>
      </c>
    </row>
    <row r="8" spans="1:71" x14ac:dyDescent="0.3">
      <c r="A8" t="s">
        <v>71</v>
      </c>
      <c r="B8">
        <v>20260108</v>
      </c>
      <c r="C8">
        <v>29</v>
      </c>
      <c r="D8" t="s">
        <v>113</v>
      </c>
      <c r="E8">
        <v>111582</v>
      </c>
      <c r="F8" t="s">
        <v>114</v>
      </c>
      <c r="G8" t="s">
        <v>74</v>
      </c>
      <c r="H8">
        <v>21</v>
      </c>
      <c r="I8" t="s">
        <v>105</v>
      </c>
      <c r="J8">
        <v>198</v>
      </c>
      <c r="K8" t="s">
        <v>85</v>
      </c>
      <c r="L8" t="s">
        <v>111</v>
      </c>
      <c r="M8" t="b">
        <v>1</v>
      </c>
      <c r="N8" t="s">
        <v>78</v>
      </c>
      <c r="O8">
        <v>42</v>
      </c>
      <c r="P8">
        <v>17</v>
      </c>
      <c r="Q8">
        <v>25</v>
      </c>
      <c r="R8">
        <v>42</v>
      </c>
      <c r="S8">
        <v>2.38</v>
      </c>
      <c r="T8">
        <v>0.6</v>
      </c>
      <c r="U8">
        <v>0.4</v>
      </c>
      <c r="V8">
        <v>1</v>
      </c>
      <c r="W8">
        <v>9.8000000000000007</v>
      </c>
      <c r="X8">
        <v>17.8</v>
      </c>
      <c r="Y8">
        <v>5</v>
      </c>
      <c r="Z8">
        <v>3</v>
      </c>
      <c r="AA8">
        <v>9</v>
      </c>
      <c r="AB8">
        <v>12</v>
      </c>
      <c r="AC8">
        <v>2</v>
      </c>
      <c r="AD8">
        <v>1</v>
      </c>
      <c r="AE8">
        <v>3</v>
      </c>
      <c r="AF8">
        <v>3</v>
      </c>
      <c r="AG8">
        <v>0</v>
      </c>
      <c r="AH8">
        <v>1</v>
      </c>
      <c r="AI8">
        <v>4</v>
      </c>
      <c r="AJ8">
        <v>1</v>
      </c>
      <c r="AK8">
        <v>1</v>
      </c>
      <c r="AL8">
        <v>25</v>
      </c>
      <c r="AM8">
        <v>4</v>
      </c>
      <c r="AN8">
        <v>208</v>
      </c>
      <c r="AO8">
        <v>100</v>
      </c>
      <c r="AP8">
        <v>17</v>
      </c>
      <c r="AQ8">
        <v>15</v>
      </c>
      <c r="AR8">
        <v>52</v>
      </c>
      <c r="AS8">
        <v>56</v>
      </c>
      <c r="AT8">
        <v>7</v>
      </c>
      <c r="AU8">
        <v>31</v>
      </c>
      <c r="AV8">
        <v>48</v>
      </c>
      <c r="AW8">
        <v>18</v>
      </c>
      <c r="AX8">
        <v>658</v>
      </c>
      <c r="AY8">
        <v>298</v>
      </c>
      <c r="AZ8">
        <v>360</v>
      </c>
      <c r="BA8">
        <v>45.3</v>
      </c>
      <c r="BB8">
        <v>9</v>
      </c>
      <c r="BC8">
        <v>29</v>
      </c>
      <c r="BD8">
        <v>11</v>
      </c>
      <c r="BE8">
        <v>22</v>
      </c>
      <c r="BF8">
        <v>0</v>
      </c>
      <c r="BG8">
        <v>981</v>
      </c>
      <c r="BH8">
        <v>756</v>
      </c>
      <c r="BI8">
        <v>139</v>
      </c>
      <c r="BJ8">
        <v>104</v>
      </c>
      <c r="BK8">
        <v>49056</v>
      </c>
      <c r="BL8">
        <v>9602</v>
      </c>
      <c r="BM8">
        <v>1065</v>
      </c>
      <c r="BN8">
        <v>38678</v>
      </c>
      <c r="BO8" t="s">
        <v>113</v>
      </c>
      <c r="BP8" t="s">
        <v>88</v>
      </c>
      <c r="BQ8" t="s">
        <v>89</v>
      </c>
      <c r="BR8" t="s">
        <v>85</v>
      </c>
      <c r="BS8" t="s">
        <v>115</v>
      </c>
    </row>
    <row r="9" spans="1:71" x14ac:dyDescent="0.3">
      <c r="A9" t="s">
        <v>71</v>
      </c>
      <c r="B9">
        <v>20260108</v>
      </c>
      <c r="C9">
        <v>26</v>
      </c>
      <c r="D9" t="s">
        <v>116</v>
      </c>
      <c r="E9">
        <v>134157</v>
      </c>
      <c r="F9" t="s">
        <v>117</v>
      </c>
      <c r="G9" t="s">
        <v>74</v>
      </c>
      <c r="H9">
        <v>19</v>
      </c>
      <c r="I9" t="s">
        <v>75</v>
      </c>
      <c r="J9">
        <v>190</v>
      </c>
      <c r="K9" t="s">
        <v>118</v>
      </c>
      <c r="L9" t="s">
        <v>119</v>
      </c>
      <c r="M9" t="b">
        <v>1</v>
      </c>
      <c r="N9" t="s">
        <v>78</v>
      </c>
      <c r="O9">
        <v>43</v>
      </c>
      <c r="P9">
        <v>24</v>
      </c>
      <c r="Q9">
        <v>43</v>
      </c>
      <c r="R9">
        <v>67</v>
      </c>
      <c r="S9">
        <v>3.33</v>
      </c>
      <c r="T9">
        <v>1</v>
      </c>
      <c r="U9">
        <v>0.56000000000000005</v>
      </c>
      <c r="V9">
        <v>1.56</v>
      </c>
      <c r="W9">
        <v>18.8</v>
      </c>
      <c r="X9">
        <v>21.6</v>
      </c>
      <c r="Y9">
        <v>8</v>
      </c>
      <c r="Z9">
        <v>4</v>
      </c>
      <c r="AA9">
        <v>14</v>
      </c>
      <c r="AB9">
        <v>18</v>
      </c>
      <c r="AC9">
        <v>0</v>
      </c>
      <c r="AD9">
        <v>0</v>
      </c>
      <c r="AE9">
        <v>0</v>
      </c>
      <c r="AF9">
        <v>4</v>
      </c>
      <c r="AG9">
        <v>0</v>
      </c>
      <c r="AH9">
        <v>2</v>
      </c>
      <c r="AI9">
        <v>3</v>
      </c>
      <c r="AJ9">
        <v>0</v>
      </c>
      <c r="AK9">
        <v>1</v>
      </c>
      <c r="AL9">
        <v>33.33</v>
      </c>
      <c r="AM9">
        <v>17</v>
      </c>
      <c r="AN9">
        <v>271</v>
      </c>
      <c r="AO9">
        <v>143</v>
      </c>
      <c r="AP9">
        <v>16.8</v>
      </c>
      <c r="AQ9">
        <v>25</v>
      </c>
      <c r="AR9">
        <v>70</v>
      </c>
      <c r="AS9">
        <v>58</v>
      </c>
      <c r="AT9">
        <v>25</v>
      </c>
      <c r="AU9">
        <v>46</v>
      </c>
      <c r="AV9">
        <v>66</v>
      </c>
      <c r="AW9">
        <v>25</v>
      </c>
      <c r="AX9">
        <v>664</v>
      </c>
      <c r="AY9">
        <v>322</v>
      </c>
      <c r="AZ9">
        <v>342</v>
      </c>
      <c r="BA9">
        <v>48.5</v>
      </c>
      <c r="BB9">
        <v>14</v>
      </c>
      <c r="BC9">
        <v>28</v>
      </c>
      <c r="BD9">
        <v>22</v>
      </c>
      <c r="BE9">
        <v>46</v>
      </c>
      <c r="BF9">
        <v>0</v>
      </c>
      <c r="BG9">
        <v>914</v>
      </c>
      <c r="BH9">
        <v>683</v>
      </c>
      <c r="BI9">
        <v>83</v>
      </c>
      <c r="BJ9">
        <v>174</v>
      </c>
      <c r="BK9">
        <v>53791</v>
      </c>
      <c r="BL9">
        <v>10784</v>
      </c>
      <c r="BM9">
        <v>1411</v>
      </c>
      <c r="BN9">
        <v>41694</v>
      </c>
      <c r="BO9" t="s">
        <v>116</v>
      </c>
      <c r="BP9" t="s">
        <v>88</v>
      </c>
      <c r="BQ9" t="s">
        <v>89</v>
      </c>
      <c r="BR9" t="s">
        <v>118</v>
      </c>
      <c r="BS9" t="s">
        <v>120</v>
      </c>
    </row>
    <row r="10" spans="1:71" x14ac:dyDescent="0.3">
      <c r="A10" t="s">
        <v>71</v>
      </c>
      <c r="B10">
        <v>20260108</v>
      </c>
      <c r="C10">
        <v>1</v>
      </c>
      <c r="D10" t="s">
        <v>121</v>
      </c>
      <c r="E10">
        <v>14125</v>
      </c>
      <c r="F10" t="s">
        <v>122</v>
      </c>
      <c r="G10" t="s">
        <v>74</v>
      </c>
      <c r="H10">
        <v>28</v>
      </c>
      <c r="I10" t="s">
        <v>75</v>
      </c>
      <c r="J10">
        <v>193</v>
      </c>
      <c r="K10" t="s">
        <v>118</v>
      </c>
      <c r="L10" t="s">
        <v>123</v>
      </c>
      <c r="M10" t="b">
        <v>0</v>
      </c>
      <c r="N10" t="s">
        <v>78</v>
      </c>
      <c r="O10">
        <v>38</v>
      </c>
      <c r="P10">
        <v>12</v>
      </c>
      <c r="Q10">
        <v>13</v>
      </c>
      <c r="R10">
        <v>25</v>
      </c>
      <c r="S10">
        <v>1.92</v>
      </c>
      <c r="T10">
        <v>0.34</v>
      </c>
      <c r="U10">
        <v>0.32</v>
      </c>
      <c r="V10">
        <v>0.66</v>
      </c>
      <c r="W10">
        <v>17.899999999999999</v>
      </c>
      <c r="X10">
        <v>7.7</v>
      </c>
      <c r="Y10">
        <v>4</v>
      </c>
      <c r="Z10">
        <v>2</v>
      </c>
      <c r="AA10">
        <v>1</v>
      </c>
      <c r="AB10">
        <v>3</v>
      </c>
      <c r="AC10">
        <v>0</v>
      </c>
      <c r="AD10">
        <v>2</v>
      </c>
      <c r="AE10">
        <v>2</v>
      </c>
      <c r="AF10">
        <v>2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22</v>
      </c>
      <c r="AN10">
        <v>137</v>
      </c>
      <c r="AO10">
        <v>73</v>
      </c>
      <c r="AP10">
        <v>16.399999999999999</v>
      </c>
      <c r="AQ10">
        <v>23</v>
      </c>
      <c r="AR10">
        <v>23</v>
      </c>
      <c r="AS10">
        <v>41</v>
      </c>
      <c r="AT10">
        <v>26</v>
      </c>
      <c r="AU10">
        <v>30</v>
      </c>
      <c r="AV10">
        <v>25</v>
      </c>
      <c r="AW10">
        <v>17</v>
      </c>
      <c r="AX10">
        <v>590</v>
      </c>
      <c r="AY10">
        <v>283</v>
      </c>
      <c r="AZ10">
        <v>307</v>
      </c>
      <c r="BA10">
        <v>48</v>
      </c>
      <c r="BB10">
        <v>5</v>
      </c>
      <c r="BC10">
        <v>10</v>
      </c>
      <c r="BD10">
        <v>7</v>
      </c>
      <c r="BE10">
        <v>14</v>
      </c>
      <c r="BF10">
        <v>0</v>
      </c>
      <c r="BG10">
        <v>880</v>
      </c>
      <c r="BH10">
        <v>410</v>
      </c>
      <c r="BI10">
        <v>257</v>
      </c>
      <c r="BJ10">
        <v>225</v>
      </c>
      <c r="BK10">
        <v>41143</v>
      </c>
      <c r="BL10">
        <v>6808</v>
      </c>
      <c r="BM10">
        <v>4139</v>
      </c>
      <c r="BN10">
        <v>30116</v>
      </c>
      <c r="BO10" t="s">
        <v>121</v>
      </c>
      <c r="BP10" t="s">
        <v>124</v>
      </c>
      <c r="BQ10" t="s">
        <v>80</v>
      </c>
      <c r="BR10" t="s">
        <v>118</v>
      </c>
      <c r="BS10" t="s">
        <v>125</v>
      </c>
    </row>
    <row r="11" spans="1:71" x14ac:dyDescent="0.3">
      <c r="A11" t="s">
        <v>71</v>
      </c>
      <c r="B11">
        <v>20260108</v>
      </c>
      <c r="C11">
        <v>2</v>
      </c>
      <c r="D11" t="s">
        <v>126</v>
      </c>
      <c r="E11">
        <v>5612</v>
      </c>
      <c r="F11" t="s">
        <v>127</v>
      </c>
      <c r="G11" t="s">
        <v>74</v>
      </c>
      <c r="H11">
        <v>29</v>
      </c>
      <c r="I11" t="s">
        <v>84</v>
      </c>
      <c r="J11">
        <v>182</v>
      </c>
      <c r="K11" t="s">
        <v>128</v>
      </c>
      <c r="L11" t="s">
        <v>129</v>
      </c>
      <c r="M11" t="b">
        <v>0</v>
      </c>
      <c r="N11" t="s">
        <v>101</v>
      </c>
      <c r="O11">
        <v>41</v>
      </c>
      <c r="P11">
        <v>20</v>
      </c>
      <c r="Q11">
        <v>29</v>
      </c>
      <c r="R11">
        <v>49</v>
      </c>
      <c r="S11">
        <v>3.44</v>
      </c>
      <c r="T11">
        <v>0.71</v>
      </c>
      <c r="U11">
        <v>0.49</v>
      </c>
      <c r="V11">
        <v>1.2</v>
      </c>
      <c r="W11">
        <v>5.3</v>
      </c>
      <c r="X11">
        <v>6.2</v>
      </c>
      <c r="Y11">
        <v>6</v>
      </c>
      <c r="Z11">
        <v>3</v>
      </c>
      <c r="AA11">
        <v>8</v>
      </c>
      <c r="AB11">
        <v>11</v>
      </c>
      <c r="AC11">
        <v>1</v>
      </c>
      <c r="AD11">
        <v>1</v>
      </c>
      <c r="AE11">
        <v>2</v>
      </c>
      <c r="AF11">
        <v>1</v>
      </c>
      <c r="AG11">
        <v>0</v>
      </c>
      <c r="AH11">
        <v>1</v>
      </c>
      <c r="AI11">
        <v>2</v>
      </c>
      <c r="AJ11">
        <v>0</v>
      </c>
      <c r="AK11">
        <v>0</v>
      </c>
      <c r="AL11">
        <v>0</v>
      </c>
      <c r="AM11">
        <v>5</v>
      </c>
      <c r="AN11">
        <v>242</v>
      </c>
      <c r="AO11">
        <v>141</v>
      </c>
      <c r="AP11">
        <v>14.2</v>
      </c>
      <c r="AQ11">
        <v>6</v>
      </c>
      <c r="AR11">
        <v>55</v>
      </c>
      <c r="AS11">
        <v>46</v>
      </c>
      <c r="AT11">
        <v>10</v>
      </c>
      <c r="AU11">
        <v>25</v>
      </c>
      <c r="AV11">
        <v>32</v>
      </c>
      <c r="AW11">
        <v>9</v>
      </c>
      <c r="AX11">
        <v>0</v>
      </c>
      <c r="AY11">
        <v>0</v>
      </c>
      <c r="AZ11">
        <v>0</v>
      </c>
      <c r="BA11">
        <v>0</v>
      </c>
      <c r="BB11">
        <v>4</v>
      </c>
      <c r="BC11">
        <v>8</v>
      </c>
      <c r="BD11">
        <v>8</v>
      </c>
      <c r="BE11">
        <v>16</v>
      </c>
      <c r="BF11">
        <v>0</v>
      </c>
      <c r="BG11">
        <v>932</v>
      </c>
      <c r="BH11">
        <v>430</v>
      </c>
      <c r="BI11">
        <v>347</v>
      </c>
      <c r="BJ11">
        <v>175</v>
      </c>
      <c r="BK11">
        <v>51567</v>
      </c>
      <c r="BL11">
        <v>9917</v>
      </c>
      <c r="BM11">
        <v>9012</v>
      </c>
      <c r="BN11">
        <v>32638</v>
      </c>
      <c r="BO11" t="s">
        <v>130</v>
      </c>
      <c r="BP11" t="s">
        <v>131</v>
      </c>
      <c r="BQ11" t="s">
        <v>131</v>
      </c>
      <c r="BR11" t="s">
        <v>132</v>
      </c>
      <c r="BS11" t="s">
        <v>133</v>
      </c>
    </row>
    <row r="12" spans="1:71" x14ac:dyDescent="0.3">
      <c r="A12" t="s">
        <v>71</v>
      </c>
      <c r="B12">
        <v>20260108</v>
      </c>
      <c r="C12">
        <v>10</v>
      </c>
      <c r="D12" t="s">
        <v>134</v>
      </c>
      <c r="E12">
        <v>3490</v>
      </c>
      <c r="F12" t="s">
        <v>135</v>
      </c>
      <c r="G12" t="s">
        <v>74</v>
      </c>
      <c r="H12">
        <v>38</v>
      </c>
      <c r="I12" t="s">
        <v>136</v>
      </c>
      <c r="J12">
        <v>200</v>
      </c>
      <c r="K12" t="s">
        <v>118</v>
      </c>
      <c r="L12" t="s">
        <v>137</v>
      </c>
      <c r="M12" t="b">
        <v>0</v>
      </c>
      <c r="N12" t="s">
        <v>78</v>
      </c>
      <c r="O12">
        <v>41</v>
      </c>
      <c r="P12">
        <v>24</v>
      </c>
      <c r="Q12">
        <v>23</v>
      </c>
      <c r="R12">
        <v>47</v>
      </c>
      <c r="S12">
        <v>2.41</v>
      </c>
      <c r="T12">
        <v>0.56000000000000005</v>
      </c>
      <c r="U12">
        <v>0.59</v>
      </c>
      <c r="V12">
        <v>1.1499999999999999</v>
      </c>
      <c r="W12">
        <v>16.100000000000001</v>
      </c>
      <c r="X12">
        <v>19.8</v>
      </c>
      <c r="Y12">
        <v>8</v>
      </c>
      <c r="Z12">
        <v>9</v>
      </c>
      <c r="AA12">
        <v>7</v>
      </c>
      <c r="AB12">
        <v>16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1</v>
      </c>
      <c r="AI12">
        <v>5</v>
      </c>
      <c r="AJ12">
        <v>0</v>
      </c>
      <c r="AK12">
        <v>1</v>
      </c>
      <c r="AL12">
        <v>20</v>
      </c>
      <c r="AM12">
        <v>0</v>
      </c>
      <c r="AN12">
        <v>178</v>
      </c>
      <c r="AO12">
        <v>99</v>
      </c>
      <c r="AP12">
        <v>24.2</v>
      </c>
      <c r="AQ12">
        <v>17</v>
      </c>
      <c r="AR12">
        <v>39</v>
      </c>
      <c r="AS12">
        <v>40</v>
      </c>
      <c r="AT12">
        <v>35</v>
      </c>
      <c r="AU12">
        <v>24</v>
      </c>
      <c r="AV12">
        <v>46</v>
      </c>
      <c r="AW12">
        <v>13</v>
      </c>
      <c r="AX12">
        <v>854</v>
      </c>
      <c r="AY12">
        <v>478</v>
      </c>
      <c r="AZ12">
        <v>376</v>
      </c>
      <c r="BA12">
        <v>56</v>
      </c>
      <c r="BB12">
        <v>11</v>
      </c>
      <c r="BC12">
        <v>30</v>
      </c>
      <c r="BD12">
        <v>12</v>
      </c>
      <c r="BE12">
        <v>24</v>
      </c>
      <c r="BF12">
        <v>0</v>
      </c>
      <c r="BG12">
        <v>911</v>
      </c>
      <c r="BH12">
        <v>489</v>
      </c>
      <c r="BI12">
        <v>284</v>
      </c>
      <c r="BJ12">
        <v>162</v>
      </c>
      <c r="BK12">
        <v>48417</v>
      </c>
      <c r="BL12">
        <v>16567</v>
      </c>
      <c r="BM12">
        <v>6025</v>
      </c>
      <c r="BN12">
        <v>25942</v>
      </c>
      <c r="BO12" t="s">
        <v>134</v>
      </c>
      <c r="BP12" t="s">
        <v>79</v>
      </c>
      <c r="BQ12" t="s">
        <v>80</v>
      </c>
      <c r="BR12" t="s">
        <v>118</v>
      </c>
      <c r="BS12" t="s">
        <v>138</v>
      </c>
    </row>
    <row r="13" spans="1:71" x14ac:dyDescent="0.3">
      <c r="A13" t="s">
        <v>71</v>
      </c>
      <c r="B13">
        <v>20260108</v>
      </c>
      <c r="C13">
        <v>15</v>
      </c>
      <c r="D13" t="s">
        <v>139</v>
      </c>
      <c r="E13">
        <v>14524</v>
      </c>
      <c r="F13" t="s">
        <v>140</v>
      </c>
      <c r="G13" t="s">
        <v>74</v>
      </c>
      <c r="H13">
        <v>25</v>
      </c>
      <c r="I13" t="s">
        <v>105</v>
      </c>
      <c r="J13">
        <v>193</v>
      </c>
      <c r="K13" t="s">
        <v>85</v>
      </c>
      <c r="L13" t="s">
        <v>141</v>
      </c>
      <c r="M13" t="b">
        <v>0</v>
      </c>
      <c r="N13" t="s">
        <v>87</v>
      </c>
      <c r="O13">
        <v>37</v>
      </c>
      <c r="P13">
        <v>4</v>
      </c>
      <c r="Q13">
        <v>24</v>
      </c>
      <c r="R13">
        <v>28</v>
      </c>
      <c r="S13">
        <v>2.68</v>
      </c>
      <c r="T13">
        <v>0.65</v>
      </c>
      <c r="U13">
        <v>0.11</v>
      </c>
      <c r="V13">
        <v>0.76</v>
      </c>
      <c r="W13">
        <v>29.9</v>
      </c>
      <c r="X13">
        <v>24.8</v>
      </c>
      <c r="Y13">
        <v>1</v>
      </c>
      <c r="Z13">
        <v>2</v>
      </c>
      <c r="AA13">
        <v>8</v>
      </c>
      <c r="AB13">
        <v>10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-9</v>
      </c>
      <c r="AN13">
        <v>225</v>
      </c>
      <c r="AO13">
        <v>99</v>
      </c>
      <c r="AP13">
        <v>4</v>
      </c>
      <c r="AQ13">
        <v>43</v>
      </c>
      <c r="AR13">
        <v>78</v>
      </c>
      <c r="AS13">
        <v>48</v>
      </c>
      <c r="AT13">
        <v>30</v>
      </c>
      <c r="AU13">
        <v>58</v>
      </c>
      <c r="AV13">
        <v>64</v>
      </c>
      <c r="AW13">
        <v>17</v>
      </c>
      <c r="AX13">
        <v>0</v>
      </c>
      <c r="AY13">
        <v>0</v>
      </c>
      <c r="AZ13">
        <v>0</v>
      </c>
      <c r="BA13">
        <v>0</v>
      </c>
      <c r="BB13">
        <v>14</v>
      </c>
      <c r="BC13">
        <v>37</v>
      </c>
      <c r="BD13">
        <v>9</v>
      </c>
      <c r="BE13">
        <v>18</v>
      </c>
      <c r="BF13">
        <v>0</v>
      </c>
      <c r="BG13">
        <v>1011</v>
      </c>
      <c r="BH13">
        <v>585</v>
      </c>
      <c r="BI13">
        <v>148</v>
      </c>
      <c r="BJ13">
        <v>281</v>
      </c>
      <c r="BK13">
        <v>53574</v>
      </c>
      <c r="BL13">
        <v>7859</v>
      </c>
      <c r="BM13">
        <v>2502</v>
      </c>
      <c r="BN13">
        <v>43180</v>
      </c>
      <c r="BO13" t="s">
        <v>139</v>
      </c>
      <c r="BP13" t="s">
        <v>124</v>
      </c>
      <c r="BQ13" t="s">
        <v>80</v>
      </c>
      <c r="BR13" t="s">
        <v>85</v>
      </c>
      <c r="BS13" t="s">
        <v>142</v>
      </c>
    </row>
    <row r="14" spans="1:71" x14ac:dyDescent="0.3">
      <c r="A14" t="s">
        <v>71</v>
      </c>
      <c r="B14">
        <v>20260108</v>
      </c>
      <c r="C14">
        <v>28</v>
      </c>
      <c r="D14" t="s">
        <v>91</v>
      </c>
      <c r="E14">
        <v>4510</v>
      </c>
      <c r="F14" t="s">
        <v>143</v>
      </c>
      <c r="G14" t="s">
        <v>74</v>
      </c>
      <c r="H14">
        <v>36</v>
      </c>
      <c r="I14" t="s">
        <v>84</v>
      </c>
      <c r="J14">
        <v>202</v>
      </c>
      <c r="K14" t="s">
        <v>118</v>
      </c>
      <c r="L14" t="s">
        <v>144</v>
      </c>
      <c r="M14" t="b">
        <v>0</v>
      </c>
      <c r="N14" t="s">
        <v>87</v>
      </c>
      <c r="O14">
        <v>35</v>
      </c>
      <c r="P14">
        <v>3</v>
      </c>
      <c r="Q14">
        <v>10</v>
      </c>
      <c r="R14">
        <v>13</v>
      </c>
      <c r="S14">
        <v>1.51</v>
      </c>
      <c r="T14">
        <v>0.28999999999999998</v>
      </c>
      <c r="U14">
        <v>0.09</v>
      </c>
      <c r="V14">
        <v>0.37</v>
      </c>
      <c r="W14">
        <v>27.9</v>
      </c>
      <c r="X14">
        <v>15.4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5</v>
      </c>
      <c r="AN14">
        <v>138</v>
      </c>
      <c r="AO14">
        <v>53</v>
      </c>
      <c r="AP14">
        <v>5.7</v>
      </c>
      <c r="AQ14">
        <v>44</v>
      </c>
      <c r="AR14">
        <v>53</v>
      </c>
      <c r="AS14">
        <v>32</v>
      </c>
      <c r="AT14">
        <v>16</v>
      </c>
      <c r="AU14">
        <v>40</v>
      </c>
      <c r="AV14">
        <v>46</v>
      </c>
      <c r="AW14">
        <v>9</v>
      </c>
      <c r="AX14">
        <v>0</v>
      </c>
      <c r="AY14">
        <v>0</v>
      </c>
      <c r="AZ14">
        <v>0</v>
      </c>
      <c r="BA14">
        <v>0</v>
      </c>
      <c r="BB14">
        <v>10</v>
      </c>
      <c r="BC14">
        <v>20</v>
      </c>
      <c r="BD14">
        <v>3</v>
      </c>
      <c r="BE14">
        <v>6</v>
      </c>
      <c r="BF14">
        <v>0</v>
      </c>
      <c r="BG14">
        <v>878</v>
      </c>
      <c r="BH14">
        <v>459</v>
      </c>
      <c r="BI14">
        <v>190</v>
      </c>
      <c r="BJ14">
        <v>232</v>
      </c>
      <c r="BK14">
        <v>47668</v>
      </c>
      <c r="BL14">
        <v>11697</v>
      </c>
      <c r="BM14">
        <v>2864</v>
      </c>
      <c r="BN14">
        <v>33105</v>
      </c>
      <c r="BO14" t="s">
        <v>91</v>
      </c>
      <c r="BP14" t="s">
        <v>88</v>
      </c>
      <c r="BQ14" t="s">
        <v>89</v>
      </c>
      <c r="BR14" t="s">
        <v>118</v>
      </c>
      <c r="BS14" t="s">
        <v>96</v>
      </c>
    </row>
    <row r="15" spans="1:71" x14ac:dyDescent="0.3">
      <c r="A15" t="s">
        <v>71</v>
      </c>
      <c r="B15">
        <v>20260108</v>
      </c>
      <c r="C15">
        <v>142</v>
      </c>
      <c r="D15" t="s">
        <v>145</v>
      </c>
      <c r="E15">
        <v>5597</v>
      </c>
      <c r="F15" t="s">
        <v>146</v>
      </c>
      <c r="G15" t="s">
        <v>74</v>
      </c>
      <c r="H15">
        <v>29</v>
      </c>
      <c r="I15" t="s">
        <v>147</v>
      </c>
      <c r="J15">
        <v>203</v>
      </c>
      <c r="K15" t="s">
        <v>128</v>
      </c>
      <c r="L15" t="s">
        <v>148</v>
      </c>
      <c r="M15" t="b">
        <v>0</v>
      </c>
      <c r="N15" t="s">
        <v>78</v>
      </c>
      <c r="O15">
        <v>34</v>
      </c>
      <c r="P15">
        <v>12</v>
      </c>
      <c r="Q15">
        <v>31</v>
      </c>
      <c r="R15">
        <v>43</v>
      </c>
      <c r="S15">
        <v>3.65</v>
      </c>
      <c r="T15">
        <v>0.91</v>
      </c>
      <c r="U15">
        <v>0.35</v>
      </c>
      <c r="V15">
        <v>1.26</v>
      </c>
      <c r="W15">
        <v>16.899999999999999</v>
      </c>
      <c r="X15">
        <v>1.5</v>
      </c>
      <c r="Y15">
        <v>4</v>
      </c>
      <c r="Z15">
        <v>0</v>
      </c>
      <c r="AA15">
        <v>18</v>
      </c>
      <c r="AB15">
        <v>18</v>
      </c>
      <c r="AC15">
        <v>0</v>
      </c>
      <c r="AD15">
        <v>0</v>
      </c>
      <c r="AE15">
        <v>0</v>
      </c>
      <c r="AF15">
        <v>3</v>
      </c>
      <c r="AG15">
        <v>0</v>
      </c>
      <c r="AH15">
        <v>1</v>
      </c>
      <c r="AI15">
        <v>4</v>
      </c>
      <c r="AJ15">
        <v>0</v>
      </c>
      <c r="AK15">
        <v>0</v>
      </c>
      <c r="AL15">
        <v>0</v>
      </c>
      <c r="AM15">
        <v>2</v>
      </c>
      <c r="AN15">
        <v>213</v>
      </c>
      <c r="AO15">
        <v>124</v>
      </c>
      <c r="AP15">
        <v>9.6999999999999993</v>
      </c>
      <c r="AQ15">
        <v>23</v>
      </c>
      <c r="AR15">
        <v>44</v>
      </c>
      <c r="AS15">
        <v>45</v>
      </c>
      <c r="AT15">
        <v>21</v>
      </c>
      <c r="AU15">
        <v>15</v>
      </c>
      <c r="AV15">
        <v>58</v>
      </c>
      <c r="AW15">
        <v>17</v>
      </c>
      <c r="AX15">
        <v>535</v>
      </c>
      <c r="AY15">
        <v>255</v>
      </c>
      <c r="AZ15">
        <v>280</v>
      </c>
      <c r="BA15">
        <v>47.7</v>
      </c>
      <c r="BB15">
        <v>1</v>
      </c>
      <c r="BC15">
        <v>2</v>
      </c>
      <c r="BD15">
        <v>11</v>
      </c>
      <c r="BE15">
        <v>22</v>
      </c>
      <c r="BF15">
        <v>0</v>
      </c>
      <c r="BG15">
        <v>779</v>
      </c>
      <c r="BH15">
        <v>386</v>
      </c>
      <c r="BI15">
        <v>275</v>
      </c>
      <c r="BJ15">
        <v>130</v>
      </c>
      <c r="BK15">
        <v>43739</v>
      </c>
      <c r="BL15">
        <v>8157</v>
      </c>
      <c r="BM15">
        <v>7805</v>
      </c>
      <c r="BN15">
        <v>27731</v>
      </c>
      <c r="BO15" t="s">
        <v>145</v>
      </c>
      <c r="BP15" t="s">
        <v>88</v>
      </c>
      <c r="BQ15" t="s">
        <v>89</v>
      </c>
      <c r="BR15" t="s">
        <v>132</v>
      </c>
      <c r="BS15" t="s">
        <v>149</v>
      </c>
    </row>
    <row r="16" spans="1:71" x14ac:dyDescent="0.3">
      <c r="A16" t="s">
        <v>71</v>
      </c>
      <c r="B16">
        <v>20260108</v>
      </c>
      <c r="C16">
        <v>12</v>
      </c>
      <c r="D16" t="s">
        <v>150</v>
      </c>
      <c r="E16">
        <v>4866</v>
      </c>
      <c r="F16" t="s">
        <v>151</v>
      </c>
      <c r="G16" t="s">
        <v>74</v>
      </c>
      <c r="H16">
        <v>34</v>
      </c>
      <c r="I16" t="s">
        <v>147</v>
      </c>
      <c r="J16">
        <v>200</v>
      </c>
      <c r="K16" t="s">
        <v>85</v>
      </c>
      <c r="L16" t="s">
        <v>152</v>
      </c>
      <c r="M16" t="b">
        <v>0</v>
      </c>
      <c r="N16" t="s">
        <v>87</v>
      </c>
      <c r="O16">
        <v>42</v>
      </c>
      <c r="P16">
        <v>7</v>
      </c>
      <c r="Q16">
        <v>18</v>
      </c>
      <c r="R16">
        <v>25</v>
      </c>
      <c r="S16">
        <v>1.43</v>
      </c>
      <c r="T16">
        <v>0.43</v>
      </c>
      <c r="U16">
        <v>0.17</v>
      </c>
      <c r="V16">
        <v>0.6</v>
      </c>
      <c r="W16">
        <v>30.8</v>
      </c>
      <c r="X16">
        <v>23.1</v>
      </c>
      <c r="Y16">
        <v>2</v>
      </c>
      <c r="Z16">
        <v>0</v>
      </c>
      <c r="AA16">
        <v>3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146</v>
      </c>
      <c r="AO16">
        <v>60</v>
      </c>
      <c r="AP16">
        <v>11.7</v>
      </c>
      <c r="AQ16">
        <v>36</v>
      </c>
      <c r="AR16">
        <v>57</v>
      </c>
      <c r="AS16">
        <v>29</v>
      </c>
      <c r="AT16">
        <v>56</v>
      </c>
      <c r="AU16">
        <v>59</v>
      </c>
      <c r="AV16">
        <v>64</v>
      </c>
      <c r="AW16">
        <v>9</v>
      </c>
      <c r="AX16">
        <v>0</v>
      </c>
      <c r="AY16">
        <v>0</v>
      </c>
      <c r="AZ16">
        <v>0</v>
      </c>
      <c r="BA16">
        <v>0</v>
      </c>
      <c r="BB16">
        <v>15</v>
      </c>
      <c r="BC16">
        <v>30</v>
      </c>
      <c r="BD16">
        <v>10</v>
      </c>
      <c r="BE16">
        <v>20</v>
      </c>
      <c r="BF16">
        <v>0</v>
      </c>
      <c r="BG16">
        <v>1199</v>
      </c>
      <c r="BH16">
        <v>686</v>
      </c>
      <c r="BI16">
        <v>240</v>
      </c>
      <c r="BJ16">
        <v>280</v>
      </c>
      <c r="BK16">
        <v>52299</v>
      </c>
      <c r="BL16">
        <v>12093</v>
      </c>
      <c r="BM16">
        <v>3097</v>
      </c>
      <c r="BN16">
        <v>37109</v>
      </c>
      <c r="BO16" t="s">
        <v>150</v>
      </c>
      <c r="BP16" t="s">
        <v>124</v>
      </c>
      <c r="BQ16" t="s">
        <v>80</v>
      </c>
      <c r="BR16" t="s">
        <v>85</v>
      </c>
      <c r="BS16" t="s">
        <v>153</v>
      </c>
    </row>
    <row r="17" spans="1:71" x14ac:dyDescent="0.3">
      <c r="A17" t="s">
        <v>71</v>
      </c>
      <c r="B17">
        <v>20260108</v>
      </c>
      <c r="C17">
        <v>25</v>
      </c>
      <c r="D17" t="s">
        <v>109</v>
      </c>
      <c r="E17">
        <v>5615</v>
      </c>
      <c r="F17" t="s">
        <v>154</v>
      </c>
      <c r="G17" t="s">
        <v>74</v>
      </c>
      <c r="H17">
        <v>28</v>
      </c>
      <c r="I17" t="s">
        <v>84</v>
      </c>
      <c r="J17">
        <v>210</v>
      </c>
      <c r="K17" t="s">
        <v>85</v>
      </c>
      <c r="L17" t="s">
        <v>111</v>
      </c>
      <c r="M17" t="b">
        <v>0</v>
      </c>
      <c r="N17" t="s">
        <v>78</v>
      </c>
      <c r="O17">
        <v>44</v>
      </c>
      <c r="P17">
        <v>11</v>
      </c>
      <c r="Q17">
        <v>21</v>
      </c>
      <c r="R17">
        <v>32</v>
      </c>
      <c r="S17">
        <v>2.95</v>
      </c>
      <c r="T17">
        <v>0.48</v>
      </c>
      <c r="U17">
        <v>0.25</v>
      </c>
      <c r="V17">
        <v>0.73</v>
      </c>
      <c r="W17">
        <v>23.4</v>
      </c>
      <c r="X17">
        <v>15.4</v>
      </c>
      <c r="Y17">
        <v>3</v>
      </c>
      <c r="Z17">
        <v>3</v>
      </c>
      <c r="AA17">
        <v>7</v>
      </c>
      <c r="AB17">
        <v>10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12</v>
      </c>
      <c r="AN17">
        <v>214</v>
      </c>
      <c r="AO17">
        <v>130</v>
      </c>
      <c r="AP17">
        <v>8.5</v>
      </c>
      <c r="AQ17">
        <v>19</v>
      </c>
      <c r="AR17">
        <v>35</v>
      </c>
      <c r="AS17">
        <v>49</v>
      </c>
      <c r="AT17">
        <v>68</v>
      </c>
      <c r="AU17">
        <v>47</v>
      </c>
      <c r="AV17">
        <v>32</v>
      </c>
      <c r="AW17">
        <v>11</v>
      </c>
      <c r="AX17">
        <v>931</v>
      </c>
      <c r="AY17">
        <v>461</v>
      </c>
      <c r="AZ17">
        <v>470</v>
      </c>
      <c r="BA17">
        <v>49.5</v>
      </c>
      <c r="BB17">
        <v>10</v>
      </c>
      <c r="BC17">
        <v>20</v>
      </c>
      <c r="BD17">
        <v>13</v>
      </c>
      <c r="BE17">
        <v>26</v>
      </c>
      <c r="BF17">
        <v>0</v>
      </c>
      <c r="BG17">
        <v>930</v>
      </c>
      <c r="BH17">
        <v>421</v>
      </c>
      <c r="BI17">
        <v>274</v>
      </c>
      <c r="BJ17">
        <v>246</v>
      </c>
      <c r="BK17">
        <v>52347</v>
      </c>
      <c r="BL17">
        <v>11297</v>
      </c>
      <c r="BM17">
        <v>4005</v>
      </c>
      <c r="BN17">
        <v>37043</v>
      </c>
      <c r="BO17" t="s">
        <v>109</v>
      </c>
      <c r="BP17" t="s">
        <v>107</v>
      </c>
      <c r="BQ17" t="s">
        <v>89</v>
      </c>
      <c r="BR17" t="s">
        <v>85</v>
      </c>
      <c r="BS17" t="s">
        <v>112</v>
      </c>
    </row>
    <row r="18" spans="1:71" x14ac:dyDescent="0.3">
      <c r="A18" t="s">
        <v>71</v>
      </c>
      <c r="B18">
        <v>20260108</v>
      </c>
      <c r="C18">
        <v>25</v>
      </c>
      <c r="D18" t="s">
        <v>109</v>
      </c>
      <c r="E18">
        <v>38005</v>
      </c>
      <c r="F18" t="s">
        <v>155</v>
      </c>
      <c r="G18" t="s">
        <v>74</v>
      </c>
      <c r="H18">
        <v>23</v>
      </c>
      <c r="I18" t="s">
        <v>75</v>
      </c>
      <c r="J18">
        <v>190</v>
      </c>
      <c r="K18" t="s">
        <v>128</v>
      </c>
      <c r="L18" t="s">
        <v>156</v>
      </c>
      <c r="M18" t="b">
        <v>1</v>
      </c>
      <c r="N18" t="s">
        <v>87</v>
      </c>
      <c r="O18">
        <v>44</v>
      </c>
      <c r="P18">
        <v>9</v>
      </c>
      <c r="Q18">
        <v>15</v>
      </c>
      <c r="R18">
        <v>24</v>
      </c>
      <c r="S18">
        <v>2.14</v>
      </c>
      <c r="T18">
        <v>0.34</v>
      </c>
      <c r="U18">
        <v>0.2</v>
      </c>
      <c r="V18">
        <v>0.55000000000000004</v>
      </c>
      <c r="W18">
        <v>61.3</v>
      </c>
      <c r="X18">
        <v>7.7</v>
      </c>
      <c r="Y18">
        <v>3</v>
      </c>
      <c r="Z18">
        <v>0</v>
      </c>
      <c r="AA18">
        <v>8</v>
      </c>
      <c r="AB18">
        <v>8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10</v>
      </c>
      <c r="AN18">
        <v>198</v>
      </c>
      <c r="AO18">
        <v>94</v>
      </c>
      <c r="AP18">
        <v>9.6</v>
      </c>
      <c r="AQ18">
        <v>103</v>
      </c>
      <c r="AR18">
        <v>53</v>
      </c>
      <c r="AS18">
        <v>51</v>
      </c>
      <c r="AT18">
        <v>16</v>
      </c>
      <c r="AU18">
        <v>67</v>
      </c>
      <c r="AV18">
        <v>58</v>
      </c>
      <c r="AW18">
        <v>25</v>
      </c>
      <c r="AX18">
        <v>0</v>
      </c>
      <c r="AY18">
        <v>0</v>
      </c>
      <c r="AZ18">
        <v>0</v>
      </c>
      <c r="BA18">
        <v>0</v>
      </c>
      <c r="BB18">
        <v>5</v>
      </c>
      <c r="BC18">
        <v>10</v>
      </c>
      <c r="BD18">
        <v>4</v>
      </c>
      <c r="BE18">
        <v>8</v>
      </c>
      <c r="BF18">
        <v>0</v>
      </c>
      <c r="BG18">
        <v>1168</v>
      </c>
      <c r="BH18">
        <v>793</v>
      </c>
      <c r="BI18">
        <v>263</v>
      </c>
      <c r="BJ18">
        <v>121</v>
      </c>
      <c r="BK18">
        <v>64316</v>
      </c>
      <c r="BL18">
        <v>12029</v>
      </c>
      <c r="BM18">
        <v>3897</v>
      </c>
      <c r="BN18">
        <v>48390</v>
      </c>
      <c r="BO18" t="s">
        <v>109</v>
      </c>
      <c r="BP18" t="s">
        <v>107</v>
      </c>
      <c r="BQ18" t="s">
        <v>89</v>
      </c>
      <c r="BR18" t="s">
        <v>132</v>
      </c>
      <c r="BS18" t="s">
        <v>112</v>
      </c>
    </row>
    <row r="19" spans="1:71" x14ac:dyDescent="0.3">
      <c r="A19" t="s">
        <v>71</v>
      </c>
      <c r="B19">
        <v>20260108</v>
      </c>
      <c r="C19">
        <v>18</v>
      </c>
      <c r="D19" t="s">
        <v>157</v>
      </c>
      <c r="E19">
        <v>5210</v>
      </c>
      <c r="F19" t="s">
        <v>158</v>
      </c>
      <c r="G19" t="s">
        <v>74</v>
      </c>
      <c r="H19">
        <v>31</v>
      </c>
      <c r="I19" t="s">
        <v>84</v>
      </c>
      <c r="J19">
        <v>205</v>
      </c>
      <c r="K19" t="s">
        <v>85</v>
      </c>
      <c r="L19" t="s">
        <v>159</v>
      </c>
      <c r="M19" t="b">
        <v>0</v>
      </c>
      <c r="N19" t="s">
        <v>101</v>
      </c>
      <c r="O19">
        <v>42</v>
      </c>
      <c r="P19">
        <v>16</v>
      </c>
      <c r="Q19">
        <v>15</v>
      </c>
      <c r="R19">
        <v>31</v>
      </c>
      <c r="S19">
        <v>2.98</v>
      </c>
      <c r="T19">
        <v>0.36</v>
      </c>
      <c r="U19">
        <v>0.38</v>
      </c>
      <c r="V19">
        <v>0.74</v>
      </c>
      <c r="W19">
        <v>24.1</v>
      </c>
      <c r="X19">
        <v>15.4</v>
      </c>
      <c r="Y19">
        <v>5</v>
      </c>
      <c r="Z19">
        <v>1</v>
      </c>
      <c r="AA19">
        <v>7</v>
      </c>
      <c r="AB19">
        <v>8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2</v>
      </c>
      <c r="AJ19">
        <v>1</v>
      </c>
      <c r="AK19">
        <v>1</v>
      </c>
      <c r="AL19">
        <v>50</v>
      </c>
      <c r="AM19">
        <v>-6</v>
      </c>
      <c r="AN19">
        <v>267</v>
      </c>
      <c r="AO19">
        <v>125</v>
      </c>
      <c r="AP19">
        <v>12.8</v>
      </c>
      <c r="AQ19">
        <v>15</v>
      </c>
      <c r="AR19">
        <v>74</v>
      </c>
      <c r="AS19">
        <v>68</v>
      </c>
      <c r="AT19">
        <v>84</v>
      </c>
      <c r="AU19">
        <v>27</v>
      </c>
      <c r="AV19">
        <v>56</v>
      </c>
      <c r="AW19">
        <v>28</v>
      </c>
      <c r="AX19">
        <v>20</v>
      </c>
      <c r="AY19">
        <v>7</v>
      </c>
      <c r="AZ19">
        <v>13</v>
      </c>
      <c r="BA19">
        <v>35</v>
      </c>
      <c r="BB19">
        <v>10</v>
      </c>
      <c r="BC19">
        <v>20</v>
      </c>
      <c r="BD19">
        <v>15</v>
      </c>
      <c r="BE19">
        <v>30</v>
      </c>
      <c r="BF19">
        <v>0</v>
      </c>
      <c r="BG19">
        <v>929</v>
      </c>
      <c r="BH19">
        <v>430</v>
      </c>
      <c r="BI19">
        <v>391</v>
      </c>
      <c r="BJ19">
        <v>124</v>
      </c>
      <c r="BK19">
        <v>47149</v>
      </c>
      <c r="BL19">
        <v>10170</v>
      </c>
      <c r="BM19">
        <v>10311</v>
      </c>
      <c r="BN19">
        <v>26833</v>
      </c>
      <c r="BO19" t="s">
        <v>157</v>
      </c>
      <c r="BP19" t="s">
        <v>107</v>
      </c>
      <c r="BQ19" t="s">
        <v>89</v>
      </c>
      <c r="BR19" t="s">
        <v>85</v>
      </c>
      <c r="BS19" t="s">
        <v>160</v>
      </c>
    </row>
    <row r="20" spans="1:71" x14ac:dyDescent="0.3">
      <c r="A20" t="s">
        <v>71</v>
      </c>
      <c r="B20">
        <v>20260108</v>
      </c>
      <c r="C20">
        <v>4</v>
      </c>
      <c r="D20" t="s">
        <v>161</v>
      </c>
      <c r="E20">
        <v>10072</v>
      </c>
      <c r="F20" t="s">
        <v>162</v>
      </c>
      <c r="G20" t="s">
        <v>74</v>
      </c>
      <c r="H20">
        <v>29</v>
      </c>
      <c r="I20" t="s">
        <v>75</v>
      </c>
      <c r="J20">
        <v>186</v>
      </c>
      <c r="K20" t="s">
        <v>85</v>
      </c>
      <c r="L20" t="s">
        <v>163</v>
      </c>
      <c r="M20" t="b">
        <v>0</v>
      </c>
      <c r="N20" t="s">
        <v>87</v>
      </c>
      <c r="O20">
        <v>42</v>
      </c>
      <c r="P20">
        <v>1</v>
      </c>
      <c r="Q20">
        <v>13</v>
      </c>
      <c r="R20">
        <v>14</v>
      </c>
      <c r="S20">
        <v>1.17</v>
      </c>
      <c r="T20">
        <v>0.31</v>
      </c>
      <c r="U20">
        <v>0.02</v>
      </c>
      <c r="V20">
        <v>0.33</v>
      </c>
      <c r="W20">
        <v>32.9</v>
      </c>
      <c r="X20">
        <v>15.4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-3</v>
      </c>
      <c r="AN20">
        <v>121</v>
      </c>
      <c r="AO20">
        <v>49</v>
      </c>
      <c r="AP20">
        <v>2</v>
      </c>
      <c r="AQ20">
        <v>48</v>
      </c>
      <c r="AR20">
        <v>49</v>
      </c>
      <c r="AS20">
        <v>23</v>
      </c>
      <c r="AT20">
        <v>31</v>
      </c>
      <c r="AU20">
        <v>30</v>
      </c>
      <c r="AV20">
        <v>24</v>
      </c>
      <c r="AW20">
        <v>16</v>
      </c>
      <c r="AX20">
        <v>0</v>
      </c>
      <c r="AY20">
        <v>0</v>
      </c>
      <c r="AZ20">
        <v>0</v>
      </c>
      <c r="BA20">
        <v>0</v>
      </c>
      <c r="BB20">
        <v>10</v>
      </c>
      <c r="BC20">
        <v>20</v>
      </c>
      <c r="BD20">
        <v>6</v>
      </c>
      <c r="BE20">
        <v>12</v>
      </c>
      <c r="BF20">
        <v>0</v>
      </c>
      <c r="BG20">
        <v>1121</v>
      </c>
      <c r="BH20">
        <v>632</v>
      </c>
      <c r="BI20">
        <v>264</v>
      </c>
      <c r="BJ20">
        <v>226</v>
      </c>
      <c r="BK20">
        <v>55234</v>
      </c>
      <c r="BL20">
        <v>8507</v>
      </c>
      <c r="BM20">
        <v>6004</v>
      </c>
      <c r="BN20">
        <v>40723</v>
      </c>
      <c r="BO20" t="s">
        <v>164</v>
      </c>
      <c r="BP20" t="s">
        <v>131</v>
      </c>
      <c r="BQ20" t="s">
        <v>131</v>
      </c>
      <c r="BR20" t="s">
        <v>85</v>
      </c>
      <c r="BS20" t="s">
        <v>165</v>
      </c>
    </row>
    <row r="21" spans="1:71" x14ac:dyDescent="0.3">
      <c r="A21" t="s">
        <v>71</v>
      </c>
      <c r="B21">
        <v>20260108</v>
      </c>
      <c r="C21">
        <v>29</v>
      </c>
      <c r="D21" t="s">
        <v>113</v>
      </c>
      <c r="E21">
        <v>5126</v>
      </c>
      <c r="F21" t="s">
        <v>166</v>
      </c>
      <c r="G21" t="s">
        <v>74</v>
      </c>
      <c r="H21">
        <v>33</v>
      </c>
      <c r="I21" t="s">
        <v>99</v>
      </c>
      <c r="J21">
        <v>185</v>
      </c>
      <c r="K21" t="s">
        <v>76</v>
      </c>
      <c r="L21" t="s">
        <v>167</v>
      </c>
      <c r="M21" t="b">
        <v>0</v>
      </c>
      <c r="N21" t="s">
        <v>78</v>
      </c>
      <c r="O21">
        <v>25</v>
      </c>
      <c r="P21">
        <v>7</v>
      </c>
      <c r="Q21">
        <v>9</v>
      </c>
      <c r="R21">
        <v>16</v>
      </c>
      <c r="S21">
        <v>1.96</v>
      </c>
      <c r="T21">
        <v>0.36</v>
      </c>
      <c r="U21">
        <v>0.28000000000000003</v>
      </c>
      <c r="V21">
        <v>0.64</v>
      </c>
      <c r="W21">
        <v>11.1</v>
      </c>
      <c r="X21">
        <v>7.7</v>
      </c>
      <c r="Y21">
        <v>2</v>
      </c>
      <c r="Z21">
        <v>1</v>
      </c>
      <c r="AA21">
        <v>1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-9</v>
      </c>
      <c r="AN21">
        <v>96</v>
      </c>
      <c r="AO21">
        <v>49</v>
      </c>
      <c r="AP21">
        <v>14.3</v>
      </c>
      <c r="AQ21">
        <v>14</v>
      </c>
      <c r="AR21">
        <v>23</v>
      </c>
      <c r="AS21">
        <v>24</v>
      </c>
      <c r="AT21">
        <v>17</v>
      </c>
      <c r="AU21">
        <v>18</v>
      </c>
      <c r="AV21">
        <v>22</v>
      </c>
      <c r="AW21">
        <v>5</v>
      </c>
      <c r="AX21">
        <v>321</v>
      </c>
      <c r="AY21">
        <v>162</v>
      </c>
      <c r="AZ21">
        <v>159</v>
      </c>
      <c r="BA21">
        <v>50.5</v>
      </c>
      <c r="BB21">
        <v>5</v>
      </c>
      <c r="BC21">
        <v>10</v>
      </c>
      <c r="BD21">
        <v>8</v>
      </c>
      <c r="BE21">
        <v>16</v>
      </c>
      <c r="BF21">
        <v>0</v>
      </c>
      <c r="BG21">
        <v>528</v>
      </c>
      <c r="BH21">
        <v>236</v>
      </c>
      <c r="BI21">
        <v>144</v>
      </c>
      <c r="BJ21">
        <v>157</v>
      </c>
      <c r="BK21">
        <v>26922</v>
      </c>
      <c r="BL21">
        <v>7479</v>
      </c>
      <c r="BM21">
        <v>2302</v>
      </c>
      <c r="BN21">
        <v>17183</v>
      </c>
      <c r="BO21" t="s">
        <v>113</v>
      </c>
      <c r="BP21" t="s">
        <v>88</v>
      </c>
      <c r="BQ21" t="s">
        <v>89</v>
      </c>
      <c r="BR21" t="s">
        <v>76</v>
      </c>
      <c r="BS21" t="s">
        <v>115</v>
      </c>
    </row>
    <row r="22" spans="1:71" x14ac:dyDescent="0.3">
      <c r="A22" t="s">
        <v>71</v>
      </c>
      <c r="B22">
        <v>20260108</v>
      </c>
      <c r="C22">
        <v>1</v>
      </c>
      <c r="D22" t="s">
        <v>121</v>
      </c>
      <c r="E22">
        <v>11327</v>
      </c>
      <c r="F22" t="s">
        <v>168</v>
      </c>
      <c r="G22" t="s">
        <v>74</v>
      </c>
      <c r="H22">
        <v>31</v>
      </c>
      <c r="I22" t="s">
        <v>136</v>
      </c>
      <c r="J22">
        <v>180</v>
      </c>
      <c r="K22" t="s">
        <v>128</v>
      </c>
      <c r="L22" t="s">
        <v>169</v>
      </c>
      <c r="M22" t="b">
        <v>0</v>
      </c>
      <c r="N22" t="s">
        <v>78</v>
      </c>
      <c r="O22">
        <v>42</v>
      </c>
      <c r="P22">
        <v>19</v>
      </c>
      <c r="Q22">
        <v>25</v>
      </c>
      <c r="R22">
        <v>44</v>
      </c>
      <c r="S22">
        <v>2.6</v>
      </c>
      <c r="T22">
        <v>0.6</v>
      </c>
      <c r="U22">
        <v>0.45</v>
      </c>
      <c r="V22">
        <v>1.05</v>
      </c>
      <c r="W22">
        <v>18.600000000000001</v>
      </c>
      <c r="X22">
        <v>16.100000000000001</v>
      </c>
      <c r="Y22">
        <v>6</v>
      </c>
      <c r="Z22">
        <v>5</v>
      </c>
      <c r="AA22">
        <v>11</v>
      </c>
      <c r="AB22">
        <v>16</v>
      </c>
      <c r="AC22">
        <v>2</v>
      </c>
      <c r="AD22">
        <v>0</v>
      </c>
      <c r="AE22">
        <v>2</v>
      </c>
      <c r="AF22">
        <v>3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8</v>
      </c>
      <c r="AN22">
        <v>196</v>
      </c>
      <c r="AO22">
        <v>109</v>
      </c>
      <c r="AP22">
        <v>17.399999999999999</v>
      </c>
      <c r="AQ22">
        <v>27</v>
      </c>
      <c r="AR22">
        <v>38</v>
      </c>
      <c r="AS22">
        <v>49</v>
      </c>
      <c r="AT22">
        <v>18</v>
      </c>
      <c r="AU22">
        <v>42</v>
      </c>
      <c r="AV22">
        <v>35</v>
      </c>
      <c r="AW22">
        <v>15</v>
      </c>
      <c r="AX22">
        <v>174</v>
      </c>
      <c r="AY22">
        <v>83</v>
      </c>
      <c r="AZ22">
        <v>91</v>
      </c>
      <c r="BA22">
        <v>47.7</v>
      </c>
      <c r="BB22">
        <v>7</v>
      </c>
      <c r="BC22">
        <v>17</v>
      </c>
      <c r="BD22">
        <v>14</v>
      </c>
      <c r="BE22">
        <v>31</v>
      </c>
      <c r="BF22">
        <v>1</v>
      </c>
      <c r="BG22">
        <v>942</v>
      </c>
      <c r="BH22">
        <v>483</v>
      </c>
      <c r="BI22">
        <v>243</v>
      </c>
      <c r="BJ22">
        <v>236</v>
      </c>
      <c r="BK22">
        <v>51980</v>
      </c>
      <c r="BL22">
        <v>13529</v>
      </c>
      <c r="BM22">
        <v>4926</v>
      </c>
      <c r="BN22">
        <v>33488</v>
      </c>
      <c r="BO22" t="s">
        <v>121</v>
      </c>
      <c r="BP22" t="s">
        <v>124</v>
      </c>
      <c r="BQ22" t="s">
        <v>80</v>
      </c>
      <c r="BR22" t="s">
        <v>132</v>
      </c>
      <c r="BS22" t="s">
        <v>125</v>
      </c>
    </row>
    <row r="23" spans="1:71" x14ac:dyDescent="0.3">
      <c r="A23" t="s">
        <v>71</v>
      </c>
      <c r="B23">
        <v>20260108</v>
      </c>
      <c r="C23">
        <v>1</v>
      </c>
      <c r="D23" t="s">
        <v>121</v>
      </c>
      <c r="E23">
        <v>17379</v>
      </c>
      <c r="F23" t="s">
        <v>170</v>
      </c>
      <c r="G23" t="s">
        <v>74</v>
      </c>
      <c r="H23">
        <v>27</v>
      </c>
      <c r="I23" t="s">
        <v>75</v>
      </c>
      <c r="J23">
        <v>175</v>
      </c>
      <c r="K23" t="s">
        <v>118</v>
      </c>
      <c r="L23" t="s">
        <v>171</v>
      </c>
      <c r="M23" t="b">
        <v>1</v>
      </c>
      <c r="N23" t="s">
        <v>101</v>
      </c>
      <c r="O23">
        <v>37</v>
      </c>
      <c r="P23">
        <v>20</v>
      </c>
      <c r="Q23">
        <v>18</v>
      </c>
      <c r="R23">
        <v>38</v>
      </c>
      <c r="S23">
        <v>2.95</v>
      </c>
      <c r="T23">
        <v>0.49</v>
      </c>
      <c r="U23">
        <v>0.54</v>
      </c>
      <c r="V23">
        <v>1.03</v>
      </c>
      <c r="W23">
        <v>17.5</v>
      </c>
      <c r="X23">
        <v>17.7</v>
      </c>
      <c r="Y23">
        <v>6</v>
      </c>
      <c r="Z23">
        <v>2</v>
      </c>
      <c r="AA23">
        <v>3</v>
      </c>
      <c r="AB23">
        <v>5</v>
      </c>
      <c r="AC23">
        <v>1</v>
      </c>
      <c r="AD23">
        <v>0</v>
      </c>
      <c r="AE23">
        <v>1</v>
      </c>
      <c r="AF23">
        <v>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22</v>
      </c>
      <c r="AN23">
        <v>246</v>
      </c>
      <c r="AO23">
        <v>109</v>
      </c>
      <c r="AP23">
        <v>18.3</v>
      </c>
      <c r="AQ23">
        <v>21</v>
      </c>
      <c r="AR23">
        <v>70</v>
      </c>
      <c r="AS23">
        <v>67</v>
      </c>
      <c r="AT23">
        <v>30</v>
      </c>
      <c r="AU23">
        <v>47</v>
      </c>
      <c r="AV23">
        <v>43</v>
      </c>
      <c r="AW23">
        <v>15</v>
      </c>
      <c r="AX23">
        <v>36</v>
      </c>
      <c r="AY23">
        <v>16</v>
      </c>
      <c r="AZ23">
        <v>20</v>
      </c>
      <c r="BA23">
        <v>44.4</v>
      </c>
      <c r="BB23">
        <v>11</v>
      </c>
      <c r="BC23">
        <v>24</v>
      </c>
      <c r="BD23">
        <v>17</v>
      </c>
      <c r="BE23">
        <v>34</v>
      </c>
      <c r="BF23">
        <v>0</v>
      </c>
      <c r="BG23">
        <v>852</v>
      </c>
      <c r="BH23">
        <v>459</v>
      </c>
      <c r="BI23">
        <v>267</v>
      </c>
      <c r="BJ23">
        <v>148</v>
      </c>
      <c r="BK23">
        <v>42356</v>
      </c>
      <c r="BL23">
        <v>8744</v>
      </c>
      <c r="BM23">
        <v>5595</v>
      </c>
      <c r="BN23">
        <v>27971</v>
      </c>
      <c r="BO23" t="s">
        <v>121</v>
      </c>
      <c r="BP23" t="s">
        <v>124</v>
      </c>
      <c r="BQ23" t="s">
        <v>80</v>
      </c>
      <c r="BR23" t="s">
        <v>118</v>
      </c>
      <c r="BS23" t="s">
        <v>125</v>
      </c>
    </row>
    <row r="24" spans="1:71" x14ac:dyDescent="0.3">
      <c r="A24" t="s">
        <v>71</v>
      </c>
      <c r="B24">
        <v>20260108</v>
      </c>
      <c r="C24">
        <v>142</v>
      </c>
      <c r="D24" t="s">
        <v>145</v>
      </c>
      <c r="E24">
        <v>5600</v>
      </c>
      <c r="F24" t="s">
        <v>172</v>
      </c>
      <c r="G24" t="s">
        <v>74</v>
      </c>
      <c r="H24">
        <v>28</v>
      </c>
      <c r="I24" t="s">
        <v>105</v>
      </c>
      <c r="J24">
        <v>215</v>
      </c>
      <c r="K24" t="s">
        <v>128</v>
      </c>
      <c r="L24" t="s">
        <v>173</v>
      </c>
      <c r="M24" t="b">
        <v>0</v>
      </c>
      <c r="N24" t="s">
        <v>87</v>
      </c>
      <c r="O24">
        <v>31</v>
      </c>
      <c r="P24">
        <v>2</v>
      </c>
      <c r="Q24">
        <v>14</v>
      </c>
      <c r="R24">
        <v>16</v>
      </c>
      <c r="S24">
        <v>2.52</v>
      </c>
      <c r="T24">
        <v>0.45</v>
      </c>
      <c r="U24">
        <v>0.06</v>
      </c>
      <c r="V24">
        <v>0.52</v>
      </c>
      <c r="W24">
        <v>30.7</v>
      </c>
      <c r="X24">
        <v>3.9</v>
      </c>
      <c r="Y24">
        <v>0</v>
      </c>
      <c r="Z24">
        <v>0</v>
      </c>
      <c r="AA24">
        <v>6</v>
      </c>
      <c r="AB24">
        <v>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-7</v>
      </c>
      <c r="AN24">
        <v>166</v>
      </c>
      <c r="AO24">
        <v>78</v>
      </c>
      <c r="AP24">
        <v>2.6</v>
      </c>
      <c r="AQ24">
        <v>48</v>
      </c>
      <c r="AR24">
        <v>52</v>
      </c>
      <c r="AS24">
        <v>36</v>
      </c>
      <c r="AT24">
        <v>19</v>
      </c>
      <c r="AU24">
        <v>64</v>
      </c>
      <c r="AV24">
        <v>41</v>
      </c>
      <c r="AW24">
        <v>18</v>
      </c>
      <c r="AX24">
        <v>0</v>
      </c>
      <c r="AY24">
        <v>0</v>
      </c>
      <c r="AZ24">
        <v>0</v>
      </c>
      <c r="BA24">
        <v>0</v>
      </c>
      <c r="BB24">
        <v>3</v>
      </c>
      <c r="BC24">
        <v>4</v>
      </c>
      <c r="BD24">
        <v>1</v>
      </c>
      <c r="BE24">
        <v>2</v>
      </c>
      <c r="BF24">
        <v>0</v>
      </c>
      <c r="BG24">
        <v>859</v>
      </c>
      <c r="BH24">
        <v>451</v>
      </c>
      <c r="BI24">
        <v>184</v>
      </c>
      <c r="BJ24">
        <v>227</v>
      </c>
      <c r="BK24">
        <v>44491</v>
      </c>
      <c r="BL24">
        <v>5446</v>
      </c>
      <c r="BM24">
        <v>2923</v>
      </c>
      <c r="BN24">
        <v>36120</v>
      </c>
      <c r="BO24" t="s">
        <v>145</v>
      </c>
      <c r="BP24" t="s">
        <v>88</v>
      </c>
      <c r="BQ24" t="s">
        <v>89</v>
      </c>
      <c r="BR24" t="s">
        <v>132</v>
      </c>
      <c r="BS24" t="s">
        <v>149</v>
      </c>
    </row>
    <row r="25" spans="1:71" x14ac:dyDescent="0.3">
      <c r="A25" t="s">
        <v>71</v>
      </c>
      <c r="B25">
        <v>20260108</v>
      </c>
      <c r="C25">
        <v>27</v>
      </c>
      <c r="D25" t="s">
        <v>174</v>
      </c>
      <c r="E25">
        <v>20433</v>
      </c>
      <c r="F25" t="s">
        <v>175</v>
      </c>
      <c r="G25" t="s">
        <v>74</v>
      </c>
      <c r="H25">
        <v>24</v>
      </c>
      <c r="I25" t="s">
        <v>105</v>
      </c>
      <c r="J25">
        <v>188</v>
      </c>
      <c r="K25" t="s">
        <v>128</v>
      </c>
      <c r="L25" t="s">
        <v>176</v>
      </c>
      <c r="M25" t="b">
        <v>1</v>
      </c>
      <c r="N25" t="s">
        <v>87</v>
      </c>
      <c r="O25">
        <v>32</v>
      </c>
      <c r="P25">
        <v>2</v>
      </c>
      <c r="Q25">
        <v>14</v>
      </c>
      <c r="R25">
        <v>16</v>
      </c>
      <c r="S25">
        <v>1.31</v>
      </c>
      <c r="T25">
        <v>0.44</v>
      </c>
      <c r="U25">
        <v>0.06</v>
      </c>
      <c r="V25">
        <v>0.5</v>
      </c>
      <c r="W25">
        <v>43.7</v>
      </c>
      <c r="X25">
        <v>7.7</v>
      </c>
      <c r="Y25">
        <v>0</v>
      </c>
      <c r="Z25">
        <v>0</v>
      </c>
      <c r="AA25">
        <v>3</v>
      </c>
      <c r="AB25">
        <v>3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-4</v>
      </c>
      <c r="AN25">
        <v>120</v>
      </c>
      <c r="AO25">
        <v>42</v>
      </c>
      <c r="AP25">
        <v>4.8</v>
      </c>
      <c r="AQ25">
        <v>70</v>
      </c>
      <c r="AR25">
        <v>52</v>
      </c>
      <c r="AS25">
        <v>26</v>
      </c>
      <c r="AT25">
        <v>22</v>
      </c>
      <c r="AU25">
        <v>68</v>
      </c>
      <c r="AV25">
        <v>43</v>
      </c>
      <c r="AW25">
        <v>17</v>
      </c>
      <c r="AX25">
        <v>0</v>
      </c>
      <c r="AY25">
        <v>0</v>
      </c>
      <c r="AZ25">
        <v>0</v>
      </c>
      <c r="BA25">
        <v>0</v>
      </c>
      <c r="BB25">
        <v>5</v>
      </c>
      <c r="BC25">
        <v>10</v>
      </c>
      <c r="BD25">
        <v>4</v>
      </c>
      <c r="BE25">
        <v>8</v>
      </c>
      <c r="BF25">
        <v>0</v>
      </c>
      <c r="BG25">
        <v>799</v>
      </c>
      <c r="BH25">
        <v>502</v>
      </c>
      <c r="BI25">
        <v>171</v>
      </c>
      <c r="BJ25">
        <v>123</v>
      </c>
      <c r="BK25">
        <v>43401</v>
      </c>
      <c r="BL25">
        <v>7150</v>
      </c>
      <c r="BM25">
        <v>2964</v>
      </c>
      <c r="BN25">
        <v>33017</v>
      </c>
      <c r="BO25" t="s">
        <v>174</v>
      </c>
      <c r="BP25" t="s">
        <v>107</v>
      </c>
      <c r="BQ25" t="s">
        <v>89</v>
      </c>
      <c r="BR25" t="s">
        <v>118</v>
      </c>
      <c r="BS25" t="s">
        <v>177</v>
      </c>
    </row>
    <row r="26" spans="1:71" x14ac:dyDescent="0.3">
      <c r="A26" t="s">
        <v>71</v>
      </c>
      <c r="B26">
        <v>20260108</v>
      </c>
      <c r="C26">
        <v>18</v>
      </c>
      <c r="D26" t="s">
        <v>157</v>
      </c>
      <c r="E26">
        <v>5301</v>
      </c>
      <c r="F26" t="s">
        <v>178</v>
      </c>
      <c r="G26" t="s">
        <v>74</v>
      </c>
      <c r="H26">
        <v>34</v>
      </c>
      <c r="I26" t="s">
        <v>75</v>
      </c>
      <c r="J26">
        <v>193</v>
      </c>
      <c r="K26" t="s">
        <v>76</v>
      </c>
      <c r="L26" t="s">
        <v>94</v>
      </c>
      <c r="M26" t="b">
        <v>0</v>
      </c>
      <c r="N26" t="s">
        <v>101</v>
      </c>
      <c r="O26">
        <v>42</v>
      </c>
      <c r="P26">
        <v>7</v>
      </c>
      <c r="Q26">
        <v>16</v>
      </c>
      <c r="R26">
        <v>23</v>
      </c>
      <c r="S26">
        <v>1.64</v>
      </c>
      <c r="T26">
        <v>0.38</v>
      </c>
      <c r="U26">
        <v>0.17</v>
      </c>
      <c r="V26">
        <v>0.55000000000000004</v>
      </c>
      <c r="W26">
        <v>23.6</v>
      </c>
      <c r="X26">
        <v>20</v>
      </c>
      <c r="Y26">
        <v>2</v>
      </c>
      <c r="Z26">
        <v>2</v>
      </c>
      <c r="AA26">
        <v>7</v>
      </c>
      <c r="AB26">
        <v>9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100</v>
      </c>
      <c r="AM26">
        <v>-9</v>
      </c>
      <c r="AN26">
        <v>138</v>
      </c>
      <c r="AO26">
        <v>69</v>
      </c>
      <c r="AP26">
        <v>10.1</v>
      </c>
      <c r="AQ26">
        <v>24</v>
      </c>
      <c r="AR26">
        <v>25</v>
      </c>
      <c r="AS26">
        <v>44</v>
      </c>
      <c r="AT26">
        <v>54</v>
      </c>
      <c r="AU26">
        <v>30</v>
      </c>
      <c r="AV26">
        <v>28</v>
      </c>
      <c r="AW26">
        <v>12</v>
      </c>
      <c r="AX26">
        <v>495</v>
      </c>
      <c r="AY26">
        <v>259</v>
      </c>
      <c r="AZ26">
        <v>236</v>
      </c>
      <c r="BA26">
        <v>52.3</v>
      </c>
      <c r="BB26">
        <v>13</v>
      </c>
      <c r="BC26">
        <v>26</v>
      </c>
      <c r="BD26">
        <v>3</v>
      </c>
      <c r="BE26">
        <v>6</v>
      </c>
      <c r="BF26">
        <v>0</v>
      </c>
      <c r="BG26">
        <v>932</v>
      </c>
      <c r="BH26">
        <v>433</v>
      </c>
      <c r="BI26">
        <v>273</v>
      </c>
      <c r="BJ26">
        <v>234</v>
      </c>
      <c r="BK26">
        <v>41916</v>
      </c>
      <c r="BL26">
        <v>10240</v>
      </c>
      <c r="BM26">
        <v>2953</v>
      </c>
      <c r="BN26">
        <v>28881</v>
      </c>
      <c r="BO26" t="s">
        <v>157</v>
      </c>
      <c r="BP26" t="s">
        <v>107</v>
      </c>
      <c r="BQ26" t="s">
        <v>89</v>
      </c>
      <c r="BR26" t="s">
        <v>76</v>
      </c>
      <c r="BS26" t="s">
        <v>160</v>
      </c>
    </row>
    <row r="27" spans="1:71" x14ac:dyDescent="0.3">
      <c r="A27" t="s">
        <v>71</v>
      </c>
      <c r="B27">
        <v>20260108</v>
      </c>
      <c r="C27">
        <v>1</v>
      </c>
      <c r="D27" t="s">
        <v>121</v>
      </c>
      <c r="E27">
        <v>4685</v>
      </c>
      <c r="F27" t="s">
        <v>179</v>
      </c>
      <c r="G27" t="s">
        <v>74</v>
      </c>
      <c r="H27">
        <v>35</v>
      </c>
      <c r="I27" t="s">
        <v>180</v>
      </c>
      <c r="J27">
        <v>229</v>
      </c>
      <c r="K27" t="s">
        <v>85</v>
      </c>
      <c r="L27" t="s">
        <v>181</v>
      </c>
      <c r="M27" t="b">
        <v>0</v>
      </c>
      <c r="N27" t="s">
        <v>87</v>
      </c>
      <c r="O27">
        <v>18</v>
      </c>
      <c r="P27">
        <v>0</v>
      </c>
      <c r="Q27">
        <v>12</v>
      </c>
      <c r="R27">
        <v>12</v>
      </c>
      <c r="S27">
        <v>1.39</v>
      </c>
      <c r="T27">
        <v>0.67</v>
      </c>
      <c r="U27">
        <v>0</v>
      </c>
      <c r="V27">
        <v>0.67</v>
      </c>
      <c r="W27">
        <v>17.899999999999999</v>
      </c>
      <c r="X27">
        <v>4.5999999999999996</v>
      </c>
      <c r="Y27">
        <v>0</v>
      </c>
      <c r="Z27">
        <v>0</v>
      </c>
      <c r="AA27">
        <v>6</v>
      </c>
      <c r="AB27">
        <v>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78</v>
      </c>
      <c r="AO27">
        <v>25</v>
      </c>
      <c r="AP27">
        <v>0</v>
      </c>
      <c r="AQ27">
        <v>29</v>
      </c>
      <c r="AR27">
        <v>29</v>
      </c>
      <c r="AS27">
        <v>24</v>
      </c>
      <c r="AT27">
        <v>8</v>
      </c>
      <c r="AU27">
        <v>13</v>
      </c>
      <c r="AV27">
        <v>28</v>
      </c>
      <c r="AW27">
        <v>5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6</v>
      </c>
      <c r="BD27">
        <v>5</v>
      </c>
      <c r="BE27">
        <v>10</v>
      </c>
      <c r="BF27">
        <v>0</v>
      </c>
      <c r="BG27">
        <v>439</v>
      </c>
      <c r="BH27">
        <v>244</v>
      </c>
      <c r="BI27">
        <v>60</v>
      </c>
      <c r="BJ27">
        <v>135</v>
      </c>
      <c r="BK27">
        <v>22776</v>
      </c>
      <c r="BL27">
        <v>7351</v>
      </c>
      <c r="BM27">
        <v>1204</v>
      </c>
      <c r="BN27">
        <v>14221</v>
      </c>
      <c r="BO27" t="s">
        <v>121</v>
      </c>
      <c r="BP27" t="s">
        <v>124</v>
      </c>
      <c r="BQ27" t="s">
        <v>80</v>
      </c>
      <c r="BR27" t="s">
        <v>85</v>
      </c>
      <c r="BS27" t="s">
        <v>125</v>
      </c>
    </row>
    <row r="28" spans="1:71" x14ac:dyDescent="0.3">
      <c r="A28" t="s">
        <v>71</v>
      </c>
      <c r="B28">
        <v>20260108</v>
      </c>
      <c r="C28">
        <v>27</v>
      </c>
      <c r="D28" t="s">
        <v>174</v>
      </c>
      <c r="E28">
        <v>13618</v>
      </c>
      <c r="F28" t="s">
        <v>182</v>
      </c>
      <c r="G28" t="s">
        <v>74</v>
      </c>
      <c r="H28">
        <v>26</v>
      </c>
      <c r="I28" t="s">
        <v>84</v>
      </c>
      <c r="J28">
        <v>190</v>
      </c>
      <c r="K28" t="s">
        <v>76</v>
      </c>
      <c r="L28" t="s">
        <v>183</v>
      </c>
      <c r="M28" t="b">
        <v>0</v>
      </c>
      <c r="N28" t="s">
        <v>87</v>
      </c>
      <c r="O28">
        <v>44</v>
      </c>
      <c r="P28">
        <v>7</v>
      </c>
      <c r="Q28">
        <v>29</v>
      </c>
      <c r="R28">
        <v>36</v>
      </c>
      <c r="S28">
        <v>2.0699999999999998</v>
      </c>
      <c r="T28">
        <v>0.66</v>
      </c>
      <c r="U28">
        <v>0.16</v>
      </c>
      <c r="V28">
        <v>0.82</v>
      </c>
      <c r="W28">
        <v>48.1</v>
      </c>
      <c r="X28">
        <v>10.8</v>
      </c>
      <c r="Y28">
        <v>2</v>
      </c>
      <c r="Z28">
        <v>1</v>
      </c>
      <c r="AA28">
        <v>13</v>
      </c>
      <c r="AB28">
        <v>14</v>
      </c>
      <c r="AC28">
        <v>1</v>
      </c>
      <c r="AD28">
        <v>0</v>
      </c>
      <c r="AE28">
        <v>1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6</v>
      </c>
      <c r="AN28">
        <v>194</v>
      </c>
      <c r="AO28">
        <v>91</v>
      </c>
      <c r="AP28">
        <v>7.7</v>
      </c>
      <c r="AQ28">
        <v>82</v>
      </c>
      <c r="AR28">
        <v>69</v>
      </c>
      <c r="AS28">
        <v>34</v>
      </c>
      <c r="AT28">
        <v>9</v>
      </c>
      <c r="AU28">
        <v>87</v>
      </c>
      <c r="AV28">
        <v>53</v>
      </c>
      <c r="AW28">
        <v>29</v>
      </c>
      <c r="AX28">
        <v>0</v>
      </c>
      <c r="AY28">
        <v>0</v>
      </c>
      <c r="AZ28">
        <v>0</v>
      </c>
      <c r="BA28">
        <v>0</v>
      </c>
      <c r="BB28">
        <v>7</v>
      </c>
      <c r="BC28">
        <v>14</v>
      </c>
      <c r="BD28">
        <v>9</v>
      </c>
      <c r="BE28">
        <v>18</v>
      </c>
      <c r="BF28">
        <v>0</v>
      </c>
      <c r="BG28">
        <v>1127</v>
      </c>
      <c r="BH28">
        <v>628</v>
      </c>
      <c r="BI28">
        <v>354</v>
      </c>
      <c r="BJ28">
        <v>145</v>
      </c>
      <c r="BK28">
        <v>68608</v>
      </c>
      <c r="BL28">
        <v>14978</v>
      </c>
      <c r="BM28">
        <v>6741</v>
      </c>
      <c r="BN28">
        <v>46576</v>
      </c>
      <c r="BO28" t="s">
        <v>174</v>
      </c>
      <c r="BP28" t="s">
        <v>107</v>
      </c>
      <c r="BQ28" t="s">
        <v>89</v>
      </c>
      <c r="BR28" t="s">
        <v>76</v>
      </c>
      <c r="BS28" t="s">
        <v>177</v>
      </c>
    </row>
    <row r="29" spans="1:71" x14ac:dyDescent="0.3">
      <c r="A29" t="s">
        <v>71</v>
      </c>
      <c r="B29">
        <v>20260108</v>
      </c>
      <c r="C29">
        <v>27</v>
      </c>
      <c r="D29" t="s">
        <v>174</v>
      </c>
      <c r="E29">
        <v>5643</v>
      </c>
      <c r="F29" t="s">
        <v>184</v>
      </c>
      <c r="G29" t="s">
        <v>74</v>
      </c>
      <c r="H29">
        <v>29</v>
      </c>
      <c r="I29" t="s">
        <v>105</v>
      </c>
      <c r="J29">
        <v>220</v>
      </c>
      <c r="K29" t="s">
        <v>76</v>
      </c>
      <c r="L29" t="s">
        <v>185</v>
      </c>
      <c r="M29" t="b">
        <v>0</v>
      </c>
      <c r="N29" t="s">
        <v>78</v>
      </c>
      <c r="O29">
        <v>39</v>
      </c>
      <c r="P29">
        <v>13</v>
      </c>
      <c r="Q29">
        <v>20</v>
      </c>
      <c r="R29">
        <v>33</v>
      </c>
      <c r="S29">
        <v>2.44</v>
      </c>
      <c r="T29">
        <v>0.51</v>
      </c>
      <c r="U29">
        <v>0.33</v>
      </c>
      <c r="V29">
        <v>0.85</v>
      </c>
      <c r="W29">
        <v>13.7</v>
      </c>
      <c r="X29">
        <v>9.1999999999999993</v>
      </c>
      <c r="Y29">
        <v>4</v>
      </c>
      <c r="Z29">
        <v>5</v>
      </c>
      <c r="AA29">
        <v>10</v>
      </c>
      <c r="AB29">
        <v>15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14</v>
      </c>
      <c r="AN29">
        <v>154</v>
      </c>
      <c r="AO29">
        <v>95</v>
      </c>
      <c r="AP29">
        <v>13.7</v>
      </c>
      <c r="AQ29">
        <v>11</v>
      </c>
      <c r="AR29">
        <v>24</v>
      </c>
      <c r="AS29">
        <v>35</v>
      </c>
      <c r="AT29">
        <v>40</v>
      </c>
      <c r="AU29">
        <v>28</v>
      </c>
      <c r="AV29">
        <v>30</v>
      </c>
      <c r="AW29">
        <v>2</v>
      </c>
      <c r="AX29">
        <v>537</v>
      </c>
      <c r="AY29">
        <v>311</v>
      </c>
      <c r="AZ29">
        <v>226</v>
      </c>
      <c r="BA29">
        <v>57.9</v>
      </c>
      <c r="BB29">
        <v>6</v>
      </c>
      <c r="BC29">
        <v>12</v>
      </c>
      <c r="BD29">
        <v>8</v>
      </c>
      <c r="BE29">
        <v>16</v>
      </c>
      <c r="BF29">
        <v>0</v>
      </c>
      <c r="BG29">
        <v>854</v>
      </c>
      <c r="BH29">
        <v>396</v>
      </c>
      <c r="BI29">
        <v>231</v>
      </c>
      <c r="BJ29">
        <v>240</v>
      </c>
      <c r="BK29">
        <v>40734</v>
      </c>
      <c r="BL29">
        <v>8741</v>
      </c>
      <c r="BM29">
        <v>2520</v>
      </c>
      <c r="BN29">
        <v>29473</v>
      </c>
      <c r="BO29" t="s">
        <v>174</v>
      </c>
      <c r="BP29" t="s">
        <v>107</v>
      </c>
      <c r="BQ29" t="s">
        <v>89</v>
      </c>
      <c r="BR29" t="s">
        <v>76</v>
      </c>
      <c r="BS29" t="s">
        <v>177</v>
      </c>
    </row>
    <row r="30" spans="1:71" x14ac:dyDescent="0.3">
      <c r="A30" t="s">
        <v>71</v>
      </c>
      <c r="B30">
        <v>20260108</v>
      </c>
      <c r="C30">
        <v>1</v>
      </c>
      <c r="D30" t="s">
        <v>121</v>
      </c>
      <c r="E30">
        <v>39074</v>
      </c>
      <c r="F30" t="s">
        <v>186</v>
      </c>
      <c r="G30" t="s">
        <v>74</v>
      </c>
      <c r="H30">
        <v>26</v>
      </c>
      <c r="I30" t="s">
        <v>99</v>
      </c>
      <c r="J30">
        <v>175</v>
      </c>
      <c r="K30" t="s">
        <v>85</v>
      </c>
      <c r="L30" t="s">
        <v>187</v>
      </c>
      <c r="M30" t="b">
        <v>1</v>
      </c>
      <c r="N30" t="s">
        <v>95</v>
      </c>
      <c r="O30">
        <v>35</v>
      </c>
      <c r="P30">
        <v>6</v>
      </c>
      <c r="Q30">
        <v>7</v>
      </c>
      <c r="R30">
        <v>13</v>
      </c>
      <c r="S30">
        <v>1.29</v>
      </c>
      <c r="T30">
        <v>0.2</v>
      </c>
      <c r="U30">
        <v>0.17</v>
      </c>
      <c r="V30">
        <v>0.37</v>
      </c>
      <c r="W30">
        <v>16.3</v>
      </c>
      <c r="X30">
        <v>9.1999999999999993</v>
      </c>
      <c r="Y30">
        <v>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7</v>
      </c>
      <c r="AN30">
        <v>92</v>
      </c>
      <c r="AO30">
        <v>45</v>
      </c>
      <c r="AP30">
        <v>13.3</v>
      </c>
      <c r="AQ30">
        <v>17</v>
      </c>
      <c r="AR30">
        <v>24</v>
      </c>
      <c r="AS30">
        <v>23</v>
      </c>
      <c r="AT30">
        <v>36</v>
      </c>
      <c r="AU30">
        <v>39</v>
      </c>
      <c r="AV30">
        <v>19</v>
      </c>
      <c r="AW30">
        <v>6</v>
      </c>
      <c r="AX30">
        <v>43</v>
      </c>
      <c r="AY30">
        <v>16</v>
      </c>
      <c r="AZ30">
        <v>27</v>
      </c>
      <c r="BA30">
        <v>37.200000000000003</v>
      </c>
      <c r="BB30">
        <v>6</v>
      </c>
      <c r="BC30">
        <v>12</v>
      </c>
      <c r="BD30">
        <v>14</v>
      </c>
      <c r="BE30">
        <v>28</v>
      </c>
      <c r="BF30">
        <v>0</v>
      </c>
      <c r="BG30">
        <v>614</v>
      </c>
      <c r="BH30">
        <v>355</v>
      </c>
      <c r="BI30">
        <v>184</v>
      </c>
      <c r="BJ30">
        <v>82</v>
      </c>
      <c r="BK30">
        <v>27191</v>
      </c>
      <c r="BL30">
        <v>4944</v>
      </c>
      <c r="BM30">
        <v>2281</v>
      </c>
      <c r="BN30">
        <v>20013</v>
      </c>
      <c r="BO30" t="s">
        <v>121</v>
      </c>
      <c r="BP30" t="s">
        <v>124</v>
      </c>
      <c r="BQ30" t="s">
        <v>80</v>
      </c>
      <c r="BR30" t="s">
        <v>85</v>
      </c>
      <c r="BS30" t="s">
        <v>125</v>
      </c>
    </row>
    <row r="31" spans="1:71" x14ac:dyDescent="0.3">
      <c r="A31" t="s">
        <v>71</v>
      </c>
      <c r="B31">
        <v>20260108</v>
      </c>
      <c r="C31">
        <v>8</v>
      </c>
      <c r="D31" t="s">
        <v>188</v>
      </c>
      <c r="E31">
        <v>5233</v>
      </c>
      <c r="F31" t="s">
        <v>189</v>
      </c>
      <c r="G31" t="s">
        <v>74</v>
      </c>
      <c r="H31">
        <v>30</v>
      </c>
      <c r="I31" t="s">
        <v>75</v>
      </c>
      <c r="J31">
        <v>215</v>
      </c>
      <c r="K31" t="s">
        <v>118</v>
      </c>
      <c r="L31" t="s">
        <v>144</v>
      </c>
      <c r="M31" t="b">
        <v>0</v>
      </c>
      <c r="N31" t="s">
        <v>78</v>
      </c>
      <c r="O31">
        <v>36</v>
      </c>
      <c r="P31">
        <v>21</v>
      </c>
      <c r="Q31">
        <v>12</v>
      </c>
      <c r="R31">
        <v>33</v>
      </c>
      <c r="S31">
        <v>3.39</v>
      </c>
      <c r="T31">
        <v>0.33</v>
      </c>
      <c r="U31">
        <v>0.57999999999999996</v>
      </c>
      <c r="V31">
        <v>0.92</v>
      </c>
      <c r="W31">
        <v>15.6</v>
      </c>
      <c r="X31">
        <v>19.7</v>
      </c>
      <c r="Y31">
        <v>7</v>
      </c>
      <c r="Z31">
        <v>6</v>
      </c>
      <c r="AA31">
        <v>6</v>
      </c>
      <c r="AB31">
        <v>12</v>
      </c>
      <c r="AC31">
        <v>1</v>
      </c>
      <c r="AD31">
        <v>0</v>
      </c>
      <c r="AE31">
        <v>1</v>
      </c>
      <c r="AF31">
        <v>3</v>
      </c>
      <c r="AG31">
        <v>0</v>
      </c>
      <c r="AH31">
        <v>0</v>
      </c>
      <c r="AI31">
        <v>6</v>
      </c>
      <c r="AJ31">
        <v>2</v>
      </c>
      <c r="AK31">
        <v>2</v>
      </c>
      <c r="AL31">
        <v>33.33</v>
      </c>
      <c r="AM31">
        <v>4</v>
      </c>
      <c r="AN31">
        <v>213</v>
      </c>
      <c r="AO31">
        <v>122</v>
      </c>
      <c r="AP31">
        <v>17.2</v>
      </c>
      <c r="AQ31">
        <v>19</v>
      </c>
      <c r="AR31">
        <v>44</v>
      </c>
      <c r="AS31">
        <v>47</v>
      </c>
      <c r="AT31">
        <v>26</v>
      </c>
      <c r="AU31">
        <v>18</v>
      </c>
      <c r="AV31">
        <v>42</v>
      </c>
      <c r="AW31">
        <v>8</v>
      </c>
      <c r="AX31">
        <v>654</v>
      </c>
      <c r="AY31">
        <v>377</v>
      </c>
      <c r="AZ31">
        <v>277</v>
      </c>
      <c r="BA31">
        <v>57.6</v>
      </c>
      <c r="BB31">
        <v>10</v>
      </c>
      <c r="BC31">
        <v>32</v>
      </c>
      <c r="BD31">
        <v>6</v>
      </c>
      <c r="BE31">
        <v>12</v>
      </c>
      <c r="BF31">
        <v>0</v>
      </c>
      <c r="BG31">
        <v>834</v>
      </c>
      <c r="BH31">
        <v>398</v>
      </c>
      <c r="BI31">
        <v>247</v>
      </c>
      <c r="BJ31">
        <v>213</v>
      </c>
      <c r="BK31">
        <v>44290</v>
      </c>
      <c r="BL31">
        <v>9481</v>
      </c>
      <c r="BM31">
        <v>5557</v>
      </c>
      <c r="BN31">
        <v>29287</v>
      </c>
      <c r="BO31" t="s">
        <v>188</v>
      </c>
      <c r="BP31" t="s">
        <v>79</v>
      </c>
      <c r="BQ31" t="s">
        <v>80</v>
      </c>
      <c r="BR31" t="s">
        <v>118</v>
      </c>
      <c r="BS31" t="s">
        <v>190</v>
      </c>
    </row>
    <row r="32" spans="1:71" x14ac:dyDescent="0.3">
      <c r="A32" t="s">
        <v>71</v>
      </c>
      <c r="B32">
        <v>20260108</v>
      </c>
      <c r="C32">
        <v>7</v>
      </c>
      <c r="D32" t="s">
        <v>97</v>
      </c>
      <c r="E32">
        <v>17125</v>
      </c>
      <c r="F32" t="s">
        <v>191</v>
      </c>
      <c r="G32" t="s">
        <v>74</v>
      </c>
      <c r="H32">
        <v>24</v>
      </c>
      <c r="I32" t="s">
        <v>136</v>
      </c>
      <c r="J32">
        <v>170</v>
      </c>
      <c r="K32" t="s">
        <v>128</v>
      </c>
      <c r="L32" t="s">
        <v>192</v>
      </c>
      <c r="M32" t="b">
        <v>0</v>
      </c>
      <c r="N32" t="s">
        <v>78</v>
      </c>
      <c r="O32">
        <v>25</v>
      </c>
      <c r="P32">
        <v>11</v>
      </c>
      <c r="Q32">
        <v>13</v>
      </c>
      <c r="R32">
        <v>24</v>
      </c>
      <c r="S32">
        <v>3.72</v>
      </c>
      <c r="T32">
        <v>0.52</v>
      </c>
      <c r="U32">
        <v>0.44</v>
      </c>
      <c r="V32">
        <v>0.96</v>
      </c>
      <c r="W32">
        <v>6.6</v>
      </c>
      <c r="X32">
        <v>0</v>
      </c>
      <c r="Y32">
        <v>3</v>
      </c>
      <c r="Z32">
        <v>1</v>
      </c>
      <c r="AA32">
        <v>6</v>
      </c>
      <c r="AB32">
        <v>7</v>
      </c>
      <c r="AC32">
        <v>0</v>
      </c>
      <c r="AD32">
        <v>0</v>
      </c>
      <c r="AE32">
        <v>0</v>
      </c>
      <c r="AF32">
        <v>2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-4</v>
      </c>
      <c r="AN32">
        <v>173</v>
      </c>
      <c r="AO32">
        <v>93</v>
      </c>
      <c r="AP32">
        <v>11.8</v>
      </c>
      <c r="AQ32">
        <v>11</v>
      </c>
      <c r="AR32">
        <v>50</v>
      </c>
      <c r="AS32">
        <v>30</v>
      </c>
      <c r="AT32">
        <v>2</v>
      </c>
      <c r="AU32">
        <v>22</v>
      </c>
      <c r="AV32">
        <v>47</v>
      </c>
      <c r="AW32">
        <v>15</v>
      </c>
      <c r="AX32">
        <v>153</v>
      </c>
      <c r="AY32">
        <v>52</v>
      </c>
      <c r="AZ32">
        <v>101</v>
      </c>
      <c r="BA32">
        <v>34</v>
      </c>
      <c r="BB32">
        <v>0</v>
      </c>
      <c r="BC32">
        <v>0</v>
      </c>
      <c r="BD32">
        <v>8</v>
      </c>
      <c r="BE32">
        <v>16</v>
      </c>
      <c r="BF32">
        <v>0</v>
      </c>
      <c r="BG32">
        <v>557</v>
      </c>
      <c r="BH32">
        <v>367</v>
      </c>
      <c r="BI32">
        <v>109</v>
      </c>
      <c r="BJ32">
        <v>92</v>
      </c>
      <c r="BK32">
        <v>31972</v>
      </c>
      <c r="BL32">
        <v>6964</v>
      </c>
      <c r="BM32">
        <v>1089</v>
      </c>
      <c r="BN32">
        <v>23953</v>
      </c>
      <c r="BO32" t="s">
        <v>97</v>
      </c>
      <c r="BP32" t="s">
        <v>79</v>
      </c>
      <c r="BQ32" t="s">
        <v>80</v>
      </c>
      <c r="BR32" t="s">
        <v>132</v>
      </c>
      <c r="BS32" t="s">
        <v>102</v>
      </c>
    </row>
    <row r="33" spans="1:71" x14ac:dyDescent="0.3">
      <c r="A33" t="s">
        <v>71</v>
      </c>
      <c r="B33">
        <v>20260108</v>
      </c>
      <c r="C33">
        <v>21</v>
      </c>
      <c r="D33" t="s">
        <v>193</v>
      </c>
      <c r="E33">
        <v>14530</v>
      </c>
      <c r="F33" t="s">
        <v>194</v>
      </c>
      <c r="G33" t="s">
        <v>74</v>
      </c>
      <c r="H33">
        <v>26</v>
      </c>
      <c r="I33" t="s">
        <v>99</v>
      </c>
      <c r="J33">
        <v>170</v>
      </c>
      <c r="K33" t="s">
        <v>128</v>
      </c>
      <c r="L33" t="s">
        <v>192</v>
      </c>
      <c r="M33" t="b">
        <v>0</v>
      </c>
      <c r="N33" t="s">
        <v>87</v>
      </c>
      <c r="O33">
        <v>26</v>
      </c>
      <c r="P33">
        <v>2</v>
      </c>
      <c r="Q33">
        <v>21</v>
      </c>
      <c r="R33">
        <v>23</v>
      </c>
      <c r="S33">
        <v>2.85</v>
      </c>
      <c r="T33">
        <v>0.81</v>
      </c>
      <c r="U33">
        <v>0.08</v>
      </c>
      <c r="V33">
        <v>0.88</v>
      </c>
      <c r="W33">
        <v>18.3</v>
      </c>
      <c r="X33">
        <v>9.1999999999999993</v>
      </c>
      <c r="Y33">
        <v>0</v>
      </c>
      <c r="Z33">
        <v>2</v>
      </c>
      <c r="AA33">
        <v>10</v>
      </c>
      <c r="AB33">
        <v>12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-10</v>
      </c>
      <c r="AN33">
        <v>190</v>
      </c>
      <c r="AO33">
        <v>74</v>
      </c>
      <c r="AP33">
        <v>2.7</v>
      </c>
      <c r="AQ33">
        <v>32</v>
      </c>
      <c r="AR33">
        <v>73</v>
      </c>
      <c r="AS33">
        <v>43</v>
      </c>
      <c r="AT33">
        <v>1</v>
      </c>
      <c r="AU33">
        <v>21</v>
      </c>
      <c r="AV33">
        <v>41</v>
      </c>
      <c r="AW33">
        <v>10</v>
      </c>
      <c r="AX33">
        <v>0</v>
      </c>
      <c r="AY33">
        <v>0</v>
      </c>
      <c r="AZ33">
        <v>0</v>
      </c>
      <c r="BA33">
        <v>0</v>
      </c>
      <c r="BB33">
        <v>6</v>
      </c>
      <c r="BC33">
        <v>12</v>
      </c>
      <c r="BD33">
        <v>12</v>
      </c>
      <c r="BE33">
        <v>24</v>
      </c>
      <c r="BF33">
        <v>0</v>
      </c>
      <c r="BG33">
        <v>624</v>
      </c>
      <c r="BH33">
        <v>353</v>
      </c>
      <c r="BI33">
        <v>185</v>
      </c>
      <c r="BJ33">
        <v>88</v>
      </c>
      <c r="BK33">
        <v>42788</v>
      </c>
      <c r="BL33">
        <v>7884</v>
      </c>
      <c r="BM33">
        <v>7220</v>
      </c>
      <c r="BN33">
        <v>27684</v>
      </c>
      <c r="BO33" t="s">
        <v>193</v>
      </c>
      <c r="BP33" t="s">
        <v>88</v>
      </c>
      <c r="BQ33" t="s">
        <v>89</v>
      </c>
      <c r="BR33" t="s">
        <v>132</v>
      </c>
      <c r="BS33" t="s">
        <v>112</v>
      </c>
    </row>
    <row r="34" spans="1:71" x14ac:dyDescent="0.3">
      <c r="A34" t="s">
        <v>71</v>
      </c>
      <c r="B34">
        <v>20260108</v>
      </c>
      <c r="C34">
        <v>21</v>
      </c>
      <c r="D34" t="s">
        <v>193</v>
      </c>
      <c r="E34">
        <v>14530</v>
      </c>
      <c r="F34" t="s">
        <v>194</v>
      </c>
      <c r="G34" t="s">
        <v>74</v>
      </c>
      <c r="H34">
        <v>26</v>
      </c>
      <c r="I34" t="s">
        <v>99</v>
      </c>
      <c r="J34">
        <v>170</v>
      </c>
      <c r="K34" t="s">
        <v>128</v>
      </c>
      <c r="L34" t="s">
        <v>192</v>
      </c>
      <c r="M34" t="b">
        <v>0</v>
      </c>
      <c r="N34" t="s">
        <v>87</v>
      </c>
      <c r="O34">
        <v>26</v>
      </c>
      <c r="P34">
        <v>2</v>
      </c>
      <c r="Q34">
        <v>21</v>
      </c>
      <c r="R34">
        <v>23</v>
      </c>
      <c r="S34">
        <v>2.85</v>
      </c>
      <c r="T34">
        <v>0.81</v>
      </c>
      <c r="U34">
        <v>0.08</v>
      </c>
      <c r="V34">
        <v>0.88</v>
      </c>
      <c r="W34">
        <v>18.3</v>
      </c>
      <c r="X34">
        <v>9.1999999999999993</v>
      </c>
      <c r="Y34">
        <v>0</v>
      </c>
      <c r="Z34">
        <v>2</v>
      </c>
      <c r="AA34">
        <v>10</v>
      </c>
      <c r="AB34">
        <v>12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-10</v>
      </c>
      <c r="AN34">
        <v>190</v>
      </c>
      <c r="AO34">
        <v>74</v>
      </c>
      <c r="AP34">
        <v>2.7</v>
      </c>
      <c r="AQ34">
        <v>32</v>
      </c>
      <c r="AR34">
        <v>73</v>
      </c>
      <c r="AS34">
        <v>43</v>
      </c>
      <c r="AT34">
        <v>1</v>
      </c>
      <c r="AU34">
        <v>21</v>
      </c>
      <c r="AV34">
        <v>41</v>
      </c>
      <c r="AW34">
        <v>10</v>
      </c>
      <c r="AX34">
        <v>0</v>
      </c>
      <c r="AY34">
        <v>0</v>
      </c>
      <c r="AZ34">
        <v>0</v>
      </c>
      <c r="BA34">
        <v>0</v>
      </c>
      <c r="BB34">
        <v>6</v>
      </c>
      <c r="BC34">
        <v>12</v>
      </c>
      <c r="BD34">
        <v>12</v>
      </c>
      <c r="BE34">
        <v>24</v>
      </c>
      <c r="BF34">
        <v>0</v>
      </c>
      <c r="BG34">
        <v>624</v>
      </c>
      <c r="BH34">
        <v>353</v>
      </c>
      <c r="BI34">
        <v>185</v>
      </c>
      <c r="BJ34">
        <v>88</v>
      </c>
      <c r="BK34">
        <v>42788</v>
      </c>
      <c r="BL34">
        <v>7884</v>
      </c>
      <c r="BM34">
        <v>7220</v>
      </c>
      <c r="BN34">
        <v>27684</v>
      </c>
      <c r="BO34" t="s">
        <v>193</v>
      </c>
      <c r="BP34" t="s">
        <v>88</v>
      </c>
      <c r="BQ34" t="s">
        <v>89</v>
      </c>
      <c r="BR34" t="s">
        <v>132</v>
      </c>
      <c r="BS34" t="s">
        <v>112</v>
      </c>
    </row>
    <row r="35" spans="1:71" x14ac:dyDescent="0.3">
      <c r="A35" t="s">
        <v>71</v>
      </c>
      <c r="B35">
        <v>20260108</v>
      </c>
      <c r="C35">
        <v>25</v>
      </c>
      <c r="D35" t="s">
        <v>109</v>
      </c>
      <c r="E35">
        <v>14530</v>
      </c>
      <c r="F35" t="s">
        <v>194</v>
      </c>
      <c r="G35" t="s">
        <v>74</v>
      </c>
      <c r="H35">
        <v>26</v>
      </c>
      <c r="I35" t="s">
        <v>99</v>
      </c>
      <c r="J35">
        <v>170</v>
      </c>
      <c r="K35" t="s">
        <v>128</v>
      </c>
      <c r="L35" t="s">
        <v>192</v>
      </c>
      <c r="M35" t="b">
        <v>0</v>
      </c>
      <c r="N35" t="s">
        <v>87</v>
      </c>
      <c r="O35">
        <v>12</v>
      </c>
      <c r="P35">
        <v>1</v>
      </c>
      <c r="Q35">
        <v>11</v>
      </c>
      <c r="R35">
        <v>12</v>
      </c>
      <c r="S35">
        <v>2.08</v>
      </c>
      <c r="T35">
        <v>0.92</v>
      </c>
      <c r="U35">
        <v>0.08</v>
      </c>
      <c r="V35">
        <v>1</v>
      </c>
      <c r="W35">
        <v>8.1</v>
      </c>
      <c r="X35">
        <v>0</v>
      </c>
      <c r="Y35">
        <v>0</v>
      </c>
      <c r="Z35">
        <v>0</v>
      </c>
      <c r="AA35">
        <v>4</v>
      </c>
      <c r="AB35">
        <v>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64</v>
      </c>
      <c r="AO35">
        <v>25</v>
      </c>
      <c r="AP35">
        <v>4</v>
      </c>
      <c r="AQ35">
        <v>13</v>
      </c>
      <c r="AR35">
        <v>28</v>
      </c>
      <c r="AS35">
        <v>11</v>
      </c>
      <c r="AT35">
        <v>4</v>
      </c>
      <c r="AU35">
        <v>16</v>
      </c>
      <c r="AV35">
        <v>14</v>
      </c>
      <c r="AW35">
        <v>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3</v>
      </c>
      <c r="BE35">
        <v>6</v>
      </c>
      <c r="BF35">
        <v>0</v>
      </c>
      <c r="BG35">
        <v>287</v>
      </c>
      <c r="BH35">
        <v>155</v>
      </c>
      <c r="BI35">
        <v>53</v>
      </c>
      <c r="BJ35">
        <v>80</v>
      </c>
      <c r="BK35">
        <v>19758</v>
      </c>
      <c r="BL35">
        <v>3686</v>
      </c>
      <c r="BM35">
        <v>1452</v>
      </c>
      <c r="BN35">
        <v>14620</v>
      </c>
      <c r="BO35" t="s">
        <v>109</v>
      </c>
      <c r="BP35" t="s">
        <v>107</v>
      </c>
      <c r="BQ35" t="s">
        <v>89</v>
      </c>
      <c r="BR35" t="s">
        <v>132</v>
      </c>
      <c r="BS35" t="s">
        <v>112</v>
      </c>
    </row>
    <row r="36" spans="1:71" x14ac:dyDescent="0.3">
      <c r="A36" t="s">
        <v>71</v>
      </c>
      <c r="B36">
        <v>20260108</v>
      </c>
      <c r="C36">
        <v>25</v>
      </c>
      <c r="D36" t="s">
        <v>109</v>
      </c>
      <c r="E36">
        <v>14530</v>
      </c>
      <c r="F36" t="s">
        <v>194</v>
      </c>
      <c r="G36" t="s">
        <v>74</v>
      </c>
      <c r="H36">
        <v>26</v>
      </c>
      <c r="I36" t="s">
        <v>99</v>
      </c>
      <c r="J36">
        <v>170</v>
      </c>
      <c r="K36" t="s">
        <v>128</v>
      </c>
      <c r="L36" t="s">
        <v>192</v>
      </c>
      <c r="M36" t="b">
        <v>0</v>
      </c>
      <c r="N36" t="s">
        <v>87</v>
      </c>
      <c r="O36">
        <v>12</v>
      </c>
      <c r="P36">
        <v>1</v>
      </c>
      <c r="Q36">
        <v>11</v>
      </c>
      <c r="R36">
        <v>12</v>
      </c>
      <c r="S36">
        <v>2.08</v>
      </c>
      <c r="T36">
        <v>0.92</v>
      </c>
      <c r="U36">
        <v>0.08</v>
      </c>
      <c r="V36">
        <v>1</v>
      </c>
      <c r="W36">
        <v>8.1</v>
      </c>
      <c r="X36">
        <v>0</v>
      </c>
      <c r="Y36">
        <v>0</v>
      </c>
      <c r="Z36">
        <v>0</v>
      </c>
      <c r="AA36">
        <v>4</v>
      </c>
      <c r="AB36">
        <v>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6</v>
      </c>
      <c r="AN36">
        <v>64</v>
      </c>
      <c r="AO36">
        <v>25</v>
      </c>
      <c r="AP36">
        <v>4</v>
      </c>
      <c r="AQ36">
        <v>13</v>
      </c>
      <c r="AR36">
        <v>28</v>
      </c>
      <c r="AS36">
        <v>11</v>
      </c>
      <c r="AT36">
        <v>4</v>
      </c>
      <c r="AU36">
        <v>16</v>
      </c>
      <c r="AV36">
        <v>14</v>
      </c>
      <c r="AW36">
        <v>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3</v>
      </c>
      <c r="BE36">
        <v>6</v>
      </c>
      <c r="BF36">
        <v>0</v>
      </c>
      <c r="BG36">
        <v>287</v>
      </c>
      <c r="BH36">
        <v>155</v>
      </c>
      <c r="BI36">
        <v>53</v>
      </c>
      <c r="BJ36">
        <v>80</v>
      </c>
      <c r="BK36">
        <v>19758</v>
      </c>
      <c r="BL36">
        <v>3686</v>
      </c>
      <c r="BM36">
        <v>1452</v>
      </c>
      <c r="BN36">
        <v>14620</v>
      </c>
      <c r="BO36" t="s">
        <v>109</v>
      </c>
      <c r="BP36" t="s">
        <v>107</v>
      </c>
      <c r="BQ36" t="s">
        <v>89</v>
      </c>
      <c r="BR36" t="s">
        <v>132</v>
      </c>
      <c r="BS36" t="s">
        <v>112</v>
      </c>
    </row>
    <row r="37" spans="1:71" x14ac:dyDescent="0.3">
      <c r="A37" t="s">
        <v>71</v>
      </c>
      <c r="B37">
        <v>20260108</v>
      </c>
      <c r="C37">
        <v>11</v>
      </c>
      <c r="D37" t="s">
        <v>195</v>
      </c>
      <c r="E37">
        <v>13644</v>
      </c>
      <c r="F37" t="s">
        <v>196</v>
      </c>
      <c r="G37" t="s">
        <v>74</v>
      </c>
      <c r="H37">
        <v>26</v>
      </c>
      <c r="I37" t="s">
        <v>75</v>
      </c>
      <c r="J37">
        <v>195</v>
      </c>
      <c r="K37" t="s">
        <v>76</v>
      </c>
      <c r="L37" t="s">
        <v>167</v>
      </c>
      <c r="M37" t="b">
        <v>0</v>
      </c>
      <c r="N37" t="s">
        <v>87</v>
      </c>
      <c r="O37">
        <v>26</v>
      </c>
      <c r="P37">
        <v>0</v>
      </c>
      <c r="Q37">
        <v>6</v>
      </c>
      <c r="R37">
        <v>6</v>
      </c>
      <c r="S37">
        <v>0.85</v>
      </c>
      <c r="T37">
        <v>0.23</v>
      </c>
      <c r="U37">
        <v>0</v>
      </c>
      <c r="V37">
        <v>0.23</v>
      </c>
      <c r="W37">
        <v>13.2</v>
      </c>
      <c r="X37">
        <v>7.7</v>
      </c>
      <c r="Y37">
        <v>0</v>
      </c>
      <c r="Z37">
        <v>0</v>
      </c>
      <c r="AA37">
        <v>2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-5</v>
      </c>
      <c r="AN37">
        <v>75</v>
      </c>
      <c r="AO37">
        <v>22</v>
      </c>
      <c r="AP37">
        <v>0</v>
      </c>
      <c r="AQ37">
        <v>19</v>
      </c>
      <c r="AR37">
        <v>31</v>
      </c>
      <c r="AS37">
        <v>22</v>
      </c>
      <c r="AT37">
        <v>13</v>
      </c>
      <c r="AU37">
        <v>44</v>
      </c>
      <c r="AV37">
        <v>32</v>
      </c>
      <c r="AW37">
        <v>5</v>
      </c>
      <c r="AX37">
        <v>0</v>
      </c>
      <c r="AY37">
        <v>0</v>
      </c>
      <c r="AZ37">
        <v>0</v>
      </c>
      <c r="BA37">
        <v>0</v>
      </c>
      <c r="BB37">
        <v>5</v>
      </c>
      <c r="BC37">
        <v>10</v>
      </c>
      <c r="BD37">
        <v>2</v>
      </c>
      <c r="BE37">
        <v>4</v>
      </c>
      <c r="BF37">
        <v>0</v>
      </c>
      <c r="BG37">
        <v>604</v>
      </c>
      <c r="BH37">
        <v>357</v>
      </c>
      <c r="BI37">
        <v>130</v>
      </c>
      <c r="BJ37">
        <v>117</v>
      </c>
      <c r="BK37">
        <v>27054</v>
      </c>
      <c r="BL37">
        <v>4674</v>
      </c>
      <c r="BM37">
        <v>2705</v>
      </c>
      <c r="BN37">
        <v>19675</v>
      </c>
      <c r="BO37" t="s">
        <v>195</v>
      </c>
      <c r="BP37" t="s">
        <v>124</v>
      </c>
      <c r="BQ37" t="s">
        <v>80</v>
      </c>
      <c r="BR37" t="s">
        <v>76</v>
      </c>
      <c r="BS37" t="s">
        <v>197</v>
      </c>
    </row>
    <row r="38" spans="1:71" x14ac:dyDescent="0.3">
      <c r="A38" t="s">
        <v>71</v>
      </c>
      <c r="B38">
        <v>20260108</v>
      </c>
      <c r="C38">
        <v>4</v>
      </c>
      <c r="D38" t="s">
        <v>161</v>
      </c>
      <c r="E38">
        <v>5243</v>
      </c>
      <c r="F38" t="s">
        <v>198</v>
      </c>
      <c r="G38" t="s">
        <v>74</v>
      </c>
      <c r="H38">
        <v>31</v>
      </c>
      <c r="I38" t="s">
        <v>93</v>
      </c>
      <c r="J38">
        <v>209</v>
      </c>
      <c r="K38" t="s">
        <v>128</v>
      </c>
      <c r="L38" t="s">
        <v>199</v>
      </c>
      <c r="M38" t="b">
        <v>0</v>
      </c>
      <c r="N38" t="s">
        <v>87</v>
      </c>
      <c r="O38">
        <v>40</v>
      </c>
      <c r="P38">
        <v>6</v>
      </c>
      <c r="Q38">
        <v>18</v>
      </c>
      <c r="R38">
        <v>24</v>
      </c>
      <c r="S38">
        <v>1.95</v>
      </c>
      <c r="T38">
        <v>0.45</v>
      </c>
      <c r="U38">
        <v>0.15</v>
      </c>
      <c r="V38">
        <v>0.6</v>
      </c>
      <c r="W38">
        <v>33.700000000000003</v>
      </c>
      <c r="X38">
        <v>10.7</v>
      </c>
      <c r="Y38">
        <v>2</v>
      </c>
      <c r="Z38">
        <v>5</v>
      </c>
      <c r="AA38">
        <v>8</v>
      </c>
      <c r="AB38">
        <v>13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-2</v>
      </c>
      <c r="AN38">
        <v>194</v>
      </c>
      <c r="AO38">
        <v>78</v>
      </c>
      <c r="AP38">
        <v>7.7</v>
      </c>
      <c r="AQ38">
        <v>47</v>
      </c>
      <c r="AR38">
        <v>64</v>
      </c>
      <c r="AS38">
        <v>52</v>
      </c>
      <c r="AT38">
        <v>38</v>
      </c>
      <c r="AU38">
        <v>57</v>
      </c>
      <c r="AV38">
        <v>52</v>
      </c>
      <c r="AW38">
        <v>10</v>
      </c>
      <c r="AX38">
        <v>0</v>
      </c>
      <c r="AY38">
        <v>0</v>
      </c>
      <c r="AZ38">
        <v>0</v>
      </c>
      <c r="BA38">
        <v>0</v>
      </c>
      <c r="BB38">
        <v>6</v>
      </c>
      <c r="BC38">
        <v>16</v>
      </c>
      <c r="BD38">
        <v>7</v>
      </c>
      <c r="BE38">
        <v>14</v>
      </c>
      <c r="BF38">
        <v>0</v>
      </c>
      <c r="BG38">
        <v>1087</v>
      </c>
      <c r="BH38">
        <v>494</v>
      </c>
      <c r="BI38">
        <v>208</v>
      </c>
      <c r="BJ38">
        <v>389</v>
      </c>
      <c r="BK38">
        <v>56376</v>
      </c>
      <c r="BL38">
        <v>10315</v>
      </c>
      <c r="BM38">
        <v>2818</v>
      </c>
      <c r="BN38">
        <v>43243</v>
      </c>
      <c r="BO38" t="s">
        <v>164</v>
      </c>
      <c r="BP38" t="s">
        <v>131</v>
      </c>
      <c r="BQ38" t="s">
        <v>131</v>
      </c>
      <c r="BR38" t="s">
        <v>132</v>
      </c>
      <c r="BS38" t="s">
        <v>165</v>
      </c>
    </row>
    <row r="39" spans="1:71" x14ac:dyDescent="0.3">
      <c r="A39" t="s">
        <v>71</v>
      </c>
      <c r="B39">
        <v>20260108</v>
      </c>
      <c r="C39">
        <v>143</v>
      </c>
      <c r="D39" t="s">
        <v>200</v>
      </c>
      <c r="E39">
        <v>17126</v>
      </c>
      <c r="F39" t="s">
        <v>201</v>
      </c>
      <c r="G39" t="s">
        <v>74</v>
      </c>
      <c r="H39">
        <v>24</v>
      </c>
      <c r="I39" t="s">
        <v>105</v>
      </c>
      <c r="J39">
        <v>199</v>
      </c>
      <c r="K39" t="s">
        <v>76</v>
      </c>
      <c r="L39" t="s">
        <v>202</v>
      </c>
      <c r="M39" t="b">
        <v>0</v>
      </c>
      <c r="N39" t="s">
        <v>95</v>
      </c>
      <c r="O39">
        <v>25</v>
      </c>
      <c r="P39">
        <v>4</v>
      </c>
      <c r="Q39">
        <v>10</v>
      </c>
      <c r="R39">
        <v>14</v>
      </c>
      <c r="S39">
        <v>1.6</v>
      </c>
      <c r="T39">
        <v>0.4</v>
      </c>
      <c r="U39">
        <v>0.16</v>
      </c>
      <c r="V39">
        <v>0.56000000000000005</v>
      </c>
      <c r="W39">
        <v>3.9</v>
      </c>
      <c r="X39">
        <v>4.5999999999999996</v>
      </c>
      <c r="Y39">
        <v>1</v>
      </c>
      <c r="Z39">
        <v>1</v>
      </c>
      <c r="AA39">
        <v>3</v>
      </c>
      <c r="AB39">
        <v>4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3</v>
      </c>
      <c r="AN39">
        <v>66</v>
      </c>
      <c r="AO39">
        <v>40</v>
      </c>
      <c r="AP39">
        <v>10</v>
      </c>
      <c r="AQ39">
        <v>3</v>
      </c>
      <c r="AR39">
        <v>14</v>
      </c>
      <c r="AS39">
        <v>12</v>
      </c>
      <c r="AT39">
        <v>12</v>
      </c>
      <c r="AU39">
        <v>17</v>
      </c>
      <c r="AV39">
        <v>17</v>
      </c>
      <c r="AW39">
        <v>6</v>
      </c>
      <c r="AX39">
        <v>17</v>
      </c>
      <c r="AY39">
        <v>10</v>
      </c>
      <c r="AZ39">
        <v>7</v>
      </c>
      <c r="BA39">
        <v>58.8</v>
      </c>
      <c r="BB39">
        <v>3</v>
      </c>
      <c r="BC39">
        <v>6</v>
      </c>
      <c r="BD39">
        <v>4</v>
      </c>
      <c r="BE39">
        <v>8</v>
      </c>
      <c r="BF39">
        <v>0</v>
      </c>
      <c r="BG39">
        <v>497</v>
      </c>
      <c r="BH39">
        <v>279</v>
      </c>
      <c r="BI39">
        <v>102</v>
      </c>
      <c r="BJ39">
        <v>114</v>
      </c>
      <c r="BK39">
        <v>21311</v>
      </c>
      <c r="BL39">
        <v>3728</v>
      </c>
      <c r="BM39">
        <v>1223</v>
      </c>
      <c r="BN39">
        <v>16117</v>
      </c>
      <c r="BO39" t="s">
        <v>200</v>
      </c>
      <c r="BP39" t="s">
        <v>88</v>
      </c>
      <c r="BQ39" t="s">
        <v>89</v>
      </c>
      <c r="BR39" t="s">
        <v>76</v>
      </c>
      <c r="BS39" t="s">
        <v>203</v>
      </c>
    </row>
    <row r="40" spans="1:71" x14ac:dyDescent="0.3">
      <c r="A40" t="s">
        <v>71</v>
      </c>
      <c r="B40">
        <v>20260108</v>
      </c>
      <c r="C40">
        <v>14</v>
      </c>
      <c r="D40" t="s">
        <v>204</v>
      </c>
      <c r="E40">
        <v>37995</v>
      </c>
      <c r="F40" t="s">
        <v>205</v>
      </c>
      <c r="G40" t="s">
        <v>74</v>
      </c>
      <c r="H40">
        <v>22</v>
      </c>
      <c r="I40" t="s">
        <v>84</v>
      </c>
      <c r="J40">
        <v>182</v>
      </c>
      <c r="K40" t="s">
        <v>85</v>
      </c>
      <c r="L40" t="s">
        <v>206</v>
      </c>
      <c r="M40" t="b">
        <v>1</v>
      </c>
      <c r="N40" t="s">
        <v>78</v>
      </c>
      <c r="O40">
        <v>43</v>
      </c>
      <c r="P40">
        <v>14</v>
      </c>
      <c r="Q40">
        <v>9</v>
      </c>
      <c r="R40">
        <v>23</v>
      </c>
      <c r="S40">
        <v>1.79</v>
      </c>
      <c r="T40">
        <v>0.21</v>
      </c>
      <c r="U40">
        <v>0.33</v>
      </c>
      <c r="V40">
        <v>0.53</v>
      </c>
      <c r="W40">
        <v>26.2</v>
      </c>
      <c r="X40">
        <v>7.7</v>
      </c>
      <c r="Y40">
        <v>4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2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128</v>
      </c>
      <c r="AO40">
        <v>77</v>
      </c>
      <c r="AP40">
        <v>18.2</v>
      </c>
      <c r="AQ40">
        <v>41</v>
      </c>
      <c r="AR40">
        <v>19</v>
      </c>
      <c r="AS40">
        <v>32</v>
      </c>
      <c r="AT40">
        <v>16</v>
      </c>
      <c r="AU40">
        <v>33</v>
      </c>
      <c r="AV40">
        <v>16</v>
      </c>
      <c r="AW40">
        <v>7</v>
      </c>
      <c r="AX40">
        <v>401</v>
      </c>
      <c r="AY40">
        <v>186</v>
      </c>
      <c r="AZ40">
        <v>215</v>
      </c>
      <c r="BA40">
        <v>46.4</v>
      </c>
      <c r="BB40">
        <v>5</v>
      </c>
      <c r="BC40">
        <v>10</v>
      </c>
      <c r="BD40">
        <v>5</v>
      </c>
      <c r="BE40">
        <v>10</v>
      </c>
      <c r="BF40">
        <v>0</v>
      </c>
      <c r="BG40">
        <v>817</v>
      </c>
      <c r="BH40">
        <v>421</v>
      </c>
      <c r="BI40">
        <v>76</v>
      </c>
      <c r="BJ40">
        <v>334</v>
      </c>
      <c r="BK40">
        <v>37906</v>
      </c>
      <c r="BL40">
        <v>3413</v>
      </c>
      <c r="BM40">
        <v>294</v>
      </c>
      <c r="BN40">
        <v>34199</v>
      </c>
      <c r="BO40" t="s">
        <v>204</v>
      </c>
      <c r="BP40" t="s">
        <v>124</v>
      </c>
      <c r="BQ40" t="s">
        <v>80</v>
      </c>
      <c r="BR40" t="s">
        <v>76</v>
      </c>
      <c r="BS40" t="s">
        <v>207</v>
      </c>
    </row>
    <row r="41" spans="1:71" x14ac:dyDescent="0.3">
      <c r="A41" t="s">
        <v>71</v>
      </c>
      <c r="B41">
        <v>20260108</v>
      </c>
      <c r="C41">
        <v>10</v>
      </c>
      <c r="D41" t="s">
        <v>134</v>
      </c>
      <c r="E41">
        <v>4660</v>
      </c>
      <c r="F41" t="s">
        <v>208</v>
      </c>
      <c r="G41" t="s">
        <v>74</v>
      </c>
      <c r="H41">
        <v>35</v>
      </c>
      <c r="I41" t="s">
        <v>75</v>
      </c>
      <c r="J41">
        <v>190</v>
      </c>
      <c r="K41" t="s">
        <v>85</v>
      </c>
      <c r="L41" t="s">
        <v>209</v>
      </c>
      <c r="M41" t="b">
        <v>0</v>
      </c>
      <c r="N41" t="s">
        <v>87</v>
      </c>
      <c r="O41">
        <v>41</v>
      </c>
      <c r="P41">
        <v>3</v>
      </c>
      <c r="Q41">
        <v>28</v>
      </c>
      <c r="R41">
        <v>31</v>
      </c>
      <c r="S41">
        <v>2.2000000000000002</v>
      </c>
      <c r="T41">
        <v>0.68</v>
      </c>
      <c r="U41">
        <v>7.0000000000000007E-2</v>
      </c>
      <c r="V41">
        <v>0.76</v>
      </c>
      <c r="W41">
        <v>24.3</v>
      </c>
      <c r="X41">
        <v>10.8</v>
      </c>
      <c r="Y41">
        <v>1</v>
      </c>
      <c r="Z41">
        <v>1</v>
      </c>
      <c r="AA41">
        <v>10</v>
      </c>
      <c r="AB41">
        <v>11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-1</v>
      </c>
      <c r="AN41">
        <v>247</v>
      </c>
      <c r="AO41">
        <v>90</v>
      </c>
      <c r="AP41">
        <v>3.3</v>
      </c>
      <c r="AQ41">
        <v>40</v>
      </c>
      <c r="AR41">
        <v>94</v>
      </c>
      <c r="AS41">
        <v>63</v>
      </c>
      <c r="AT41">
        <v>9</v>
      </c>
      <c r="AU41">
        <v>46</v>
      </c>
      <c r="AV41">
        <v>59</v>
      </c>
      <c r="AW41">
        <v>21</v>
      </c>
      <c r="AX41">
        <v>0</v>
      </c>
      <c r="AY41">
        <v>0</v>
      </c>
      <c r="AZ41">
        <v>0</v>
      </c>
      <c r="BA41">
        <v>0</v>
      </c>
      <c r="BB41">
        <v>7</v>
      </c>
      <c r="BC41">
        <v>14</v>
      </c>
      <c r="BD41">
        <v>3</v>
      </c>
      <c r="BE41">
        <v>6</v>
      </c>
      <c r="BF41">
        <v>0</v>
      </c>
      <c r="BG41">
        <v>993</v>
      </c>
      <c r="BH41">
        <v>474</v>
      </c>
      <c r="BI41">
        <v>288</v>
      </c>
      <c r="BJ41">
        <v>234</v>
      </c>
      <c r="BK41">
        <v>58452</v>
      </c>
      <c r="BL41">
        <v>14453</v>
      </c>
      <c r="BM41">
        <v>6542</v>
      </c>
      <c r="BN41">
        <v>37457</v>
      </c>
      <c r="BO41" t="s">
        <v>134</v>
      </c>
      <c r="BP41" t="s">
        <v>79</v>
      </c>
      <c r="BQ41" t="s">
        <v>80</v>
      </c>
      <c r="BR41" t="s">
        <v>85</v>
      </c>
      <c r="BS41" t="s">
        <v>138</v>
      </c>
    </row>
    <row r="42" spans="1:71" x14ac:dyDescent="0.3">
      <c r="A42" t="s">
        <v>71</v>
      </c>
      <c r="B42">
        <v>20260108</v>
      </c>
      <c r="C42">
        <v>30</v>
      </c>
      <c r="D42" t="s">
        <v>210</v>
      </c>
      <c r="E42">
        <v>9633</v>
      </c>
      <c r="F42" t="s">
        <v>211</v>
      </c>
      <c r="G42" t="s">
        <v>74</v>
      </c>
      <c r="H42">
        <v>27</v>
      </c>
      <c r="I42" t="s">
        <v>99</v>
      </c>
      <c r="J42">
        <v>170</v>
      </c>
      <c r="K42" t="s">
        <v>128</v>
      </c>
      <c r="L42" t="s">
        <v>212</v>
      </c>
      <c r="M42" t="b">
        <v>0</v>
      </c>
      <c r="N42" t="s">
        <v>95</v>
      </c>
      <c r="O42">
        <v>44</v>
      </c>
      <c r="P42">
        <v>13</v>
      </c>
      <c r="Q42">
        <v>25</v>
      </c>
      <c r="R42">
        <v>38</v>
      </c>
      <c r="S42">
        <v>2.77</v>
      </c>
      <c r="T42">
        <v>0.56999999999999995</v>
      </c>
      <c r="U42">
        <v>0.3</v>
      </c>
      <c r="V42">
        <v>0.86</v>
      </c>
      <c r="W42">
        <v>11.7</v>
      </c>
      <c r="X42">
        <v>10.8</v>
      </c>
      <c r="Y42">
        <v>4</v>
      </c>
      <c r="Z42">
        <v>1</v>
      </c>
      <c r="AA42">
        <v>12</v>
      </c>
      <c r="AB42">
        <v>13</v>
      </c>
      <c r="AC42">
        <v>0</v>
      </c>
      <c r="AD42">
        <v>0</v>
      </c>
      <c r="AE42">
        <v>0</v>
      </c>
      <c r="AF42">
        <v>3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6</v>
      </c>
      <c r="AN42">
        <v>210</v>
      </c>
      <c r="AO42">
        <v>122</v>
      </c>
      <c r="AP42">
        <v>10.7</v>
      </c>
      <c r="AQ42">
        <v>18</v>
      </c>
      <c r="AR42">
        <v>33</v>
      </c>
      <c r="AS42">
        <v>55</v>
      </c>
      <c r="AT42">
        <v>8</v>
      </c>
      <c r="AU42">
        <v>44</v>
      </c>
      <c r="AV42">
        <v>54</v>
      </c>
      <c r="AW42">
        <v>14</v>
      </c>
      <c r="AX42">
        <v>24</v>
      </c>
      <c r="AY42">
        <v>10</v>
      </c>
      <c r="AZ42">
        <v>14</v>
      </c>
      <c r="BA42">
        <v>41.7</v>
      </c>
      <c r="BB42">
        <v>7</v>
      </c>
      <c r="BC42">
        <v>14</v>
      </c>
      <c r="BD42">
        <v>9</v>
      </c>
      <c r="BE42">
        <v>18</v>
      </c>
      <c r="BF42">
        <v>0</v>
      </c>
      <c r="BG42">
        <v>992</v>
      </c>
      <c r="BH42">
        <v>543</v>
      </c>
      <c r="BI42">
        <v>215</v>
      </c>
      <c r="BJ42">
        <v>247</v>
      </c>
      <c r="BK42">
        <v>51060</v>
      </c>
      <c r="BL42">
        <v>8989</v>
      </c>
      <c r="BM42">
        <v>4188</v>
      </c>
      <c r="BN42">
        <v>37883</v>
      </c>
      <c r="BO42" t="s">
        <v>210</v>
      </c>
      <c r="BP42" t="s">
        <v>107</v>
      </c>
      <c r="BQ42" t="s">
        <v>89</v>
      </c>
      <c r="BR42" t="s">
        <v>132</v>
      </c>
      <c r="BS42" t="s">
        <v>213</v>
      </c>
    </row>
    <row r="43" spans="1:71" x14ac:dyDescent="0.3">
      <c r="A43" t="s">
        <v>71</v>
      </c>
      <c r="B43">
        <v>20260108</v>
      </c>
      <c r="C43">
        <v>28</v>
      </c>
      <c r="D43" t="s">
        <v>91</v>
      </c>
      <c r="E43">
        <v>11731</v>
      </c>
      <c r="F43" t="s">
        <v>214</v>
      </c>
      <c r="G43" t="s">
        <v>74</v>
      </c>
      <c r="H43">
        <v>29</v>
      </c>
      <c r="I43" t="s">
        <v>147</v>
      </c>
      <c r="J43">
        <v>201</v>
      </c>
      <c r="K43" t="s">
        <v>85</v>
      </c>
      <c r="L43" t="s">
        <v>215</v>
      </c>
      <c r="M43" t="b">
        <v>0</v>
      </c>
      <c r="N43" t="s">
        <v>95</v>
      </c>
      <c r="O43">
        <v>42</v>
      </c>
      <c r="P43">
        <v>15</v>
      </c>
      <c r="Q43">
        <v>19</v>
      </c>
      <c r="R43">
        <v>34</v>
      </c>
      <c r="S43">
        <v>2.88</v>
      </c>
      <c r="T43">
        <v>0.45</v>
      </c>
      <c r="U43">
        <v>0.36</v>
      </c>
      <c r="V43">
        <v>0.81</v>
      </c>
      <c r="W43">
        <v>32</v>
      </c>
      <c r="X43">
        <v>27.7</v>
      </c>
      <c r="Y43">
        <v>5</v>
      </c>
      <c r="Z43">
        <v>1</v>
      </c>
      <c r="AA43">
        <v>5</v>
      </c>
      <c r="AB43">
        <v>6</v>
      </c>
      <c r="AC43">
        <v>0</v>
      </c>
      <c r="AD43">
        <v>1</v>
      </c>
      <c r="AE43">
        <v>1</v>
      </c>
      <c r="AF43">
        <v>5</v>
      </c>
      <c r="AG43">
        <v>0</v>
      </c>
      <c r="AH43">
        <v>3</v>
      </c>
      <c r="AI43">
        <v>7</v>
      </c>
      <c r="AJ43">
        <v>0</v>
      </c>
      <c r="AK43">
        <v>3</v>
      </c>
      <c r="AL43">
        <v>42.86</v>
      </c>
      <c r="AM43">
        <v>10</v>
      </c>
      <c r="AN43">
        <v>279</v>
      </c>
      <c r="AO43">
        <v>121</v>
      </c>
      <c r="AP43">
        <v>12.4</v>
      </c>
      <c r="AQ43">
        <v>29</v>
      </c>
      <c r="AR43">
        <v>100</v>
      </c>
      <c r="AS43">
        <v>58</v>
      </c>
      <c r="AT43">
        <v>84</v>
      </c>
      <c r="AU43">
        <v>31</v>
      </c>
      <c r="AV43">
        <v>34</v>
      </c>
      <c r="AW43">
        <v>12</v>
      </c>
      <c r="AX43">
        <v>54</v>
      </c>
      <c r="AY43">
        <v>22</v>
      </c>
      <c r="AZ43">
        <v>32</v>
      </c>
      <c r="BA43">
        <v>40.700000000000003</v>
      </c>
      <c r="BB43">
        <v>18</v>
      </c>
      <c r="BC43">
        <v>36</v>
      </c>
      <c r="BD43">
        <v>8</v>
      </c>
      <c r="BE43">
        <v>16</v>
      </c>
      <c r="BF43">
        <v>0</v>
      </c>
      <c r="BG43">
        <v>894</v>
      </c>
      <c r="BH43">
        <v>456</v>
      </c>
      <c r="BI43">
        <v>306</v>
      </c>
      <c r="BJ43">
        <v>150</v>
      </c>
      <c r="BK43">
        <v>48416</v>
      </c>
      <c r="BL43">
        <v>10481</v>
      </c>
      <c r="BM43">
        <v>6715</v>
      </c>
      <c r="BN43">
        <v>31697</v>
      </c>
      <c r="BO43" t="s">
        <v>91</v>
      </c>
      <c r="BP43" t="s">
        <v>88</v>
      </c>
      <c r="BQ43" t="s">
        <v>89</v>
      </c>
      <c r="BR43" t="s">
        <v>85</v>
      </c>
      <c r="BS43" t="s">
        <v>96</v>
      </c>
    </row>
    <row r="44" spans="1:71" x14ac:dyDescent="0.3">
      <c r="A44" t="s">
        <v>71</v>
      </c>
      <c r="B44">
        <v>20260108</v>
      </c>
      <c r="C44">
        <v>22</v>
      </c>
      <c r="D44" t="s">
        <v>216</v>
      </c>
      <c r="E44">
        <v>17372</v>
      </c>
      <c r="F44" t="s">
        <v>217</v>
      </c>
      <c r="G44" t="s">
        <v>74</v>
      </c>
      <c r="H44">
        <v>29</v>
      </c>
      <c r="I44" t="s">
        <v>99</v>
      </c>
      <c r="J44">
        <v>175</v>
      </c>
      <c r="K44" t="s">
        <v>76</v>
      </c>
      <c r="L44" t="s">
        <v>218</v>
      </c>
      <c r="M44" t="b">
        <v>0</v>
      </c>
      <c r="N44" t="s">
        <v>101</v>
      </c>
      <c r="O44">
        <v>21</v>
      </c>
      <c r="P44">
        <v>1</v>
      </c>
      <c r="Q44">
        <v>3</v>
      </c>
      <c r="R44">
        <v>4</v>
      </c>
      <c r="S44">
        <v>0.62</v>
      </c>
      <c r="T44">
        <v>0.14000000000000001</v>
      </c>
      <c r="U44">
        <v>0.05</v>
      </c>
      <c r="V44">
        <v>0.19</v>
      </c>
      <c r="W44">
        <v>8.4</v>
      </c>
      <c r="X44">
        <v>4.5999999999999996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29</v>
      </c>
      <c r="AO44">
        <v>13</v>
      </c>
      <c r="AP44">
        <v>7.7</v>
      </c>
      <c r="AQ44">
        <v>5</v>
      </c>
      <c r="AR44">
        <v>8</v>
      </c>
      <c r="AS44">
        <v>8</v>
      </c>
      <c r="AT44">
        <v>30</v>
      </c>
      <c r="AU44">
        <v>21</v>
      </c>
      <c r="AV44">
        <v>8</v>
      </c>
      <c r="AW44">
        <v>1</v>
      </c>
      <c r="AX44">
        <v>6</v>
      </c>
      <c r="AY44">
        <v>3</v>
      </c>
      <c r="AZ44">
        <v>3</v>
      </c>
      <c r="BA44">
        <v>50</v>
      </c>
      <c r="BB44">
        <v>3</v>
      </c>
      <c r="BC44">
        <v>6</v>
      </c>
      <c r="BD44">
        <v>2</v>
      </c>
      <c r="BE44">
        <v>6</v>
      </c>
      <c r="BF44">
        <v>0</v>
      </c>
      <c r="BG44">
        <v>292</v>
      </c>
      <c r="BH44">
        <v>177</v>
      </c>
      <c r="BI44">
        <v>55</v>
      </c>
      <c r="BJ44">
        <v>61</v>
      </c>
      <c r="BK44">
        <v>11959</v>
      </c>
      <c r="BL44">
        <v>2370</v>
      </c>
      <c r="BM44">
        <v>515</v>
      </c>
      <c r="BN44">
        <v>9074</v>
      </c>
      <c r="BO44" t="s">
        <v>216</v>
      </c>
      <c r="BP44" t="s">
        <v>107</v>
      </c>
      <c r="BQ44" t="s">
        <v>89</v>
      </c>
      <c r="BR44" t="s">
        <v>76</v>
      </c>
      <c r="BS44" t="s">
        <v>219</v>
      </c>
    </row>
    <row r="45" spans="1:71" x14ac:dyDescent="0.3">
      <c r="A45" t="s">
        <v>71</v>
      </c>
      <c r="B45">
        <v>20260108</v>
      </c>
      <c r="C45">
        <v>22</v>
      </c>
      <c r="D45" t="s">
        <v>216</v>
      </c>
      <c r="E45">
        <v>4986</v>
      </c>
      <c r="F45" t="s">
        <v>220</v>
      </c>
      <c r="G45" t="s">
        <v>74</v>
      </c>
      <c r="H45">
        <v>33</v>
      </c>
      <c r="I45" t="s">
        <v>84</v>
      </c>
      <c r="J45">
        <v>215</v>
      </c>
      <c r="K45" t="s">
        <v>85</v>
      </c>
      <c r="L45" t="s">
        <v>100</v>
      </c>
      <c r="M45" t="b">
        <v>0</v>
      </c>
      <c r="N45" t="s">
        <v>101</v>
      </c>
      <c r="O45">
        <v>41</v>
      </c>
      <c r="P45">
        <v>7</v>
      </c>
      <c r="Q45">
        <v>15</v>
      </c>
      <c r="R45">
        <v>22</v>
      </c>
      <c r="S45">
        <v>2.12</v>
      </c>
      <c r="T45">
        <v>0.37</v>
      </c>
      <c r="U45">
        <v>0.17</v>
      </c>
      <c r="V45">
        <v>0.54</v>
      </c>
      <c r="W45">
        <v>21.4</v>
      </c>
      <c r="X45">
        <v>23.8</v>
      </c>
      <c r="Y45">
        <v>2</v>
      </c>
      <c r="Z45">
        <v>1</v>
      </c>
      <c r="AA45">
        <v>2</v>
      </c>
      <c r="AB45">
        <v>3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18</v>
      </c>
      <c r="AN45">
        <v>168</v>
      </c>
      <c r="AO45">
        <v>87</v>
      </c>
      <c r="AP45">
        <v>8</v>
      </c>
      <c r="AQ45">
        <v>18</v>
      </c>
      <c r="AR45">
        <v>29</v>
      </c>
      <c r="AS45">
        <v>52</v>
      </c>
      <c r="AT45">
        <v>60</v>
      </c>
      <c r="AU45">
        <v>42</v>
      </c>
      <c r="AV45">
        <v>21</v>
      </c>
      <c r="AW45">
        <v>12</v>
      </c>
      <c r="AX45">
        <v>146</v>
      </c>
      <c r="AY45">
        <v>91</v>
      </c>
      <c r="AZ45">
        <v>55</v>
      </c>
      <c r="BA45">
        <v>62.3</v>
      </c>
      <c r="BB45">
        <v>12</v>
      </c>
      <c r="BC45">
        <v>27</v>
      </c>
      <c r="BD45">
        <v>9</v>
      </c>
      <c r="BE45">
        <v>21</v>
      </c>
      <c r="BF45">
        <v>1</v>
      </c>
      <c r="BG45">
        <v>806</v>
      </c>
      <c r="BH45">
        <v>409</v>
      </c>
      <c r="BI45">
        <v>287</v>
      </c>
      <c r="BJ45">
        <v>117</v>
      </c>
      <c r="BK45">
        <v>38979</v>
      </c>
      <c r="BL45">
        <v>11017</v>
      </c>
      <c r="BM45">
        <v>5135</v>
      </c>
      <c r="BN45">
        <v>22827</v>
      </c>
      <c r="BO45" t="s">
        <v>216</v>
      </c>
      <c r="BP45" t="s">
        <v>107</v>
      </c>
      <c r="BQ45" t="s">
        <v>89</v>
      </c>
      <c r="BR45" t="s">
        <v>85</v>
      </c>
      <c r="BS45" t="s">
        <v>219</v>
      </c>
    </row>
    <row r="46" spans="1:71" x14ac:dyDescent="0.3">
      <c r="A46" t="s">
        <v>71</v>
      </c>
      <c r="B46">
        <v>20260108</v>
      </c>
      <c r="C46">
        <v>16</v>
      </c>
      <c r="D46" t="s">
        <v>221</v>
      </c>
      <c r="E46">
        <v>5829</v>
      </c>
      <c r="F46" t="s">
        <v>222</v>
      </c>
      <c r="G46" t="s">
        <v>74</v>
      </c>
      <c r="H46">
        <v>29</v>
      </c>
      <c r="I46" t="s">
        <v>84</v>
      </c>
      <c r="J46">
        <v>198</v>
      </c>
      <c r="K46" t="s">
        <v>128</v>
      </c>
      <c r="L46" t="s">
        <v>223</v>
      </c>
      <c r="M46" t="b">
        <v>0</v>
      </c>
      <c r="N46" t="s">
        <v>78</v>
      </c>
      <c r="O46">
        <v>44</v>
      </c>
      <c r="P46">
        <v>22</v>
      </c>
      <c r="Q46">
        <v>17</v>
      </c>
      <c r="R46">
        <v>39</v>
      </c>
      <c r="S46">
        <v>2.8</v>
      </c>
      <c r="T46">
        <v>0.39</v>
      </c>
      <c r="U46">
        <v>0.5</v>
      </c>
      <c r="V46">
        <v>0.89</v>
      </c>
      <c r="W46">
        <v>18.600000000000001</v>
      </c>
      <c r="X46">
        <v>21.3</v>
      </c>
      <c r="Y46">
        <v>7</v>
      </c>
      <c r="Z46">
        <v>7</v>
      </c>
      <c r="AA46">
        <v>4</v>
      </c>
      <c r="AB46">
        <v>11</v>
      </c>
      <c r="AC46">
        <v>0</v>
      </c>
      <c r="AD46">
        <v>0</v>
      </c>
      <c r="AE46">
        <v>0</v>
      </c>
      <c r="AF46">
        <v>5</v>
      </c>
      <c r="AG46">
        <v>0</v>
      </c>
      <c r="AH46">
        <v>2</v>
      </c>
      <c r="AI46">
        <v>1</v>
      </c>
      <c r="AJ46">
        <v>1</v>
      </c>
      <c r="AK46">
        <v>0</v>
      </c>
      <c r="AL46">
        <v>0</v>
      </c>
      <c r="AM46">
        <v>2</v>
      </c>
      <c r="AN46">
        <v>260</v>
      </c>
      <c r="AO46">
        <v>123</v>
      </c>
      <c r="AP46">
        <v>17.899999999999999</v>
      </c>
      <c r="AQ46">
        <v>26</v>
      </c>
      <c r="AR46">
        <v>63</v>
      </c>
      <c r="AS46">
        <v>74</v>
      </c>
      <c r="AT46">
        <v>21</v>
      </c>
      <c r="AU46">
        <v>24</v>
      </c>
      <c r="AV46">
        <v>40</v>
      </c>
      <c r="AW46">
        <v>11</v>
      </c>
      <c r="AX46">
        <v>904</v>
      </c>
      <c r="AY46">
        <v>481</v>
      </c>
      <c r="AZ46">
        <v>423</v>
      </c>
      <c r="BA46">
        <v>53.2</v>
      </c>
      <c r="BB46">
        <v>12</v>
      </c>
      <c r="BC46">
        <v>32</v>
      </c>
      <c r="BD46">
        <v>18</v>
      </c>
      <c r="BE46">
        <v>36</v>
      </c>
      <c r="BF46">
        <v>0</v>
      </c>
      <c r="BG46">
        <v>1076</v>
      </c>
      <c r="BH46">
        <v>490</v>
      </c>
      <c r="BI46">
        <v>209</v>
      </c>
      <c r="BJ46">
        <v>399</v>
      </c>
      <c r="BK46">
        <v>54250</v>
      </c>
      <c r="BL46">
        <v>11224</v>
      </c>
      <c r="BM46">
        <v>2650</v>
      </c>
      <c r="BN46">
        <v>40376</v>
      </c>
      <c r="BO46" t="s">
        <v>221</v>
      </c>
      <c r="BP46" t="s">
        <v>124</v>
      </c>
      <c r="BQ46" t="s">
        <v>80</v>
      </c>
      <c r="BR46" t="s">
        <v>132</v>
      </c>
      <c r="BS46" t="s">
        <v>224</v>
      </c>
    </row>
    <row r="47" spans="1:71" x14ac:dyDescent="0.3">
      <c r="A47" t="s">
        <v>71</v>
      </c>
      <c r="B47">
        <v>20260108</v>
      </c>
      <c r="C47">
        <v>22</v>
      </c>
      <c r="D47" t="s">
        <v>216</v>
      </c>
      <c r="E47">
        <v>10064</v>
      </c>
      <c r="F47" t="s">
        <v>225</v>
      </c>
      <c r="G47" t="s">
        <v>74</v>
      </c>
      <c r="H47">
        <v>30</v>
      </c>
      <c r="I47" t="s">
        <v>75</v>
      </c>
      <c r="J47">
        <v>180</v>
      </c>
      <c r="K47" t="s">
        <v>76</v>
      </c>
      <c r="L47" t="s">
        <v>226</v>
      </c>
      <c r="M47" t="b">
        <v>0</v>
      </c>
      <c r="N47" t="s">
        <v>101</v>
      </c>
      <c r="O47">
        <v>42</v>
      </c>
      <c r="P47">
        <v>15</v>
      </c>
      <c r="Q47">
        <v>19</v>
      </c>
      <c r="R47">
        <v>34</v>
      </c>
      <c r="S47">
        <v>2.48</v>
      </c>
      <c r="T47">
        <v>0.45</v>
      </c>
      <c r="U47">
        <v>0.36</v>
      </c>
      <c r="V47">
        <v>0.81</v>
      </c>
      <c r="W47">
        <v>19.899999999999999</v>
      </c>
      <c r="X47">
        <v>4.5999999999999996</v>
      </c>
      <c r="Y47">
        <v>5</v>
      </c>
      <c r="Z47">
        <v>1</v>
      </c>
      <c r="AA47">
        <v>1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34</v>
      </c>
      <c r="AN47">
        <v>187</v>
      </c>
      <c r="AO47">
        <v>104</v>
      </c>
      <c r="AP47">
        <v>14.4</v>
      </c>
      <c r="AQ47">
        <v>25</v>
      </c>
      <c r="AR47">
        <v>30</v>
      </c>
      <c r="AS47">
        <v>53</v>
      </c>
      <c r="AT47">
        <v>31</v>
      </c>
      <c r="AU47">
        <v>51</v>
      </c>
      <c r="AV47">
        <v>29</v>
      </c>
      <c r="AW47">
        <v>10</v>
      </c>
      <c r="AX47">
        <v>8</v>
      </c>
      <c r="AY47">
        <v>2</v>
      </c>
      <c r="AZ47">
        <v>6</v>
      </c>
      <c r="BA47">
        <v>25</v>
      </c>
      <c r="BB47">
        <v>3</v>
      </c>
      <c r="BC47">
        <v>6</v>
      </c>
      <c r="BD47">
        <v>8</v>
      </c>
      <c r="BE47">
        <v>16</v>
      </c>
      <c r="BF47">
        <v>0</v>
      </c>
      <c r="BG47">
        <v>982</v>
      </c>
      <c r="BH47">
        <v>461</v>
      </c>
      <c r="BI47">
        <v>264</v>
      </c>
      <c r="BJ47">
        <v>271</v>
      </c>
      <c r="BK47">
        <v>48839</v>
      </c>
      <c r="BL47">
        <v>12875</v>
      </c>
      <c r="BM47">
        <v>3840</v>
      </c>
      <c r="BN47">
        <v>32084</v>
      </c>
      <c r="BO47" t="s">
        <v>216</v>
      </c>
      <c r="BP47" t="s">
        <v>107</v>
      </c>
      <c r="BQ47" t="s">
        <v>89</v>
      </c>
      <c r="BR47" t="s">
        <v>76</v>
      </c>
      <c r="BS47" t="s">
        <v>219</v>
      </c>
    </row>
    <row r="48" spans="1:71" x14ac:dyDescent="0.3">
      <c r="A48" t="s">
        <v>71</v>
      </c>
      <c r="B48">
        <v>20260108</v>
      </c>
      <c r="C48">
        <v>27</v>
      </c>
      <c r="D48" t="s">
        <v>174</v>
      </c>
      <c r="E48">
        <v>5910</v>
      </c>
      <c r="F48" t="s">
        <v>227</v>
      </c>
      <c r="G48" t="s">
        <v>74</v>
      </c>
      <c r="H48">
        <v>31</v>
      </c>
      <c r="I48" t="s">
        <v>105</v>
      </c>
      <c r="J48">
        <v>215</v>
      </c>
      <c r="K48" t="s">
        <v>76</v>
      </c>
      <c r="L48" t="s">
        <v>228</v>
      </c>
      <c r="M48" t="b">
        <v>0</v>
      </c>
      <c r="N48" t="s">
        <v>87</v>
      </c>
      <c r="O48">
        <v>44</v>
      </c>
      <c r="P48">
        <v>4</v>
      </c>
      <c r="Q48">
        <v>14</v>
      </c>
      <c r="R48">
        <v>18</v>
      </c>
      <c r="S48">
        <v>0.95</v>
      </c>
      <c r="T48">
        <v>0.32</v>
      </c>
      <c r="U48">
        <v>0.09</v>
      </c>
      <c r="V48">
        <v>0.41</v>
      </c>
      <c r="W48">
        <v>56.7</v>
      </c>
      <c r="X48">
        <v>7.7</v>
      </c>
      <c r="Y48">
        <v>1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20</v>
      </c>
      <c r="AN48">
        <v>99</v>
      </c>
      <c r="AO48">
        <v>42</v>
      </c>
      <c r="AP48">
        <v>9.5</v>
      </c>
      <c r="AQ48">
        <v>94</v>
      </c>
      <c r="AR48">
        <v>36</v>
      </c>
      <c r="AS48">
        <v>21</v>
      </c>
      <c r="AT48">
        <v>19</v>
      </c>
      <c r="AU48">
        <v>95</v>
      </c>
      <c r="AV48">
        <v>72</v>
      </c>
      <c r="AW48">
        <v>21</v>
      </c>
      <c r="AX48">
        <v>0</v>
      </c>
      <c r="AY48">
        <v>0</v>
      </c>
      <c r="AZ48">
        <v>0</v>
      </c>
      <c r="BA48">
        <v>0</v>
      </c>
      <c r="BB48">
        <v>5</v>
      </c>
      <c r="BC48">
        <v>10</v>
      </c>
      <c r="BD48">
        <v>2</v>
      </c>
      <c r="BE48">
        <v>4</v>
      </c>
      <c r="BF48">
        <v>0</v>
      </c>
      <c r="BG48">
        <v>1086</v>
      </c>
      <c r="BH48">
        <v>544</v>
      </c>
      <c r="BI48">
        <v>272</v>
      </c>
      <c r="BJ48">
        <v>269</v>
      </c>
      <c r="BK48">
        <v>62753</v>
      </c>
      <c r="BL48">
        <v>12442</v>
      </c>
      <c r="BM48">
        <v>4352</v>
      </c>
      <c r="BN48">
        <v>45713</v>
      </c>
      <c r="BO48" t="s">
        <v>174</v>
      </c>
      <c r="BP48" t="s">
        <v>107</v>
      </c>
      <c r="BQ48" t="s">
        <v>89</v>
      </c>
      <c r="BR48" t="s">
        <v>76</v>
      </c>
      <c r="BS48" t="s">
        <v>177</v>
      </c>
    </row>
    <row r="49" spans="1:71" x14ac:dyDescent="0.3">
      <c r="A49" t="s">
        <v>71</v>
      </c>
      <c r="B49">
        <v>20260108</v>
      </c>
      <c r="C49">
        <v>11</v>
      </c>
      <c r="D49" t="s">
        <v>195</v>
      </c>
      <c r="E49">
        <v>5260</v>
      </c>
      <c r="F49" t="s">
        <v>229</v>
      </c>
      <c r="G49" t="s">
        <v>74</v>
      </c>
      <c r="H49">
        <v>31</v>
      </c>
      <c r="I49" t="s">
        <v>84</v>
      </c>
      <c r="J49">
        <v>195</v>
      </c>
      <c r="K49" t="s">
        <v>85</v>
      </c>
      <c r="L49" t="s">
        <v>230</v>
      </c>
      <c r="M49" t="b">
        <v>0</v>
      </c>
      <c r="N49" t="s">
        <v>78</v>
      </c>
      <c r="O49">
        <v>33</v>
      </c>
      <c r="P49">
        <v>7</v>
      </c>
      <c r="Q49">
        <v>20</v>
      </c>
      <c r="R49">
        <v>27</v>
      </c>
      <c r="S49">
        <v>1.73</v>
      </c>
      <c r="T49">
        <v>0.61</v>
      </c>
      <c r="U49">
        <v>0.21</v>
      </c>
      <c r="V49">
        <v>0.82</v>
      </c>
      <c r="W49">
        <v>21.8</v>
      </c>
      <c r="X49">
        <v>19.8</v>
      </c>
      <c r="Y49">
        <v>2</v>
      </c>
      <c r="Z49">
        <v>5</v>
      </c>
      <c r="AA49">
        <v>9</v>
      </c>
      <c r="AB49">
        <v>14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-3</v>
      </c>
      <c r="AN49">
        <v>119</v>
      </c>
      <c r="AO49">
        <v>57</v>
      </c>
      <c r="AP49">
        <v>12.3</v>
      </c>
      <c r="AQ49">
        <v>30</v>
      </c>
      <c r="AR49">
        <v>29</v>
      </c>
      <c r="AS49">
        <v>33</v>
      </c>
      <c r="AT49">
        <v>26</v>
      </c>
      <c r="AU49">
        <v>14</v>
      </c>
      <c r="AV49">
        <v>25</v>
      </c>
      <c r="AW49">
        <v>7</v>
      </c>
      <c r="AX49">
        <v>534</v>
      </c>
      <c r="AY49">
        <v>295</v>
      </c>
      <c r="AZ49">
        <v>239</v>
      </c>
      <c r="BA49">
        <v>55.2</v>
      </c>
      <c r="BB49">
        <v>11</v>
      </c>
      <c r="BC49">
        <v>30</v>
      </c>
      <c r="BD49">
        <v>3</v>
      </c>
      <c r="BE49">
        <v>6</v>
      </c>
      <c r="BF49">
        <v>0</v>
      </c>
      <c r="BG49">
        <v>693</v>
      </c>
      <c r="BH49">
        <v>326</v>
      </c>
      <c r="BI49">
        <v>133</v>
      </c>
      <c r="BJ49">
        <v>241</v>
      </c>
      <c r="BK49">
        <v>34275</v>
      </c>
      <c r="BL49">
        <v>8046</v>
      </c>
      <c r="BM49">
        <v>1369</v>
      </c>
      <c r="BN49">
        <v>24860</v>
      </c>
      <c r="BO49" t="s">
        <v>195</v>
      </c>
      <c r="BP49" t="s">
        <v>124</v>
      </c>
      <c r="BQ49" t="s">
        <v>80</v>
      </c>
      <c r="BR49" t="s">
        <v>85</v>
      </c>
      <c r="BS49" t="s">
        <v>197</v>
      </c>
    </row>
    <row r="50" spans="1:71" x14ac:dyDescent="0.3">
      <c r="A50" t="s">
        <v>71</v>
      </c>
      <c r="B50">
        <v>20260108</v>
      </c>
      <c r="C50">
        <v>4</v>
      </c>
      <c r="D50" t="s">
        <v>161</v>
      </c>
      <c r="E50">
        <v>30418</v>
      </c>
      <c r="F50" t="s">
        <v>231</v>
      </c>
      <c r="G50" t="s">
        <v>74</v>
      </c>
      <c r="H50">
        <v>24</v>
      </c>
      <c r="I50" t="s">
        <v>84</v>
      </c>
      <c r="J50">
        <v>185</v>
      </c>
      <c r="K50" t="s">
        <v>76</v>
      </c>
      <c r="L50" t="s">
        <v>183</v>
      </c>
      <c r="M50" t="b">
        <v>1</v>
      </c>
      <c r="N50" t="s">
        <v>78</v>
      </c>
      <c r="O50">
        <v>42</v>
      </c>
      <c r="P50">
        <v>13</v>
      </c>
      <c r="Q50">
        <v>18</v>
      </c>
      <c r="R50">
        <v>31</v>
      </c>
      <c r="S50">
        <v>2.2400000000000002</v>
      </c>
      <c r="T50">
        <v>0.43</v>
      </c>
      <c r="U50">
        <v>0.31</v>
      </c>
      <c r="V50">
        <v>0.74</v>
      </c>
      <c r="W50">
        <v>25.2</v>
      </c>
      <c r="X50">
        <v>13.9</v>
      </c>
      <c r="Y50">
        <v>4</v>
      </c>
      <c r="Z50">
        <v>3</v>
      </c>
      <c r="AA50">
        <v>5</v>
      </c>
      <c r="AB50">
        <v>8</v>
      </c>
      <c r="AC50">
        <v>1</v>
      </c>
      <c r="AD50">
        <v>2</v>
      </c>
      <c r="AE50">
        <v>3</v>
      </c>
      <c r="AF50">
        <v>3</v>
      </c>
      <c r="AG50">
        <v>0</v>
      </c>
      <c r="AH50">
        <v>0</v>
      </c>
      <c r="AI50">
        <v>3</v>
      </c>
      <c r="AJ50">
        <v>0</v>
      </c>
      <c r="AK50">
        <v>1</v>
      </c>
      <c r="AL50">
        <v>33.33</v>
      </c>
      <c r="AM50">
        <v>-7</v>
      </c>
      <c r="AN50">
        <v>184</v>
      </c>
      <c r="AO50">
        <v>94</v>
      </c>
      <c r="AP50">
        <v>13.8</v>
      </c>
      <c r="AQ50">
        <v>28</v>
      </c>
      <c r="AR50">
        <v>41</v>
      </c>
      <c r="AS50">
        <v>49</v>
      </c>
      <c r="AT50">
        <v>50</v>
      </c>
      <c r="AU50">
        <v>34</v>
      </c>
      <c r="AV50">
        <v>44</v>
      </c>
      <c r="AW50">
        <v>8</v>
      </c>
      <c r="AX50">
        <v>752</v>
      </c>
      <c r="AY50">
        <v>388</v>
      </c>
      <c r="AZ50">
        <v>364</v>
      </c>
      <c r="BA50">
        <v>51.6</v>
      </c>
      <c r="BB50">
        <v>9</v>
      </c>
      <c r="BC50">
        <v>18</v>
      </c>
      <c r="BD50">
        <v>13</v>
      </c>
      <c r="BE50">
        <v>28</v>
      </c>
      <c r="BF50">
        <v>0</v>
      </c>
      <c r="BG50">
        <v>1018</v>
      </c>
      <c r="BH50">
        <v>617</v>
      </c>
      <c r="BI50">
        <v>256</v>
      </c>
      <c r="BJ50">
        <v>157</v>
      </c>
      <c r="BK50">
        <v>48422</v>
      </c>
      <c r="BL50">
        <v>12116</v>
      </c>
      <c r="BM50">
        <v>3267</v>
      </c>
      <c r="BN50">
        <v>33165</v>
      </c>
      <c r="BO50" t="s">
        <v>164</v>
      </c>
      <c r="BP50" t="s">
        <v>131</v>
      </c>
      <c r="BQ50" t="s">
        <v>131</v>
      </c>
      <c r="BR50" t="s">
        <v>76</v>
      </c>
      <c r="BS50" t="s">
        <v>165</v>
      </c>
    </row>
    <row r="51" spans="1:71" x14ac:dyDescent="0.3">
      <c r="A51" t="s">
        <v>71</v>
      </c>
      <c r="B51">
        <v>20260108</v>
      </c>
      <c r="C51">
        <v>4</v>
      </c>
      <c r="D51" t="s">
        <v>161</v>
      </c>
      <c r="E51">
        <v>17339</v>
      </c>
      <c r="F51" t="s">
        <v>232</v>
      </c>
      <c r="G51" t="s">
        <v>74</v>
      </c>
      <c r="H51">
        <v>27</v>
      </c>
      <c r="I51" t="s">
        <v>105</v>
      </c>
      <c r="J51">
        <v>184</v>
      </c>
      <c r="K51" t="s">
        <v>76</v>
      </c>
      <c r="L51" t="s">
        <v>233</v>
      </c>
      <c r="M51" t="b">
        <v>0</v>
      </c>
      <c r="N51" t="s">
        <v>78</v>
      </c>
      <c r="O51">
        <v>34</v>
      </c>
      <c r="P51">
        <v>4</v>
      </c>
      <c r="Q51">
        <v>14</v>
      </c>
      <c r="R51">
        <v>18</v>
      </c>
      <c r="S51">
        <v>1.62</v>
      </c>
      <c r="T51">
        <v>0.41</v>
      </c>
      <c r="U51">
        <v>0.12</v>
      </c>
      <c r="V51">
        <v>0.53</v>
      </c>
      <c r="W51">
        <v>28.5</v>
      </c>
      <c r="X51">
        <v>9.1999999999999993</v>
      </c>
      <c r="Y51">
        <v>1</v>
      </c>
      <c r="Z51">
        <v>1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103</v>
      </c>
      <c r="AO51">
        <v>55</v>
      </c>
      <c r="AP51">
        <v>7.3</v>
      </c>
      <c r="AQ51">
        <v>26</v>
      </c>
      <c r="AR51">
        <v>19</v>
      </c>
      <c r="AS51">
        <v>29</v>
      </c>
      <c r="AT51">
        <v>74</v>
      </c>
      <c r="AU51">
        <v>49</v>
      </c>
      <c r="AV51">
        <v>22</v>
      </c>
      <c r="AW51">
        <v>10</v>
      </c>
      <c r="AX51">
        <v>28</v>
      </c>
      <c r="AY51">
        <v>13</v>
      </c>
      <c r="AZ51">
        <v>15</v>
      </c>
      <c r="BA51">
        <v>46.4</v>
      </c>
      <c r="BB51">
        <v>6</v>
      </c>
      <c r="BC51">
        <v>12</v>
      </c>
      <c r="BD51">
        <v>14</v>
      </c>
      <c r="BE51">
        <v>30</v>
      </c>
      <c r="BF51">
        <v>0</v>
      </c>
      <c r="BG51">
        <v>765</v>
      </c>
      <c r="BH51">
        <v>365</v>
      </c>
      <c r="BI51">
        <v>237</v>
      </c>
      <c r="BJ51">
        <v>167</v>
      </c>
      <c r="BK51">
        <v>34429</v>
      </c>
      <c r="BL51">
        <v>6575</v>
      </c>
      <c r="BM51">
        <v>3703</v>
      </c>
      <c r="BN51">
        <v>24151</v>
      </c>
      <c r="BO51" t="s">
        <v>164</v>
      </c>
      <c r="BP51" t="s">
        <v>131</v>
      </c>
      <c r="BQ51" t="s">
        <v>131</v>
      </c>
      <c r="BR51" t="s">
        <v>76</v>
      </c>
      <c r="BS51" t="s">
        <v>165</v>
      </c>
    </row>
    <row r="52" spans="1:71" x14ac:dyDescent="0.3">
      <c r="A52" t="s">
        <v>71</v>
      </c>
      <c r="B52">
        <v>20260108</v>
      </c>
      <c r="C52">
        <v>30</v>
      </c>
      <c r="D52" t="s">
        <v>210</v>
      </c>
      <c r="E52">
        <v>5259</v>
      </c>
      <c r="F52" t="s">
        <v>234</v>
      </c>
      <c r="G52" t="s">
        <v>74</v>
      </c>
      <c r="H52">
        <v>31</v>
      </c>
      <c r="I52" t="s">
        <v>147</v>
      </c>
      <c r="J52">
        <v>206</v>
      </c>
      <c r="K52" t="s">
        <v>76</v>
      </c>
      <c r="L52" t="s">
        <v>235</v>
      </c>
      <c r="M52" t="b">
        <v>0</v>
      </c>
      <c r="N52" t="s">
        <v>87</v>
      </c>
      <c r="O52">
        <v>19</v>
      </c>
      <c r="P52">
        <v>0</v>
      </c>
      <c r="Q52">
        <v>1</v>
      </c>
      <c r="R52">
        <v>1</v>
      </c>
      <c r="S52">
        <v>0.47</v>
      </c>
      <c r="T52">
        <v>0.05</v>
      </c>
      <c r="U52">
        <v>0</v>
      </c>
      <c r="V52">
        <v>0.05</v>
      </c>
      <c r="W52">
        <v>9.1999999999999993</v>
      </c>
      <c r="X52">
        <v>1.5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-4</v>
      </c>
      <c r="AN52">
        <v>22</v>
      </c>
      <c r="AO52">
        <v>9</v>
      </c>
      <c r="AP52">
        <v>0</v>
      </c>
      <c r="AQ52">
        <v>16</v>
      </c>
      <c r="AR52">
        <v>6</v>
      </c>
      <c r="AS52">
        <v>7</v>
      </c>
      <c r="AT52">
        <v>1</v>
      </c>
      <c r="AU52">
        <v>40</v>
      </c>
      <c r="AV52">
        <v>14</v>
      </c>
      <c r="AW52">
        <v>2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2</v>
      </c>
      <c r="BD52">
        <v>0</v>
      </c>
      <c r="BE52">
        <v>0</v>
      </c>
      <c r="BF52">
        <v>0</v>
      </c>
      <c r="BG52">
        <v>306</v>
      </c>
      <c r="BH52">
        <v>200</v>
      </c>
      <c r="BI52">
        <v>36</v>
      </c>
      <c r="BJ52">
        <v>70</v>
      </c>
      <c r="BK52">
        <v>13578</v>
      </c>
      <c r="BL52">
        <v>2126</v>
      </c>
      <c r="BM52">
        <v>597</v>
      </c>
      <c r="BN52">
        <v>10855</v>
      </c>
      <c r="BO52" t="s">
        <v>210</v>
      </c>
      <c r="BP52" t="s">
        <v>107</v>
      </c>
      <c r="BQ52" t="s">
        <v>89</v>
      </c>
      <c r="BR52" t="s">
        <v>76</v>
      </c>
      <c r="BS52" t="s">
        <v>236</v>
      </c>
    </row>
    <row r="53" spans="1:71" x14ac:dyDescent="0.3">
      <c r="A53" t="s">
        <v>71</v>
      </c>
      <c r="B53">
        <v>20260108</v>
      </c>
      <c r="C53">
        <v>22</v>
      </c>
      <c r="D53" t="s">
        <v>216</v>
      </c>
      <c r="E53">
        <v>5231</v>
      </c>
      <c r="F53" t="s">
        <v>237</v>
      </c>
      <c r="G53" t="s">
        <v>74</v>
      </c>
      <c r="H53">
        <v>30</v>
      </c>
      <c r="I53" t="s">
        <v>75</v>
      </c>
      <c r="J53">
        <v>200</v>
      </c>
      <c r="K53" t="s">
        <v>118</v>
      </c>
      <c r="L53" t="s">
        <v>238</v>
      </c>
      <c r="M53" t="b">
        <v>0</v>
      </c>
      <c r="N53" t="s">
        <v>78</v>
      </c>
      <c r="O53">
        <v>42</v>
      </c>
      <c r="P53">
        <v>35</v>
      </c>
      <c r="Q53">
        <v>39</v>
      </c>
      <c r="R53">
        <v>74</v>
      </c>
      <c r="S53">
        <v>4.57</v>
      </c>
      <c r="T53">
        <v>0.93</v>
      </c>
      <c r="U53">
        <v>0.83</v>
      </c>
      <c r="V53">
        <v>1.76</v>
      </c>
      <c r="W53">
        <v>20.100000000000001</v>
      </c>
      <c r="X53">
        <v>11.6</v>
      </c>
      <c r="Y53">
        <v>11</v>
      </c>
      <c r="Z53">
        <v>7</v>
      </c>
      <c r="AA53">
        <v>10</v>
      </c>
      <c r="AB53">
        <v>17</v>
      </c>
      <c r="AC53">
        <v>0</v>
      </c>
      <c r="AD53">
        <v>0</v>
      </c>
      <c r="AE53">
        <v>0</v>
      </c>
      <c r="AF53">
        <v>5</v>
      </c>
      <c r="AG53">
        <v>0</v>
      </c>
      <c r="AH53">
        <v>1</v>
      </c>
      <c r="AI53">
        <v>3</v>
      </c>
      <c r="AJ53">
        <v>0</v>
      </c>
      <c r="AK53">
        <v>1</v>
      </c>
      <c r="AL53">
        <v>33.33</v>
      </c>
      <c r="AM53">
        <v>48</v>
      </c>
      <c r="AN53">
        <v>325</v>
      </c>
      <c r="AO53">
        <v>192</v>
      </c>
      <c r="AP53">
        <v>18.2</v>
      </c>
      <c r="AQ53">
        <v>23</v>
      </c>
      <c r="AR53">
        <v>74</v>
      </c>
      <c r="AS53">
        <v>57</v>
      </c>
      <c r="AT53">
        <v>38</v>
      </c>
      <c r="AU53">
        <v>38</v>
      </c>
      <c r="AV53">
        <v>85</v>
      </c>
      <c r="AW53">
        <v>12</v>
      </c>
      <c r="AX53">
        <v>794</v>
      </c>
      <c r="AY53">
        <v>397</v>
      </c>
      <c r="AZ53">
        <v>397</v>
      </c>
      <c r="BA53">
        <v>50</v>
      </c>
      <c r="BB53">
        <v>8</v>
      </c>
      <c r="BC53">
        <v>14</v>
      </c>
      <c r="BD53">
        <v>15</v>
      </c>
      <c r="BE53">
        <v>30</v>
      </c>
      <c r="BF53">
        <v>0</v>
      </c>
      <c r="BG53">
        <v>978</v>
      </c>
      <c r="BH53">
        <v>498</v>
      </c>
      <c r="BI53">
        <v>324</v>
      </c>
      <c r="BJ53">
        <v>192</v>
      </c>
      <c r="BK53">
        <v>55262</v>
      </c>
      <c r="BL53">
        <v>16360</v>
      </c>
      <c r="BM53">
        <v>7112</v>
      </c>
      <c r="BN53">
        <v>31811</v>
      </c>
      <c r="BO53" t="s">
        <v>216</v>
      </c>
      <c r="BP53" t="s">
        <v>107</v>
      </c>
      <c r="BQ53" t="s">
        <v>89</v>
      </c>
      <c r="BR53" t="s">
        <v>118</v>
      </c>
      <c r="BS53" t="s">
        <v>219</v>
      </c>
    </row>
    <row r="54" spans="1:71" x14ac:dyDescent="0.3">
      <c r="A54" t="s">
        <v>71</v>
      </c>
      <c r="B54">
        <v>20260108</v>
      </c>
      <c r="C54">
        <v>22</v>
      </c>
      <c r="D54" t="s">
        <v>216</v>
      </c>
      <c r="E54">
        <v>13619</v>
      </c>
      <c r="F54" t="s">
        <v>239</v>
      </c>
      <c r="G54" t="s">
        <v>74</v>
      </c>
      <c r="H54">
        <v>27</v>
      </c>
      <c r="I54" t="s">
        <v>136</v>
      </c>
      <c r="J54">
        <v>187</v>
      </c>
      <c r="K54" t="s">
        <v>118</v>
      </c>
      <c r="L54" t="s">
        <v>240</v>
      </c>
      <c r="M54" t="b">
        <v>0</v>
      </c>
      <c r="N54" t="s">
        <v>87</v>
      </c>
      <c r="O54">
        <v>42</v>
      </c>
      <c r="P54">
        <v>12</v>
      </c>
      <c r="Q54">
        <v>36</v>
      </c>
      <c r="R54">
        <v>48</v>
      </c>
      <c r="S54">
        <v>2.81</v>
      </c>
      <c r="T54">
        <v>0.86</v>
      </c>
      <c r="U54">
        <v>0.28999999999999998</v>
      </c>
      <c r="V54">
        <v>1.1399999999999999</v>
      </c>
      <c r="W54">
        <v>45</v>
      </c>
      <c r="X54">
        <v>13.9</v>
      </c>
      <c r="Y54">
        <v>4</v>
      </c>
      <c r="Z54">
        <v>1</v>
      </c>
      <c r="AA54">
        <v>14</v>
      </c>
      <c r="AB54">
        <v>15</v>
      </c>
      <c r="AC54">
        <v>0</v>
      </c>
      <c r="AD54">
        <v>0</v>
      </c>
      <c r="AE54">
        <v>0</v>
      </c>
      <c r="AF54">
        <v>3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30</v>
      </c>
      <c r="AN54">
        <v>305</v>
      </c>
      <c r="AO54">
        <v>118</v>
      </c>
      <c r="AP54">
        <v>10.199999999999999</v>
      </c>
      <c r="AQ54">
        <v>73</v>
      </c>
      <c r="AR54">
        <v>119</v>
      </c>
      <c r="AS54">
        <v>68</v>
      </c>
      <c r="AT54">
        <v>20</v>
      </c>
      <c r="AU54">
        <v>23</v>
      </c>
      <c r="AV54">
        <v>42</v>
      </c>
      <c r="AW54">
        <v>25</v>
      </c>
      <c r="AX54">
        <v>0</v>
      </c>
      <c r="AY54">
        <v>0</v>
      </c>
      <c r="AZ54">
        <v>0</v>
      </c>
      <c r="BA54">
        <v>0</v>
      </c>
      <c r="BB54">
        <v>9</v>
      </c>
      <c r="BC54">
        <v>18</v>
      </c>
      <c r="BD54">
        <v>11</v>
      </c>
      <c r="BE54">
        <v>22</v>
      </c>
      <c r="BF54">
        <v>0</v>
      </c>
      <c r="BG54">
        <v>1102</v>
      </c>
      <c r="BH54">
        <v>631</v>
      </c>
      <c r="BI54">
        <v>368</v>
      </c>
      <c r="BJ54">
        <v>115</v>
      </c>
      <c r="BK54">
        <v>63194</v>
      </c>
      <c r="BL54">
        <v>18137</v>
      </c>
      <c r="BM54">
        <v>10125</v>
      </c>
      <c r="BN54">
        <v>34932</v>
      </c>
      <c r="BO54" t="s">
        <v>216</v>
      </c>
      <c r="BP54" t="s">
        <v>107</v>
      </c>
      <c r="BQ54" t="s">
        <v>89</v>
      </c>
      <c r="BR54" t="s">
        <v>118</v>
      </c>
      <c r="BS54" t="s">
        <v>219</v>
      </c>
    </row>
    <row r="55" spans="1:71" x14ac:dyDescent="0.3">
      <c r="A55" t="s">
        <v>71</v>
      </c>
      <c r="B55">
        <v>20260108</v>
      </c>
      <c r="C55">
        <v>4</v>
      </c>
      <c r="D55" t="s">
        <v>161</v>
      </c>
      <c r="E55">
        <v>4692</v>
      </c>
      <c r="F55" t="s">
        <v>241</v>
      </c>
      <c r="G55" t="s">
        <v>74</v>
      </c>
      <c r="H55">
        <v>37</v>
      </c>
      <c r="I55" t="s">
        <v>242</v>
      </c>
      <c r="J55">
        <v>181</v>
      </c>
      <c r="K55" t="s">
        <v>118</v>
      </c>
      <c r="L55" t="s">
        <v>238</v>
      </c>
      <c r="M55" t="b">
        <v>0</v>
      </c>
      <c r="N55" t="s">
        <v>101</v>
      </c>
      <c r="O55">
        <v>41</v>
      </c>
      <c r="P55">
        <v>23</v>
      </c>
      <c r="Q55">
        <v>23</v>
      </c>
      <c r="R55">
        <v>46</v>
      </c>
      <c r="S55">
        <v>2.8</v>
      </c>
      <c r="T55">
        <v>0.56000000000000005</v>
      </c>
      <c r="U55">
        <v>0.56000000000000005</v>
      </c>
      <c r="V55">
        <v>1.1200000000000001</v>
      </c>
      <c r="W55">
        <v>15.2</v>
      </c>
      <c r="X55">
        <v>24.7</v>
      </c>
      <c r="Y55">
        <v>7</v>
      </c>
      <c r="Z55">
        <v>5</v>
      </c>
      <c r="AA55">
        <v>11</v>
      </c>
      <c r="AB55">
        <v>16</v>
      </c>
      <c r="AC55">
        <v>1</v>
      </c>
      <c r="AD55">
        <v>0</v>
      </c>
      <c r="AE55">
        <v>1</v>
      </c>
      <c r="AF55">
        <v>2</v>
      </c>
      <c r="AG55">
        <v>0</v>
      </c>
      <c r="AH55">
        <v>0</v>
      </c>
      <c r="AI55">
        <v>2</v>
      </c>
      <c r="AJ55">
        <v>1</v>
      </c>
      <c r="AK55">
        <v>1</v>
      </c>
      <c r="AL55">
        <v>50</v>
      </c>
      <c r="AM55">
        <v>-8</v>
      </c>
      <c r="AN55">
        <v>229</v>
      </c>
      <c r="AO55">
        <v>115</v>
      </c>
      <c r="AP55">
        <v>20</v>
      </c>
      <c r="AQ55">
        <v>16</v>
      </c>
      <c r="AR55">
        <v>47</v>
      </c>
      <c r="AS55">
        <v>67</v>
      </c>
      <c r="AT55">
        <v>33</v>
      </c>
      <c r="AU55">
        <v>35</v>
      </c>
      <c r="AV55">
        <v>43</v>
      </c>
      <c r="AW55">
        <v>13</v>
      </c>
      <c r="AX55">
        <v>8</v>
      </c>
      <c r="AY55">
        <v>1</v>
      </c>
      <c r="AZ55">
        <v>7</v>
      </c>
      <c r="BA55">
        <v>12.5</v>
      </c>
      <c r="BB55">
        <v>16</v>
      </c>
      <c r="BC55">
        <v>32</v>
      </c>
      <c r="BD55">
        <v>22</v>
      </c>
      <c r="BE55">
        <v>44</v>
      </c>
      <c r="BF55">
        <v>0</v>
      </c>
      <c r="BG55">
        <v>938</v>
      </c>
      <c r="BH55">
        <v>497</v>
      </c>
      <c r="BI55">
        <v>220</v>
      </c>
      <c r="BJ55">
        <v>243</v>
      </c>
      <c r="BK55">
        <v>45774</v>
      </c>
      <c r="BL55">
        <v>16287</v>
      </c>
      <c r="BM55">
        <v>3726</v>
      </c>
      <c r="BN55">
        <v>25957</v>
      </c>
      <c r="BO55" t="s">
        <v>164</v>
      </c>
      <c r="BP55" t="s">
        <v>131</v>
      </c>
      <c r="BQ55" t="s">
        <v>131</v>
      </c>
      <c r="BR55" t="s">
        <v>118</v>
      </c>
      <c r="BS55" t="s">
        <v>165</v>
      </c>
    </row>
    <row r="56" spans="1:71" x14ac:dyDescent="0.3">
      <c r="A56" t="s">
        <v>71</v>
      </c>
      <c r="B56">
        <v>20260108</v>
      </c>
      <c r="C56">
        <v>13</v>
      </c>
      <c r="D56" t="s">
        <v>243</v>
      </c>
      <c r="E56">
        <v>111262</v>
      </c>
      <c r="F56" t="s">
        <v>244</v>
      </c>
      <c r="G56" t="s">
        <v>74</v>
      </c>
      <c r="H56">
        <v>27</v>
      </c>
      <c r="I56" t="s">
        <v>105</v>
      </c>
      <c r="J56">
        <v>207</v>
      </c>
      <c r="K56" t="s">
        <v>76</v>
      </c>
      <c r="L56" t="s">
        <v>183</v>
      </c>
      <c r="M56" t="b">
        <v>1</v>
      </c>
      <c r="N56" t="s">
        <v>87</v>
      </c>
      <c r="O56">
        <v>28</v>
      </c>
      <c r="P56">
        <v>0</v>
      </c>
      <c r="Q56">
        <v>4</v>
      </c>
      <c r="R56">
        <v>4</v>
      </c>
      <c r="S56">
        <v>0.68</v>
      </c>
      <c r="T56">
        <v>0.14000000000000001</v>
      </c>
      <c r="U56">
        <v>0</v>
      </c>
      <c r="V56">
        <v>0.14000000000000001</v>
      </c>
      <c r="W56">
        <v>22.6</v>
      </c>
      <c r="X56">
        <v>7.7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-1</v>
      </c>
      <c r="AN56">
        <v>62</v>
      </c>
      <c r="AO56">
        <v>19</v>
      </c>
      <c r="AP56">
        <v>0</v>
      </c>
      <c r="AQ56">
        <v>32</v>
      </c>
      <c r="AR56">
        <v>30</v>
      </c>
      <c r="AS56">
        <v>13</v>
      </c>
      <c r="AT56">
        <v>24</v>
      </c>
      <c r="AU56">
        <v>58</v>
      </c>
      <c r="AV56">
        <v>17</v>
      </c>
      <c r="AW56">
        <v>6</v>
      </c>
      <c r="AX56">
        <v>0</v>
      </c>
      <c r="AY56">
        <v>0</v>
      </c>
      <c r="AZ56">
        <v>0</v>
      </c>
      <c r="BA56">
        <v>0</v>
      </c>
      <c r="BB56">
        <v>5</v>
      </c>
      <c r="BC56">
        <v>10</v>
      </c>
      <c r="BD56">
        <v>2</v>
      </c>
      <c r="BE56">
        <v>4</v>
      </c>
      <c r="BF56">
        <v>0</v>
      </c>
      <c r="BG56">
        <v>649</v>
      </c>
      <c r="BH56">
        <v>583</v>
      </c>
      <c r="BI56">
        <v>21</v>
      </c>
      <c r="BJ56">
        <v>45</v>
      </c>
      <c r="BK56">
        <v>25294</v>
      </c>
      <c r="BL56">
        <v>3733</v>
      </c>
      <c r="BM56">
        <v>196</v>
      </c>
      <c r="BN56">
        <v>21365</v>
      </c>
      <c r="BO56" t="s">
        <v>243</v>
      </c>
      <c r="BP56" t="s">
        <v>124</v>
      </c>
      <c r="BQ56" t="s">
        <v>80</v>
      </c>
      <c r="BR56" t="s">
        <v>76</v>
      </c>
      <c r="BS56" t="s">
        <v>245</v>
      </c>
    </row>
    <row r="57" spans="1:71" x14ac:dyDescent="0.3">
      <c r="A57" t="s">
        <v>71</v>
      </c>
      <c r="B57">
        <v>20260108</v>
      </c>
      <c r="C57">
        <v>12</v>
      </c>
      <c r="D57" t="s">
        <v>150</v>
      </c>
      <c r="E57">
        <v>9627</v>
      </c>
      <c r="F57" t="s">
        <v>246</v>
      </c>
      <c r="G57" t="s">
        <v>74</v>
      </c>
      <c r="H57">
        <v>28</v>
      </c>
      <c r="I57" t="s">
        <v>105</v>
      </c>
      <c r="J57">
        <v>220</v>
      </c>
      <c r="K57" t="s">
        <v>128</v>
      </c>
      <c r="L57" t="s">
        <v>247</v>
      </c>
      <c r="M57" t="b">
        <v>0</v>
      </c>
      <c r="N57" t="s">
        <v>78</v>
      </c>
      <c r="O57">
        <v>36</v>
      </c>
      <c r="P57">
        <v>21</v>
      </c>
      <c r="Q57">
        <v>13</v>
      </c>
      <c r="R57">
        <v>34</v>
      </c>
      <c r="S57">
        <v>3.97</v>
      </c>
      <c r="T57">
        <v>0.36</v>
      </c>
      <c r="U57">
        <v>0.57999999999999996</v>
      </c>
      <c r="V57">
        <v>0.94</v>
      </c>
      <c r="W57">
        <v>35.6</v>
      </c>
      <c r="X57">
        <v>9.1999999999999993</v>
      </c>
      <c r="Y57">
        <v>7</v>
      </c>
      <c r="Z57">
        <v>4</v>
      </c>
      <c r="AA57">
        <v>3</v>
      </c>
      <c r="AB57">
        <v>7</v>
      </c>
      <c r="AC57">
        <v>0</v>
      </c>
      <c r="AD57">
        <v>0</v>
      </c>
      <c r="AE57">
        <v>0</v>
      </c>
      <c r="AF57">
        <v>3</v>
      </c>
      <c r="AG57">
        <v>0</v>
      </c>
      <c r="AH57">
        <v>1</v>
      </c>
      <c r="AI57">
        <v>1</v>
      </c>
      <c r="AJ57">
        <v>0</v>
      </c>
      <c r="AK57">
        <v>1</v>
      </c>
      <c r="AL57">
        <v>100</v>
      </c>
      <c r="AM57">
        <v>7</v>
      </c>
      <c r="AN57">
        <v>245</v>
      </c>
      <c r="AO57">
        <v>143</v>
      </c>
      <c r="AP57">
        <v>14.7</v>
      </c>
      <c r="AQ57">
        <v>56</v>
      </c>
      <c r="AR57">
        <v>43</v>
      </c>
      <c r="AS57">
        <v>59</v>
      </c>
      <c r="AT57">
        <v>21</v>
      </c>
      <c r="AU57">
        <v>18</v>
      </c>
      <c r="AV57">
        <v>35</v>
      </c>
      <c r="AW57">
        <v>15</v>
      </c>
      <c r="AX57">
        <v>604</v>
      </c>
      <c r="AY57">
        <v>353</v>
      </c>
      <c r="AZ57">
        <v>251</v>
      </c>
      <c r="BA57">
        <v>58.4</v>
      </c>
      <c r="BB57">
        <v>6</v>
      </c>
      <c r="BC57">
        <v>12</v>
      </c>
      <c r="BD57">
        <v>4</v>
      </c>
      <c r="BE57">
        <v>8</v>
      </c>
      <c r="BF57">
        <v>0</v>
      </c>
      <c r="BG57">
        <v>873</v>
      </c>
      <c r="BH57">
        <v>427</v>
      </c>
      <c r="BI57">
        <v>283</v>
      </c>
      <c r="BJ57">
        <v>185</v>
      </c>
      <c r="BK57">
        <v>44940</v>
      </c>
      <c r="BL57">
        <v>9879</v>
      </c>
      <c r="BM57">
        <v>4793</v>
      </c>
      <c r="BN57">
        <v>30319</v>
      </c>
      <c r="BO57" t="s">
        <v>150</v>
      </c>
      <c r="BP57" t="s">
        <v>124</v>
      </c>
      <c r="BQ57" t="s">
        <v>80</v>
      </c>
      <c r="BR57" t="s">
        <v>132</v>
      </c>
      <c r="BS57" t="s">
        <v>153</v>
      </c>
    </row>
    <row r="58" spans="1:71" x14ac:dyDescent="0.3">
      <c r="A58" t="s">
        <v>71</v>
      </c>
      <c r="B58">
        <v>20260108</v>
      </c>
      <c r="C58">
        <v>11</v>
      </c>
      <c r="D58" t="s">
        <v>195</v>
      </c>
      <c r="E58">
        <v>9640</v>
      </c>
      <c r="F58" t="s">
        <v>248</v>
      </c>
      <c r="G58" t="s">
        <v>74</v>
      </c>
      <c r="H58">
        <v>28</v>
      </c>
      <c r="I58" t="s">
        <v>75</v>
      </c>
      <c r="J58">
        <v>208</v>
      </c>
      <c r="K58" t="s">
        <v>128</v>
      </c>
      <c r="L58" t="s">
        <v>249</v>
      </c>
      <c r="M58" t="b">
        <v>0</v>
      </c>
      <c r="N58" t="s">
        <v>87</v>
      </c>
      <c r="O58">
        <v>31</v>
      </c>
      <c r="P58">
        <v>1</v>
      </c>
      <c r="Q58">
        <v>21</v>
      </c>
      <c r="R58">
        <v>22</v>
      </c>
      <c r="S58">
        <v>1.58</v>
      </c>
      <c r="T58">
        <v>0.68</v>
      </c>
      <c r="U58">
        <v>0.03</v>
      </c>
      <c r="V58">
        <v>0.71</v>
      </c>
      <c r="W58">
        <v>41</v>
      </c>
      <c r="X58">
        <v>24.7</v>
      </c>
      <c r="Y58">
        <v>0</v>
      </c>
      <c r="Z58">
        <v>0</v>
      </c>
      <c r="AA58">
        <v>11</v>
      </c>
      <c r="AB58">
        <v>11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-6</v>
      </c>
      <c r="AN58">
        <v>132</v>
      </c>
      <c r="AO58">
        <v>49</v>
      </c>
      <c r="AP58">
        <v>2</v>
      </c>
      <c r="AQ58">
        <v>59</v>
      </c>
      <c r="AR58">
        <v>42</v>
      </c>
      <c r="AS58">
        <v>41</v>
      </c>
      <c r="AT58">
        <v>41</v>
      </c>
      <c r="AU58">
        <v>53</v>
      </c>
      <c r="AV58">
        <v>34</v>
      </c>
      <c r="AW58">
        <v>16</v>
      </c>
      <c r="AX58">
        <v>0</v>
      </c>
      <c r="AY58">
        <v>0</v>
      </c>
      <c r="AZ58">
        <v>0</v>
      </c>
      <c r="BA58">
        <v>0</v>
      </c>
      <c r="BB58">
        <v>16</v>
      </c>
      <c r="BC58">
        <v>32</v>
      </c>
      <c r="BD58">
        <v>7</v>
      </c>
      <c r="BE58">
        <v>14</v>
      </c>
      <c r="BF58">
        <v>0</v>
      </c>
      <c r="BG58">
        <v>871</v>
      </c>
      <c r="BH58">
        <v>432</v>
      </c>
      <c r="BI58">
        <v>225</v>
      </c>
      <c r="BJ58">
        <v>215</v>
      </c>
      <c r="BK58">
        <v>44711</v>
      </c>
      <c r="BL58">
        <v>8084</v>
      </c>
      <c r="BM58">
        <v>3108</v>
      </c>
      <c r="BN58">
        <v>33519</v>
      </c>
      <c r="BO58" t="s">
        <v>195</v>
      </c>
      <c r="BP58" t="s">
        <v>124</v>
      </c>
      <c r="BQ58" t="s">
        <v>80</v>
      </c>
      <c r="BR58" t="s">
        <v>132</v>
      </c>
      <c r="BS58" t="s">
        <v>197</v>
      </c>
    </row>
    <row r="59" spans="1:71" x14ac:dyDescent="0.3">
      <c r="A59" t="s">
        <v>71</v>
      </c>
      <c r="B59">
        <v>20260108</v>
      </c>
      <c r="C59">
        <v>24</v>
      </c>
      <c r="D59" t="s">
        <v>250</v>
      </c>
      <c r="E59">
        <v>5576</v>
      </c>
      <c r="F59" t="s">
        <v>251</v>
      </c>
      <c r="G59" t="s">
        <v>74</v>
      </c>
      <c r="H59">
        <v>28</v>
      </c>
      <c r="I59" t="s">
        <v>84</v>
      </c>
      <c r="J59">
        <v>193</v>
      </c>
      <c r="K59" t="s">
        <v>118</v>
      </c>
      <c r="L59" t="s">
        <v>252</v>
      </c>
      <c r="M59" t="b">
        <v>0</v>
      </c>
      <c r="N59" t="s">
        <v>78</v>
      </c>
      <c r="O59">
        <v>43</v>
      </c>
      <c r="P59">
        <v>28</v>
      </c>
      <c r="Q59">
        <v>47</v>
      </c>
      <c r="R59">
        <v>75</v>
      </c>
      <c r="S59">
        <v>3.74</v>
      </c>
      <c r="T59">
        <v>1.0900000000000001</v>
      </c>
      <c r="U59">
        <v>0.65</v>
      </c>
      <c r="V59">
        <v>1.74</v>
      </c>
      <c r="W59">
        <v>13.5</v>
      </c>
      <c r="X59">
        <v>12.3</v>
      </c>
      <c r="Y59">
        <v>9</v>
      </c>
      <c r="Z59">
        <v>9</v>
      </c>
      <c r="AA59">
        <v>24</v>
      </c>
      <c r="AB59">
        <v>33</v>
      </c>
      <c r="AC59">
        <v>1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2</v>
      </c>
      <c r="AN59">
        <v>284</v>
      </c>
      <c r="AO59">
        <v>161</v>
      </c>
      <c r="AP59">
        <v>17.399999999999999</v>
      </c>
      <c r="AQ59">
        <v>18</v>
      </c>
      <c r="AR59">
        <v>44</v>
      </c>
      <c r="AS59">
        <v>78</v>
      </c>
      <c r="AT59">
        <v>18</v>
      </c>
      <c r="AU59">
        <v>58</v>
      </c>
      <c r="AV59">
        <v>66</v>
      </c>
      <c r="AW59">
        <v>14</v>
      </c>
      <c r="AX59">
        <v>465</v>
      </c>
      <c r="AY59">
        <v>221</v>
      </c>
      <c r="AZ59">
        <v>244</v>
      </c>
      <c r="BA59">
        <v>47.5</v>
      </c>
      <c r="BB59">
        <v>8</v>
      </c>
      <c r="BC59">
        <v>16</v>
      </c>
      <c r="BD59">
        <v>26</v>
      </c>
      <c r="BE59">
        <v>52</v>
      </c>
      <c r="BF59">
        <v>0</v>
      </c>
      <c r="BG59">
        <v>942</v>
      </c>
      <c r="BH59">
        <v>476</v>
      </c>
      <c r="BI59">
        <v>346</v>
      </c>
      <c r="BJ59">
        <v>133</v>
      </c>
      <c r="BK59">
        <v>58561</v>
      </c>
      <c r="BL59">
        <v>14713</v>
      </c>
      <c r="BM59">
        <v>9328</v>
      </c>
      <c r="BN59">
        <v>33786</v>
      </c>
      <c r="BO59" t="s">
        <v>250</v>
      </c>
      <c r="BP59" t="s">
        <v>88</v>
      </c>
      <c r="BQ59" t="s">
        <v>89</v>
      </c>
      <c r="BR59" t="s">
        <v>118</v>
      </c>
      <c r="BS59" t="s">
        <v>253</v>
      </c>
    </row>
    <row r="60" spans="1:71" x14ac:dyDescent="0.3">
      <c r="A60" t="s">
        <v>71</v>
      </c>
      <c r="B60">
        <v>20260108</v>
      </c>
      <c r="C60">
        <v>4</v>
      </c>
      <c r="D60" t="s">
        <v>161</v>
      </c>
      <c r="E60">
        <v>5722</v>
      </c>
      <c r="F60" t="s">
        <v>254</v>
      </c>
      <c r="G60" t="s">
        <v>74</v>
      </c>
      <c r="H60">
        <v>29</v>
      </c>
      <c r="I60" t="s">
        <v>93</v>
      </c>
      <c r="J60">
        <v>185</v>
      </c>
      <c r="K60" t="s">
        <v>76</v>
      </c>
      <c r="L60" t="s">
        <v>255</v>
      </c>
      <c r="M60" t="b">
        <v>0</v>
      </c>
      <c r="N60" t="s">
        <v>87</v>
      </c>
      <c r="O60">
        <v>42</v>
      </c>
      <c r="P60">
        <v>1</v>
      </c>
      <c r="Q60">
        <v>5</v>
      </c>
      <c r="R60">
        <v>6</v>
      </c>
      <c r="S60">
        <v>1.05</v>
      </c>
      <c r="T60">
        <v>0.12</v>
      </c>
      <c r="U60">
        <v>0.02</v>
      </c>
      <c r="V60">
        <v>0.14000000000000001</v>
      </c>
      <c r="W60">
        <v>39.6</v>
      </c>
      <c r="X60">
        <v>30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6</v>
      </c>
      <c r="AN60">
        <v>105</v>
      </c>
      <c r="AO60">
        <v>44</v>
      </c>
      <c r="AP60">
        <v>2.2999999999999998</v>
      </c>
      <c r="AQ60">
        <v>47</v>
      </c>
      <c r="AR60">
        <v>28</v>
      </c>
      <c r="AS60">
        <v>33</v>
      </c>
      <c r="AT60">
        <v>70</v>
      </c>
      <c r="AU60">
        <v>73</v>
      </c>
      <c r="AV60">
        <v>45</v>
      </c>
      <c r="AW60">
        <v>14</v>
      </c>
      <c r="AX60">
        <v>0</v>
      </c>
      <c r="AY60">
        <v>0</v>
      </c>
      <c r="AZ60">
        <v>0</v>
      </c>
      <c r="BA60">
        <v>0</v>
      </c>
      <c r="BB60">
        <v>16</v>
      </c>
      <c r="BC60">
        <v>35</v>
      </c>
      <c r="BD60">
        <v>13</v>
      </c>
      <c r="BE60">
        <v>29</v>
      </c>
      <c r="BF60">
        <v>1</v>
      </c>
      <c r="BG60">
        <v>1114</v>
      </c>
      <c r="BH60">
        <v>642</v>
      </c>
      <c r="BI60">
        <v>280</v>
      </c>
      <c r="BJ60">
        <v>193</v>
      </c>
      <c r="BK60">
        <v>50620</v>
      </c>
      <c r="BL60">
        <v>6830</v>
      </c>
      <c r="BM60">
        <v>4913</v>
      </c>
      <c r="BN60">
        <v>38826</v>
      </c>
      <c r="BO60" t="s">
        <v>164</v>
      </c>
      <c r="BP60" t="s">
        <v>131</v>
      </c>
      <c r="BQ60" t="s">
        <v>131</v>
      </c>
      <c r="BR60" t="s">
        <v>76</v>
      </c>
      <c r="BS60" t="s">
        <v>165</v>
      </c>
    </row>
    <row r="61" spans="1:71" x14ac:dyDescent="0.3">
      <c r="A61" t="s">
        <v>71</v>
      </c>
      <c r="B61">
        <v>20260108</v>
      </c>
      <c r="C61">
        <v>9</v>
      </c>
      <c r="D61" t="s">
        <v>256</v>
      </c>
      <c r="E61">
        <v>5161</v>
      </c>
      <c r="F61" t="s">
        <v>257</v>
      </c>
      <c r="G61" t="s">
        <v>74</v>
      </c>
      <c r="H61">
        <v>32</v>
      </c>
      <c r="I61" t="s">
        <v>84</v>
      </c>
      <c r="J61">
        <v>218</v>
      </c>
      <c r="K61" t="s">
        <v>128</v>
      </c>
      <c r="L61" t="s">
        <v>258</v>
      </c>
      <c r="M61" t="b">
        <v>0</v>
      </c>
      <c r="N61" t="s">
        <v>78</v>
      </c>
      <c r="O61">
        <v>35</v>
      </c>
      <c r="P61">
        <v>10</v>
      </c>
      <c r="Q61">
        <v>12</v>
      </c>
      <c r="R61">
        <v>22</v>
      </c>
      <c r="S61">
        <v>2.2000000000000002</v>
      </c>
      <c r="T61">
        <v>0.34</v>
      </c>
      <c r="U61">
        <v>0.28999999999999998</v>
      </c>
      <c r="V61">
        <v>0.63</v>
      </c>
      <c r="W61">
        <v>20.6</v>
      </c>
      <c r="X61">
        <v>7.7</v>
      </c>
      <c r="Y61">
        <v>3</v>
      </c>
      <c r="Z61">
        <v>3</v>
      </c>
      <c r="AA61">
        <v>2</v>
      </c>
      <c r="AB61">
        <v>5</v>
      </c>
      <c r="AC61">
        <v>0</v>
      </c>
      <c r="AD61">
        <v>0</v>
      </c>
      <c r="AE61">
        <v>0</v>
      </c>
      <c r="AF61">
        <v>3</v>
      </c>
      <c r="AG61">
        <v>0</v>
      </c>
      <c r="AH61">
        <v>3</v>
      </c>
      <c r="AI61">
        <v>1</v>
      </c>
      <c r="AJ61">
        <v>0</v>
      </c>
      <c r="AK61">
        <v>1</v>
      </c>
      <c r="AL61">
        <v>100</v>
      </c>
      <c r="AM61">
        <v>-11</v>
      </c>
      <c r="AN61">
        <v>153</v>
      </c>
      <c r="AO61">
        <v>77</v>
      </c>
      <c r="AP61">
        <v>13</v>
      </c>
      <c r="AQ61">
        <v>12</v>
      </c>
      <c r="AR61">
        <v>26</v>
      </c>
      <c r="AS61">
        <v>50</v>
      </c>
      <c r="AT61">
        <v>74</v>
      </c>
      <c r="AU61">
        <v>24</v>
      </c>
      <c r="AV61">
        <v>35</v>
      </c>
      <c r="AW61">
        <v>5</v>
      </c>
      <c r="AX61">
        <v>491</v>
      </c>
      <c r="AY61">
        <v>294</v>
      </c>
      <c r="AZ61">
        <v>197</v>
      </c>
      <c r="BA61">
        <v>59.9</v>
      </c>
      <c r="BB61">
        <v>5</v>
      </c>
      <c r="BC61">
        <v>10</v>
      </c>
      <c r="BD61">
        <v>3</v>
      </c>
      <c r="BE61">
        <v>6</v>
      </c>
      <c r="BF61">
        <v>0</v>
      </c>
      <c r="BG61">
        <v>908</v>
      </c>
      <c r="BH61">
        <v>424</v>
      </c>
      <c r="BI61">
        <v>252</v>
      </c>
      <c r="BJ61">
        <v>235</v>
      </c>
      <c r="BK61">
        <v>43607</v>
      </c>
      <c r="BL61">
        <v>10607</v>
      </c>
      <c r="BM61">
        <v>3807</v>
      </c>
      <c r="BN61">
        <v>28814</v>
      </c>
      <c r="BO61" t="s">
        <v>256</v>
      </c>
      <c r="BP61" t="s">
        <v>79</v>
      </c>
      <c r="BQ61" t="s">
        <v>80</v>
      </c>
      <c r="BR61" t="s">
        <v>132</v>
      </c>
      <c r="BS61" t="s">
        <v>259</v>
      </c>
    </row>
    <row r="62" spans="1:71" x14ac:dyDescent="0.3">
      <c r="A62" t="s">
        <v>71</v>
      </c>
      <c r="B62">
        <v>20260108</v>
      </c>
      <c r="C62">
        <v>2</v>
      </c>
      <c r="D62" t="s">
        <v>126</v>
      </c>
      <c r="E62">
        <v>5930</v>
      </c>
      <c r="F62" t="s">
        <v>260</v>
      </c>
      <c r="G62" t="s">
        <v>74</v>
      </c>
      <c r="H62">
        <v>30</v>
      </c>
      <c r="I62" t="s">
        <v>75</v>
      </c>
      <c r="J62">
        <v>195</v>
      </c>
      <c r="K62" t="s">
        <v>118</v>
      </c>
      <c r="L62" t="s">
        <v>240</v>
      </c>
      <c r="M62" t="b">
        <v>0</v>
      </c>
      <c r="N62" t="s">
        <v>87</v>
      </c>
      <c r="O62">
        <v>41</v>
      </c>
      <c r="P62">
        <v>6</v>
      </c>
      <c r="Q62">
        <v>27</v>
      </c>
      <c r="R62">
        <v>33</v>
      </c>
      <c r="S62">
        <v>1.71</v>
      </c>
      <c r="T62">
        <v>0.66</v>
      </c>
      <c r="U62">
        <v>0.15</v>
      </c>
      <c r="V62">
        <v>0.8</v>
      </c>
      <c r="W62">
        <v>46.9</v>
      </c>
      <c r="X62">
        <v>12.3</v>
      </c>
      <c r="Y62">
        <v>2</v>
      </c>
      <c r="Z62">
        <v>1</v>
      </c>
      <c r="AA62">
        <v>8</v>
      </c>
      <c r="AB62">
        <v>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7</v>
      </c>
      <c r="AN62">
        <v>161</v>
      </c>
      <c r="AO62">
        <v>70</v>
      </c>
      <c r="AP62">
        <v>8.6</v>
      </c>
      <c r="AQ62">
        <v>76</v>
      </c>
      <c r="AR62">
        <v>54</v>
      </c>
      <c r="AS62">
        <v>37</v>
      </c>
      <c r="AT62">
        <v>21</v>
      </c>
      <c r="AU62">
        <v>56</v>
      </c>
      <c r="AV62">
        <v>48</v>
      </c>
      <c r="AW62">
        <v>10</v>
      </c>
      <c r="AX62">
        <v>0</v>
      </c>
      <c r="AY62">
        <v>0</v>
      </c>
      <c r="AZ62">
        <v>0</v>
      </c>
      <c r="BA62">
        <v>0</v>
      </c>
      <c r="BB62">
        <v>8</v>
      </c>
      <c r="BC62">
        <v>16</v>
      </c>
      <c r="BD62">
        <v>6</v>
      </c>
      <c r="BE62">
        <v>12</v>
      </c>
      <c r="BF62">
        <v>0</v>
      </c>
      <c r="BG62">
        <v>1138</v>
      </c>
      <c r="BH62">
        <v>582</v>
      </c>
      <c r="BI62">
        <v>373</v>
      </c>
      <c r="BJ62">
        <v>190</v>
      </c>
      <c r="BK62">
        <v>60243</v>
      </c>
      <c r="BL62">
        <v>11135</v>
      </c>
      <c r="BM62">
        <v>7388</v>
      </c>
      <c r="BN62">
        <v>41728</v>
      </c>
      <c r="BO62" t="s">
        <v>130</v>
      </c>
      <c r="BP62" t="s">
        <v>131</v>
      </c>
      <c r="BQ62" t="s">
        <v>131</v>
      </c>
      <c r="BR62" t="s">
        <v>118</v>
      </c>
      <c r="BS62" t="s">
        <v>133</v>
      </c>
    </row>
    <row r="63" spans="1:71" x14ac:dyDescent="0.3">
      <c r="A63" t="s">
        <v>71</v>
      </c>
      <c r="B63">
        <v>20260108</v>
      </c>
      <c r="C63">
        <v>22</v>
      </c>
      <c r="D63" t="s">
        <v>216</v>
      </c>
      <c r="E63">
        <v>5226</v>
      </c>
      <c r="F63" t="s">
        <v>261</v>
      </c>
      <c r="G63" t="s">
        <v>74</v>
      </c>
      <c r="H63">
        <v>34</v>
      </c>
      <c r="I63" t="s">
        <v>105</v>
      </c>
      <c r="J63">
        <v>212</v>
      </c>
      <c r="K63" t="s">
        <v>128</v>
      </c>
      <c r="L63" t="s">
        <v>262</v>
      </c>
      <c r="M63" t="b">
        <v>0</v>
      </c>
      <c r="N63" t="s">
        <v>78</v>
      </c>
      <c r="O63">
        <v>42</v>
      </c>
      <c r="P63">
        <v>19</v>
      </c>
      <c r="Q63">
        <v>15</v>
      </c>
      <c r="R63">
        <v>34</v>
      </c>
      <c r="S63">
        <v>2.17</v>
      </c>
      <c r="T63">
        <v>0.36</v>
      </c>
      <c r="U63">
        <v>0.45</v>
      </c>
      <c r="V63">
        <v>0.81</v>
      </c>
      <c r="W63">
        <v>23.3</v>
      </c>
      <c r="X63">
        <v>12.3</v>
      </c>
      <c r="Y63">
        <v>6</v>
      </c>
      <c r="Z63">
        <v>6</v>
      </c>
      <c r="AA63">
        <v>3</v>
      </c>
      <c r="AB63">
        <v>9</v>
      </c>
      <c r="AC63">
        <v>0</v>
      </c>
      <c r="AD63">
        <v>0</v>
      </c>
      <c r="AE63">
        <v>0</v>
      </c>
      <c r="AF63">
        <v>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12</v>
      </c>
      <c r="AN63">
        <v>157</v>
      </c>
      <c r="AO63">
        <v>91</v>
      </c>
      <c r="AP63">
        <v>20.9</v>
      </c>
      <c r="AQ63">
        <v>34</v>
      </c>
      <c r="AR63">
        <v>32</v>
      </c>
      <c r="AS63">
        <v>34</v>
      </c>
      <c r="AT63">
        <v>22</v>
      </c>
      <c r="AU63">
        <v>48</v>
      </c>
      <c r="AV63">
        <v>34</v>
      </c>
      <c r="AW63">
        <v>12</v>
      </c>
      <c r="AX63">
        <v>751</v>
      </c>
      <c r="AY63">
        <v>380</v>
      </c>
      <c r="AZ63">
        <v>371</v>
      </c>
      <c r="BA63">
        <v>50.6</v>
      </c>
      <c r="BB63">
        <v>8</v>
      </c>
      <c r="BC63">
        <v>16</v>
      </c>
      <c r="BD63">
        <v>11</v>
      </c>
      <c r="BE63">
        <v>22</v>
      </c>
      <c r="BF63">
        <v>0</v>
      </c>
      <c r="BG63">
        <v>997</v>
      </c>
      <c r="BH63">
        <v>457</v>
      </c>
      <c r="BI63">
        <v>321</v>
      </c>
      <c r="BJ63">
        <v>238</v>
      </c>
      <c r="BK63">
        <v>47913</v>
      </c>
      <c r="BL63">
        <v>13114</v>
      </c>
      <c r="BM63">
        <v>4755</v>
      </c>
      <c r="BN63">
        <v>30008</v>
      </c>
      <c r="BO63" t="s">
        <v>216</v>
      </c>
      <c r="BP63" t="s">
        <v>107</v>
      </c>
      <c r="BQ63" t="s">
        <v>89</v>
      </c>
      <c r="BR63" t="s">
        <v>132</v>
      </c>
      <c r="BS63" t="s">
        <v>219</v>
      </c>
    </row>
    <row r="64" spans="1:71" x14ac:dyDescent="0.3">
      <c r="A64" t="s">
        <v>71</v>
      </c>
      <c r="B64">
        <v>20260108</v>
      </c>
      <c r="C64">
        <v>12</v>
      </c>
      <c r="D64" t="s">
        <v>150</v>
      </c>
      <c r="E64">
        <v>5418</v>
      </c>
      <c r="F64" t="s">
        <v>263</v>
      </c>
      <c r="G64" t="s">
        <v>264</v>
      </c>
      <c r="H64">
        <v>29</v>
      </c>
      <c r="I64" t="s">
        <v>75</v>
      </c>
      <c r="J64">
        <v>196</v>
      </c>
      <c r="K64" t="s">
        <v>118</v>
      </c>
      <c r="L64" t="s">
        <v>240</v>
      </c>
      <c r="M64" t="b">
        <v>0</v>
      </c>
      <c r="N64" t="s">
        <v>95</v>
      </c>
      <c r="O64">
        <v>33</v>
      </c>
      <c r="P64">
        <v>14</v>
      </c>
      <c r="Q64">
        <v>27</v>
      </c>
      <c r="R64">
        <v>41</v>
      </c>
      <c r="S64">
        <v>2.06</v>
      </c>
      <c r="T64">
        <v>0.82</v>
      </c>
      <c r="U64">
        <v>0.42</v>
      </c>
      <c r="V64">
        <v>1.24</v>
      </c>
      <c r="W64">
        <v>7.5</v>
      </c>
      <c r="X64">
        <v>9.1999999999999993</v>
      </c>
      <c r="Y64">
        <v>4</v>
      </c>
      <c r="Z64">
        <v>2</v>
      </c>
      <c r="AA64">
        <v>5</v>
      </c>
      <c r="AB64">
        <v>7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2</v>
      </c>
      <c r="AI64">
        <v>1</v>
      </c>
      <c r="AJ64">
        <v>0</v>
      </c>
      <c r="AK64">
        <v>0</v>
      </c>
      <c r="AL64">
        <v>0</v>
      </c>
      <c r="AM64">
        <v>-1</v>
      </c>
      <c r="AN64">
        <v>149</v>
      </c>
      <c r="AO64">
        <v>68</v>
      </c>
      <c r="AP64">
        <v>20.6</v>
      </c>
      <c r="AQ64">
        <v>12</v>
      </c>
      <c r="AR64">
        <v>39</v>
      </c>
      <c r="AS64">
        <v>42</v>
      </c>
      <c r="AT64">
        <v>4</v>
      </c>
      <c r="AU64">
        <v>10</v>
      </c>
      <c r="AV64">
        <v>34</v>
      </c>
      <c r="AW64">
        <v>14</v>
      </c>
      <c r="AX64">
        <v>49</v>
      </c>
      <c r="AY64">
        <v>18</v>
      </c>
      <c r="AZ64">
        <v>31</v>
      </c>
      <c r="BA64">
        <v>36.700000000000003</v>
      </c>
      <c r="BB64">
        <v>6</v>
      </c>
      <c r="BC64">
        <v>12</v>
      </c>
      <c r="BD64">
        <v>6</v>
      </c>
      <c r="BE64">
        <v>12</v>
      </c>
      <c r="BF64">
        <v>0</v>
      </c>
      <c r="BG64">
        <v>749</v>
      </c>
      <c r="BH64">
        <v>347</v>
      </c>
      <c r="BI64">
        <v>287</v>
      </c>
      <c r="BJ64">
        <v>130</v>
      </c>
      <c r="BK64">
        <v>37957</v>
      </c>
      <c r="BL64">
        <v>9745</v>
      </c>
      <c r="BM64">
        <v>4645</v>
      </c>
      <c r="BN64">
        <v>23528</v>
      </c>
      <c r="BO64" t="s">
        <v>150</v>
      </c>
      <c r="BP64" t="s">
        <v>124</v>
      </c>
      <c r="BQ64" t="s">
        <v>80</v>
      </c>
      <c r="BR64" t="s">
        <v>85</v>
      </c>
      <c r="BS64" t="s">
        <v>153</v>
      </c>
    </row>
    <row r="65" spans="1:71" x14ac:dyDescent="0.3">
      <c r="A65" t="s">
        <v>71</v>
      </c>
      <c r="B65">
        <v>20260108</v>
      </c>
      <c r="C65">
        <v>17</v>
      </c>
      <c r="D65" t="s">
        <v>103</v>
      </c>
      <c r="E65">
        <v>5826</v>
      </c>
      <c r="F65" t="s">
        <v>265</v>
      </c>
      <c r="G65" t="s">
        <v>74</v>
      </c>
      <c r="H65">
        <v>32</v>
      </c>
      <c r="I65" t="s">
        <v>180</v>
      </c>
      <c r="J65">
        <v>230</v>
      </c>
      <c r="K65" t="s">
        <v>118</v>
      </c>
      <c r="L65" t="s">
        <v>266</v>
      </c>
      <c r="M65" t="b">
        <v>0</v>
      </c>
      <c r="N65" t="s">
        <v>87</v>
      </c>
      <c r="O65">
        <v>44</v>
      </c>
      <c r="P65">
        <v>0</v>
      </c>
      <c r="Q65">
        <v>11</v>
      </c>
      <c r="R65">
        <v>11</v>
      </c>
      <c r="S65">
        <v>1.0900000000000001</v>
      </c>
      <c r="T65">
        <v>0.25</v>
      </c>
      <c r="U65">
        <v>0</v>
      </c>
      <c r="V65">
        <v>0.25</v>
      </c>
      <c r="W65">
        <v>67.599999999999994</v>
      </c>
      <c r="X65">
        <v>12.3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-8</v>
      </c>
      <c r="AN65">
        <v>117</v>
      </c>
      <c r="AO65">
        <v>48</v>
      </c>
      <c r="AP65">
        <v>0</v>
      </c>
      <c r="AQ65">
        <v>105</v>
      </c>
      <c r="AR65">
        <v>38</v>
      </c>
      <c r="AS65">
        <v>31</v>
      </c>
      <c r="AT65">
        <v>44</v>
      </c>
      <c r="AU65">
        <v>61</v>
      </c>
      <c r="AV65">
        <v>53</v>
      </c>
      <c r="AW65">
        <v>19</v>
      </c>
      <c r="AX65">
        <v>0</v>
      </c>
      <c r="AY65">
        <v>0</v>
      </c>
      <c r="AZ65">
        <v>0</v>
      </c>
      <c r="BA65">
        <v>0</v>
      </c>
      <c r="BB65">
        <v>8</v>
      </c>
      <c r="BC65">
        <v>16</v>
      </c>
      <c r="BD65">
        <v>8</v>
      </c>
      <c r="BE65">
        <v>16</v>
      </c>
      <c r="BF65">
        <v>0</v>
      </c>
      <c r="BG65">
        <v>1249</v>
      </c>
      <c r="BH65">
        <v>678</v>
      </c>
      <c r="BI65">
        <v>222</v>
      </c>
      <c r="BJ65">
        <v>349</v>
      </c>
      <c r="BK65">
        <v>59578</v>
      </c>
      <c r="BL65">
        <v>11593</v>
      </c>
      <c r="BM65">
        <v>2902</v>
      </c>
      <c r="BN65">
        <v>45083</v>
      </c>
      <c r="BO65" t="s">
        <v>103</v>
      </c>
      <c r="BP65" t="s">
        <v>107</v>
      </c>
      <c r="BQ65" t="s">
        <v>89</v>
      </c>
      <c r="BR65" t="s">
        <v>118</v>
      </c>
      <c r="BS65" t="s">
        <v>108</v>
      </c>
    </row>
    <row r="66" spans="1:71" x14ac:dyDescent="0.3">
      <c r="A66" t="s">
        <v>71</v>
      </c>
      <c r="B66">
        <v>20260108</v>
      </c>
      <c r="C66">
        <v>21</v>
      </c>
      <c r="D66" t="s">
        <v>193</v>
      </c>
      <c r="E66">
        <v>15084</v>
      </c>
      <c r="F66" t="s">
        <v>267</v>
      </c>
      <c r="G66" t="s">
        <v>74</v>
      </c>
      <c r="H66">
        <v>27</v>
      </c>
      <c r="I66" t="s">
        <v>147</v>
      </c>
      <c r="J66">
        <v>176</v>
      </c>
      <c r="K66" t="s">
        <v>85</v>
      </c>
      <c r="L66" t="s">
        <v>268</v>
      </c>
      <c r="M66" t="b">
        <v>0</v>
      </c>
      <c r="N66" t="s">
        <v>78</v>
      </c>
      <c r="O66">
        <v>34</v>
      </c>
      <c r="P66">
        <v>11</v>
      </c>
      <c r="Q66">
        <v>15</v>
      </c>
      <c r="R66">
        <v>26</v>
      </c>
      <c r="S66">
        <v>2.0299999999999998</v>
      </c>
      <c r="T66">
        <v>0.44</v>
      </c>
      <c r="U66">
        <v>0.32</v>
      </c>
      <c r="V66">
        <v>0.76</v>
      </c>
      <c r="W66">
        <v>37.700000000000003</v>
      </c>
      <c r="X66">
        <v>10.8</v>
      </c>
      <c r="Y66">
        <v>3</v>
      </c>
      <c r="Z66">
        <v>2</v>
      </c>
      <c r="AA66">
        <v>7</v>
      </c>
      <c r="AB66">
        <v>9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3</v>
      </c>
      <c r="AJ66">
        <v>1</v>
      </c>
      <c r="AK66">
        <v>0</v>
      </c>
      <c r="AL66">
        <v>0</v>
      </c>
      <c r="AM66">
        <v>-11</v>
      </c>
      <c r="AN66">
        <v>148</v>
      </c>
      <c r="AO66">
        <v>69</v>
      </c>
      <c r="AP66">
        <v>15.9</v>
      </c>
      <c r="AQ66">
        <v>56</v>
      </c>
      <c r="AR66">
        <v>31</v>
      </c>
      <c r="AS66">
        <v>48</v>
      </c>
      <c r="AT66">
        <v>32</v>
      </c>
      <c r="AU66">
        <v>36</v>
      </c>
      <c r="AV66">
        <v>35</v>
      </c>
      <c r="AW66">
        <v>18</v>
      </c>
      <c r="AX66">
        <v>733</v>
      </c>
      <c r="AY66">
        <v>346</v>
      </c>
      <c r="AZ66">
        <v>387</v>
      </c>
      <c r="BA66">
        <v>47.2</v>
      </c>
      <c r="BB66">
        <v>7</v>
      </c>
      <c r="BC66">
        <v>14</v>
      </c>
      <c r="BD66">
        <v>10</v>
      </c>
      <c r="BE66">
        <v>20</v>
      </c>
      <c r="BF66">
        <v>0</v>
      </c>
      <c r="BG66">
        <v>803</v>
      </c>
      <c r="BH66">
        <v>436</v>
      </c>
      <c r="BI66">
        <v>231</v>
      </c>
      <c r="BJ66">
        <v>145</v>
      </c>
      <c r="BK66">
        <v>41741</v>
      </c>
      <c r="BL66">
        <v>8006</v>
      </c>
      <c r="BM66">
        <v>6013</v>
      </c>
      <c r="BN66">
        <v>27722</v>
      </c>
      <c r="BO66" t="s">
        <v>193</v>
      </c>
      <c r="BP66" t="s">
        <v>88</v>
      </c>
      <c r="BQ66" t="s">
        <v>89</v>
      </c>
      <c r="BR66" t="s">
        <v>85</v>
      </c>
      <c r="BS66" t="s">
        <v>269</v>
      </c>
    </row>
    <row r="67" spans="1:71" x14ac:dyDescent="0.3">
      <c r="A67" t="s">
        <v>71</v>
      </c>
      <c r="B67">
        <v>20260108</v>
      </c>
      <c r="C67">
        <v>1</v>
      </c>
      <c r="D67" t="s">
        <v>121</v>
      </c>
      <c r="E67">
        <v>10079</v>
      </c>
      <c r="F67" t="s">
        <v>270</v>
      </c>
      <c r="G67" t="s">
        <v>74</v>
      </c>
      <c r="H67">
        <v>29</v>
      </c>
      <c r="I67" t="s">
        <v>99</v>
      </c>
      <c r="J67">
        <v>166</v>
      </c>
      <c r="K67" t="s">
        <v>118</v>
      </c>
      <c r="L67" t="s">
        <v>240</v>
      </c>
      <c r="M67" t="b">
        <v>0</v>
      </c>
      <c r="N67" t="s">
        <v>78</v>
      </c>
      <c r="O67">
        <v>35</v>
      </c>
      <c r="P67">
        <v>10</v>
      </c>
      <c r="Q67">
        <v>16</v>
      </c>
      <c r="R67">
        <v>26</v>
      </c>
      <c r="S67">
        <v>2.2000000000000002</v>
      </c>
      <c r="T67">
        <v>0.46</v>
      </c>
      <c r="U67">
        <v>0.28999999999999998</v>
      </c>
      <c r="V67">
        <v>0.74</v>
      </c>
      <c r="W67">
        <v>8.1</v>
      </c>
      <c r="X67">
        <v>6.2</v>
      </c>
      <c r="Y67">
        <v>3</v>
      </c>
      <c r="Z67">
        <v>2</v>
      </c>
      <c r="AA67">
        <v>4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</v>
      </c>
      <c r="AJ67">
        <v>0</v>
      </c>
      <c r="AK67">
        <v>2</v>
      </c>
      <c r="AL67">
        <v>100</v>
      </c>
      <c r="AM67">
        <v>0</v>
      </c>
      <c r="AN67">
        <v>135</v>
      </c>
      <c r="AO67">
        <v>77</v>
      </c>
      <c r="AP67">
        <v>13</v>
      </c>
      <c r="AQ67">
        <v>13</v>
      </c>
      <c r="AR67">
        <v>30</v>
      </c>
      <c r="AS67">
        <v>28</v>
      </c>
      <c r="AT67">
        <v>4</v>
      </c>
      <c r="AU67">
        <v>20</v>
      </c>
      <c r="AV67">
        <v>20</v>
      </c>
      <c r="AW67">
        <v>5</v>
      </c>
      <c r="AX67">
        <v>364</v>
      </c>
      <c r="AY67">
        <v>165</v>
      </c>
      <c r="AZ67">
        <v>199</v>
      </c>
      <c r="BA67">
        <v>45.3</v>
      </c>
      <c r="BB67">
        <v>4</v>
      </c>
      <c r="BC67">
        <v>8</v>
      </c>
      <c r="BD67">
        <v>8</v>
      </c>
      <c r="BE67">
        <v>16</v>
      </c>
      <c r="BF67">
        <v>0</v>
      </c>
      <c r="BG67">
        <v>733</v>
      </c>
      <c r="BH67">
        <v>374</v>
      </c>
      <c r="BI67">
        <v>243</v>
      </c>
      <c r="BJ67">
        <v>129</v>
      </c>
      <c r="BK67">
        <v>38878</v>
      </c>
      <c r="BL67">
        <v>9131</v>
      </c>
      <c r="BM67">
        <v>6238</v>
      </c>
      <c r="BN67">
        <v>23834</v>
      </c>
      <c r="BO67" t="s">
        <v>121</v>
      </c>
      <c r="BP67" t="s">
        <v>124</v>
      </c>
      <c r="BQ67" t="s">
        <v>80</v>
      </c>
      <c r="BR67" t="s">
        <v>118</v>
      </c>
      <c r="BS67" t="s">
        <v>125</v>
      </c>
    </row>
    <row r="68" spans="1:71" x14ac:dyDescent="0.3">
      <c r="A68" t="s">
        <v>71</v>
      </c>
      <c r="B68">
        <v>20260108</v>
      </c>
      <c r="C68">
        <v>10</v>
      </c>
      <c r="D68" t="s">
        <v>134</v>
      </c>
      <c r="E68">
        <v>5144</v>
      </c>
      <c r="F68" t="s">
        <v>271</v>
      </c>
      <c r="G68" t="s">
        <v>74</v>
      </c>
      <c r="H68">
        <v>32</v>
      </c>
      <c r="I68" t="s">
        <v>75</v>
      </c>
      <c r="J68">
        <v>196</v>
      </c>
      <c r="K68" t="s">
        <v>85</v>
      </c>
      <c r="L68" t="s">
        <v>272</v>
      </c>
      <c r="M68" t="b">
        <v>0</v>
      </c>
      <c r="N68" t="s">
        <v>95</v>
      </c>
      <c r="O68">
        <v>21</v>
      </c>
      <c r="P68">
        <v>6</v>
      </c>
      <c r="Q68">
        <v>9</v>
      </c>
      <c r="R68">
        <v>15</v>
      </c>
      <c r="S68">
        <v>2.81</v>
      </c>
      <c r="T68">
        <v>0.43</v>
      </c>
      <c r="U68">
        <v>0.28999999999999998</v>
      </c>
      <c r="V68">
        <v>0.71</v>
      </c>
      <c r="W68">
        <v>17.8</v>
      </c>
      <c r="X68">
        <v>1.5</v>
      </c>
      <c r="Y68">
        <v>2</v>
      </c>
      <c r="Z68">
        <v>2</v>
      </c>
      <c r="AA68">
        <v>3</v>
      </c>
      <c r="AB68">
        <v>5</v>
      </c>
      <c r="AC68">
        <v>0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100</v>
      </c>
      <c r="AM68">
        <v>0</v>
      </c>
      <c r="AN68">
        <v>103</v>
      </c>
      <c r="AO68">
        <v>59</v>
      </c>
      <c r="AP68">
        <v>10.199999999999999</v>
      </c>
      <c r="AQ68">
        <v>21</v>
      </c>
      <c r="AR68">
        <v>22</v>
      </c>
      <c r="AS68">
        <v>22</v>
      </c>
      <c r="AT68">
        <v>32</v>
      </c>
      <c r="AU68">
        <v>25</v>
      </c>
      <c r="AV68">
        <v>15</v>
      </c>
      <c r="AW68">
        <v>13</v>
      </c>
      <c r="AX68">
        <v>17</v>
      </c>
      <c r="AY68">
        <v>1</v>
      </c>
      <c r="AZ68">
        <v>16</v>
      </c>
      <c r="BA68">
        <v>5.9</v>
      </c>
      <c r="BB68">
        <v>1</v>
      </c>
      <c r="BC68">
        <v>2</v>
      </c>
      <c r="BD68">
        <v>3</v>
      </c>
      <c r="BE68">
        <v>6</v>
      </c>
      <c r="BF68">
        <v>0</v>
      </c>
      <c r="BG68">
        <v>462</v>
      </c>
      <c r="BH68">
        <v>186</v>
      </c>
      <c r="BI68">
        <v>231</v>
      </c>
      <c r="BJ68">
        <v>51</v>
      </c>
      <c r="BK68">
        <v>23929</v>
      </c>
      <c r="BL68">
        <v>4780</v>
      </c>
      <c r="BM68">
        <v>5804</v>
      </c>
      <c r="BN68">
        <v>13439</v>
      </c>
      <c r="BO68" t="s">
        <v>134</v>
      </c>
      <c r="BP68" t="s">
        <v>79</v>
      </c>
      <c r="BQ68" t="s">
        <v>80</v>
      </c>
      <c r="BR68" t="s">
        <v>85</v>
      </c>
      <c r="BS68" t="s">
        <v>138</v>
      </c>
    </row>
    <row r="69" spans="1:71" x14ac:dyDescent="0.3">
      <c r="A69" t="s">
        <v>71</v>
      </c>
      <c r="B69">
        <v>20260108</v>
      </c>
      <c r="C69">
        <v>27</v>
      </c>
      <c r="D69" t="s">
        <v>174</v>
      </c>
      <c r="E69">
        <v>5605</v>
      </c>
      <c r="F69" t="s">
        <v>273</v>
      </c>
      <c r="G69" t="s">
        <v>74</v>
      </c>
      <c r="H69">
        <v>29</v>
      </c>
      <c r="I69" t="s">
        <v>93</v>
      </c>
      <c r="J69">
        <v>215</v>
      </c>
      <c r="K69" t="s">
        <v>76</v>
      </c>
      <c r="L69" t="s">
        <v>274</v>
      </c>
      <c r="M69" t="b">
        <v>0</v>
      </c>
      <c r="N69" t="s">
        <v>95</v>
      </c>
      <c r="O69">
        <v>43</v>
      </c>
      <c r="P69">
        <v>17</v>
      </c>
      <c r="Q69">
        <v>42</v>
      </c>
      <c r="R69">
        <v>59</v>
      </c>
      <c r="S69">
        <v>2.42</v>
      </c>
      <c r="T69">
        <v>0.98</v>
      </c>
      <c r="U69">
        <v>0.4</v>
      </c>
      <c r="V69">
        <v>1.37</v>
      </c>
      <c r="W69">
        <v>16.899999999999999</v>
      </c>
      <c r="X69">
        <v>51.7</v>
      </c>
      <c r="Y69">
        <v>5</v>
      </c>
      <c r="Z69">
        <v>4</v>
      </c>
      <c r="AA69">
        <v>22</v>
      </c>
      <c r="AB69">
        <v>26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4</v>
      </c>
      <c r="AJ69">
        <v>1</v>
      </c>
      <c r="AK69">
        <v>2</v>
      </c>
      <c r="AL69">
        <v>50</v>
      </c>
      <c r="AM69">
        <v>1</v>
      </c>
      <c r="AN69">
        <v>209</v>
      </c>
      <c r="AO69">
        <v>104</v>
      </c>
      <c r="AP69">
        <v>16.3</v>
      </c>
      <c r="AQ69">
        <v>20</v>
      </c>
      <c r="AR69">
        <v>49</v>
      </c>
      <c r="AS69">
        <v>56</v>
      </c>
      <c r="AT69">
        <v>30</v>
      </c>
      <c r="AU69">
        <v>46</v>
      </c>
      <c r="AV69">
        <v>50</v>
      </c>
      <c r="AW69">
        <v>15</v>
      </c>
      <c r="AX69">
        <v>54</v>
      </c>
      <c r="AY69">
        <v>28</v>
      </c>
      <c r="AZ69">
        <v>26</v>
      </c>
      <c r="BA69">
        <v>51.9</v>
      </c>
      <c r="BB69">
        <v>25</v>
      </c>
      <c r="BC69">
        <v>75</v>
      </c>
      <c r="BD69">
        <v>24</v>
      </c>
      <c r="BE69">
        <v>51</v>
      </c>
      <c r="BF69">
        <v>1</v>
      </c>
      <c r="BG69">
        <v>918</v>
      </c>
      <c r="BH69">
        <v>500</v>
      </c>
      <c r="BI69">
        <v>180</v>
      </c>
      <c r="BJ69">
        <v>250</v>
      </c>
      <c r="BK69">
        <v>51893</v>
      </c>
      <c r="BL69">
        <v>12606</v>
      </c>
      <c r="BM69">
        <v>3104</v>
      </c>
      <c r="BN69">
        <v>36079</v>
      </c>
      <c r="BO69" t="s">
        <v>174</v>
      </c>
      <c r="BP69" t="s">
        <v>107</v>
      </c>
      <c r="BQ69" t="s">
        <v>89</v>
      </c>
      <c r="BR69" t="s">
        <v>76</v>
      </c>
      <c r="BS69" t="s">
        <v>177</v>
      </c>
    </row>
    <row r="70" spans="1:71" x14ac:dyDescent="0.3">
      <c r="A70" t="s">
        <v>71</v>
      </c>
      <c r="B70">
        <v>20260108</v>
      </c>
      <c r="C70">
        <v>16</v>
      </c>
      <c r="D70" t="s">
        <v>221</v>
      </c>
      <c r="E70">
        <v>19050</v>
      </c>
      <c r="F70" t="s">
        <v>275</v>
      </c>
      <c r="G70" t="s">
        <v>74</v>
      </c>
      <c r="H70">
        <v>23</v>
      </c>
      <c r="I70" t="s">
        <v>136</v>
      </c>
      <c r="J70">
        <v>170</v>
      </c>
      <c r="K70" t="s">
        <v>85</v>
      </c>
      <c r="L70" t="s">
        <v>276</v>
      </c>
      <c r="M70" t="b">
        <v>1</v>
      </c>
      <c r="N70" t="s">
        <v>101</v>
      </c>
      <c r="O70">
        <v>42</v>
      </c>
      <c r="P70">
        <v>12</v>
      </c>
      <c r="Q70">
        <v>33</v>
      </c>
      <c r="R70">
        <v>45</v>
      </c>
      <c r="S70">
        <v>2.17</v>
      </c>
      <c r="T70">
        <v>0.79</v>
      </c>
      <c r="U70">
        <v>0.28999999999999998</v>
      </c>
      <c r="V70">
        <v>1.07</v>
      </c>
      <c r="W70">
        <v>13.3</v>
      </c>
      <c r="X70">
        <v>7.7</v>
      </c>
      <c r="Y70">
        <v>4</v>
      </c>
      <c r="Z70">
        <v>4</v>
      </c>
      <c r="AA70">
        <v>14</v>
      </c>
      <c r="AB70">
        <v>18</v>
      </c>
      <c r="AC70">
        <v>0</v>
      </c>
      <c r="AD70">
        <v>0</v>
      </c>
      <c r="AE70">
        <v>0</v>
      </c>
      <c r="AF70">
        <v>4</v>
      </c>
      <c r="AG70">
        <v>0</v>
      </c>
      <c r="AH70">
        <v>0</v>
      </c>
      <c r="AI70">
        <v>4</v>
      </c>
      <c r="AJ70">
        <v>0</v>
      </c>
      <c r="AK70">
        <v>1</v>
      </c>
      <c r="AL70">
        <v>25</v>
      </c>
      <c r="AM70">
        <v>3</v>
      </c>
      <c r="AN70">
        <v>185</v>
      </c>
      <c r="AO70">
        <v>91</v>
      </c>
      <c r="AP70">
        <v>13.2</v>
      </c>
      <c r="AQ70">
        <v>17</v>
      </c>
      <c r="AR70">
        <v>48</v>
      </c>
      <c r="AS70">
        <v>46</v>
      </c>
      <c r="AT70">
        <v>20</v>
      </c>
      <c r="AU70">
        <v>38</v>
      </c>
      <c r="AV70">
        <v>44</v>
      </c>
      <c r="AW70">
        <v>18</v>
      </c>
      <c r="AX70">
        <v>1</v>
      </c>
      <c r="AY70">
        <v>1</v>
      </c>
      <c r="AZ70">
        <v>0</v>
      </c>
      <c r="BA70">
        <v>100</v>
      </c>
      <c r="BB70">
        <v>5</v>
      </c>
      <c r="BC70">
        <v>10</v>
      </c>
      <c r="BD70">
        <v>12</v>
      </c>
      <c r="BE70">
        <v>24</v>
      </c>
      <c r="BF70">
        <v>0</v>
      </c>
      <c r="BG70">
        <v>945</v>
      </c>
      <c r="BH70">
        <v>543</v>
      </c>
      <c r="BI70">
        <v>148</v>
      </c>
      <c r="BJ70">
        <v>267</v>
      </c>
      <c r="BK70">
        <v>47526</v>
      </c>
      <c r="BL70">
        <v>9466</v>
      </c>
      <c r="BM70">
        <v>2127</v>
      </c>
      <c r="BN70">
        <v>36108</v>
      </c>
      <c r="BO70" t="s">
        <v>221</v>
      </c>
      <c r="BP70" t="s">
        <v>124</v>
      </c>
      <c r="BQ70" t="s">
        <v>80</v>
      </c>
      <c r="BR70" t="s">
        <v>85</v>
      </c>
      <c r="BS70" t="s">
        <v>224</v>
      </c>
    </row>
    <row r="71" spans="1:71" x14ac:dyDescent="0.3">
      <c r="A71" t="s">
        <v>71</v>
      </c>
      <c r="B71">
        <v>20260108</v>
      </c>
      <c r="C71">
        <v>4</v>
      </c>
      <c r="D71" t="s">
        <v>161</v>
      </c>
      <c r="E71">
        <v>5416</v>
      </c>
      <c r="F71" t="s">
        <v>277</v>
      </c>
      <c r="G71" t="s">
        <v>74</v>
      </c>
      <c r="H71">
        <v>30</v>
      </c>
      <c r="I71" t="s">
        <v>84</v>
      </c>
      <c r="J71">
        <v>194</v>
      </c>
      <c r="K71" t="s">
        <v>118</v>
      </c>
      <c r="L71" t="s">
        <v>119</v>
      </c>
      <c r="M71" t="b">
        <v>0</v>
      </c>
      <c r="N71" t="s">
        <v>78</v>
      </c>
      <c r="O71">
        <v>42</v>
      </c>
      <c r="P71">
        <v>23</v>
      </c>
      <c r="Q71">
        <v>21</v>
      </c>
      <c r="R71">
        <v>44</v>
      </c>
      <c r="S71">
        <v>2.64</v>
      </c>
      <c r="T71">
        <v>0.5</v>
      </c>
      <c r="U71">
        <v>0.55000000000000004</v>
      </c>
      <c r="V71">
        <v>1.05</v>
      </c>
      <c r="W71">
        <v>22.2</v>
      </c>
      <c r="X71">
        <v>3.1</v>
      </c>
      <c r="Y71">
        <v>7</v>
      </c>
      <c r="Z71">
        <v>8</v>
      </c>
      <c r="AA71">
        <v>8</v>
      </c>
      <c r="AB71">
        <v>16</v>
      </c>
      <c r="AC71">
        <v>3</v>
      </c>
      <c r="AD71">
        <v>0</v>
      </c>
      <c r="AE71">
        <v>3</v>
      </c>
      <c r="AF71">
        <v>5</v>
      </c>
      <c r="AG71">
        <v>0</v>
      </c>
      <c r="AH71">
        <v>0</v>
      </c>
      <c r="AI71">
        <v>3</v>
      </c>
      <c r="AJ71">
        <v>0</v>
      </c>
      <c r="AK71">
        <v>1</v>
      </c>
      <c r="AL71">
        <v>33.33</v>
      </c>
      <c r="AM71">
        <v>-9</v>
      </c>
      <c r="AN71">
        <v>246</v>
      </c>
      <c r="AO71">
        <v>111</v>
      </c>
      <c r="AP71">
        <v>20.7</v>
      </c>
      <c r="AQ71">
        <v>26</v>
      </c>
      <c r="AR71">
        <v>57</v>
      </c>
      <c r="AS71">
        <v>78</v>
      </c>
      <c r="AT71">
        <v>40</v>
      </c>
      <c r="AU71">
        <v>52</v>
      </c>
      <c r="AV71">
        <v>30</v>
      </c>
      <c r="AW71">
        <v>12</v>
      </c>
      <c r="AX71">
        <v>108</v>
      </c>
      <c r="AY71">
        <v>39</v>
      </c>
      <c r="AZ71">
        <v>69</v>
      </c>
      <c r="BA71">
        <v>36.1</v>
      </c>
      <c r="BB71">
        <v>2</v>
      </c>
      <c r="BC71">
        <v>4</v>
      </c>
      <c r="BD71">
        <v>6</v>
      </c>
      <c r="BE71">
        <v>12</v>
      </c>
      <c r="BF71">
        <v>0</v>
      </c>
      <c r="BG71">
        <v>1029</v>
      </c>
      <c r="BH71">
        <v>469</v>
      </c>
      <c r="BI71">
        <v>307</v>
      </c>
      <c r="BJ71">
        <v>275</v>
      </c>
      <c r="BK71">
        <v>53530</v>
      </c>
      <c r="BL71">
        <v>12420</v>
      </c>
      <c r="BM71">
        <v>6253</v>
      </c>
      <c r="BN71">
        <v>34881</v>
      </c>
      <c r="BO71" t="s">
        <v>164</v>
      </c>
      <c r="BP71" t="s">
        <v>131</v>
      </c>
      <c r="BQ71" t="s">
        <v>131</v>
      </c>
      <c r="BR71" t="s">
        <v>118</v>
      </c>
      <c r="BS71" t="s">
        <v>165</v>
      </c>
    </row>
    <row r="72" spans="1:71" x14ac:dyDescent="0.3">
      <c r="A72" t="s">
        <v>71</v>
      </c>
      <c r="B72">
        <v>20260108</v>
      </c>
      <c r="C72">
        <v>6</v>
      </c>
      <c r="D72" t="s">
        <v>278</v>
      </c>
      <c r="E72">
        <v>5253</v>
      </c>
      <c r="F72" t="s">
        <v>279</v>
      </c>
      <c r="G72" t="s">
        <v>74</v>
      </c>
      <c r="H72">
        <v>31</v>
      </c>
      <c r="I72" t="s">
        <v>93</v>
      </c>
      <c r="J72">
        <v>220</v>
      </c>
      <c r="K72" t="s">
        <v>76</v>
      </c>
      <c r="L72" t="s">
        <v>202</v>
      </c>
      <c r="M72" t="b">
        <v>0</v>
      </c>
      <c r="N72" t="s">
        <v>87</v>
      </c>
      <c r="O72">
        <v>10</v>
      </c>
      <c r="P72">
        <v>0</v>
      </c>
      <c r="Q72">
        <v>2</v>
      </c>
      <c r="R72">
        <v>2</v>
      </c>
      <c r="S72">
        <v>1.9</v>
      </c>
      <c r="T72">
        <v>0.2</v>
      </c>
      <c r="U72">
        <v>0</v>
      </c>
      <c r="V72">
        <v>0.2</v>
      </c>
      <c r="W72">
        <v>14.3</v>
      </c>
      <c r="X72">
        <v>3.1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</v>
      </c>
      <c r="AN72">
        <v>42</v>
      </c>
      <c r="AO72">
        <v>19</v>
      </c>
      <c r="AP72">
        <v>0</v>
      </c>
      <c r="AQ72">
        <v>21</v>
      </c>
      <c r="AR72">
        <v>15</v>
      </c>
      <c r="AS72">
        <v>8</v>
      </c>
      <c r="AT72">
        <v>13</v>
      </c>
      <c r="AU72">
        <v>23</v>
      </c>
      <c r="AV72">
        <v>5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2</v>
      </c>
      <c r="BC72">
        <v>4</v>
      </c>
      <c r="BD72">
        <v>1</v>
      </c>
      <c r="BE72">
        <v>2</v>
      </c>
      <c r="BF72">
        <v>0</v>
      </c>
      <c r="BG72">
        <v>257</v>
      </c>
      <c r="BH72">
        <v>143</v>
      </c>
      <c r="BI72">
        <v>49</v>
      </c>
      <c r="BJ72">
        <v>65</v>
      </c>
      <c r="BK72">
        <v>12405</v>
      </c>
      <c r="BL72">
        <v>2155</v>
      </c>
      <c r="BM72">
        <v>1088</v>
      </c>
      <c r="BN72">
        <v>9162</v>
      </c>
      <c r="BO72" t="s">
        <v>278</v>
      </c>
      <c r="BP72" t="s">
        <v>79</v>
      </c>
      <c r="BQ72" t="s">
        <v>80</v>
      </c>
      <c r="BR72" t="s">
        <v>76</v>
      </c>
      <c r="BS72" t="s">
        <v>280</v>
      </c>
    </row>
    <row r="73" spans="1:71" x14ac:dyDescent="0.3">
      <c r="A73" t="s">
        <v>71</v>
      </c>
      <c r="B73">
        <v>20260108</v>
      </c>
      <c r="C73">
        <v>13</v>
      </c>
      <c r="D73" t="s">
        <v>243</v>
      </c>
      <c r="E73">
        <v>37996</v>
      </c>
      <c r="F73" t="s">
        <v>281</v>
      </c>
      <c r="G73" t="s">
        <v>74</v>
      </c>
      <c r="H73">
        <v>23</v>
      </c>
      <c r="I73" t="s">
        <v>105</v>
      </c>
      <c r="J73">
        <v>195</v>
      </c>
      <c r="K73" t="s">
        <v>128</v>
      </c>
      <c r="L73" t="s">
        <v>282</v>
      </c>
      <c r="M73" t="b">
        <v>1</v>
      </c>
      <c r="N73" t="s">
        <v>87</v>
      </c>
      <c r="O73">
        <v>42</v>
      </c>
      <c r="P73">
        <v>8</v>
      </c>
      <c r="Q73">
        <v>23</v>
      </c>
      <c r="R73">
        <v>31</v>
      </c>
      <c r="S73">
        <v>2.12</v>
      </c>
      <c r="T73">
        <v>0.55000000000000004</v>
      </c>
      <c r="U73">
        <v>0.19</v>
      </c>
      <c r="V73">
        <v>0.74</v>
      </c>
      <c r="W73">
        <v>48.1</v>
      </c>
      <c r="X73">
        <v>3.1</v>
      </c>
      <c r="Y73">
        <v>2</v>
      </c>
      <c r="Z73">
        <v>2</v>
      </c>
      <c r="AA73">
        <v>9</v>
      </c>
      <c r="AB73">
        <v>11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6</v>
      </c>
      <c r="AN73">
        <v>247</v>
      </c>
      <c r="AO73">
        <v>89</v>
      </c>
      <c r="AP73">
        <v>9</v>
      </c>
      <c r="AQ73">
        <v>80</v>
      </c>
      <c r="AR73">
        <v>99</v>
      </c>
      <c r="AS73">
        <v>59</v>
      </c>
      <c r="AT73">
        <v>15</v>
      </c>
      <c r="AU73">
        <v>103</v>
      </c>
      <c r="AV73">
        <v>49</v>
      </c>
      <c r="AW73">
        <v>23</v>
      </c>
      <c r="AX73">
        <v>0</v>
      </c>
      <c r="AY73">
        <v>0</v>
      </c>
      <c r="AZ73">
        <v>0</v>
      </c>
      <c r="BA73">
        <v>0</v>
      </c>
      <c r="BB73">
        <v>2</v>
      </c>
      <c r="BC73">
        <v>4</v>
      </c>
      <c r="BD73">
        <v>9</v>
      </c>
      <c r="BE73">
        <v>18</v>
      </c>
      <c r="BF73">
        <v>0</v>
      </c>
      <c r="BG73">
        <v>1283</v>
      </c>
      <c r="BH73">
        <v>709</v>
      </c>
      <c r="BI73">
        <v>187</v>
      </c>
      <c r="BJ73">
        <v>395</v>
      </c>
      <c r="BK73">
        <v>63805</v>
      </c>
      <c r="BL73">
        <v>9365</v>
      </c>
      <c r="BM73">
        <v>1630</v>
      </c>
      <c r="BN73">
        <v>52810</v>
      </c>
      <c r="BO73" t="s">
        <v>243</v>
      </c>
      <c r="BP73" t="s">
        <v>124</v>
      </c>
      <c r="BQ73" t="s">
        <v>80</v>
      </c>
      <c r="BR73" t="s">
        <v>132</v>
      </c>
      <c r="BS73" t="s">
        <v>245</v>
      </c>
    </row>
    <row r="74" spans="1:71" x14ac:dyDescent="0.3">
      <c r="A74" t="s">
        <v>71</v>
      </c>
      <c r="B74">
        <v>20260108</v>
      </c>
      <c r="C74">
        <v>6</v>
      </c>
      <c r="D74" t="s">
        <v>278</v>
      </c>
      <c r="E74">
        <v>11718</v>
      </c>
      <c r="F74" t="s">
        <v>283</v>
      </c>
      <c r="G74" t="s">
        <v>74</v>
      </c>
      <c r="H74">
        <v>29</v>
      </c>
      <c r="I74" t="s">
        <v>105</v>
      </c>
      <c r="J74">
        <v>181</v>
      </c>
      <c r="K74" t="s">
        <v>118</v>
      </c>
      <c r="L74" t="s">
        <v>284</v>
      </c>
      <c r="M74" t="b">
        <v>0</v>
      </c>
      <c r="N74" t="s">
        <v>87</v>
      </c>
      <c r="O74">
        <v>41</v>
      </c>
      <c r="P74">
        <v>5</v>
      </c>
      <c r="Q74">
        <v>14</v>
      </c>
      <c r="R74">
        <v>19</v>
      </c>
      <c r="S74">
        <v>1.32</v>
      </c>
      <c r="T74">
        <v>0.34</v>
      </c>
      <c r="U74">
        <v>0.12</v>
      </c>
      <c r="V74">
        <v>0.46</v>
      </c>
      <c r="W74">
        <v>48.8</v>
      </c>
      <c r="X74">
        <v>9.1999999999999993</v>
      </c>
      <c r="Y74">
        <v>1</v>
      </c>
      <c r="Z74">
        <v>1</v>
      </c>
      <c r="AA74">
        <v>2</v>
      </c>
      <c r="AB74">
        <v>3</v>
      </c>
      <c r="AC74">
        <v>0</v>
      </c>
      <c r="AD74">
        <v>1</v>
      </c>
      <c r="AE74">
        <v>1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7</v>
      </c>
      <c r="AN74">
        <v>144</v>
      </c>
      <c r="AO74">
        <v>54</v>
      </c>
      <c r="AP74">
        <v>9.3000000000000007</v>
      </c>
      <c r="AQ74">
        <v>78</v>
      </c>
      <c r="AR74">
        <v>50</v>
      </c>
      <c r="AS74">
        <v>40</v>
      </c>
      <c r="AT74">
        <v>25</v>
      </c>
      <c r="AU74">
        <v>53</v>
      </c>
      <c r="AV74">
        <v>57</v>
      </c>
      <c r="AW74">
        <v>18</v>
      </c>
      <c r="AX74">
        <v>0</v>
      </c>
      <c r="AY74">
        <v>0</v>
      </c>
      <c r="AZ74">
        <v>0</v>
      </c>
      <c r="BA74">
        <v>0</v>
      </c>
      <c r="BB74">
        <v>6</v>
      </c>
      <c r="BC74">
        <v>12</v>
      </c>
      <c r="BD74">
        <v>5</v>
      </c>
      <c r="BE74">
        <v>10</v>
      </c>
      <c r="BF74">
        <v>0</v>
      </c>
      <c r="BG74">
        <v>1227</v>
      </c>
      <c r="BH74">
        <v>610</v>
      </c>
      <c r="BI74">
        <v>188</v>
      </c>
      <c r="BJ74">
        <v>435</v>
      </c>
      <c r="BK74">
        <v>60354</v>
      </c>
      <c r="BL74">
        <v>8795</v>
      </c>
      <c r="BM74">
        <v>2300</v>
      </c>
      <c r="BN74">
        <v>49259</v>
      </c>
      <c r="BO74" t="s">
        <v>278</v>
      </c>
      <c r="BP74" t="s">
        <v>79</v>
      </c>
      <c r="BQ74" t="s">
        <v>80</v>
      </c>
      <c r="BR74" t="s">
        <v>118</v>
      </c>
      <c r="BS74" t="s">
        <v>280</v>
      </c>
    </row>
    <row r="75" spans="1:71" x14ac:dyDescent="0.3">
      <c r="A75" t="s">
        <v>71</v>
      </c>
      <c r="B75">
        <v>20260108</v>
      </c>
      <c r="C75">
        <v>3</v>
      </c>
      <c r="D75" t="s">
        <v>72</v>
      </c>
      <c r="E75">
        <v>5866</v>
      </c>
      <c r="F75" t="s">
        <v>285</v>
      </c>
      <c r="G75" t="s">
        <v>74</v>
      </c>
      <c r="H75">
        <v>31</v>
      </c>
      <c r="I75" t="s">
        <v>105</v>
      </c>
      <c r="J75">
        <v>207</v>
      </c>
      <c r="K75" t="s">
        <v>128</v>
      </c>
      <c r="L75" t="s">
        <v>286</v>
      </c>
      <c r="M75" t="b">
        <v>0</v>
      </c>
      <c r="N75" t="s">
        <v>87</v>
      </c>
      <c r="O75">
        <v>5</v>
      </c>
      <c r="P75">
        <v>0</v>
      </c>
      <c r="Q75">
        <v>0</v>
      </c>
      <c r="R75">
        <v>0</v>
      </c>
      <c r="S75">
        <v>0.8</v>
      </c>
      <c r="T75">
        <v>0</v>
      </c>
      <c r="U75">
        <v>0</v>
      </c>
      <c r="V75">
        <v>0</v>
      </c>
      <c r="W75">
        <v>4.5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-2</v>
      </c>
      <c r="AN75">
        <v>14</v>
      </c>
      <c r="AO75">
        <v>4</v>
      </c>
      <c r="AP75">
        <v>0</v>
      </c>
      <c r="AQ75">
        <v>8</v>
      </c>
      <c r="AR75">
        <v>5</v>
      </c>
      <c r="AS75">
        <v>5</v>
      </c>
      <c r="AT75">
        <v>0</v>
      </c>
      <c r="AU75">
        <v>8</v>
      </c>
      <c r="AV75">
        <v>6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2</v>
      </c>
      <c r="BF75">
        <v>0</v>
      </c>
      <c r="BG75">
        <v>116</v>
      </c>
      <c r="BH75">
        <v>50</v>
      </c>
      <c r="BI75">
        <v>36</v>
      </c>
      <c r="BJ75">
        <v>30</v>
      </c>
      <c r="BK75">
        <v>5218</v>
      </c>
      <c r="BL75">
        <v>1116</v>
      </c>
      <c r="BM75">
        <v>538</v>
      </c>
      <c r="BN75">
        <v>3564</v>
      </c>
      <c r="BO75" t="s">
        <v>72</v>
      </c>
      <c r="BP75" t="s">
        <v>79</v>
      </c>
      <c r="BQ75" t="s">
        <v>80</v>
      </c>
      <c r="BR75" t="s">
        <v>132</v>
      </c>
      <c r="BS75" t="s">
        <v>81</v>
      </c>
    </row>
    <row r="76" spans="1:71" x14ac:dyDescent="0.3">
      <c r="A76" t="s">
        <v>71</v>
      </c>
      <c r="B76">
        <v>20260108</v>
      </c>
      <c r="C76">
        <v>142</v>
      </c>
      <c r="D76" t="s">
        <v>145</v>
      </c>
      <c r="E76">
        <v>5105</v>
      </c>
      <c r="F76" t="s">
        <v>287</v>
      </c>
      <c r="G76" t="s">
        <v>74</v>
      </c>
      <c r="H76">
        <v>33</v>
      </c>
      <c r="I76" t="s">
        <v>105</v>
      </c>
      <c r="J76">
        <v>202</v>
      </c>
      <c r="K76" t="s">
        <v>118</v>
      </c>
      <c r="L76" t="s">
        <v>288</v>
      </c>
      <c r="M76" t="b">
        <v>0</v>
      </c>
      <c r="N76" t="s">
        <v>95</v>
      </c>
      <c r="O76">
        <v>25</v>
      </c>
      <c r="P76">
        <v>13</v>
      </c>
      <c r="Q76">
        <v>21</v>
      </c>
      <c r="R76">
        <v>34</v>
      </c>
      <c r="S76">
        <v>2.44</v>
      </c>
      <c r="T76">
        <v>0.84</v>
      </c>
      <c r="U76">
        <v>0.52</v>
      </c>
      <c r="V76">
        <v>1.36</v>
      </c>
      <c r="W76">
        <v>11.5</v>
      </c>
      <c r="X76">
        <v>1.5</v>
      </c>
      <c r="Y76">
        <v>4</v>
      </c>
      <c r="Z76">
        <v>6</v>
      </c>
      <c r="AA76">
        <v>10</v>
      </c>
      <c r="AB76">
        <v>16</v>
      </c>
      <c r="AC76">
        <v>0</v>
      </c>
      <c r="AD76">
        <v>1</v>
      </c>
      <c r="AE76">
        <v>1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6</v>
      </c>
      <c r="AN76">
        <v>100</v>
      </c>
      <c r="AO76">
        <v>61</v>
      </c>
      <c r="AP76">
        <v>21.3</v>
      </c>
      <c r="AQ76">
        <v>16</v>
      </c>
      <c r="AR76">
        <v>16</v>
      </c>
      <c r="AS76">
        <v>23</v>
      </c>
      <c r="AT76">
        <v>13</v>
      </c>
      <c r="AU76">
        <v>17</v>
      </c>
      <c r="AV76">
        <v>28</v>
      </c>
      <c r="AW76">
        <v>12</v>
      </c>
      <c r="AX76">
        <v>6</v>
      </c>
      <c r="AY76">
        <v>1</v>
      </c>
      <c r="AZ76">
        <v>5</v>
      </c>
      <c r="BA76">
        <v>16.7</v>
      </c>
      <c r="BB76">
        <v>1</v>
      </c>
      <c r="BC76">
        <v>2</v>
      </c>
      <c r="BD76">
        <v>7</v>
      </c>
      <c r="BE76">
        <v>14</v>
      </c>
      <c r="BF76">
        <v>0</v>
      </c>
      <c r="BG76">
        <v>529</v>
      </c>
      <c r="BH76">
        <v>268</v>
      </c>
      <c r="BI76">
        <v>138</v>
      </c>
      <c r="BJ76">
        <v>136</v>
      </c>
      <c r="BK76">
        <v>29189</v>
      </c>
      <c r="BL76">
        <v>9234</v>
      </c>
      <c r="BM76">
        <v>1252</v>
      </c>
      <c r="BN76">
        <v>18703</v>
      </c>
      <c r="BO76" t="s">
        <v>145</v>
      </c>
      <c r="BP76" t="s">
        <v>88</v>
      </c>
      <c r="BQ76" t="s">
        <v>89</v>
      </c>
      <c r="BR76" t="s">
        <v>118</v>
      </c>
      <c r="BS76" t="s">
        <v>149</v>
      </c>
    </row>
    <row r="77" spans="1:71" x14ac:dyDescent="0.3">
      <c r="A77" t="s">
        <v>71</v>
      </c>
      <c r="B77">
        <v>20260108</v>
      </c>
      <c r="C77">
        <v>14</v>
      </c>
      <c r="D77" t="s">
        <v>204</v>
      </c>
      <c r="E77">
        <v>13628</v>
      </c>
      <c r="F77" t="s">
        <v>289</v>
      </c>
      <c r="G77" t="s">
        <v>74</v>
      </c>
      <c r="H77">
        <v>26</v>
      </c>
      <c r="I77" t="s">
        <v>136</v>
      </c>
      <c r="J77">
        <v>208</v>
      </c>
      <c r="K77" t="s">
        <v>118</v>
      </c>
      <c r="L77" t="s">
        <v>144</v>
      </c>
      <c r="M77" t="b">
        <v>0</v>
      </c>
      <c r="N77" t="s">
        <v>78</v>
      </c>
      <c r="O77">
        <v>43</v>
      </c>
      <c r="P77">
        <v>14</v>
      </c>
      <c r="Q77">
        <v>33</v>
      </c>
      <c r="R77">
        <v>47</v>
      </c>
      <c r="S77">
        <v>2.16</v>
      </c>
      <c r="T77">
        <v>0.77</v>
      </c>
      <c r="U77">
        <v>0.33</v>
      </c>
      <c r="V77">
        <v>1.0900000000000001</v>
      </c>
      <c r="W77">
        <v>27.1</v>
      </c>
      <c r="X77">
        <v>6.2</v>
      </c>
      <c r="Y77">
        <v>4</v>
      </c>
      <c r="Z77">
        <v>8</v>
      </c>
      <c r="AA77">
        <v>14</v>
      </c>
      <c r="AB77">
        <v>22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1</v>
      </c>
      <c r="AI77">
        <v>4</v>
      </c>
      <c r="AJ77">
        <v>1</v>
      </c>
      <c r="AK77">
        <v>0</v>
      </c>
      <c r="AL77">
        <v>0</v>
      </c>
      <c r="AM77">
        <v>16</v>
      </c>
      <c r="AN77">
        <v>206</v>
      </c>
      <c r="AO77">
        <v>93</v>
      </c>
      <c r="AP77">
        <v>15.1</v>
      </c>
      <c r="AQ77">
        <v>37</v>
      </c>
      <c r="AR77">
        <v>33</v>
      </c>
      <c r="AS77">
        <v>80</v>
      </c>
      <c r="AT77">
        <v>33</v>
      </c>
      <c r="AU77">
        <v>42</v>
      </c>
      <c r="AV77">
        <v>35</v>
      </c>
      <c r="AW77">
        <v>13</v>
      </c>
      <c r="AX77">
        <v>753</v>
      </c>
      <c r="AY77">
        <v>366</v>
      </c>
      <c r="AZ77">
        <v>387</v>
      </c>
      <c r="BA77">
        <v>48.6</v>
      </c>
      <c r="BB77">
        <v>4</v>
      </c>
      <c r="BC77">
        <v>8</v>
      </c>
      <c r="BD77">
        <v>3</v>
      </c>
      <c r="BE77">
        <v>6</v>
      </c>
      <c r="BF77">
        <v>0</v>
      </c>
      <c r="BG77">
        <v>963</v>
      </c>
      <c r="BH77">
        <v>422</v>
      </c>
      <c r="BI77">
        <v>102</v>
      </c>
      <c r="BJ77">
        <v>453</v>
      </c>
      <c r="BK77">
        <v>53915</v>
      </c>
      <c r="BL77">
        <v>7870</v>
      </c>
      <c r="BM77">
        <v>1333</v>
      </c>
      <c r="BN77">
        <v>44712</v>
      </c>
      <c r="BO77" t="s">
        <v>204</v>
      </c>
      <c r="BP77" t="s">
        <v>124</v>
      </c>
      <c r="BQ77" t="s">
        <v>80</v>
      </c>
      <c r="BR77" t="s">
        <v>118</v>
      </c>
      <c r="BS77" t="s">
        <v>207</v>
      </c>
    </row>
    <row r="78" spans="1:71" x14ac:dyDescent="0.3">
      <c r="A78" t="s">
        <v>71</v>
      </c>
      <c r="B78">
        <v>20260108</v>
      </c>
      <c r="C78">
        <v>20</v>
      </c>
      <c r="D78" t="s">
        <v>290</v>
      </c>
      <c r="E78">
        <v>5355</v>
      </c>
      <c r="F78" t="s">
        <v>291</v>
      </c>
      <c r="G78" t="s">
        <v>74</v>
      </c>
      <c r="H78">
        <v>31</v>
      </c>
      <c r="I78" t="s">
        <v>136</v>
      </c>
      <c r="J78">
        <v>191</v>
      </c>
      <c r="K78" t="s">
        <v>76</v>
      </c>
      <c r="L78" t="s">
        <v>228</v>
      </c>
      <c r="M78" t="b">
        <v>0</v>
      </c>
      <c r="N78" t="s">
        <v>78</v>
      </c>
      <c r="O78">
        <v>42</v>
      </c>
      <c r="P78">
        <v>9</v>
      </c>
      <c r="Q78">
        <v>12</v>
      </c>
      <c r="R78">
        <v>21</v>
      </c>
      <c r="S78">
        <v>1.24</v>
      </c>
      <c r="T78">
        <v>0.28999999999999998</v>
      </c>
      <c r="U78">
        <v>0.21</v>
      </c>
      <c r="V78">
        <v>0.5</v>
      </c>
      <c r="W78">
        <v>18.399999999999999</v>
      </c>
      <c r="X78">
        <v>3.1</v>
      </c>
      <c r="Y78">
        <v>3</v>
      </c>
      <c r="Z78">
        <v>4</v>
      </c>
      <c r="AA78">
        <v>7</v>
      </c>
      <c r="AB78">
        <v>11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4</v>
      </c>
      <c r="AJ78">
        <v>0</v>
      </c>
      <c r="AK78">
        <v>0</v>
      </c>
      <c r="AL78">
        <v>0</v>
      </c>
      <c r="AM78">
        <v>-11</v>
      </c>
      <c r="AN78">
        <v>109</v>
      </c>
      <c r="AO78">
        <v>52</v>
      </c>
      <c r="AP78">
        <v>17.3</v>
      </c>
      <c r="AQ78">
        <v>27</v>
      </c>
      <c r="AR78">
        <v>24</v>
      </c>
      <c r="AS78">
        <v>33</v>
      </c>
      <c r="AT78">
        <v>17</v>
      </c>
      <c r="AU78">
        <v>26</v>
      </c>
      <c r="AV78">
        <v>40</v>
      </c>
      <c r="AW78">
        <v>16</v>
      </c>
      <c r="AX78">
        <v>70</v>
      </c>
      <c r="AY78">
        <v>34</v>
      </c>
      <c r="AZ78">
        <v>36</v>
      </c>
      <c r="BA78">
        <v>48.6</v>
      </c>
      <c r="BB78">
        <v>2</v>
      </c>
      <c r="BC78">
        <v>4</v>
      </c>
      <c r="BD78">
        <v>3</v>
      </c>
      <c r="BE78">
        <v>6</v>
      </c>
      <c r="BF78">
        <v>0</v>
      </c>
      <c r="BG78">
        <v>971</v>
      </c>
      <c r="BH78">
        <v>452</v>
      </c>
      <c r="BI78">
        <v>207</v>
      </c>
      <c r="BJ78">
        <v>318</v>
      </c>
      <c r="BK78">
        <v>46588</v>
      </c>
      <c r="BL78">
        <v>11397</v>
      </c>
      <c r="BM78">
        <v>2244</v>
      </c>
      <c r="BN78">
        <v>32724</v>
      </c>
      <c r="BO78" t="s">
        <v>290</v>
      </c>
      <c r="BP78" t="s">
        <v>107</v>
      </c>
      <c r="BQ78" t="s">
        <v>89</v>
      </c>
      <c r="BR78" t="s">
        <v>76</v>
      </c>
      <c r="BS78" t="s">
        <v>292</v>
      </c>
    </row>
    <row r="79" spans="1:71" x14ac:dyDescent="0.3">
      <c r="A79" t="s">
        <v>71</v>
      </c>
      <c r="B79">
        <v>20260108</v>
      </c>
      <c r="C79">
        <v>142</v>
      </c>
      <c r="D79" t="s">
        <v>145</v>
      </c>
      <c r="E79">
        <v>5900</v>
      </c>
      <c r="F79" t="s">
        <v>293</v>
      </c>
      <c r="G79" t="s">
        <v>74</v>
      </c>
      <c r="H79">
        <v>30</v>
      </c>
      <c r="I79" t="s">
        <v>147</v>
      </c>
      <c r="J79">
        <v>195</v>
      </c>
      <c r="K79" t="s">
        <v>118</v>
      </c>
      <c r="L79" t="s">
        <v>294</v>
      </c>
      <c r="M79" t="b">
        <v>0</v>
      </c>
      <c r="N79" t="s">
        <v>87</v>
      </c>
      <c r="O79">
        <v>31</v>
      </c>
      <c r="P79">
        <v>4</v>
      </c>
      <c r="Q79">
        <v>16</v>
      </c>
      <c r="R79">
        <v>20</v>
      </c>
      <c r="S79">
        <v>2.39</v>
      </c>
      <c r="T79">
        <v>0.52</v>
      </c>
      <c r="U79">
        <v>0.13</v>
      </c>
      <c r="V79">
        <v>0.65</v>
      </c>
      <c r="W79">
        <v>27.4</v>
      </c>
      <c r="X79">
        <v>4.5999999999999996</v>
      </c>
      <c r="Y79">
        <v>1</v>
      </c>
      <c r="Z79">
        <v>1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2</v>
      </c>
      <c r="AJ79">
        <v>1</v>
      </c>
      <c r="AK79">
        <v>1</v>
      </c>
      <c r="AL79">
        <v>50</v>
      </c>
      <c r="AM79">
        <v>5</v>
      </c>
      <c r="AN79">
        <v>165</v>
      </c>
      <c r="AO79">
        <v>74</v>
      </c>
      <c r="AP79">
        <v>5.4</v>
      </c>
      <c r="AQ79">
        <v>48</v>
      </c>
      <c r="AR79">
        <v>62</v>
      </c>
      <c r="AS79">
        <v>29</v>
      </c>
      <c r="AT79">
        <v>1</v>
      </c>
      <c r="AU79">
        <v>41</v>
      </c>
      <c r="AV79">
        <v>39</v>
      </c>
      <c r="AW79">
        <v>12</v>
      </c>
      <c r="AX79">
        <v>0</v>
      </c>
      <c r="AY79">
        <v>0</v>
      </c>
      <c r="AZ79">
        <v>0</v>
      </c>
      <c r="BA79">
        <v>0</v>
      </c>
      <c r="BB79">
        <v>3</v>
      </c>
      <c r="BC79">
        <v>6</v>
      </c>
      <c r="BD79">
        <v>5</v>
      </c>
      <c r="BE79">
        <v>10</v>
      </c>
      <c r="BF79">
        <v>0</v>
      </c>
      <c r="BG79">
        <v>888</v>
      </c>
      <c r="BH79">
        <v>432</v>
      </c>
      <c r="BI79">
        <v>285</v>
      </c>
      <c r="BJ79">
        <v>176</v>
      </c>
      <c r="BK79">
        <v>44677</v>
      </c>
      <c r="BL79">
        <v>9475</v>
      </c>
      <c r="BM79">
        <v>4510</v>
      </c>
      <c r="BN79">
        <v>30640</v>
      </c>
      <c r="BO79" t="s">
        <v>145</v>
      </c>
      <c r="BP79" t="s">
        <v>88</v>
      </c>
      <c r="BQ79" t="s">
        <v>89</v>
      </c>
      <c r="BR79" t="s">
        <v>118</v>
      </c>
      <c r="BS79" t="s">
        <v>149</v>
      </c>
    </row>
    <row r="80" spans="1:71" x14ac:dyDescent="0.3">
      <c r="A80" t="s">
        <v>71</v>
      </c>
      <c r="B80">
        <v>20260108</v>
      </c>
      <c r="C80">
        <v>15</v>
      </c>
      <c r="D80" t="s">
        <v>139</v>
      </c>
      <c r="E80">
        <v>9652</v>
      </c>
      <c r="F80" t="s">
        <v>295</v>
      </c>
      <c r="G80" t="s">
        <v>74</v>
      </c>
      <c r="H80">
        <v>28</v>
      </c>
      <c r="I80" t="s">
        <v>180</v>
      </c>
      <c r="J80">
        <v>215</v>
      </c>
      <c r="K80" t="s">
        <v>128</v>
      </c>
      <c r="L80" t="s">
        <v>296</v>
      </c>
      <c r="M80" t="b">
        <v>0</v>
      </c>
      <c r="N80" t="s">
        <v>78</v>
      </c>
      <c r="O80">
        <v>41</v>
      </c>
      <c r="P80">
        <v>21</v>
      </c>
      <c r="Q80">
        <v>17</v>
      </c>
      <c r="R80">
        <v>38</v>
      </c>
      <c r="S80">
        <v>3.51</v>
      </c>
      <c r="T80">
        <v>0.41</v>
      </c>
      <c r="U80">
        <v>0.51</v>
      </c>
      <c r="V80">
        <v>0.93</v>
      </c>
      <c r="W80">
        <v>21.8</v>
      </c>
      <c r="X80">
        <v>19.899999999999999</v>
      </c>
      <c r="Y80">
        <v>7</v>
      </c>
      <c r="Z80">
        <v>3</v>
      </c>
      <c r="AA80">
        <v>6</v>
      </c>
      <c r="AB80">
        <v>9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3</v>
      </c>
      <c r="AJ80">
        <v>1</v>
      </c>
      <c r="AK80">
        <v>1</v>
      </c>
      <c r="AL80">
        <v>33.33</v>
      </c>
      <c r="AM80">
        <v>-9</v>
      </c>
      <c r="AN80">
        <v>286</v>
      </c>
      <c r="AO80">
        <v>144</v>
      </c>
      <c r="AP80">
        <v>14.6</v>
      </c>
      <c r="AQ80">
        <v>24</v>
      </c>
      <c r="AR80">
        <v>77</v>
      </c>
      <c r="AS80">
        <v>65</v>
      </c>
      <c r="AT80">
        <v>44</v>
      </c>
      <c r="AU80">
        <v>34</v>
      </c>
      <c r="AV80">
        <v>34</v>
      </c>
      <c r="AW80">
        <v>15</v>
      </c>
      <c r="AX80">
        <v>405</v>
      </c>
      <c r="AY80">
        <v>196</v>
      </c>
      <c r="AZ80">
        <v>209</v>
      </c>
      <c r="BA80">
        <v>48.4</v>
      </c>
      <c r="BB80">
        <v>9</v>
      </c>
      <c r="BC80">
        <v>23</v>
      </c>
      <c r="BD80">
        <v>8</v>
      </c>
      <c r="BE80">
        <v>19</v>
      </c>
      <c r="BF80">
        <v>1</v>
      </c>
      <c r="BG80">
        <v>954</v>
      </c>
      <c r="BH80">
        <v>446</v>
      </c>
      <c r="BI80">
        <v>120</v>
      </c>
      <c r="BJ80">
        <v>410</v>
      </c>
      <c r="BK80">
        <v>46458</v>
      </c>
      <c r="BL80">
        <v>7592</v>
      </c>
      <c r="BM80">
        <v>983</v>
      </c>
      <c r="BN80">
        <v>38009</v>
      </c>
      <c r="BO80" t="s">
        <v>139</v>
      </c>
      <c r="BP80" t="s">
        <v>124</v>
      </c>
      <c r="BQ80" t="s">
        <v>80</v>
      </c>
      <c r="BR80" t="s">
        <v>132</v>
      </c>
      <c r="BS80" t="s">
        <v>142</v>
      </c>
    </row>
    <row r="81" spans="1:71" x14ac:dyDescent="0.3">
      <c r="A81" t="s">
        <v>71</v>
      </c>
      <c r="B81">
        <v>20260108</v>
      </c>
      <c r="C81">
        <v>13</v>
      </c>
      <c r="D81" t="s">
        <v>243</v>
      </c>
      <c r="E81">
        <v>14527</v>
      </c>
      <c r="F81" t="s">
        <v>297</v>
      </c>
      <c r="G81" t="s">
        <v>74</v>
      </c>
      <c r="H81">
        <v>26</v>
      </c>
      <c r="I81" t="s">
        <v>93</v>
      </c>
      <c r="J81">
        <v>212</v>
      </c>
      <c r="K81" t="s">
        <v>128</v>
      </c>
      <c r="L81" t="s">
        <v>298</v>
      </c>
      <c r="M81" t="b">
        <v>0</v>
      </c>
      <c r="N81" t="s">
        <v>101</v>
      </c>
      <c r="O81">
        <v>22</v>
      </c>
      <c r="P81">
        <v>7</v>
      </c>
      <c r="Q81">
        <v>13</v>
      </c>
      <c r="R81">
        <v>20</v>
      </c>
      <c r="S81">
        <v>4</v>
      </c>
      <c r="T81">
        <v>0.59</v>
      </c>
      <c r="U81">
        <v>0.32</v>
      </c>
      <c r="V81">
        <v>0.91</v>
      </c>
      <c r="W81">
        <v>15.9</v>
      </c>
      <c r="X81">
        <v>16.7</v>
      </c>
      <c r="Y81">
        <v>2</v>
      </c>
      <c r="Z81">
        <v>1</v>
      </c>
      <c r="AA81">
        <v>6</v>
      </c>
      <c r="AB81">
        <v>7</v>
      </c>
      <c r="AC81">
        <v>0</v>
      </c>
      <c r="AD81">
        <v>0</v>
      </c>
      <c r="AE81">
        <v>0</v>
      </c>
      <c r="AF81">
        <v>2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-5</v>
      </c>
      <c r="AN81">
        <v>150</v>
      </c>
      <c r="AO81">
        <v>88</v>
      </c>
      <c r="AP81">
        <v>8</v>
      </c>
      <c r="AQ81">
        <v>6</v>
      </c>
      <c r="AR81">
        <v>31</v>
      </c>
      <c r="AS81">
        <v>31</v>
      </c>
      <c r="AT81">
        <v>67</v>
      </c>
      <c r="AU81">
        <v>12</v>
      </c>
      <c r="AV81">
        <v>17</v>
      </c>
      <c r="AW81">
        <v>5</v>
      </c>
      <c r="AX81">
        <v>104</v>
      </c>
      <c r="AY81">
        <v>60</v>
      </c>
      <c r="AZ81">
        <v>44</v>
      </c>
      <c r="BA81">
        <v>57.7</v>
      </c>
      <c r="BB81">
        <v>9</v>
      </c>
      <c r="BC81">
        <v>26</v>
      </c>
      <c r="BD81">
        <v>14</v>
      </c>
      <c r="BE81">
        <v>30</v>
      </c>
      <c r="BF81">
        <v>0</v>
      </c>
      <c r="BG81">
        <v>539</v>
      </c>
      <c r="BH81">
        <v>288</v>
      </c>
      <c r="BI81">
        <v>85</v>
      </c>
      <c r="BJ81">
        <v>174</v>
      </c>
      <c r="BK81">
        <v>23435</v>
      </c>
      <c r="BL81">
        <v>4246</v>
      </c>
      <c r="BM81">
        <v>1128</v>
      </c>
      <c r="BN81">
        <v>18082</v>
      </c>
      <c r="BO81" t="s">
        <v>243</v>
      </c>
      <c r="BP81" t="s">
        <v>124</v>
      </c>
      <c r="BQ81" t="s">
        <v>80</v>
      </c>
      <c r="BR81" t="s">
        <v>132</v>
      </c>
      <c r="BS81" t="s">
        <v>245</v>
      </c>
    </row>
    <row r="82" spans="1:71" x14ac:dyDescent="0.3">
      <c r="A82" t="s">
        <v>71</v>
      </c>
      <c r="B82">
        <v>20260108</v>
      </c>
      <c r="C82">
        <v>22</v>
      </c>
      <c r="D82" t="s">
        <v>216</v>
      </c>
      <c r="E82">
        <v>13917</v>
      </c>
      <c r="F82" t="s">
        <v>299</v>
      </c>
      <c r="G82" t="s">
        <v>74</v>
      </c>
      <c r="H82">
        <v>31</v>
      </c>
      <c r="I82" t="s">
        <v>84</v>
      </c>
      <c r="J82">
        <v>191</v>
      </c>
      <c r="K82" t="s">
        <v>118</v>
      </c>
      <c r="L82" t="s">
        <v>300</v>
      </c>
      <c r="M82" t="b">
        <v>0</v>
      </c>
      <c r="N82" t="s">
        <v>87</v>
      </c>
      <c r="O82">
        <v>40</v>
      </c>
      <c r="P82">
        <v>1</v>
      </c>
      <c r="Q82">
        <v>12</v>
      </c>
      <c r="R82">
        <v>13</v>
      </c>
      <c r="S82">
        <v>1.7</v>
      </c>
      <c r="T82">
        <v>0.3</v>
      </c>
      <c r="U82">
        <v>0.02</v>
      </c>
      <c r="V82">
        <v>0.32</v>
      </c>
      <c r="W82">
        <v>35.4</v>
      </c>
      <c r="X82">
        <v>13.9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26</v>
      </c>
      <c r="AN82">
        <v>150</v>
      </c>
      <c r="AO82">
        <v>68</v>
      </c>
      <c r="AP82">
        <v>1.5</v>
      </c>
      <c r="AQ82">
        <v>58</v>
      </c>
      <c r="AR82">
        <v>49</v>
      </c>
      <c r="AS82">
        <v>33</v>
      </c>
      <c r="AT82">
        <v>14</v>
      </c>
      <c r="AU82">
        <v>22</v>
      </c>
      <c r="AV82">
        <v>45</v>
      </c>
      <c r="AW82">
        <v>14</v>
      </c>
      <c r="AX82">
        <v>0</v>
      </c>
      <c r="AY82">
        <v>0</v>
      </c>
      <c r="AZ82">
        <v>0</v>
      </c>
      <c r="BA82">
        <v>0</v>
      </c>
      <c r="BB82">
        <v>9</v>
      </c>
      <c r="BC82">
        <v>18</v>
      </c>
      <c r="BD82">
        <v>3</v>
      </c>
      <c r="BE82">
        <v>6</v>
      </c>
      <c r="BF82">
        <v>0</v>
      </c>
      <c r="BG82">
        <v>1085</v>
      </c>
      <c r="BH82">
        <v>519</v>
      </c>
      <c r="BI82">
        <v>327</v>
      </c>
      <c r="BJ82">
        <v>240</v>
      </c>
      <c r="BK82">
        <v>53595</v>
      </c>
      <c r="BL82">
        <v>7778</v>
      </c>
      <c r="BM82">
        <v>6353</v>
      </c>
      <c r="BN82">
        <v>39464</v>
      </c>
      <c r="BO82" t="s">
        <v>216</v>
      </c>
      <c r="BP82" t="s">
        <v>107</v>
      </c>
      <c r="BQ82" t="s">
        <v>89</v>
      </c>
      <c r="BR82" t="s">
        <v>118</v>
      </c>
      <c r="BS82" t="s">
        <v>219</v>
      </c>
    </row>
    <row r="83" spans="1:71" x14ac:dyDescent="0.3">
      <c r="A83" t="s">
        <v>71</v>
      </c>
      <c r="B83">
        <v>20260108</v>
      </c>
      <c r="C83">
        <v>143</v>
      </c>
      <c r="D83" t="s">
        <v>200</v>
      </c>
      <c r="E83">
        <v>13645</v>
      </c>
      <c r="F83" t="s">
        <v>301</v>
      </c>
      <c r="G83" t="s">
        <v>74</v>
      </c>
      <c r="H83">
        <v>26</v>
      </c>
      <c r="I83" t="s">
        <v>99</v>
      </c>
      <c r="J83">
        <v>191</v>
      </c>
      <c r="K83" t="s">
        <v>76</v>
      </c>
      <c r="L83" t="s">
        <v>302</v>
      </c>
      <c r="M83" t="b">
        <v>0</v>
      </c>
      <c r="N83" t="s">
        <v>95</v>
      </c>
      <c r="O83">
        <v>40</v>
      </c>
      <c r="P83">
        <v>7</v>
      </c>
      <c r="Q83">
        <v>18</v>
      </c>
      <c r="R83">
        <v>25</v>
      </c>
      <c r="S83">
        <v>1.72</v>
      </c>
      <c r="T83">
        <v>0.45</v>
      </c>
      <c r="U83">
        <v>0.18</v>
      </c>
      <c r="V83">
        <v>0.62</v>
      </c>
      <c r="W83">
        <v>44.1</v>
      </c>
      <c r="X83">
        <v>10.8</v>
      </c>
      <c r="Y83">
        <v>2</v>
      </c>
      <c r="Z83">
        <v>3</v>
      </c>
      <c r="AA83">
        <v>5</v>
      </c>
      <c r="AB83">
        <v>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</v>
      </c>
      <c r="AJ83">
        <v>2</v>
      </c>
      <c r="AK83">
        <v>1</v>
      </c>
      <c r="AL83">
        <v>33.33</v>
      </c>
      <c r="AM83">
        <v>-7</v>
      </c>
      <c r="AN83">
        <v>157</v>
      </c>
      <c r="AO83">
        <v>69</v>
      </c>
      <c r="AP83">
        <v>10.1</v>
      </c>
      <c r="AQ83">
        <v>43</v>
      </c>
      <c r="AR83">
        <v>53</v>
      </c>
      <c r="AS83">
        <v>35</v>
      </c>
      <c r="AT83">
        <v>106</v>
      </c>
      <c r="AU83">
        <v>32</v>
      </c>
      <c r="AV83">
        <v>28</v>
      </c>
      <c r="AW83">
        <v>10</v>
      </c>
      <c r="AX83">
        <v>0</v>
      </c>
      <c r="AY83">
        <v>0</v>
      </c>
      <c r="AZ83">
        <v>0</v>
      </c>
      <c r="BA83">
        <v>0</v>
      </c>
      <c r="BB83">
        <v>7</v>
      </c>
      <c r="BC83">
        <v>14</v>
      </c>
      <c r="BD83">
        <v>6</v>
      </c>
      <c r="BE83">
        <v>12</v>
      </c>
      <c r="BF83">
        <v>0</v>
      </c>
      <c r="BG83">
        <v>859</v>
      </c>
      <c r="BH83">
        <v>478</v>
      </c>
      <c r="BI83">
        <v>294</v>
      </c>
      <c r="BJ83">
        <v>87</v>
      </c>
      <c r="BK83">
        <v>39236</v>
      </c>
      <c r="BL83">
        <v>8296</v>
      </c>
      <c r="BM83">
        <v>5319</v>
      </c>
      <c r="BN83">
        <v>25273</v>
      </c>
      <c r="BO83" t="s">
        <v>200</v>
      </c>
      <c r="BP83" t="s">
        <v>88</v>
      </c>
      <c r="BQ83" t="s">
        <v>89</v>
      </c>
      <c r="BR83" t="s">
        <v>76</v>
      </c>
      <c r="BS83" t="s">
        <v>203</v>
      </c>
    </row>
    <row r="84" spans="1:71" x14ac:dyDescent="0.3">
      <c r="A84" t="s">
        <v>71</v>
      </c>
      <c r="B84">
        <v>20260108</v>
      </c>
      <c r="C84">
        <v>9</v>
      </c>
      <c r="D84" t="s">
        <v>256</v>
      </c>
      <c r="E84">
        <v>5342</v>
      </c>
      <c r="F84" t="s">
        <v>303</v>
      </c>
      <c r="G84" t="s">
        <v>74</v>
      </c>
      <c r="H84">
        <v>32</v>
      </c>
      <c r="I84" t="s">
        <v>99</v>
      </c>
      <c r="J84">
        <v>183</v>
      </c>
      <c r="K84" t="s">
        <v>128</v>
      </c>
      <c r="L84" t="s">
        <v>304</v>
      </c>
      <c r="M84" t="b">
        <v>0</v>
      </c>
      <c r="N84" t="s">
        <v>78</v>
      </c>
      <c r="O84">
        <v>30</v>
      </c>
      <c r="P84">
        <v>10</v>
      </c>
      <c r="Q84">
        <v>15</v>
      </c>
      <c r="R84">
        <v>25</v>
      </c>
      <c r="S84">
        <v>1.7</v>
      </c>
      <c r="T84">
        <v>0.5</v>
      </c>
      <c r="U84">
        <v>0.33</v>
      </c>
      <c r="V84">
        <v>0.83</v>
      </c>
      <c r="W84">
        <v>32.200000000000003</v>
      </c>
      <c r="X84">
        <v>13.9</v>
      </c>
      <c r="Y84">
        <v>3</v>
      </c>
      <c r="Z84">
        <v>1</v>
      </c>
      <c r="AA84">
        <v>5</v>
      </c>
      <c r="AB84">
        <v>6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2</v>
      </c>
      <c r="AJ84">
        <v>0</v>
      </c>
      <c r="AK84">
        <v>2</v>
      </c>
      <c r="AL84">
        <v>100</v>
      </c>
      <c r="AM84">
        <v>-8</v>
      </c>
      <c r="AN84">
        <v>125</v>
      </c>
      <c r="AO84">
        <v>51</v>
      </c>
      <c r="AP84">
        <v>19.600000000000001</v>
      </c>
      <c r="AQ84">
        <v>24</v>
      </c>
      <c r="AR84">
        <v>26</v>
      </c>
      <c r="AS84">
        <v>48</v>
      </c>
      <c r="AT84">
        <v>100</v>
      </c>
      <c r="AU84">
        <v>35</v>
      </c>
      <c r="AV84">
        <v>34</v>
      </c>
      <c r="AW84">
        <v>12</v>
      </c>
      <c r="AX84">
        <v>513</v>
      </c>
      <c r="AY84">
        <v>281</v>
      </c>
      <c r="AZ84">
        <v>232</v>
      </c>
      <c r="BA84">
        <v>54.8</v>
      </c>
      <c r="BB84">
        <v>9</v>
      </c>
      <c r="BC84">
        <v>18</v>
      </c>
      <c r="BD84">
        <v>6</v>
      </c>
      <c r="BE84">
        <v>12</v>
      </c>
      <c r="BF84">
        <v>0</v>
      </c>
      <c r="BG84">
        <v>756</v>
      </c>
      <c r="BH84">
        <v>378</v>
      </c>
      <c r="BI84">
        <v>159</v>
      </c>
      <c r="BJ84">
        <v>232</v>
      </c>
      <c r="BK84">
        <v>38011</v>
      </c>
      <c r="BL84">
        <v>11070</v>
      </c>
      <c r="BM84">
        <v>2025</v>
      </c>
      <c r="BN84">
        <v>24947</v>
      </c>
      <c r="BO84" t="s">
        <v>256</v>
      </c>
      <c r="BP84" t="s">
        <v>79</v>
      </c>
      <c r="BQ84" t="s">
        <v>80</v>
      </c>
      <c r="BR84" t="s">
        <v>132</v>
      </c>
      <c r="BS84" t="s">
        <v>259</v>
      </c>
    </row>
    <row r="85" spans="1:71" x14ac:dyDescent="0.3">
      <c r="A85" t="s">
        <v>71</v>
      </c>
      <c r="B85">
        <v>20260108</v>
      </c>
      <c r="C85">
        <v>26</v>
      </c>
      <c r="D85" t="s">
        <v>116</v>
      </c>
      <c r="E85">
        <v>5449</v>
      </c>
      <c r="F85" t="s">
        <v>305</v>
      </c>
      <c r="G85" t="s">
        <v>74</v>
      </c>
      <c r="H85">
        <v>31</v>
      </c>
      <c r="I85" t="s">
        <v>147</v>
      </c>
      <c r="J85">
        <v>197</v>
      </c>
      <c r="K85" t="s">
        <v>85</v>
      </c>
      <c r="L85" t="s">
        <v>100</v>
      </c>
      <c r="M85" t="b">
        <v>0</v>
      </c>
      <c r="N85" t="s">
        <v>78</v>
      </c>
      <c r="O85">
        <v>43</v>
      </c>
      <c r="P85">
        <v>8</v>
      </c>
      <c r="Q85">
        <v>22</v>
      </c>
      <c r="R85">
        <v>30</v>
      </c>
      <c r="S85">
        <v>1.1599999999999999</v>
      </c>
      <c r="T85">
        <v>0.51</v>
      </c>
      <c r="U85">
        <v>0.19</v>
      </c>
      <c r="V85">
        <v>0.7</v>
      </c>
      <c r="W85">
        <v>33</v>
      </c>
      <c r="X85">
        <v>7.7</v>
      </c>
      <c r="Y85">
        <v>2</v>
      </c>
      <c r="Z85">
        <v>4</v>
      </c>
      <c r="AA85">
        <v>4</v>
      </c>
      <c r="AB85">
        <v>8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-10</v>
      </c>
      <c r="AN85">
        <v>89</v>
      </c>
      <c r="AO85">
        <v>50</v>
      </c>
      <c r="AP85">
        <v>16</v>
      </c>
      <c r="AQ85">
        <v>54</v>
      </c>
      <c r="AR85">
        <v>24</v>
      </c>
      <c r="AS85">
        <v>15</v>
      </c>
      <c r="AT85">
        <v>13</v>
      </c>
      <c r="AU85">
        <v>33</v>
      </c>
      <c r="AV85">
        <v>35</v>
      </c>
      <c r="AW85">
        <v>19</v>
      </c>
      <c r="AX85">
        <v>729</v>
      </c>
      <c r="AY85">
        <v>333</v>
      </c>
      <c r="AZ85">
        <v>396</v>
      </c>
      <c r="BA85">
        <v>45.7</v>
      </c>
      <c r="BB85">
        <v>5</v>
      </c>
      <c r="BC85">
        <v>10</v>
      </c>
      <c r="BD85">
        <v>13</v>
      </c>
      <c r="BE85">
        <v>26</v>
      </c>
      <c r="BF85">
        <v>0</v>
      </c>
      <c r="BG85">
        <v>1029</v>
      </c>
      <c r="BH85">
        <v>472</v>
      </c>
      <c r="BI85">
        <v>301</v>
      </c>
      <c r="BJ85">
        <v>264</v>
      </c>
      <c r="BK85">
        <v>53157</v>
      </c>
      <c r="BL85">
        <v>12342</v>
      </c>
      <c r="BM85">
        <v>4930</v>
      </c>
      <c r="BN85">
        <v>35885</v>
      </c>
      <c r="BO85" t="s">
        <v>116</v>
      </c>
      <c r="BP85" t="s">
        <v>88</v>
      </c>
      <c r="BQ85" t="s">
        <v>89</v>
      </c>
      <c r="BR85" t="s">
        <v>85</v>
      </c>
      <c r="BS85" t="s">
        <v>120</v>
      </c>
    </row>
    <row r="86" spans="1:71" x14ac:dyDescent="0.3">
      <c r="A86" t="s">
        <v>71</v>
      </c>
      <c r="B86">
        <v>20260108</v>
      </c>
      <c r="C86">
        <v>19</v>
      </c>
      <c r="D86" t="s">
        <v>306</v>
      </c>
      <c r="E86">
        <v>5603</v>
      </c>
      <c r="F86" t="s">
        <v>307</v>
      </c>
      <c r="G86" t="s">
        <v>74</v>
      </c>
      <c r="H86">
        <v>28</v>
      </c>
      <c r="I86" t="s">
        <v>147</v>
      </c>
      <c r="J86">
        <v>212</v>
      </c>
      <c r="K86" t="s">
        <v>128</v>
      </c>
      <c r="L86" t="s">
        <v>308</v>
      </c>
      <c r="M86" t="b">
        <v>0</v>
      </c>
      <c r="N86" t="s">
        <v>87</v>
      </c>
      <c r="O86">
        <v>38</v>
      </c>
      <c r="P86">
        <v>16</v>
      </c>
      <c r="Q86">
        <v>29</v>
      </c>
      <c r="R86">
        <v>45</v>
      </c>
      <c r="S86">
        <v>3.71</v>
      </c>
      <c r="T86">
        <v>0.76</v>
      </c>
      <c r="U86">
        <v>0.42</v>
      </c>
      <c r="V86">
        <v>1.18</v>
      </c>
      <c r="W86">
        <v>33.9</v>
      </c>
      <c r="X86">
        <v>4.5999999999999996</v>
      </c>
      <c r="Y86">
        <v>5</v>
      </c>
      <c r="Z86">
        <v>1</v>
      </c>
      <c r="AA86">
        <v>9</v>
      </c>
      <c r="AB86">
        <v>10</v>
      </c>
      <c r="AC86">
        <v>0</v>
      </c>
      <c r="AD86">
        <v>2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5</v>
      </c>
      <c r="AN86">
        <v>295</v>
      </c>
      <c r="AO86">
        <v>141</v>
      </c>
      <c r="AP86">
        <v>11.3</v>
      </c>
      <c r="AQ86">
        <v>54</v>
      </c>
      <c r="AR86">
        <v>99</v>
      </c>
      <c r="AS86">
        <v>55</v>
      </c>
      <c r="AT86">
        <v>18</v>
      </c>
      <c r="AU86">
        <v>58</v>
      </c>
      <c r="AV86">
        <v>68</v>
      </c>
      <c r="AW86">
        <v>20</v>
      </c>
      <c r="AX86">
        <v>0</v>
      </c>
      <c r="AY86">
        <v>0</v>
      </c>
      <c r="AZ86">
        <v>0</v>
      </c>
      <c r="BA86">
        <v>0</v>
      </c>
      <c r="BB86">
        <v>3</v>
      </c>
      <c r="BC86">
        <v>6</v>
      </c>
      <c r="BD86">
        <v>3</v>
      </c>
      <c r="BE86">
        <v>6</v>
      </c>
      <c r="BF86">
        <v>0</v>
      </c>
      <c r="BG86">
        <v>990</v>
      </c>
      <c r="BH86">
        <v>513</v>
      </c>
      <c r="BI86">
        <v>155</v>
      </c>
      <c r="BJ86">
        <v>335</v>
      </c>
      <c r="BK86">
        <v>60704</v>
      </c>
      <c r="BL86">
        <v>10710</v>
      </c>
      <c r="BM86">
        <v>2766</v>
      </c>
      <c r="BN86">
        <v>47167</v>
      </c>
      <c r="BO86" t="s">
        <v>306</v>
      </c>
      <c r="BP86" t="s">
        <v>79</v>
      </c>
      <c r="BQ86" t="s">
        <v>80</v>
      </c>
      <c r="BR86" t="s">
        <v>132</v>
      </c>
      <c r="BS86" t="s">
        <v>309</v>
      </c>
    </row>
    <row r="87" spans="1:71" x14ac:dyDescent="0.3">
      <c r="A87" t="s">
        <v>71</v>
      </c>
      <c r="B87">
        <v>20260108</v>
      </c>
      <c r="C87">
        <v>5</v>
      </c>
      <c r="D87" t="s">
        <v>310</v>
      </c>
      <c r="E87">
        <v>5225</v>
      </c>
      <c r="F87" t="s">
        <v>311</v>
      </c>
      <c r="G87" t="s">
        <v>74</v>
      </c>
      <c r="H87">
        <v>31</v>
      </c>
      <c r="I87" t="s">
        <v>93</v>
      </c>
      <c r="J87">
        <v>220</v>
      </c>
      <c r="K87" t="s">
        <v>118</v>
      </c>
      <c r="L87" t="s">
        <v>312</v>
      </c>
      <c r="M87" t="b">
        <v>0</v>
      </c>
      <c r="N87" t="s">
        <v>95</v>
      </c>
      <c r="O87">
        <v>41</v>
      </c>
      <c r="P87">
        <v>22</v>
      </c>
      <c r="Q87">
        <v>20</v>
      </c>
      <c r="R87">
        <v>42</v>
      </c>
      <c r="S87">
        <v>2.37</v>
      </c>
      <c r="T87">
        <v>0.49</v>
      </c>
      <c r="U87">
        <v>0.54</v>
      </c>
      <c r="V87">
        <v>1.02</v>
      </c>
      <c r="W87">
        <v>34.1</v>
      </c>
      <c r="X87">
        <v>47.9</v>
      </c>
      <c r="Y87">
        <v>7</v>
      </c>
      <c r="Z87">
        <v>7</v>
      </c>
      <c r="AA87">
        <v>2</v>
      </c>
      <c r="AB87">
        <v>9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20</v>
      </c>
      <c r="AN87">
        <v>181</v>
      </c>
      <c r="AO87">
        <v>97</v>
      </c>
      <c r="AP87">
        <v>22.7</v>
      </c>
      <c r="AQ87">
        <v>24</v>
      </c>
      <c r="AR87">
        <v>38</v>
      </c>
      <c r="AS87">
        <v>46</v>
      </c>
      <c r="AT87">
        <v>110</v>
      </c>
      <c r="AU87">
        <v>50</v>
      </c>
      <c r="AV87">
        <v>49</v>
      </c>
      <c r="AW87">
        <v>11</v>
      </c>
      <c r="AX87">
        <v>24</v>
      </c>
      <c r="AY87">
        <v>11</v>
      </c>
      <c r="AZ87">
        <v>13</v>
      </c>
      <c r="BA87">
        <v>45.8</v>
      </c>
      <c r="BB87">
        <v>17</v>
      </c>
      <c r="BC87">
        <v>59</v>
      </c>
      <c r="BD87">
        <v>17</v>
      </c>
      <c r="BE87">
        <v>43</v>
      </c>
      <c r="BF87">
        <v>3</v>
      </c>
      <c r="BG87">
        <v>951</v>
      </c>
      <c r="BH87">
        <v>461</v>
      </c>
      <c r="BI87">
        <v>287</v>
      </c>
      <c r="BJ87">
        <v>217</v>
      </c>
      <c r="BK87">
        <v>47670</v>
      </c>
      <c r="BL87">
        <v>11919</v>
      </c>
      <c r="BM87">
        <v>4276</v>
      </c>
      <c r="BN87">
        <v>31176</v>
      </c>
      <c r="BO87" t="s">
        <v>310</v>
      </c>
      <c r="BP87" t="s">
        <v>79</v>
      </c>
      <c r="BQ87" t="s">
        <v>80</v>
      </c>
      <c r="BR87" t="s">
        <v>118</v>
      </c>
      <c r="BS87" t="s">
        <v>313</v>
      </c>
    </row>
    <row r="88" spans="1:71" x14ac:dyDescent="0.3">
      <c r="A88" t="s">
        <v>71</v>
      </c>
      <c r="B88">
        <v>20260108</v>
      </c>
      <c r="C88">
        <v>9</v>
      </c>
      <c r="D88" t="s">
        <v>256</v>
      </c>
      <c r="E88">
        <v>5000</v>
      </c>
      <c r="F88" t="s">
        <v>314</v>
      </c>
      <c r="G88" t="s">
        <v>74</v>
      </c>
      <c r="H88">
        <v>32</v>
      </c>
      <c r="I88" t="s">
        <v>147</v>
      </c>
      <c r="J88">
        <v>208</v>
      </c>
      <c r="K88" t="s">
        <v>85</v>
      </c>
      <c r="L88" t="s">
        <v>100</v>
      </c>
      <c r="M88" t="b">
        <v>0</v>
      </c>
      <c r="N88" t="s">
        <v>78</v>
      </c>
      <c r="O88">
        <v>43</v>
      </c>
      <c r="P88">
        <v>15</v>
      </c>
      <c r="Q88">
        <v>22</v>
      </c>
      <c r="R88">
        <v>37</v>
      </c>
      <c r="S88">
        <v>2.67</v>
      </c>
      <c r="T88">
        <v>0.51</v>
      </c>
      <c r="U88">
        <v>0.35</v>
      </c>
      <c r="V88">
        <v>0.86</v>
      </c>
      <c r="W88">
        <v>29.1</v>
      </c>
      <c r="X88">
        <v>4.5999999999999996</v>
      </c>
      <c r="Y88">
        <v>5</v>
      </c>
      <c r="Z88">
        <v>8</v>
      </c>
      <c r="AA88">
        <v>9</v>
      </c>
      <c r="AB88">
        <v>17</v>
      </c>
      <c r="AC88">
        <v>1</v>
      </c>
      <c r="AD88">
        <v>0</v>
      </c>
      <c r="AE88">
        <v>1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-10</v>
      </c>
      <c r="AN88">
        <v>222</v>
      </c>
      <c r="AO88">
        <v>115</v>
      </c>
      <c r="AP88">
        <v>13</v>
      </c>
      <c r="AQ88">
        <v>30</v>
      </c>
      <c r="AR88">
        <v>36</v>
      </c>
      <c r="AS88">
        <v>71</v>
      </c>
      <c r="AT88">
        <v>65</v>
      </c>
      <c r="AU88">
        <v>23</v>
      </c>
      <c r="AV88">
        <v>59</v>
      </c>
      <c r="AW88">
        <v>16</v>
      </c>
      <c r="AX88">
        <v>591</v>
      </c>
      <c r="AY88">
        <v>305</v>
      </c>
      <c r="AZ88">
        <v>286</v>
      </c>
      <c r="BA88">
        <v>51.6</v>
      </c>
      <c r="BB88">
        <v>3</v>
      </c>
      <c r="BC88">
        <v>6</v>
      </c>
      <c r="BD88">
        <v>7</v>
      </c>
      <c r="BE88">
        <v>14</v>
      </c>
      <c r="BF88">
        <v>0</v>
      </c>
      <c r="BG88">
        <v>1081</v>
      </c>
      <c r="BH88">
        <v>550</v>
      </c>
      <c r="BI88">
        <v>222</v>
      </c>
      <c r="BJ88">
        <v>316</v>
      </c>
      <c r="BK88">
        <v>53792</v>
      </c>
      <c r="BL88">
        <v>14616</v>
      </c>
      <c r="BM88">
        <v>3136</v>
      </c>
      <c r="BN88">
        <v>35692</v>
      </c>
      <c r="BO88" t="s">
        <v>256</v>
      </c>
      <c r="BP88" t="s">
        <v>79</v>
      </c>
      <c r="BQ88" t="s">
        <v>80</v>
      </c>
      <c r="BR88" t="s">
        <v>85</v>
      </c>
      <c r="BS88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raw_player_data</vt:lpstr>
      <vt:lpstr>hockey_ref_25_26_data</vt:lpstr>
      <vt:lpstr>---</vt:lpstr>
      <vt:lpstr>back_up_data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2026-01-10T22:07:22Z</dcterms:created>
  <dcterms:modified xsi:type="dcterms:W3CDTF">2026-01-13T01:33:14Z</dcterms:modified>
</cp:coreProperties>
</file>