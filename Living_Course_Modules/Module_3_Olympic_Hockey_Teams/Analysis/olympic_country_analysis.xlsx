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Living_Course_Modules\Module_3_Olympic_Hockey_Teams\Analysis\"/>
    </mc:Choice>
  </mc:AlternateContent>
  <xr:revisionPtr revIDLastSave="0" documentId="8_{5643447B-9306-4EEA-8CF0-ED720D2B4828}" xr6:coauthVersionLast="47" xr6:coauthVersionMax="47" xr10:uidLastSave="{00000000-0000-0000-0000-000000000000}"/>
  <bookViews>
    <workbookView xWindow="-108" yWindow="-108" windowWidth="30936" windowHeight="18696" xr2:uid="{E944304A-BC34-4583-AD10-B02B5934A06C}"/>
  </bookViews>
  <sheets>
    <sheet name="olympic_country_summaries" sheetId="1" r:id="rId1"/>
    <sheet name="PHYSICAL_PLAY" sheetId="6" r:id="rId2"/>
    <sheet name="GIVES_TAKES" sheetId="5" r:id="rId3"/>
    <sheet name="TOT_PTS" sheetId="2" r:id="rId4"/>
    <sheet name="PG_PTS" sheetId="3" r:id="rId5"/>
    <sheet name="SHO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L6" i="1"/>
  <c r="D6" i="1"/>
  <c r="E6" i="1"/>
  <c r="F6" i="1"/>
  <c r="H6" i="1"/>
  <c r="I6" i="1"/>
  <c r="J6" i="1"/>
  <c r="M6" i="1"/>
  <c r="N6" i="1"/>
  <c r="P6" i="1"/>
  <c r="Q6" i="1"/>
  <c r="S6" i="1"/>
  <c r="T6" i="1"/>
  <c r="V6" i="1"/>
  <c r="W6" i="1"/>
  <c r="C6" i="1"/>
</calcChain>
</file>

<file path=xl/sharedStrings.xml><?xml version="1.0" encoding="utf-8"?>
<sst xmlns="http://schemas.openxmlformats.org/spreadsheetml/2006/main" count="63" uniqueCount="37">
  <si>
    <t>Canada</t>
  </si>
  <si>
    <t>Finland</t>
  </si>
  <si>
    <t>Sweden</t>
  </si>
  <si>
    <t>USA</t>
  </si>
  <si>
    <t>COUNTRY</t>
  </si>
  <si>
    <t>TOT_PLAYERS</t>
  </si>
  <si>
    <t>TOT_GP</t>
  </si>
  <si>
    <t>TOT_GOALS</t>
  </si>
  <si>
    <t>TOT_ASSISTS</t>
  </si>
  <si>
    <t>TOT_PTS</t>
  </si>
  <si>
    <t>TOT_SOG</t>
  </si>
  <si>
    <t>AVG_PPG</t>
  </si>
  <si>
    <t>AVG_GPG</t>
  </si>
  <si>
    <t>AVG_APG</t>
  </si>
  <si>
    <t>AVG_SOGPG</t>
  </si>
  <si>
    <t>AVG_SHT_PCT</t>
  </si>
  <si>
    <t>AVG_BLOCKSPG</t>
  </si>
  <si>
    <t>AVG_HITSPG</t>
  </si>
  <si>
    <t>AVG_PUCK_POSS_DIFF</t>
  </si>
  <si>
    <t>AVG_POSS</t>
  </si>
  <si>
    <t>AVG_PMPG</t>
  </si>
  <si>
    <t>AVG_PIMPG</t>
  </si>
  <si>
    <t>AVERAGE</t>
  </si>
  <si>
    <t xml:space="preserve"> 2</t>
  </si>
  <si>
    <t xml:space="preserve"> 3</t>
  </si>
  <si>
    <t xml:space="preserve"> 4</t>
  </si>
  <si>
    <t xml:space="preserve"> 5</t>
  </si>
  <si>
    <t>ABOVE_AVG</t>
  </si>
  <si>
    <t>GOALS</t>
  </si>
  <si>
    <t>ASSISTS</t>
  </si>
  <si>
    <t>POINTS</t>
  </si>
  <si>
    <t>AVG PPG</t>
  </si>
  <si>
    <t>AVG SOG PG</t>
  </si>
  <si>
    <t>AVG SHOT PCT</t>
  </si>
  <si>
    <t>AVG POSSESSION</t>
  </si>
  <si>
    <t>BLOCKED SHOTS</t>
  </si>
  <si>
    <t>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</si>
</sst>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6" fillId="0" borderId="20" xfId="0" applyFont="1" applyBorder="1"/>
    <xf numFmtId="0" fontId="16" fillId="0" borderId="21" xfId="0" applyFont="1" applyBorder="1" applyAlignment="1">
      <alignment horizontal="center"/>
    </xf>
    <xf numFmtId="164" fontId="16" fillId="0" borderId="21" xfId="0" applyNumberFormat="1" applyFont="1" applyBorder="1" applyAlignment="1">
      <alignment horizontal="center"/>
    </xf>
    <xf numFmtId="164" fontId="16" fillId="0" borderId="2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6" fillId="0" borderId="20" xfId="0" applyFon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16" fillId="0" borderId="33" xfId="0" applyNumberFormat="1" applyFont="1" applyBorder="1" applyAlignment="1">
      <alignment horizontal="center"/>
    </xf>
    <xf numFmtId="1" fontId="16" fillId="0" borderId="21" xfId="0" applyNumberFormat="1" applyFont="1" applyBorder="1" applyAlignment="1">
      <alignment horizontal="center"/>
    </xf>
    <xf numFmtId="1" fontId="16" fillId="0" borderId="22" xfId="0" applyNumberFormat="1" applyFon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16" fillId="0" borderId="33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2" formatCode="0.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 style="thin">
          <color indexed="64"/>
        </vertical>
        <horizontal/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64" formatCode="0.0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PHYSICAL_PLAY!$C$1</c:f>
              <c:strCache>
                <c:ptCount val="1"/>
                <c:pt idx="0">
                  <c:v>HITS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PHYSICAL_PLAY!$A$2:$A$5</c:f>
              <c:strCache>
                <c:ptCount val="4"/>
                <c:pt idx="0">
                  <c:v>Finland</c:v>
                </c:pt>
                <c:pt idx="1">
                  <c:v>Sweden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PHYSICAL_PLAY!$C$2:$C$5</c:f>
              <c:numCache>
                <c:formatCode>0.000</c:formatCode>
                <c:ptCount val="4"/>
                <c:pt idx="0">
                  <c:v>0.95795394187612803</c:v>
                </c:pt>
                <c:pt idx="1">
                  <c:v>0.88610854996414101</c:v>
                </c:pt>
                <c:pt idx="2">
                  <c:v>0.83823876933164798</c:v>
                </c:pt>
                <c:pt idx="3">
                  <c:v>0.69544376729005297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A-416C-B27F-7ED0C5F7F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74486879"/>
        <c:axId val="11744892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PHYSICAL_PLAY!$B$1</c15:sqref>
                        </c15:formulaRef>
                      </c:ext>
                    </c:extLst>
                    <c:strCache>
                      <c:ptCount val="1"/>
                      <c:pt idx="0">
                        <c:v>BLOCKED SHOTS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PHYSICAL_PLAY!$A$2:$A$5</c15:sqref>
                        </c15:formulaRef>
                      </c:ext>
                    </c:extLst>
                    <c:strCache>
                      <c:ptCount val="4"/>
                      <c:pt idx="0">
                        <c:v>Finland</c:v>
                      </c:pt>
                      <c:pt idx="1">
                        <c:v>Sweden</c:v>
                      </c:pt>
                      <c:pt idx="2">
                        <c:v>USA</c:v>
                      </c:pt>
                      <c:pt idx="3">
                        <c:v>Canada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PHYSICAL_PLAY!$B$2:$B$5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0.83968398364346797</c:v>
                      </c:pt>
                      <c:pt idx="1">
                        <c:v>0.94410554421299697</c:v>
                      </c:pt>
                      <c:pt idx="2">
                        <c:v>1.0018159416433201</c:v>
                      </c:pt>
                      <c:pt idx="3">
                        <c:v>1.00435710419373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CEA-416C-B27F-7ED0C5F7FF9D}"/>
                  </c:ext>
                </c:extLst>
              </c15:ser>
            </c15:filteredBarSeries>
          </c:ext>
        </c:extLst>
      </c:barChart>
      <c:catAx>
        <c:axId val="11744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9279"/>
        <c:crosses val="autoZero"/>
        <c:auto val="1"/>
        <c:lblAlgn val="ctr"/>
        <c:lblOffset val="100"/>
        <c:noMultiLvlLbl val="0"/>
      </c:catAx>
      <c:valAx>
        <c:axId val="1174489279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1744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GIVES_TAKES!$B$1</c:f>
              <c:strCache>
                <c:ptCount val="1"/>
                <c:pt idx="0">
                  <c:v>AVG POSSESSION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GIVES_TAKES!$A$2:$A$5</c:f>
              <c:strCache>
                <c:ptCount val="4"/>
                <c:pt idx="0">
                  <c:v>Sweden</c:v>
                </c:pt>
                <c:pt idx="1">
                  <c:v>USA</c:v>
                </c:pt>
                <c:pt idx="2">
                  <c:v>Finland</c:v>
                </c:pt>
                <c:pt idx="3">
                  <c:v>Canada</c:v>
                </c:pt>
              </c:strCache>
            </c:strRef>
          </c:cat>
          <c:val>
            <c:numRef>
              <c:f>GIVES_TAKES!$B$2:$B$5</c:f>
              <c:numCache>
                <c:formatCode>0.000</c:formatCode>
                <c:ptCount val="4"/>
                <c:pt idx="0">
                  <c:v>0.392272727272727</c:v>
                </c:pt>
                <c:pt idx="1">
                  <c:v>0.36190476190476201</c:v>
                </c:pt>
                <c:pt idx="2">
                  <c:v>0.35</c:v>
                </c:pt>
                <c:pt idx="3">
                  <c:v>0.32818181818181802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6-47AD-8DFA-4925564CB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71295"/>
        <c:axId val="1448632559"/>
      </c:barChart>
      <c:catAx>
        <c:axId val="754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448632559"/>
        <c:crosses val="autoZero"/>
        <c:auto val="1"/>
        <c:lblAlgn val="ctr"/>
        <c:lblOffset val="100"/>
        <c:noMultiLvlLbl val="0"/>
      </c:catAx>
      <c:valAx>
        <c:axId val="1448632559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7547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TOT_PTS!$B$1</c:f>
              <c:strCache>
                <c:ptCount val="1"/>
                <c:pt idx="0">
                  <c:v>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TOT_PTS!$A$2:$A$5</c:f>
              <c:strCache>
                <c:ptCount val="4"/>
                <c:pt idx="0">
                  <c:v>Finland</c:v>
                </c:pt>
                <c:pt idx="1">
                  <c:v>Sweden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TOT_PTS!$B$2:$B$5</c:f>
              <c:numCache>
                <c:formatCode>General</c:formatCode>
                <c:ptCount val="4"/>
                <c:pt idx="0">
                  <c:v>150</c:v>
                </c:pt>
                <c:pt idx="1">
                  <c:v>183</c:v>
                </c:pt>
                <c:pt idx="2">
                  <c:v>256</c:v>
                </c:pt>
                <c:pt idx="3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37-83C1-836AB5C0C4C9}"/>
            </c:ext>
          </c:extLst>
        </c:ser>
        <c:ser>
          <c:idx val="1"/>
          <c:order val="1"/>
          <c:tx>
            <c:strRef>
              <c:f>TOT_PTS!$C$1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TOT_PTS!$A$2:$A$5</c:f>
              <c:strCache>
                <c:ptCount val="4"/>
                <c:pt idx="0">
                  <c:v>Finland</c:v>
                </c:pt>
                <c:pt idx="1">
                  <c:v>Sweden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TOT_PTS!$C$2:$C$5</c:f>
              <c:numCache>
                <c:formatCode>General</c:formatCode>
                <c:ptCount val="4"/>
                <c:pt idx="0">
                  <c:v>292</c:v>
                </c:pt>
                <c:pt idx="1">
                  <c:v>410</c:v>
                </c:pt>
                <c:pt idx="2">
                  <c:v>401</c:v>
                </c:pt>
                <c:pt idx="3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37-83C1-836AB5C0C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5901648"/>
        <c:axId val="2055906448"/>
      </c:barChart>
      <c:catAx>
        <c:axId val="2055901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06448"/>
        <c:crosses val="autoZero"/>
        <c:auto val="1"/>
        <c:lblAlgn val="ctr"/>
        <c:lblOffset val="100"/>
        <c:noMultiLvlLbl val="0"/>
      </c:catAx>
      <c:valAx>
        <c:axId val="20559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PG_PTS!$B$1</c:f>
              <c:strCache>
                <c:ptCount val="1"/>
                <c:pt idx="0">
                  <c:v>AVG PPG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PG_PTS!$A$2:$A$5</c:f>
              <c:strCache>
                <c:ptCount val="4"/>
                <c:pt idx="0">
                  <c:v>Canada</c:v>
                </c:pt>
                <c:pt idx="1">
                  <c:v>Finland</c:v>
                </c:pt>
                <c:pt idx="2">
                  <c:v>Sweden</c:v>
                </c:pt>
                <c:pt idx="3">
                  <c:v>USA</c:v>
                </c:pt>
              </c:strCache>
            </c:strRef>
          </c:cat>
          <c:val>
            <c:numRef>
              <c:f>PG_PTS!$B$2:$B$5</c:f>
              <c:numCache>
                <c:formatCode>0.000</c:formatCode>
                <c:ptCount val="4"/>
                <c:pt idx="0">
                  <c:v>0.94327272727272704</c:v>
                </c:pt>
                <c:pt idx="1">
                  <c:v>0.52577272727272695</c:v>
                </c:pt>
                <c:pt idx="2">
                  <c:v>0.70595454545454595</c:v>
                </c:pt>
                <c:pt idx="3">
                  <c:v>0.83804761904761904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B-4806-9521-6CF5B11E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62015"/>
        <c:axId val="10860575"/>
      </c:barChart>
      <c:catAx>
        <c:axId val="1086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0575"/>
        <c:crosses val="autoZero"/>
        <c:auto val="1"/>
        <c:lblAlgn val="ctr"/>
        <c:lblOffset val="100"/>
        <c:noMultiLvlLbl val="0"/>
      </c:catAx>
      <c:valAx>
        <c:axId val="10860575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086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SHOTS!$B$1</c:f>
              <c:strCache>
                <c:ptCount val="1"/>
                <c:pt idx="0">
                  <c:v>AVG SOG PG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SHOTS!$A$2:$A$5</c:f>
              <c:strCache>
                <c:ptCount val="4"/>
                <c:pt idx="0">
                  <c:v>Finland</c:v>
                </c:pt>
                <c:pt idx="1">
                  <c:v>Sweden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SHOTS!$B$2:$B$5</c:f>
              <c:numCache>
                <c:formatCode>0.000</c:formatCode>
                <c:ptCount val="4"/>
                <c:pt idx="0">
                  <c:v>1.5726429168184399</c:v>
                </c:pt>
                <c:pt idx="1">
                  <c:v>2.0479302800391199</c:v>
                </c:pt>
                <c:pt idx="2">
                  <c:v>2.7230003097676998</c:v>
                </c:pt>
                <c:pt idx="3">
                  <c:v>2.3909152790927699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3-44FC-86B3-7B40843699EF}"/>
            </c:ext>
          </c:extLst>
        </c:ser>
        <c:ser>
          <c:idx val="1"/>
          <c:order val="1"/>
          <c:tx>
            <c:strRef>
              <c:f>SHOTS!$C$1</c:f>
              <c:strCache>
                <c:ptCount val="1"/>
                <c:pt idx="0">
                  <c:v>AVG SHOT 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SHOTS!$A$2:$A$5</c:f>
              <c:strCache>
                <c:ptCount val="4"/>
                <c:pt idx="0">
                  <c:v>Finland</c:v>
                </c:pt>
                <c:pt idx="1">
                  <c:v>Sweden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SHOTS!$C$2:$C$5</c:f>
              <c:numCache>
                <c:formatCode>0.00</c:formatCode>
                <c:ptCount val="4"/>
                <c:pt idx="0">
                  <c:v>9.4545454545454604</c:v>
                </c:pt>
                <c:pt idx="1">
                  <c:v>10.15</c:v>
                </c:pt>
                <c:pt idx="2">
                  <c:v>11.230952380952401</c:v>
                </c:pt>
                <c:pt idx="3">
                  <c:v>13.568181818181801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3-44FC-86B3-7B4084369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62703"/>
        <c:axId val="15861263"/>
      </c:barChart>
      <c:catAx>
        <c:axId val="1586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263"/>
        <c:crosses val="autoZero"/>
        <c:auto val="1"/>
        <c:lblAlgn val="ctr"/>
        <c:lblOffset val="100"/>
        <c:noMultiLvlLbl val="0"/>
      </c:catAx>
      <c:valAx>
        <c:axId val="15861263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7</xdr:row>
      <xdr:rowOff>0</xdr:rowOff>
    </xdr:from>
    <xdr:to>
      <xdr:col>7</xdr:col>
      <xdr:colOff>533400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E5D2A-8F0C-0AA3-B3CC-990611564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4</xdr:row>
      <xdr:rowOff>95250</xdr:rowOff>
    </xdr:from>
    <xdr:to>
      <xdr:col>11</xdr:col>
      <xdr:colOff>180975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8D4FC-2404-B2CE-97D9-C8EE2AE1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6350</xdr:rowOff>
    </xdr:from>
    <xdr:to>
      <xdr:col>11</xdr:col>
      <xdr:colOff>581025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960F3-2582-24F4-0025-FD7C4B30B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301625</xdr:colOff>
      <xdr:row>1</xdr:row>
      <xdr:rowOff>44450</xdr:rowOff>
    </xdr:from>
    <xdr:to>
      <xdr:col>9</xdr:col>
      <xdr:colOff>606425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643F7-B904-E516-4296-635E5F41C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555625</xdr:colOff>
      <xdr:row>1</xdr:row>
      <xdr:rowOff>171450</xdr:rowOff>
    </xdr:from>
    <xdr:to>
      <xdr:col>11</xdr:col>
      <xdr:colOff>250825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C7BC7-762E-35A7-3D78-9B1929BC8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B35C2-4C2C-4F45-AFFF-860C39C789EF}" name="Table1" displayName="Table1" ref="A1:W6" totalsRowShown="0" headerRowDxfId="31" headerRowBorderDxfId="30" tableBorderDxfId="29" totalsRowBorderDxfId="28">
  <autoFilter ref="A1:W6" xr:uid="{48BB35C2-4C2C-4F45-AFFF-860C39C789EF}"/>
  <tableColumns count="23">
    <tableColumn id="1" xr3:uid="{43C67557-1633-460B-A6EF-041BC60CA720}" name="COUNTRY" dataDxfId="27"/>
    <tableColumn id="2" xr3:uid="{7C6BC00F-BB0C-4DE3-BDD7-DC3A9371BF75}" name="TOT_PLAYERS" dataDxfId="26"/>
    <tableColumn id="3" xr3:uid="{76107F79-DC48-452D-86E8-DD661620CB53}" name="TOT_GP" dataDxfId="25"/>
    <tableColumn id="4" xr3:uid="{E8A48441-4971-48C2-8403-71B0F0055003}" name="TOT_GOALS" dataDxfId="24"/>
    <tableColumn id="5" xr3:uid="{C33D4EE2-6000-4F0A-984D-E7976DC2C9F8}" name="TOT_ASSISTS" dataDxfId="23"/>
    <tableColumn id="6" xr3:uid="{1D74073B-1D12-4543-A984-CB2663EA8C48}" name="TOT_PTS" dataDxfId="22"/>
    <tableColumn id="21" xr3:uid="{C14D543F-15ED-43CB-A512-B565C1A3C7B1}" name="ABOVE_AVG" dataDxfId="21">
      <calculatedColumnFormula>Table1[[#This Row],[TOT_PTS]]-F3</calculatedColumnFormula>
    </tableColumn>
    <tableColumn id="8" xr3:uid="{D2269709-11A2-460C-879A-D95D04A861E2}" name="AVG_PPG" dataDxfId="20"/>
    <tableColumn id="9" xr3:uid="{1FA2C35B-F2DE-45E9-AB6F-116F0A8CF7C7}" name="AVG_GPG" dataDxfId="19"/>
    <tableColumn id="10" xr3:uid="{743DAA6A-7E5D-47B9-A193-402766876879}" name="AVG_APG" dataDxfId="18"/>
    <tableColumn id="22" xr3:uid="{521CBBFE-9F3D-4BD0-87C1-10DA153B1023}" name=" 2" dataDxfId="17"/>
    <tableColumn id="19" xr3:uid="{C6EB58F3-758D-4526-B690-BEE7CFA1DBF3}" name="TOT_SOG" dataDxfId="16"/>
    <tableColumn id="11" xr3:uid="{5B9E306A-C0C7-4248-B89B-5DBE12E5B95B}" name="AVG_SOGPG" dataDxfId="15"/>
    <tableColumn id="12" xr3:uid="{60C7EA26-74E8-4D13-8607-6EB36D88993F}" name="AVG_SHT_PCT" dataDxfId="14"/>
    <tableColumn id="23" xr3:uid="{1623E59D-11E1-4BF5-BA89-EC28CB671D95}" name=" 3" dataDxfId="13"/>
    <tableColumn id="13" xr3:uid="{FD5BBB11-EEBB-40B8-BD15-43B304E2E5A0}" name="AVG_BLOCKSPG" dataDxfId="12"/>
    <tableColumn id="14" xr3:uid="{3FD7E992-7BA6-4282-9A7D-B47F7944957B}" name="AVG_HITSPG" dataDxfId="11"/>
    <tableColumn id="24" xr3:uid="{D7BB5584-BF0C-4B94-8ED3-79C0F329B46C}" name=" 4" dataDxfId="10"/>
    <tableColumn id="15" xr3:uid="{59A1819E-AB4A-4BCB-B620-89DD78090E0E}" name="AVG_PUCK_POSS_DIFF" dataDxfId="9"/>
    <tableColumn id="16" xr3:uid="{266311B6-EA6F-4854-BBDF-26D22C964684}" name="AVG_POSS" dataDxfId="8"/>
    <tableColumn id="25" xr3:uid="{143EEB0F-A6EF-49D4-AC05-96D130251D23}" name=" 5" dataDxfId="7"/>
    <tableColumn id="17" xr3:uid="{68438BE1-BCEC-41D8-8A36-1339DAE73B61}" name="AVG_PMPG" dataDxfId="6"/>
    <tableColumn id="18" xr3:uid="{7DF15178-D78E-450A-928B-39A37BADF5DF}" name="AVG_PIMPG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29E53E-9DB3-4582-BBA6-8AD9057B8EBD}" name="Table5" displayName="Table5" ref="A1:C5" totalsRowShown="0">
  <autoFilter ref="A1:C5" xr:uid="{6429E53E-9DB3-4582-BBA6-8AD9057B8EBD}"/>
  <sortState xmlns:xlrd2="http://schemas.microsoft.com/office/spreadsheetml/2017/richdata2" ref="A2:C5">
    <sortCondition descending="1" ref="C1:C5"/>
  </sortState>
  <tableColumns count="3">
    <tableColumn id="1" xr3:uid="{61C08203-52F9-4481-A6E6-2A91E9A6DB4A}" name="COUNTRY"/>
    <tableColumn id="2" xr3:uid="{D928DCD7-55F4-41C1-938B-90657D47B74A}" name="BLOCKED SHOTS" dataDxfId="4"/>
    <tableColumn id="3" xr3:uid="{F7DDA1BB-4C95-4C59-BCC6-432C538B14D8}" name="HITS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EC2445-E38C-4FDC-952F-93CD99A3A555}" name="Table4" displayName="Table4" ref="A1:B5" totalsRowShown="0">
  <autoFilter ref="A1:B5" xr:uid="{21EC2445-E38C-4FDC-952F-93CD99A3A555}"/>
  <sortState xmlns:xlrd2="http://schemas.microsoft.com/office/spreadsheetml/2017/richdata2" ref="A2:B5">
    <sortCondition descending="1" ref="B1:B5"/>
  </sortState>
  <tableColumns count="2">
    <tableColumn id="1" xr3:uid="{C1087E44-CD3F-4FC3-84BE-062B92F6ACA5}" name="COUNTRY"/>
    <tableColumn id="2" xr3:uid="{60A3C8B0-E584-4826-A4B0-1E5F16B37BE8}" name="AVG POSSESSION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6876C-853D-4C99-975B-6FC1A9B37D78}" name="Table2" displayName="Table2" ref="A1:D5" totalsRowShown="0">
  <autoFilter ref="A1:D5" xr:uid="{8396876C-853D-4C99-975B-6FC1A9B37D78}"/>
  <sortState xmlns:xlrd2="http://schemas.microsoft.com/office/spreadsheetml/2017/richdata2" ref="A2:D5">
    <sortCondition ref="D1:D5"/>
  </sortState>
  <tableColumns count="4">
    <tableColumn id="1" xr3:uid="{8A553EE2-4FE2-4787-9D5C-1BF876F63B50}" name="COUNTRY"/>
    <tableColumn id="2" xr3:uid="{B7130914-9B5C-4120-B466-4A18DDAF2F42}" name="GOALS"/>
    <tableColumn id="3" xr3:uid="{AFF9C35B-A064-4CA0-9550-F00D1329BC02}" name="ASSISTS"/>
    <tableColumn id="4" xr3:uid="{6E49D17D-50A4-4FBF-A048-851AA4764C10}" name="POINT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236445-4333-45A6-8BDF-F6FDD4D37DFB}" name="Table3" displayName="Table3" ref="A1:C5" totalsRowShown="0">
  <autoFilter ref="A1:C5" xr:uid="{8D236445-4333-45A6-8BDF-F6FDD4D37DFB}"/>
  <sortState xmlns:xlrd2="http://schemas.microsoft.com/office/spreadsheetml/2017/richdata2" ref="A2:C5">
    <sortCondition ref="C1:C5"/>
  </sortState>
  <tableColumns count="3">
    <tableColumn id="1" xr3:uid="{AA4289A1-9963-4287-8D2A-4703B07F7CC6}" name="COUNTRY"/>
    <tableColumn id="2" xr3:uid="{E68A124C-1B32-4E02-88DC-F3BD2D371AAD}" name="AVG SOG PG" dataDxfId="1"/>
    <tableColumn id="3" xr3:uid="{53725488-5809-4014-B92D-DF522752D461}" name="AVG SHOT PC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8AB4-89AD-4538-87C8-2AE66E94C2A3}">
  <dimension ref="A1:W6"/>
  <sheetViews>
    <sheetView tabSelected="1" workbookViewId="0">
      <selection sqref="A1:Q6"/>
    </sheetView>
  </sheetViews>
  <sheetFormatPr defaultRowHeight="14.4" x14ac:dyDescent="0.3"/>
  <cols>
    <col min="1" max="1" width="11.33203125" bestFit="1" customWidth="1"/>
    <col min="2" max="2" width="16.6640625" style="1" bestFit="1" customWidth="1"/>
    <col min="3" max="3" width="11.77734375" style="1" bestFit="1" customWidth="1"/>
    <col min="4" max="4" width="15.109375" style="1" bestFit="1" customWidth="1"/>
    <col min="5" max="5" width="16.33203125" style="1" bestFit="1" customWidth="1"/>
    <col min="6" max="6" width="20" style="1" customWidth="1"/>
    <col min="7" max="7" width="11.5546875" style="1" customWidth="1"/>
    <col min="8" max="8" width="13.33203125" style="1" bestFit="1" customWidth="1"/>
    <col min="9" max="9" width="13.5546875" style="1" bestFit="1" customWidth="1"/>
    <col min="10" max="10" width="13.33203125" style="1" bestFit="1" customWidth="1"/>
    <col min="11" max="11" width="3" style="1" customWidth="1"/>
    <col min="12" max="12" width="13.33203125" style="1" customWidth="1"/>
    <col min="13" max="13" width="17.5546875" style="1" customWidth="1"/>
    <col min="14" max="14" width="19" style="1" customWidth="1"/>
    <col min="15" max="15" width="2.77734375" style="1" customWidth="1"/>
    <col min="16" max="16" width="19.109375" style="1" bestFit="1" customWidth="1"/>
    <col min="17" max="17" width="16.109375" style="1" bestFit="1" customWidth="1"/>
    <col min="18" max="18" width="2.44140625" style="1" customWidth="1"/>
    <col min="19" max="19" width="25" style="1" customWidth="1"/>
    <col min="20" max="20" width="14.44140625" style="1" bestFit="1" customWidth="1"/>
    <col min="21" max="21" width="3.33203125" style="1" customWidth="1"/>
    <col min="22" max="22" width="14.77734375" style="1" bestFit="1" customWidth="1"/>
    <col min="23" max="23" width="15.33203125" style="1" bestFit="1" customWidth="1"/>
  </cols>
  <sheetData>
    <row r="1" spans="1:23" x14ac:dyDescent="0.3">
      <c r="A1" s="2" t="s">
        <v>4</v>
      </c>
      <c r="B1" s="3" t="s">
        <v>5</v>
      </c>
      <c r="C1" s="4" t="s">
        <v>6</v>
      </c>
      <c r="D1" s="18" t="s">
        <v>7</v>
      </c>
      <c r="E1" s="19" t="s">
        <v>8</v>
      </c>
      <c r="F1" s="20" t="s">
        <v>9</v>
      </c>
      <c r="G1" s="31" t="s">
        <v>27</v>
      </c>
      <c r="H1" s="18" t="s">
        <v>11</v>
      </c>
      <c r="I1" s="19" t="s">
        <v>12</v>
      </c>
      <c r="J1" s="20" t="s">
        <v>13</v>
      </c>
      <c r="K1" s="31" t="s">
        <v>23</v>
      </c>
      <c r="L1" s="18" t="s">
        <v>10</v>
      </c>
      <c r="M1" s="19" t="s">
        <v>14</v>
      </c>
      <c r="N1" s="20" t="s">
        <v>15</v>
      </c>
      <c r="O1" s="31" t="s">
        <v>24</v>
      </c>
      <c r="P1" s="18" t="s">
        <v>16</v>
      </c>
      <c r="Q1" s="20" t="s">
        <v>17</v>
      </c>
      <c r="R1" s="31" t="s">
        <v>25</v>
      </c>
      <c r="S1" s="18" t="s">
        <v>18</v>
      </c>
      <c r="T1" s="20" t="s">
        <v>19</v>
      </c>
      <c r="U1" s="31" t="s">
        <v>26</v>
      </c>
      <c r="V1" s="18" t="s">
        <v>20</v>
      </c>
      <c r="W1" s="20" t="s">
        <v>21</v>
      </c>
    </row>
    <row r="2" spans="1:23" x14ac:dyDescent="0.3">
      <c r="A2" s="5" t="s">
        <v>0</v>
      </c>
      <c r="B2" s="6">
        <v>22</v>
      </c>
      <c r="C2" s="15">
        <v>855</v>
      </c>
      <c r="D2" s="21">
        <v>311</v>
      </c>
      <c r="E2" s="6">
        <v>504</v>
      </c>
      <c r="F2" s="22">
        <v>815</v>
      </c>
      <c r="G2" s="37">
        <f>Table1[[#This Row],[TOT_PTS]]-F3</f>
        <v>373</v>
      </c>
      <c r="H2" s="28">
        <v>0.94327272727272704</v>
      </c>
      <c r="I2" s="7">
        <v>0.35981818181818198</v>
      </c>
      <c r="J2" s="26">
        <v>0.58350000000000002</v>
      </c>
      <c r="K2" s="32"/>
      <c r="L2" s="21">
        <v>2057</v>
      </c>
      <c r="M2" s="7">
        <v>2.3909152790927699</v>
      </c>
      <c r="N2" s="26">
        <v>13.568181818181801</v>
      </c>
      <c r="O2" s="32"/>
      <c r="P2" s="28">
        <v>1.00435710419373</v>
      </c>
      <c r="Q2" s="26">
        <v>0.69544376729005297</v>
      </c>
      <c r="R2" s="32"/>
      <c r="S2" s="28">
        <v>0.24</v>
      </c>
      <c r="T2" s="26">
        <v>0.32818181818181802</v>
      </c>
      <c r="U2" s="32"/>
      <c r="V2" s="28">
        <v>0.24788252367796401</v>
      </c>
      <c r="W2" s="26">
        <v>0.45394027240497598</v>
      </c>
    </row>
    <row r="3" spans="1:23" x14ac:dyDescent="0.3">
      <c r="A3" s="5" t="s">
        <v>1</v>
      </c>
      <c r="B3" s="6">
        <v>22</v>
      </c>
      <c r="C3" s="15">
        <v>762</v>
      </c>
      <c r="D3" s="21">
        <v>150</v>
      </c>
      <c r="E3" s="6">
        <v>292</v>
      </c>
      <c r="F3" s="22">
        <v>442</v>
      </c>
      <c r="G3" s="37">
        <f>Table1[[#This Row],[TOT_PTS]]-F4</f>
        <v>-151</v>
      </c>
      <c r="H3" s="28">
        <v>0.52577272727272695</v>
      </c>
      <c r="I3" s="7">
        <v>0.172136363636364</v>
      </c>
      <c r="J3" s="26">
        <v>0.35377272727272702</v>
      </c>
      <c r="K3" s="32"/>
      <c r="L3" s="21">
        <v>1254</v>
      </c>
      <c r="M3" s="7">
        <v>1.5726429168184399</v>
      </c>
      <c r="N3" s="26">
        <v>9.4545454545454604</v>
      </c>
      <c r="O3" s="32"/>
      <c r="P3" s="28">
        <v>0.83968398364346797</v>
      </c>
      <c r="Q3" s="26">
        <v>0.95795394187612803</v>
      </c>
      <c r="R3" s="32"/>
      <c r="S3" s="28">
        <v>0.248181818181818</v>
      </c>
      <c r="T3" s="26">
        <v>0.35</v>
      </c>
      <c r="U3" s="32"/>
      <c r="V3" s="28">
        <v>4.5663040762201602E-2</v>
      </c>
      <c r="W3" s="26">
        <v>0.412827837842065</v>
      </c>
    </row>
    <row r="4" spans="1:23" x14ac:dyDescent="0.3">
      <c r="A4" s="5" t="s">
        <v>2</v>
      </c>
      <c r="B4" s="6">
        <v>22</v>
      </c>
      <c r="C4" s="15">
        <v>844</v>
      </c>
      <c r="D4" s="21">
        <v>183</v>
      </c>
      <c r="E4" s="6">
        <v>410</v>
      </c>
      <c r="F4" s="22">
        <v>593</v>
      </c>
      <c r="G4" s="37">
        <f>Table1[[#This Row],[TOT_PTS]]-F5</f>
        <v>-64</v>
      </c>
      <c r="H4" s="28">
        <v>0.70595454545454595</v>
      </c>
      <c r="I4" s="7">
        <v>0.214272727272727</v>
      </c>
      <c r="J4" s="26">
        <v>0.491863636363636</v>
      </c>
      <c r="K4" s="32"/>
      <c r="L4" s="21">
        <v>1737</v>
      </c>
      <c r="M4" s="7">
        <v>2.0479302800391199</v>
      </c>
      <c r="N4" s="26">
        <v>10.15</v>
      </c>
      <c r="O4" s="32"/>
      <c r="P4" s="28">
        <v>0.94410554421299697</v>
      </c>
      <c r="Q4" s="26">
        <v>0.88610854996414101</v>
      </c>
      <c r="R4" s="32"/>
      <c r="S4" s="28">
        <v>0.27090909090909099</v>
      </c>
      <c r="T4" s="26">
        <v>0.392272727272727</v>
      </c>
      <c r="U4" s="32"/>
      <c r="V4" s="28">
        <v>4.6801530092195898E-3</v>
      </c>
      <c r="W4" s="26">
        <v>0.46758141953391302</v>
      </c>
    </row>
    <row r="5" spans="1:23" ht="15" thickBot="1" x14ac:dyDescent="0.35">
      <c r="A5" s="8" t="s">
        <v>3</v>
      </c>
      <c r="B5" s="9">
        <v>21</v>
      </c>
      <c r="C5" s="16">
        <v>750</v>
      </c>
      <c r="D5" s="23">
        <v>256</v>
      </c>
      <c r="E5" s="9">
        <v>401</v>
      </c>
      <c r="F5" s="24">
        <v>657</v>
      </c>
      <c r="G5" s="38">
        <f>Table1[[#This Row],[TOT_PTS]]-F6</f>
        <v>30.25</v>
      </c>
      <c r="H5" s="29">
        <v>0.83804761904761904</v>
      </c>
      <c r="I5" s="10">
        <v>0.32057142857142901</v>
      </c>
      <c r="J5" s="27">
        <v>0.51738095238095205</v>
      </c>
      <c r="K5" s="33"/>
      <c r="L5" s="23">
        <v>2084</v>
      </c>
      <c r="M5" s="10">
        <v>2.7230003097676998</v>
      </c>
      <c r="N5" s="27">
        <v>11.230952380952401</v>
      </c>
      <c r="O5" s="33"/>
      <c r="P5" s="29">
        <v>1.0018159416433201</v>
      </c>
      <c r="Q5" s="27">
        <v>0.83823876933164798</v>
      </c>
      <c r="R5" s="33"/>
      <c r="S5" s="29">
        <v>0.26047619047618997</v>
      </c>
      <c r="T5" s="27">
        <v>0.36190476190476201</v>
      </c>
      <c r="U5" s="33"/>
      <c r="V5" s="29">
        <v>-1.29458607390745E-2</v>
      </c>
      <c r="W5" s="27">
        <v>0.37375645345163</v>
      </c>
    </row>
    <row r="6" spans="1:23" ht="15" thickBot="1" x14ac:dyDescent="0.35">
      <c r="A6" s="11" t="s">
        <v>22</v>
      </c>
      <c r="B6" s="12"/>
      <c r="C6" s="17">
        <f>AVERAGE(C2:C5)</f>
        <v>802.75</v>
      </c>
      <c r="D6" s="25">
        <f t="shared" ref="D6:W6" si="0">AVERAGE(D2:D5)</f>
        <v>225</v>
      </c>
      <c r="E6" s="35">
        <f t="shared" si="0"/>
        <v>401.75</v>
      </c>
      <c r="F6" s="36">
        <f t="shared" si="0"/>
        <v>626.75</v>
      </c>
      <c r="G6" s="39"/>
      <c r="H6" s="30">
        <f t="shared" si="0"/>
        <v>0.75326190476190469</v>
      </c>
      <c r="I6" s="13">
        <f t="shared" si="0"/>
        <v>0.26669967532467548</v>
      </c>
      <c r="J6" s="14">
        <f t="shared" si="0"/>
        <v>0.48662932900432876</v>
      </c>
      <c r="K6" s="34"/>
      <c r="L6" s="25">
        <f t="shared" si="0"/>
        <v>1783</v>
      </c>
      <c r="M6" s="13">
        <f t="shared" si="0"/>
        <v>2.1836221964295075</v>
      </c>
      <c r="N6" s="14">
        <f t="shared" si="0"/>
        <v>11.100919913419915</v>
      </c>
      <c r="O6" s="34"/>
      <c r="P6" s="30">
        <f t="shared" si="0"/>
        <v>0.94749064342337874</v>
      </c>
      <c r="Q6" s="14">
        <f t="shared" si="0"/>
        <v>0.84443625711549242</v>
      </c>
      <c r="R6" s="34"/>
      <c r="S6" s="30">
        <f t="shared" si="0"/>
        <v>0.25489177489177473</v>
      </c>
      <c r="T6" s="14">
        <f t="shared" si="0"/>
        <v>0.35808982683982671</v>
      </c>
      <c r="U6" s="34"/>
      <c r="V6" s="30">
        <f t="shared" si="0"/>
        <v>7.1319964177577674E-2</v>
      </c>
      <c r="W6" s="14">
        <f t="shared" si="0"/>
        <v>0.427026495808146</v>
      </c>
    </row>
  </sheetData>
  <conditionalFormatting sqref="C2:C6 D6:W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G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K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O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R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U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CF52-7BE9-4A02-815C-319E4EFB5E80}">
  <dimension ref="A1:C5"/>
  <sheetViews>
    <sheetView workbookViewId="0">
      <selection activeCell="K9" sqref="K9"/>
    </sheetView>
  </sheetViews>
  <sheetFormatPr defaultRowHeight="14.4" x14ac:dyDescent="0.3"/>
  <cols>
    <col min="1" max="1" width="11.33203125" bestFit="1" customWidth="1"/>
    <col min="2" max="2" width="19.77734375" customWidth="1"/>
    <col min="3" max="3" width="17" customWidth="1"/>
  </cols>
  <sheetData>
    <row r="1" spans="1:3" x14ac:dyDescent="0.3">
      <c r="A1" t="s">
        <v>4</v>
      </c>
      <c r="B1" t="s">
        <v>35</v>
      </c>
      <c r="C1" t="s">
        <v>36</v>
      </c>
    </row>
    <row r="2" spans="1:3" x14ac:dyDescent="0.3">
      <c r="A2" t="s">
        <v>1</v>
      </c>
      <c r="B2" s="40">
        <v>0.83968398364346797</v>
      </c>
      <c r="C2" s="40">
        <v>0.95795394187612803</v>
      </c>
    </row>
    <row r="3" spans="1:3" x14ac:dyDescent="0.3">
      <c r="A3" t="s">
        <v>2</v>
      </c>
      <c r="B3" s="40">
        <v>0.94410554421299697</v>
      </c>
      <c r="C3" s="40">
        <v>0.88610854996414101</v>
      </c>
    </row>
    <row r="4" spans="1:3" x14ac:dyDescent="0.3">
      <c r="A4" t="s">
        <v>3</v>
      </c>
      <c r="B4" s="40">
        <v>1.0018159416433201</v>
      </c>
      <c r="C4" s="40">
        <v>0.83823876933164798</v>
      </c>
    </row>
    <row r="5" spans="1:3" x14ac:dyDescent="0.3">
      <c r="A5" t="s">
        <v>0</v>
      </c>
      <c r="B5" s="40">
        <v>1.00435710419373</v>
      </c>
      <c r="C5" s="40">
        <v>0.69544376729005297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AB22-DA8C-4EF8-99FA-4663790DD384}">
  <dimension ref="A1:B5"/>
  <sheetViews>
    <sheetView workbookViewId="0">
      <selection activeCell="N9" sqref="N9"/>
    </sheetView>
  </sheetViews>
  <sheetFormatPr defaultRowHeight="14.4" x14ac:dyDescent="0.3"/>
  <cols>
    <col min="1" max="1" width="15.88671875" customWidth="1"/>
    <col min="2" max="2" width="19.77734375" style="1" bestFit="1" customWidth="1"/>
  </cols>
  <sheetData>
    <row r="1" spans="1:2" x14ac:dyDescent="0.3">
      <c r="A1" t="s">
        <v>4</v>
      </c>
      <c r="B1" s="1" t="s">
        <v>34</v>
      </c>
    </row>
    <row r="2" spans="1:2" x14ac:dyDescent="0.3">
      <c r="A2" t="s">
        <v>2</v>
      </c>
      <c r="B2" s="40">
        <v>0.392272727272727</v>
      </c>
    </row>
    <row r="3" spans="1:2" x14ac:dyDescent="0.3">
      <c r="A3" t="s">
        <v>3</v>
      </c>
      <c r="B3" s="40">
        <v>0.36190476190476201</v>
      </c>
    </row>
    <row r="4" spans="1:2" x14ac:dyDescent="0.3">
      <c r="A4" t="s">
        <v>1</v>
      </c>
      <c r="B4" s="40">
        <v>0.35</v>
      </c>
    </row>
    <row r="5" spans="1:2" x14ac:dyDescent="0.3">
      <c r="A5" t="s">
        <v>0</v>
      </c>
      <c r="B5" s="40">
        <v>0.32818181818181802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91F-F93D-4A89-B2CB-2B2D9D981D2F}">
  <dimension ref="A1:D5"/>
  <sheetViews>
    <sheetView workbookViewId="0">
      <selection sqref="A1:D5"/>
    </sheetView>
  </sheetViews>
  <sheetFormatPr defaultRowHeight="14.4" x14ac:dyDescent="0.3"/>
  <cols>
    <col min="1" max="1" width="11" customWidth="1"/>
    <col min="3" max="3" width="9.21875" customWidth="1"/>
    <col min="4" max="4" width="8.88671875" customWidth="1"/>
  </cols>
  <sheetData>
    <row r="1" spans="1:4" x14ac:dyDescent="0.3">
      <c r="A1" t="s">
        <v>4</v>
      </c>
      <c r="B1" t="s">
        <v>28</v>
      </c>
      <c r="C1" t="s">
        <v>29</v>
      </c>
      <c r="D1" t="s">
        <v>30</v>
      </c>
    </row>
    <row r="2" spans="1:4" x14ac:dyDescent="0.3">
      <c r="A2" t="s">
        <v>1</v>
      </c>
      <c r="B2">
        <v>150</v>
      </c>
      <c r="C2">
        <v>292</v>
      </c>
      <c r="D2">
        <v>442</v>
      </c>
    </row>
    <row r="3" spans="1:4" x14ac:dyDescent="0.3">
      <c r="A3" t="s">
        <v>2</v>
      </c>
      <c r="B3">
        <v>183</v>
      </c>
      <c r="C3">
        <v>410</v>
      </c>
      <c r="D3">
        <v>593</v>
      </c>
    </row>
    <row r="4" spans="1:4" x14ac:dyDescent="0.3">
      <c r="A4" t="s">
        <v>3</v>
      </c>
      <c r="B4">
        <v>256</v>
      </c>
      <c r="C4">
        <v>401</v>
      </c>
      <c r="D4">
        <v>657</v>
      </c>
    </row>
    <row r="5" spans="1:4" x14ac:dyDescent="0.3">
      <c r="A5" t="s">
        <v>0</v>
      </c>
      <c r="B5">
        <v>311</v>
      </c>
      <c r="C5">
        <v>504</v>
      </c>
      <c r="D5">
        <v>815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9F92-37AB-4B4A-8DC8-5EE961C4A31A}">
  <dimension ref="A1:B6"/>
  <sheetViews>
    <sheetView workbookViewId="0">
      <selection sqref="A1:B5"/>
    </sheetView>
  </sheetViews>
  <sheetFormatPr defaultRowHeight="14.4" x14ac:dyDescent="0.3"/>
  <cols>
    <col min="1" max="1" width="12.5546875" customWidth="1"/>
    <col min="2" max="2" width="12.44140625" customWidth="1"/>
  </cols>
  <sheetData>
    <row r="1" spans="1:2" x14ac:dyDescent="0.3">
      <c r="A1" t="s">
        <v>4</v>
      </c>
      <c r="B1" s="1" t="s">
        <v>31</v>
      </c>
    </row>
    <row r="2" spans="1:2" x14ac:dyDescent="0.3">
      <c r="A2" t="s">
        <v>0</v>
      </c>
      <c r="B2" s="40">
        <v>0.94327272727272704</v>
      </c>
    </row>
    <row r="3" spans="1:2" x14ac:dyDescent="0.3">
      <c r="A3" t="s">
        <v>1</v>
      </c>
      <c r="B3" s="40">
        <v>0.52577272727272695</v>
      </c>
    </row>
    <row r="4" spans="1:2" x14ac:dyDescent="0.3">
      <c r="A4" t="s">
        <v>2</v>
      </c>
      <c r="B4" s="40">
        <v>0.70595454545454595</v>
      </c>
    </row>
    <row r="5" spans="1:2" x14ac:dyDescent="0.3">
      <c r="A5" t="s">
        <v>3</v>
      </c>
      <c r="B5" s="40">
        <v>0.83804761904761904</v>
      </c>
    </row>
    <row r="6" spans="1:2" x14ac:dyDescent="0.3">
      <c r="A6" t="s">
        <v>22</v>
      </c>
      <c r="B6">
        <v>0.75326190476190469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4D0D-3BA0-4F5D-BE2C-D3FB89328DB0}">
  <dimension ref="A1:C5"/>
  <sheetViews>
    <sheetView workbookViewId="0">
      <selection activeCell="B11" sqref="B11"/>
    </sheetView>
  </sheetViews>
  <sheetFormatPr defaultRowHeight="14.4" x14ac:dyDescent="0.3"/>
  <cols>
    <col min="1" max="1" width="11" customWidth="1"/>
    <col min="2" max="2" width="13.109375" customWidth="1"/>
    <col min="3" max="3" width="14.33203125" customWidth="1"/>
  </cols>
  <sheetData>
    <row r="1" spans="1:3" x14ac:dyDescent="0.3">
      <c r="A1" t="s">
        <v>4</v>
      </c>
      <c r="B1" t="s">
        <v>32</v>
      </c>
      <c r="C1" t="s">
        <v>33</v>
      </c>
    </row>
    <row r="2" spans="1:3" x14ac:dyDescent="0.3">
      <c r="A2" t="s">
        <v>1</v>
      </c>
      <c r="B2" s="40">
        <v>1.5726429168184399</v>
      </c>
      <c r="C2" s="41">
        <v>9.4545454545454604</v>
      </c>
    </row>
    <row r="3" spans="1:3" x14ac:dyDescent="0.3">
      <c r="A3" t="s">
        <v>2</v>
      </c>
      <c r="B3" s="40">
        <v>2.0479302800391199</v>
      </c>
      <c r="C3" s="41">
        <v>10.15</v>
      </c>
    </row>
    <row r="4" spans="1:3" x14ac:dyDescent="0.3">
      <c r="A4" t="s">
        <v>3</v>
      </c>
      <c r="B4" s="40">
        <v>2.7230003097676998</v>
      </c>
      <c r="C4" s="41">
        <v>11.230952380952401</v>
      </c>
    </row>
    <row r="5" spans="1:3" x14ac:dyDescent="0.3">
      <c r="A5" t="s">
        <v>0</v>
      </c>
      <c r="B5" s="40">
        <v>2.3909152790927699</v>
      </c>
      <c r="C5" s="41">
        <v>13.568181818181801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olympic_country_summaries</vt:lpstr>
      <vt:lpstr>PHYSICAL_PLAY</vt:lpstr>
      <vt:lpstr>GIVES_TAKES</vt:lpstr>
      <vt:lpstr>TOT_PTS</vt:lpstr>
      <vt:lpstr>PG_PTS</vt:lpstr>
      <vt:lpstr>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2026-01-11T01:28:53Z</dcterms:created>
  <dcterms:modified xsi:type="dcterms:W3CDTF">2026-01-25T17:26:35Z</dcterms:modified>
</cp:coreProperties>
</file>