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2.xml" ContentType="application/vnd.openxmlformats-officedocument.spreadsheetml.pivotCacheDefinition+xml"/>
  <Override PartName="/xl/pivotCache/richPivotRecords2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1_Incoming_NHL_Prospects\Data\"/>
    </mc:Choice>
  </mc:AlternateContent>
  <xr:revisionPtr revIDLastSave="0" documentId="13_ncr:1_{93410D01-9B6C-4017-8D75-128477AEB97B}" xr6:coauthVersionLast="47" xr6:coauthVersionMax="47" xr10:uidLastSave="{00000000-0000-0000-0000-000000000000}"/>
  <bookViews>
    <workbookView xWindow="-108" yWindow="-108" windowWidth="30936" windowHeight="18696" activeTab="1" xr2:uid="{94354772-504C-4AA9-9298-D1FB12EF11CB}"/>
  </bookViews>
  <sheets>
    <sheet name="TOP_100_PROSPECTS" sheetId="3" r:id="rId1"/>
    <sheet name="TOP_QUARTILE" sheetId="11" r:id="rId2"/>
    <sheet name="PIVOT_TOP_QUART" sheetId="12" r:id="rId3"/>
    <sheet name="PIVOT_TABLE_TOP_100" sheetId="4" r:id="rId4"/>
    <sheet name="TOP_Q_BY_POS" sheetId="10" r:id="rId5"/>
    <sheet name="NATIONALITY" sheetId="7" r:id="rId6"/>
    <sheet name="LEAGUES" sheetId="5" r:id="rId7"/>
    <sheet name="POSITION" sheetId="6" r:id="rId8"/>
    <sheet name="NHLe_BY_COUNTRY" sheetId="9" r:id="rId9"/>
    <sheet name="NHLe_AND_PLAYER_TOT" sheetId="8" r:id="rId10"/>
  </sheets>
  <calcPr calcId="191029"/>
  <pivotCaches>
    <pivotCache cacheId="27" r:id="rId11"/>
    <pivotCache cacheId="3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6" i="3" l="1"/>
  <c r="P97" i="3"/>
  <c r="P98" i="3"/>
  <c r="P99" i="3"/>
  <c r="P100" i="3"/>
  <c r="Q11" i="3"/>
  <c r="C2" i="7"/>
  <c r="C3" i="7"/>
  <c r="C4" i="7"/>
  <c r="C5" i="7"/>
  <c r="C6" i="7"/>
  <c r="C7" i="7"/>
  <c r="C8" i="7"/>
  <c r="C9" i="7"/>
  <c r="C10" i="7"/>
  <c r="C11" i="7"/>
  <c r="C12" i="7"/>
  <c r="C13" i="7"/>
  <c r="N61" i="3"/>
  <c r="Q19" i="3"/>
  <c r="Q24" i="3"/>
  <c r="Q43" i="3"/>
  <c r="Q38" i="3"/>
  <c r="Q23" i="3"/>
  <c r="Q29" i="3"/>
  <c r="Q9" i="3"/>
  <c r="Q44" i="3"/>
  <c r="Q45" i="3"/>
  <c r="Q50" i="3"/>
  <c r="Q64" i="3"/>
  <c r="Q95" i="3"/>
  <c r="Q42" i="3"/>
  <c r="Q3" i="3"/>
  <c r="Q10" i="3"/>
  <c r="Q5" i="3"/>
  <c r="Q6" i="3"/>
  <c r="Q16" i="3"/>
  <c r="Q4" i="3"/>
  <c r="Q8" i="3"/>
  <c r="Q13" i="3"/>
  <c r="Q70" i="3"/>
  <c r="Q87" i="3"/>
  <c r="Q32" i="3"/>
  <c r="Q20" i="3"/>
  <c r="Q15" i="3"/>
  <c r="Q28" i="3"/>
  <c r="Q82" i="3"/>
  <c r="Q14" i="3"/>
  <c r="Q47" i="3"/>
  <c r="Q2" i="3"/>
  <c r="Q78" i="3"/>
  <c r="Q18" i="3"/>
  <c r="Q94" i="3"/>
  <c r="Q25" i="3"/>
  <c r="Q41" i="3"/>
  <c r="Q34" i="3"/>
  <c r="Q90" i="3"/>
  <c r="Q62" i="3"/>
  <c r="Q65" i="3"/>
  <c r="Q27" i="3"/>
  <c r="Q35" i="3"/>
  <c r="Q63" i="3"/>
  <c r="Q71" i="3"/>
  <c r="Q92" i="3"/>
  <c r="Q69" i="3"/>
  <c r="Q56" i="3"/>
  <c r="Q79" i="3"/>
  <c r="Q40" i="3"/>
  <c r="Q52" i="3"/>
  <c r="Q84" i="3"/>
  <c r="Q72" i="3"/>
  <c r="Q77" i="3"/>
  <c r="Q17" i="3"/>
  <c r="Q46" i="3"/>
  <c r="Q58" i="3"/>
  <c r="Q55" i="3"/>
  <c r="Q30" i="3"/>
  <c r="Q21" i="3"/>
  <c r="Q59" i="3"/>
  <c r="Q67" i="3"/>
  <c r="Q74" i="3"/>
  <c r="Q39" i="3"/>
  <c r="Q49" i="3"/>
  <c r="Q88" i="3"/>
  <c r="Q12" i="3"/>
  <c r="Q66" i="3"/>
  <c r="Q22" i="3"/>
  <c r="Q37" i="3"/>
  <c r="Q36" i="3"/>
  <c r="Q7" i="3"/>
  <c r="Q48" i="3"/>
  <c r="Q85" i="3"/>
  <c r="Q57" i="3"/>
  <c r="Q73" i="3"/>
  <c r="Q89" i="3"/>
  <c r="Q60" i="3"/>
  <c r="Q33" i="3"/>
  <c r="Q68" i="3"/>
  <c r="Q54" i="3"/>
  <c r="Q83" i="3"/>
  <c r="Q81" i="3"/>
  <c r="Q75" i="3"/>
  <c r="Q86" i="3"/>
  <c r="Q51" i="3"/>
  <c r="Q91" i="3"/>
  <c r="Q93" i="3"/>
  <c r="Q101" i="3"/>
  <c r="Q31" i="3"/>
  <c r="Q26" i="3"/>
  <c r="Q80" i="3"/>
  <c r="Q53" i="3"/>
  <c r="Q76" i="3"/>
  <c r="Q61" i="3"/>
  <c r="O19" i="3"/>
  <c r="P19" i="3" s="1"/>
  <c r="O24" i="3"/>
  <c r="P24" i="3" s="1"/>
  <c r="O43" i="3"/>
  <c r="P43" i="3" s="1"/>
  <c r="O38" i="3"/>
  <c r="P38" i="3" s="1"/>
  <c r="O23" i="3"/>
  <c r="P23" i="3" s="1"/>
  <c r="O29" i="3"/>
  <c r="P29" i="3" s="1"/>
  <c r="O9" i="3"/>
  <c r="P9" i="3" s="1"/>
  <c r="O44" i="3"/>
  <c r="P44" i="3" s="1"/>
  <c r="O45" i="3"/>
  <c r="P45" i="3" s="1"/>
  <c r="O50" i="3"/>
  <c r="P50" i="3" s="1"/>
  <c r="O64" i="3"/>
  <c r="P64" i="3" s="1"/>
  <c r="O95" i="3"/>
  <c r="P95" i="3" s="1"/>
  <c r="O42" i="3"/>
  <c r="P42" i="3" s="1"/>
  <c r="O3" i="3"/>
  <c r="P3" i="3" s="1"/>
  <c r="O10" i="3"/>
  <c r="P10" i="3" s="1"/>
  <c r="O5" i="3"/>
  <c r="P5" i="3" s="1"/>
  <c r="O11" i="3"/>
  <c r="P11" i="3" s="1"/>
  <c r="O6" i="3"/>
  <c r="P6" i="3" s="1"/>
  <c r="O16" i="3"/>
  <c r="P16" i="3" s="1"/>
  <c r="O4" i="3"/>
  <c r="P4" i="3" s="1"/>
  <c r="O8" i="3"/>
  <c r="P8" i="3" s="1"/>
  <c r="O13" i="3"/>
  <c r="P13" i="3" s="1"/>
  <c r="O70" i="3"/>
  <c r="P70" i="3" s="1"/>
  <c r="O87" i="3"/>
  <c r="P87" i="3" s="1"/>
  <c r="O32" i="3"/>
  <c r="P32" i="3" s="1"/>
  <c r="O20" i="3"/>
  <c r="P20" i="3" s="1"/>
  <c r="O15" i="3"/>
  <c r="P15" i="3" s="1"/>
  <c r="O28" i="3"/>
  <c r="P28" i="3" s="1"/>
  <c r="O82" i="3"/>
  <c r="P82" i="3" s="1"/>
  <c r="O14" i="3"/>
  <c r="P14" i="3" s="1"/>
  <c r="O47" i="3"/>
  <c r="P47" i="3" s="1"/>
  <c r="O2" i="3"/>
  <c r="P2" i="3" s="1"/>
  <c r="O78" i="3"/>
  <c r="P78" i="3" s="1"/>
  <c r="O18" i="3"/>
  <c r="P18" i="3" s="1"/>
  <c r="O94" i="3"/>
  <c r="P94" i="3" s="1"/>
  <c r="O25" i="3"/>
  <c r="P25" i="3" s="1"/>
  <c r="O41" i="3"/>
  <c r="P41" i="3" s="1"/>
  <c r="O34" i="3"/>
  <c r="P34" i="3" s="1"/>
  <c r="O90" i="3"/>
  <c r="P90" i="3" s="1"/>
  <c r="O62" i="3"/>
  <c r="P62" i="3" s="1"/>
  <c r="O65" i="3"/>
  <c r="P65" i="3" s="1"/>
  <c r="O27" i="3"/>
  <c r="P27" i="3" s="1"/>
  <c r="O35" i="3"/>
  <c r="P35" i="3" s="1"/>
  <c r="O63" i="3"/>
  <c r="P63" i="3" s="1"/>
  <c r="O71" i="3"/>
  <c r="P71" i="3" s="1"/>
  <c r="O92" i="3"/>
  <c r="P92" i="3" s="1"/>
  <c r="O69" i="3"/>
  <c r="P69" i="3" s="1"/>
  <c r="O56" i="3"/>
  <c r="P56" i="3" s="1"/>
  <c r="O79" i="3"/>
  <c r="P79" i="3" s="1"/>
  <c r="O40" i="3"/>
  <c r="P40" i="3" s="1"/>
  <c r="O52" i="3"/>
  <c r="P52" i="3" s="1"/>
  <c r="O84" i="3"/>
  <c r="P84" i="3" s="1"/>
  <c r="O72" i="3"/>
  <c r="P72" i="3" s="1"/>
  <c r="O77" i="3"/>
  <c r="P77" i="3" s="1"/>
  <c r="O17" i="3"/>
  <c r="P17" i="3" s="1"/>
  <c r="O46" i="3"/>
  <c r="P46" i="3" s="1"/>
  <c r="O58" i="3"/>
  <c r="P58" i="3" s="1"/>
  <c r="O55" i="3"/>
  <c r="P55" i="3" s="1"/>
  <c r="O30" i="3"/>
  <c r="P30" i="3" s="1"/>
  <c r="O21" i="3"/>
  <c r="P21" i="3" s="1"/>
  <c r="O59" i="3"/>
  <c r="P59" i="3" s="1"/>
  <c r="O67" i="3"/>
  <c r="P67" i="3" s="1"/>
  <c r="O74" i="3"/>
  <c r="P74" i="3" s="1"/>
  <c r="O39" i="3"/>
  <c r="P39" i="3" s="1"/>
  <c r="O49" i="3"/>
  <c r="P49" i="3" s="1"/>
  <c r="O88" i="3"/>
  <c r="P88" i="3" s="1"/>
  <c r="O12" i="3"/>
  <c r="P12" i="3" s="1"/>
  <c r="O66" i="3"/>
  <c r="P66" i="3" s="1"/>
  <c r="O22" i="3"/>
  <c r="P22" i="3" s="1"/>
  <c r="O37" i="3"/>
  <c r="P37" i="3" s="1"/>
  <c r="O36" i="3"/>
  <c r="P36" i="3" s="1"/>
  <c r="O7" i="3"/>
  <c r="P7" i="3" s="1"/>
  <c r="O48" i="3"/>
  <c r="P48" i="3" s="1"/>
  <c r="O85" i="3"/>
  <c r="P85" i="3" s="1"/>
  <c r="O57" i="3"/>
  <c r="P57" i="3" s="1"/>
  <c r="O73" i="3"/>
  <c r="P73" i="3" s="1"/>
  <c r="O89" i="3"/>
  <c r="P89" i="3" s="1"/>
  <c r="O60" i="3"/>
  <c r="P60" i="3" s="1"/>
  <c r="O33" i="3"/>
  <c r="P33" i="3" s="1"/>
  <c r="O68" i="3"/>
  <c r="P68" i="3" s="1"/>
  <c r="O54" i="3"/>
  <c r="P54" i="3" s="1"/>
  <c r="O83" i="3"/>
  <c r="P83" i="3" s="1"/>
  <c r="O81" i="3"/>
  <c r="P81" i="3" s="1"/>
  <c r="O75" i="3"/>
  <c r="P75" i="3" s="1"/>
  <c r="O86" i="3"/>
  <c r="P86" i="3" s="1"/>
  <c r="O51" i="3"/>
  <c r="P51" i="3" s="1"/>
  <c r="O91" i="3"/>
  <c r="P91" i="3" s="1"/>
  <c r="O93" i="3"/>
  <c r="P93" i="3" s="1"/>
  <c r="O101" i="3"/>
  <c r="P101" i="3" s="1"/>
  <c r="O31" i="3"/>
  <c r="P31" i="3" s="1"/>
  <c r="O26" i="3"/>
  <c r="P26" i="3" s="1"/>
  <c r="O80" i="3"/>
  <c r="P80" i="3" s="1"/>
  <c r="O53" i="3"/>
  <c r="P53" i="3" s="1"/>
  <c r="O76" i="3"/>
  <c r="P76" i="3" s="1"/>
  <c r="O61" i="3"/>
  <c r="P61" i="3" s="1"/>
  <c r="N19" i="3"/>
  <c r="N24" i="3"/>
  <c r="N43" i="3"/>
  <c r="N38" i="3"/>
  <c r="N23" i="3"/>
  <c r="N29" i="3"/>
  <c r="N9" i="3"/>
  <c r="N44" i="3"/>
  <c r="N45" i="3"/>
  <c r="N50" i="3"/>
  <c r="N64" i="3"/>
  <c r="N95" i="3"/>
  <c r="N42" i="3"/>
  <c r="N3" i="3"/>
  <c r="N10" i="3"/>
  <c r="N5" i="3"/>
  <c r="N11" i="3"/>
  <c r="N6" i="3"/>
  <c r="N16" i="3"/>
  <c r="N4" i="3"/>
  <c r="N8" i="3"/>
  <c r="N13" i="3"/>
  <c r="N70" i="3"/>
  <c r="N87" i="3"/>
  <c r="N32" i="3"/>
  <c r="N20" i="3"/>
  <c r="N15" i="3"/>
  <c r="N28" i="3"/>
  <c r="N82" i="3"/>
  <c r="N14" i="3"/>
  <c r="N47" i="3"/>
  <c r="N2" i="3"/>
  <c r="N78" i="3"/>
  <c r="N18" i="3"/>
  <c r="N94" i="3"/>
  <c r="N25" i="3"/>
  <c r="N41" i="3"/>
  <c r="N34" i="3"/>
  <c r="N90" i="3"/>
  <c r="N62" i="3"/>
  <c r="N65" i="3"/>
  <c r="N27" i="3"/>
  <c r="N35" i="3"/>
  <c r="N63" i="3"/>
  <c r="N71" i="3"/>
  <c r="N92" i="3"/>
  <c r="N69" i="3"/>
  <c r="N56" i="3"/>
  <c r="N79" i="3"/>
  <c r="N40" i="3"/>
  <c r="N52" i="3"/>
  <c r="N84" i="3"/>
  <c r="N72" i="3"/>
  <c r="N77" i="3"/>
  <c r="N17" i="3"/>
  <c r="N46" i="3"/>
  <c r="N58" i="3"/>
  <c r="N55" i="3"/>
  <c r="N30" i="3"/>
  <c r="N21" i="3"/>
  <c r="N59" i="3"/>
  <c r="N67" i="3"/>
  <c r="N74" i="3"/>
  <c r="N39" i="3"/>
  <c r="N49" i="3"/>
  <c r="N88" i="3"/>
  <c r="N12" i="3"/>
  <c r="N66" i="3"/>
  <c r="N22" i="3"/>
  <c r="N37" i="3"/>
  <c r="N36" i="3"/>
  <c r="N7" i="3"/>
  <c r="N48" i="3"/>
  <c r="N85" i="3"/>
  <c r="N57" i="3"/>
  <c r="N73" i="3"/>
  <c r="N89" i="3"/>
  <c r="N60" i="3"/>
  <c r="N33" i="3"/>
  <c r="N68" i="3"/>
  <c r="N54" i="3"/>
  <c r="N83" i="3"/>
  <c r="N81" i="3"/>
  <c r="N75" i="3"/>
  <c r="N86" i="3"/>
  <c r="N51" i="3"/>
  <c r="N91" i="3"/>
  <c r="N93" i="3"/>
  <c r="N101" i="3"/>
  <c r="N31" i="3"/>
  <c r="N26" i="3"/>
  <c r="N80" i="3"/>
  <c r="N53" i="3"/>
  <c r="N76" i="3"/>
  <c r="M19" i="3"/>
  <c r="M24" i="3"/>
  <c r="M43" i="3"/>
  <c r="M38" i="3"/>
  <c r="M23" i="3"/>
  <c r="M29" i="3"/>
  <c r="M9" i="3"/>
  <c r="M44" i="3"/>
  <c r="M45" i="3"/>
  <c r="M50" i="3"/>
  <c r="M64" i="3"/>
  <c r="M95" i="3"/>
  <c r="M42" i="3"/>
  <c r="M3" i="3"/>
  <c r="M10" i="3"/>
  <c r="M5" i="3"/>
  <c r="M11" i="3"/>
  <c r="M6" i="3"/>
  <c r="M16" i="3"/>
  <c r="M4" i="3"/>
  <c r="M8" i="3"/>
  <c r="M13" i="3"/>
  <c r="M70" i="3"/>
  <c r="M87" i="3"/>
  <c r="M32" i="3"/>
  <c r="M20" i="3"/>
  <c r="M15" i="3"/>
  <c r="M28" i="3"/>
  <c r="M82" i="3"/>
  <c r="M14" i="3"/>
  <c r="M47" i="3"/>
  <c r="M2" i="3"/>
  <c r="M78" i="3"/>
  <c r="M18" i="3"/>
  <c r="M94" i="3"/>
  <c r="M25" i="3"/>
  <c r="M41" i="3"/>
  <c r="M34" i="3"/>
  <c r="M90" i="3"/>
  <c r="M62" i="3"/>
  <c r="M65" i="3"/>
  <c r="M27" i="3"/>
  <c r="M35" i="3"/>
  <c r="M63" i="3"/>
  <c r="M71" i="3"/>
  <c r="M92" i="3"/>
  <c r="M69" i="3"/>
  <c r="M56" i="3"/>
  <c r="M79" i="3"/>
  <c r="M40" i="3"/>
  <c r="M52" i="3"/>
  <c r="M84" i="3"/>
  <c r="M72" i="3"/>
  <c r="M77" i="3"/>
  <c r="M17" i="3"/>
  <c r="M46" i="3"/>
  <c r="M58" i="3"/>
  <c r="M55" i="3"/>
  <c r="M30" i="3"/>
  <c r="M21" i="3"/>
  <c r="M59" i="3"/>
  <c r="M67" i="3"/>
  <c r="M74" i="3"/>
  <c r="M39" i="3"/>
  <c r="M49" i="3"/>
  <c r="M88" i="3"/>
  <c r="M12" i="3"/>
  <c r="M66" i="3"/>
  <c r="M22" i="3"/>
  <c r="M37" i="3"/>
  <c r="M36" i="3"/>
  <c r="M7" i="3"/>
  <c r="M48" i="3"/>
  <c r="M85" i="3"/>
  <c r="M57" i="3"/>
  <c r="M73" i="3"/>
  <c r="M89" i="3"/>
  <c r="M60" i="3"/>
  <c r="M33" i="3"/>
  <c r="M68" i="3"/>
  <c r="M54" i="3"/>
  <c r="M83" i="3"/>
  <c r="M81" i="3"/>
  <c r="M75" i="3"/>
  <c r="M86" i="3"/>
  <c r="M51" i="3"/>
  <c r="M91" i="3"/>
  <c r="M93" i="3"/>
  <c r="M101" i="3"/>
  <c r="M31" i="3"/>
  <c r="M26" i="3"/>
  <c r="M80" i="3"/>
  <c r="M53" i="3"/>
  <c r="M76" i="3"/>
  <c r="M61" i="3"/>
  <c r="AA5" i="3" l="1"/>
  <c r="AA2" i="3"/>
  <c r="R88" i="3" s="1"/>
  <c r="AA3" i="3"/>
  <c r="AA4" i="3"/>
  <c r="R43" i="3" s="1"/>
  <c r="R38" i="3" l="1"/>
  <c r="R78" i="3"/>
  <c r="R49" i="3"/>
  <c r="R69" i="3"/>
  <c r="R12" i="3"/>
  <c r="R19" i="3"/>
  <c r="R24" i="3"/>
  <c r="R71" i="3"/>
  <c r="R10" i="3"/>
  <c r="R42" i="3"/>
  <c r="R75" i="3"/>
  <c r="R80" i="3"/>
  <c r="R92" i="3"/>
  <c r="R56" i="3"/>
  <c r="R59" i="3"/>
  <c r="R30" i="3"/>
  <c r="R98" i="3"/>
  <c r="R11" i="3"/>
  <c r="R77" i="3"/>
  <c r="R15" i="3"/>
  <c r="R16" i="3"/>
  <c r="R79" i="3"/>
  <c r="R17" i="3"/>
  <c r="R86" i="3"/>
  <c r="R55" i="3"/>
  <c r="R93" i="3"/>
  <c r="R58" i="3"/>
  <c r="R29" i="3"/>
  <c r="R32" i="3"/>
  <c r="R34" i="3"/>
  <c r="R81" i="3"/>
  <c r="R21" i="3"/>
  <c r="R83" i="3"/>
  <c r="R52" i="3"/>
  <c r="R84" i="3"/>
  <c r="R54" i="3"/>
  <c r="R87" i="3"/>
  <c r="R91" i="3"/>
  <c r="R4" i="3"/>
  <c r="R61" i="3"/>
  <c r="R31" i="3"/>
  <c r="R96" i="3"/>
  <c r="R65" i="3"/>
  <c r="R51" i="3"/>
  <c r="R53" i="3"/>
  <c r="R89" i="3"/>
  <c r="R26" i="3"/>
  <c r="R60" i="3"/>
  <c r="R18" i="3"/>
  <c r="R94" i="3"/>
  <c r="R33" i="3"/>
  <c r="R28" i="3"/>
  <c r="R97" i="3"/>
  <c r="R66" i="3"/>
  <c r="R25" i="3"/>
  <c r="R2" i="3"/>
  <c r="R23" i="3"/>
  <c r="R41" i="3"/>
  <c r="R5" i="3"/>
  <c r="R22" i="3"/>
  <c r="R68" i="3"/>
  <c r="R37" i="3"/>
  <c r="R6" i="3"/>
  <c r="R9" i="3"/>
  <c r="R40" i="3"/>
  <c r="R90" i="3"/>
  <c r="R99" i="3"/>
  <c r="R36" i="3"/>
  <c r="R100" i="3"/>
  <c r="R44" i="3"/>
  <c r="R8" i="3"/>
  <c r="R62" i="3"/>
  <c r="R72" i="3"/>
  <c r="R7" i="3"/>
  <c r="R13" i="3"/>
  <c r="R45" i="3"/>
  <c r="R70" i="3"/>
  <c r="R48" i="3"/>
  <c r="R46" i="3"/>
  <c r="R50" i="3"/>
  <c r="R101" i="3"/>
  <c r="R27" i="3"/>
  <c r="R20" i="3"/>
  <c r="R85" i="3"/>
  <c r="R82" i="3"/>
  <c r="R64" i="3"/>
  <c r="R14" i="3"/>
  <c r="R35" i="3"/>
  <c r="R67" i="3"/>
  <c r="R57" i="3"/>
  <c r="R76" i="3"/>
  <c r="R95" i="3"/>
  <c r="R47" i="3"/>
  <c r="R63" i="3"/>
  <c r="R74" i="3"/>
  <c r="R73" i="3"/>
  <c r="R39" i="3"/>
  <c r="R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<sst xmlns="http://schemas.openxmlformats.org/spreadsheetml/2006/main" count="1115" uniqueCount="261">
  <si>
    <t>Örebro HK U20</t>
  </si>
  <si>
    <t>U20 Nationell</t>
  </si>
  <si>
    <t>-</t>
  </si>
  <si>
    <t>Windsor Spitfires</t>
  </si>
  <si>
    <t>OHL</t>
  </si>
  <si>
    <t>U.S. National U18 Team</t>
  </si>
  <si>
    <t>NTDP</t>
  </si>
  <si>
    <t>Djurgårdens IF</t>
  </si>
  <si>
    <t>SHL</t>
  </si>
  <si>
    <t>Prince George Cougars</t>
  </si>
  <si>
    <t>WHL</t>
  </si>
  <si>
    <t>HK Nitra</t>
  </si>
  <si>
    <t>Slovakia</t>
  </si>
  <si>
    <t>London Knights</t>
  </si>
  <si>
    <t>Sarnia Sting</t>
  </si>
  <si>
    <t>HV71 U20</t>
  </si>
  <si>
    <t>MoDo Hockey</t>
  </si>
  <si>
    <t>HockeyAllsvenskan</t>
  </si>
  <si>
    <t>Youngstown Phantoms</t>
  </si>
  <si>
    <t>USHL</t>
  </si>
  <si>
    <t>Kamloops Blazers</t>
  </si>
  <si>
    <t>Saginaw Spirit</t>
  </si>
  <si>
    <t>Muskegon Lumberjacks</t>
  </si>
  <si>
    <t>Vancouver Giants</t>
  </si>
  <si>
    <t>Brantford Bulldogs</t>
  </si>
  <si>
    <t>Owen Sound Attack</t>
  </si>
  <si>
    <t>Penn State Univ.</t>
  </si>
  <si>
    <t>NCAA</t>
  </si>
  <si>
    <t>Djurgårdens IF U20</t>
  </si>
  <si>
    <t>Peterborough Petes</t>
  </si>
  <si>
    <t>Brandon Wheat Kings</t>
  </si>
  <si>
    <t>Tappara</t>
  </si>
  <si>
    <t>Liiga</t>
  </si>
  <si>
    <t>Spokane Chiefs</t>
  </si>
  <si>
    <t>Soo Greyhounds</t>
  </si>
  <si>
    <t>Niagara IceDogs</t>
  </si>
  <si>
    <t>Prince Albert Raiders</t>
  </si>
  <si>
    <t>Victoriaville Tigres</t>
  </si>
  <si>
    <t>QMJHL</t>
  </si>
  <si>
    <t>Jukurit</t>
  </si>
  <si>
    <t>Frölunda HC</t>
  </si>
  <si>
    <t>Univ. of Michigan</t>
  </si>
  <si>
    <t>Univ. of North Dakota</t>
  </si>
  <si>
    <t>Blainville-Boisbriand Armada</t>
  </si>
  <si>
    <t>Saskatoon Blades</t>
  </si>
  <si>
    <t>Rimouski Océanic</t>
  </si>
  <si>
    <t>Pelicans U20</t>
  </si>
  <si>
    <t>U20 SM-sarja</t>
  </si>
  <si>
    <t>Calgary Hitmen</t>
  </si>
  <si>
    <t>Rögle BK U20</t>
  </si>
  <si>
    <t>Newfoundland Regiment</t>
  </si>
  <si>
    <t>Kelowna Rockets</t>
  </si>
  <si>
    <t>Loko-76 Yaroslavl</t>
  </si>
  <si>
    <t>MHL</t>
  </si>
  <si>
    <t>Brookline Whalers 18U AAA</t>
  </si>
  <si>
    <t>BEAST 18U</t>
  </si>
  <si>
    <t>Frölunda HC U20</t>
  </si>
  <si>
    <t>North Bay Battalion</t>
  </si>
  <si>
    <t>Saint John Sea Dogs</t>
  </si>
  <si>
    <t>Val-d'Or Foreurs</t>
  </si>
  <si>
    <t>Québec Remparts</t>
  </si>
  <si>
    <t>HC Davos U21</t>
  </si>
  <si>
    <t>Swiss U21-Elit</t>
  </si>
  <si>
    <t>Portland Winterhawks</t>
  </si>
  <si>
    <t>Belye Medvedi Chelyabinsk</t>
  </si>
  <si>
    <t>KooKoo U20</t>
  </si>
  <si>
    <t>Chaika Nizhny Novgorod</t>
  </si>
  <si>
    <t>Avto Yekaterinburg</t>
  </si>
  <si>
    <t>HK Dukla Trencin</t>
  </si>
  <si>
    <t>Green Bay Gamblers</t>
  </si>
  <si>
    <t>Red Deer Rebels</t>
  </si>
  <si>
    <t>Finland U18 (all)</t>
  </si>
  <si>
    <t>International-Jr</t>
  </si>
  <si>
    <t>Linköping HC U20</t>
  </si>
  <si>
    <t>Luleå HF</t>
  </si>
  <si>
    <t>Edmonton Oil Kings</t>
  </si>
  <si>
    <t>Genève-Servette HC</t>
  </si>
  <si>
    <t>NL</t>
  </si>
  <si>
    <t>MHK Spartak Moskva</t>
  </si>
  <si>
    <t>Växjö Lakers HC U20</t>
  </si>
  <si>
    <t>Luleå HF U20</t>
  </si>
  <si>
    <t>Wenatchee Wild</t>
  </si>
  <si>
    <t>Guelph Storm</t>
  </si>
  <si>
    <t>Penticton Vees</t>
  </si>
  <si>
    <t>Akademiya SKA St. Petersburg</t>
  </si>
  <si>
    <t>Tappara U20</t>
  </si>
  <si>
    <t>Sherbrooke Phoenix</t>
  </si>
  <si>
    <t>MoDo Hockey U20</t>
  </si>
  <si>
    <t>Swift Current Broncos</t>
  </si>
  <si>
    <t>Arizona State Univ.</t>
  </si>
  <si>
    <t>Ottawa 67's</t>
  </si>
  <si>
    <t>Halifax Mooseheads</t>
  </si>
  <si>
    <t>Madison Capitols</t>
  </si>
  <si>
    <t>HIFK U20</t>
  </si>
  <si>
    <t>Kiekko-Espoo U20</t>
  </si>
  <si>
    <t>Omskie Yastreby</t>
  </si>
  <si>
    <t>6'1"</t>
  </si>
  <si>
    <t>L</t>
  </si>
  <si>
    <t>6'5"</t>
  </si>
  <si>
    <t>5'10"</t>
  </si>
  <si>
    <t>R</t>
  </si>
  <si>
    <t>6'2"</t>
  </si>
  <si>
    <t>5'11"</t>
  </si>
  <si>
    <t>6'4"</t>
  </si>
  <si>
    <t>6'0"</t>
  </si>
  <si>
    <t>6'3"</t>
  </si>
  <si>
    <t>5'8"</t>
  </si>
  <si>
    <t>Latvia</t>
  </si>
  <si>
    <t>NATIONALITY</t>
  </si>
  <si>
    <t>NAME</t>
  </si>
  <si>
    <t>POSITION</t>
  </si>
  <si>
    <t>TEAM</t>
  </si>
  <si>
    <t>LEAGUE</t>
  </si>
  <si>
    <t>GP</t>
  </si>
  <si>
    <t>G</t>
  </si>
  <si>
    <t>A</t>
  </si>
  <si>
    <t>PTS</t>
  </si>
  <si>
    <t>PIM</t>
  </si>
  <si>
    <t>DOB</t>
  </si>
  <si>
    <t>HEIGHT</t>
  </si>
  <si>
    <t>WEIGHT</t>
  </si>
  <si>
    <t>SHOOTS</t>
  </si>
  <si>
    <t>F</t>
  </si>
  <si>
    <t>D</t>
  </si>
  <si>
    <t>Niklas Aaram-Olsen </t>
  </si>
  <si>
    <t>Ethan Belchetz </t>
  </si>
  <si>
    <t>Mikey Berchild </t>
  </si>
  <si>
    <t>Viggo Björck </t>
  </si>
  <si>
    <t>Carson Carels</t>
  </si>
  <si>
    <t>Tomas Chrenko</t>
  </si>
  <si>
    <t>Alexander Command </t>
  </si>
  <si>
    <t>Alessandro Di Iorio </t>
  </si>
  <si>
    <t>Beckham Edwards </t>
  </si>
  <si>
    <t>Jack Hextall </t>
  </si>
  <si>
    <t>Tynan Lawrence </t>
  </si>
  <si>
    <t>Caleb Malhotra </t>
  </si>
  <si>
    <t>Ryan Roobroeck </t>
  </si>
  <si>
    <t>Yegor Shilov </t>
  </si>
  <si>
    <t>Oliver Suvanto </t>
  </si>
  <si>
    <t>Louis-François Bélanger </t>
  </si>
  <si>
    <t>Rudolfs Berzkalns </t>
  </si>
  <si>
    <t>Dayne Beuker </t>
  </si>
  <si>
    <t>Ryder Cali </t>
  </si>
  <si>
    <t>Maddox Dagenais </t>
  </si>
  <si>
    <t>Liam Dubé </t>
  </si>
  <si>
    <t>Colin Fitzgerald </t>
  </si>
  <si>
    <t>Viktor Fyodorov </t>
  </si>
  <si>
    <t>Lavr Gashilov </t>
  </si>
  <si>
    <t>Oscar Holmertz </t>
  </si>
  <si>
    <t>Max Isaksson </t>
  </si>
  <si>
    <t>Noah Kosick </t>
  </si>
  <si>
    <t>Roman Laman </t>
  </si>
  <si>
    <t>Jaxon Cover </t>
  </si>
  <si>
    <t>Pierce Mbuyi </t>
  </si>
  <si>
    <t>Gavin McKenna </t>
  </si>
  <si>
    <t>Raphael Achermann </t>
  </si>
  <si>
    <t>Ryan Brown </t>
  </si>
  <si>
    <t>Torkel Jennersjö </t>
  </si>
  <si>
    <t>Martins Klaucans </t>
  </si>
  <si>
    <t>Oleg Kulebyakin </t>
  </si>
  <si>
    <t>Malte Gustafsson </t>
  </si>
  <si>
    <t>Ryan Lin </t>
  </si>
  <si>
    <t>Giorgos Pantelas </t>
  </si>
  <si>
    <t>Juho Piiparinen </t>
  </si>
  <si>
    <t>Chase Reid </t>
  </si>
  <si>
    <t>Daxon Rudolph </t>
  </si>
  <si>
    <t>Luke Schairer </t>
  </si>
  <si>
    <t>Alberts Smits </t>
  </si>
  <si>
    <t>Keaton Verhoeff </t>
  </si>
  <si>
    <t>Xavier Villeneuve </t>
  </si>
  <si>
    <t>Samu Alalauri </t>
  </si>
  <si>
    <t>Myles Brosnan </t>
  </si>
  <si>
    <t>Axel Brøngel-Larsson </t>
  </si>
  <si>
    <t>Cameron Chartrand </t>
  </si>
  <si>
    <t>Benjamin Cossette-Ayotte </t>
  </si>
  <si>
    <t>Callum Croskery </t>
  </si>
  <si>
    <t>Vladimír Dravecký </t>
  </si>
  <si>
    <t>Axel Elofsson </t>
  </si>
  <si>
    <t>Yaroslav Fedoseyev </t>
  </si>
  <si>
    <t>Adam Goljer </t>
  </si>
  <si>
    <t>William Håkansson </t>
  </si>
  <si>
    <t>Jiří Kamas </t>
  </si>
  <si>
    <t>Brayden Klimpke </t>
  </si>
  <si>
    <t>Theodor Knights </t>
  </si>
  <si>
    <t>Lincoln Kuehne </t>
  </si>
  <si>
    <t>Jet Kwajah </t>
  </si>
  <si>
    <t>Max Laatikainen </t>
  </si>
  <si>
    <t>J.P. Hurlbert </t>
  </si>
  <si>
    <t>Nikita Klepov </t>
  </si>
  <si>
    <t>Mathis Preston </t>
  </si>
  <si>
    <t>Adam Valentini </t>
  </si>
  <si>
    <t>Braidy Wassilyn </t>
  </si>
  <si>
    <t>Cooper Williams </t>
  </si>
  <si>
    <t>Landon Amrhein </t>
  </si>
  <si>
    <t>Riley Boychuk </t>
  </si>
  <si>
    <t>Wyatt Cullen </t>
  </si>
  <si>
    <t>Jordan Duguay </t>
  </si>
  <si>
    <t>Karlis Flugins </t>
  </si>
  <si>
    <t>Ivan Galiyanov </t>
  </si>
  <si>
    <t>Landon Hafele </t>
  </si>
  <si>
    <t>Beckett Hamilton </t>
  </si>
  <si>
    <t>Chase Harrington </t>
  </si>
  <si>
    <t>Oscar Hemming </t>
  </si>
  <si>
    <t>Joe Iginla </t>
  </si>
  <si>
    <t>Evan Jardine </t>
  </si>
  <si>
    <t>Caelan Joudrey </t>
  </si>
  <si>
    <t>Jasper Kuhta </t>
  </si>
  <si>
    <t>Viljo Kähkönen </t>
  </si>
  <si>
    <t>Harrison Boettiger </t>
  </si>
  <si>
    <t>Dmitri Borichev </t>
  </si>
  <si>
    <t>Zachary Jovanovski </t>
  </si>
  <si>
    <t>Matvei Karbainov </t>
  </si>
  <si>
    <t>Brady Knowling </t>
  </si>
  <si>
    <t>Marcus Nordmark </t>
  </si>
  <si>
    <t>Nils Bartholdsson </t>
  </si>
  <si>
    <t>Adam Novotny </t>
  </si>
  <si>
    <t>Ivar Stenberg </t>
  </si>
  <si>
    <t>Simon Katolicky </t>
  </si>
  <si>
    <t>Elton Hermansson </t>
  </si>
  <si>
    <t>Arseni Ilyin </t>
  </si>
  <si>
    <t>Ryder Carey </t>
  </si>
  <si>
    <t>A.J. Francisco </t>
  </si>
  <si>
    <t>Simas Ignatavicius </t>
  </si>
  <si>
    <t>Måns Josbrant</t>
  </si>
  <si>
    <t>Norway</t>
  </si>
  <si>
    <t>Canada</t>
  </si>
  <si>
    <t>USA</t>
  </si>
  <si>
    <t>Sweden</t>
  </si>
  <si>
    <t>Czechia</t>
  </si>
  <si>
    <t>Finland</t>
  </si>
  <si>
    <t>Russia</t>
  </si>
  <si>
    <t>Switzerland</t>
  </si>
  <si>
    <t>Lithuwania</t>
  </si>
  <si>
    <t>Belarus</t>
  </si>
  <si>
    <t>FLAG</t>
  </si>
  <si>
    <t>GPG</t>
  </si>
  <si>
    <t>APG</t>
  </si>
  <si>
    <t>PPG</t>
  </si>
  <si>
    <t>PIMPG</t>
  </si>
  <si>
    <t>Row Labels</t>
  </si>
  <si>
    <t>Grand Total</t>
  </si>
  <si>
    <t>Count of NAME</t>
  </si>
  <si>
    <t>AVG PPG</t>
  </si>
  <si>
    <t>PLAYER COUNT</t>
  </si>
  <si>
    <t>COUNT</t>
  </si>
  <si>
    <t>COUNTRY</t>
  </si>
  <si>
    <t>RELATIVE PCT</t>
  </si>
  <si>
    <t>NHLe SCORE</t>
  </si>
  <si>
    <t>ADJ_PPG</t>
  </si>
  <si>
    <t>Sum of NHLe SCORE</t>
  </si>
  <si>
    <t>AVG</t>
  </si>
  <si>
    <t>TOTAL PLAYERS</t>
  </si>
  <si>
    <t>Quartile</t>
  </si>
  <si>
    <t>Q1</t>
  </si>
  <si>
    <t>Q2</t>
  </si>
  <si>
    <t>Q3</t>
  </si>
  <si>
    <t>Q4</t>
  </si>
  <si>
    <t>Value</t>
  </si>
  <si>
    <t>ADJ_NHLe_QUART</t>
  </si>
  <si>
    <t>Column Labels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</si>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</sst>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0" fillId="0" borderId="1" xfId="0" applyFont="1" applyBorder="1"/>
    <xf numFmtId="0" fontId="0" fillId="0" borderId="0" xfId="0" applyNumberFormat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06/relationships/rdSupportingPropertyBagStructure" Target="richData/rdsupportingpropertybagstructur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Array" Target="richData/rdarray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NATIONALITY!$C$1</c:f>
              <c:strCache>
                <c:ptCount val="1"/>
                <c:pt idx="0">
                  <c:v>RELATIVE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NATIONALITY!$A$2:$A$13</c:f>
              <c:strCache>
                <c:ptCount val="12"/>
                <c:pt idx="0">
                  <c:v>Canada</c:v>
                </c:pt>
                <c:pt idx="1">
                  <c:v>USA</c:v>
                </c:pt>
                <c:pt idx="2">
                  <c:v>Sweden</c:v>
                </c:pt>
                <c:pt idx="3">
                  <c:v>Russia</c:v>
                </c:pt>
                <c:pt idx="4">
                  <c:v>Finland</c:v>
                </c:pt>
                <c:pt idx="5">
                  <c:v>Czechia</c:v>
                </c:pt>
                <c:pt idx="6">
                  <c:v>Latvia</c:v>
                </c:pt>
                <c:pt idx="7">
                  <c:v>Slovakia</c:v>
                </c:pt>
                <c:pt idx="8">
                  <c:v>Belarus</c:v>
                </c:pt>
                <c:pt idx="9">
                  <c:v>Lithuwania</c:v>
                </c:pt>
                <c:pt idx="10">
                  <c:v>Norway</c:v>
                </c:pt>
                <c:pt idx="11">
                  <c:v>Switzerland</c:v>
                </c:pt>
              </c:strCache>
            </c:strRef>
          </c:cat>
          <c:val>
            <c:numRef>
              <c:f>NATIONALITY!$C$2:$C$13</c:f>
              <c:numCache>
                <c:formatCode>0%</c:formatCode>
                <c:ptCount val="12"/>
                <c:pt idx="0">
                  <c:v>0.4</c:v>
                </c:pt>
                <c:pt idx="1">
                  <c:v>0.16</c:v>
                </c:pt>
                <c:pt idx="2">
                  <c:v>0.15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0.04</c:v>
                </c:pt>
                <c:pt idx="6">
                  <c:v>0.04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C-46D1-A91C-DDD13B5D4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76506063"/>
        <c:axId val="876503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NATIONALITY!$B$1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NATIONALITY!$A$2:$A$13</c15:sqref>
                        </c15:formulaRef>
                      </c:ext>
                    </c:extLst>
                    <c:strCache>
                      <c:ptCount val="12"/>
                      <c:pt idx="0">
                        <c:v>Canada</c:v>
                      </c:pt>
                      <c:pt idx="1">
                        <c:v>USA</c:v>
                      </c:pt>
                      <c:pt idx="2">
                        <c:v>Sweden</c:v>
                      </c:pt>
                      <c:pt idx="3">
                        <c:v>Russia</c:v>
                      </c:pt>
                      <c:pt idx="4">
                        <c:v>Finland</c:v>
                      </c:pt>
                      <c:pt idx="5">
                        <c:v>Czechia</c:v>
                      </c:pt>
                      <c:pt idx="6">
                        <c:v>Latvia</c:v>
                      </c:pt>
                      <c:pt idx="7">
                        <c:v>Slovakia</c:v>
                      </c:pt>
                      <c:pt idx="8">
                        <c:v>Belarus</c:v>
                      </c:pt>
                      <c:pt idx="9">
                        <c:v>Lithuwania</c:v>
                      </c:pt>
                      <c:pt idx="10">
                        <c:v>Norway</c:v>
                      </c:pt>
                      <c:pt idx="11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NATIONALITY!$B$2:$B$13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16</c:v>
                      </c:pt>
                      <c:pt idx="2">
                        <c:v>15</c:v>
                      </c:pt>
                      <c:pt idx="3">
                        <c:v>8</c:v>
                      </c:pt>
                      <c:pt idx="4">
                        <c:v>7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86C-46D1-A91C-DDD13B5D411A}"/>
                  </c:ext>
                </c:extLst>
              </c15:ser>
            </c15:filteredBarSeries>
          </c:ext>
        </c:extLst>
      </c:barChart>
      <c:catAx>
        <c:axId val="8765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876503183"/>
        <c:crosses val="autoZero"/>
        <c:auto val="1"/>
        <c:lblAlgn val="ctr"/>
        <c:lblOffset val="100"/>
        <c:noMultiLvlLbl val="0"/>
      </c:catAx>
      <c:valAx>
        <c:axId val="87650318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7650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LEAGUES!$B$1</c:f>
              <c:strCache>
                <c:ptCount val="1"/>
                <c:pt idx="0">
                  <c:v>AVG PPG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LEAGUES!$A$2:$A$18</c:f>
              <c:strCache>
                <c:ptCount val="17"/>
                <c:pt idx="0">
                  <c:v>NL</c:v>
                </c:pt>
                <c:pt idx="1">
                  <c:v>HockeyAllsvenskan</c:v>
                </c:pt>
                <c:pt idx="2">
                  <c:v>BEAST 18U</c:v>
                </c:pt>
                <c:pt idx="3">
                  <c:v>Swiss U21-Elit</c:v>
                </c:pt>
                <c:pt idx="4">
                  <c:v>International-Jr</c:v>
                </c:pt>
                <c:pt idx="5">
                  <c:v>Slovakia</c:v>
                </c:pt>
                <c:pt idx="6">
                  <c:v>Liiga</c:v>
                </c:pt>
                <c:pt idx="7">
                  <c:v>SHL</c:v>
                </c:pt>
                <c:pt idx="8">
                  <c:v>NCAA</c:v>
                </c:pt>
                <c:pt idx="9">
                  <c:v>U20 SM-sarja</c:v>
                </c:pt>
                <c:pt idx="10">
                  <c:v>NTDP</c:v>
                </c:pt>
                <c:pt idx="11">
                  <c:v>USHL</c:v>
                </c:pt>
                <c:pt idx="12">
                  <c:v>MHL</c:v>
                </c:pt>
                <c:pt idx="13">
                  <c:v>QMJHL</c:v>
                </c:pt>
                <c:pt idx="14">
                  <c:v>U20 Nationell</c:v>
                </c:pt>
                <c:pt idx="15">
                  <c:v>WHL</c:v>
                </c:pt>
                <c:pt idx="16">
                  <c:v>OHL</c:v>
                </c:pt>
              </c:strCache>
            </c:strRef>
          </c:cat>
          <c:val>
            <c:numRef>
              <c:f>LEAGUES!$B$2:$B$18</c:f>
              <c:numCache>
                <c:formatCode>0.000</c:formatCode>
                <c:ptCount val="17"/>
                <c:pt idx="0">
                  <c:v>0.22857142857142856</c:v>
                </c:pt>
                <c:pt idx="1">
                  <c:v>0.55555555555555558</c:v>
                </c:pt>
                <c:pt idx="2">
                  <c:v>0.66666666666666663</c:v>
                </c:pt>
                <c:pt idx="3">
                  <c:v>0.8125</c:v>
                </c:pt>
                <c:pt idx="4">
                  <c:v>1.1666666666666667</c:v>
                </c:pt>
                <c:pt idx="5">
                  <c:v>0.4878917378917379</c:v>
                </c:pt>
                <c:pt idx="6">
                  <c:v>0.25417035072207489</c:v>
                </c:pt>
                <c:pt idx="7">
                  <c:v>0.46141414141414133</c:v>
                </c:pt>
                <c:pt idx="8">
                  <c:v>0.66562500000000002</c:v>
                </c:pt>
                <c:pt idx="9">
                  <c:v>0.60202564102564105</c:v>
                </c:pt>
                <c:pt idx="10">
                  <c:v>0.52442297369833601</c:v>
                </c:pt>
                <c:pt idx="11">
                  <c:v>0.89329875706687289</c:v>
                </c:pt>
                <c:pt idx="12">
                  <c:v>0.53705868711120819</c:v>
                </c:pt>
                <c:pt idx="13">
                  <c:v>0.70598309377296709</c:v>
                </c:pt>
                <c:pt idx="14">
                  <c:v>0.93659575718399235</c:v>
                </c:pt>
                <c:pt idx="15">
                  <c:v>0.81594187732114676</c:v>
                </c:pt>
                <c:pt idx="16">
                  <c:v>0.82240169160559462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698-9A87-BFEC3710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76518063"/>
        <c:axId val="876512783"/>
      </c:barChart>
      <c:catAx>
        <c:axId val="87651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12783"/>
        <c:crosses val="autoZero"/>
        <c:auto val="1"/>
        <c:lblAlgn val="ctr"/>
        <c:lblOffset val="100"/>
        <c:noMultiLvlLbl val="0"/>
      </c:catAx>
      <c:valAx>
        <c:axId val="876512783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167640</xdr:rowOff>
    </xdr:from>
    <xdr:to>
      <xdr:col>14</xdr:col>
      <xdr:colOff>236220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27918-02D8-5B67-79B7-CE33CA0AB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0</xdr:row>
      <xdr:rowOff>137160</xdr:rowOff>
    </xdr:from>
    <xdr:to>
      <xdr:col>12</xdr:col>
      <xdr:colOff>7620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40DD9-27C0-6181-047E-ECAC94905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teven Fox" refreshedDate="46017.761429398146" createdVersion="8" refreshedVersion="8" minRefreshableVersion="3" recordCount="100" xr:uid="{7A0CEEB8-07AF-4F12-A50C-F11B2316BDF5}">
  <cacheSource type="worksheet">
    <worksheetSource name="Table1"/>
  </cacheSource>
  <cacheFields count="22">
    <cacheField name="FLAG" numFmtId="0">
      <sharedItems/>
    </cacheField>
    <cacheField name="NATIONALITY" numFmtId="0">
      <sharedItems count="12">
        <s v="Sweden"/>
        <s v="USA"/>
        <s v="Canada"/>
        <s v="Finland"/>
        <s v="Russia"/>
        <s v="Czechia"/>
        <s v="Norway"/>
        <s v="Slovakia"/>
        <s v="Latvia"/>
        <s v="Belarus"/>
        <s v="Lithuwania"/>
        <s v="Switzerland"/>
      </sharedItems>
    </cacheField>
    <cacheField name="NAME" numFmtId="0">
      <sharedItems count="100">
        <s v="Ivar Stenberg "/>
        <s v="J.P. Hurlbert "/>
        <s v="Tynan Lawrence "/>
        <s v="Caleb Malhotra "/>
        <s v="Oscar Hemming "/>
        <s v="Marcus Nordmark "/>
        <s v="Alexander Command "/>
        <s v="Nikita Klepov "/>
        <s v="Ryan Lin "/>
        <s v="Lavr Gashilov "/>
        <s v="Adam Novotny "/>
        <s v="Yegor Shilov "/>
        <s v="Ryan Roobroeck "/>
        <s v="Pierce Mbuyi "/>
        <s v="Wyatt Cullen "/>
        <s v="Niklas Aaram-Olsen "/>
        <s v="Chase Reid "/>
        <s v="Axel Elofsson "/>
        <s v="Landon Hafele "/>
        <s v="Carson Carels"/>
        <s v="Ethan Belchetz "/>
        <s v="Riley Boychuk "/>
        <s v="Noah Kosick "/>
        <s v="Xavier Villeneuve "/>
        <s v="Oleg Kulebyakin "/>
        <s v="Nils Bartholdsson "/>
        <s v="Daxon Rudolph "/>
        <s v="Tomas Chrenko"/>
        <s v="Jordan Duguay "/>
        <s v="Jasper Kuhta "/>
        <s v="Mathis Preston "/>
        <s v="Evan Jardine "/>
        <s v="Cooper Williams "/>
        <s v="Louis-François Bélanger "/>
        <s v="Chase Harrington "/>
        <s v="Beckett Hamilton "/>
        <s v="Viggo Björck "/>
        <s v="A.J. Francisco "/>
        <s v="Ryder Cali "/>
        <s v="Braidy Wassilyn "/>
        <s v="Jack Hextall "/>
        <s v="Mikey Berchild "/>
        <s v="Jaxon Cover "/>
        <s v="Alessandro Di Iorio "/>
        <s v="Maddox Dagenais "/>
        <s v="Alberts Smits "/>
        <s v="Oscar Holmertz "/>
        <s v="Viktor Fyodorov "/>
        <s v="Beckham Edwards "/>
        <s v="Brayden Klimpke "/>
        <s v="Ryder Carey "/>
        <s v="Viljo Kähkönen "/>
        <s v="Måns Josbrant"/>
        <s v="Liam Dubé "/>
        <s v="Ryan Brown "/>
        <s v="Joe Iginla "/>
        <s v="Vladimír Dravecký "/>
        <s v="Yaroslav Fedoseyev "/>
        <s v="Max Isaksson "/>
        <s v="Roman Laman "/>
        <s v="Samu Alalauri "/>
        <s v="Rudolfs Berzkalns "/>
        <s v="Malte Gustafsson "/>
        <s v="Landon Amrhein "/>
        <s v="Adam Goljer "/>
        <s v="Colin Fitzgerald "/>
        <s v="Torkel Jennersjö "/>
        <s v="Myles Brosnan "/>
        <s v="Giorgos Pantelas "/>
        <s v="Dayne Beuker "/>
        <s v="Benjamin Cossette-Ayotte "/>
        <s v="Simas Ignatavicius "/>
        <s v="Karlis Flugins "/>
        <s v="Simon Katolicky "/>
        <s v="Max Laatikainen "/>
        <s v="Callum Croskery "/>
        <s v="Oliver Suvanto "/>
        <s v="Axel Brøngel-Larsson "/>
        <s v="Jet Kwajah "/>
        <s v="Jiří Kamas "/>
        <s v="Luke Schairer "/>
        <s v="Caelan Joudrey "/>
        <s v="Cameron Chartrand "/>
        <s v="William Håkansson "/>
        <s v="Martins Klaucans "/>
        <s v="Juho Piiparinen "/>
        <s v="Ivan Galiyanov "/>
        <s v="Arseni Ilyin "/>
        <s v="Raphael Achermann "/>
        <s v="Theodor Knights "/>
        <s v="Gavin McKenna "/>
        <s v="Adam Valentini "/>
        <s v="Keaton Verhoeff "/>
        <s v="Elton Hermansson "/>
        <s v="Harrison Boettiger "/>
        <s v="Dmitri Borichev "/>
        <s v="Zachary Jovanovski "/>
        <s v="Matvei Karbainov "/>
        <s v="Brady Knowling "/>
        <s v="Lincoln Kuehne "/>
      </sharedItems>
    </cacheField>
    <cacheField name="POSITION" numFmtId="0">
      <sharedItems count="3">
        <s v="F"/>
        <s v="D"/>
        <s v="G"/>
      </sharedItems>
    </cacheField>
    <cacheField name="TEAM" numFmtId="0">
      <sharedItems/>
    </cacheField>
    <cacheField name="LEAGUE" numFmtId="0">
      <sharedItems/>
    </cacheField>
    <cacheField name="NHLe SCORE" numFmtId="0">
      <sharedItems containsSemiMixedTypes="0" containsString="0" containsNumber="1" minValue="0.24" maxValue="0.78"/>
    </cacheField>
    <cacheField name="GP" numFmtId="0">
      <sharedItems containsSemiMixedTypes="0" containsString="0" containsNumber="1" containsInteger="1" minValue="3" maxValue="36"/>
    </cacheField>
    <cacheField name="G" numFmtId="0">
      <sharedItems containsMixedTypes="1" containsNumber="1" containsInteger="1" minValue="0" maxValue="22"/>
    </cacheField>
    <cacheField name="A" numFmtId="0">
      <sharedItems containsMixedTypes="1" containsNumber="1" containsInteger="1" minValue="0" maxValue="33"/>
    </cacheField>
    <cacheField name="PTS" numFmtId="0">
      <sharedItems containsMixedTypes="1" containsNumber="1" containsInteger="1" minValue="0" maxValue="55"/>
    </cacheField>
    <cacheField name="PIM" numFmtId="0">
      <sharedItems containsMixedTypes="1" containsNumber="1" containsInteger="1" minValue="0" maxValue="55"/>
    </cacheField>
    <cacheField name="GPG" numFmtId="164">
      <sharedItems containsSemiMixedTypes="0" containsString="0" containsNumber="1" minValue="0" maxValue="0.88888888888888884"/>
    </cacheField>
    <cacheField name="APG" numFmtId="164">
      <sharedItems containsSemiMixedTypes="0" containsString="0" containsNumber="1" minValue="0" maxValue="1.1000000000000001"/>
    </cacheField>
    <cacheField name="PPG" numFmtId="164">
      <sharedItems containsSemiMixedTypes="0" containsString="0" containsNumber="1" minValue="0" maxValue="1.6666666666666667"/>
    </cacheField>
    <cacheField name="ADJ_PPG" numFmtId="164">
      <sharedItems containsSemiMixedTypes="0" containsString="0" containsNumber="1" minValue="0" maxValue="0.74880000000000002"/>
    </cacheField>
    <cacheField name="PIMPG" numFmtId="164">
      <sharedItems containsSemiMixedTypes="0" containsString="0" containsNumber="1" minValue="0" maxValue="2.8461538461538463"/>
    </cacheField>
    <cacheField name="ADJ_NHLe_QUART" numFmtId="164">
      <sharedItems count="4">
        <s v="Q4"/>
        <s v="Q3"/>
        <s v="Q2"/>
        <s v="Q1"/>
      </sharedItems>
    </cacheField>
    <cacheField name="DOB" numFmtId="14">
      <sharedItems containsSemiMixedTypes="0" containsNonDate="0" containsDate="1" containsString="0" minDate="2006-10-27T00:00:00" maxDate="2008-09-14T00:00:00"/>
    </cacheField>
    <cacheField name="HEIGHT" numFmtId="0">
      <sharedItems/>
    </cacheField>
    <cacheField name="WEIGHT" numFmtId="0">
      <sharedItems containsSemiMixedTypes="0" containsString="0" containsNumber="1" containsInteger="1" minValue="157" maxValue="227"/>
    </cacheField>
    <cacheField name="SHOOTS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7A0CEEB8-07AF-4F12-A50C-F11B2316BDF5}" pivotIgnoreInvalidCache="1" r:id="rId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teven Fox" refreshedDate="46017.766146759262" createdVersion="8" refreshedVersion="8" minRefreshableVersion="3" recordCount="25" xr:uid="{D93195DD-BFEA-4E34-83B1-7DF864DE9219}">
  <cacheSource type="worksheet">
    <worksheetSource name="Table10"/>
  </cacheSource>
  <cacheFields count="22">
    <cacheField name="FLAG" numFmtId="0">
      <sharedItems/>
    </cacheField>
    <cacheField name="NATIONALITY" numFmtId="0">
      <sharedItems count="7">
        <s v="Sweden"/>
        <s v="USA"/>
        <s v="Canada"/>
        <s v="Finland"/>
        <s v="Russia"/>
        <s v="Czechia"/>
        <s v="Norway"/>
      </sharedItems>
    </cacheField>
    <cacheField name="NAME" numFmtId="0">
      <sharedItems/>
    </cacheField>
    <cacheField name="POSITION" numFmtId="0">
      <sharedItems/>
    </cacheField>
    <cacheField name="TEAM" numFmtId="0">
      <sharedItems/>
    </cacheField>
    <cacheField name="LEAGUE" numFmtId="0">
      <sharedItems count="10">
        <s v="SHL"/>
        <s v="WHL"/>
        <s v="NCAA"/>
        <s v="USHL"/>
        <s v="OHL"/>
        <s v="International-Jr"/>
        <s v="U20 Nationell"/>
        <s v="MHL"/>
        <s v="QMJHL"/>
        <s v="NTDP"/>
      </sharedItems>
    </cacheField>
    <cacheField name="NHLe SCORE" numFmtId="0">
      <sharedItems containsSemiMixedTypes="0" containsString="0" containsNumber="1" minValue="0.26" maxValue="0.78"/>
    </cacheField>
    <cacheField name="GP" numFmtId="0">
      <sharedItems containsSemiMixedTypes="0" containsString="0" containsNumber="1" containsInteger="1" minValue="6" maxValue="36"/>
    </cacheField>
    <cacheField name="G" numFmtId="0">
      <sharedItems containsSemiMixedTypes="0" containsString="0" containsNumber="1" containsInteger="1" minValue="2" maxValue="22"/>
    </cacheField>
    <cacheField name="A" numFmtId="0">
      <sharedItems containsSemiMixedTypes="0" containsString="0" containsNumber="1" containsInteger="1" minValue="2" maxValue="33"/>
    </cacheField>
    <cacheField name="PTS" numFmtId="0">
      <sharedItems containsSemiMixedTypes="0" containsString="0" containsNumber="1" containsInteger="1" minValue="7" maxValue="55"/>
    </cacheField>
    <cacheField name="PIM" numFmtId="0">
      <sharedItems containsSemiMixedTypes="0" containsString="0" containsNumber="1" containsInteger="1" minValue="0" maxValue="55"/>
    </cacheField>
    <cacheField name="GPG" numFmtId="164">
      <sharedItems containsSemiMixedTypes="0" containsString="0" containsNumber="1" minValue="0.1875" maxValue="0.88888888888888884"/>
    </cacheField>
    <cacheField name="APG" numFmtId="164">
      <sharedItems containsSemiMixedTypes="0" containsString="0" containsNumber="1" minValue="0.33333333333333331" maxValue="1.1000000000000001"/>
    </cacheField>
    <cacheField name="PPG" numFmtId="164">
      <sharedItems containsSemiMixedTypes="0" containsString="0" containsNumber="1" minValue="0.85" maxValue="1.6666666666666667"/>
    </cacheField>
    <cacheField name="ADJ_PPG" numFmtId="164">
      <sharedItems containsSemiMixedTypes="0" containsString="0" containsNumber="1" minValue="0.30937500000000001" maxValue="0.74880000000000002"/>
    </cacheField>
    <cacheField name="PIMPG" numFmtId="164">
      <sharedItems containsSemiMixedTypes="0" containsString="0" containsNumber="1" minValue="0" maxValue="2.2352941176470589"/>
    </cacheField>
    <cacheField name="ADJ_NHLe_QUART" numFmtId="164">
      <sharedItems/>
    </cacheField>
    <cacheField name="DOB" numFmtId="14">
      <sharedItems containsSemiMixedTypes="0" containsNonDate="0" containsDate="1" containsString="0" minDate="2007-09-17T00:00:00" maxDate="2008-09-08T00:00:00"/>
    </cacheField>
    <cacheField name="HEIGHT" numFmtId="0">
      <sharedItems/>
    </cacheField>
    <cacheField name="WEIGHT" numFmtId="0">
      <sharedItems containsSemiMixedTypes="0" containsString="0" containsNumber="1" containsInteger="1" minValue="159" maxValue="227"/>
    </cacheField>
    <cacheField name="SHOOTS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D93195DD-BFEA-4E34-83B1-7DF864DE9219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weden flag"/>
    <x v="0"/>
    <x v="0"/>
    <x v="0"/>
    <s v="Frölunda HC"/>
    <s v="SHL"/>
    <n v="0.78"/>
    <n v="25"/>
    <n v="6"/>
    <n v="18"/>
    <n v="24"/>
    <n v="4"/>
    <n v="0.24"/>
    <n v="0.72"/>
    <n v="0.96"/>
    <n v="0.74880000000000002"/>
    <n v="0.16"/>
    <x v="0"/>
    <d v="2007-09-29T00:00:00"/>
    <s v="6'0&quot;"/>
    <n v="181"/>
    <s v="L"/>
  </r>
  <r>
    <s v="USA flag"/>
    <x v="1"/>
    <x v="1"/>
    <x v="0"/>
    <s v="Kamloops Blazers"/>
    <s v="WHL"/>
    <n v="0.3"/>
    <n v="33"/>
    <n v="22"/>
    <n v="33"/>
    <n v="55"/>
    <n v="16"/>
    <n v="0.66666666666666663"/>
    <n v="1"/>
    <n v="1.6666666666666667"/>
    <n v="0.5"/>
    <n v="0.48484848484848486"/>
    <x v="0"/>
    <d v="2008-04-10T00:00:00"/>
    <s v="6'0&quot;"/>
    <n v="183"/>
    <s v="R"/>
  </r>
  <r>
    <s v="Canada flag"/>
    <x v="2"/>
    <x v="2"/>
    <x v="0"/>
    <s v="Muskegon Lumberjacks"/>
    <s v="USHL"/>
    <n v="0.28999999999999998"/>
    <n v="9"/>
    <n v="8"/>
    <n v="5"/>
    <n v="13"/>
    <n v="6"/>
    <n v="0.88888888888888884"/>
    <n v="0.55555555555555558"/>
    <n v="1.4444444444444444"/>
    <n v="0.41888888888888887"/>
    <n v="0.66666666666666663"/>
    <x v="0"/>
    <d v="2008-08-02T00:00:00"/>
    <s v="6'0&quot;"/>
    <n v="185"/>
    <s v="L"/>
  </r>
  <r>
    <s v="Canada flag"/>
    <x v="2"/>
    <x v="3"/>
    <x v="0"/>
    <s v="Brantford Bulldogs"/>
    <s v="OHL"/>
    <n v="0.3"/>
    <n v="32"/>
    <n v="17"/>
    <n v="27"/>
    <n v="44"/>
    <n v="22"/>
    <n v="0.53125"/>
    <n v="0.84375"/>
    <n v="1.375"/>
    <n v="0.41249999999999998"/>
    <n v="0.6875"/>
    <x v="0"/>
    <d v="2008-06-01T00:00:00"/>
    <s v="6'2&quot;"/>
    <n v="183"/>
    <s v="L"/>
  </r>
  <r>
    <s v="Finland flag"/>
    <x v="3"/>
    <x v="4"/>
    <x v="0"/>
    <s v="Finland U18 (all)"/>
    <s v="International-Jr"/>
    <n v="0.33"/>
    <n v="6"/>
    <n v="5"/>
    <n v="2"/>
    <n v="7"/>
    <n v="4"/>
    <n v="0.83333333333333337"/>
    <n v="0.33333333333333331"/>
    <n v="1.1666666666666667"/>
    <n v="0.38500000000000006"/>
    <n v="0.66666666666666663"/>
    <x v="0"/>
    <d v="2008-08-12T00:00:00"/>
    <s v="6'4&quot;"/>
    <n v="196"/>
    <s v="L"/>
  </r>
  <r>
    <s v="Sweden flag"/>
    <x v="0"/>
    <x v="5"/>
    <x v="0"/>
    <s v="Djurgårdens IF U20"/>
    <s v="U20 Nationell"/>
    <n v="0.26"/>
    <n v="17"/>
    <n v="7"/>
    <n v="18"/>
    <n v="25"/>
    <n v="38"/>
    <n v="0.41176470588235292"/>
    <n v="1.0588235294117647"/>
    <n v="1.4705882352941178"/>
    <n v="0.38235294117647062"/>
    <n v="2.2352941176470589"/>
    <x v="0"/>
    <d v="2008-05-03T00:00:00"/>
    <s v="6'2&quot;"/>
    <n v="187"/>
    <s v="L"/>
  </r>
  <r>
    <s v="Sweden flag"/>
    <x v="0"/>
    <x v="6"/>
    <x v="0"/>
    <s v="Örebro HK U20"/>
    <s v="U20 Nationell"/>
    <n v="0.26"/>
    <n v="18"/>
    <n v="12"/>
    <n v="14"/>
    <n v="26"/>
    <n v="18"/>
    <n v="0.66666666666666663"/>
    <n v="0.77777777777777779"/>
    <n v="1.4444444444444444"/>
    <n v="0.37555555555555559"/>
    <n v="1"/>
    <x v="0"/>
    <d v="2008-06-15T00:00:00"/>
    <s v="6'1&quot;"/>
    <n v="183"/>
    <s v="L"/>
  </r>
  <r>
    <s v="USA flag"/>
    <x v="1"/>
    <x v="7"/>
    <x v="0"/>
    <s v="Saginaw Spirit"/>
    <s v="OHL"/>
    <n v="0.3"/>
    <n v="32"/>
    <n v="19"/>
    <n v="21"/>
    <n v="40"/>
    <n v="21"/>
    <n v="0.59375"/>
    <n v="0.65625"/>
    <n v="1.25"/>
    <n v="0.375"/>
    <n v="0.65625"/>
    <x v="0"/>
    <d v="2008-06-26T00:00:00"/>
    <s v="6'0&quot;"/>
    <n v="181"/>
    <s v="L"/>
  </r>
  <r>
    <s v="Canada flag"/>
    <x v="2"/>
    <x v="8"/>
    <x v="1"/>
    <s v="Vancouver Giants"/>
    <s v="WHL"/>
    <n v="0.3"/>
    <n v="34"/>
    <n v="9"/>
    <n v="33"/>
    <n v="42"/>
    <n v="20"/>
    <n v="0.26470588235294118"/>
    <n v="0.97058823529411764"/>
    <n v="1.2352941176470589"/>
    <n v="0.37058823529411766"/>
    <n v="0.58823529411764708"/>
    <x v="0"/>
    <d v="2008-04-17T00:00:00"/>
    <s v="5'11&quot;"/>
    <n v="176"/>
    <s v="R"/>
  </r>
  <r>
    <s v="Russia flag"/>
    <x v="4"/>
    <x v="9"/>
    <x v="0"/>
    <s v="Avto Yekaterinburg"/>
    <s v="MHL"/>
    <n v="0.27"/>
    <n v="32"/>
    <n v="11"/>
    <n v="32"/>
    <n v="43"/>
    <n v="16"/>
    <n v="0.34375"/>
    <n v="1"/>
    <n v="1.34375"/>
    <n v="0.36281250000000004"/>
    <n v="0.5"/>
    <x v="0"/>
    <d v="2007-09-22T00:00:00"/>
    <s v="6'2&quot;"/>
    <n v="170"/>
    <s v="L"/>
  </r>
  <r>
    <s v="Czechia flag"/>
    <x v="5"/>
    <x v="10"/>
    <x v="0"/>
    <s v="Peterborough Petes"/>
    <s v="OHL"/>
    <n v="0.3"/>
    <n v="29"/>
    <n v="19"/>
    <n v="16"/>
    <n v="35"/>
    <n v="6"/>
    <n v="0.65517241379310343"/>
    <n v="0.55172413793103448"/>
    <n v="1.2068965517241379"/>
    <n v="0.36206896551724138"/>
    <n v="0.20689655172413793"/>
    <x v="0"/>
    <d v="2007-11-12T00:00:00"/>
    <s v="6'1&quot;"/>
    <n v="205"/>
    <s v="L"/>
  </r>
  <r>
    <s v="Russia flag"/>
    <x v="4"/>
    <x v="11"/>
    <x v="0"/>
    <s v="Victoriaville Tigres"/>
    <s v="QMJHL"/>
    <n v="0.28000000000000003"/>
    <n v="31"/>
    <n v="15"/>
    <n v="25"/>
    <n v="40"/>
    <n v="21"/>
    <n v="0.4838709677419355"/>
    <n v="0.80645161290322576"/>
    <n v="1.2903225806451613"/>
    <n v="0.3612903225806452"/>
    <n v="0.67741935483870963"/>
    <x v="0"/>
    <d v="2008-04-29T00:00:00"/>
    <s v="6'1&quot;"/>
    <n v="181"/>
    <s v="L"/>
  </r>
  <r>
    <s v="Canada flag"/>
    <x v="2"/>
    <x v="12"/>
    <x v="0"/>
    <s v="Niagara IceDogs"/>
    <s v="OHL"/>
    <n v="0.3"/>
    <n v="32"/>
    <n v="18"/>
    <n v="20"/>
    <n v="38"/>
    <n v="18"/>
    <n v="0.5625"/>
    <n v="0.625"/>
    <n v="1.1875"/>
    <n v="0.35625000000000001"/>
    <n v="0.5625"/>
    <x v="0"/>
    <d v="2007-09-24T00:00:00"/>
    <s v="6'4&quot;"/>
    <n v="216"/>
    <s v="L"/>
  </r>
  <r>
    <s v="Canada flag"/>
    <x v="2"/>
    <x v="13"/>
    <x v="0"/>
    <s v="Owen Sound Attack"/>
    <s v="OHL"/>
    <n v="0.3"/>
    <n v="36"/>
    <n v="19"/>
    <n v="23"/>
    <n v="42"/>
    <n v="55"/>
    <n v="0.52777777777777779"/>
    <n v="0.63888888888888884"/>
    <n v="1.1666666666666667"/>
    <n v="0.35000000000000003"/>
    <n v="1.5277777777777777"/>
    <x v="0"/>
    <d v="2008-04-16T00:00:00"/>
    <s v="5'11&quot;"/>
    <n v="159"/>
    <s v="L"/>
  </r>
  <r>
    <s v="USA flag"/>
    <x v="1"/>
    <x v="14"/>
    <x v="0"/>
    <s v="U.S. National U18 Team"/>
    <s v="NTDP"/>
    <n v="0.35"/>
    <n v="8"/>
    <n v="2"/>
    <n v="6"/>
    <n v="8"/>
    <n v="0"/>
    <n v="0.25"/>
    <n v="0.75"/>
    <n v="1"/>
    <n v="0.35"/>
    <n v="0"/>
    <x v="0"/>
    <d v="2008-09-07T00:00:00"/>
    <s v="6'0&quot;"/>
    <n v="172"/>
    <s v="L"/>
  </r>
  <r>
    <s v="Norway flag"/>
    <x v="6"/>
    <x v="15"/>
    <x v="0"/>
    <s v="Örebro HK U20"/>
    <s v="U20 Nationell"/>
    <n v="0.26"/>
    <n v="18"/>
    <n v="14"/>
    <n v="10"/>
    <n v="24"/>
    <n v="12"/>
    <n v="0.77777777777777779"/>
    <n v="0.55555555555555558"/>
    <n v="1.3333333333333333"/>
    <n v="0.34666666666666668"/>
    <n v="0.66666666666666663"/>
    <x v="0"/>
    <d v="2008-04-18T00:00:00"/>
    <s v="6'1&quot;"/>
    <n v="185"/>
    <s v="L"/>
  </r>
  <r>
    <s v="USA flag"/>
    <x v="1"/>
    <x v="16"/>
    <x v="1"/>
    <s v="Soo Greyhounds"/>
    <s v="OHL"/>
    <n v="0.3"/>
    <n v="31"/>
    <n v="14"/>
    <n v="21"/>
    <n v="35"/>
    <n v="24"/>
    <n v="0.45161290322580644"/>
    <n v="0.67741935483870963"/>
    <n v="1.1290322580645162"/>
    <n v="0.33870967741935487"/>
    <n v="0.77419354838709675"/>
    <x v="0"/>
    <d v="2007-12-29T00:00:00"/>
    <s v="6'2&quot;"/>
    <n v="187"/>
    <s v="R"/>
  </r>
  <r>
    <s v="Sweden flag"/>
    <x v="0"/>
    <x v="17"/>
    <x v="1"/>
    <s v="Örebro HK U20"/>
    <s v="U20 Nationell"/>
    <n v="0.26"/>
    <n v="20"/>
    <n v="4"/>
    <n v="22"/>
    <n v="26"/>
    <n v="10"/>
    <n v="0.2"/>
    <n v="1.1000000000000001"/>
    <n v="1.3"/>
    <n v="0.33800000000000002"/>
    <n v="0.5"/>
    <x v="0"/>
    <d v="2008-06-02T00:00:00"/>
    <s v="5'11&quot;"/>
    <n v="165"/>
    <s v="R"/>
  </r>
  <r>
    <s v="USA flag"/>
    <x v="1"/>
    <x v="18"/>
    <x v="0"/>
    <s v="Green Bay Gamblers"/>
    <s v="USHL"/>
    <n v="0.28999999999999998"/>
    <n v="20"/>
    <n v="7"/>
    <n v="15"/>
    <n v="22"/>
    <n v="31"/>
    <n v="0.35"/>
    <n v="0.75"/>
    <n v="1.1000000000000001"/>
    <n v="0.31900000000000001"/>
    <n v="1.55"/>
    <x v="0"/>
    <d v="2007-09-17T00:00:00"/>
    <s v="6'0&quot;"/>
    <n v="187"/>
    <s v="L"/>
  </r>
  <r>
    <s v="Canada flag"/>
    <x v="2"/>
    <x v="19"/>
    <x v="1"/>
    <s v="Prince George Cougars"/>
    <s v="WHL"/>
    <n v="0.3"/>
    <n v="28"/>
    <n v="8"/>
    <n v="21"/>
    <n v="29"/>
    <n v="32"/>
    <n v="0.2857142857142857"/>
    <n v="0.75"/>
    <n v="1.0357142857142858"/>
    <n v="0.31071428571428572"/>
    <n v="1.1428571428571428"/>
    <x v="0"/>
    <d v="2008-06-22T00:00:00"/>
    <s v="6'2&quot;"/>
    <n v="194"/>
    <s v="L"/>
  </r>
  <r>
    <s v="Canada flag"/>
    <x v="2"/>
    <x v="20"/>
    <x v="0"/>
    <s v="Windsor Spitfires"/>
    <s v="OHL"/>
    <n v="0.3"/>
    <n v="31"/>
    <n v="18"/>
    <n v="14"/>
    <n v="32"/>
    <n v="26"/>
    <n v="0.58064516129032262"/>
    <n v="0.45161290322580644"/>
    <n v="1.032258064516129"/>
    <n v="0.30967741935483867"/>
    <n v="0.83870967741935487"/>
    <x v="0"/>
    <d v="2008-03-29T00:00:00"/>
    <s v="6'5&quot;"/>
    <n v="227"/>
    <s v="L"/>
  </r>
  <r>
    <s v="Canada flag"/>
    <x v="2"/>
    <x v="21"/>
    <x v="0"/>
    <s v="Prince Albert Raiders"/>
    <s v="WHL"/>
    <n v="0.3"/>
    <n v="32"/>
    <n v="6"/>
    <n v="27"/>
    <n v="33"/>
    <n v="18"/>
    <n v="0.1875"/>
    <n v="0.84375"/>
    <n v="1.03125"/>
    <n v="0.30937500000000001"/>
    <n v="0.5625"/>
    <x v="0"/>
    <d v="2008-01-30T00:00:00"/>
    <s v="5'10&quot;"/>
    <n v="165"/>
    <s v="R"/>
  </r>
  <r>
    <s v="Canada flag"/>
    <x v="2"/>
    <x v="22"/>
    <x v="0"/>
    <s v="Swift Current Broncos"/>
    <s v="WHL"/>
    <n v="0.3"/>
    <n v="32"/>
    <n v="10"/>
    <n v="23"/>
    <n v="33"/>
    <n v="8"/>
    <n v="0.3125"/>
    <n v="0.71875"/>
    <n v="1.03125"/>
    <n v="0.30937500000000001"/>
    <n v="0.25"/>
    <x v="0"/>
    <d v="2008-08-17T00:00:00"/>
    <s v="5'11&quot;"/>
    <n v="170"/>
    <s v="L"/>
  </r>
  <r>
    <s v="Canada flag"/>
    <x v="2"/>
    <x v="23"/>
    <x v="1"/>
    <s v="Blainville-Boisbriand Armada"/>
    <s v="QMJHL"/>
    <n v="0.28000000000000003"/>
    <n v="30"/>
    <n v="6"/>
    <n v="27"/>
    <n v="33"/>
    <n v="33"/>
    <n v="0.2"/>
    <n v="0.9"/>
    <n v="1.1000000000000001"/>
    <n v="0.30800000000000005"/>
    <n v="1.1000000000000001"/>
    <x v="1"/>
    <d v="2007-09-28T00:00:00"/>
    <s v="5'11&quot;"/>
    <n v="157"/>
    <s v="L"/>
  </r>
  <r>
    <s v="Russia flag"/>
    <x v="4"/>
    <x v="24"/>
    <x v="0"/>
    <s v="Halifax Mooseheads"/>
    <s v="QMJHL"/>
    <n v="0.28000000000000003"/>
    <n v="31"/>
    <n v="17"/>
    <n v="17"/>
    <n v="34"/>
    <n v="16"/>
    <n v="0.54838709677419351"/>
    <n v="0.54838709677419351"/>
    <n v="1.096774193548387"/>
    <n v="0.30709677419354842"/>
    <n v="0.5161290322580645"/>
    <x v="1"/>
    <d v="2008-01-10T00:00:00"/>
    <s v="5'11&quot;"/>
    <n v="176"/>
    <s v="L"/>
  </r>
  <r>
    <s v="Sweden flag"/>
    <x v="0"/>
    <x v="25"/>
    <x v="0"/>
    <s v="Rögle BK U20"/>
    <s v="U20 Nationell"/>
    <n v="0.26"/>
    <n v="17"/>
    <n v="11"/>
    <n v="9"/>
    <n v="20"/>
    <n v="6"/>
    <n v="0.6470588235294118"/>
    <n v="0.52941176470588236"/>
    <n v="1.1764705882352942"/>
    <n v="0.30588235294117649"/>
    <n v="0.35294117647058826"/>
    <x v="1"/>
    <d v="2008-04-24T00:00:00"/>
    <s v="5'10&quot;"/>
    <n v="174"/>
    <s v="R"/>
  </r>
  <r>
    <s v="Canada flag"/>
    <x v="2"/>
    <x v="26"/>
    <x v="1"/>
    <s v="Prince Albert Raiders"/>
    <s v="WHL"/>
    <n v="0.3"/>
    <n v="32"/>
    <n v="14"/>
    <n v="18"/>
    <n v="32"/>
    <n v="30"/>
    <n v="0.4375"/>
    <n v="0.5625"/>
    <n v="1"/>
    <n v="0.3"/>
    <n v="0.9375"/>
    <x v="1"/>
    <d v="2008-03-05T00:00:00"/>
    <s v="6'2&quot;"/>
    <n v="203"/>
    <s v="R"/>
  </r>
  <r>
    <s v="Slovakia flag"/>
    <x v="7"/>
    <x v="27"/>
    <x v="0"/>
    <s v="HK Nitra"/>
    <s v="Slovakia"/>
    <n v="0.47"/>
    <n v="27"/>
    <n v="5"/>
    <n v="12"/>
    <n v="17"/>
    <n v="4"/>
    <n v="0.18518518518518517"/>
    <n v="0.44444444444444442"/>
    <n v="0.62962962962962965"/>
    <n v="0.29592592592592593"/>
    <n v="0.14814814814814814"/>
    <x v="1"/>
    <d v="2007-11-01T00:00:00"/>
    <s v="5'11&quot;"/>
    <n v="170"/>
    <s v="R"/>
  </r>
  <r>
    <s v="Canada flag"/>
    <x v="2"/>
    <x v="28"/>
    <x v="0"/>
    <s v="Portland Winterhawks"/>
    <s v="WHL"/>
    <n v="0.3"/>
    <n v="33"/>
    <n v="11"/>
    <n v="21"/>
    <n v="32"/>
    <n v="24"/>
    <n v="0.33333333333333331"/>
    <n v="0.63636363636363635"/>
    <n v="0.96969696969696972"/>
    <n v="0.29090909090909089"/>
    <n v="0.72727272727272729"/>
    <x v="1"/>
    <d v="2008-02-15T00:00:00"/>
    <s v="5'11&quot;"/>
    <n v="174"/>
    <s v="L"/>
  </r>
  <r>
    <s v="Finland flag"/>
    <x v="3"/>
    <x v="29"/>
    <x v="0"/>
    <s v="Ottawa 67's"/>
    <s v="OHL"/>
    <n v="0.3"/>
    <n v="32"/>
    <n v="17"/>
    <n v="13"/>
    <n v="30"/>
    <n v="4"/>
    <n v="0.53125"/>
    <n v="0.40625"/>
    <n v="0.9375"/>
    <n v="0.28125"/>
    <n v="0.125"/>
    <x v="1"/>
    <d v="2006-10-27T00:00:00"/>
    <s v="6'2&quot;"/>
    <n v="198"/>
    <s v="L"/>
  </r>
  <r>
    <s v="Canada flag"/>
    <x v="2"/>
    <x v="30"/>
    <x v="0"/>
    <s v="Spokane Chiefs"/>
    <s v="WHL"/>
    <n v="0.3"/>
    <n v="31"/>
    <n v="12"/>
    <n v="17"/>
    <n v="29"/>
    <n v="30"/>
    <n v="0.38709677419354838"/>
    <n v="0.54838709677419351"/>
    <n v="0.93548387096774188"/>
    <n v="0.28064516129032258"/>
    <n v="0.967741935483871"/>
    <x v="1"/>
    <d v="2008-07-20T00:00:00"/>
    <s v="5'11&quot;"/>
    <n v="176"/>
    <s v="R"/>
  </r>
  <r>
    <s v="USA flag"/>
    <x v="1"/>
    <x v="31"/>
    <x v="0"/>
    <s v="Youngstown Phantoms"/>
    <s v="USHL"/>
    <n v="0.28999999999999998"/>
    <n v="23"/>
    <n v="9"/>
    <n v="13"/>
    <n v="22"/>
    <n v="10"/>
    <n v="0.39130434782608697"/>
    <n v="0.56521739130434778"/>
    <n v="0.95652173913043481"/>
    <n v="0.27739130434782605"/>
    <n v="0.43478260869565216"/>
    <x v="1"/>
    <d v="2007-10-22T00:00:00"/>
    <s v="6'0&quot;"/>
    <n v="179"/>
    <s v="L"/>
  </r>
  <r>
    <s v="Canada flag"/>
    <x v="2"/>
    <x v="32"/>
    <x v="0"/>
    <s v="Saskatoon Blades"/>
    <s v="WHL"/>
    <n v="0.3"/>
    <n v="32"/>
    <n v="12"/>
    <n v="17"/>
    <n v="29"/>
    <n v="18"/>
    <n v="0.375"/>
    <n v="0.53125"/>
    <n v="0.90625"/>
    <n v="0.27187499999999998"/>
    <n v="0.5625"/>
    <x v="1"/>
    <d v="2008-02-17T00:00:00"/>
    <s v="6'1&quot;"/>
    <n v="159"/>
    <s v="L"/>
  </r>
  <r>
    <s v="Canada flag"/>
    <x v="2"/>
    <x v="33"/>
    <x v="0"/>
    <s v="Newfoundland Regiment"/>
    <s v="QMJHL"/>
    <n v="0.28000000000000003"/>
    <n v="30"/>
    <n v="14"/>
    <n v="15"/>
    <n v="29"/>
    <n v="18"/>
    <n v="0.46666666666666667"/>
    <n v="0.5"/>
    <n v="0.96666666666666667"/>
    <n v="0.27066666666666672"/>
    <n v="0.6"/>
    <x v="1"/>
    <d v="2007-11-13T00:00:00"/>
    <s v="5'8&quot;"/>
    <n v="168"/>
    <s v="L"/>
  </r>
  <r>
    <s v="Canada flag"/>
    <x v="2"/>
    <x v="34"/>
    <x v="0"/>
    <s v="Spokane Chiefs"/>
    <s v="WHL"/>
    <n v="0.3"/>
    <n v="32"/>
    <n v="11"/>
    <n v="17"/>
    <n v="28"/>
    <n v="52"/>
    <n v="0.34375"/>
    <n v="0.53125"/>
    <n v="0.875"/>
    <n v="0.26250000000000001"/>
    <n v="1.625"/>
    <x v="1"/>
    <d v="2007-10-29T00:00:00"/>
    <s v="6'0&quot;"/>
    <n v="201"/>
    <s v="L"/>
  </r>
  <r>
    <s v="Canada flag"/>
    <x v="2"/>
    <x v="35"/>
    <x v="0"/>
    <s v="Red Deer Rebels"/>
    <s v="WHL"/>
    <n v="0.3"/>
    <n v="30"/>
    <n v="10"/>
    <n v="16"/>
    <n v="26"/>
    <n v="4"/>
    <n v="0.33333333333333331"/>
    <n v="0.53333333333333333"/>
    <n v="0.8666666666666667"/>
    <n v="0.26"/>
    <n v="0.13333333333333333"/>
    <x v="1"/>
    <d v="2008-03-27T00:00:00"/>
    <s v="5'11&quot;"/>
    <n v="172"/>
    <s v="R"/>
  </r>
  <r>
    <s v="Sweden flag"/>
    <x v="0"/>
    <x v="36"/>
    <x v="0"/>
    <s v="Djurgårdens IF"/>
    <s v="SHL"/>
    <n v="0.78"/>
    <n v="24"/>
    <n v="4"/>
    <n v="4"/>
    <n v="8"/>
    <n v="6"/>
    <n v="0.16666666666666666"/>
    <n v="0.16666666666666666"/>
    <n v="0.33333333333333331"/>
    <n v="0.26"/>
    <n v="0.25"/>
    <x v="1"/>
    <d v="2008-03-11T00:00:00"/>
    <s v="5'10&quot;"/>
    <n v="172"/>
    <s v="R"/>
  </r>
  <r>
    <s v="USA flag"/>
    <x v="1"/>
    <x v="37"/>
    <x v="1"/>
    <s v="U.S. National U18 Team"/>
    <s v="NTDP"/>
    <n v="0.35"/>
    <n v="23"/>
    <n v="2"/>
    <n v="15"/>
    <n v="17"/>
    <n v="6"/>
    <n v="8.6956521739130432E-2"/>
    <n v="0.65217391304347827"/>
    <n v="0.73913043478260865"/>
    <n v="0.25869565217391299"/>
    <n v="0.2608695652173913"/>
    <x v="1"/>
    <d v="2008-01-09T00:00:00"/>
    <s v="5'11&quot;"/>
    <n v="174"/>
    <s v="R"/>
  </r>
  <r>
    <s v="Canada flag"/>
    <x v="2"/>
    <x v="38"/>
    <x v="0"/>
    <s v="North Bay Battalion"/>
    <s v="OHL"/>
    <n v="0.3"/>
    <n v="13"/>
    <n v="7"/>
    <n v="4"/>
    <n v="11"/>
    <n v="2"/>
    <n v="0.53846153846153844"/>
    <n v="0.30769230769230771"/>
    <n v="0.84615384615384615"/>
    <n v="0.25384615384615383"/>
    <n v="0.15384615384615385"/>
    <x v="1"/>
    <d v="2008-09-05T00:00:00"/>
    <s v="6'2&quot;"/>
    <n v="209"/>
    <s v="L"/>
  </r>
  <r>
    <s v="Canada flag"/>
    <x v="2"/>
    <x v="39"/>
    <x v="0"/>
    <s v="Niagara IceDogs"/>
    <s v="OHL"/>
    <n v="0.3"/>
    <n v="6"/>
    <n v="2"/>
    <n v="3"/>
    <n v="5"/>
    <n v="4"/>
    <n v="0.33333333333333331"/>
    <n v="0.5"/>
    <n v="0.83333333333333337"/>
    <n v="0.25"/>
    <n v="0.66666666666666663"/>
    <x v="1"/>
    <d v="2008-05-27T00:00:00"/>
    <s v="5'11&quot;"/>
    <n v="194"/>
    <s v="L"/>
  </r>
  <r>
    <s v="USA flag"/>
    <x v="1"/>
    <x v="40"/>
    <x v="0"/>
    <s v="Youngstown Phantoms"/>
    <s v="USHL"/>
    <n v="0.28999999999999998"/>
    <n v="28"/>
    <n v="8"/>
    <n v="16"/>
    <n v="24"/>
    <n v="14"/>
    <n v="0.2857142857142857"/>
    <n v="0.5714285714285714"/>
    <n v="0.8571428571428571"/>
    <n v="0.24857142857142855"/>
    <n v="0.5"/>
    <x v="1"/>
    <d v="2008-03-22T00:00:00"/>
    <s v="6'0&quot;"/>
    <n v="185"/>
    <s v="R"/>
  </r>
  <r>
    <s v="USA flag"/>
    <x v="1"/>
    <x v="41"/>
    <x v="0"/>
    <s v="U.S. National U18 Team"/>
    <s v="NTDP"/>
    <n v="0.35"/>
    <n v="24"/>
    <n v="6"/>
    <n v="10"/>
    <n v="16"/>
    <n v="8"/>
    <n v="0.25"/>
    <n v="0.41666666666666669"/>
    <n v="0.66666666666666663"/>
    <n v="0.23333333333333331"/>
    <n v="0.33333333333333331"/>
    <x v="1"/>
    <d v="2008-02-15T00:00:00"/>
    <s v="5'10&quot;"/>
    <n v="181"/>
    <s v="L"/>
  </r>
  <r>
    <s v="Canada flag"/>
    <x v="2"/>
    <x v="42"/>
    <x v="0"/>
    <s v="London Knights"/>
    <s v="OHL"/>
    <n v="0.3"/>
    <n v="34"/>
    <n v="9"/>
    <n v="17"/>
    <n v="26"/>
    <n v="32"/>
    <n v="0.26470588235294118"/>
    <n v="0.5"/>
    <n v="0.76470588235294112"/>
    <n v="0.22941176470588232"/>
    <n v="0.94117647058823528"/>
    <x v="1"/>
    <d v="2008-02-12T00:00:00"/>
    <s v="6'1&quot;"/>
    <n v="185"/>
    <s v="L"/>
  </r>
  <r>
    <s v="Canada flag"/>
    <x v="2"/>
    <x v="43"/>
    <x v="0"/>
    <s v="Sarnia Sting"/>
    <s v="OHL"/>
    <n v="0.3"/>
    <n v="17"/>
    <n v="7"/>
    <n v="6"/>
    <n v="13"/>
    <n v="0"/>
    <n v="0.41176470588235292"/>
    <n v="0.35294117647058826"/>
    <n v="0.76470588235294112"/>
    <n v="0.22941176470588232"/>
    <n v="0"/>
    <x v="1"/>
    <d v="2008-03-16T00:00:00"/>
    <s v="6'1&quot;"/>
    <n v="190"/>
    <s v="R"/>
  </r>
  <r>
    <s v="Canada flag"/>
    <x v="2"/>
    <x v="44"/>
    <x v="0"/>
    <s v="Québec Remparts"/>
    <s v="QMJHL"/>
    <n v="0.28000000000000003"/>
    <n v="30"/>
    <n v="12"/>
    <n v="12"/>
    <n v="24"/>
    <n v="13"/>
    <n v="0.4"/>
    <n v="0.4"/>
    <n v="0.8"/>
    <n v="0.22400000000000003"/>
    <n v="0.43333333333333335"/>
    <x v="1"/>
    <d v="2008-03-26T00:00:00"/>
    <s v="6'4&quot;"/>
    <n v="196"/>
    <s v="L"/>
  </r>
  <r>
    <s v="Latvia flag"/>
    <x v="8"/>
    <x v="45"/>
    <x v="1"/>
    <s v="Jukurit"/>
    <s v="Liiga"/>
    <n v="0.54"/>
    <n v="29"/>
    <n v="6"/>
    <n v="6"/>
    <n v="12"/>
    <n v="12"/>
    <n v="0.20689655172413793"/>
    <n v="0.20689655172413793"/>
    <n v="0.41379310344827586"/>
    <n v="0.22344827586206897"/>
    <n v="0.41379310344827586"/>
    <x v="1"/>
    <d v="2007-12-01T00:00:00"/>
    <s v="6'3&quot;"/>
    <n v="205"/>
    <s v="L"/>
  </r>
  <r>
    <s v="Sweden flag"/>
    <x v="0"/>
    <x v="46"/>
    <x v="0"/>
    <s v="Linköping HC U20"/>
    <s v="U20 Nationell"/>
    <n v="0.26"/>
    <n v="20"/>
    <n v="5"/>
    <n v="12"/>
    <n v="17"/>
    <n v="2"/>
    <n v="0.25"/>
    <n v="0.6"/>
    <n v="0.85"/>
    <n v="0.221"/>
    <n v="0.1"/>
    <x v="2"/>
    <d v="2008-03-20T00:00:00"/>
    <s v="6'0&quot;"/>
    <n v="192"/>
    <s v="L"/>
  </r>
  <r>
    <s v="Russia flag"/>
    <x v="4"/>
    <x v="47"/>
    <x v="0"/>
    <s v="Chaika Nizhny Novgorod"/>
    <s v="MHL"/>
    <n v="0.27"/>
    <n v="11"/>
    <n v="2"/>
    <n v="7"/>
    <n v="9"/>
    <n v="8"/>
    <n v="0.18181818181818182"/>
    <n v="0.63636363636363635"/>
    <n v="0.81818181818181823"/>
    <n v="0.22090909090909094"/>
    <n v="0.72727272727272729"/>
    <x v="2"/>
    <d v="2008-02-20T00:00:00"/>
    <s v="5'10&quot;"/>
    <n v="176"/>
    <s v="L"/>
  </r>
  <r>
    <s v="Canada flag"/>
    <x v="2"/>
    <x v="48"/>
    <x v="0"/>
    <s v="Sarnia Sting"/>
    <s v="OHL"/>
    <n v="0.3"/>
    <n v="34"/>
    <n v="12"/>
    <n v="13"/>
    <n v="25"/>
    <n v="10"/>
    <n v="0.35294117647058826"/>
    <n v="0.38235294117647056"/>
    <n v="0.73529411764705888"/>
    <n v="0.22058823529411767"/>
    <n v="0.29411764705882354"/>
    <x v="2"/>
    <d v="2008-01-05T00:00:00"/>
    <s v="6'1&quot;"/>
    <n v="181"/>
    <s v="L"/>
  </r>
  <r>
    <s v="Canada flag"/>
    <x v="2"/>
    <x v="49"/>
    <x v="1"/>
    <s v="Saskatoon Blades"/>
    <s v="WHL"/>
    <n v="0.3"/>
    <n v="34"/>
    <n v="2"/>
    <n v="23"/>
    <n v="25"/>
    <n v="18"/>
    <n v="5.8823529411764705E-2"/>
    <n v="0.67647058823529416"/>
    <n v="0.73529411764705888"/>
    <n v="0.22058823529411767"/>
    <n v="0.52941176470588236"/>
    <x v="2"/>
    <d v="2007-10-07T00:00:00"/>
    <s v="6'0&quot;"/>
    <n v="168"/>
    <s v="L"/>
  </r>
  <r>
    <s v="Canada flag"/>
    <x v="2"/>
    <x v="50"/>
    <x v="0"/>
    <s v="North Bay Battalion"/>
    <s v="OHL"/>
    <n v="0.3"/>
    <n v="25"/>
    <n v="8"/>
    <n v="10"/>
    <n v="18"/>
    <n v="20"/>
    <n v="0.32"/>
    <n v="0.4"/>
    <n v="0.72"/>
    <n v="0.216"/>
    <n v="0.8"/>
    <x v="2"/>
    <d v="2008-08-01T00:00:00"/>
    <s v="6'0&quot;"/>
    <n v="176"/>
    <s v="R"/>
  </r>
  <r>
    <s v="Finland flag"/>
    <x v="3"/>
    <x v="51"/>
    <x v="0"/>
    <s v="HIFK U20"/>
    <s v="U20 SM-sarja"/>
    <n v="0.27"/>
    <n v="24"/>
    <n v="6"/>
    <n v="13"/>
    <n v="19"/>
    <n v="8"/>
    <n v="0.25"/>
    <n v="0.54166666666666663"/>
    <n v="0.79166666666666663"/>
    <n v="0.21375"/>
    <n v="0.33333333333333331"/>
    <x v="2"/>
    <d v="2008-02-18T00:00:00"/>
    <s v="5'10&quot;"/>
    <n v="181"/>
    <s v="R"/>
  </r>
  <r>
    <s v="Sweden flag"/>
    <x v="0"/>
    <x v="52"/>
    <x v="0"/>
    <s v="Luleå HF U20"/>
    <s v="U20 Nationell"/>
    <n v="0.26"/>
    <n v="21"/>
    <n v="9"/>
    <n v="8"/>
    <n v="17"/>
    <n v="20"/>
    <n v="0.42857142857142855"/>
    <n v="0.38095238095238093"/>
    <n v="0.80952380952380953"/>
    <n v="0.21047619047619048"/>
    <n v="0.95238095238095233"/>
    <x v="2"/>
    <d v="2008-04-22T00:00:00"/>
    <s v="5'11&quot;"/>
    <n v="170"/>
    <s v="L"/>
  </r>
  <r>
    <s v="Canada flag"/>
    <x v="2"/>
    <x v="53"/>
    <x v="0"/>
    <s v="HC Davos U21"/>
    <s v="Swiss U21-Elit"/>
    <n v="0.25"/>
    <n v="32"/>
    <n v="7"/>
    <n v="19"/>
    <n v="26"/>
    <n v="8"/>
    <n v="0.21875"/>
    <n v="0.59375"/>
    <n v="0.8125"/>
    <n v="0.203125"/>
    <n v="0.25"/>
    <x v="2"/>
    <d v="2008-01-03T00:00:00"/>
    <s v="5'10&quot;"/>
    <n v="159"/>
    <s v="R"/>
  </r>
  <r>
    <s v="Canada flag"/>
    <x v="2"/>
    <x v="54"/>
    <x v="0"/>
    <s v="Sarnia Sting"/>
    <s v="OHL"/>
    <n v="0.3"/>
    <n v="34"/>
    <n v="6"/>
    <n v="17"/>
    <n v="23"/>
    <n v="27"/>
    <n v="0.17647058823529413"/>
    <n v="0.5"/>
    <n v="0.67647058823529416"/>
    <n v="0.20294117647058824"/>
    <n v="0.79411764705882348"/>
    <x v="2"/>
    <d v="2007-10-25T00:00:00"/>
    <s v="5'11&quot;"/>
    <n v="176"/>
    <s v="L"/>
  </r>
  <r>
    <s v="Canada flag"/>
    <x v="2"/>
    <x v="55"/>
    <x v="0"/>
    <s v="Edmonton Oil Kings"/>
    <s v="WHL"/>
    <n v="0.3"/>
    <n v="32"/>
    <n v="11"/>
    <n v="10"/>
    <n v="21"/>
    <n v="14"/>
    <n v="0.34375"/>
    <n v="0.3125"/>
    <n v="0.65625"/>
    <n v="0.19687499999999999"/>
    <n v="0.4375"/>
    <x v="2"/>
    <d v="2008-08-12T00:00:00"/>
    <s v="5'10&quot;"/>
    <n v="174"/>
    <s v="R"/>
  </r>
  <r>
    <s v="Czechia flag"/>
    <x v="5"/>
    <x v="56"/>
    <x v="1"/>
    <s v="Brantford Bulldogs"/>
    <s v="OHL"/>
    <n v="0.3"/>
    <n v="28"/>
    <n v="5"/>
    <n v="13"/>
    <n v="18"/>
    <n v="16"/>
    <n v="0.17857142857142858"/>
    <n v="0.4642857142857143"/>
    <n v="0.6428571428571429"/>
    <n v="0.19285714285714287"/>
    <n v="0.5714285714285714"/>
    <x v="2"/>
    <d v="2007-12-18T00:00:00"/>
    <s v="6'0&quot;"/>
    <n v="187"/>
    <s v="R"/>
  </r>
  <r>
    <s v="Russia flag"/>
    <x v="4"/>
    <x v="57"/>
    <x v="1"/>
    <s v="Belye Medvedi Chelyabinsk"/>
    <s v="MHL"/>
    <n v="0.27"/>
    <n v="17"/>
    <n v="2"/>
    <n v="10"/>
    <n v="12"/>
    <n v="22"/>
    <n v="0.11764705882352941"/>
    <n v="0.58823529411764708"/>
    <n v="0.70588235294117652"/>
    <n v="0.19058823529411767"/>
    <n v="1.2941176470588236"/>
    <x v="2"/>
    <d v="2007-11-04T00:00:00"/>
    <s v="6'2&quot;"/>
    <n v="187"/>
    <s v="R"/>
  </r>
  <r>
    <s v="Sweden flag"/>
    <x v="0"/>
    <x v="58"/>
    <x v="0"/>
    <s v="Växjö Lakers HC U20"/>
    <s v="U20 Nationell"/>
    <n v="0.26"/>
    <n v="18"/>
    <n v="7"/>
    <n v="6"/>
    <n v="13"/>
    <n v="12"/>
    <n v="0.3888888888888889"/>
    <n v="0.33333333333333331"/>
    <n v="0.72222222222222221"/>
    <n v="0.18777777777777779"/>
    <n v="0.66666666666666663"/>
    <x v="2"/>
    <d v="2008-01-27T00:00:00"/>
    <s v="6'0&quot;"/>
    <n v="183"/>
    <s v="L"/>
  </r>
  <r>
    <s v="Belarus flag"/>
    <x v="9"/>
    <x v="59"/>
    <x v="0"/>
    <s v="Omskie Yastreby"/>
    <s v="MHL"/>
    <n v="0.27"/>
    <n v="35"/>
    <n v="11"/>
    <n v="13"/>
    <n v="24"/>
    <n v="4"/>
    <n v="0.31428571428571428"/>
    <n v="0.37142857142857144"/>
    <n v="0.68571428571428572"/>
    <n v="0.18514285714285716"/>
    <n v="0.11428571428571428"/>
    <x v="2"/>
    <d v="2008-01-29T00:00:00"/>
    <s v="5'11&quot;"/>
    <n v="176"/>
    <s v="L"/>
  </r>
  <r>
    <s v="Finland flag"/>
    <x v="3"/>
    <x v="60"/>
    <x v="1"/>
    <s v="Pelicans U20"/>
    <s v="U20 SM-sarja"/>
    <n v="0.27"/>
    <n v="25"/>
    <n v="5"/>
    <n v="12"/>
    <n v="17"/>
    <n v="2"/>
    <n v="0.2"/>
    <n v="0.48"/>
    <n v="0.68"/>
    <n v="0.18360000000000001"/>
    <n v="0.08"/>
    <x v="2"/>
    <d v="2008-05-30T00:00:00"/>
    <s v="6'2&quot;"/>
    <n v="201"/>
    <s v="R"/>
  </r>
  <r>
    <s v="Latvia flag"/>
    <x v="8"/>
    <x v="61"/>
    <x v="0"/>
    <s v="Muskegon Lumberjacks"/>
    <s v="USHL"/>
    <n v="0.28999999999999998"/>
    <n v="27"/>
    <n v="7"/>
    <n v="9"/>
    <n v="16"/>
    <n v="35"/>
    <n v="0.25925925925925924"/>
    <n v="0.33333333333333331"/>
    <n v="0.59259259259259256"/>
    <n v="0.17185185185185184"/>
    <n v="1.2962962962962963"/>
    <x v="2"/>
    <d v="2008-03-02T00:00:00"/>
    <s v="6'4&quot;"/>
    <n v="203"/>
    <s v="L"/>
  </r>
  <r>
    <s v="Sweden flag"/>
    <x v="0"/>
    <x v="62"/>
    <x v="1"/>
    <s v="HV71 U20"/>
    <s v="U20 Nationell"/>
    <n v="0.26"/>
    <n v="14"/>
    <n v="3"/>
    <n v="6"/>
    <n v="9"/>
    <n v="12"/>
    <n v="0.21428571428571427"/>
    <n v="0.42857142857142855"/>
    <n v="0.6428571428571429"/>
    <n v="0.16714285714285715"/>
    <n v="0.8571428571428571"/>
    <x v="2"/>
    <d v="2008-06-10T00:00:00"/>
    <s v="6'4&quot;"/>
    <n v="201"/>
    <s v="L"/>
  </r>
  <r>
    <s v="USA flag"/>
    <x v="1"/>
    <x v="63"/>
    <x v="0"/>
    <s v="Calgary Hitmen"/>
    <s v="WHL"/>
    <n v="0.3"/>
    <n v="31"/>
    <n v="5"/>
    <n v="12"/>
    <n v="17"/>
    <n v="4"/>
    <n v="0.16129032258064516"/>
    <n v="0.38709677419354838"/>
    <n v="0.54838709677419351"/>
    <n v="0.16451612903225804"/>
    <n v="0.12903225806451613"/>
    <x v="2"/>
    <d v="2008-04-05T00:00:00"/>
    <s v="6'4&quot;"/>
    <n v="192"/>
    <s v="R"/>
  </r>
  <r>
    <s v="Slovakia flag"/>
    <x v="7"/>
    <x v="64"/>
    <x v="1"/>
    <s v="HK Dukla Trencin"/>
    <s v="Slovakia"/>
    <n v="0.47"/>
    <n v="26"/>
    <n v="3"/>
    <n v="6"/>
    <n v="9"/>
    <n v="2"/>
    <n v="0.11538461538461539"/>
    <n v="0.23076923076923078"/>
    <n v="0.34615384615384615"/>
    <n v="0.16269230769230769"/>
    <n v="7.6923076923076927E-2"/>
    <x v="2"/>
    <d v="2008-06-06T00:00:00"/>
    <s v="6'3&quot;"/>
    <n v="194"/>
    <s v="R"/>
  </r>
  <r>
    <s v="Canada flag"/>
    <x v="2"/>
    <x v="65"/>
    <x v="0"/>
    <s v="Peterborough Petes"/>
    <s v="OHL"/>
    <n v="0.3"/>
    <n v="24"/>
    <n v="6"/>
    <n v="7"/>
    <n v="13"/>
    <n v="33"/>
    <n v="0.25"/>
    <n v="0.29166666666666669"/>
    <n v="0.54166666666666663"/>
    <n v="0.16249999999999998"/>
    <n v="1.375"/>
    <x v="2"/>
    <d v="2008-03-31T00:00:00"/>
    <s v="6'2&quot;"/>
    <n v="207"/>
    <s v="R"/>
  </r>
  <r>
    <s v="Sweden flag"/>
    <x v="0"/>
    <x v="66"/>
    <x v="0"/>
    <s v="Blainville-Boisbriand Armada"/>
    <s v="QMJHL"/>
    <n v="0.28000000000000003"/>
    <n v="19"/>
    <n v="6"/>
    <n v="5"/>
    <n v="11"/>
    <n v="10"/>
    <n v="0.31578947368421051"/>
    <n v="0.26315789473684209"/>
    <n v="0.57894736842105265"/>
    <n v="0.16210526315789475"/>
    <n v="0.52631578947368418"/>
    <x v="2"/>
    <d v="2007-10-01T00:00:00"/>
    <s v="5'10&quot;"/>
    <n v="183"/>
    <s v="L"/>
  </r>
  <r>
    <s v="USA flag"/>
    <x v="1"/>
    <x v="67"/>
    <x v="1"/>
    <s v="Brookline Whalers 18U AAA"/>
    <s v="BEAST 18U"/>
    <n v="0.24"/>
    <n v="3"/>
    <n v="1"/>
    <n v="1"/>
    <n v="2"/>
    <n v="0"/>
    <n v="0.33333333333333331"/>
    <n v="0.33333333333333331"/>
    <n v="0.66666666666666663"/>
    <n v="0.15999999999999998"/>
    <n v="0"/>
    <x v="2"/>
    <d v="2007-10-18T00:00:00"/>
    <s v="6'1&quot;"/>
    <n v="194"/>
    <s v="R"/>
  </r>
  <r>
    <s v="Canada flag"/>
    <x v="2"/>
    <x v="68"/>
    <x v="1"/>
    <s v="Brandon Wheat Kings"/>
    <s v="WHL"/>
    <n v="0.3"/>
    <n v="32"/>
    <n v="2"/>
    <n v="15"/>
    <n v="17"/>
    <n v="22"/>
    <n v="6.25E-2"/>
    <n v="0.46875"/>
    <n v="0.53125"/>
    <n v="0.15937499999999999"/>
    <n v="0.6875"/>
    <x v="2"/>
    <d v="2008-04-23T00:00:00"/>
    <s v="6'2&quot;"/>
    <n v="214"/>
    <s v="R"/>
  </r>
  <r>
    <s v="USA flag"/>
    <x v="1"/>
    <x v="69"/>
    <x v="0"/>
    <s v="U.S. National U18 Team"/>
    <s v="NTDP"/>
    <n v="0.35"/>
    <n v="27"/>
    <n v="5"/>
    <n v="7"/>
    <n v="12"/>
    <n v="14"/>
    <n v="0.18518518518518517"/>
    <n v="0.25925925925925924"/>
    <n v="0.44444444444444442"/>
    <n v="0.15555555555555553"/>
    <n v="0.51851851851851849"/>
    <x v="2"/>
    <d v="2008-03-22T00:00:00"/>
    <s v="5'10&quot;"/>
    <n v="168"/>
    <s v="R"/>
  </r>
  <r>
    <s v="Canada flag"/>
    <x v="2"/>
    <x v="70"/>
    <x v="1"/>
    <s v="Val-d'Or Foreurs"/>
    <s v="QMJHL"/>
    <n v="0.28000000000000003"/>
    <n v="31"/>
    <n v="1"/>
    <n v="16"/>
    <n v="17"/>
    <n v="12"/>
    <n v="3.2258064516129031E-2"/>
    <n v="0.5161290322580645"/>
    <n v="0.54838709677419351"/>
    <n v="0.15354838709677421"/>
    <n v="0.38709677419354838"/>
    <x v="2"/>
    <d v="2008-01-02T00:00:00"/>
    <s v="6'1&quot;"/>
    <n v="187"/>
    <s v="R"/>
  </r>
  <r>
    <s v="Lithuania flag"/>
    <x v="10"/>
    <x v="71"/>
    <x v="0"/>
    <s v="Genève-Servette HC"/>
    <s v="NL"/>
    <n v="0.65"/>
    <n v="35"/>
    <n v="4"/>
    <n v="4"/>
    <n v="8"/>
    <n v="16"/>
    <n v="0.11428571428571428"/>
    <n v="0.11428571428571428"/>
    <n v="0.22857142857142856"/>
    <n v="0.14857142857142858"/>
    <n v="0.45714285714285713"/>
    <x v="3"/>
    <d v="2007-10-21T00:00:00"/>
    <s v="6'3&quot;"/>
    <n v="198"/>
    <s v="R"/>
  </r>
  <r>
    <s v="Latvia flag"/>
    <x v="8"/>
    <x v="72"/>
    <x v="0"/>
    <s v="KooKoo U20"/>
    <s v="U20 SM-sarja"/>
    <n v="0.27"/>
    <n v="13"/>
    <n v="5"/>
    <n v="2"/>
    <n v="7"/>
    <n v="2"/>
    <n v="0.38461538461538464"/>
    <n v="0.15384615384615385"/>
    <n v="0.53846153846153844"/>
    <n v="0.14538461538461539"/>
    <n v="0.15384615384615385"/>
    <x v="3"/>
    <d v="2007-11-10T00:00:00"/>
    <s v="5'11&quot;"/>
    <n v="185"/>
    <s v="R"/>
  </r>
  <r>
    <s v="Czechia flag"/>
    <x v="5"/>
    <x v="73"/>
    <x v="0"/>
    <s v="Tappara U20"/>
    <s v="U20 SM-sarja"/>
    <n v="0.27"/>
    <n v="18"/>
    <n v="3"/>
    <n v="6"/>
    <n v="9"/>
    <n v="0"/>
    <n v="0.16666666666666666"/>
    <n v="0.33333333333333331"/>
    <n v="0.5"/>
    <n v="0.13500000000000001"/>
    <n v="0"/>
    <x v="3"/>
    <d v="2008-07-23T00:00:00"/>
    <s v="6'4&quot;"/>
    <n v="198"/>
    <s v="L"/>
  </r>
  <r>
    <s v="Finland flag"/>
    <x v="3"/>
    <x v="74"/>
    <x v="1"/>
    <s v="Kiekko-Espoo U20"/>
    <s v="U20 SM-sarja"/>
    <n v="0.27"/>
    <n v="22"/>
    <n v="3"/>
    <n v="8"/>
    <n v="11"/>
    <n v="2"/>
    <n v="0.13636363636363635"/>
    <n v="0.36363636363636365"/>
    <n v="0.5"/>
    <n v="0.13500000000000001"/>
    <n v="9.0909090909090912E-2"/>
    <x v="3"/>
    <d v="2008-09-13T00:00:00"/>
    <s v="5'11&quot;"/>
    <n v="172"/>
    <s v="R"/>
  </r>
  <r>
    <s v="Canada flag"/>
    <x v="2"/>
    <x v="75"/>
    <x v="1"/>
    <s v="Soo Greyhounds"/>
    <s v="OHL"/>
    <n v="0.3"/>
    <n v="9"/>
    <n v="1"/>
    <n v="3"/>
    <n v="4"/>
    <n v="8"/>
    <n v="0.1111111111111111"/>
    <n v="0.33333333333333331"/>
    <n v="0.44444444444444442"/>
    <n v="0.13333333333333333"/>
    <n v="0.88888888888888884"/>
    <x v="3"/>
    <d v="2008-01-28T00:00:00"/>
    <s v="6'1&quot;"/>
    <n v="176"/>
    <s v="L"/>
  </r>
  <r>
    <s v="Finland flag"/>
    <x v="3"/>
    <x v="76"/>
    <x v="0"/>
    <s v="Tappara"/>
    <s v="Liiga"/>
    <n v="0.54"/>
    <n v="30"/>
    <n v="2"/>
    <n v="5"/>
    <n v="7"/>
    <n v="10"/>
    <n v="6.6666666666666666E-2"/>
    <n v="0.16666666666666666"/>
    <n v="0.23333333333333334"/>
    <n v="0.126"/>
    <n v="0.33333333333333331"/>
    <x v="3"/>
    <d v="2008-09-02T00:00:00"/>
    <s v="6'3&quot;"/>
    <n v="209"/>
    <s v="L"/>
  </r>
  <r>
    <s v="Sweden flag"/>
    <x v="0"/>
    <x v="77"/>
    <x v="1"/>
    <s v="Frölunda HC U20"/>
    <s v="U20 Nationell"/>
    <n v="0.26"/>
    <n v="21"/>
    <n v="3"/>
    <n v="7"/>
    <n v="10"/>
    <n v="22"/>
    <n v="0.14285714285714285"/>
    <n v="0.33333333333333331"/>
    <n v="0.47619047619047616"/>
    <n v="0.12380952380952381"/>
    <n v="1.0476190476190477"/>
    <x v="3"/>
    <d v="2007-10-31T00:00:00"/>
    <s v="6'1&quot;"/>
    <n v="194"/>
    <s v="L"/>
  </r>
  <r>
    <s v="Canada flag"/>
    <x v="2"/>
    <x v="78"/>
    <x v="1"/>
    <s v="Madison Capitols"/>
    <s v="USHL"/>
    <n v="0.28999999999999998"/>
    <n v="22"/>
    <n v="1"/>
    <n v="8"/>
    <n v="9"/>
    <n v="8"/>
    <n v="4.5454545454545456E-2"/>
    <n v="0.36363636363636365"/>
    <n v="0.40909090909090912"/>
    <n v="0.11863636363636364"/>
    <n v="0.36363636363636365"/>
    <x v="3"/>
    <d v="2008-03-12T00:00:00"/>
    <s v="6'0&quot;"/>
    <n v="170"/>
    <s v="R"/>
  </r>
  <r>
    <s v="Czechia flag"/>
    <x v="5"/>
    <x v="79"/>
    <x v="1"/>
    <s v="Penticton Vees"/>
    <s v="WHL"/>
    <n v="0.3"/>
    <n v="20"/>
    <n v="1"/>
    <n v="6"/>
    <n v="7"/>
    <n v="10"/>
    <n v="0.05"/>
    <n v="0.3"/>
    <n v="0.35"/>
    <n v="0.105"/>
    <n v="0.5"/>
    <x v="3"/>
    <d v="2008-03-03T00:00:00"/>
    <s v="6'2&quot;"/>
    <n v="198"/>
    <s v="R"/>
  </r>
  <r>
    <s v="USA flag"/>
    <x v="1"/>
    <x v="80"/>
    <x v="1"/>
    <s v="U.S. National U18 Team"/>
    <s v="NTDP"/>
    <n v="0.35"/>
    <n v="27"/>
    <n v="0"/>
    <n v="8"/>
    <n v="8"/>
    <n v="51"/>
    <n v="0"/>
    <n v="0.29629629629629628"/>
    <n v="0.29629629629629628"/>
    <n v="0.10370370370370369"/>
    <n v="1.8888888888888888"/>
    <x v="3"/>
    <d v="2008-01-29T00:00:00"/>
    <s v="6'3&quot;"/>
    <n v="201"/>
    <s v="R"/>
  </r>
  <r>
    <s v="Canada flag"/>
    <x v="2"/>
    <x v="81"/>
    <x v="0"/>
    <s v="Wenatchee Wild"/>
    <s v="WHL"/>
    <n v="0.3"/>
    <n v="32"/>
    <n v="7"/>
    <n v="3"/>
    <n v="10"/>
    <n v="29"/>
    <n v="0.21875"/>
    <n v="9.375E-2"/>
    <n v="0.3125"/>
    <n v="9.375E-2"/>
    <n v="0.90625"/>
    <x v="3"/>
    <d v="2008-01-16T00:00:00"/>
    <s v="6'4&quot;"/>
    <n v="172"/>
    <s v="R"/>
  </r>
  <r>
    <s v="Canada flag"/>
    <x v="2"/>
    <x v="82"/>
    <x v="1"/>
    <s v="Saint John Sea Dogs"/>
    <s v="QMJHL"/>
    <n v="0.28000000000000003"/>
    <n v="17"/>
    <n v="2"/>
    <n v="3"/>
    <n v="5"/>
    <n v="6"/>
    <n v="0.11764705882352941"/>
    <n v="0.17647058823529413"/>
    <n v="0.29411764705882354"/>
    <n v="8.2352941176470601E-2"/>
    <n v="0.35294117647058826"/>
    <x v="3"/>
    <d v="2008-03-02T00:00:00"/>
    <s v="6'1&quot;"/>
    <n v="201"/>
    <s v="R"/>
  </r>
  <r>
    <s v="Sweden flag"/>
    <x v="0"/>
    <x v="83"/>
    <x v="1"/>
    <s v="Luleå HF"/>
    <s v="SHL"/>
    <n v="0.78"/>
    <n v="22"/>
    <n v="0"/>
    <n v="2"/>
    <n v="2"/>
    <n v="8"/>
    <n v="0"/>
    <n v="9.0909090909090912E-2"/>
    <n v="9.0909090909090912E-2"/>
    <n v="7.0909090909090908E-2"/>
    <n v="0.36363636363636365"/>
    <x v="3"/>
    <d v="2007-10-07T00:00:00"/>
    <s v="6'4&quot;"/>
    <n v="207"/>
    <s v="L"/>
  </r>
  <r>
    <s v="Latvia flag"/>
    <x v="8"/>
    <x v="84"/>
    <x v="0"/>
    <s v="Sherbrooke Phoenix"/>
    <s v="QMJHL"/>
    <n v="0.28000000000000003"/>
    <n v="26"/>
    <n v="2"/>
    <n v="4"/>
    <n v="6"/>
    <n v="8"/>
    <n v="7.6923076923076927E-2"/>
    <n v="0.15384615384615385"/>
    <n v="0.23076923076923078"/>
    <n v="6.461538461538463E-2"/>
    <n v="0.30769230769230771"/>
    <x v="3"/>
    <d v="2008-07-07T00:00:00"/>
    <s v="6'0&quot;"/>
    <n v="190"/>
    <s v="L"/>
  </r>
  <r>
    <s v="Finland flag"/>
    <x v="3"/>
    <x v="85"/>
    <x v="1"/>
    <s v="Tappara"/>
    <s v="Liiga"/>
    <n v="0.54"/>
    <n v="26"/>
    <n v="0"/>
    <n v="3"/>
    <n v="3"/>
    <n v="8"/>
    <n v="0"/>
    <n v="0.11538461538461539"/>
    <n v="0.11538461538461539"/>
    <n v="6.2307692307692314E-2"/>
    <n v="0.30769230769230771"/>
    <x v="3"/>
    <d v="2008-08-09T00:00:00"/>
    <s v="6'3&quot;"/>
    <n v="203"/>
    <s v="R"/>
  </r>
  <r>
    <s v="Canada flag"/>
    <x v="2"/>
    <x v="86"/>
    <x v="0"/>
    <s v="Niagara IceDogs"/>
    <s v="OHL"/>
    <n v="0.3"/>
    <n v="31"/>
    <n v="1"/>
    <n v="5"/>
    <n v="6"/>
    <n v="29"/>
    <n v="3.2258064516129031E-2"/>
    <n v="0.16129032258064516"/>
    <n v="0.19354838709677419"/>
    <n v="5.8064516129032254E-2"/>
    <n v="0.93548387096774188"/>
    <x v="3"/>
    <d v="2007-10-15T00:00:00"/>
    <s v="5'10&quot;"/>
    <n v="174"/>
    <s v="L"/>
  </r>
  <r>
    <s v="Russia flag"/>
    <x v="4"/>
    <x v="87"/>
    <x v="0"/>
    <s v="MHK Spartak Moskva"/>
    <s v="MHL"/>
    <n v="0.27"/>
    <n v="34"/>
    <n v="3"/>
    <n v="4"/>
    <n v="7"/>
    <n v="6"/>
    <n v="8.8235294117647065E-2"/>
    <n v="0.11764705882352941"/>
    <n v="0.20588235294117646"/>
    <n v="5.5588235294117647E-2"/>
    <n v="0.17647058823529413"/>
    <x v="3"/>
    <d v="2007-12-23T00:00:00"/>
    <s v="6'2&quot;"/>
    <n v="170"/>
    <s v="L"/>
  </r>
  <r>
    <s v="Switzerland flag"/>
    <x v="11"/>
    <x v="88"/>
    <x v="0"/>
    <s v="Rimouski Océanic"/>
    <s v="QMJHL"/>
    <n v="0.28000000000000003"/>
    <n v="13"/>
    <n v="0"/>
    <n v="2"/>
    <n v="2"/>
    <n v="4"/>
    <n v="0"/>
    <n v="0.15384615384615385"/>
    <n v="0.15384615384615385"/>
    <n v="4.3076923076923082E-2"/>
    <n v="0.30769230769230771"/>
    <x v="3"/>
    <d v="2008-05-29T00:00:00"/>
    <s v="5'11&quot;"/>
    <n v="172"/>
    <s v="L"/>
  </r>
  <r>
    <s v="Sweden flag"/>
    <x v="0"/>
    <x v="89"/>
    <x v="1"/>
    <s v="MoDo Hockey U20"/>
    <s v="U20 Nationell"/>
    <n v="0.26"/>
    <n v="13"/>
    <n v="0"/>
    <n v="1"/>
    <n v="1"/>
    <n v="37"/>
    <n v="0"/>
    <n v="7.6923076923076927E-2"/>
    <n v="7.6923076923076927E-2"/>
    <n v="0.02"/>
    <n v="2.8461538461538463"/>
    <x v="3"/>
    <d v="2008-04-15T00:00:00"/>
    <s v="6'4&quot;"/>
    <n v="203"/>
    <s v="L"/>
  </r>
  <r>
    <s v="Canada flag"/>
    <x v="2"/>
    <x v="90"/>
    <x v="0"/>
    <s v="Penn State Univ."/>
    <s v="NCAA"/>
    <n v="0.41"/>
    <n v="16"/>
    <n v="4"/>
    <n v="14"/>
    <n v="18"/>
    <n v="4"/>
    <n v="0.25"/>
    <n v="0.875"/>
    <n v="1.125"/>
    <n v="0.46124999999999999"/>
    <n v="0.25"/>
    <x v="0"/>
    <d v="2007-12-19T00:00:00"/>
    <s v="6'0&quot;"/>
    <n v="170"/>
    <s v="L"/>
  </r>
  <r>
    <s v="Canada flag"/>
    <x v="2"/>
    <x v="91"/>
    <x v="0"/>
    <s v="Univ. of Michigan"/>
    <s v="NCAA"/>
    <n v="0.41"/>
    <n v="20"/>
    <n v="5"/>
    <n v="12"/>
    <n v="17"/>
    <n v="28"/>
    <n v="0.25"/>
    <n v="0.6"/>
    <n v="0.85"/>
    <n v="0.34849999999999998"/>
    <n v="1.4"/>
    <x v="0"/>
    <d v="2008-04-10T00:00:00"/>
    <s v="5'11&quot;"/>
    <n v="185"/>
    <s v="L"/>
  </r>
  <r>
    <s v="Canada flag"/>
    <x v="2"/>
    <x v="92"/>
    <x v="1"/>
    <s v="Univ. of North Dakota"/>
    <s v="NCAA"/>
    <n v="0.41"/>
    <n v="16"/>
    <n v="4"/>
    <n v="7"/>
    <n v="11"/>
    <n v="21"/>
    <n v="0.25"/>
    <n v="0.4375"/>
    <n v="0.6875"/>
    <n v="0.28187499999999999"/>
    <n v="1.3125"/>
    <x v="1"/>
    <d v="2008-06-18T00:00:00"/>
    <s v="6'4&quot;"/>
    <n v="212"/>
    <s v="R"/>
  </r>
  <r>
    <s v="Sweden flag"/>
    <x v="0"/>
    <x v="93"/>
    <x v="0"/>
    <s v="MoDo Hockey"/>
    <s v="HockeyAllsvenskan"/>
    <n v="0.45"/>
    <n v="18"/>
    <n v="7"/>
    <n v="3"/>
    <n v="10"/>
    <n v="14"/>
    <n v="0.3888888888888889"/>
    <n v="0.16666666666666666"/>
    <n v="0.55555555555555558"/>
    <n v="0.25"/>
    <n v="0.77777777777777779"/>
    <x v="1"/>
    <d v="2008-02-04T00:00:00"/>
    <s v="6'1&quot;"/>
    <n v="181"/>
    <s v="R"/>
  </r>
  <r>
    <s v="USA flag"/>
    <x v="1"/>
    <x v="94"/>
    <x v="2"/>
    <s v="Kelowna Rockets"/>
    <s v="WHL"/>
    <n v="0.3"/>
    <n v="16"/>
    <s v="-"/>
    <s v="-"/>
    <s v="-"/>
    <s v="-"/>
    <n v="0"/>
    <n v="0"/>
    <n v="0"/>
    <n v="0"/>
    <n v="0"/>
    <x v="3"/>
    <d v="2007-12-10T00:00:00"/>
    <s v="6'3&quot;"/>
    <n v="194"/>
    <s v="-"/>
  </r>
  <r>
    <s v="Russia flag"/>
    <x v="4"/>
    <x v="95"/>
    <x v="2"/>
    <s v="Loko-76 Yaroslavl"/>
    <s v="MHL"/>
    <n v="0.27"/>
    <n v="11"/>
    <s v="-"/>
    <s v="-"/>
    <s v="-"/>
    <s v="-"/>
    <n v="0"/>
    <n v="0"/>
    <n v="0"/>
    <n v="0"/>
    <n v="0"/>
    <x v="3"/>
    <d v="2008-06-18T00:00:00"/>
    <s v="6'3&quot;"/>
    <n v="198"/>
    <s v="-"/>
  </r>
  <r>
    <s v="Canada flag"/>
    <x v="2"/>
    <x v="96"/>
    <x v="2"/>
    <s v="Guelph Storm"/>
    <s v="OHL"/>
    <n v="0.3"/>
    <n v="25"/>
    <s v="-"/>
    <s v="-"/>
    <s v="-"/>
    <s v="-"/>
    <n v="0"/>
    <n v="0"/>
    <n v="0"/>
    <n v="0"/>
    <n v="0"/>
    <x v="3"/>
    <d v="2007-10-06T00:00:00"/>
    <s v="6'2&quot;"/>
    <n v="170"/>
    <s v="-"/>
  </r>
  <r>
    <s v="Russia flag"/>
    <x v="4"/>
    <x v="97"/>
    <x v="2"/>
    <s v="Akademiya SKA St. Petersburg"/>
    <s v="MHL"/>
    <n v="0.27"/>
    <n v="21"/>
    <s v="-"/>
    <s v="-"/>
    <s v="-"/>
    <s v="-"/>
    <n v="0"/>
    <n v="0"/>
    <n v="0"/>
    <n v="0"/>
    <n v="0"/>
    <x v="3"/>
    <d v="2007-11-05T00:00:00"/>
    <s v="6'1&quot;"/>
    <n v="181"/>
    <s v="-"/>
  </r>
  <r>
    <s v="USA flag"/>
    <x v="1"/>
    <x v="98"/>
    <x v="2"/>
    <s v="U.S. National U18 Team"/>
    <s v="NTDP"/>
    <n v="0.35"/>
    <n v="15"/>
    <s v="-"/>
    <s v="-"/>
    <s v="-"/>
    <s v="-"/>
    <n v="0"/>
    <n v="0"/>
    <n v="0"/>
    <n v="0"/>
    <n v="0"/>
    <x v="3"/>
    <d v="2008-03-08T00:00:00"/>
    <s v="6'5&quot;"/>
    <n v="203"/>
    <s v="-"/>
  </r>
  <r>
    <s v="USA flag"/>
    <x v="1"/>
    <x v="99"/>
    <x v="1"/>
    <s v="Arizona State Univ."/>
    <s v="NCAA"/>
    <n v="0.41"/>
    <n v="16"/>
    <n v="0"/>
    <n v="0"/>
    <n v="0"/>
    <n v="18"/>
    <n v="0"/>
    <n v="0"/>
    <n v="0"/>
    <n v="0"/>
    <n v="1.125"/>
    <x v="3"/>
    <d v="2007-11-27T00:00:00"/>
    <s v="6'2&quot;"/>
    <n v="205"/>
    <s v="R"/>
  </r>
</pivotCacheRecords>
</file>

<file path=xl/pivotCache/richPivot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Sweden flag"/>
    <x v="0"/>
    <s v="Ivar Stenberg "/>
    <s v="F"/>
    <s v="Frölunda HC"/>
    <x v="0"/>
    <n v="0.78"/>
    <n v="25"/>
    <n v="6"/>
    <n v="18"/>
    <n v="24"/>
    <n v="4"/>
    <n v="0.24"/>
    <n v="0.72"/>
    <n v="0.96"/>
    <n v="0.74880000000000002"/>
    <n v="0.16"/>
    <s v="Q4"/>
    <d v="2007-09-29T00:00:00"/>
    <s v="6'0&quot;"/>
    <n v="181"/>
    <s v="L"/>
  </r>
  <r>
    <s v="USA flag"/>
    <x v="1"/>
    <s v="J.P. Hurlbert "/>
    <s v="F"/>
    <s v="Kamloops Blazers"/>
    <x v="1"/>
    <n v="0.3"/>
    <n v="33"/>
    <n v="22"/>
    <n v="33"/>
    <n v="55"/>
    <n v="16"/>
    <n v="0.66666666666666663"/>
    <n v="1"/>
    <n v="1.6666666666666667"/>
    <n v="0.5"/>
    <n v="0.48484848484848486"/>
    <s v="Q4"/>
    <d v="2008-04-10T00:00:00"/>
    <s v="6'0&quot;"/>
    <n v="183"/>
    <s v="R"/>
  </r>
  <r>
    <s v="Canada flag"/>
    <x v="2"/>
    <s v="Gavin McKenna "/>
    <s v="F"/>
    <s v="Penn State Univ."/>
    <x v="2"/>
    <n v="0.41"/>
    <n v="16"/>
    <n v="4"/>
    <n v="14"/>
    <n v="18"/>
    <n v="4"/>
    <n v="0.25"/>
    <n v="0.875"/>
    <n v="1.125"/>
    <n v="0.46124999999999999"/>
    <n v="0.25"/>
    <s v="Q4"/>
    <d v="2007-12-19T00:00:00"/>
    <s v="6'0&quot;"/>
    <n v="170"/>
    <s v="L"/>
  </r>
  <r>
    <s v="Canada flag"/>
    <x v="2"/>
    <s v="Tynan Lawrence "/>
    <s v="F"/>
    <s v="Muskegon Lumberjacks"/>
    <x v="3"/>
    <n v="0.28999999999999998"/>
    <n v="9"/>
    <n v="8"/>
    <n v="5"/>
    <n v="13"/>
    <n v="6"/>
    <n v="0.88888888888888884"/>
    <n v="0.55555555555555558"/>
    <n v="1.4444444444444444"/>
    <n v="0.41888888888888887"/>
    <n v="0.66666666666666663"/>
    <s v="Q4"/>
    <d v="2008-08-02T00:00:00"/>
    <s v="6'0&quot;"/>
    <n v="185"/>
    <s v="L"/>
  </r>
  <r>
    <s v="Canada flag"/>
    <x v="2"/>
    <s v="Caleb Malhotra "/>
    <s v="F"/>
    <s v="Brantford Bulldogs"/>
    <x v="4"/>
    <n v="0.3"/>
    <n v="32"/>
    <n v="17"/>
    <n v="27"/>
    <n v="44"/>
    <n v="22"/>
    <n v="0.53125"/>
    <n v="0.84375"/>
    <n v="1.375"/>
    <n v="0.41249999999999998"/>
    <n v="0.6875"/>
    <s v="Q4"/>
    <d v="2008-06-01T00:00:00"/>
    <s v="6'2&quot;"/>
    <n v="183"/>
    <s v="L"/>
  </r>
  <r>
    <s v="Finland flag"/>
    <x v="3"/>
    <s v="Oscar Hemming "/>
    <s v="F"/>
    <s v="Finland U18 (all)"/>
    <x v="5"/>
    <n v="0.33"/>
    <n v="6"/>
    <n v="5"/>
    <n v="2"/>
    <n v="7"/>
    <n v="4"/>
    <n v="0.83333333333333337"/>
    <n v="0.33333333333333331"/>
    <n v="1.1666666666666667"/>
    <n v="0.38500000000000006"/>
    <n v="0.66666666666666663"/>
    <s v="Q4"/>
    <d v="2008-08-12T00:00:00"/>
    <s v="6'4&quot;"/>
    <n v="196"/>
    <s v="L"/>
  </r>
  <r>
    <s v="Sweden flag"/>
    <x v="0"/>
    <s v="Marcus Nordmark "/>
    <s v="F"/>
    <s v="Djurgårdens IF U20"/>
    <x v="6"/>
    <n v="0.26"/>
    <n v="17"/>
    <n v="7"/>
    <n v="18"/>
    <n v="25"/>
    <n v="38"/>
    <n v="0.41176470588235292"/>
    <n v="1.0588235294117647"/>
    <n v="1.4705882352941178"/>
    <n v="0.38235294117647062"/>
    <n v="2.2352941176470589"/>
    <s v="Q4"/>
    <d v="2008-05-03T00:00:00"/>
    <s v="6'2&quot;"/>
    <n v="187"/>
    <s v="L"/>
  </r>
  <r>
    <s v="Sweden flag"/>
    <x v="0"/>
    <s v="Alexander Command "/>
    <s v="F"/>
    <s v="Örebro HK U20"/>
    <x v="6"/>
    <n v="0.26"/>
    <n v="18"/>
    <n v="12"/>
    <n v="14"/>
    <n v="26"/>
    <n v="18"/>
    <n v="0.66666666666666663"/>
    <n v="0.77777777777777779"/>
    <n v="1.4444444444444444"/>
    <n v="0.37555555555555559"/>
    <n v="1"/>
    <s v="Q4"/>
    <d v="2008-06-15T00:00:00"/>
    <s v="6'1&quot;"/>
    <n v="183"/>
    <s v="L"/>
  </r>
  <r>
    <s v="USA flag"/>
    <x v="1"/>
    <s v="Nikita Klepov "/>
    <s v="F"/>
    <s v="Saginaw Spirit"/>
    <x v="4"/>
    <n v="0.3"/>
    <n v="32"/>
    <n v="19"/>
    <n v="21"/>
    <n v="40"/>
    <n v="21"/>
    <n v="0.59375"/>
    <n v="0.65625"/>
    <n v="1.25"/>
    <n v="0.375"/>
    <n v="0.65625"/>
    <s v="Q4"/>
    <d v="2008-06-26T00:00:00"/>
    <s v="6'0&quot;"/>
    <n v="181"/>
    <s v="L"/>
  </r>
  <r>
    <s v="Canada flag"/>
    <x v="2"/>
    <s v="Ryan Lin "/>
    <s v="D"/>
    <s v="Vancouver Giants"/>
    <x v="1"/>
    <n v="0.3"/>
    <n v="34"/>
    <n v="9"/>
    <n v="33"/>
    <n v="42"/>
    <n v="20"/>
    <n v="0.26470588235294118"/>
    <n v="0.97058823529411764"/>
    <n v="1.2352941176470589"/>
    <n v="0.37058823529411766"/>
    <n v="0.58823529411764708"/>
    <s v="Q4"/>
    <d v="2008-04-17T00:00:00"/>
    <s v="5'11&quot;"/>
    <n v="176"/>
    <s v="R"/>
  </r>
  <r>
    <s v="Russia flag"/>
    <x v="4"/>
    <s v="Lavr Gashilov "/>
    <s v="F"/>
    <s v="Avto Yekaterinburg"/>
    <x v="7"/>
    <n v="0.27"/>
    <n v="32"/>
    <n v="11"/>
    <n v="32"/>
    <n v="43"/>
    <n v="16"/>
    <n v="0.34375"/>
    <n v="1"/>
    <n v="1.34375"/>
    <n v="0.36281250000000004"/>
    <n v="0.5"/>
    <s v="Q4"/>
    <d v="2007-09-22T00:00:00"/>
    <s v="6'2&quot;"/>
    <n v="170"/>
    <s v="L"/>
  </r>
  <r>
    <s v="Czechia flag"/>
    <x v="5"/>
    <s v="Adam Novotny "/>
    <s v="F"/>
    <s v="Peterborough Petes"/>
    <x v="4"/>
    <n v="0.3"/>
    <n v="29"/>
    <n v="19"/>
    <n v="16"/>
    <n v="35"/>
    <n v="6"/>
    <n v="0.65517241379310343"/>
    <n v="0.55172413793103448"/>
    <n v="1.2068965517241379"/>
    <n v="0.36206896551724138"/>
    <n v="0.20689655172413793"/>
    <s v="Q4"/>
    <d v="2007-11-12T00:00:00"/>
    <s v="6'1&quot;"/>
    <n v="205"/>
    <s v="L"/>
  </r>
  <r>
    <s v="Russia flag"/>
    <x v="4"/>
    <s v="Yegor Shilov "/>
    <s v="F"/>
    <s v="Victoriaville Tigres"/>
    <x v="8"/>
    <n v="0.28000000000000003"/>
    <n v="31"/>
    <n v="15"/>
    <n v="25"/>
    <n v="40"/>
    <n v="21"/>
    <n v="0.4838709677419355"/>
    <n v="0.80645161290322576"/>
    <n v="1.2903225806451613"/>
    <n v="0.3612903225806452"/>
    <n v="0.67741935483870963"/>
    <s v="Q4"/>
    <d v="2008-04-29T00:00:00"/>
    <s v="6'1&quot;"/>
    <n v="181"/>
    <s v="L"/>
  </r>
  <r>
    <s v="Canada flag"/>
    <x v="2"/>
    <s v="Ryan Roobroeck "/>
    <s v="F"/>
    <s v="Niagara IceDogs"/>
    <x v="4"/>
    <n v="0.3"/>
    <n v="32"/>
    <n v="18"/>
    <n v="20"/>
    <n v="38"/>
    <n v="18"/>
    <n v="0.5625"/>
    <n v="0.625"/>
    <n v="1.1875"/>
    <n v="0.35625000000000001"/>
    <n v="0.5625"/>
    <s v="Q4"/>
    <d v="2007-09-24T00:00:00"/>
    <s v="6'4&quot;"/>
    <n v="216"/>
    <s v="L"/>
  </r>
  <r>
    <s v="Canada flag"/>
    <x v="2"/>
    <s v="Pierce Mbuyi "/>
    <s v="F"/>
    <s v="Owen Sound Attack"/>
    <x v="4"/>
    <n v="0.3"/>
    <n v="36"/>
    <n v="19"/>
    <n v="23"/>
    <n v="42"/>
    <n v="55"/>
    <n v="0.52777777777777779"/>
    <n v="0.63888888888888884"/>
    <n v="1.1666666666666667"/>
    <n v="0.35000000000000003"/>
    <n v="1.5277777777777777"/>
    <s v="Q4"/>
    <d v="2008-04-16T00:00:00"/>
    <s v="5'11&quot;"/>
    <n v="159"/>
    <s v="L"/>
  </r>
  <r>
    <s v="USA flag"/>
    <x v="1"/>
    <s v="Wyatt Cullen "/>
    <s v="F"/>
    <s v="U.S. National U18 Team"/>
    <x v="9"/>
    <n v="0.35"/>
    <n v="8"/>
    <n v="2"/>
    <n v="6"/>
    <n v="8"/>
    <n v="0"/>
    <n v="0.25"/>
    <n v="0.75"/>
    <n v="1"/>
    <n v="0.35"/>
    <n v="0"/>
    <s v="Q4"/>
    <d v="2008-09-07T00:00:00"/>
    <s v="6'0&quot;"/>
    <n v="172"/>
    <s v="L"/>
  </r>
  <r>
    <s v="Canada flag"/>
    <x v="2"/>
    <s v="Adam Valentini "/>
    <s v="F"/>
    <s v="Univ. of Michigan"/>
    <x v="2"/>
    <n v="0.41"/>
    <n v="20"/>
    <n v="5"/>
    <n v="12"/>
    <n v="17"/>
    <n v="28"/>
    <n v="0.25"/>
    <n v="0.6"/>
    <n v="0.85"/>
    <n v="0.34849999999999998"/>
    <n v="1.4"/>
    <s v="Q4"/>
    <d v="2008-04-10T00:00:00"/>
    <s v="5'11&quot;"/>
    <n v="185"/>
    <s v="L"/>
  </r>
  <r>
    <s v="Norway flag"/>
    <x v="6"/>
    <s v="Niklas Aaram-Olsen "/>
    <s v="F"/>
    <s v="Örebro HK U20"/>
    <x v="6"/>
    <n v="0.26"/>
    <n v="18"/>
    <n v="14"/>
    <n v="10"/>
    <n v="24"/>
    <n v="12"/>
    <n v="0.77777777777777779"/>
    <n v="0.55555555555555558"/>
    <n v="1.3333333333333333"/>
    <n v="0.34666666666666668"/>
    <n v="0.66666666666666663"/>
    <s v="Q4"/>
    <d v="2008-04-18T00:00:00"/>
    <s v="6'1&quot;"/>
    <n v="185"/>
    <s v="L"/>
  </r>
  <r>
    <s v="USA flag"/>
    <x v="1"/>
    <s v="Chase Reid "/>
    <s v="D"/>
    <s v="Soo Greyhounds"/>
    <x v="4"/>
    <n v="0.3"/>
    <n v="31"/>
    <n v="14"/>
    <n v="21"/>
    <n v="35"/>
    <n v="24"/>
    <n v="0.45161290322580644"/>
    <n v="0.67741935483870963"/>
    <n v="1.1290322580645162"/>
    <n v="0.33870967741935487"/>
    <n v="0.77419354838709675"/>
    <s v="Q4"/>
    <d v="2007-12-29T00:00:00"/>
    <s v="6'2&quot;"/>
    <n v="187"/>
    <s v="R"/>
  </r>
  <r>
    <s v="Sweden flag"/>
    <x v="0"/>
    <s v="Axel Elofsson "/>
    <s v="D"/>
    <s v="Örebro HK U20"/>
    <x v="6"/>
    <n v="0.26"/>
    <n v="20"/>
    <n v="4"/>
    <n v="22"/>
    <n v="26"/>
    <n v="10"/>
    <n v="0.2"/>
    <n v="1.1000000000000001"/>
    <n v="1.3"/>
    <n v="0.33800000000000002"/>
    <n v="0.5"/>
    <s v="Q4"/>
    <d v="2008-06-02T00:00:00"/>
    <s v="5'11&quot;"/>
    <n v="165"/>
    <s v="R"/>
  </r>
  <r>
    <s v="USA flag"/>
    <x v="1"/>
    <s v="Landon Hafele "/>
    <s v="F"/>
    <s v="Green Bay Gamblers"/>
    <x v="3"/>
    <n v="0.28999999999999998"/>
    <n v="20"/>
    <n v="7"/>
    <n v="15"/>
    <n v="22"/>
    <n v="31"/>
    <n v="0.35"/>
    <n v="0.75"/>
    <n v="1.1000000000000001"/>
    <n v="0.31900000000000001"/>
    <n v="1.55"/>
    <s v="Q4"/>
    <d v="2007-09-17T00:00:00"/>
    <s v="6'0&quot;"/>
    <n v="187"/>
    <s v="L"/>
  </r>
  <r>
    <s v="Canada flag"/>
    <x v="2"/>
    <s v="Carson Carels"/>
    <s v="D"/>
    <s v="Prince George Cougars"/>
    <x v="1"/>
    <n v="0.3"/>
    <n v="28"/>
    <n v="8"/>
    <n v="21"/>
    <n v="29"/>
    <n v="32"/>
    <n v="0.2857142857142857"/>
    <n v="0.75"/>
    <n v="1.0357142857142858"/>
    <n v="0.31071428571428572"/>
    <n v="1.1428571428571428"/>
    <s v="Q4"/>
    <d v="2008-06-22T00:00:00"/>
    <s v="6'2&quot;"/>
    <n v="194"/>
    <s v="L"/>
  </r>
  <r>
    <s v="Canada flag"/>
    <x v="2"/>
    <s v="Ethan Belchetz "/>
    <s v="F"/>
    <s v="Windsor Spitfires"/>
    <x v="4"/>
    <n v="0.3"/>
    <n v="31"/>
    <n v="18"/>
    <n v="14"/>
    <n v="32"/>
    <n v="26"/>
    <n v="0.58064516129032262"/>
    <n v="0.45161290322580644"/>
    <n v="1.032258064516129"/>
    <n v="0.30967741935483867"/>
    <n v="0.83870967741935487"/>
    <s v="Q4"/>
    <d v="2008-03-29T00:00:00"/>
    <s v="6'5&quot;"/>
    <n v="227"/>
    <s v="L"/>
  </r>
  <r>
    <s v="Canada flag"/>
    <x v="2"/>
    <s v="Riley Boychuk "/>
    <s v="F"/>
    <s v="Prince Albert Raiders"/>
    <x v="1"/>
    <n v="0.3"/>
    <n v="32"/>
    <n v="6"/>
    <n v="27"/>
    <n v="33"/>
    <n v="18"/>
    <n v="0.1875"/>
    <n v="0.84375"/>
    <n v="1.03125"/>
    <n v="0.30937500000000001"/>
    <n v="0.5625"/>
    <s v="Q4"/>
    <d v="2008-01-30T00:00:00"/>
    <s v="5'10&quot;"/>
    <n v="165"/>
    <s v="R"/>
  </r>
  <r>
    <s v="Canada flag"/>
    <x v="2"/>
    <s v="Noah Kosick "/>
    <s v="F"/>
    <s v="Swift Current Broncos"/>
    <x v="1"/>
    <n v="0.3"/>
    <n v="32"/>
    <n v="10"/>
    <n v="23"/>
    <n v="33"/>
    <n v="8"/>
    <n v="0.3125"/>
    <n v="0.71875"/>
    <n v="1.03125"/>
    <n v="0.30937500000000001"/>
    <n v="0.25"/>
    <s v="Q4"/>
    <d v="2008-08-17T00:00:00"/>
    <s v="5'11&quot;"/>
    <n v="17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9F04-61B0-4375-98A4-E6A765AA7829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2">
    <pivotField showAll="0"/>
    <pivotField showAll="0">
      <items count="8">
        <item x="2"/>
        <item x="5"/>
        <item x="3"/>
        <item x="6"/>
        <item x="4"/>
        <item x="0"/>
        <item x="1"/>
        <item t="default"/>
      </items>
    </pivotField>
    <pivotField dataField="1" showAll="0"/>
    <pivotField showAll="0"/>
    <pivotField showAll="0"/>
    <pivotField axis="axisRow" showAll="0">
      <items count="11">
        <item x="5"/>
        <item x="7"/>
        <item x="2"/>
        <item x="9"/>
        <item x="4"/>
        <item x="8"/>
        <item x="0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4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9D9F4-8E51-4E53-958B-C00A7D7864AD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4">
  <location ref="A3:D30" firstHeaderRow="1" firstDataRow="2" firstDataCol="1" rowPageCount="1" colPageCount="1"/>
  <pivotFields count="22">
    <pivotField showAll="0"/>
    <pivotField showAll="0">
      <items count="13">
        <item x="9"/>
        <item x="2"/>
        <item x="5"/>
        <item x="3"/>
        <item x="8"/>
        <item x="10"/>
        <item x="6"/>
        <item x="4"/>
        <item x="7"/>
        <item x="0"/>
        <item x="11"/>
        <item x="1"/>
        <item t="default"/>
      </items>
    </pivotField>
    <pivotField axis="axisRow" showAll="0">
      <items count="101">
        <item x="37"/>
        <item x="64"/>
        <item x="10"/>
        <item x="91"/>
        <item x="45"/>
        <item x="43"/>
        <item x="6"/>
        <item x="87"/>
        <item x="77"/>
        <item x="17"/>
        <item x="35"/>
        <item x="48"/>
        <item x="70"/>
        <item x="98"/>
        <item x="39"/>
        <item x="49"/>
        <item x="81"/>
        <item x="3"/>
        <item x="75"/>
        <item x="82"/>
        <item x="19"/>
        <item x="34"/>
        <item x="16"/>
        <item x="65"/>
        <item x="32"/>
        <item x="26"/>
        <item x="69"/>
        <item x="95"/>
        <item x="93"/>
        <item x="20"/>
        <item x="31"/>
        <item x="90"/>
        <item x="68"/>
        <item x="94"/>
        <item x="86"/>
        <item x="0"/>
        <item x="1"/>
        <item x="40"/>
        <item x="29"/>
        <item x="42"/>
        <item x="78"/>
        <item x="79"/>
        <item x="55"/>
        <item x="28"/>
        <item x="85"/>
        <item x="72"/>
        <item x="92"/>
        <item x="63"/>
        <item x="18"/>
        <item x="9"/>
        <item x="53"/>
        <item x="99"/>
        <item x="33"/>
        <item x="80"/>
        <item x="44"/>
        <item x="62"/>
        <item x="52"/>
        <item x="5"/>
        <item x="84"/>
        <item x="30"/>
        <item x="97"/>
        <item x="58"/>
        <item x="74"/>
        <item x="41"/>
        <item x="67"/>
        <item x="7"/>
        <item x="15"/>
        <item x="25"/>
        <item x="22"/>
        <item x="24"/>
        <item x="76"/>
        <item x="4"/>
        <item x="46"/>
        <item x="13"/>
        <item x="88"/>
        <item x="21"/>
        <item x="59"/>
        <item x="61"/>
        <item x="54"/>
        <item x="8"/>
        <item x="12"/>
        <item x="38"/>
        <item x="50"/>
        <item x="60"/>
        <item x="71"/>
        <item x="73"/>
        <item x="89"/>
        <item x="27"/>
        <item x="66"/>
        <item x="2"/>
        <item x="36"/>
        <item x="47"/>
        <item x="51"/>
        <item x="56"/>
        <item x="83"/>
        <item x="14"/>
        <item x="23"/>
        <item x="57"/>
        <item x="11"/>
        <item x="96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axis="axisPage" multipleItemSelectionAllowed="1" showAll="0">
      <items count="5">
        <item h="1" x="3"/>
        <item h="1" x="2"/>
        <item h="1"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26">
    <i>
      <x v="2"/>
    </i>
    <i>
      <x v="3"/>
    </i>
    <i>
      <x v="6"/>
    </i>
    <i>
      <x v="9"/>
    </i>
    <i>
      <x v="17"/>
    </i>
    <i>
      <x v="20"/>
    </i>
    <i>
      <x v="22"/>
    </i>
    <i>
      <x v="29"/>
    </i>
    <i>
      <x v="31"/>
    </i>
    <i>
      <x v="35"/>
    </i>
    <i>
      <x v="36"/>
    </i>
    <i>
      <x v="48"/>
    </i>
    <i>
      <x v="49"/>
    </i>
    <i>
      <x v="57"/>
    </i>
    <i>
      <x v="65"/>
    </i>
    <i>
      <x v="66"/>
    </i>
    <i>
      <x v="68"/>
    </i>
    <i>
      <x v="71"/>
    </i>
    <i>
      <x v="73"/>
    </i>
    <i>
      <x v="75"/>
    </i>
    <i>
      <x v="79"/>
    </i>
    <i>
      <x v="80"/>
    </i>
    <i>
      <x v="89"/>
    </i>
    <i>
      <x v="95"/>
    </i>
    <i>
      <x v="98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17" hier="-1"/>
  </pageFields>
  <dataFields count="1">
    <dataField name="Sum of NHLe SCOR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01">
    <v t="r">12</v>
    <v t="r">13</v>
    <v t="r">14</v>
    <v t="r">14</v>
    <v t="r">15</v>
    <v t="r">12</v>
    <v t="r">12</v>
    <v t="r">13</v>
    <v t="r">14</v>
    <v t="r">16</v>
    <v t="r">17</v>
    <v t="r">16</v>
    <v t="r">14</v>
    <v t="r">14</v>
    <v t="r">13</v>
    <v t="r">18</v>
    <v t="r">13</v>
    <v t="r">12</v>
    <v t="r">13</v>
    <v t="r">14</v>
    <v t="r">14</v>
    <v t="r">14</v>
    <v t="r">14</v>
    <v t="r">14</v>
    <v t="r">16</v>
    <v t="r">12</v>
    <v t="r">14</v>
    <v t="r">19</v>
    <v t="r">14</v>
    <v t="r">15</v>
    <v t="r">14</v>
    <v t="r">13</v>
    <v t="r">14</v>
    <v t="r">14</v>
    <v t="r">14</v>
    <v t="r">14</v>
    <v t="r">12</v>
    <v t="r">13</v>
    <v t="r">14</v>
    <v t="r">14</v>
    <v t="r">13</v>
    <v t="r">13</v>
    <v t="r">14</v>
    <v t="r">14</v>
    <v t="r">14</v>
    <v t="r">20</v>
    <v t="r">12</v>
    <v t="r">16</v>
    <v t="r">14</v>
    <v t="r">14</v>
    <v t="r">14</v>
    <v t="r">15</v>
    <v t="r">12</v>
    <v t="r">14</v>
    <v t="r">14</v>
    <v t="r">14</v>
    <v t="r">17</v>
    <v t="r">16</v>
    <v t="r">12</v>
    <v t="r">21</v>
    <v t="r">15</v>
    <v t="r">20</v>
    <v t="r">12</v>
    <v t="r">13</v>
    <v t="r">19</v>
    <v t="r">14</v>
    <v t="r">12</v>
    <v t="r">13</v>
    <v t="r">14</v>
    <v t="r">13</v>
    <v t="r">14</v>
    <v t="r">22</v>
    <v t="r">20</v>
    <v t="r">17</v>
    <v t="r">15</v>
    <v t="r">14</v>
    <v t="r">15</v>
    <v t="r">12</v>
    <v t="r">14</v>
    <v t="r">17</v>
    <v t="r">13</v>
    <v t="r">14</v>
    <v t="r">14</v>
    <v t="r">12</v>
    <v t="r">20</v>
    <v t="r">15</v>
    <v t="r">14</v>
    <v t="r">16</v>
    <v t="r">23</v>
    <v t="r">12</v>
    <v t="r">14</v>
    <v t="r">14</v>
    <v t="r">14</v>
    <v t="r">12</v>
    <v t="r">13</v>
    <v t="r">16</v>
    <v t="r">14</v>
    <v t="r">16</v>
    <v t="r">13</v>
    <v t="r">13</v>
    <v t="i">2</v>
  </a>
  <a r="26">
    <v t="r">12</v>
    <v t="r">13</v>
    <v t="r">14</v>
    <v t="r">14</v>
    <v t="r">14</v>
    <v t="r">15</v>
    <v t="r">12</v>
    <v t="r">12</v>
    <v t="r">13</v>
    <v t="r">14</v>
    <v t="r">16</v>
    <v t="r">17</v>
    <v t="r">16</v>
    <v t="r">14</v>
    <v t="r">14</v>
    <v t="r">13</v>
    <v t="r">14</v>
    <v t="r">18</v>
    <v t="r">13</v>
    <v t="r">12</v>
    <v t="r">13</v>
    <v t="r">14</v>
    <v t="r">14</v>
    <v t="r">14</v>
    <v t="r">14</v>
    <v t="i">2</v>
  </a>
</arrayData>
</file>

<file path=xl/richData/rdrichvalue.xml><?xml version="1.0" encoding="utf-8"?>
<rvData xmlns="http://schemas.microsoft.com/office/spreadsheetml/2017/richdata" count="28">
  <rv s="0">
    <v>0</v>
    <v>5</v>
    <v>Sweden flag</v>
  </rv>
  <rv s="0">
    <v>1</v>
    <v>5</v>
    <v>USA flag</v>
  </rv>
  <rv s="0">
    <v>2</v>
    <v>5</v>
    <v>Canada flag</v>
  </rv>
  <rv s="0">
    <v>3</v>
    <v>5</v>
    <v>Finland flag</v>
  </rv>
  <rv s="0">
    <v>4</v>
    <v>5</v>
    <v>Russia flag</v>
  </rv>
  <rv s="0">
    <v>5</v>
    <v>5</v>
    <v>Czechia flag</v>
  </rv>
  <rv s="0">
    <v>6</v>
    <v>5</v>
    <v>Norway flag</v>
  </rv>
  <rv s="0">
    <v>7</v>
    <v>5</v>
    <v>Slovakia flag</v>
  </rv>
  <rv s="0">
    <v>8</v>
    <v>5</v>
    <v>Latvia flag</v>
  </rv>
  <rv s="0">
    <v>9</v>
    <v>5</v>
    <v>Belarus flag</v>
  </rv>
  <rv s="0">
    <v>10</v>
    <v>5</v>
    <v>Lithuania flag</v>
  </rv>
  <rv s="0">
    <v>11</v>
    <v>5</v>
    <v>Switzerland flag</v>
  </rv>
  <rv s="0">
    <v>0</v>
    <v>4</v>
    <v>Sweden flag</v>
  </rv>
  <rv s="0">
    <v>1</v>
    <v>4</v>
    <v>USA flag</v>
  </rv>
  <rv s="0">
    <v>2</v>
    <v>4</v>
    <v>Canada flag</v>
  </rv>
  <rv s="0">
    <v>3</v>
    <v>4</v>
    <v>Finland flag</v>
  </rv>
  <rv s="0">
    <v>4</v>
    <v>4</v>
    <v>Russia flag</v>
  </rv>
  <rv s="0">
    <v>5</v>
    <v>4</v>
    <v>Czechia flag</v>
  </rv>
  <rv s="0">
    <v>6</v>
    <v>4</v>
    <v>Norway flag</v>
  </rv>
  <rv s="0">
    <v>7</v>
    <v>4</v>
    <v>Slovakia flag</v>
  </rv>
  <rv s="0">
    <v>8</v>
    <v>4</v>
    <v>Latvia flag</v>
  </rv>
  <rv s="0">
    <v>9</v>
    <v>4</v>
    <v>Belarus flag</v>
  </rv>
  <rv s="0">
    <v>10</v>
    <v>4</v>
    <v>Lithuania flag</v>
  </rv>
  <rv s="0">
    <v>11</v>
    <v>4</v>
    <v>Switzerland flag</v>
  </rv>
  <rv s="1">
    <v>0</v>
  </rv>
  <rv s="2">
    <v>{7A0CEEB8-07AF-4F12-A50C-F11B2316BDF5}</v>
    <v>0</v>
    <v>0</v>
    <v>24</v>
  </rv>
  <rv s="1">
    <v>1</v>
  </rv>
  <rv s="2">
    <v>{D93195DD-BFEA-4E34-83B1-7DF864DE9219}</v>
    <v>0</v>
    <v>0</v>
    <v>26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  <k n="Text" t="s"/>
  </s>
  <s t="_array">
    <k n="array" t="a"/>
  </s>
  <s t="_datasourcecontainer">
    <k n="%XLUID" t="s"/>
    <k n="_CRID" t="i"/>
    <k n="_Display" t="spb"/>
    <k n="FLAG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FLAG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CDD44-F75E-476C-9080-958E0D2F8AF2}" name="Table1" displayName="Table1" ref="A1:V101" totalsRowShown="0" headerRowDxfId="57" dataDxfId="56">
  <autoFilter ref="A1:V101" xr:uid="{B52CDD44-F75E-476C-9080-958E0D2F8AF2}">
    <filterColumn colId="17">
      <filters>
        <filter val="Q4"/>
      </filters>
    </filterColumn>
  </autoFilter>
  <sortState xmlns:xlrd2="http://schemas.microsoft.com/office/spreadsheetml/2017/richdata2" ref="A2:V93">
    <sortCondition descending="1" ref="P1:P101"/>
  </sortState>
  <tableColumns count="22">
    <tableColumn id="1" xr3:uid="{809712B9-A8D7-4F15-87D4-23724E8DDB29}" name="FLAG"/>
    <tableColumn id="2" xr3:uid="{E5A0983E-6E83-4C39-8CF8-46DDA253C4C7}" name="NATIONALITY"/>
    <tableColumn id="3" xr3:uid="{16B67AA2-E8E0-4770-9838-8051C866AA9C}" name="NAME"/>
    <tableColumn id="4" xr3:uid="{E4F5B81E-C036-4D14-92FF-BD5A71350E67}" name="POSITION" dataDxfId="55"/>
    <tableColumn id="5" xr3:uid="{FF3D0C65-CA50-42C8-9FB0-0BEF544C13A7}" name="TEAM"/>
    <tableColumn id="6" xr3:uid="{8A7ABCB9-8133-4A93-BEAB-92E40B02BCCF}" name="LEAGUE"/>
    <tableColumn id="20" xr3:uid="{9AFDAE4B-065F-46D0-9EA5-EB2D8C743911}" name="NHLe SCORE" dataDxfId="54"/>
    <tableColumn id="7" xr3:uid="{881256D4-3635-4738-8884-8BA6FEB060AD}" name="GP" dataDxfId="53"/>
    <tableColumn id="8" xr3:uid="{51B15AF8-44A7-44F5-894D-CDBF4BBA9A47}" name="G" dataDxfId="52"/>
    <tableColumn id="9" xr3:uid="{2FDBA5F3-E4D8-4C3A-ACE7-717CECDEB624}" name="A" dataDxfId="51"/>
    <tableColumn id="10" xr3:uid="{E240AA82-353A-4C1C-905B-FDE98336B64C}" name="PTS" dataDxfId="50"/>
    <tableColumn id="11" xr3:uid="{ACC7E96D-617D-459E-8FA8-10F77169F050}" name="PIM" dataDxfId="49"/>
    <tableColumn id="16" xr3:uid="{9B54274E-F5AF-4BCD-8C1E-E5BD6EE28F3F}" name="GPG" dataDxfId="48">
      <calculatedColumnFormula>Table1[[#This Row],[G]]/Table1[[#This Row],[GP]]</calculatedColumnFormula>
    </tableColumn>
    <tableColumn id="17" xr3:uid="{6D85E4E0-0268-4347-9B35-6B1F4FAFAB78}" name="APG" dataDxfId="47">
      <calculatedColumnFormula>Table1[[#This Row],[A]]/Table1[[#This Row],[GP]]</calculatedColumnFormula>
    </tableColumn>
    <tableColumn id="18" xr3:uid="{362F2E05-B7DF-4ECF-98B5-86AF57C20EF6}" name="PPG" dataDxfId="46">
      <calculatedColumnFormula>Table1[[#This Row],[PTS]]/Table1[[#This Row],[GP]]</calculatedColumnFormula>
    </tableColumn>
    <tableColumn id="21" xr3:uid="{4EADC31D-BDE7-4FD0-8536-296126F7F094}" name="ADJ_PPG" dataDxfId="45">
      <calculatedColumnFormula>Table1[[#This Row],[PPG]]*Table1[[#This Row],[NHLe SCORE]]</calculatedColumnFormula>
    </tableColumn>
    <tableColumn id="19" xr3:uid="{CB8EA61C-1EBC-40AF-9A44-0F256EEE3393}" name="PIMPG" dataDxfId="44">
      <calculatedColumnFormula>Table1[[#This Row],[PIM]]/Table1[[#This Row],[GP]]</calculatedColumnFormula>
    </tableColumn>
    <tableColumn id="22" xr3:uid="{7598784B-45FB-4667-BC12-801F5D4ECB0D}" name="ADJ_NHLe_QUART" dataDxfId="27">
      <calculatedColumnFormula>IF(P2&lt;=$AA$2,"Q1", IF(P2&lt;=$AA$3,"Q2", IF(P2&lt;=$AA$4,"Q3","Q4")))</calculatedColumnFormula>
    </tableColumn>
    <tableColumn id="12" xr3:uid="{6DC71377-1B74-4BBA-9D9F-83BBF25271AB}" name="DOB" dataDxfId="43"/>
    <tableColumn id="13" xr3:uid="{6D4DF179-8F56-4CDF-A5F3-D48FE7E2D325}" name="HEIGHT" dataDxfId="42"/>
    <tableColumn id="14" xr3:uid="{1BD19745-FD4D-4137-8754-175830FEE7F2}" name="WEIGHT" dataDxfId="41"/>
    <tableColumn id="15" xr3:uid="{D12B9282-9F93-4E82-8461-CDCECF1FB6F8}" name="SHOOTS" dataDxfId="4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79A6BF-C25F-4D49-917A-1F0FB9257846}" name="Table8" displayName="Table8" ref="Z1:AA5" totalsRowShown="0">
  <autoFilter ref="Z1:AA5" xr:uid="{4979A6BF-C25F-4D49-917A-1F0FB9257846}"/>
  <tableColumns count="2">
    <tableColumn id="1" xr3:uid="{B92CFF12-4509-4E73-B444-1D3E9C28F169}" name="Quartile"/>
    <tableColumn id="2" xr3:uid="{42160997-D0CD-439E-983F-6B51B3BFF2D4}" name="Value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CC33C3-6EAF-44EF-825B-0AAFA3D5B2FE}" name="Table10" displayName="Table10" ref="A1:V26" totalsRowShown="0" headerRowDxfId="0" dataDxfId="1" tableBorderDxfId="24">
  <autoFilter ref="A1:V26" xr:uid="{E7CC33C3-6EAF-44EF-825B-0AAFA3D5B2FE}"/>
  <tableColumns count="22">
    <tableColumn id="1" xr3:uid="{496997B9-08E9-4E06-B51B-A348408F335D}" name="FLAG" dataDxfId="23"/>
    <tableColumn id="2" xr3:uid="{B7E69E4F-E9E4-4AB1-9B18-24BBD88EC16A}" name="NATIONALITY" dataDxfId="22"/>
    <tableColumn id="3" xr3:uid="{A35220E8-0E71-46FF-8514-E5357BC50C5F}" name="NAME" dataDxfId="21"/>
    <tableColumn id="4" xr3:uid="{2C7FF6CF-FA97-4ACE-8B59-9061D719271C}" name="POSITION" dataDxfId="20"/>
    <tableColumn id="5" xr3:uid="{A667481F-5456-40BE-B01C-A537529E63BA}" name="TEAM" dataDxfId="19"/>
    <tableColumn id="6" xr3:uid="{95B6AD53-6253-445D-BAB1-E787CCBD8F87}" name="LEAGUE" dataDxfId="18"/>
    <tableColumn id="7" xr3:uid="{0F52B223-1A54-4686-A4D3-FA762A37EC43}" name="NHLe SCORE" dataDxfId="17"/>
    <tableColumn id="8" xr3:uid="{6156E5D8-285D-4849-91AD-AE711BEF3363}" name="GP" dataDxfId="16"/>
    <tableColumn id="9" xr3:uid="{CD3A6608-EB55-43AD-9C9E-DDEDF3386CB8}" name="G" dataDxfId="15"/>
    <tableColumn id="10" xr3:uid="{BB026F25-FCBB-41AA-8225-DEC18C3DAFB0}" name="A" dataDxfId="14"/>
    <tableColumn id="11" xr3:uid="{CDC1CD43-364E-4F83-8B5E-29CB8A88273B}" name="PTS" dataDxfId="13"/>
    <tableColumn id="12" xr3:uid="{6D4D55B7-62AF-4FCA-BB26-9F01D4A46042}" name="PIM" dataDxfId="12"/>
    <tableColumn id="13" xr3:uid="{94F5FF13-220D-4C72-B233-E6625E5EACD6}" name="GPG" dataDxfId="11"/>
    <tableColumn id="14" xr3:uid="{267A7599-3B2E-4915-B71A-00911773B5C5}" name="APG" dataDxfId="10"/>
    <tableColumn id="15" xr3:uid="{2DCBE332-65CC-4B36-80F3-DCC1F1C8ED40}" name="PPG" dataDxfId="9"/>
    <tableColumn id="16" xr3:uid="{AE80C83A-C600-4ABA-8D91-10062FEB7348}" name="ADJ_PPG" dataDxfId="8"/>
    <tableColumn id="17" xr3:uid="{9A540280-4D62-4F91-859F-E6C35D4F5D3E}" name="PIMPG" dataDxfId="7"/>
    <tableColumn id="18" xr3:uid="{9697C2FA-B572-4D15-9B41-B8E380321554}" name="ADJ_NHLe_QUART" dataDxfId="6"/>
    <tableColumn id="19" xr3:uid="{4EE84476-C735-4B2E-9A52-7EC7ECB7EE66}" name="DOB" dataDxfId="5"/>
    <tableColumn id="20" xr3:uid="{427B3D54-675A-4ECA-A57E-5E5887B731BC}" name="HEIGHT" dataDxfId="4"/>
    <tableColumn id="21" xr3:uid="{EA3DD5B8-2245-4C04-8042-5085462BF702}" name="WEIGHT" dataDxfId="3"/>
    <tableColumn id="22" xr3:uid="{3503C537-ABCA-4D33-B902-CD069B768FD7}" name="SHOOTS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38C699-EEE4-4116-B964-F1D61B1757BA}" name="Table9" displayName="Table9" ref="A1:C26" totalsRowShown="0">
  <autoFilter ref="A1:C26" xr:uid="{F938C699-EEE4-4116-B964-F1D61B1757BA}"/>
  <sortState xmlns:xlrd2="http://schemas.microsoft.com/office/spreadsheetml/2017/richdata2" ref="A2:C26">
    <sortCondition descending="1" ref="C1:C26"/>
  </sortState>
  <tableColumns count="3">
    <tableColumn id="1" xr3:uid="{DECE9F73-85D7-4ACE-9CDE-CAAE615AF3E1}" name="NAME"/>
    <tableColumn id="2" xr3:uid="{6EB31303-A922-41DD-AE96-163A6370BEF9}" name="D" dataDxfId="26"/>
    <tableColumn id="3" xr3:uid="{20745CF4-E8F4-4B18-911D-04845B82755D}" name="F" dataDxfId="2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78BA0-567A-4881-A323-CBC6C95C05E2}" name="Table4" displayName="Table4" ref="A1:C13" totalsRowShown="0">
  <autoFilter ref="A1:C13" xr:uid="{8F778BA0-567A-4881-A323-CBC6C95C05E2}"/>
  <sortState xmlns:xlrd2="http://schemas.microsoft.com/office/spreadsheetml/2017/richdata2" ref="A2:B13">
    <sortCondition descending="1" ref="B1:B13"/>
  </sortState>
  <tableColumns count="3">
    <tableColumn id="1" xr3:uid="{CB973532-5771-43D1-87ED-E0A404F969F4}" name="COUNTRY"/>
    <tableColumn id="2" xr3:uid="{D6482447-1B03-43D8-8C56-F2A6A9F93B20}" name="COUNT" dataDxfId="39"/>
    <tableColumn id="3" xr3:uid="{04AF1C21-4561-42CC-99D4-48DBD973AF36}" name="RELATIVE PCT" dataDxfId="38" dataCellStyle="Percent">
      <calculatedColumnFormula>Table4[[#This Row],[COUNT]]/100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D50E8-E5D6-4881-B054-3B1654F536A9}" name="Table2" displayName="Table2" ref="A1:C18" totalsRowShown="0">
  <autoFilter ref="A1:C18" xr:uid="{E08D50E8-E5D6-4881-B054-3B1654F536A9}"/>
  <sortState xmlns:xlrd2="http://schemas.microsoft.com/office/spreadsheetml/2017/richdata2" ref="A2:C18">
    <sortCondition ref="C1:C18"/>
  </sortState>
  <tableColumns count="3">
    <tableColumn id="1" xr3:uid="{AD929AAF-75D5-422C-9BD3-E0BD3270F87F}" name="LEAGUE"/>
    <tableColumn id="2" xr3:uid="{196FB38B-F3DD-4C61-AF72-73F095B1B35A}" name="AVG PPG" dataDxfId="37"/>
    <tableColumn id="3" xr3:uid="{A00AA23E-17CB-44A4-97BE-0C4EDB621184}" name="PLAYER COUNT" dataDxfId="3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FAC5AE-9AC5-4427-ABB3-0F773EEA41CB}" name="Table3" displayName="Table3" ref="A1:B4" totalsRowShown="0" headerRowDxfId="35" dataDxfId="34">
  <autoFilter ref="A1:B4" xr:uid="{41FAC5AE-9AC5-4427-ABB3-0F773EEA41CB}"/>
  <sortState xmlns:xlrd2="http://schemas.microsoft.com/office/spreadsheetml/2017/richdata2" ref="A2:B4">
    <sortCondition descending="1" ref="B1:B4"/>
  </sortState>
  <tableColumns count="2">
    <tableColumn id="1" xr3:uid="{990AC26D-67A5-435F-BCD3-6F00264DA0AA}" name="POSITION" dataDxfId="33"/>
    <tableColumn id="2" xr3:uid="{176A2E3E-FAB7-4435-8BF3-BE880158652D}" name="COUNT" dataDxfId="3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4C69B-ADEE-4421-9896-C966063D0A24}" name="Table5" displayName="Table5" ref="A1:B14" totalsRowShown="0">
  <autoFilter ref="A1:B14" xr:uid="{9924C69B-ADEE-4421-9896-C966063D0A24}"/>
  <sortState xmlns:xlrd2="http://schemas.microsoft.com/office/spreadsheetml/2017/richdata2" ref="A2:B14">
    <sortCondition descending="1" ref="B1:B14"/>
  </sortState>
  <tableColumns count="2">
    <tableColumn id="1" xr3:uid="{AB8609A7-4B92-41BF-826A-B371574B93DC}" name="COUNTRY"/>
    <tableColumn id="2" xr3:uid="{BA9D5361-10CC-4F06-A024-965CB04482EC}" name="NHLe SCORE" dataDxfId="31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DF302F-041E-4243-BA61-2DB2189846A2}" name="Table7" displayName="Table7" ref="A1:C13" totalsRowShown="0">
  <autoFilter ref="A1:C13" xr:uid="{E9DF302F-041E-4243-BA61-2DB2189846A2}"/>
  <sortState xmlns:xlrd2="http://schemas.microsoft.com/office/spreadsheetml/2017/richdata2" ref="A2:C13">
    <sortCondition descending="1" ref="B1:B13"/>
  </sortState>
  <tableColumns count="3">
    <tableColumn id="1" xr3:uid="{DF8D155B-F6D9-4D03-B965-45C4A14F2A19}" name="COUNTRY"/>
    <tableColumn id="2" xr3:uid="{14A80AF0-B023-4768-8F36-5BE7882BF532}" name="NHLe SCORE" dataDxfId="30"/>
    <tableColumn id="3" xr3:uid="{57CCFF73-22C8-4FBD-AE54-C3C94101949E}" name="TOTAL PLAYERS" dataDxfId="2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5C29-B6F2-4B71-A1EF-1FA5E8EC0D0B}">
  <dimension ref="A1:AA101"/>
  <sheetViews>
    <sheetView topLeftCell="C1" workbookViewId="0">
      <selection activeCell="P107" sqref="P107"/>
    </sheetView>
  </sheetViews>
  <sheetFormatPr defaultRowHeight="14.4" x14ac:dyDescent="0.3"/>
  <cols>
    <col min="2" max="2" width="13.6640625" customWidth="1"/>
    <col min="3" max="3" width="23.5546875" customWidth="1"/>
    <col min="4" max="4" width="10.77734375" style="1" customWidth="1"/>
    <col min="5" max="5" width="27.33203125" customWidth="1"/>
    <col min="6" max="6" width="19.44140625" customWidth="1"/>
    <col min="7" max="7" width="19.44140625" style="1" customWidth="1"/>
    <col min="8" max="15" width="8.88671875" style="1"/>
    <col min="16" max="16" width="12.6640625" style="1" customWidth="1"/>
    <col min="17" max="17" width="8.88671875" style="1"/>
    <col min="18" max="18" width="20.109375" style="1" bestFit="1" customWidth="1"/>
    <col min="19" max="19" width="16.44140625" style="1" customWidth="1"/>
    <col min="20" max="20" width="11.44140625" style="1" customWidth="1"/>
    <col min="21" max="21" width="11.77734375" style="1" customWidth="1"/>
    <col min="22" max="22" width="11.33203125" style="1" customWidth="1"/>
    <col min="26" max="26" width="10" bestFit="1" customWidth="1"/>
    <col min="27" max="27" width="11.88671875" customWidth="1"/>
  </cols>
  <sheetData>
    <row r="1" spans="1:27" x14ac:dyDescent="0.3">
      <c r="A1" t="s">
        <v>234</v>
      </c>
      <c r="B1" t="s">
        <v>108</v>
      </c>
      <c r="C1" t="s">
        <v>109</v>
      </c>
      <c r="D1" s="1" t="s">
        <v>110</v>
      </c>
      <c r="E1" t="s">
        <v>111</v>
      </c>
      <c r="F1" t="s">
        <v>112</v>
      </c>
      <c r="G1" s="1" t="s">
        <v>247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235</v>
      </c>
      <c r="N1" s="1" t="s">
        <v>236</v>
      </c>
      <c r="O1" s="1" t="s">
        <v>237</v>
      </c>
      <c r="P1" s="1" t="s">
        <v>248</v>
      </c>
      <c r="Q1" s="1" t="s">
        <v>238</v>
      </c>
      <c r="R1" s="1" t="s">
        <v>258</v>
      </c>
      <c r="S1" s="1" t="s">
        <v>118</v>
      </c>
      <c r="T1" s="1" t="s">
        <v>119</v>
      </c>
      <c r="U1" s="1" t="s">
        <v>120</v>
      </c>
      <c r="V1" s="1" t="s">
        <v>121</v>
      </c>
      <c r="Z1" t="s">
        <v>252</v>
      </c>
      <c r="AA1" t="s">
        <v>257</v>
      </c>
    </row>
    <row r="2" spans="1:27" x14ac:dyDescent="0.3">
      <c r="A2" t="e" vm="1">
        <v>#VALUE!</v>
      </c>
      <c r="B2" t="s">
        <v>227</v>
      </c>
      <c r="C2" t="s">
        <v>216</v>
      </c>
      <c r="D2" s="1" t="s">
        <v>122</v>
      </c>
      <c r="E2" t="s">
        <v>40</v>
      </c>
      <c r="F2" t="s">
        <v>8</v>
      </c>
      <c r="G2" s="1">
        <v>0.78</v>
      </c>
      <c r="H2" s="1">
        <v>25</v>
      </c>
      <c r="I2" s="1">
        <v>6</v>
      </c>
      <c r="J2" s="1">
        <v>18</v>
      </c>
      <c r="K2" s="1">
        <v>24</v>
      </c>
      <c r="L2" s="1">
        <v>4</v>
      </c>
      <c r="M2" s="3">
        <f>Table1[[#This Row],[G]]/Table1[[#This Row],[GP]]</f>
        <v>0.24</v>
      </c>
      <c r="N2" s="3">
        <f>Table1[[#This Row],[A]]/Table1[[#This Row],[GP]]</f>
        <v>0.72</v>
      </c>
      <c r="O2" s="3">
        <f>Table1[[#This Row],[PTS]]/Table1[[#This Row],[GP]]</f>
        <v>0.96</v>
      </c>
      <c r="P2" s="3">
        <f>Table1[[#This Row],[PPG]]*Table1[[#This Row],[NHLe SCORE]]</f>
        <v>0.74880000000000002</v>
      </c>
      <c r="Q2" s="3">
        <f>Table1[[#This Row],[PIM]]/Table1[[#This Row],[GP]]</f>
        <v>0.16</v>
      </c>
      <c r="R2" s="3" t="str">
        <f>IF(P2&lt;=$AA$2,"Q1", IF(P2&lt;=$AA$3,"Q2", IF(P2&lt;=$AA$4,"Q3","Q4")))</f>
        <v>Q4</v>
      </c>
      <c r="S2" s="2">
        <v>39354</v>
      </c>
      <c r="T2" s="1" t="s">
        <v>104</v>
      </c>
      <c r="U2" s="1">
        <v>181</v>
      </c>
      <c r="V2" s="1" t="s">
        <v>97</v>
      </c>
      <c r="Z2" t="s">
        <v>253</v>
      </c>
      <c r="AA2" s="3">
        <f>_xlfn.QUARTILE.INC(Table1[ADJ_PPG],1)</f>
        <v>0.1523041474654378</v>
      </c>
    </row>
    <row r="3" spans="1:27" x14ac:dyDescent="0.3">
      <c r="A3" t="e" vm="2">
        <v>#VALUE!</v>
      </c>
      <c r="B3" t="s">
        <v>226</v>
      </c>
      <c r="C3" t="s">
        <v>187</v>
      </c>
      <c r="D3" s="1" t="s">
        <v>122</v>
      </c>
      <c r="E3" t="s">
        <v>20</v>
      </c>
      <c r="F3" t="s">
        <v>10</v>
      </c>
      <c r="G3" s="1">
        <v>0.3</v>
      </c>
      <c r="H3" s="1">
        <v>33</v>
      </c>
      <c r="I3" s="1">
        <v>22</v>
      </c>
      <c r="J3" s="1">
        <v>33</v>
      </c>
      <c r="K3" s="1">
        <v>55</v>
      </c>
      <c r="L3" s="1">
        <v>16</v>
      </c>
      <c r="M3" s="3">
        <f>Table1[[#This Row],[G]]/Table1[[#This Row],[GP]]</f>
        <v>0.66666666666666663</v>
      </c>
      <c r="N3" s="3">
        <f>Table1[[#This Row],[A]]/Table1[[#This Row],[GP]]</f>
        <v>1</v>
      </c>
      <c r="O3" s="3">
        <f>Table1[[#This Row],[PTS]]/Table1[[#This Row],[GP]]</f>
        <v>1.6666666666666667</v>
      </c>
      <c r="P3" s="3">
        <f>Table1[[#This Row],[PPG]]*Table1[[#This Row],[NHLe SCORE]]</f>
        <v>0.5</v>
      </c>
      <c r="Q3" s="3">
        <f>Table1[[#This Row],[PIM]]/Table1[[#This Row],[GP]]</f>
        <v>0.48484848484848486</v>
      </c>
      <c r="R3" s="3" t="str">
        <f>IF(P3&lt;=$AA$2,"Q1", IF(P3&lt;=$AA$3,"Q2", IF(P3&lt;=$AA$4,"Q3","Q4")))</f>
        <v>Q4</v>
      </c>
      <c r="S3" s="2">
        <v>39548</v>
      </c>
      <c r="T3" s="1" t="s">
        <v>104</v>
      </c>
      <c r="U3" s="1">
        <v>183</v>
      </c>
      <c r="V3" s="1" t="s">
        <v>100</v>
      </c>
      <c r="Z3" t="s">
        <v>254</v>
      </c>
      <c r="AA3" s="3">
        <f>_xlfn.QUARTILE.INC(Table1[ADJ_PPG],2)</f>
        <v>0.22222413793103449</v>
      </c>
    </row>
    <row r="4" spans="1:27" x14ac:dyDescent="0.3">
      <c r="A4" t="e" vm="3">
        <v>#VALUE!</v>
      </c>
      <c r="B4" t="s">
        <v>225</v>
      </c>
      <c r="C4" t="s">
        <v>154</v>
      </c>
      <c r="D4" s="1" t="s">
        <v>122</v>
      </c>
      <c r="E4" t="s">
        <v>26</v>
      </c>
      <c r="F4" t="s">
        <v>27</v>
      </c>
      <c r="G4" s="1">
        <v>0.41</v>
      </c>
      <c r="H4" s="1">
        <v>16</v>
      </c>
      <c r="I4" s="1">
        <v>4</v>
      </c>
      <c r="J4" s="1">
        <v>14</v>
      </c>
      <c r="K4" s="1">
        <v>18</v>
      </c>
      <c r="L4" s="1">
        <v>4</v>
      </c>
      <c r="M4" s="3">
        <f>Table1[[#This Row],[G]]/Table1[[#This Row],[GP]]</f>
        <v>0.25</v>
      </c>
      <c r="N4" s="3">
        <f>Table1[[#This Row],[A]]/Table1[[#This Row],[GP]]</f>
        <v>0.875</v>
      </c>
      <c r="O4" s="3">
        <f>Table1[[#This Row],[PTS]]/Table1[[#This Row],[GP]]</f>
        <v>1.125</v>
      </c>
      <c r="P4" s="3">
        <f>Table1[[#This Row],[PPG]]*Table1[[#This Row],[NHLe SCORE]]</f>
        <v>0.46124999999999999</v>
      </c>
      <c r="Q4" s="3">
        <f>Table1[[#This Row],[PIM]]/Table1[[#This Row],[GP]]</f>
        <v>0.25</v>
      </c>
      <c r="R4" s="3" t="str">
        <f>IF(P4&lt;=$AA$2,"Q1", IF(P4&lt;=$AA$3,"Q2", IF(P4&lt;=$AA$4,"Q3","Q4")))</f>
        <v>Q4</v>
      </c>
      <c r="S4" s="2">
        <v>39435</v>
      </c>
      <c r="T4" s="1" t="s">
        <v>104</v>
      </c>
      <c r="U4" s="1">
        <v>170</v>
      </c>
      <c r="V4" s="1" t="s">
        <v>97</v>
      </c>
      <c r="Z4" t="s">
        <v>255</v>
      </c>
      <c r="AA4" s="3">
        <f>_xlfn.QUARTILE.INC(Table1[ADJ_PPG],3)</f>
        <v>0.30834375000000003</v>
      </c>
    </row>
    <row r="5" spans="1:27" x14ac:dyDescent="0.3">
      <c r="A5" t="e" vm="3">
        <v>#VALUE!</v>
      </c>
      <c r="B5" t="s">
        <v>225</v>
      </c>
      <c r="C5" t="s">
        <v>134</v>
      </c>
      <c r="D5" s="1" t="s">
        <v>122</v>
      </c>
      <c r="E5" t="s">
        <v>22</v>
      </c>
      <c r="F5" t="s">
        <v>19</v>
      </c>
      <c r="G5" s="1">
        <v>0.28999999999999998</v>
      </c>
      <c r="H5" s="1">
        <v>9</v>
      </c>
      <c r="I5" s="1">
        <v>8</v>
      </c>
      <c r="J5" s="1">
        <v>5</v>
      </c>
      <c r="K5" s="1">
        <v>13</v>
      </c>
      <c r="L5" s="1">
        <v>6</v>
      </c>
      <c r="M5" s="3">
        <f>Table1[[#This Row],[G]]/Table1[[#This Row],[GP]]</f>
        <v>0.88888888888888884</v>
      </c>
      <c r="N5" s="3">
        <f>Table1[[#This Row],[A]]/Table1[[#This Row],[GP]]</f>
        <v>0.55555555555555558</v>
      </c>
      <c r="O5" s="3">
        <f>Table1[[#This Row],[PTS]]/Table1[[#This Row],[GP]]</f>
        <v>1.4444444444444444</v>
      </c>
      <c r="P5" s="3">
        <f>Table1[[#This Row],[PPG]]*Table1[[#This Row],[NHLe SCORE]]</f>
        <v>0.41888888888888887</v>
      </c>
      <c r="Q5" s="3">
        <f>Table1[[#This Row],[PIM]]/Table1[[#This Row],[GP]]</f>
        <v>0.66666666666666663</v>
      </c>
      <c r="R5" s="3" t="str">
        <f>IF(P5&lt;=$AA$2,"Q1", IF(P5&lt;=$AA$3,"Q2", IF(P5&lt;=$AA$4,"Q3","Q4")))</f>
        <v>Q4</v>
      </c>
      <c r="S5" s="2">
        <v>39662</v>
      </c>
      <c r="T5" s="1" t="s">
        <v>104</v>
      </c>
      <c r="U5" s="1">
        <v>185</v>
      </c>
      <c r="V5" s="1" t="s">
        <v>97</v>
      </c>
      <c r="Z5" t="s">
        <v>256</v>
      </c>
      <c r="AA5" s="3">
        <f>_xlfn.QUARTILE.INC(Table1[ADJ_PPG],4)</f>
        <v>0.74880000000000002</v>
      </c>
    </row>
    <row r="6" spans="1:27" x14ac:dyDescent="0.3">
      <c r="A6" t="e" vm="3">
        <v>#VALUE!</v>
      </c>
      <c r="B6" t="s">
        <v>225</v>
      </c>
      <c r="C6" t="s">
        <v>135</v>
      </c>
      <c r="D6" s="1" t="s">
        <v>122</v>
      </c>
      <c r="E6" t="s">
        <v>24</v>
      </c>
      <c r="F6" t="s">
        <v>4</v>
      </c>
      <c r="G6" s="1">
        <v>0.3</v>
      </c>
      <c r="H6" s="1">
        <v>32</v>
      </c>
      <c r="I6" s="1">
        <v>17</v>
      </c>
      <c r="J6" s="1">
        <v>27</v>
      </c>
      <c r="K6" s="1">
        <v>44</v>
      </c>
      <c r="L6" s="1">
        <v>22</v>
      </c>
      <c r="M6" s="3">
        <f>Table1[[#This Row],[G]]/Table1[[#This Row],[GP]]</f>
        <v>0.53125</v>
      </c>
      <c r="N6" s="3">
        <f>Table1[[#This Row],[A]]/Table1[[#This Row],[GP]]</f>
        <v>0.84375</v>
      </c>
      <c r="O6" s="3">
        <f>Table1[[#This Row],[PTS]]/Table1[[#This Row],[GP]]</f>
        <v>1.375</v>
      </c>
      <c r="P6" s="3">
        <f>Table1[[#This Row],[PPG]]*Table1[[#This Row],[NHLe SCORE]]</f>
        <v>0.41249999999999998</v>
      </c>
      <c r="Q6" s="3">
        <f>Table1[[#This Row],[PIM]]/Table1[[#This Row],[GP]]</f>
        <v>0.6875</v>
      </c>
      <c r="R6" s="3" t="str">
        <f>IF(P6&lt;=$AA$2,"Q1", IF(P6&lt;=$AA$3,"Q2", IF(P6&lt;=$AA$4,"Q3","Q4")))</f>
        <v>Q4</v>
      </c>
      <c r="S6" s="2">
        <v>39600</v>
      </c>
      <c r="T6" s="1" t="s">
        <v>101</v>
      </c>
      <c r="U6" s="1">
        <v>183</v>
      </c>
      <c r="V6" s="1" t="s">
        <v>97</v>
      </c>
    </row>
    <row r="7" spans="1:27" x14ac:dyDescent="0.3">
      <c r="A7" t="e" vm="4">
        <v>#VALUE!</v>
      </c>
      <c r="B7" t="s">
        <v>229</v>
      </c>
      <c r="C7" t="s">
        <v>202</v>
      </c>
      <c r="D7" s="1" t="s">
        <v>122</v>
      </c>
      <c r="E7" t="s">
        <v>71</v>
      </c>
      <c r="F7" t="s">
        <v>72</v>
      </c>
      <c r="G7" s="1">
        <v>0.33</v>
      </c>
      <c r="H7" s="1">
        <v>6</v>
      </c>
      <c r="I7" s="1">
        <v>5</v>
      </c>
      <c r="J7" s="1">
        <v>2</v>
      </c>
      <c r="K7" s="1">
        <v>7</v>
      </c>
      <c r="L7" s="1">
        <v>4</v>
      </c>
      <c r="M7" s="3">
        <f>Table1[[#This Row],[G]]/Table1[[#This Row],[GP]]</f>
        <v>0.83333333333333337</v>
      </c>
      <c r="N7" s="3">
        <f>Table1[[#This Row],[A]]/Table1[[#This Row],[GP]]</f>
        <v>0.33333333333333331</v>
      </c>
      <c r="O7" s="3">
        <f>Table1[[#This Row],[PTS]]/Table1[[#This Row],[GP]]</f>
        <v>1.1666666666666667</v>
      </c>
      <c r="P7" s="3">
        <f>Table1[[#This Row],[PPG]]*Table1[[#This Row],[NHLe SCORE]]</f>
        <v>0.38500000000000006</v>
      </c>
      <c r="Q7" s="3">
        <f>Table1[[#This Row],[PIM]]/Table1[[#This Row],[GP]]</f>
        <v>0.66666666666666663</v>
      </c>
      <c r="R7" s="3" t="str">
        <f>IF(P7&lt;=$AA$2,"Q1", IF(P7&lt;=$AA$3,"Q2", IF(P7&lt;=$AA$4,"Q3","Q4")))</f>
        <v>Q4</v>
      </c>
      <c r="S7" s="2">
        <v>39672</v>
      </c>
      <c r="T7" s="1" t="s">
        <v>103</v>
      </c>
      <c r="U7" s="1">
        <v>196</v>
      </c>
      <c r="V7" s="1" t="s">
        <v>97</v>
      </c>
    </row>
    <row r="8" spans="1:27" x14ac:dyDescent="0.3">
      <c r="A8" t="e" vm="1">
        <v>#VALUE!</v>
      </c>
      <c r="B8" t="s">
        <v>227</v>
      </c>
      <c r="C8" t="s">
        <v>213</v>
      </c>
      <c r="D8" s="1" t="s">
        <v>122</v>
      </c>
      <c r="E8" t="s">
        <v>28</v>
      </c>
      <c r="F8" t="s">
        <v>1</v>
      </c>
      <c r="G8" s="1">
        <v>0.26</v>
      </c>
      <c r="H8" s="1">
        <v>17</v>
      </c>
      <c r="I8" s="1">
        <v>7</v>
      </c>
      <c r="J8" s="1">
        <v>18</v>
      </c>
      <c r="K8" s="1">
        <v>25</v>
      </c>
      <c r="L8" s="1">
        <v>38</v>
      </c>
      <c r="M8" s="3">
        <f>Table1[[#This Row],[G]]/Table1[[#This Row],[GP]]</f>
        <v>0.41176470588235292</v>
      </c>
      <c r="N8" s="3">
        <f>Table1[[#This Row],[A]]/Table1[[#This Row],[GP]]</f>
        <v>1.0588235294117647</v>
      </c>
      <c r="O8" s="3">
        <f>Table1[[#This Row],[PTS]]/Table1[[#This Row],[GP]]</f>
        <v>1.4705882352941178</v>
      </c>
      <c r="P8" s="3">
        <f>Table1[[#This Row],[PPG]]*Table1[[#This Row],[NHLe SCORE]]</f>
        <v>0.38235294117647062</v>
      </c>
      <c r="Q8" s="3">
        <f>Table1[[#This Row],[PIM]]/Table1[[#This Row],[GP]]</f>
        <v>2.2352941176470589</v>
      </c>
      <c r="R8" s="3" t="str">
        <f>IF(P8&lt;=$AA$2,"Q1", IF(P8&lt;=$AA$3,"Q2", IF(P8&lt;=$AA$4,"Q3","Q4")))</f>
        <v>Q4</v>
      </c>
      <c r="S8" s="2">
        <v>39571</v>
      </c>
      <c r="T8" s="1" t="s">
        <v>101</v>
      </c>
      <c r="U8" s="1">
        <v>187</v>
      </c>
      <c r="V8" s="1" t="s">
        <v>97</v>
      </c>
    </row>
    <row r="9" spans="1:27" x14ac:dyDescent="0.3">
      <c r="A9" t="e" vm="1">
        <v>#VALUE!</v>
      </c>
      <c r="B9" t="s">
        <v>227</v>
      </c>
      <c r="C9" t="s">
        <v>130</v>
      </c>
      <c r="D9" s="1" t="s">
        <v>122</v>
      </c>
      <c r="E9" t="s">
        <v>0</v>
      </c>
      <c r="F9" t="s">
        <v>1</v>
      </c>
      <c r="G9" s="1">
        <v>0.26</v>
      </c>
      <c r="H9" s="1">
        <v>18</v>
      </c>
      <c r="I9" s="1">
        <v>12</v>
      </c>
      <c r="J9" s="1">
        <v>14</v>
      </c>
      <c r="K9" s="1">
        <v>26</v>
      </c>
      <c r="L9" s="1">
        <v>18</v>
      </c>
      <c r="M9" s="3">
        <f>Table1[[#This Row],[G]]/Table1[[#This Row],[GP]]</f>
        <v>0.66666666666666663</v>
      </c>
      <c r="N9" s="3">
        <f>Table1[[#This Row],[A]]/Table1[[#This Row],[GP]]</f>
        <v>0.77777777777777779</v>
      </c>
      <c r="O9" s="3">
        <f>Table1[[#This Row],[PTS]]/Table1[[#This Row],[GP]]</f>
        <v>1.4444444444444444</v>
      </c>
      <c r="P9" s="3">
        <f>Table1[[#This Row],[PPG]]*Table1[[#This Row],[NHLe SCORE]]</f>
        <v>0.37555555555555559</v>
      </c>
      <c r="Q9" s="3">
        <f>Table1[[#This Row],[PIM]]/Table1[[#This Row],[GP]]</f>
        <v>1</v>
      </c>
      <c r="R9" s="3" t="str">
        <f>IF(P9&lt;=$AA$2,"Q1", IF(P9&lt;=$AA$3,"Q2", IF(P9&lt;=$AA$4,"Q3","Q4")))</f>
        <v>Q4</v>
      </c>
      <c r="S9" s="2">
        <v>39614</v>
      </c>
      <c r="T9" s="1" t="s">
        <v>96</v>
      </c>
      <c r="U9" s="1">
        <v>183</v>
      </c>
      <c r="V9" s="1" t="s">
        <v>97</v>
      </c>
    </row>
    <row r="10" spans="1:27" x14ac:dyDescent="0.3">
      <c r="A10" t="e" vm="2">
        <v>#VALUE!</v>
      </c>
      <c r="B10" t="s">
        <v>226</v>
      </c>
      <c r="C10" t="s">
        <v>188</v>
      </c>
      <c r="D10" s="1" t="s">
        <v>122</v>
      </c>
      <c r="E10" t="s">
        <v>21</v>
      </c>
      <c r="F10" t="s">
        <v>4</v>
      </c>
      <c r="G10" s="1">
        <v>0.3</v>
      </c>
      <c r="H10" s="1">
        <v>32</v>
      </c>
      <c r="I10" s="1">
        <v>19</v>
      </c>
      <c r="J10" s="1">
        <v>21</v>
      </c>
      <c r="K10" s="1">
        <v>40</v>
      </c>
      <c r="L10" s="1">
        <v>21</v>
      </c>
      <c r="M10" s="3">
        <f>Table1[[#This Row],[G]]/Table1[[#This Row],[GP]]</f>
        <v>0.59375</v>
      </c>
      <c r="N10" s="3">
        <f>Table1[[#This Row],[A]]/Table1[[#This Row],[GP]]</f>
        <v>0.65625</v>
      </c>
      <c r="O10" s="3">
        <f>Table1[[#This Row],[PTS]]/Table1[[#This Row],[GP]]</f>
        <v>1.25</v>
      </c>
      <c r="P10" s="3">
        <f>Table1[[#This Row],[PPG]]*Table1[[#This Row],[NHLe SCORE]]</f>
        <v>0.375</v>
      </c>
      <c r="Q10" s="3">
        <f>Table1[[#This Row],[PIM]]/Table1[[#This Row],[GP]]</f>
        <v>0.65625</v>
      </c>
      <c r="R10" s="3" t="str">
        <f>IF(P10&lt;=$AA$2,"Q1", IF(P10&lt;=$AA$3,"Q2", IF(P10&lt;=$AA$4,"Q3","Q4")))</f>
        <v>Q4</v>
      </c>
      <c r="S10" s="2">
        <v>39625</v>
      </c>
      <c r="T10" s="1" t="s">
        <v>104</v>
      </c>
      <c r="U10" s="1">
        <v>181</v>
      </c>
      <c r="V10" s="1" t="s">
        <v>97</v>
      </c>
    </row>
    <row r="11" spans="1:27" x14ac:dyDescent="0.3">
      <c r="A11" t="e" vm="3">
        <v>#VALUE!</v>
      </c>
      <c r="B11" t="s">
        <v>225</v>
      </c>
      <c r="C11" t="s">
        <v>161</v>
      </c>
      <c r="D11" s="1" t="s">
        <v>123</v>
      </c>
      <c r="E11" t="s">
        <v>23</v>
      </c>
      <c r="F11" t="s">
        <v>10</v>
      </c>
      <c r="G11" s="1">
        <v>0.3</v>
      </c>
      <c r="H11" s="1">
        <v>34</v>
      </c>
      <c r="I11" s="1">
        <v>9</v>
      </c>
      <c r="J11" s="1">
        <v>33</v>
      </c>
      <c r="K11" s="1">
        <v>42</v>
      </c>
      <c r="L11" s="1">
        <v>20</v>
      </c>
      <c r="M11" s="3">
        <f>Table1[[#This Row],[G]]/Table1[[#This Row],[GP]]</f>
        <v>0.26470588235294118</v>
      </c>
      <c r="N11" s="3">
        <f>Table1[[#This Row],[A]]/Table1[[#This Row],[GP]]</f>
        <v>0.97058823529411764</v>
      </c>
      <c r="O11" s="3">
        <f>Table1[[#This Row],[PTS]]/Table1[[#This Row],[GP]]</f>
        <v>1.2352941176470589</v>
      </c>
      <c r="P11" s="3">
        <f>Table1[[#This Row],[PPG]]*Table1[[#This Row],[NHLe SCORE]]</f>
        <v>0.37058823529411766</v>
      </c>
      <c r="Q11" s="3">
        <f>Table1[[#This Row],[PIM]]/Table1[[#This Row],[GP]]</f>
        <v>0.58823529411764708</v>
      </c>
      <c r="R11" s="3" t="str">
        <f>IF(P11&lt;=$AA$2,"Q1", IF(P11&lt;=$AA$3,"Q2", IF(P11&lt;=$AA$4,"Q3","Q4")))</f>
        <v>Q4</v>
      </c>
      <c r="S11" s="2">
        <v>39555</v>
      </c>
      <c r="T11" s="1" t="s">
        <v>102</v>
      </c>
      <c r="U11" s="1">
        <v>176</v>
      </c>
      <c r="V11" s="1" t="s">
        <v>100</v>
      </c>
    </row>
    <row r="12" spans="1:27" x14ac:dyDescent="0.3">
      <c r="A12" t="e" vm="5">
        <v>#VALUE!</v>
      </c>
      <c r="B12" t="s">
        <v>230</v>
      </c>
      <c r="C12" t="s">
        <v>147</v>
      </c>
      <c r="D12" s="1" t="s">
        <v>122</v>
      </c>
      <c r="E12" t="s">
        <v>67</v>
      </c>
      <c r="F12" t="s">
        <v>53</v>
      </c>
      <c r="G12" s="1">
        <v>0.27</v>
      </c>
      <c r="H12" s="1">
        <v>32</v>
      </c>
      <c r="I12" s="1">
        <v>11</v>
      </c>
      <c r="J12" s="1">
        <v>32</v>
      </c>
      <c r="K12" s="1">
        <v>43</v>
      </c>
      <c r="L12" s="1">
        <v>16</v>
      </c>
      <c r="M12" s="3">
        <f>Table1[[#This Row],[G]]/Table1[[#This Row],[GP]]</f>
        <v>0.34375</v>
      </c>
      <c r="N12" s="3">
        <f>Table1[[#This Row],[A]]/Table1[[#This Row],[GP]]</f>
        <v>1</v>
      </c>
      <c r="O12" s="3">
        <f>Table1[[#This Row],[PTS]]/Table1[[#This Row],[GP]]</f>
        <v>1.34375</v>
      </c>
      <c r="P12" s="3">
        <f>Table1[[#This Row],[PPG]]*Table1[[#This Row],[NHLe SCORE]]</f>
        <v>0.36281250000000004</v>
      </c>
      <c r="Q12" s="3">
        <f>Table1[[#This Row],[PIM]]/Table1[[#This Row],[GP]]</f>
        <v>0.5</v>
      </c>
      <c r="R12" s="3" t="str">
        <f>IF(P12&lt;=$AA$2,"Q1", IF(P12&lt;=$AA$3,"Q2", IF(P12&lt;=$AA$4,"Q3","Q4")))</f>
        <v>Q4</v>
      </c>
      <c r="S12" s="2">
        <v>39347</v>
      </c>
      <c r="T12" s="1" t="s">
        <v>101</v>
      </c>
      <c r="U12" s="1">
        <v>170</v>
      </c>
      <c r="V12" s="1" t="s">
        <v>97</v>
      </c>
    </row>
    <row r="13" spans="1:27" x14ac:dyDescent="0.3">
      <c r="A13" t="e" vm="6">
        <v>#VALUE!</v>
      </c>
      <c r="B13" t="s">
        <v>228</v>
      </c>
      <c r="C13" t="s">
        <v>215</v>
      </c>
      <c r="D13" s="1" t="s">
        <v>122</v>
      </c>
      <c r="E13" t="s">
        <v>29</v>
      </c>
      <c r="F13" t="s">
        <v>4</v>
      </c>
      <c r="G13" s="1">
        <v>0.3</v>
      </c>
      <c r="H13" s="1">
        <v>29</v>
      </c>
      <c r="I13" s="1">
        <v>19</v>
      </c>
      <c r="J13" s="1">
        <v>16</v>
      </c>
      <c r="K13" s="1">
        <v>35</v>
      </c>
      <c r="L13" s="1">
        <v>6</v>
      </c>
      <c r="M13" s="3">
        <f>Table1[[#This Row],[G]]/Table1[[#This Row],[GP]]</f>
        <v>0.65517241379310343</v>
      </c>
      <c r="N13" s="3">
        <f>Table1[[#This Row],[A]]/Table1[[#This Row],[GP]]</f>
        <v>0.55172413793103448</v>
      </c>
      <c r="O13" s="3">
        <f>Table1[[#This Row],[PTS]]/Table1[[#This Row],[GP]]</f>
        <v>1.2068965517241379</v>
      </c>
      <c r="P13" s="3">
        <f>Table1[[#This Row],[PPG]]*Table1[[#This Row],[NHLe SCORE]]</f>
        <v>0.36206896551724138</v>
      </c>
      <c r="Q13" s="3">
        <f>Table1[[#This Row],[PIM]]/Table1[[#This Row],[GP]]</f>
        <v>0.20689655172413793</v>
      </c>
      <c r="R13" s="3" t="str">
        <f>IF(P13&lt;=$AA$2,"Q1", IF(P13&lt;=$AA$3,"Q2", IF(P13&lt;=$AA$4,"Q3","Q4")))</f>
        <v>Q4</v>
      </c>
      <c r="S13" s="2">
        <v>39398</v>
      </c>
      <c r="T13" s="1" t="s">
        <v>96</v>
      </c>
      <c r="U13" s="1">
        <v>205</v>
      </c>
      <c r="V13" s="1" t="s">
        <v>97</v>
      </c>
    </row>
    <row r="14" spans="1:27" x14ac:dyDescent="0.3">
      <c r="A14" t="e" vm="5">
        <v>#VALUE!</v>
      </c>
      <c r="B14" t="s">
        <v>230</v>
      </c>
      <c r="C14" t="s">
        <v>137</v>
      </c>
      <c r="D14" s="1" t="s">
        <v>122</v>
      </c>
      <c r="E14" t="s">
        <v>37</v>
      </c>
      <c r="F14" t="s">
        <v>38</v>
      </c>
      <c r="G14" s="1">
        <v>0.28000000000000003</v>
      </c>
      <c r="H14" s="1">
        <v>31</v>
      </c>
      <c r="I14" s="1">
        <v>15</v>
      </c>
      <c r="J14" s="1">
        <v>25</v>
      </c>
      <c r="K14" s="1">
        <v>40</v>
      </c>
      <c r="L14" s="1">
        <v>21</v>
      </c>
      <c r="M14" s="3">
        <f>Table1[[#This Row],[G]]/Table1[[#This Row],[GP]]</f>
        <v>0.4838709677419355</v>
      </c>
      <c r="N14" s="3">
        <f>Table1[[#This Row],[A]]/Table1[[#This Row],[GP]]</f>
        <v>0.80645161290322576</v>
      </c>
      <c r="O14" s="3">
        <f>Table1[[#This Row],[PTS]]/Table1[[#This Row],[GP]]</f>
        <v>1.2903225806451613</v>
      </c>
      <c r="P14" s="3">
        <f>Table1[[#This Row],[PPG]]*Table1[[#This Row],[NHLe SCORE]]</f>
        <v>0.3612903225806452</v>
      </c>
      <c r="Q14" s="3">
        <f>Table1[[#This Row],[PIM]]/Table1[[#This Row],[GP]]</f>
        <v>0.67741935483870963</v>
      </c>
      <c r="R14" s="3" t="str">
        <f>IF(P14&lt;=$AA$2,"Q1", IF(P14&lt;=$AA$3,"Q2", IF(P14&lt;=$AA$4,"Q3","Q4")))</f>
        <v>Q4</v>
      </c>
      <c r="S14" s="2">
        <v>39567</v>
      </c>
      <c r="T14" s="1" t="s">
        <v>96</v>
      </c>
      <c r="U14" s="1">
        <v>181</v>
      </c>
      <c r="V14" s="1" t="s">
        <v>97</v>
      </c>
    </row>
    <row r="15" spans="1:27" x14ac:dyDescent="0.3">
      <c r="A15" t="e" vm="3">
        <v>#VALUE!</v>
      </c>
      <c r="B15" t="s">
        <v>225</v>
      </c>
      <c r="C15" t="s">
        <v>136</v>
      </c>
      <c r="D15" s="1" t="s">
        <v>122</v>
      </c>
      <c r="E15" t="s">
        <v>35</v>
      </c>
      <c r="F15" t="s">
        <v>4</v>
      </c>
      <c r="G15" s="1">
        <v>0.3</v>
      </c>
      <c r="H15" s="1">
        <v>32</v>
      </c>
      <c r="I15" s="1">
        <v>18</v>
      </c>
      <c r="J15" s="1">
        <v>20</v>
      </c>
      <c r="K15" s="1">
        <v>38</v>
      </c>
      <c r="L15" s="1">
        <v>18</v>
      </c>
      <c r="M15" s="3">
        <f>Table1[[#This Row],[G]]/Table1[[#This Row],[GP]]</f>
        <v>0.5625</v>
      </c>
      <c r="N15" s="3">
        <f>Table1[[#This Row],[A]]/Table1[[#This Row],[GP]]</f>
        <v>0.625</v>
      </c>
      <c r="O15" s="3">
        <f>Table1[[#This Row],[PTS]]/Table1[[#This Row],[GP]]</f>
        <v>1.1875</v>
      </c>
      <c r="P15" s="3">
        <f>Table1[[#This Row],[PPG]]*Table1[[#This Row],[NHLe SCORE]]</f>
        <v>0.35625000000000001</v>
      </c>
      <c r="Q15" s="3">
        <f>Table1[[#This Row],[PIM]]/Table1[[#This Row],[GP]]</f>
        <v>0.5625</v>
      </c>
      <c r="R15" s="3" t="str">
        <f>IF(P15&lt;=$AA$2,"Q1", IF(P15&lt;=$AA$3,"Q2", IF(P15&lt;=$AA$4,"Q3","Q4")))</f>
        <v>Q4</v>
      </c>
      <c r="S15" s="2">
        <v>39349</v>
      </c>
      <c r="T15" s="1" t="s">
        <v>103</v>
      </c>
      <c r="U15" s="1">
        <v>216</v>
      </c>
      <c r="V15" s="1" t="s">
        <v>97</v>
      </c>
    </row>
    <row r="16" spans="1:27" x14ac:dyDescent="0.3">
      <c r="A16" t="e" vm="3">
        <v>#VALUE!</v>
      </c>
      <c r="B16" t="s">
        <v>225</v>
      </c>
      <c r="C16" t="s">
        <v>153</v>
      </c>
      <c r="D16" s="1" t="s">
        <v>122</v>
      </c>
      <c r="E16" t="s">
        <v>25</v>
      </c>
      <c r="F16" t="s">
        <v>4</v>
      </c>
      <c r="G16" s="1">
        <v>0.3</v>
      </c>
      <c r="H16" s="1">
        <v>36</v>
      </c>
      <c r="I16" s="1">
        <v>19</v>
      </c>
      <c r="J16" s="1">
        <v>23</v>
      </c>
      <c r="K16" s="1">
        <v>42</v>
      </c>
      <c r="L16" s="1">
        <v>55</v>
      </c>
      <c r="M16" s="3">
        <f>Table1[[#This Row],[G]]/Table1[[#This Row],[GP]]</f>
        <v>0.52777777777777779</v>
      </c>
      <c r="N16" s="3">
        <f>Table1[[#This Row],[A]]/Table1[[#This Row],[GP]]</f>
        <v>0.63888888888888884</v>
      </c>
      <c r="O16" s="3">
        <f>Table1[[#This Row],[PTS]]/Table1[[#This Row],[GP]]</f>
        <v>1.1666666666666667</v>
      </c>
      <c r="P16" s="3">
        <f>Table1[[#This Row],[PPG]]*Table1[[#This Row],[NHLe SCORE]]</f>
        <v>0.35000000000000003</v>
      </c>
      <c r="Q16" s="3">
        <f>Table1[[#This Row],[PIM]]/Table1[[#This Row],[GP]]</f>
        <v>1.5277777777777777</v>
      </c>
      <c r="R16" s="3" t="str">
        <f>IF(P16&lt;=$AA$2,"Q1", IF(P16&lt;=$AA$3,"Q2", IF(P16&lt;=$AA$4,"Q3","Q4")))</f>
        <v>Q4</v>
      </c>
      <c r="S16" s="2">
        <v>39554</v>
      </c>
      <c r="T16" s="1" t="s">
        <v>102</v>
      </c>
      <c r="U16" s="1">
        <v>159</v>
      </c>
      <c r="V16" s="1" t="s">
        <v>97</v>
      </c>
    </row>
    <row r="17" spans="1:22" x14ac:dyDescent="0.3">
      <c r="A17" t="e" vm="2">
        <v>#VALUE!</v>
      </c>
      <c r="B17" t="s">
        <v>226</v>
      </c>
      <c r="C17" t="s">
        <v>195</v>
      </c>
      <c r="D17" s="1" t="s">
        <v>122</v>
      </c>
      <c r="E17" t="s">
        <v>5</v>
      </c>
      <c r="F17" t="s">
        <v>6</v>
      </c>
      <c r="G17" s="1">
        <v>0.35</v>
      </c>
      <c r="H17" s="1">
        <v>8</v>
      </c>
      <c r="I17" s="1">
        <v>2</v>
      </c>
      <c r="J17" s="1">
        <v>6</v>
      </c>
      <c r="K17" s="1">
        <v>8</v>
      </c>
      <c r="L17" s="1">
        <v>0</v>
      </c>
      <c r="M17" s="3">
        <f>Table1[[#This Row],[G]]/Table1[[#This Row],[GP]]</f>
        <v>0.25</v>
      </c>
      <c r="N17" s="3">
        <f>Table1[[#This Row],[A]]/Table1[[#This Row],[GP]]</f>
        <v>0.75</v>
      </c>
      <c r="O17" s="3">
        <f>Table1[[#This Row],[PTS]]/Table1[[#This Row],[GP]]</f>
        <v>1</v>
      </c>
      <c r="P17" s="3">
        <f>Table1[[#This Row],[PPG]]*Table1[[#This Row],[NHLe SCORE]]</f>
        <v>0.35</v>
      </c>
      <c r="Q17" s="3">
        <f>Table1[[#This Row],[PIM]]/Table1[[#This Row],[GP]]</f>
        <v>0</v>
      </c>
      <c r="R17" s="3" t="str">
        <f>IF(P17&lt;=$AA$2,"Q1", IF(P17&lt;=$AA$3,"Q2", IF(P17&lt;=$AA$4,"Q3","Q4")))</f>
        <v>Q4</v>
      </c>
      <c r="S17" s="2">
        <v>39698</v>
      </c>
      <c r="T17" s="1" t="s">
        <v>104</v>
      </c>
      <c r="U17" s="1">
        <v>172</v>
      </c>
      <c r="V17" s="1" t="s">
        <v>97</v>
      </c>
    </row>
    <row r="18" spans="1:22" x14ac:dyDescent="0.3">
      <c r="A18" t="e" vm="3">
        <v>#VALUE!</v>
      </c>
      <c r="B18" t="s">
        <v>225</v>
      </c>
      <c r="C18" t="s">
        <v>190</v>
      </c>
      <c r="D18" s="1" t="s">
        <v>122</v>
      </c>
      <c r="E18" t="s">
        <v>41</v>
      </c>
      <c r="F18" t="s">
        <v>27</v>
      </c>
      <c r="G18" s="1">
        <v>0.41</v>
      </c>
      <c r="H18" s="1">
        <v>20</v>
      </c>
      <c r="I18" s="1">
        <v>5</v>
      </c>
      <c r="J18" s="1">
        <v>12</v>
      </c>
      <c r="K18" s="1">
        <v>17</v>
      </c>
      <c r="L18" s="1">
        <v>28</v>
      </c>
      <c r="M18" s="3">
        <f>Table1[[#This Row],[G]]/Table1[[#This Row],[GP]]</f>
        <v>0.25</v>
      </c>
      <c r="N18" s="3">
        <f>Table1[[#This Row],[A]]/Table1[[#This Row],[GP]]</f>
        <v>0.6</v>
      </c>
      <c r="O18" s="3">
        <f>Table1[[#This Row],[PTS]]/Table1[[#This Row],[GP]]</f>
        <v>0.85</v>
      </c>
      <c r="P18" s="3">
        <f>Table1[[#This Row],[PPG]]*Table1[[#This Row],[NHLe SCORE]]</f>
        <v>0.34849999999999998</v>
      </c>
      <c r="Q18" s="3">
        <f>Table1[[#This Row],[PIM]]/Table1[[#This Row],[GP]]</f>
        <v>1.4</v>
      </c>
      <c r="R18" s="3" t="str">
        <f>IF(P18&lt;=$AA$2,"Q1", IF(P18&lt;=$AA$3,"Q2", IF(P18&lt;=$AA$4,"Q3","Q4")))</f>
        <v>Q4</v>
      </c>
      <c r="S18" s="2">
        <v>39548</v>
      </c>
      <c r="T18" s="1" t="s">
        <v>102</v>
      </c>
      <c r="U18" s="1">
        <v>185</v>
      </c>
      <c r="V18" s="1" t="s">
        <v>97</v>
      </c>
    </row>
    <row r="19" spans="1:22" x14ac:dyDescent="0.3">
      <c r="A19" t="e" vm="7">
        <v>#VALUE!</v>
      </c>
      <c r="B19" t="s">
        <v>224</v>
      </c>
      <c r="C19" t="s">
        <v>124</v>
      </c>
      <c r="D19" s="1" t="s">
        <v>122</v>
      </c>
      <c r="E19" t="s">
        <v>0</v>
      </c>
      <c r="F19" t="s">
        <v>1</v>
      </c>
      <c r="G19" s="1">
        <v>0.26</v>
      </c>
      <c r="H19" s="1">
        <v>18</v>
      </c>
      <c r="I19" s="1">
        <v>14</v>
      </c>
      <c r="J19" s="1">
        <v>10</v>
      </c>
      <c r="K19" s="1">
        <v>24</v>
      </c>
      <c r="L19" s="1">
        <v>12</v>
      </c>
      <c r="M19" s="3">
        <f>Table1[[#This Row],[G]]/Table1[[#This Row],[GP]]</f>
        <v>0.77777777777777779</v>
      </c>
      <c r="N19" s="3">
        <f>Table1[[#This Row],[A]]/Table1[[#This Row],[GP]]</f>
        <v>0.55555555555555558</v>
      </c>
      <c r="O19" s="3">
        <f>Table1[[#This Row],[PTS]]/Table1[[#This Row],[GP]]</f>
        <v>1.3333333333333333</v>
      </c>
      <c r="P19" s="3">
        <f>Table1[[#This Row],[PPG]]*Table1[[#This Row],[NHLe SCORE]]</f>
        <v>0.34666666666666668</v>
      </c>
      <c r="Q19" s="3">
        <f>Table1[[#This Row],[PIM]]/Table1[[#This Row],[GP]]</f>
        <v>0.66666666666666663</v>
      </c>
      <c r="R19" s="3" t="str">
        <f>IF(P19&lt;=$AA$2,"Q1", IF(P19&lt;=$AA$3,"Q2", IF(P19&lt;=$AA$4,"Q3","Q4")))</f>
        <v>Q4</v>
      </c>
      <c r="S19" s="2">
        <v>39556</v>
      </c>
      <c r="T19" s="1" t="s">
        <v>96</v>
      </c>
      <c r="U19" s="1">
        <v>185</v>
      </c>
      <c r="V19" s="1" t="s">
        <v>97</v>
      </c>
    </row>
    <row r="20" spans="1:22" x14ac:dyDescent="0.3">
      <c r="A20" t="e" vm="2">
        <v>#VALUE!</v>
      </c>
      <c r="B20" t="s">
        <v>226</v>
      </c>
      <c r="C20" t="s">
        <v>164</v>
      </c>
      <c r="D20" s="1" t="s">
        <v>123</v>
      </c>
      <c r="E20" t="s">
        <v>34</v>
      </c>
      <c r="F20" t="s">
        <v>4</v>
      </c>
      <c r="G20" s="1">
        <v>0.3</v>
      </c>
      <c r="H20" s="1">
        <v>31</v>
      </c>
      <c r="I20" s="1">
        <v>14</v>
      </c>
      <c r="J20" s="1">
        <v>21</v>
      </c>
      <c r="K20" s="1">
        <v>35</v>
      </c>
      <c r="L20" s="1">
        <v>24</v>
      </c>
      <c r="M20" s="3">
        <f>Table1[[#This Row],[G]]/Table1[[#This Row],[GP]]</f>
        <v>0.45161290322580644</v>
      </c>
      <c r="N20" s="3">
        <f>Table1[[#This Row],[A]]/Table1[[#This Row],[GP]]</f>
        <v>0.67741935483870963</v>
      </c>
      <c r="O20" s="3">
        <f>Table1[[#This Row],[PTS]]/Table1[[#This Row],[GP]]</f>
        <v>1.1290322580645162</v>
      </c>
      <c r="P20" s="3">
        <f>Table1[[#This Row],[PPG]]*Table1[[#This Row],[NHLe SCORE]]</f>
        <v>0.33870967741935487</v>
      </c>
      <c r="Q20" s="3">
        <f>Table1[[#This Row],[PIM]]/Table1[[#This Row],[GP]]</f>
        <v>0.77419354838709675</v>
      </c>
      <c r="R20" s="3" t="str">
        <f>IF(P20&lt;=$AA$2,"Q1", IF(P20&lt;=$AA$3,"Q2", IF(P20&lt;=$AA$4,"Q3","Q4")))</f>
        <v>Q4</v>
      </c>
      <c r="S20" s="2">
        <v>39445</v>
      </c>
      <c r="T20" s="1" t="s">
        <v>101</v>
      </c>
      <c r="U20" s="1">
        <v>187</v>
      </c>
      <c r="V20" s="1" t="s">
        <v>100</v>
      </c>
    </row>
    <row r="21" spans="1:22" x14ac:dyDescent="0.3">
      <c r="A21" t="e" vm="1">
        <v>#VALUE!</v>
      </c>
      <c r="B21" t="s">
        <v>227</v>
      </c>
      <c r="C21" t="s">
        <v>177</v>
      </c>
      <c r="D21" s="1" t="s">
        <v>123</v>
      </c>
      <c r="E21" t="s">
        <v>0</v>
      </c>
      <c r="F21" t="s">
        <v>1</v>
      </c>
      <c r="G21" s="1">
        <v>0.26</v>
      </c>
      <c r="H21" s="1">
        <v>20</v>
      </c>
      <c r="I21" s="1">
        <v>4</v>
      </c>
      <c r="J21" s="1">
        <v>22</v>
      </c>
      <c r="K21" s="1">
        <v>26</v>
      </c>
      <c r="L21" s="1">
        <v>10</v>
      </c>
      <c r="M21" s="3">
        <f>Table1[[#This Row],[G]]/Table1[[#This Row],[GP]]</f>
        <v>0.2</v>
      </c>
      <c r="N21" s="3">
        <f>Table1[[#This Row],[A]]/Table1[[#This Row],[GP]]</f>
        <v>1.1000000000000001</v>
      </c>
      <c r="O21" s="3">
        <f>Table1[[#This Row],[PTS]]/Table1[[#This Row],[GP]]</f>
        <v>1.3</v>
      </c>
      <c r="P21" s="3">
        <f>Table1[[#This Row],[PPG]]*Table1[[#This Row],[NHLe SCORE]]</f>
        <v>0.33800000000000002</v>
      </c>
      <c r="Q21" s="3">
        <f>Table1[[#This Row],[PIM]]/Table1[[#This Row],[GP]]</f>
        <v>0.5</v>
      </c>
      <c r="R21" s="3" t="str">
        <f>IF(P21&lt;=$AA$2,"Q1", IF(P21&lt;=$AA$3,"Q2", IF(P21&lt;=$AA$4,"Q3","Q4")))</f>
        <v>Q4</v>
      </c>
      <c r="S21" s="2">
        <v>39601</v>
      </c>
      <c r="T21" s="1" t="s">
        <v>102</v>
      </c>
      <c r="U21" s="1">
        <v>165</v>
      </c>
      <c r="V21" s="1" t="s">
        <v>100</v>
      </c>
    </row>
    <row r="22" spans="1:22" x14ac:dyDescent="0.3">
      <c r="A22" t="e" vm="2">
        <v>#VALUE!</v>
      </c>
      <c r="B22" t="s">
        <v>226</v>
      </c>
      <c r="C22" t="s">
        <v>199</v>
      </c>
      <c r="D22" s="1" t="s">
        <v>122</v>
      </c>
      <c r="E22" t="s">
        <v>69</v>
      </c>
      <c r="F22" t="s">
        <v>19</v>
      </c>
      <c r="G22" s="1">
        <v>0.28999999999999998</v>
      </c>
      <c r="H22" s="1">
        <v>20</v>
      </c>
      <c r="I22" s="1">
        <v>7</v>
      </c>
      <c r="J22" s="1">
        <v>15</v>
      </c>
      <c r="K22" s="1">
        <v>22</v>
      </c>
      <c r="L22" s="1">
        <v>31</v>
      </c>
      <c r="M22" s="3">
        <f>Table1[[#This Row],[G]]/Table1[[#This Row],[GP]]</f>
        <v>0.35</v>
      </c>
      <c r="N22" s="3">
        <f>Table1[[#This Row],[A]]/Table1[[#This Row],[GP]]</f>
        <v>0.75</v>
      </c>
      <c r="O22" s="3">
        <f>Table1[[#This Row],[PTS]]/Table1[[#This Row],[GP]]</f>
        <v>1.1000000000000001</v>
      </c>
      <c r="P22" s="3">
        <f>Table1[[#This Row],[PPG]]*Table1[[#This Row],[NHLe SCORE]]</f>
        <v>0.31900000000000001</v>
      </c>
      <c r="Q22" s="3">
        <f>Table1[[#This Row],[PIM]]/Table1[[#This Row],[GP]]</f>
        <v>1.55</v>
      </c>
      <c r="R22" s="3" t="str">
        <f>IF(P22&lt;=$AA$2,"Q1", IF(P22&lt;=$AA$3,"Q2", IF(P22&lt;=$AA$4,"Q3","Q4")))</f>
        <v>Q4</v>
      </c>
      <c r="S22" s="2">
        <v>39342</v>
      </c>
      <c r="T22" s="1" t="s">
        <v>104</v>
      </c>
      <c r="U22" s="1">
        <v>187</v>
      </c>
      <c r="V22" s="1" t="s">
        <v>97</v>
      </c>
    </row>
    <row r="23" spans="1:22" x14ac:dyDescent="0.3">
      <c r="A23" t="e" vm="3">
        <v>#VALUE!</v>
      </c>
      <c r="B23" t="s">
        <v>225</v>
      </c>
      <c r="C23" t="s">
        <v>128</v>
      </c>
      <c r="D23" s="1" t="s">
        <v>123</v>
      </c>
      <c r="E23" t="s">
        <v>9</v>
      </c>
      <c r="F23" t="s">
        <v>10</v>
      </c>
      <c r="G23" s="1">
        <v>0.3</v>
      </c>
      <c r="H23" s="1">
        <v>28</v>
      </c>
      <c r="I23" s="1">
        <v>8</v>
      </c>
      <c r="J23" s="1">
        <v>21</v>
      </c>
      <c r="K23" s="1">
        <v>29</v>
      </c>
      <c r="L23" s="1">
        <v>32</v>
      </c>
      <c r="M23" s="3">
        <f>Table1[[#This Row],[G]]/Table1[[#This Row],[GP]]</f>
        <v>0.2857142857142857</v>
      </c>
      <c r="N23" s="3">
        <f>Table1[[#This Row],[A]]/Table1[[#This Row],[GP]]</f>
        <v>0.75</v>
      </c>
      <c r="O23" s="3">
        <f>Table1[[#This Row],[PTS]]/Table1[[#This Row],[GP]]</f>
        <v>1.0357142857142858</v>
      </c>
      <c r="P23" s="3">
        <f>Table1[[#This Row],[PPG]]*Table1[[#This Row],[NHLe SCORE]]</f>
        <v>0.31071428571428572</v>
      </c>
      <c r="Q23" s="3">
        <f>Table1[[#This Row],[PIM]]/Table1[[#This Row],[GP]]</f>
        <v>1.1428571428571428</v>
      </c>
      <c r="R23" s="3" t="str">
        <f>IF(P23&lt;=$AA$2,"Q1", IF(P23&lt;=$AA$3,"Q2", IF(P23&lt;=$AA$4,"Q3","Q4")))</f>
        <v>Q4</v>
      </c>
      <c r="S23" s="2">
        <v>39621</v>
      </c>
      <c r="T23" s="1" t="s">
        <v>101</v>
      </c>
      <c r="U23" s="1">
        <v>194</v>
      </c>
      <c r="V23" s="1" t="s">
        <v>97</v>
      </c>
    </row>
    <row r="24" spans="1:22" x14ac:dyDescent="0.3">
      <c r="A24" t="e" vm="3">
        <v>#VALUE!</v>
      </c>
      <c r="B24" t="s">
        <v>225</v>
      </c>
      <c r="C24" t="s">
        <v>125</v>
      </c>
      <c r="D24" s="1" t="s">
        <v>122</v>
      </c>
      <c r="E24" t="s">
        <v>3</v>
      </c>
      <c r="F24" t="s">
        <v>4</v>
      </c>
      <c r="G24" s="1">
        <v>0.3</v>
      </c>
      <c r="H24" s="1">
        <v>31</v>
      </c>
      <c r="I24" s="1">
        <v>18</v>
      </c>
      <c r="J24" s="1">
        <v>14</v>
      </c>
      <c r="K24" s="1">
        <v>32</v>
      </c>
      <c r="L24" s="1">
        <v>26</v>
      </c>
      <c r="M24" s="3">
        <f>Table1[[#This Row],[G]]/Table1[[#This Row],[GP]]</f>
        <v>0.58064516129032262</v>
      </c>
      <c r="N24" s="3">
        <f>Table1[[#This Row],[A]]/Table1[[#This Row],[GP]]</f>
        <v>0.45161290322580644</v>
      </c>
      <c r="O24" s="3">
        <f>Table1[[#This Row],[PTS]]/Table1[[#This Row],[GP]]</f>
        <v>1.032258064516129</v>
      </c>
      <c r="P24" s="3">
        <f>Table1[[#This Row],[PPG]]*Table1[[#This Row],[NHLe SCORE]]</f>
        <v>0.30967741935483867</v>
      </c>
      <c r="Q24" s="3">
        <f>Table1[[#This Row],[PIM]]/Table1[[#This Row],[GP]]</f>
        <v>0.83870967741935487</v>
      </c>
      <c r="R24" s="3" t="str">
        <f>IF(P24&lt;=$AA$2,"Q1", IF(P24&lt;=$AA$3,"Q2", IF(P24&lt;=$AA$4,"Q3","Q4")))</f>
        <v>Q4</v>
      </c>
      <c r="S24" s="2">
        <v>39536</v>
      </c>
      <c r="T24" s="1" t="s">
        <v>98</v>
      </c>
      <c r="U24" s="1">
        <v>227</v>
      </c>
      <c r="V24" s="1" t="s">
        <v>97</v>
      </c>
    </row>
    <row r="25" spans="1:22" hidden="1" x14ac:dyDescent="0.3">
      <c r="A25" t="e" vm="3">
        <v>#VALUE!</v>
      </c>
      <c r="B25" t="s">
        <v>225</v>
      </c>
      <c r="C25" t="s">
        <v>169</v>
      </c>
      <c r="D25" s="1" t="s">
        <v>123</v>
      </c>
      <c r="E25" t="s">
        <v>43</v>
      </c>
      <c r="F25" t="s">
        <v>38</v>
      </c>
      <c r="G25" s="1">
        <v>0.28000000000000003</v>
      </c>
      <c r="H25" s="1">
        <v>30</v>
      </c>
      <c r="I25" s="1">
        <v>6</v>
      </c>
      <c r="J25" s="1">
        <v>27</v>
      </c>
      <c r="K25" s="1">
        <v>33</v>
      </c>
      <c r="L25" s="1">
        <v>33</v>
      </c>
      <c r="M25" s="3">
        <f>Table1[[#This Row],[G]]/Table1[[#This Row],[GP]]</f>
        <v>0.2</v>
      </c>
      <c r="N25" s="3">
        <f>Table1[[#This Row],[A]]/Table1[[#This Row],[GP]]</f>
        <v>0.9</v>
      </c>
      <c r="O25" s="3">
        <f>Table1[[#This Row],[PTS]]/Table1[[#This Row],[GP]]</f>
        <v>1.1000000000000001</v>
      </c>
      <c r="P25" s="3">
        <f>Table1[[#This Row],[PPG]]*Table1[[#This Row],[NHLe SCORE]]</f>
        <v>0.30800000000000005</v>
      </c>
      <c r="Q25" s="3">
        <f>Table1[[#This Row],[PIM]]/Table1[[#This Row],[GP]]</f>
        <v>1.1000000000000001</v>
      </c>
      <c r="R25" s="3" t="str">
        <f>IF(P25&lt;=$AA$2,"Q1", IF(P25&lt;=$AA$3,"Q2", IF(P25&lt;=$AA$4,"Q3","Q4")))</f>
        <v>Q3</v>
      </c>
      <c r="S25" s="2">
        <v>39353</v>
      </c>
      <c r="T25" s="1" t="s">
        <v>102</v>
      </c>
      <c r="U25" s="1">
        <v>157</v>
      </c>
      <c r="V25" s="1" t="s">
        <v>97</v>
      </c>
    </row>
    <row r="26" spans="1:22" hidden="1" x14ac:dyDescent="0.3">
      <c r="A26" t="e" vm="5">
        <v>#VALUE!</v>
      </c>
      <c r="B26" t="s">
        <v>230</v>
      </c>
      <c r="C26" t="s">
        <v>159</v>
      </c>
      <c r="D26" s="1" t="s">
        <v>122</v>
      </c>
      <c r="E26" t="s">
        <v>91</v>
      </c>
      <c r="F26" t="s">
        <v>38</v>
      </c>
      <c r="G26" s="1">
        <v>0.28000000000000003</v>
      </c>
      <c r="H26" s="1">
        <v>31</v>
      </c>
      <c r="I26" s="1">
        <v>17</v>
      </c>
      <c r="J26" s="1">
        <v>17</v>
      </c>
      <c r="K26" s="1">
        <v>34</v>
      </c>
      <c r="L26" s="1">
        <v>16</v>
      </c>
      <c r="M26" s="3">
        <f>Table1[[#This Row],[G]]/Table1[[#This Row],[GP]]</f>
        <v>0.54838709677419351</v>
      </c>
      <c r="N26" s="3">
        <f>Table1[[#This Row],[A]]/Table1[[#This Row],[GP]]</f>
        <v>0.54838709677419351</v>
      </c>
      <c r="O26" s="3">
        <f>Table1[[#This Row],[PTS]]/Table1[[#This Row],[GP]]</f>
        <v>1.096774193548387</v>
      </c>
      <c r="P26" s="3">
        <f>Table1[[#This Row],[PPG]]*Table1[[#This Row],[NHLe SCORE]]</f>
        <v>0.30709677419354842</v>
      </c>
      <c r="Q26" s="3">
        <f>Table1[[#This Row],[PIM]]/Table1[[#This Row],[GP]]</f>
        <v>0.5161290322580645</v>
      </c>
      <c r="R26" s="3" t="str">
        <f>IF(P26&lt;=$AA$2,"Q1", IF(P26&lt;=$AA$3,"Q2", IF(P26&lt;=$AA$4,"Q3","Q4")))</f>
        <v>Q3</v>
      </c>
      <c r="S26" s="2">
        <v>39457</v>
      </c>
      <c r="T26" s="1" t="s">
        <v>102</v>
      </c>
      <c r="U26" s="1">
        <v>176</v>
      </c>
      <c r="V26" s="1" t="s">
        <v>97</v>
      </c>
    </row>
    <row r="27" spans="1:22" hidden="1" x14ac:dyDescent="0.3">
      <c r="A27" t="e" vm="1">
        <v>#VALUE!</v>
      </c>
      <c r="B27" t="s">
        <v>227</v>
      </c>
      <c r="C27" t="s">
        <v>214</v>
      </c>
      <c r="D27" s="1" t="s">
        <v>122</v>
      </c>
      <c r="E27" t="s">
        <v>49</v>
      </c>
      <c r="F27" t="s">
        <v>1</v>
      </c>
      <c r="G27" s="1">
        <v>0.26</v>
      </c>
      <c r="H27" s="1">
        <v>17</v>
      </c>
      <c r="I27" s="1">
        <v>11</v>
      </c>
      <c r="J27" s="1">
        <v>9</v>
      </c>
      <c r="K27" s="1">
        <v>20</v>
      </c>
      <c r="L27" s="1">
        <v>6</v>
      </c>
      <c r="M27" s="3">
        <f>Table1[[#This Row],[G]]/Table1[[#This Row],[GP]]</f>
        <v>0.6470588235294118</v>
      </c>
      <c r="N27" s="3">
        <f>Table1[[#This Row],[A]]/Table1[[#This Row],[GP]]</f>
        <v>0.52941176470588236</v>
      </c>
      <c r="O27" s="3">
        <f>Table1[[#This Row],[PTS]]/Table1[[#This Row],[GP]]</f>
        <v>1.1764705882352942</v>
      </c>
      <c r="P27" s="3">
        <f>Table1[[#This Row],[PPG]]*Table1[[#This Row],[NHLe SCORE]]</f>
        <v>0.30588235294117649</v>
      </c>
      <c r="Q27" s="3">
        <f>Table1[[#This Row],[PIM]]/Table1[[#This Row],[GP]]</f>
        <v>0.35294117647058826</v>
      </c>
      <c r="R27" s="3" t="str">
        <f>IF(P27&lt;=$AA$2,"Q1", IF(P27&lt;=$AA$3,"Q2", IF(P27&lt;=$AA$4,"Q3","Q4")))</f>
        <v>Q3</v>
      </c>
      <c r="S27" s="2">
        <v>39562</v>
      </c>
      <c r="T27" s="1" t="s">
        <v>99</v>
      </c>
      <c r="U27" s="1">
        <v>174</v>
      </c>
      <c r="V27" s="1" t="s">
        <v>100</v>
      </c>
    </row>
    <row r="28" spans="1:22" hidden="1" x14ac:dyDescent="0.3">
      <c r="A28" t="e" vm="3">
        <v>#VALUE!</v>
      </c>
      <c r="B28" t="s">
        <v>225</v>
      </c>
      <c r="C28" t="s">
        <v>165</v>
      </c>
      <c r="D28" s="1" t="s">
        <v>123</v>
      </c>
      <c r="E28" t="s">
        <v>36</v>
      </c>
      <c r="F28" t="s">
        <v>10</v>
      </c>
      <c r="G28" s="1">
        <v>0.3</v>
      </c>
      <c r="H28" s="1">
        <v>32</v>
      </c>
      <c r="I28" s="1">
        <v>14</v>
      </c>
      <c r="J28" s="1">
        <v>18</v>
      </c>
      <c r="K28" s="1">
        <v>32</v>
      </c>
      <c r="L28" s="1">
        <v>30</v>
      </c>
      <c r="M28" s="3">
        <f>Table1[[#This Row],[G]]/Table1[[#This Row],[GP]]</f>
        <v>0.4375</v>
      </c>
      <c r="N28" s="3">
        <f>Table1[[#This Row],[A]]/Table1[[#This Row],[GP]]</f>
        <v>0.5625</v>
      </c>
      <c r="O28" s="3">
        <f>Table1[[#This Row],[PTS]]/Table1[[#This Row],[GP]]</f>
        <v>1</v>
      </c>
      <c r="P28" s="3">
        <f>Table1[[#This Row],[PPG]]*Table1[[#This Row],[NHLe SCORE]]</f>
        <v>0.3</v>
      </c>
      <c r="Q28" s="3">
        <f>Table1[[#This Row],[PIM]]/Table1[[#This Row],[GP]]</f>
        <v>0.9375</v>
      </c>
      <c r="R28" s="3" t="str">
        <f>IF(P28&lt;=$AA$2,"Q1", IF(P28&lt;=$AA$3,"Q2", IF(P28&lt;=$AA$4,"Q3","Q4")))</f>
        <v>Q3</v>
      </c>
      <c r="S28" s="2">
        <v>39512</v>
      </c>
      <c r="T28" s="1" t="s">
        <v>101</v>
      </c>
      <c r="U28" s="1">
        <v>203</v>
      </c>
      <c r="V28" s="1" t="s">
        <v>100</v>
      </c>
    </row>
    <row r="29" spans="1:22" hidden="1" x14ac:dyDescent="0.3">
      <c r="A29" t="e" vm="8">
        <v>#VALUE!</v>
      </c>
      <c r="B29" t="s">
        <v>12</v>
      </c>
      <c r="C29" t="s">
        <v>129</v>
      </c>
      <c r="D29" s="1" t="s">
        <v>122</v>
      </c>
      <c r="E29" t="s">
        <v>11</v>
      </c>
      <c r="F29" t="s">
        <v>12</v>
      </c>
      <c r="G29" s="1">
        <v>0.47</v>
      </c>
      <c r="H29" s="1">
        <v>27</v>
      </c>
      <c r="I29" s="1">
        <v>5</v>
      </c>
      <c r="J29" s="1">
        <v>12</v>
      </c>
      <c r="K29" s="1">
        <v>17</v>
      </c>
      <c r="L29" s="1">
        <v>4</v>
      </c>
      <c r="M29" s="3">
        <f>Table1[[#This Row],[G]]/Table1[[#This Row],[GP]]</f>
        <v>0.18518518518518517</v>
      </c>
      <c r="N29" s="3">
        <f>Table1[[#This Row],[A]]/Table1[[#This Row],[GP]]</f>
        <v>0.44444444444444442</v>
      </c>
      <c r="O29" s="3">
        <f>Table1[[#This Row],[PTS]]/Table1[[#This Row],[GP]]</f>
        <v>0.62962962962962965</v>
      </c>
      <c r="P29" s="3">
        <f>Table1[[#This Row],[PPG]]*Table1[[#This Row],[NHLe SCORE]]</f>
        <v>0.29592592592592593</v>
      </c>
      <c r="Q29" s="3">
        <f>Table1[[#This Row],[PIM]]/Table1[[#This Row],[GP]]</f>
        <v>0.14814814814814814</v>
      </c>
      <c r="R29" s="3" t="str">
        <f>IF(P29&lt;=$AA$2,"Q1", IF(P29&lt;=$AA$3,"Q2", IF(P29&lt;=$AA$4,"Q3","Q4")))</f>
        <v>Q3</v>
      </c>
      <c r="S29" s="2">
        <v>39387</v>
      </c>
      <c r="T29" s="1" t="s">
        <v>102</v>
      </c>
      <c r="U29" s="1">
        <v>170</v>
      </c>
      <c r="V29" s="1" t="s">
        <v>100</v>
      </c>
    </row>
    <row r="30" spans="1:22" hidden="1" x14ac:dyDescent="0.3">
      <c r="A30" t="e" vm="3">
        <v>#VALUE!</v>
      </c>
      <c r="B30" t="s">
        <v>225</v>
      </c>
      <c r="C30" t="s">
        <v>196</v>
      </c>
      <c r="D30" s="1" t="s">
        <v>122</v>
      </c>
      <c r="E30" t="s">
        <v>63</v>
      </c>
      <c r="F30" t="s">
        <v>10</v>
      </c>
      <c r="G30" s="1">
        <v>0.3</v>
      </c>
      <c r="H30" s="1">
        <v>33</v>
      </c>
      <c r="I30" s="1">
        <v>11</v>
      </c>
      <c r="J30" s="1">
        <v>21</v>
      </c>
      <c r="K30" s="1">
        <v>32</v>
      </c>
      <c r="L30" s="1">
        <v>24</v>
      </c>
      <c r="M30" s="3">
        <f>Table1[[#This Row],[G]]/Table1[[#This Row],[GP]]</f>
        <v>0.33333333333333331</v>
      </c>
      <c r="N30" s="3">
        <f>Table1[[#This Row],[A]]/Table1[[#This Row],[GP]]</f>
        <v>0.63636363636363635</v>
      </c>
      <c r="O30" s="3">
        <f>Table1[[#This Row],[PTS]]/Table1[[#This Row],[GP]]</f>
        <v>0.96969696969696972</v>
      </c>
      <c r="P30" s="3">
        <f>Table1[[#This Row],[PPG]]*Table1[[#This Row],[NHLe SCORE]]</f>
        <v>0.29090909090909089</v>
      </c>
      <c r="Q30" s="3">
        <f>Table1[[#This Row],[PIM]]/Table1[[#This Row],[GP]]</f>
        <v>0.72727272727272729</v>
      </c>
      <c r="R30" s="3" t="str">
        <f>IF(P30&lt;=$AA$2,"Q1", IF(P30&lt;=$AA$3,"Q2", IF(P30&lt;=$AA$4,"Q3","Q4")))</f>
        <v>Q3</v>
      </c>
      <c r="S30" s="2">
        <v>39493</v>
      </c>
      <c r="T30" s="1" t="s">
        <v>102</v>
      </c>
      <c r="U30" s="1">
        <v>174</v>
      </c>
      <c r="V30" s="1" t="s">
        <v>97</v>
      </c>
    </row>
    <row r="31" spans="1:22" hidden="1" x14ac:dyDescent="0.3">
      <c r="A31" t="e" vm="4">
        <v>#VALUE!</v>
      </c>
      <c r="B31" t="s">
        <v>229</v>
      </c>
      <c r="C31" t="s">
        <v>206</v>
      </c>
      <c r="D31" s="1" t="s">
        <v>122</v>
      </c>
      <c r="E31" t="s">
        <v>90</v>
      </c>
      <c r="F31" t="s">
        <v>4</v>
      </c>
      <c r="G31" s="1">
        <v>0.3</v>
      </c>
      <c r="H31" s="1">
        <v>32</v>
      </c>
      <c r="I31" s="1">
        <v>17</v>
      </c>
      <c r="J31" s="1">
        <v>13</v>
      </c>
      <c r="K31" s="1">
        <v>30</v>
      </c>
      <c r="L31" s="1">
        <v>4</v>
      </c>
      <c r="M31" s="3">
        <f>Table1[[#This Row],[G]]/Table1[[#This Row],[GP]]</f>
        <v>0.53125</v>
      </c>
      <c r="N31" s="3">
        <f>Table1[[#This Row],[A]]/Table1[[#This Row],[GP]]</f>
        <v>0.40625</v>
      </c>
      <c r="O31" s="3">
        <f>Table1[[#This Row],[PTS]]/Table1[[#This Row],[GP]]</f>
        <v>0.9375</v>
      </c>
      <c r="P31" s="3">
        <f>Table1[[#This Row],[PPG]]*Table1[[#This Row],[NHLe SCORE]]</f>
        <v>0.28125</v>
      </c>
      <c r="Q31" s="3">
        <f>Table1[[#This Row],[PIM]]/Table1[[#This Row],[GP]]</f>
        <v>0.125</v>
      </c>
      <c r="R31" s="3" t="str">
        <f>IF(P31&lt;=$AA$2,"Q1", IF(P31&lt;=$AA$3,"Q2", IF(P31&lt;=$AA$4,"Q3","Q4")))</f>
        <v>Q3</v>
      </c>
      <c r="S31" s="2">
        <v>39017</v>
      </c>
      <c r="T31" s="1" t="s">
        <v>101</v>
      </c>
      <c r="U31" s="1">
        <v>198</v>
      </c>
      <c r="V31" s="1" t="s">
        <v>97</v>
      </c>
    </row>
    <row r="32" spans="1:22" hidden="1" x14ac:dyDescent="0.3">
      <c r="A32" t="e" vm="3">
        <v>#VALUE!</v>
      </c>
      <c r="B32" t="s">
        <v>225</v>
      </c>
      <c r="C32" t="s">
        <v>189</v>
      </c>
      <c r="D32" s="1" t="s">
        <v>122</v>
      </c>
      <c r="E32" t="s">
        <v>33</v>
      </c>
      <c r="F32" t="s">
        <v>10</v>
      </c>
      <c r="G32" s="1">
        <v>0.3</v>
      </c>
      <c r="H32" s="1">
        <v>31</v>
      </c>
      <c r="I32" s="1">
        <v>12</v>
      </c>
      <c r="J32" s="1">
        <v>17</v>
      </c>
      <c r="K32" s="1">
        <v>29</v>
      </c>
      <c r="L32" s="1">
        <v>30</v>
      </c>
      <c r="M32" s="3">
        <f>Table1[[#This Row],[G]]/Table1[[#This Row],[GP]]</f>
        <v>0.38709677419354838</v>
      </c>
      <c r="N32" s="3">
        <f>Table1[[#This Row],[A]]/Table1[[#This Row],[GP]]</f>
        <v>0.54838709677419351</v>
      </c>
      <c r="O32" s="3">
        <f>Table1[[#This Row],[PTS]]/Table1[[#This Row],[GP]]</f>
        <v>0.93548387096774188</v>
      </c>
      <c r="P32" s="3">
        <f>Table1[[#This Row],[PPG]]*Table1[[#This Row],[NHLe SCORE]]</f>
        <v>0.28064516129032258</v>
      </c>
      <c r="Q32" s="3">
        <f>Table1[[#This Row],[PIM]]/Table1[[#This Row],[GP]]</f>
        <v>0.967741935483871</v>
      </c>
      <c r="R32" s="3" t="str">
        <f>IF(P32&lt;=$AA$2,"Q1", IF(P32&lt;=$AA$3,"Q2", IF(P32&lt;=$AA$4,"Q3","Q4")))</f>
        <v>Q3</v>
      </c>
      <c r="S32" s="2">
        <v>39649</v>
      </c>
      <c r="T32" s="1" t="s">
        <v>102</v>
      </c>
      <c r="U32" s="1">
        <v>176</v>
      </c>
      <c r="V32" s="1" t="s">
        <v>100</v>
      </c>
    </row>
    <row r="33" spans="1:22" hidden="1" x14ac:dyDescent="0.3">
      <c r="A33" t="e" vm="2">
        <v>#VALUE!</v>
      </c>
      <c r="B33" t="s">
        <v>226</v>
      </c>
      <c r="C33" t="s">
        <v>204</v>
      </c>
      <c r="D33" s="1" t="s">
        <v>122</v>
      </c>
      <c r="E33" t="s">
        <v>18</v>
      </c>
      <c r="F33" t="s">
        <v>19</v>
      </c>
      <c r="G33" s="1">
        <v>0.28999999999999998</v>
      </c>
      <c r="H33" s="1">
        <v>23</v>
      </c>
      <c r="I33" s="1">
        <v>9</v>
      </c>
      <c r="J33" s="1">
        <v>13</v>
      </c>
      <c r="K33" s="1">
        <v>22</v>
      </c>
      <c r="L33" s="1">
        <v>10</v>
      </c>
      <c r="M33" s="3">
        <f>Table1[[#This Row],[G]]/Table1[[#This Row],[GP]]</f>
        <v>0.39130434782608697</v>
      </c>
      <c r="N33" s="3">
        <f>Table1[[#This Row],[A]]/Table1[[#This Row],[GP]]</f>
        <v>0.56521739130434778</v>
      </c>
      <c r="O33" s="3">
        <f>Table1[[#This Row],[PTS]]/Table1[[#This Row],[GP]]</f>
        <v>0.95652173913043481</v>
      </c>
      <c r="P33" s="3">
        <f>Table1[[#This Row],[PPG]]*Table1[[#This Row],[NHLe SCORE]]</f>
        <v>0.27739130434782605</v>
      </c>
      <c r="Q33" s="3">
        <f>Table1[[#This Row],[PIM]]/Table1[[#This Row],[GP]]</f>
        <v>0.43478260869565216</v>
      </c>
      <c r="R33" s="3" t="str">
        <f>IF(P33&lt;=$AA$2,"Q1", IF(P33&lt;=$AA$3,"Q2", IF(P33&lt;=$AA$4,"Q3","Q4")))</f>
        <v>Q3</v>
      </c>
      <c r="S33" s="2">
        <v>39377</v>
      </c>
      <c r="T33" s="1" t="s">
        <v>104</v>
      </c>
      <c r="U33" s="1">
        <v>179</v>
      </c>
      <c r="V33" s="1" t="s">
        <v>97</v>
      </c>
    </row>
    <row r="34" spans="1:22" hidden="1" x14ac:dyDescent="0.3">
      <c r="A34" t="e" vm="3">
        <v>#VALUE!</v>
      </c>
      <c r="B34" t="s">
        <v>225</v>
      </c>
      <c r="C34" t="s">
        <v>192</v>
      </c>
      <c r="D34" s="1" t="s">
        <v>122</v>
      </c>
      <c r="E34" t="s">
        <v>44</v>
      </c>
      <c r="F34" t="s">
        <v>10</v>
      </c>
      <c r="G34" s="1">
        <v>0.3</v>
      </c>
      <c r="H34" s="1">
        <v>32</v>
      </c>
      <c r="I34" s="1">
        <v>12</v>
      </c>
      <c r="J34" s="1">
        <v>17</v>
      </c>
      <c r="K34" s="1">
        <v>29</v>
      </c>
      <c r="L34" s="1">
        <v>18</v>
      </c>
      <c r="M34" s="3">
        <f>Table1[[#This Row],[G]]/Table1[[#This Row],[GP]]</f>
        <v>0.375</v>
      </c>
      <c r="N34" s="3">
        <f>Table1[[#This Row],[A]]/Table1[[#This Row],[GP]]</f>
        <v>0.53125</v>
      </c>
      <c r="O34" s="3">
        <f>Table1[[#This Row],[PTS]]/Table1[[#This Row],[GP]]</f>
        <v>0.90625</v>
      </c>
      <c r="P34" s="3">
        <f>Table1[[#This Row],[PPG]]*Table1[[#This Row],[NHLe SCORE]]</f>
        <v>0.27187499999999998</v>
      </c>
      <c r="Q34" s="3">
        <f>Table1[[#This Row],[PIM]]/Table1[[#This Row],[GP]]</f>
        <v>0.5625</v>
      </c>
      <c r="R34" s="3" t="str">
        <f>IF(P34&lt;=$AA$2,"Q1", IF(P34&lt;=$AA$3,"Q2", IF(P34&lt;=$AA$4,"Q3","Q4")))</f>
        <v>Q3</v>
      </c>
      <c r="S34" s="2">
        <v>39495</v>
      </c>
      <c r="T34" s="1" t="s">
        <v>96</v>
      </c>
      <c r="U34" s="1">
        <v>159</v>
      </c>
      <c r="V34" s="1" t="s">
        <v>97</v>
      </c>
    </row>
    <row r="35" spans="1:22" hidden="1" x14ac:dyDescent="0.3">
      <c r="A35" t="e" vm="3">
        <v>#VALUE!</v>
      </c>
      <c r="B35" t="s">
        <v>225</v>
      </c>
      <c r="C35" t="s">
        <v>139</v>
      </c>
      <c r="D35" s="1" t="s">
        <v>122</v>
      </c>
      <c r="E35" t="s">
        <v>50</v>
      </c>
      <c r="F35" t="s">
        <v>38</v>
      </c>
      <c r="G35" s="1">
        <v>0.28000000000000003</v>
      </c>
      <c r="H35" s="1">
        <v>30</v>
      </c>
      <c r="I35" s="1">
        <v>14</v>
      </c>
      <c r="J35" s="1">
        <v>15</v>
      </c>
      <c r="K35" s="1">
        <v>29</v>
      </c>
      <c r="L35" s="1">
        <v>18</v>
      </c>
      <c r="M35" s="3">
        <f>Table1[[#This Row],[G]]/Table1[[#This Row],[GP]]</f>
        <v>0.46666666666666667</v>
      </c>
      <c r="N35" s="3">
        <f>Table1[[#This Row],[A]]/Table1[[#This Row],[GP]]</f>
        <v>0.5</v>
      </c>
      <c r="O35" s="3">
        <f>Table1[[#This Row],[PTS]]/Table1[[#This Row],[GP]]</f>
        <v>0.96666666666666667</v>
      </c>
      <c r="P35" s="3">
        <f>Table1[[#This Row],[PPG]]*Table1[[#This Row],[NHLe SCORE]]</f>
        <v>0.27066666666666672</v>
      </c>
      <c r="Q35" s="3">
        <f>Table1[[#This Row],[PIM]]/Table1[[#This Row],[GP]]</f>
        <v>0.6</v>
      </c>
      <c r="R35" s="3" t="str">
        <f>IF(P35&lt;=$AA$2,"Q1", IF(P35&lt;=$AA$3,"Q2", IF(P35&lt;=$AA$4,"Q3","Q4")))</f>
        <v>Q3</v>
      </c>
      <c r="S35" s="2">
        <v>39399</v>
      </c>
      <c r="T35" s="1" t="s">
        <v>106</v>
      </c>
      <c r="U35" s="1">
        <v>168</v>
      </c>
      <c r="V35" s="1" t="s">
        <v>97</v>
      </c>
    </row>
    <row r="36" spans="1:22" hidden="1" x14ac:dyDescent="0.3">
      <c r="A36" t="e" vm="3">
        <v>#VALUE!</v>
      </c>
      <c r="B36" t="s">
        <v>225</v>
      </c>
      <c r="C36" t="s">
        <v>201</v>
      </c>
      <c r="D36" s="1" t="s">
        <v>122</v>
      </c>
      <c r="E36" t="s">
        <v>33</v>
      </c>
      <c r="F36" t="s">
        <v>10</v>
      </c>
      <c r="G36" s="1">
        <v>0.3</v>
      </c>
      <c r="H36" s="1">
        <v>32</v>
      </c>
      <c r="I36" s="1">
        <v>11</v>
      </c>
      <c r="J36" s="1">
        <v>17</v>
      </c>
      <c r="K36" s="1">
        <v>28</v>
      </c>
      <c r="L36" s="1">
        <v>52</v>
      </c>
      <c r="M36" s="3">
        <f>Table1[[#This Row],[G]]/Table1[[#This Row],[GP]]</f>
        <v>0.34375</v>
      </c>
      <c r="N36" s="3">
        <f>Table1[[#This Row],[A]]/Table1[[#This Row],[GP]]</f>
        <v>0.53125</v>
      </c>
      <c r="O36" s="3">
        <f>Table1[[#This Row],[PTS]]/Table1[[#This Row],[GP]]</f>
        <v>0.875</v>
      </c>
      <c r="P36" s="3">
        <f>Table1[[#This Row],[PPG]]*Table1[[#This Row],[NHLe SCORE]]</f>
        <v>0.26250000000000001</v>
      </c>
      <c r="Q36" s="3">
        <f>Table1[[#This Row],[PIM]]/Table1[[#This Row],[GP]]</f>
        <v>1.625</v>
      </c>
      <c r="R36" s="3" t="str">
        <f>IF(P36&lt;=$AA$2,"Q1", IF(P36&lt;=$AA$3,"Q2", IF(P36&lt;=$AA$4,"Q3","Q4")))</f>
        <v>Q3</v>
      </c>
      <c r="S36" s="2">
        <v>39384</v>
      </c>
      <c r="T36" s="1" t="s">
        <v>104</v>
      </c>
      <c r="U36" s="1">
        <v>201</v>
      </c>
      <c r="V36" s="1" t="s">
        <v>97</v>
      </c>
    </row>
    <row r="37" spans="1:22" hidden="1" x14ac:dyDescent="0.3">
      <c r="A37" t="e" vm="3">
        <v>#VALUE!</v>
      </c>
      <c r="B37" t="s">
        <v>225</v>
      </c>
      <c r="C37" t="s">
        <v>200</v>
      </c>
      <c r="D37" s="1" t="s">
        <v>122</v>
      </c>
      <c r="E37" t="s">
        <v>70</v>
      </c>
      <c r="F37" t="s">
        <v>10</v>
      </c>
      <c r="G37" s="1">
        <v>0.3</v>
      </c>
      <c r="H37" s="1">
        <v>30</v>
      </c>
      <c r="I37" s="1">
        <v>10</v>
      </c>
      <c r="J37" s="1">
        <v>16</v>
      </c>
      <c r="K37" s="1">
        <v>26</v>
      </c>
      <c r="L37" s="1">
        <v>4</v>
      </c>
      <c r="M37" s="3">
        <f>Table1[[#This Row],[G]]/Table1[[#This Row],[GP]]</f>
        <v>0.33333333333333331</v>
      </c>
      <c r="N37" s="3">
        <f>Table1[[#This Row],[A]]/Table1[[#This Row],[GP]]</f>
        <v>0.53333333333333333</v>
      </c>
      <c r="O37" s="3">
        <f>Table1[[#This Row],[PTS]]/Table1[[#This Row],[GP]]</f>
        <v>0.8666666666666667</v>
      </c>
      <c r="P37" s="3">
        <f>Table1[[#This Row],[PPG]]*Table1[[#This Row],[NHLe SCORE]]</f>
        <v>0.26</v>
      </c>
      <c r="Q37" s="3">
        <f>Table1[[#This Row],[PIM]]/Table1[[#This Row],[GP]]</f>
        <v>0.13333333333333333</v>
      </c>
      <c r="R37" s="3" t="str">
        <f>IF(P37&lt;=$AA$2,"Q1", IF(P37&lt;=$AA$3,"Q2", IF(P37&lt;=$AA$4,"Q3","Q4")))</f>
        <v>Q3</v>
      </c>
      <c r="S37" s="2">
        <v>39534</v>
      </c>
      <c r="T37" s="1" t="s">
        <v>102</v>
      </c>
      <c r="U37" s="1">
        <v>172</v>
      </c>
      <c r="V37" s="1" t="s">
        <v>100</v>
      </c>
    </row>
    <row r="38" spans="1:22" hidden="1" x14ac:dyDescent="0.3">
      <c r="A38" t="e" vm="1">
        <v>#VALUE!</v>
      </c>
      <c r="B38" t="s">
        <v>227</v>
      </c>
      <c r="C38" t="s">
        <v>127</v>
      </c>
      <c r="D38" s="1" t="s">
        <v>122</v>
      </c>
      <c r="E38" t="s">
        <v>7</v>
      </c>
      <c r="F38" t="s">
        <v>8</v>
      </c>
      <c r="G38" s="1">
        <v>0.78</v>
      </c>
      <c r="H38" s="1">
        <v>24</v>
      </c>
      <c r="I38" s="1">
        <v>4</v>
      </c>
      <c r="J38" s="1">
        <v>4</v>
      </c>
      <c r="K38" s="1">
        <v>8</v>
      </c>
      <c r="L38" s="1">
        <v>6</v>
      </c>
      <c r="M38" s="3">
        <f>Table1[[#This Row],[G]]/Table1[[#This Row],[GP]]</f>
        <v>0.16666666666666666</v>
      </c>
      <c r="N38" s="3">
        <f>Table1[[#This Row],[A]]/Table1[[#This Row],[GP]]</f>
        <v>0.16666666666666666</v>
      </c>
      <c r="O38" s="3">
        <f>Table1[[#This Row],[PTS]]/Table1[[#This Row],[GP]]</f>
        <v>0.33333333333333331</v>
      </c>
      <c r="P38" s="3">
        <f>Table1[[#This Row],[PPG]]*Table1[[#This Row],[NHLe SCORE]]</f>
        <v>0.26</v>
      </c>
      <c r="Q38" s="3">
        <f>Table1[[#This Row],[PIM]]/Table1[[#This Row],[GP]]</f>
        <v>0.25</v>
      </c>
      <c r="R38" s="3" t="str">
        <f>IF(P38&lt;=$AA$2,"Q1", IF(P38&lt;=$AA$3,"Q2", IF(P38&lt;=$AA$4,"Q3","Q4")))</f>
        <v>Q3</v>
      </c>
      <c r="S38" s="2">
        <v>39518</v>
      </c>
      <c r="T38" s="1" t="s">
        <v>99</v>
      </c>
      <c r="U38" s="1">
        <v>172</v>
      </c>
      <c r="V38" s="1" t="s">
        <v>100</v>
      </c>
    </row>
    <row r="39" spans="1:22" hidden="1" x14ac:dyDescent="0.3">
      <c r="A39" t="e" vm="2">
        <v>#VALUE!</v>
      </c>
      <c r="B39" t="s">
        <v>226</v>
      </c>
      <c r="C39" t="s">
        <v>221</v>
      </c>
      <c r="D39" s="1" t="s">
        <v>123</v>
      </c>
      <c r="E39" t="s">
        <v>5</v>
      </c>
      <c r="F39" t="s">
        <v>6</v>
      </c>
      <c r="G39" s="1">
        <v>0.35</v>
      </c>
      <c r="H39" s="1">
        <v>23</v>
      </c>
      <c r="I39" s="1">
        <v>2</v>
      </c>
      <c r="J39" s="1">
        <v>15</v>
      </c>
      <c r="K39" s="1">
        <v>17</v>
      </c>
      <c r="L39" s="1">
        <v>6</v>
      </c>
      <c r="M39" s="3">
        <f>Table1[[#This Row],[G]]/Table1[[#This Row],[GP]]</f>
        <v>8.6956521739130432E-2</v>
      </c>
      <c r="N39" s="3">
        <f>Table1[[#This Row],[A]]/Table1[[#This Row],[GP]]</f>
        <v>0.65217391304347827</v>
      </c>
      <c r="O39" s="3">
        <f>Table1[[#This Row],[PTS]]/Table1[[#This Row],[GP]]</f>
        <v>0.73913043478260865</v>
      </c>
      <c r="P39" s="3">
        <f>Table1[[#This Row],[PPG]]*Table1[[#This Row],[NHLe SCORE]]</f>
        <v>0.25869565217391299</v>
      </c>
      <c r="Q39" s="3">
        <f>Table1[[#This Row],[PIM]]/Table1[[#This Row],[GP]]</f>
        <v>0.2608695652173913</v>
      </c>
      <c r="R39" s="3" t="str">
        <f>IF(P39&lt;=$AA$2,"Q1", IF(P39&lt;=$AA$3,"Q2", IF(P39&lt;=$AA$4,"Q3","Q4")))</f>
        <v>Q3</v>
      </c>
      <c r="S39" s="2">
        <v>39456</v>
      </c>
      <c r="T39" s="1" t="s">
        <v>102</v>
      </c>
      <c r="U39" s="1">
        <v>174</v>
      </c>
      <c r="V39" s="1" t="s">
        <v>100</v>
      </c>
    </row>
    <row r="40" spans="1:22" hidden="1" x14ac:dyDescent="0.3">
      <c r="A40" t="e" vm="3">
        <v>#VALUE!</v>
      </c>
      <c r="B40" t="s">
        <v>225</v>
      </c>
      <c r="C40" t="s">
        <v>142</v>
      </c>
      <c r="D40" s="1" t="s">
        <v>122</v>
      </c>
      <c r="E40" t="s">
        <v>57</v>
      </c>
      <c r="F40" t="s">
        <v>4</v>
      </c>
      <c r="G40" s="1">
        <v>0.3</v>
      </c>
      <c r="H40" s="1">
        <v>13</v>
      </c>
      <c r="I40" s="1">
        <v>7</v>
      </c>
      <c r="J40" s="1">
        <v>4</v>
      </c>
      <c r="K40" s="1">
        <v>11</v>
      </c>
      <c r="L40" s="1">
        <v>2</v>
      </c>
      <c r="M40" s="3">
        <f>Table1[[#This Row],[G]]/Table1[[#This Row],[GP]]</f>
        <v>0.53846153846153844</v>
      </c>
      <c r="N40" s="3">
        <f>Table1[[#This Row],[A]]/Table1[[#This Row],[GP]]</f>
        <v>0.30769230769230771</v>
      </c>
      <c r="O40" s="3">
        <f>Table1[[#This Row],[PTS]]/Table1[[#This Row],[GP]]</f>
        <v>0.84615384615384615</v>
      </c>
      <c r="P40" s="3">
        <f>Table1[[#This Row],[PPG]]*Table1[[#This Row],[NHLe SCORE]]</f>
        <v>0.25384615384615383</v>
      </c>
      <c r="Q40" s="3">
        <f>Table1[[#This Row],[PIM]]/Table1[[#This Row],[GP]]</f>
        <v>0.15384615384615385</v>
      </c>
      <c r="R40" s="3" t="str">
        <f>IF(P40&lt;=$AA$2,"Q1", IF(P40&lt;=$AA$3,"Q2", IF(P40&lt;=$AA$4,"Q3","Q4")))</f>
        <v>Q3</v>
      </c>
      <c r="S40" s="2">
        <v>39696</v>
      </c>
      <c r="T40" s="1" t="s">
        <v>101</v>
      </c>
      <c r="U40" s="1">
        <v>209</v>
      </c>
      <c r="V40" s="1" t="s">
        <v>97</v>
      </c>
    </row>
    <row r="41" spans="1:22" hidden="1" x14ac:dyDescent="0.3">
      <c r="A41" t="e" vm="3">
        <v>#VALUE!</v>
      </c>
      <c r="B41" t="s">
        <v>225</v>
      </c>
      <c r="C41" t="s">
        <v>191</v>
      </c>
      <c r="D41" s="1" t="s">
        <v>122</v>
      </c>
      <c r="E41" t="s">
        <v>35</v>
      </c>
      <c r="F41" t="s">
        <v>4</v>
      </c>
      <c r="G41" s="1">
        <v>0.3</v>
      </c>
      <c r="H41" s="1">
        <v>6</v>
      </c>
      <c r="I41" s="1">
        <v>2</v>
      </c>
      <c r="J41" s="1">
        <v>3</v>
      </c>
      <c r="K41" s="1">
        <v>5</v>
      </c>
      <c r="L41" s="1">
        <v>4</v>
      </c>
      <c r="M41" s="3">
        <f>Table1[[#This Row],[G]]/Table1[[#This Row],[GP]]</f>
        <v>0.33333333333333331</v>
      </c>
      <c r="N41" s="3">
        <f>Table1[[#This Row],[A]]/Table1[[#This Row],[GP]]</f>
        <v>0.5</v>
      </c>
      <c r="O41" s="3">
        <f>Table1[[#This Row],[PTS]]/Table1[[#This Row],[GP]]</f>
        <v>0.83333333333333337</v>
      </c>
      <c r="P41" s="3">
        <f>Table1[[#This Row],[PPG]]*Table1[[#This Row],[NHLe SCORE]]</f>
        <v>0.25</v>
      </c>
      <c r="Q41" s="3">
        <f>Table1[[#This Row],[PIM]]/Table1[[#This Row],[GP]]</f>
        <v>0.66666666666666663</v>
      </c>
      <c r="R41" s="3" t="str">
        <f>IF(P41&lt;=$AA$2,"Q1", IF(P41&lt;=$AA$3,"Q2", IF(P41&lt;=$AA$4,"Q3","Q4")))</f>
        <v>Q3</v>
      </c>
      <c r="S41" s="2">
        <v>39595</v>
      </c>
      <c r="T41" s="1" t="s">
        <v>102</v>
      </c>
      <c r="U41" s="1">
        <v>194</v>
      </c>
      <c r="V41" s="1" t="s">
        <v>97</v>
      </c>
    </row>
    <row r="42" spans="1:22" hidden="1" x14ac:dyDescent="0.3">
      <c r="A42" t="e" vm="2">
        <v>#VALUE!</v>
      </c>
      <c r="B42" t="s">
        <v>226</v>
      </c>
      <c r="C42" t="s">
        <v>133</v>
      </c>
      <c r="D42" s="1" t="s">
        <v>122</v>
      </c>
      <c r="E42" t="s">
        <v>18</v>
      </c>
      <c r="F42" t="s">
        <v>19</v>
      </c>
      <c r="G42" s="1">
        <v>0.28999999999999998</v>
      </c>
      <c r="H42" s="1">
        <v>28</v>
      </c>
      <c r="I42" s="1">
        <v>8</v>
      </c>
      <c r="J42" s="1">
        <v>16</v>
      </c>
      <c r="K42" s="1">
        <v>24</v>
      </c>
      <c r="L42" s="1">
        <v>14</v>
      </c>
      <c r="M42" s="3">
        <f>Table1[[#This Row],[G]]/Table1[[#This Row],[GP]]</f>
        <v>0.2857142857142857</v>
      </c>
      <c r="N42" s="3">
        <f>Table1[[#This Row],[A]]/Table1[[#This Row],[GP]]</f>
        <v>0.5714285714285714</v>
      </c>
      <c r="O42" s="3">
        <f>Table1[[#This Row],[PTS]]/Table1[[#This Row],[GP]]</f>
        <v>0.8571428571428571</v>
      </c>
      <c r="P42" s="3">
        <f>Table1[[#This Row],[PPG]]*Table1[[#This Row],[NHLe SCORE]]</f>
        <v>0.24857142857142855</v>
      </c>
      <c r="Q42" s="3">
        <f>Table1[[#This Row],[PIM]]/Table1[[#This Row],[GP]]</f>
        <v>0.5</v>
      </c>
      <c r="R42" s="3" t="str">
        <f>IF(P42&lt;=$AA$2,"Q1", IF(P42&lt;=$AA$3,"Q2", IF(P42&lt;=$AA$4,"Q3","Q4")))</f>
        <v>Q3</v>
      </c>
      <c r="S42" s="2">
        <v>39529</v>
      </c>
      <c r="T42" s="1" t="s">
        <v>104</v>
      </c>
      <c r="U42" s="1">
        <v>185</v>
      </c>
      <c r="V42" s="1" t="s">
        <v>100</v>
      </c>
    </row>
    <row r="43" spans="1:22" hidden="1" x14ac:dyDescent="0.3">
      <c r="A43" t="e" vm="2">
        <v>#VALUE!</v>
      </c>
      <c r="B43" t="s">
        <v>226</v>
      </c>
      <c r="C43" t="s">
        <v>126</v>
      </c>
      <c r="D43" s="1" t="s">
        <v>122</v>
      </c>
      <c r="E43" t="s">
        <v>5</v>
      </c>
      <c r="F43" t="s">
        <v>6</v>
      </c>
      <c r="G43" s="1">
        <v>0.35</v>
      </c>
      <c r="H43" s="1">
        <v>24</v>
      </c>
      <c r="I43" s="1">
        <v>6</v>
      </c>
      <c r="J43" s="1">
        <v>10</v>
      </c>
      <c r="K43" s="1">
        <v>16</v>
      </c>
      <c r="L43" s="1">
        <v>8</v>
      </c>
      <c r="M43" s="3">
        <f>Table1[[#This Row],[G]]/Table1[[#This Row],[GP]]</f>
        <v>0.25</v>
      </c>
      <c r="N43" s="3">
        <f>Table1[[#This Row],[A]]/Table1[[#This Row],[GP]]</f>
        <v>0.41666666666666669</v>
      </c>
      <c r="O43" s="3">
        <f>Table1[[#This Row],[PTS]]/Table1[[#This Row],[GP]]</f>
        <v>0.66666666666666663</v>
      </c>
      <c r="P43" s="3">
        <f>Table1[[#This Row],[PPG]]*Table1[[#This Row],[NHLe SCORE]]</f>
        <v>0.23333333333333331</v>
      </c>
      <c r="Q43" s="3">
        <f>Table1[[#This Row],[PIM]]/Table1[[#This Row],[GP]]</f>
        <v>0.33333333333333331</v>
      </c>
      <c r="R43" s="3" t="str">
        <f>IF(P43&lt;=$AA$2,"Q1", IF(P43&lt;=$AA$3,"Q2", IF(P43&lt;=$AA$4,"Q3","Q4")))</f>
        <v>Q3</v>
      </c>
      <c r="S43" s="2">
        <v>39493</v>
      </c>
      <c r="T43" s="1" t="s">
        <v>99</v>
      </c>
      <c r="U43" s="1">
        <v>181</v>
      </c>
      <c r="V43" s="1" t="s">
        <v>97</v>
      </c>
    </row>
    <row r="44" spans="1:22" hidden="1" x14ac:dyDescent="0.3">
      <c r="A44" t="e" vm="3">
        <v>#VALUE!</v>
      </c>
      <c r="B44" t="s">
        <v>225</v>
      </c>
      <c r="C44" t="s">
        <v>152</v>
      </c>
      <c r="D44" s="1" t="s">
        <v>122</v>
      </c>
      <c r="E44" t="s">
        <v>13</v>
      </c>
      <c r="F44" t="s">
        <v>4</v>
      </c>
      <c r="G44" s="1">
        <v>0.3</v>
      </c>
      <c r="H44" s="1">
        <v>34</v>
      </c>
      <c r="I44" s="1">
        <v>9</v>
      </c>
      <c r="J44" s="1">
        <v>17</v>
      </c>
      <c r="K44" s="1">
        <v>26</v>
      </c>
      <c r="L44" s="1">
        <v>32</v>
      </c>
      <c r="M44" s="3">
        <f>Table1[[#This Row],[G]]/Table1[[#This Row],[GP]]</f>
        <v>0.26470588235294118</v>
      </c>
      <c r="N44" s="3">
        <f>Table1[[#This Row],[A]]/Table1[[#This Row],[GP]]</f>
        <v>0.5</v>
      </c>
      <c r="O44" s="3">
        <f>Table1[[#This Row],[PTS]]/Table1[[#This Row],[GP]]</f>
        <v>0.76470588235294112</v>
      </c>
      <c r="P44" s="3">
        <f>Table1[[#This Row],[PPG]]*Table1[[#This Row],[NHLe SCORE]]</f>
        <v>0.22941176470588232</v>
      </c>
      <c r="Q44" s="3">
        <f>Table1[[#This Row],[PIM]]/Table1[[#This Row],[GP]]</f>
        <v>0.94117647058823528</v>
      </c>
      <c r="R44" s="3" t="str">
        <f>IF(P44&lt;=$AA$2,"Q1", IF(P44&lt;=$AA$3,"Q2", IF(P44&lt;=$AA$4,"Q3","Q4")))</f>
        <v>Q3</v>
      </c>
      <c r="S44" s="2">
        <v>39490</v>
      </c>
      <c r="T44" s="1" t="s">
        <v>96</v>
      </c>
      <c r="U44" s="1">
        <v>185</v>
      </c>
      <c r="V44" s="1" t="s">
        <v>97</v>
      </c>
    </row>
    <row r="45" spans="1:22" hidden="1" x14ac:dyDescent="0.3">
      <c r="A45" t="e" vm="3">
        <v>#VALUE!</v>
      </c>
      <c r="B45" t="s">
        <v>225</v>
      </c>
      <c r="C45" t="s">
        <v>131</v>
      </c>
      <c r="D45" s="1" t="s">
        <v>122</v>
      </c>
      <c r="E45" t="s">
        <v>14</v>
      </c>
      <c r="F45" t="s">
        <v>4</v>
      </c>
      <c r="G45" s="1">
        <v>0.3</v>
      </c>
      <c r="H45" s="1">
        <v>17</v>
      </c>
      <c r="I45" s="1">
        <v>7</v>
      </c>
      <c r="J45" s="1">
        <v>6</v>
      </c>
      <c r="K45" s="1">
        <v>13</v>
      </c>
      <c r="L45" s="1">
        <v>0</v>
      </c>
      <c r="M45" s="3">
        <f>Table1[[#This Row],[G]]/Table1[[#This Row],[GP]]</f>
        <v>0.41176470588235292</v>
      </c>
      <c r="N45" s="3">
        <f>Table1[[#This Row],[A]]/Table1[[#This Row],[GP]]</f>
        <v>0.35294117647058826</v>
      </c>
      <c r="O45" s="3">
        <f>Table1[[#This Row],[PTS]]/Table1[[#This Row],[GP]]</f>
        <v>0.76470588235294112</v>
      </c>
      <c r="P45" s="3">
        <f>Table1[[#This Row],[PPG]]*Table1[[#This Row],[NHLe SCORE]]</f>
        <v>0.22941176470588232</v>
      </c>
      <c r="Q45" s="3">
        <f>Table1[[#This Row],[PIM]]/Table1[[#This Row],[GP]]</f>
        <v>0</v>
      </c>
      <c r="R45" s="3" t="str">
        <f>IF(P45&lt;=$AA$2,"Q1", IF(P45&lt;=$AA$3,"Q2", IF(P45&lt;=$AA$4,"Q3","Q4")))</f>
        <v>Q3</v>
      </c>
      <c r="S45" s="2">
        <v>39523</v>
      </c>
      <c r="T45" s="1" t="s">
        <v>96</v>
      </c>
      <c r="U45" s="1">
        <v>190</v>
      </c>
      <c r="V45" s="1" t="s">
        <v>100</v>
      </c>
    </row>
    <row r="46" spans="1:22" hidden="1" x14ac:dyDescent="0.3">
      <c r="A46" t="e" vm="3">
        <v>#VALUE!</v>
      </c>
      <c r="B46" t="s">
        <v>225</v>
      </c>
      <c r="C46" t="s">
        <v>143</v>
      </c>
      <c r="D46" s="1" t="s">
        <v>122</v>
      </c>
      <c r="E46" t="s">
        <v>60</v>
      </c>
      <c r="F46" t="s">
        <v>38</v>
      </c>
      <c r="G46" s="1">
        <v>0.28000000000000003</v>
      </c>
      <c r="H46" s="1">
        <v>30</v>
      </c>
      <c r="I46" s="1">
        <v>12</v>
      </c>
      <c r="J46" s="1">
        <v>12</v>
      </c>
      <c r="K46" s="1">
        <v>24</v>
      </c>
      <c r="L46" s="1">
        <v>13</v>
      </c>
      <c r="M46" s="3">
        <f>Table1[[#This Row],[G]]/Table1[[#This Row],[GP]]</f>
        <v>0.4</v>
      </c>
      <c r="N46" s="3">
        <f>Table1[[#This Row],[A]]/Table1[[#This Row],[GP]]</f>
        <v>0.4</v>
      </c>
      <c r="O46" s="3">
        <f>Table1[[#This Row],[PTS]]/Table1[[#This Row],[GP]]</f>
        <v>0.8</v>
      </c>
      <c r="P46" s="3">
        <f>Table1[[#This Row],[PPG]]*Table1[[#This Row],[NHLe SCORE]]</f>
        <v>0.22400000000000003</v>
      </c>
      <c r="Q46" s="3">
        <f>Table1[[#This Row],[PIM]]/Table1[[#This Row],[GP]]</f>
        <v>0.43333333333333335</v>
      </c>
      <c r="R46" s="3" t="str">
        <f>IF(P46&lt;=$AA$2,"Q1", IF(P46&lt;=$AA$3,"Q2", IF(P46&lt;=$AA$4,"Q3","Q4")))</f>
        <v>Q3</v>
      </c>
      <c r="S46" s="2">
        <v>39533</v>
      </c>
      <c r="T46" s="1" t="s">
        <v>103</v>
      </c>
      <c r="U46" s="1">
        <v>196</v>
      </c>
      <c r="V46" s="1" t="s">
        <v>97</v>
      </c>
    </row>
    <row r="47" spans="1:22" hidden="1" x14ac:dyDescent="0.3">
      <c r="A47" t="e" vm="9">
        <v>#VALUE!</v>
      </c>
      <c r="B47" t="s">
        <v>107</v>
      </c>
      <c r="C47" t="s">
        <v>167</v>
      </c>
      <c r="D47" s="1" t="s">
        <v>123</v>
      </c>
      <c r="E47" t="s">
        <v>39</v>
      </c>
      <c r="F47" t="s">
        <v>32</v>
      </c>
      <c r="G47" s="1">
        <v>0.54</v>
      </c>
      <c r="H47" s="1">
        <v>29</v>
      </c>
      <c r="I47" s="1">
        <v>6</v>
      </c>
      <c r="J47" s="1">
        <v>6</v>
      </c>
      <c r="K47" s="1">
        <v>12</v>
      </c>
      <c r="L47" s="1">
        <v>12</v>
      </c>
      <c r="M47" s="3">
        <f>Table1[[#This Row],[G]]/Table1[[#This Row],[GP]]</f>
        <v>0.20689655172413793</v>
      </c>
      <c r="N47" s="3">
        <f>Table1[[#This Row],[A]]/Table1[[#This Row],[GP]]</f>
        <v>0.20689655172413793</v>
      </c>
      <c r="O47" s="3">
        <f>Table1[[#This Row],[PTS]]/Table1[[#This Row],[GP]]</f>
        <v>0.41379310344827586</v>
      </c>
      <c r="P47" s="3">
        <f>Table1[[#This Row],[PPG]]*Table1[[#This Row],[NHLe SCORE]]</f>
        <v>0.22344827586206897</v>
      </c>
      <c r="Q47" s="3">
        <f>Table1[[#This Row],[PIM]]/Table1[[#This Row],[GP]]</f>
        <v>0.41379310344827586</v>
      </c>
      <c r="R47" s="3" t="str">
        <f>IF(P47&lt;=$AA$2,"Q1", IF(P47&lt;=$AA$3,"Q2", IF(P47&lt;=$AA$4,"Q3","Q4")))</f>
        <v>Q3</v>
      </c>
      <c r="S47" s="2">
        <v>39417</v>
      </c>
      <c r="T47" s="1" t="s">
        <v>105</v>
      </c>
      <c r="U47" s="1">
        <v>205</v>
      </c>
      <c r="V47" s="1" t="s">
        <v>97</v>
      </c>
    </row>
    <row r="48" spans="1:22" hidden="1" x14ac:dyDescent="0.3">
      <c r="A48" t="e" vm="1">
        <v>#VALUE!</v>
      </c>
      <c r="B48" t="s">
        <v>227</v>
      </c>
      <c r="C48" t="s">
        <v>148</v>
      </c>
      <c r="D48" s="1" t="s">
        <v>122</v>
      </c>
      <c r="E48" t="s">
        <v>73</v>
      </c>
      <c r="F48" t="s">
        <v>1</v>
      </c>
      <c r="G48" s="1">
        <v>0.26</v>
      </c>
      <c r="H48" s="1">
        <v>20</v>
      </c>
      <c r="I48" s="1">
        <v>5</v>
      </c>
      <c r="J48" s="1">
        <v>12</v>
      </c>
      <c r="K48" s="1">
        <v>17</v>
      </c>
      <c r="L48" s="1">
        <v>2</v>
      </c>
      <c r="M48" s="3">
        <f>Table1[[#This Row],[G]]/Table1[[#This Row],[GP]]</f>
        <v>0.25</v>
      </c>
      <c r="N48" s="3">
        <f>Table1[[#This Row],[A]]/Table1[[#This Row],[GP]]</f>
        <v>0.6</v>
      </c>
      <c r="O48" s="3">
        <f>Table1[[#This Row],[PTS]]/Table1[[#This Row],[GP]]</f>
        <v>0.85</v>
      </c>
      <c r="P48" s="3">
        <f>Table1[[#This Row],[PPG]]*Table1[[#This Row],[NHLe SCORE]]</f>
        <v>0.221</v>
      </c>
      <c r="Q48" s="3">
        <f>Table1[[#This Row],[PIM]]/Table1[[#This Row],[GP]]</f>
        <v>0.1</v>
      </c>
      <c r="R48" s="3" t="str">
        <f>IF(P48&lt;=$AA$2,"Q1", IF(P48&lt;=$AA$3,"Q2", IF(P48&lt;=$AA$4,"Q3","Q4")))</f>
        <v>Q2</v>
      </c>
      <c r="S48" s="2">
        <v>39527</v>
      </c>
      <c r="T48" s="1" t="s">
        <v>104</v>
      </c>
      <c r="U48" s="1">
        <v>192</v>
      </c>
      <c r="V48" s="1" t="s">
        <v>97</v>
      </c>
    </row>
    <row r="49" spans="1:22" hidden="1" x14ac:dyDescent="0.3">
      <c r="A49" t="e" vm="5">
        <v>#VALUE!</v>
      </c>
      <c r="B49" t="s">
        <v>230</v>
      </c>
      <c r="C49" t="s">
        <v>146</v>
      </c>
      <c r="D49" s="1" t="s">
        <v>122</v>
      </c>
      <c r="E49" t="s">
        <v>66</v>
      </c>
      <c r="F49" t="s">
        <v>53</v>
      </c>
      <c r="G49" s="1">
        <v>0.27</v>
      </c>
      <c r="H49" s="1">
        <v>11</v>
      </c>
      <c r="I49" s="1">
        <v>2</v>
      </c>
      <c r="J49" s="1">
        <v>7</v>
      </c>
      <c r="K49" s="1">
        <v>9</v>
      </c>
      <c r="L49" s="1">
        <v>8</v>
      </c>
      <c r="M49" s="3">
        <f>Table1[[#This Row],[G]]/Table1[[#This Row],[GP]]</f>
        <v>0.18181818181818182</v>
      </c>
      <c r="N49" s="3">
        <f>Table1[[#This Row],[A]]/Table1[[#This Row],[GP]]</f>
        <v>0.63636363636363635</v>
      </c>
      <c r="O49" s="3">
        <f>Table1[[#This Row],[PTS]]/Table1[[#This Row],[GP]]</f>
        <v>0.81818181818181823</v>
      </c>
      <c r="P49" s="3">
        <f>Table1[[#This Row],[PPG]]*Table1[[#This Row],[NHLe SCORE]]</f>
        <v>0.22090909090909094</v>
      </c>
      <c r="Q49" s="3">
        <f>Table1[[#This Row],[PIM]]/Table1[[#This Row],[GP]]</f>
        <v>0.72727272727272729</v>
      </c>
      <c r="R49" s="3" t="str">
        <f>IF(P49&lt;=$AA$2,"Q1", IF(P49&lt;=$AA$3,"Q2", IF(P49&lt;=$AA$4,"Q3","Q4")))</f>
        <v>Q2</v>
      </c>
      <c r="S49" s="2">
        <v>39498</v>
      </c>
      <c r="T49" s="1" t="s">
        <v>99</v>
      </c>
      <c r="U49" s="1">
        <v>176</v>
      </c>
      <c r="V49" s="1" t="s">
        <v>97</v>
      </c>
    </row>
    <row r="50" spans="1:22" hidden="1" x14ac:dyDescent="0.3">
      <c r="A50" t="e" vm="3">
        <v>#VALUE!</v>
      </c>
      <c r="B50" t="s">
        <v>225</v>
      </c>
      <c r="C50" t="s">
        <v>132</v>
      </c>
      <c r="D50" s="1" t="s">
        <v>122</v>
      </c>
      <c r="E50" t="s">
        <v>14</v>
      </c>
      <c r="F50" t="s">
        <v>4</v>
      </c>
      <c r="G50" s="1">
        <v>0.3</v>
      </c>
      <c r="H50" s="1">
        <v>34</v>
      </c>
      <c r="I50" s="1">
        <v>12</v>
      </c>
      <c r="J50" s="1">
        <v>13</v>
      </c>
      <c r="K50" s="1">
        <v>25</v>
      </c>
      <c r="L50" s="1">
        <v>10</v>
      </c>
      <c r="M50" s="3">
        <f>Table1[[#This Row],[G]]/Table1[[#This Row],[GP]]</f>
        <v>0.35294117647058826</v>
      </c>
      <c r="N50" s="3">
        <f>Table1[[#This Row],[A]]/Table1[[#This Row],[GP]]</f>
        <v>0.38235294117647056</v>
      </c>
      <c r="O50" s="3">
        <f>Table1[[#This Row],[PTS]]/Table1[[#This Row],[GP]]</f>
        <v>0.73529411764705888</v>
      </c>
      <c r="P50" s="3">
        <f>Table1[[#This Row],[PPG]]*Table1[[#This Row],[NHLe SCORE]]</f>
        <v>0.22058823529411767</v>
      </c>
      <c r="Q50" s="3">
        <f>Table1[[#This Row],[PIM]]/Table1[[#This Row],[GP]]</f>
        <v>0.29411764705882354</v>
      </c>
      <c r="R50" s="3" t="str">
        <f>IF(P50&lt;=$AA$2,"Q1", IF(P50&lt;=$AA$3,"Q2", IF(P50&lt;=$AA$4,"Q3","Q4")))</f>
        <v>Q2</v>
      </c>
      <c r="S50" s="2">
        <v>39452</v>
      </c>
      <c r="T50" s="1" t="s">
        <v>96</v>
      </c>
      <c r="U50" s="1">
        <v>181</v>
      </c>
      <c r="V50" s="1" t="s">
        <v>97</v>
      </c>
    </row>
    <row r="51" spans="1:22" hidden="1" x14ac:dyDescent="0.3">
      <c r="A51" t="e" vm="3">
        <v>#VALUE!</v>
      </c>
      <c r="B51" t="s">
        <v>225</v>
      </c>
      <c r="C51" t="s">
        <v>182</v>
      </c>
      <c r="D51" s="1" t="s">
        <v>123</v>
      </c>
      <c r="E51" t="s">
        <v>44</v>
      </c>
      <c r="F51" t="s">
        <v>10</v>
      </c>
      <c r="G51" s="1">
        <v>0.3</v>
      </c>
      <c r="H51" s="1">
        <v>34</v>
      </c>
      <c r="I51" s="1">
        <v>2</v>
      </c>
      <c r="J51" s="1">
        <v>23</v>
      </c>
      <c r="K51" s="1">
        <v>25</v>
      </c>
      <c r="L51" s="1">
        <v>18</v>
      </c>
      <c r="M51" s="3">
        <f>Table1[[#This Row],[G]]/Table1[[#This Row],[GP]]</f>
        <v>5.8823529411764705E-2</v>
      </c>
      <c r="N51" s="3">
        <f>Table1[[#This Row],[A]]/Table1[[#This Row],[GP]]</f>
        <v>0.67647058823529416</v>
      </c>
      <c r="O51" s="3">
        <f>Table1[[#This Row],[PTS]]/Table1[[#This Row],[GP]]</f>
        <v>0.73529411764705888</v>
      </c>
      <c r="P51" s="3">
        <f>Table1[[#This Row],[PPG]]*Table1[[#This Row],[NHLe SCORE]]</f>
        <v>0.22058823529411767</v>
      </c>
      <c r="Q51" s="3">
        <f>Table1[[#This Row],[PIM]]/Table1[[#This Row],[GP]]</f>
        <v>0.52941176470588236</v>
      </c>
      <c r="R51" s="3" t="str">
        <f>IF(P51&lt;=$AA$2,"Q1", IF(P51&lt;=$AA$3,"Q2", IF(P51&lt;=$AA$4,"Q3","Q4")))</f>
        <v>Q2</v>
      </c>
      <c r="S51" s="2">
        <v>39362</v>
      </c>
      <c r="T51" s="1" t="s">
        <v>104</v>
      </c>
      <c r="U51" s="1">
        <v>168</v>
      </c>
      <c r="V51" s="1" t="s">
        <v>97</v>
      </c>
    </row>
    <row r="52" spans="1:22" hidden="1" x14ac:dyDescent="0.3">
      <c r="A52" t="e" vm="3">
        <v>#VALUE!</v>
      </c>
      <c r="B52" t="s">
        <v>225</v>
      </c>
      <c r="C52" t="s">
        <v>220</v>
      </c>
      <c r="D52" s="1" t="s">
        <v>122</v>
      </c>
      <c r="E52" t="s">
        <v>57</v>
      </c>
      <c r="F52" t="s">
        <v>4</v>
      </c>
      <c r="G52" s="1">
        <v>0.3</v>
      </c>
      <c r="H52" s="1">
        <v>25</v>
      </c>
      <c r="I52" s="1">
        <v>8</v>
      </c>
      <c r="J52" s="1">
        <v>10</v>
      </c>
      <c r="K52" s="1">
        <v>18</v>
      </c>
      <c r="L52" s="1">
        <v>20</v>
      </c>
      <c r="M52" s="3">
        <f>Table1[[#This Row],[G]]/Table1[[#This Row],[GP]]</f>
        <v>0.32</v>
      </c>
      <c r="N52" s="3">
        <f>Table1[[#This Row],[A]]/Table1[[#This Row],[GP]]</f>
        <v>0.4</v>
      </c>
      <c r="O52" s="3">
        <f>Table1[[#This Row],[PTS]]/Table1[[#This Row],[GP]]</f>
        <v>0.72</v>
      </c>
      <c r="P52" s="3">
        <f>Table1[[#This Row],[PPG]]*Table1[[#This Row],[NHLe SCORE]]</f>
        <v>0.216</v>
      </c>
      <c r="Q52" s="3">
        <f>Table1[[#This Row],[PIM]]/Table1[[#This Row],[GP]]</f>
        <v>0.8</v>
      </c>
      <c r="R52" s="3" t="str">
        <f>IF(P52&lt;=$AA$2,"Q1", IF(P52&lt;=$AA$3,"Q2", IF(P52&lt;=$AA$4,"Q3","Q4")))</f>
        <v>Q2</v>
      </c>
      <c r="S52" s="2">
        <v>39661</v>
      </c>
      <c r="T52" s="1" t="s">
        <v>104</v>
      </c>
      <c r="U52" s="1">
        <v>176</v>
      </c>
      <c r="V52" s="1" t="s">
        <v>100</v>
      </c>
    </row>
    <row r="53" spans="1:22" hidden="1" x14ac:dyDescent="0.3">
      <c r="A53" t="e" vm="4">
        <v>#VALUE!</v>
      </c>
      <c r="B53" t="s">
        <v>229</v>
      </c>
      <c r="C53" t="s">
        <v>207</v>
      </c>
      <c r="D53" s="1" t="s">
        <v>122</v>
      </c>
      <c r="E53" t="s">
        <v>93</v>
      </c>
      <c r="F53" t="s">
        <v>47</v>
      </c>
      <c r="G53" s="1">
        <v>0.27</v>
      </c>
      <c r="H53" s="1">
        <v>24</v>
      </c>
      <c r="I53" s="1">
        <v>6</v>
      </c>
      <c r="J53" s="1">
        <v>13</v>
      </c>
      <c r="K53" s="1">
        <v>19</v>
      </c>
      <c r="L53" s="1">
        <v>8</v>
      </c>
      <c r="M53" s="3">
        <f>Table1[[#This Row],[G]]/Table1[[#This Row],[GP]]</f>
        <v>0.25</v>
      </c>
      <c r="N53" s="3">
        <f>Table1[[#This Row],[A]]/Table1[[#This Row],[GP]]</f>
        <v>0.54166666666666663</v>
      </c>
      <c r="O53" s="3">
        <f>Table1[[#This Row],[PTS]]/Table1[[#This Row],[GP]]</f>
        <v>0.79166666666666663</v>
      </c>
      <c r="P53" s="3">
        <f>Table1[[#This Row],[PPG]]*Table1[[#This Row],[NHLe SCORE]]</f>
        <v>0.21375</v>
      </c>
      <c r="Q53" s="3">
        <f>Table1[[#This Row],[PIM]]/Table1[[#This Row],[GP]]</f>
        <v>0.33333333333333331</v>
      </c>
      <c r="R53" s="3" t="str">
        <f>IF(P53&lt;=$AA$2,"Q1", IF(P53&lt;=$AA$3,"Q2", IF(P53&lt;=$AA$4,"Q3","Q4")))</f>
        <v>Q2</v>
      </c>
      <c r="S53" s="2">
        <v>39496</v>
      </c>
      <c r="T53" s="1" t="s">
        <v>99</v>
      </c>
      <c r="U53" s="1">
        <v>181</v>
      </c>
      <c r="V53" s="1" t="s">
        <v>100</v>
      </c>
    </row>
    <row r="54" spans="1:22" hidden="1" x14ac:dyDescent="0.3">
      <c r="A54" t="e" vm="1">
        <v>#VALUE!</v>
      </c>
      <c r="B54" t="s">
        <v>227</v>
      </c>
      <c r="C54" t="s">
        <v>223</v>
      </c>
      <c r="D54" s="1" t="s">
        <v>122</v>
      </c>
      <c r="E54" t="s">
        <v>80</v>
      </c>
      <c r="F54" t="s">
        <v>1</v>
      </c>
      <c r="G54" s="1">
        <v>0.26</v>
      </c>
      <c r="H54" s="1">
        <v>21</v>
      </c>
      <c r="I54" s="1">
        <v>9</v>
      </c>
      <c r="J54" s="1">
        <v>8</v>
      </c>
      <c r="K54" s="1">
        <v>17</v>
      </c>
      <c r="L54" s="1">
        <v>20</v>
      </c>
      <c r="M54" s="3">
        <f>Table1[[#This Row],[G]]/Table1[[#This Row],[GP]]</f>
        <v>0.42857142857142855</v>
      </c>
      <c r="N54" s="3">
        <f>Table1[[#This Row],[A]]/Table1[[#This Row],[GP]]</f>
        <v>0.38095238095238093</v>
      </c>
      <c r="O54" s="3">
        <f>Table1[[#This Row],[PTS]]/Table1[[#This Row],[GP]]</f>
        <v>0.80952380952380953</v>
      </c>
      <c r="P54" s="3">
        <f>Table1[[#This Row],[PPG]]*Table1[[#This Row],[NHLe SCORE]]</f>
        <v>0.21047619047619048</v>
      </c>
      <c r="Q54" s="3">
        <f>Table1[[#This Row],[PIM]]/Table1[[#This Row],[GP]]</f>
        <v>0.95238095238095233</v>
      </c>
      <c r="R54" s="3" t="str">
        <f>IF(P54&lt;=$AA$2,"Q1", IF(P54&lt;=$AA$3,"Q2", IF(P54&lt;=$AA$4,"Q3","Q4")))</f>
        <v>Q2</v>
      </c>
      <c r="S54" s="2">
        <v>39560</v>
      </c>
      <c r="T54" s="1" t="s">
        <v>102</v>
      </c>
      <c r="U54" s="1">
        <v>170</v>
      </c>
      <c r="V54" s="1" t="s">
        <v>97</v>
      </c>
    </row>
    <row r="55" spans="1:22" hidden="1" x14ac:dyDescent="0.3">
      <c r="A55" t="e" vm="3">
        <v>#VALUE!</v>
      </c>
      <c r="B55" t="s">
        <v>225</v>
      </c>
      <c r="C55" t="s">
        <v>144</v>
      </c>
      <c r="D55" s="1" t="s">
        <v>122</v>
      </c>
      <c r="E55" t="s">
        <v>61</v>
      </c>
      <c r="F55" t="s">
        <v>62</v>
      </c>
      <c r="G55" s="1">
        <v>0.25</v>
      </c>
      <c r="H55" s="1">
        <v>32</v>
      </c>
      <c r="I55" s="1">
        <v>7</v>
      </c>
      <c r="J55" s="1">
        <v>19</v>
      </c>
      <c r="K55" s="1">
        <v>26</v>
      </c>
      <c r="L55" s="1">
        <v>8</v>
      </c>
      <c r="M55" s="3">
        <f>Table1[[#This Row],[G]]/Table1[[#This Row],[GP]]</f>
        <v>0.21875</v>
      </c>
      <c r="N55" s="3">
        <f>Table1[[#This Row],[A]]/Table1[[#This Row],[GP]]</f>
        <v>0.59375</v>
      </c>
      <c r="O55" s="3">
        <f>Table1[[#This Row],[PTS]]/Table1[[#This Row],[GP]]</f>
        <v>0.8125</v>
      </c>
      <c r="P55" s="3">
        <f>Table1[[#This Row],[PPG]]*Table1[[#This Row],[NHLe SCORE]]</f>
        <v>0.203125</v>
      </c>
      <c r="Q55" s="3">
        <f>Table1[[#This Row],[PIM]]/Table1[[#This Row],[GP]]</f>
        <v>0.25</v>
      </c>
      <c r="R55" s="3" t="str">
        <f>IF(P55&lt;=$AA$2,"Q1", IF(P55&lt;=$AA$3,"Q2", IF(P55&lt;=$AA$4,"Q3","Q4")))</f>
        <v>Q2</v>
      </c>
      <c r="S55" s="2">
        <v>39450</v>
      </c>
      <c r="T55" s="1" t="s">
        <v>99</v>
      </c>
      <c r="U55" s="1">
        <v>159</v>
      </c>
      <c r="V55" s="1" t="s">
        <v>100</v>
      </c>
    </row>
    <row r="56" spans="1:22" hidden="1" x14ac:dyDescent="0.3">
      <c r="A56" t="e" vm="3">
        <v>#VALUE!</v>
      </c>
      <c r="B56" t="s">
        <v>225</v>
      </c>
      <c r="C56" t="s">
        <v>156</v>
      </c>
      <c r="D56" s="1" t="s">
        <v>122</v>
      </c>
      <c r="E56" t="s">
        <v>14</v>
      </c>
      <c r="F56" t="s">
        <v>4</v>
      </c>
      <c r="G56" s="1">
        <v>0.3</v>
      </c>
      <c r="H56" s="1">
        <v>34</v>
      </c>
      <c r="I56" s="1">
        <v>6</v>
      </c>
      <c r="J56" s="1">
        <v>17</v>
      </c>
      <c r="K56" s="1">
        <v>23</v>
      </c>
      <c r="L56" s="1">
        <v>27</v>
      </c>
      <c r="M56" s="3">
        <f>Table1[[#This Row],[G]]/Table1[[#This Row],[GP]]</f>
        <v>0.17647058823529413</v>
      </c>
      <c r="N56" s="3">
        <f>Table1[[#This Row],[A]]/Table1[[#This Row],[GP]]</f>
        <v>0.5</v>
      </c>
      <c r="O56" s="3">
        <f>Table1[[#This Row],[PTS]]/Table1[[#This Row],[GP]]</f>
        <v>0.67647058823529416</v>
      </c>
      <c r="P56" s="3">
        <f>Table1[[#This Row],[PPG]]*Table1[[#This Row],[NHLe SCORE]]</f>
        <v>0.20294117647058824</v>
      </c>
      <c r="Q56" s="3">
        <f>Table1[[#This Row],[PIM]]/Table1[[#This Row],[GP]]</f>
        <v>0.79411764705882348</v>
      </c>
      <c r="R56" s="3" t="str">
        <f>IF(P56&lt;=$AA$2,"Q1", IF(P56&lt;=$AA$3,"Q2", IF(P56&lt;=$AA$4,"Q3","Q4")))</f>
        <v>Q2</v>
      </c>
      <c r="S56" s="2">
        <v>39380</v>
      </c>
      <c r="T56" s="1" t="s">
        <v>102</v>
      </c>
      <c r="U56" s="1">
        <v>176</v>
      </c>
      <c r="V56" s="1" t="s">
        <v>97</v>
      </c>
    </row>
    <row r="57" spans="1:22" hidden="1" x14ac:dyDescent="0.3">
      <c r="A57" t="e" vm="3">
        <v>#VALUE!</v>
      </c>
      <c r="B57" t="s">
        <v>225</v>
      </c>
      <c r="C57" t="s">
        <v>203</v>
      </c>
      <c r="D57" s="1" t="s">
        <v>122</v>
      </c>
      <c r="E57" t="s">
        <v>75</v>
      </c>
      <c r="F57" t="s">
        <v>10</v>
      </c>
      <c r="G57" s="1">
        <v>0.3</v>
      </c>
      <c r="H57" s="1">
        <v>32</v>
      </c>
      <c r="I57" s="1">
        <v>11</v>
      </c>
      <c r="J57" s="1">
        <v>10</v>
      </c>
      <c r="K57" s="1">
        <v>21</v>
      </c>
      <c r="L57" s="1">
        <v>14</v>
      </c>
      <c r="M57" s="3">
        <f>Table1[[#This Row],[G]]/Table1[[#This Row],[GP]]</f>
        <v>0.34375</v>
      </c>
      <c r="N57" s="3">
        <f>Table1[[#This Row],[A]]/Table1[[#This Row],[GP]]</f>
        <v>0.3125</v>
      </c>
      <c r="O57" s="3">
        <f>Table1[[#This Row],[PTS]]/Table1[[#This Row],[GP]]</f>
        <v>0.65625</v>
      </c>
      <c r="P57" s="3">
        <f>Table1[[#This Row],[PPG]]*Table1[[#This Row],[NHLe SCORE]]</f>
        <v>0.19687499999999999</v>
      </c>
      <c r="Q57" s="3">
        <f>Table1[[#This Row],[PIM]]/Table1[[#This Row],[GP]]</f>
        <v>0.4375</v>
      </c>
      <c r="R57" s="3" t="str">
        <f>IF(P57&lt;=$AA$2,"Q1", IF(P57&lt;=$AA$3,"Q2", IF(P57&lt;=$AA$4,"Q3","Q4")))</f>
        <v>Q2</v>
      </c>
      <c r="S57" s="2">
        <v>39672</v>
      </c>
      <c r="T57" s="1" t="s">
        <v>99</v>
      </c>
      <c r="U57" s="1">
        <v>174</v>
      </c>
      <c r="V57" s="1" t="s">
        <v>100</v>
      </c>
    </row>
    <row r="58" spans="1:22" hidden="1" x14ac:dyDescent="0.3">
      <c r="A58" t="e" vm="6">
        <v>#VALUE!</v>
      </c>
      <c r="B58" t="s">
        <v>228</v>
      </c>
      <c r="C58" t="s">
        <v>176</v>
      </c>
      <c r="D58" s="1" t="s">
        <v>123</v>
      </c>
      <c r="E58" t="s">
        <v>24</v>
      </c>
      <c r="F58" t="s">
        <v>4</v>
      </c>
      <c r="G58" s="1">
        <v>0.3</v>
      </c>
      <c r="H58" s="1">
        <v>28</v>
      </c>
      <c r="I58" s="1">
        <v>5</v>
      </c>
      <c r="J58" s="1">
        <v>13</v>
      </c>
      <c r="K58" s="1">
        <v>18</v>
      </c>
      <c r="L58" s="1">
        <v>16</v>
      </c>
      <c r="M58" s="3">
        <f>Table1[[#This Row],[G]]/Table1[[#This Row],[GP]]</f>
        <v>0.17857142857142858</v>
      </c>
      <c r="N58" s="3">
        <f>Table1[[#This Row],[A]]/Table1[[#This Row],[GP]]</f>
        <v>0.4642857142857143</v>
      </c>
      <c r="O58" s="3">
        <f>Table1[[#This Row],[PTS]]/Table1[[#This Row],[GP]]</f>
        <v>0.6428571428571429</v>
      </c>
      <c r="P58" s="3">
        <f>Table1[[#This Row],[PPG]]*Table1[[#This Row],[NHLe SCORE]]</f>
        <v>0.19285714285714287</v>
      </c>
      <c r="Q58" s="3">
        <f>Table1[[#This Row],[PIM]]/Table1[[#This Row],[GP]]</f>
        <v>0.5714285714285714</v>
      </c>
      <c r="R58" s="3" t="str">
        <f>IF(P58&lt;=$AA$2,"Q1", IF(P58&lt;=$AA$3,"Q2", IF(P58&lt;=$AA$4,"Q3","Q4")))</f>
        <v>Q2</v>
      </c>
      <c r="S58" s="2">
        <v>39434</v>
      </c>
      <c r="T58" s="1" t="s">
        <v>104</v>
      </c>
      <c r="U58" s="1">
        <v>187</v>
      </c>
      <c r="V58" s="1" t="s">
        <v>100</v>
      </c>
    </row>
    <row r="59" spans="1:22" hidden="1" x14ac:dyDescent="0.3">
      <c r="A59" t="e" vm="5">
        <v>#VALUE!</v>
      </c>
      <c r="B59" t="s">
        <v>230</v>
      </c>
      <c r="C59" t="s">
        <v>178</v>
      </c>
      <c r="D59" s="1" t="s">
        <v>123</v>
      </c>
      <c r="E59" t="s">
        <v>64</v>
      </c>
      <c r="F59" t="s">
        <v>53</v>
      </c>
      <c r="G59" s="1">
        <v>0.27</v>
      </c>
      <c r="H59" s="1">
        <v>17</v>
      </c>
      <c r="I59" s="1">
        <v>2</v>
      </c>
      <c r="J59" s="1">
        <v>10</v>
      </c>
      <c r="K59" s="1">
        <v>12</v>
      </c>
      <c r="L59" s="1">
        <v>22</v>
      </c>
      <c r="M59" s="3">
        <f>Table1[[#This Row],[G]]/Table1[[#This Row],[GP]]</f>
        <v>0.11764705882352941</v>
      </c>
      <c r="N59" s="3">
        <f>Table1[[#This Row],[A]]/Table1[[#This Row],[GP]]</f>
        <v>0.58823529411764708</v>
      </c>
      <c r="O59" s="3">
        <f>Table1[[#This Row],[PTS]]/Table1[[#This Row],[GP]]</f>
        <v>0.70588235294117652</v>
      </c>
      <c r="P59" s="3">
        <f>Table1[[#This Row],[PPG]]*Table1[[#This Row],[NHLe SCORE]]</f>
        <v>0.19058823529411767</v>
      </c>
      <c r="Q59" s="3">
        <f>Table1[[#This Row],[PIM]]/Table1[[#This Row],[GP]]</f>
        <v>1.2941176470588236</v>
      </c>
      <c r="R59" s="3" t="str">
        <f>IF(P59&lt;=$AA$2,"Q1", IF(P59&lt;=$AA$3,"Q2", IF(P59&lt;=$AA$4,"Q3","Q4")))</f>
        <v>Q2</v>
      </c>
      <c r="S59" s="2">
        <v>39390</v>
      </c>
      <c r="T59" s="1" t="s">
        <v>101</v>
      </c>
      <c r="U59" s="1">
        <v>187</v>
      </c>
      <c r="V59" s="1" t="s">
        <v>100</v>
      </c>
    </row>
    <row r="60" spans="1:22" hidden="1" x14ac:dyDescent="0.3">
      <c r="A60" t="e" vm="1">
        <v>#VALUE!</v>
      </c>
      <c r="B60" t="s">
        <v>227</v>
      </c>
      <c r="C60" t="s">
        <v>149</v>
      </c>
      <c r="D60" s="1" t="s">
        <v>122</v>
      </c>
      <c r="E60" t="s">
        <v>79</v>
      </c>
      <c r="F60" t="s">
        <v>1</v>
      </c>
      <c r="G60" s="1">
        <v>0.26</v>
      </c>
      <c r="H60" s="1">
        <v>18</v>
      </c>
      <c r="I60" s="1">
        <v>7</v>
      </c>
      <c r="J60" s="1">
        <v>6</v>
      </c>
      <c r="K60" s="1">
        <v>13</v>
      </c>
      <c r="L60" s="1">
        <v>12</v>
      </c>
      <c r="M60" s="3">
        <f>Table1[[#This Row],[G]]/Table1[[#This Row],[GP]]</f>
        <v>0.3888888888888889</v>
      </c>
      <c r="N60" s="3">
        <f>Table1[[#This Row],[A]]/Table1[[#This Row],[GP]]</f>
        <v>0.33333333333333331</v>
      </c>
      <c r="O60" s="3">
        <f>Table1[[#This Row],[PTS]]/Table1[[#This Row],[GP]]</f>
        <v>0.72222222222222221</v>
      </c>
      <c r="P60" s="3">
        <f>Table1[[#This Row],[PPG]]*Table1[[#This Row],[NHLe SCORE]]</f>
        <v>0.18777777777777779</v>
      </c>
      <c r="Q60" s="3">
        <f>Table1[[#This Row],[PIM]]/Table1[[#This Row],[GP]]</f>
        <v>0.66666666666666663</v>
      </c>
      <c r="R60" s="3" t="str">
        <f>IF(P60&lt;=$AA$2,"Q1", IF(P60&lt;=$AA$3,"Q2", IF(P60&lt;=$AA$4,"Q3","Q4")))</f>
        <v>Q2</v>
      </c>
      <c r="S60" s="2">
        <v>39474</v>
      </c>
      <c r="T60" s="1" t="s">
        <v>104</v>
      </c>
      <c r="U60" s="1">
        <v>183</v>
      </c>
      <c r="V60" s="1" t="s">
        <v>97</v>
      </c>
    </row>
    <row r="61" spans="1:22" hidden="1" x14ac:dyDescent="0.3">
      <c r="A61" t="e" vm="10">
        <v>#VALUE!</v>
      </c>
      <c r="B61" t="s">
        <v>233</v>
      </c>
      <c r="C61" t="s">
        <v>151</v>
      </c>
      <c r="D61" s="1" t="s">
        <v>122</v>
      </c>
      <c r="E61" t="s">
        <v>95</v>
      </c>
      <c r="F61" t="s">
        <v>53</v>
      </c>
      <c r="G61" s="1">
        <v>0.27</v>
      </c>
      <c r="H61" s="1">
        <v>35</v>
      </c>
      <c r="I61" s="1">
        <v>11</v>
      </c>
      <c r="J61" s="1">
        <v>13</v>
      </c>
      <c r="K61" s="1">
        <v>24</v>
      </c>
      <c r="L61" s="1">
        <v>4</v>
      </c>
      <c r="M61" s="3">
        <f>Table1[[#This Row],[G]]/Table1[[#This Row],[GP]]</f>
        <v>0.31428571428571428</v>
      </c>
      <c r="N61" s="3">
        <f>Table1[[#This Row],[A]]/Table1[[#This Row],[GP]]</f>
        <v>0.37142857142857144</v>
      </c>
      <c r="O61" s="3">
        <f>Table1[[#This Row],[PTS]]/Table1[[#This Row],[GP]]</f>
        <v>0.68571428571428572</v>
      </c>
      <c r="P61" s="3">
        <f>Table1[[#This Row],[PPG]]*Table1[[#This Row],[NHLe SCORE]]</f>
        <v>0.18514285714285716</v>
      </c>
      <c r="Q61" s="3">
        <f>Table1[[#This Row],[PIM]]/Table1[[#This Row],[GP]]</f>
        <v>0.11428571428571428</v>
      </c>
      <c r="R61" s="3" t="str">
        <f>IF(P61&lt;=$AA$2,"Q1", IF(P61&lt;=$AA$3,"Q2", IF(P61&lt;=$AA$4,"Q3","Q4")))</f>
        <v>Q2</v>
      </c>
      <c r="S61" s="2">
        <v>39476</v>
      </c>
      <c r="T61" s="1" t="s">
        <v>102</v>
      </c>
      <c r="U61" s="1">
        <v>176</v>
      </c>
      <c r="V61" s="1" t="s">
        <v>97</v>
      </c>
    </row>
    <row r="62" spans="1:22" hidden="1" x14ac:dyDescent="0.3">
      <c r="A62" t="e" vm="4">
        <v>#VALUE!</v>
      </c>
      <c r="B62" t="s">
        <v>229</v>
      </c>
      <c r="C62" t="s">
        <v>170</v>
      </c>
      <c r="D62" s="1" t="s">
        <v>123</v>
      </c>
      <c r="E62" t="s">
        <v>46</v>
      </c>
      <c r="F62" t="s">
        <v>47</v>
      </c>
      <c r="G62" s="1">
        <v>0.27</v>
      </c>
      <c r="H62" s="1">
        <v>25</v>
      </c>
      <c r="I62" s="1">
        <v>5</v>
      </c>
      <c r="J62" s="1">
        <v>12</v>
      </c>
      <c r="K62" s="1">
        <v>17</v>
      </c>
      <c r="L62" s="1">
        <v>2</v>
      </c>
      <c r="M62" s="3">
        <f>Table1[[#This Row],[G]]/Table1[[#This Row],[GP]]</f>
        <v>0.2</v>
      </c>
      <c r="N62" s="3">
        <f>Table1[[#This Row],[A]]/Table1[[#This Row],[GP]]</f>
        <v>0.48</v>
      </c>
      <c r="O62" s="3">
        <f>Table1[[#This Row],[PTS]]/Table1[[#This Row],[GP]]</f>
        <v>0.68</v>
      </c>
      <c r="P62" s="3">
        <f>Table1[[#This Row],[PPG]]*Table1[[#This Row],[NHLe SCORE]]</f>
        <v>0.18360000000000001</v>
      </c>
      <c r="Q62" s="3">
        <f>Table1[[#This Row],[PIM]]/Table1[[#This Row],[GP]]</f>
        <v>0.08</v>
      </c>
      <c r="R62" s="3" t="str">
        <f>IF(P62&lt;=$AA$2,"Q1", IF(P62&lt;=$AA$3,"Q2", IF(P62&lt;=$AA$4,"Q3","Q4")))</f>
        <v>Q2</v>
      </c>
      <c r="S62" s="2">
        <v>39598</v>
      </c>
      <c r="T62" s="1" t="s">
        <v>101</v>
      </c>
      <c r="U62" s="1">
        <v>201</v>
      </c>
      <c r="V62" s="1" t="s">
        <v>100</v>
      </c>
    </row>
    <row r="63" spans="1:22" hidden="1" x14ac:dyDescent="0.3">
      <c r="A63" t="e" vm="9">
        <v>#VALUE!</v>
      </c>
      <c r="B63" t="s">
        <v>107</v>
      </c>
      <c r="C63" t="s">
        <v>140</v>
      </c>
      <c r="D63" s="1" t="s">
        <v>122</v>
      </c>
      <c r="E63" t="s">
        <v>22</v>
      </c>
      <c r="F63" t="s">
        <v>19</v>
      </c>
      <c r="G63" s="1">
        <v>0.28999999999999998</v>
      </c>
      <c r="H63" s="1">
        <v>27</v>
      </c>
      <c r="I63" s="1">
        <v>7</v>
      </c>
      <c r="J63" s="1">
        <v>9</v>
      </c>
      <c r="K63" s="1">
        <v>16</v>
      </c>
      <c r="L63" s="1">
        <v>35</v>
      </c>
      <c r="M63" s="3">
        <f>Table1[[#This Row],[G]]/Table1[[#This Row],[GP]]</f>
        <v>0.25925925925925924</v>
      </c>
      <c r="N63" s="3">
        <f>Table1[[#This Row],[A]]/Table1[[#This Row],[GP]]</f>
        <v>0.33333333333333331</v>
      </c>
      <c r="O63" s="3">
        <f>Table1[[#This Row],[PTS]]/Table1[[#This Row],[GP]]</f>
        <v>0.59259259259259256</v>
      </c>
      <c r="P63" s="3">
        <f>Table1[[#This Row],[PPG]]*Table1[[#This Row],[NHLe SCORE]]</f>
        <v>0.17185185185185184</v>
      </c>
      <c r="Q63" s="3">
        <f>Table1[[#This Row],[PIM]]/Table1[[#This Row],[GP]]</f>
        <v>1.2962962962962963</v>
      </c>
      <c r="R63" s="3" t="str">
        <f>IF(P63&lt;=$AA$2,"Q1", IF(P63&lt;=$AA$3,"Q2", IF(P63&lt;=$AA$4,"Q3","Q4")))</f>
        <v>Q2</v>
      </c>
      <c r="S63" s="2">
        <v>39509</v>
      </c>
      <c r="T63" s="1" t="s">
        <v>103</v>
      </c>
      <c r="U63" s="1">
        <v>203</v>
      </c>
      <c r="V63" s="1" t="s">
        <v>97</v>
      </c>
    </row>
    <row r="64" spans="1:22" hidden="1" x14ac:dyDescent="0.3">
      <c r="A64" t="e" vm="1">
        <v>#VALUE!</v>
      </c>
      <c r="B64" t="s">
        <v>227</v>
      </c>
      <c r="C64" t="s">
        <v>160</v>
      </c>
      <c r="D64" s="1" t="s">
        <v>123</v>
      </c>
      <c r="E64" t="s">
        <v>15</v>
      </c>
      <c r="F64" t="s">
        <v>1</v>
      </c>
      <c r="G64" s="1">
        <v>0.26</v>
      </c>
      <c r="H64" s="1">
        <v>14</v>
      </c>
      <c r="I64" s="1">
        <v>3</v>
      </c>
      <c r="J64" s="1">
        <v>6</v>
      </c>
      <c r="K64" s="1">
        <v>9</v>
      </c>
      <c r="L64" s="1">
        <v>12</v>
      </c>
      <c r="M64" s="3">
        <f>Table1[[#This Row],[G]]/Table1[[#This Row],[GP]]</f>
        <v>0.21428571428571427</v>
      </c>
      <c r="N64" s="3">
        <f>Table1[[#This Row],[A]]/Table1[[#This Row],[GP]]</f>
        <v>0.42857142857142855</v>
      </c>
      <c r="O64" s="3">
        <f>Table1[[#This Row],[PTS]]/Table1[[#This Row],[GP]]</f>
        <v>0.6428571428571429</v>
      </c>
      <c r="P64" s="3">
        <f>Table1[[#This Row],[PPG]]*Table1[[#This Row],[NHLe SCORE]]</f>
        <v>0.16714285714285715</v>
      </c>
      <c r="Q64" s="3">
        <f>Table1[[#This Row],[PIM]]/Table1[[#This Row],[GP]]</f>
        <v>0.8571428571428571</v>
      </c>
      <c r="R64" s="3" t="str">
        <f>IF(P64&lt;=$AA$2,"Q1", IF(P64&lt;=$AA$3,"Q2", IF(P64&lt;=$AA$4,"Q3","Q4")))</f>
        <v>Q2</v>
      </c>
      <c r="S64" s="2">
        <v>39609</v>
      </c>
      <c r="T64" s="1" t="s">
        <v>103</v>
      </c>
      <c r="U64" s="1">
        <v>201</v>
      </c>
      <c r="V64" s="1" t="s">
        <v>97</v>
      </c>
    </row>
    <row r="65" spans="1:22" hidden="1" x14ac:dyDescent="0.3">
      <c r="A65" t="e" vm="2">
        <v>#VALUE!</v>
      </c>
      <c r="B65" t="s">
        <v>226</v>
      </c>
      <c r="C65" t="s">
        <v>193</v>
      </c>
      <c r="D65" s="1" t="s">
        <v>122</v>
      </c>
      <c r="E65" t="s">
        <v>48</v>
      </c>
      <c r="F65" t="s">
        <v>10</v>
      </c>
      <c r="G65" s="1">
        <v>0.3</v>
      </c>
      <c r="H65" s="1">
        <v>31</v>
      </c>
      <c r="I65" s="1">
        <v>5</v>
      </c>
      <c r="J65" s="1">
        <v>12</v>
      </c>
      <c r="K65" s="1">
        <v>17</v>
      </c>
      <c r="L65" s="1">
        <v>4</v>
      </c>
      <c r="M65" s="3">
        <f>Table1[[#This Row],[G]]/Table1[[#This Row],[GP]]</f>
        <v>0.16129032258064516</v>
      </c>
      <c r="N65" s="3">
        <f>Table1[[#This Row],[A]]/Table1[[#This Row],[GP]]</f>
        <v>0.38709677419354838</v>
      </c>
      <c r="O65" s="3">
        <f>Table1[[#This Row],[PTS]]/Table1[[#This Row],[GP]]</f>
        <v>0.54838709677419351</v>
      </c>
      <c r="P65" s="3">
        <f>Table1[[#This Row],[PPG]]*Table1[[#This Row],[NHLe SCORE]]</f>
        <v>0.16451612903225804</v>
      </c>
      <c r="Q65" s="3">
        <f>Table1[[#This Row],[PIM]]/Table1[[#This Row],[GP]]</f>
        <v>0.12903225806451613</v>
      </c>
      <c r="R65" s="3" t="str">
        <f>IF(P65&lt;=$AA$2,"Q1", IF(P65&lt;=$AA$3,"Q2", IF(P65&lt;=$AA$4,"Q3","Q4")))</f>
        <v>Q2</v>
      </c>
      <c r="S65" s="2">
        <v>39543</v>
      </c>
      <c r="T65" s="1" t="s">
        <v>103</v>
      </c>
      <c r="U65" s="1">
        <v>192</v>
      </c>
      <c r="V65" s="1" t="s">
        <v>100</v>
      </c>
    </row>
    <row r="66" spans="1:22" hidden="1" x14ac:dyDescent="0.3">
      <c r="A66" t="e" vm="8">
        <v>#VALUE!</v>
      </c>
      <c r="B66" t="s">
        <v>12</v>
      </c>
      <c r="C66" t="s">
        <v>179</v>
      </c>
      <c r="D66" s="1" t="s">
        <v>123</v>
      </c>
      <c r="E66" t="s">
        <v>68</v>
      </c>
      <c r="F66" t="s">
        <v>12</v>
      </c>
      <c r="G66" s="1">
        <v>0.47</v>
      </c>
      <c r="H66" s="1">
        <v>26</v>
      </c>
      <c r="I66" s="1">
        <v>3</v>
      </c>
      <c r="J66" s="1">
        <v>6</v>
      </c>
      <c r="K66" s="1">
        <v>9</v>
      </c>
      <c r="L66" s="1">
        <v>2</v>
      </c>
      <c r="M66" s="3">
        <f>Table1[[#This Row],[G]]/Table1[[#This Row],[GP]]</f>
        <v>0.11538461538461539</v>
      </c>
      <c r="N66" s="3">
        <f>Table1[[#This Row],[A]]/Table1[[#This Row],[GP]]</f>
        <v>0.23076923076923078</v>
      </c>
      <c r="O66" s="3">
        <f>Table1[[#This Row],[PTS]]/Table1[[#This Row],[GP]]</f>
        <v>0.34615384615384615</v>
      </c>
      <c r="P66" s="3">
        <f>Table1[[#This Row],[PPG]]*Table1[[#This Row],[NHLe SCORE]]</f>
        <v>0.16269230769230769</v>
      </c>
      <c r="Q66" s="3">
        <f>Table1[[#This Row],[PIM]]/Table1[[#This Row],[GP]]</f>
        <v>7.6923076923076927E-2</v>
      </c>
      <c r="R66" s="3" t="str">
        <f>IF(P66&lt;=$AA$2,"Q1", IF(P66&lt;=$AA$3,"Q2", IF(P66&lt;=$AA$4,"Q3","Q4")))</f>
        <v>Q2</v>
      </c>
      <c r="S66" s="2">
        <v>39605</v>
      </c>
      <c r="T66" s="1" t="s">
        <v>105</v>
      </c>
      <c r="U66" s="1">
        <v>194</v>
      </c>
      <c r="V66" s="1" t="s">
        <v>100</v>
      </c>
    </row>
    <row r="67" spans="1:22" hidden="1" x14ac:dyDescent="0.3">
      <c r="A67" t="e" vm="3">
        <v>#VALUE!</v>
      </c>
      <c r="B67" t="s">
        <v>225</v>
      </c>
      <c r="C67" t="s">
        <v>145</v>
      </c>
      <c r="D67" s="1" t="s">
        <v>122</v>
      </c>
      <c r="E67" t="s">
        <v>29</v>
      </c>
      <c r="F67" t="s">
        <v>4</v>
      </c>
      <c r="G67" s="1">
        <v>0.3</v>
      </c>
      <c r="H67" s="1">
        <v>24</v>
      </c>
      <c r="I67" s="1">
        <v>6</v>
      </c>
      <c r="J67" s="1">
        <v>7</v>
      </c>
      <c r="K67" s="1">
        <v>13</v>
      </c>
      <c r="L67" s="1">
        <v>33</v>
      </c>
      <c r="M67" s="3">
        <f>Table1[[#This Row],[G]]/Table1[[#This Row],[GP]]</f>
        <v>0.25</v>
      </c>
      <c r="N67" s="3">
        <f>Table1[[#This Row],[A]]/Table1[[#This Row],[GP]]</f>
        <v>0.29166666666666669</v>
      </c>
      <c r="O67" s="3">
        <f>Table1[[#This Row],[PTS]]/Table1[[#This Row],[GP]]</f>
        <v>0.54166666666666663</v>
      </c>
      <c r="P67" s="3">
        <f>Table1[[#This Row],[PPG]]*Table1[[#This Row],[NHLe SCORE]]</f>
        <v>0.16249999999999998</v>
      </c>
      <c r="Q67" s="3">
        <f>Table1[[#This Row],[PIM]]/Table1[[#This Row],[GP]]</f>
        <v>1.375</v>
      </c>
      <c r="R67" s="3" t="str">
        <f>IF(P67&lt;=$AA$2,"Q1", IF(P67&lt;=$AA$3,"Q2", IF(P67&lt;=$AA$4,"Q3","Q4")))</f>
        <v>Q2</v>
      </c>
      <c r="S67" s="2">
        <v>39538</v>
      </c>
      <c r="T67" s="1" t="s">
        <v>101</v>
      </c>
      <c r="U67" s="1">
        <v>207</v>
      </c>
      <c r="V67" s="1" t="s">
        <v>100</v>
      </c>
    </row>
    <row r="68" spans="1:22" hidden="1" x14ac:dyDescent="0.3">
      <c r="A68" t="e" vm="1">
        <v>#VALUE!</v>
      </c>
      <c r="B68" t="s">
        <v>227</v>
      </c>
      <c r="C68" t="s">
        <v>157</v>
      </c>
      <c r="D68" s="1" t="s">
        <v>122</v>
      </c>
      <c r="E68" t="s">
        <v>43</v>
      </c>
      <c r="F68" t="s">
        <v>38</v>
      </c>
      <c r="G68" s="1">
        <v>0.28000000000000003</v>
      </c>
      <c r="H68" s="1">
        <v>19</v>
      </c>
      <c r="I68" s="1">
        <v>6</v>
      </c>
      <c r="J68" s="1">
        <v>5</v>
      </c>
      <c r="K68" s="1">
        <v>11</v>
      </c>
      <c r="L68" s="1">
        <v>10</v>
      </c>
      <c r="M68" s="3">
        <f>Table1[[#This Row],[G]]/Table1[[#This Row],[GP]]</f>
        <v>0.31578947368421051</v>
      </c>
      <c r="N68" s="3">
        <f>Table1[[#This Row],[A]]/Table1[[#This Row],[GP]]</f>
        <v>0.26315789473684209</v>
      </c>
      <c r="O68" s="3">
        <f>Table1[[#This Row],[PTS]]/Table1[[#This Row],[GP]]</f>
        <v>0.57894736842105265</v>
      </c>
      <c r="P68" s="3">
        <f>Table1[[#This Row],[PPG]]*Table1[[#This Row],[NHLe SCORE]]</f>
        <v>0.16210526315789475</v>
      </c>
      <c r="Q68" s="3">
        <f>Table1[[#This Row],[PIM]]/Table1[[#This Row],[GP]]</f>
        <v>0.52631578947368418</v>
      </c>
      <c r="R68" s="3" t="str">
        <f>IF(P68&lt;=$AA$2,"Q1", IF(P68&lt;=$AA$3,"Q2", IF(P68&lt;=$AA$4,"Q3","Q4")))</f>
        <v>Q2</v>
      </c>
      <c r="S68" s="2">
        <v>39356</v>
      </c>
      <c r="T68" s="1" t="s">
        <v>99</v>
      </c>
      <c r="U68" s="1">
        <v>183</v>
      </c>
      <c r="V68" s="1" t="s">
        <v>97</v>
      </c>
    </row>
    <row r="69" spans="1:22" hidden="1" x14ac:dyDescent="0.3">
      <c r="A69" t="e" vm="2">
        <v>#VALUE!</v>
      </c>
      <c r="B69" t="s">
        <v>226</v>
      </c>
      <c r="C69" t="s">
        <v>171</v>
      </c>
      <c r="D69" s="1" t="s">
        <v>123</v>
      </c>
      <c r="E69" t="s">
        <v>54</v>
      </c>
      <c r="F69" t="s">
        <v>55</v>
      </c>
      <c r="G69" s="1">
        <v>0.24</v>
      </c>
      <c r="H69" s="1">
        <v>3</v>
      </c>
      <c r="I69" s="1">
        <v>1</v>
      </c>
      <c r="J69" s="1">
        <v>1</v>
      </c>
      <c r="K69" s="1">
        <v>2</v>
      </c>
      <c r="L69" s="1">
        <v>0</v>
      </c>
      <c r="M69" s="3">
        <f>Table1[[#This Row],[G]]/Table1[[#This Row],[GP]]</f>
        <v>0.33333333333333331</v>
      </c>
      <c r="N69" s="3">
        <f>Table1[[#This Row],[A]]/Table1[[#This Row],[GP]]</f>
        <v>0.33333333333333331</v>
      </c>
      <c r="O69" s="3">
        <f>Table1[[#This Row],[PTS]]/Table1[[#This Row],[GP]]</f>
        <v>0.66666666666666663</v>
      </c>
      <c r="P69" s="3">
        <f>Table1[[#This Row],[PPG]]*Table1[[#This Row],[NHLe SCORE]]</f>
        <v>0.15999999999999998</v>
      </c>
      <c r="Q69" s="3">
        <f>Table1[[#This Row],[PIM]]/Table1[[#This Row],[GP]]</f>
        <v>0</v>
      </c>
      <c r="R69" s="3" t="str">
        <f>IF(P69&lt;=$AA$2,"Q1", IF(P69&lt;=$AA$3,"Q2", IF(P69&lt;=$AA$4,"Q3","Q4")))</f>
        <v>Q2</v>
      </c>
      <c r="S69" s="2">
        <v>39373</v>
      </c>
      <c r="T69" s="1" t="s">
        <v>96</v>
      </c>
      <c r="U69" s="1">
        <v>194</v>
      </c>
      <c r="V69" s="1" t="s">
        <v>100</v>
      </c>
    </row>
    <row r="70" spans="1:22" hidden="1" x14ac:dyDescent="0.3">
      <c r="A70" t="e" vm="3">
        <v>#VALUE!</v>
      </c>
      <c r="B70" t="s">
        <v>225</v>
      </c>
      <c r="C70" t="s">
        <v>162</v>
      </c>
      <c r="D70" s="1" t="s">
        <v>123</v>
      </c>
      <c r="E70" t="s">
        <v>30</v>
      </c>
      <c r="F70" t="s">
        <v>10</v>
      </c>
      <c r="G70" s="1">
        <v>0.3</v>
      </c>
      <c r="H70" s="1">
        <v>32</v>
      </c>
      <c r="I70" s="1">
        <v>2</v>
      </c>
      <c r="J70" s="1">
        <v>15</v>
      </c>
      <c r="K70" s="1">
        <v>17</v>
      </c>
      <c r="L70" s="1">
        <v>22</v>
      </c>
      <c r="M70" s="3">
        <f>Table1[[#This Row],[G]]/Table1[[#This Row],[GP]]</f>
        <v>6.25E-2</v>
      </c>
      <c r="N70" s="3">
        <f>Table1[[#This Row],[A]]/Table1[[#This Row],[GP]]</f>
        <v>0.46875</v>
      </c>
      <c r="O70" s="3">
        <f>Table1[[#This Row],[PTS]]/Table1[[#This Row],[GP]]</f>
        <v>0.53125</v>
      </c>
      <c r="P70" s="3">
        <f>Table1[[#This Row],[PPG]]*Table1[[#This Row],[NHLe SCORE]]</f>
        <v>0.15937499999999999</v>
      </c>
      <c r="Q70" s="3">
        <f>Table1[[#This Row],[PIM]]/Table1[[#This Row],[GP]]</f>
        <v>0.6875</v>
      </c>
      <c r="R70" s="3" t="str">
        <f>IF(P70&lt;=$AA$2,"Q1", IF(P70&lt;=$AA$3,"Q2", IF(P70&lt;=$AA$4,"Q3","Q4")))</f>
        <v>Q2</v>
      </c>
      <c r="S70" s="2">
        <v>39561</v>
      </c>
      <c r="T70" s="1" t="s">
        <v>101</v>
      </c>
      <c r="U70" s="1">
        <v>214</v>
      </c>
      <c r="V70" s="1" t="s">
        <v>100</v>
      </c>
    </row>
    <row r="71" spans="1:22" hidden="1" x14ac:dyDescent="0.3">
      <c r="A71" t="e" vm="2">
        <v>#VALUE!</v>
      </c>
      <c r="B71" t="s">
        <v>226</v>
      </c>
      <c r="C71" t="s">
        <v>141</v>
      </c>
      <c r="D71" s="1" t="s">
        <v>122</v>
      </c>
      <c r="E71" t="s">
        <v>5</v>
      </c>
      <c r="F71" t="s">
        <v>6</v>
      </c>
      <c r="G71" s="1">
        <v>0.35</v>
      </c>
      <c r="H71" s="1">
        <v>27</v>
      </c>
      <c r="I71" s="1">
        <v>5</v>
      </c>
      <c r="J71" s="1">
        <v>7</v>
      </c>
      <c r="K71" s="1">
        <v>12</v>
      </c>
      <c r="L71" s="1">
        <v>14</v>
      </c>
      <c r="M71" s="3">
        <f>Table1[[#This Row],[G]]/Table1[[#This Row],[GP]]</f>
        <v>0.18518518518518517</v>
      </c>
      <c r="N71" s="3">
        <f>Table1[[#This Row],[A]]/Table1[[#This Row],[GP]]</f>
        <v>0.25925925925925924</v>
      </c>
      <c r="O71" s="3">
        <f>Table1[[#This Row],[PTS]]/Table1[[#This Row],[GP]]</f>
        <v>0.44444444444444442</v>
      </c>
      <c r="P71" s="3">
        <f>Table1[[#This Row],[PPG]]*Table1[[#This Row],[NHLe SCORE]]</f>
        <v>0.15555555555555553</v>
      </c>
      <c r="Q71" s="3">
        <f>Table1[[#This Row],[PIM]]/Table1[[#This Row],[GP]]</f>
        <v>0.51851851851851849</v>
      </c>
      <c r="R71" s="3" t="str">
        <f>IF(P71&lt;=$AA$2,"Q1", IF(P71&lt;=$AA$3,"Q2", IF(P71&lt;=$AA$4,"Q3","Q4")))</f>
        <v>Q2</v>
      </c>
      <c r="S71" s="2">
        <v>39529</v>
      </c>
      <c r="T71" s="1" t="s">
        <v>99</v>
      </c>
      <c r="U71" s="1">
        <v>168</v>
      </c>
      <c r="V71" s="1" t="s">
        <v>100</v>
      </c>
    </row>
    <row r="72" spans="1:22" hidden="1" x14ac:dyDescent="0.3">
      <c r="A72" t="e" vm="3">
        <v>#VALUE!</v>
      </c>
      <c r="B72" t="s">
        <v>225</v>
      </c>
      <c r="C72" t="s">
        <v>174</v>
      </c>
      <c r="D72" s="1" t="s">
        <v>123</v>
      </c>
      <c r="E72" t="s">
        <v>59</v>
      </c>
      <c r="F72" t="s">
        <v>38</v>
      </c>
      <c r="G72" s="1">
        <v>0.28000000000000003</v>
      </c>
      <c r="H72" s="1">
        <v>31</v>
      </c>
      <c r="I72" s="1">
        <v>1</v>
      </c>
      <c r="J72" s="1">
        <v>16</v>
      </c>
      <c r="K72" s="1">
        <v>17</v>
      </c>
      <c r="L72" s="1">
        <v>12</v>
      </c>
      <c r="M72" s="3">
        <f>Table1[[#This Row],[G]]/Table1[[#This Row],[GP]]</f>
        <v>3.2258064516129031E-2</v>
      </c>
      <c r="N72" s="3">
        <f>Table1[[#This Row],[A]]/Table1[[#This Row],[GP]]</f>
        <v>0.5161290322580645</v>
      </c>
      <c r="O72" s="3">
        <f>Table1[[#This Row],[PTS]]/Table1[[#This Row],[GP]]</f>
        <v>0.54838709677419351</v>
      </c>
      <c r="P72" s="3">
        <f>Table1[[#This Row],[PPG]]*Table1[[#This Row],[NHLe SCORE]]</f>
        <v>0.15354838709677421</v>
      </c>
      <c r="Q72" s="3">
        <f>Table1[[#This Row],[PIM]]/Table1[[#This Row],[GP]]</f>
        <v>0.38709677419354838</v>
      </c>
      <c r="R72" s="3" t="str">
        <f>IF(P72&lt;=$AA$2,"Q1", IF(P72&lt;=$AA$3,"Q2", IF(P72&lt;=$AA$4,"Q3","Q4")))</f>
        <v>Q2</v>
      </c>
      <c r="S72" s="2">
        <v>39449</v>
      </c>
      <c r="T72" s="1" t="s">
        <v>96</v>
      </c>
      <c r="U72" s="1">
        <v>187</v>
      </c>
      <c r="V72" s="1" t="s">
        <v>100</v>
      </c>
    </row>
    <row r="73" spans="1:22" hidden="1" x14ac:dyDescent="0.3">
      <c r="A73" t="e" vm="11">
        <v>#VALUE!</v>
      </c>
      <c r="B73" t="s">
        <v>232</v>
      </c>
      <c r="C73" t="s">
        <v>222</v>
      </c>
      <c r="D73" s="1" t="s">
        <v>122</v>
      </c>
      <c r="E73" t="s">
        <v>76</v>
      </c>
      <c r="F73" t="s">
        <v>77</v>
      </c>
      <c r="G73" s="1">
        <v>0.65</v>
      </c>
      <c r="H73" s="1">
        <v>35</v>
      </c>
      <c r="I73" s="1">
        <v>4</v>
      </c>
      <c r="J73" s="1">
        <v>4</v>
      </c>
      <c r="K73" s="1">
        <v>8</v>
      </c>
      <c r="L73" s="1">
        <v>16</v>
      </c>
      <c r="M73" s="3">
        <f>Table1[[#This Row],[G]]/Table1[[#This Row],[GP]]</f>
        <v>0.11428571428571428</v>
      </c>
      <c r="N73" s="3">
        <f>Table1[[#This Row],[A]]/Table1[[#This Row],[GP]]</f>
        <v>0.11428571428571428</v>
      </c>
      <c r="O73" s="3">
        <f>Table1[[#This Row],[PTS]]/Table1[[#This Row],[GP]]</f>
        <v>0.22857142857142856</v>
      </c>
      <c r="P73" s="3">
        <f>Table1[[#This Row],[PPG]]*Table1[[#This Row],[NHLe SCORE]]</f>
        <v>0.14857142857142858</v>
      </c>
      <c r="Q73" s="3">
        <f>Table1[[#This Row],[PIM]]/Table1[[#This Row],[GP]]</f>
        <v>0.45714285714285713</v>
      </c>
      <c r="R73" s="3" t="str">
        <f>IF(P73&lt;=$AA$2,"Q1", IF(P73&lt;=$AA$3,"Q2", IF(P73&lt;=$AA$4,"Q3","Q4")))</f>
        <v>Q1</v>
      </c>
      <c r="S73" s="2">
        <v>39376</v>
      </c>
      <c r="T73" s="1" t="s">
        <v>105</v>
      </c>
      <c r="U73" s="1">
        <v>198</v>
      </c>
      <c r="V73" s="1" t="s">
        <v>100</v>
      </c>
    </row>
    <row r="74" spans="1:22" hidden="1" x14ac:dyDescent="0.3">
      <c r="A74" t="e" vm="9">
        <v>#VALUE!</v>
      </c>
      <c r="B74" t="s">
        <v>107</v>
      </c>
      <c r="C74" t="s">
        <v>197</v>
      </c>
      <c r="D74" s="1" t="s">
        <v>122</v>
      </c>
      <c r="E74" t="s">
        <v>65</v>
      </c>
      <c r="F74" t="s">
        <v>47</v>
      </c>
      <c r="G74" s="1">
        <v>0.27</v>
      </c>
      <c r="H74" s="1">
        <v>13</v>
      </c>
      <c r="I74" s="1">
        <v>5</v>
      </c>
      <c r="J74" s="1">
        <v>2</v>
      </c>
      <c r="K74" s="1">
        <v>7</v>
      </c>
      <c r="L74" s="1">
        <v>2</v>
      </c>
      <c r="M74" s="3">
        <f>Table1[[#This Row],[G]]/Table1[[#This Row],[GP]]</f>
        <v>0.38461538461538464</v>
      </c>
      <c r="N74" s="3">
        <f>Table1[[#This Row],[A]]/Table1[[#This Row],[GP]]</f>
        <v>0.15384615384615385</v>
      </c>
      <c r="O74" s="3">
        <f>Table1[[#This Row],[PTS]]/Table1[[#This Row],[GP]]</f>
        <v>0.53846153846153844</v>
      </c>
      <c r="P74" s="3">
        <f>Table1[[#This Row],[PPG]]*Table1[[#This Row],[NHLe SCORE]]</f>
        <v>0.14538461538461539</v>
      </c>
      <c r="Q74" s="3">
        <f>Table1[[#This Row],[PIM]]/Table1[[#This Row],[GP]]</f>
        <v>0.15384615384615385</v>
      </c>
      <c r="R74" s="3" t="str">
        <f>IF(P74&lt;=$AA$2,"Q1", IF(P74&lt;=$AA$3,"Q2", IF(P74&lt;=$AA$4,"Q3","Q4")))</f>
        <v>Q1</v>
      </c>
      <c r="S74" s="2">
        <v>39396</v>
      </c>
      <c r="T74" s="1" t="s">
        <v>102</v>
      </c>
      <c r="U74" s="1">
        <v>185</v>
      </c>
      <c r="V74" s="1" t="s">
        <v>100</v>
      </c>
    </row>
    <row r="75" spans="1:22" hidden="1" x14ac:dyDescent="0.3">
      <c r="A75" t="e" vm="6">
        <v>#VALUE!</v>
      </c>
      <c r="B75" t="s">
        <v>228</v>
      </c>
      <c r="C75" t="s">
        <v>217</v>
      </c>
      <c r="D75" s="1" t="s">
        <v>122</v>
      </c>
      <c r="E75" t="s">
        <v>85</v>
      </c>
      <c r="F75" t="s">
        <v>47</v>
      </c>
      <c r="G75" s="1">
        <v>0.27</v>
      </c>
      <c r="H75" s="1">
        <v>18</v>
      </c>
      <c r="I75" s="1">
        <v>3</v>
      </c>
      <c r="J75" s="1">
        <v>6</v>
      </c>
      <c r="K75" s="1">
        <v>9</v>
      </c>
      <c r="L75" s="1">
        <v>0</v>
      </c>
      <c r="M75" s="3">
        <f>Table1[[#This Row],[G]]/Table1[[#This Row],[GP]]</f>
        <v>0.16666666666666666</v>
      </c>
      <c r="N75" s="3">
        <f>Table1[[#This Row],[A]]/Table1[[#This Row],[GP]]</f>
        <v>0.33333333333333331</v>
      </c>
      <c r="O75" s="3">
        <f>Table1[[#This Row],[PTS]]/Table1[[#This Row],[GP]]</f>
        <v>0.5</v>
      </c>
      <c r="P75" s="3">
        <f>Table1[[#This Row],[PPG]]*Table1[[#This Row],[NHLe SCORE]]</f>
        <v>0.13500000000000001</v>
      </c>
      <c r="Q75" s="3">
        <f>Table1[[#This Row],[PIM]]/Table1[[#This Row],[GP]]</f>
        <v>0</v>
      </c>
      <c r="R75" s="3" t="str">
        <f>IF(P75&lt;=$AA$2,"Q1", IF(P75&lt;=$AA$3,"Q2", IF(P75&lt;=$AA$4,"Q3","Q4")))</f>
        <v>Q1</v>
      </c>
      <c r="S75" s="2">
        <v>39652</v>
      </c>
      <c r="T75" s="1" t="s">
        <v>103</v>
      </c>
      <c r="U75" s="1">
        <v>198</v>
      </c>
      <c r="V75" s="1" t="s">
        <v>97</v>
      </c>
    </row>
    <row r="76" spans="1:22" hidden="1" x14ac:dyDescent="0.3">
      <c r="A76" t="e" vm="4">
        <v>#VALUE!</v>
      </c>
      <c r="B76" t="s">
        <v>229</v>
      </c>
      <c r="C76" t="s">
        <v>186</v>
      </c>
      <c r="D76" s="1" t="s">
        <v>123</v>
      </c>
      <c r="E76" t="s">
        <v>94</v>
      </c>
      <c r="F76" t="s">
        <v>47</v>
      </c>
      <c r="G76" s="1">
        <v>0.27</v>
      </c>
      <c r="H76" s="1">
        <v>22</v>
      </c>
      <c r="I76" s="1">
        <v>3</v>
      </c>
      <c r="J76" s="1">
        <v>8</v>
      </c>
      <c r="K76" s="1">
        <v>11</v>
      </c>
      <c r="L76" s="1">
        <v>2</v>
      </c>
      <c r="M76" s="3">
        <f>Table1[[#This Row],[G]]/Table1[[#This Row],[GP]]</f>
        <v>0.13636363636363635</v>
      </c>
      <c r="N76" s="3">
        <f>Table1[[#This Row],[A]]/Table1[[#This Row],[GP]]</f>
        <v>0.36363636363636365</v>
      </c>
      <c r="O76" s="3">
        <f>Table1[[#This Row],[PTS]]/Table1[[#This Row],[GP]]</f>
        <v>0.5</v>
      </c>
      <c r="P76" s="3">
        <f>Table1[[#This Row],[PPG]]*Table1[[#This Row],[NHLe SCORE]]</f>
        <v>0.13500000000000001</v>
      </c>
      <c r="Q76" s="3">
        <f>Table1[[#This Row],[PIM]]/Table1[[#This Row],[GP]]</f>
        <v>9.0909090909090912E-2</v>
      </c>
      <c r="R76" s="3" t="str">
        <f>IF(P76&lt;=$AA$2,"Q1", IF(P76&lt;=$AA$3,"Q2", IF(P76&lt;=$AA$4,"Q3","Q4")))</f>
        <v>Q1</v>
      </c>
      <c r="S76" s="2">
        <v>39704</v>
      </c>
      <c r="T76" s="1" t="s">
        <v>102</v>
      </c>
      <c r="U76" s="1">
        <v>172</v>
      </c>
      <c r="V76" s="1" t="s">
        <v>100</v>
      </c>
    </row>
    <row r="77" spans="1:22" hidden="1" x14ac:dyDescent="0.3">
      <c r="A77" t="e" vm="3">
        <v>#VALUE!</v>
      </c>
      <c r="B77" t="s">
        <v>225</v>
      </c>
      <c r="C77" t="s">
        <v>175</v>
      </c>
      <c r="D77" s="1" t="s">
        <v>123</v>
      </c>
      <c r="E77" t="s">
        <v>34</v>
      </c>
      <c r="F77" t="s">
        <v>4</v>
      </c>
      <c r="G77" s="1">
        <v>0.3</v>
      </c>
      <c r="H77" s="1">
        <v>9</v>
      </c>
      <c r="I77" s="1">
        <v>1</v>
      </c>
      <c r="J77" s="1">
        <v>3</v>
      </c>
      <c r="K77" s="1">
        <v>4</v>
      </c>
      <c r="L77" s="1">
        <v>8</v>
      </c>
      <c r="M77" s="3">
        <f>Table1[[#This Row],[G]]/Table1[[#This Row],[GP]]</f>
        <v>0.1111111111111111</v>
      </c>
      <c r="N77" s="3">
        <f>Table1[[#This Row],[A]]/Table1[[#This Row],[GP]]</f>
        <v>0.33333333333333331</v>
      </c>
      <c r="O77" s="3">
        <f>Table1[[#This Row],[PTS]]/Table1[[#This Row],[GP]]</f>
        <v>0.44444444444444442</v>
      </c>
      <c r="P77" s="3">
        <f>Table1[[#This Row],[PPG]]*Table1[[#This Row],[NHLe SCORE]]</f>
        <v>0.13333333333333333</v>
      </c>
      <c r="Q77" s="3">
        <f>Table1[[#This Row],[PIM]]/Table1[[#This Row],[GP]]</f>
        <v>0.88888888888888884</v>
      </c>
      <c r="R77" s="3" t="str">
        <f>IF(P77&lt;=$AA$2,"Q1", IF(P77&lt;=$AA$3,"Q2", IF(P77&lt;=$AA$4,"Q3","Q4")))</f>
        <v>Q1</v>
      </c>
      <c r="S77" s="2">
        <v>39475</v>
      </c>
      <c r="T77" s="1" t="s">
        <v>96</v>
      </c>
      <c r="U77" s="1">
        <v>176</v>
      </c>
      <c r="V77" s="1" t="s">
        <v>97</v>
      </c>
    </row>
    <row r="78" spans="1:22" hidden="1" x14ac:dyDescent="0.3">
      <c r="A78" t="e" vm="4">
        <v>#VALUE!</v>
      </c>
      <c r="B78" t="s">
        <v>229</v>
      </c>
      <c r="C78" t="s">
        <v>138</v>
      </c>
      <c r="D78" s="1" t="s">
        <v>122</v>
      </c>
      <c r="E78" t="s">
        <v>31</v>
      </c>
      <c r="F78" t="s">
        <v>32</v>
      </c>
      <c r="G78" s="1">
        <v>0.54</v>
      </c>
      <c r="H78" s="1">
        <v>30</v>
      </c>
      <c r="I78" s="1">
        <v>2</v>
      </c>
      <c r="J78" s="1">
        <v>5</v>
      </c>
      <c r="K78" s="1">
        <v>7</v>
      </c>
      <c r="L78" s="1">
        <v>10</v>
      </c>
      <c r="M78" s="3">
        <f>Table1[[#This Row],[G]]/Table1[[#This Row],[GP]]</f>
        <v>6.6666666666666666E-2</v>
      </c>
      <c r="N78" s="3">
        <f>Table1[[#This Row],[A]]/Table1[[#This Row],[GP]]</f>
        <v>0.16666666666666666</v>
      </c>
      <c r="O78" s="3">
        <f>Table1[[#This Row],[PTS]]/Table1[[#This Row],[GP]]</f>
        <v>0.23333333333333334</v>
      </c>
      <c r="P78" s="3">
        <f>Table1[[#This Row],[PPG]]*Table1[[#This Row],[NHLe SCORE]]</f>
        <v>0.126</v>
      </c>
      <c r="Q78" s="3">
        <f>Table1[[#This Row],[PIM]]/Table1[[#This Row],[GP]]</f>
        <v>0.33333333333333331</v>
      </c>
      <c r="R78" s="3" t="str">
        <f>IF(P78&lt;=$AA$2,"Q1", IF(P78&lt;=$AA$3,"Q2", IF(P78&lt;=$AA$4,"Q3","Q4")))</f>
        <v>Q1</v>
      </c>
      <c r="S78" s="2">
        <v>39693</v>
      </c>
      <c r="T78" s="1" t="s">
        <v>105</v>
      </c>
      <c r="U78" s="1">
        <v>209</v>
      </c>
      <c r="V78" s="1" t="s">
        <v>97</v>
      </c>
    </row>
    <row r="79" spans="1:22" hidden="1" x14ac:dyDescent="0.3">
      <c r="A79" t="e" vm="1">
        <v>#VALUE!</v>
      </c>
      <c r="B79" t="s">
        <v>227</v>
      </c>
      <c r="C79" t="s">
        <v>172</v>
      </c>
      <c r="D79" s="1" t="s">
        <v>123</v>
      </c>
      <c r="E79" t="s">
        <v>56</v>
      </c>
      <c r="F79" t="s">
        <v>1</v>
      </c>
      <c r="G79" s="1">
        <v>0.26</v>
      </c>
      <c r="H79" s="1">
        <v>21</v>
      </c>
      <c r="I79" s="1">
        <v>3</v>
      </c>
      <c r="J79" s="1">
        <v>7</v>
      </c>
      <c r="K79" s="1">
        <v>10</v>
      </c>
      <c r="L79" s="1">
        <v>22</v>
      </c>
      <c r="M79" s="3">
        <f>Table1[[#This Row],[G]]/Table1[[#This Row],[GP]]</f>
        <v>0.14285714285714285</v>
      </c>
      <c r="N79" s="3">
        <f>Table1[[#This Row],[A]]/Table1[[#This Row],[GP]]</f>
        <v>0.33333333333333331</v>
      </c>
      <c r="O79" s="3">
        <f>Table1[[#This Row],[PTS]]/Table1[[#This Row],[GP]]</f>
        <v>0.47619047619047616</v>
      </c>
      <c r="P79" s="3">
        <f>Table1[[#This Row],[PPG]]*Table1[[#This Row],[NHLe SCORE]]</f>
        <v>0.12380952380952381</v>
      </c>
      <c r="Q79" s="3">
        <f>Table1[[#This Row],[PIM]]/Table1[[#This Row],[GP]]</f>
        <v>1.0476190476190477</v>
      </c>
      <c r="R79" s="3" t="str">
        <f>IF(P79&lt;=$AA$2,"Q1", IF(P79&lt;=$AA$3,"Q2", IF(P79&lt;=$AA$4,"Q3","Q4")))</f>
        <v>Q1</v>
      </c>
      <c r="S79" s="2">
        <v>39386</v>
      </c>
      <c r="T79" s="1" t="s">
        <v>96</v>
      </c>
      <c r="U79" s="1">
        <v>194</v>
      </c>
      <c r="V79" s="1" t="s">
        <v>97</v>
      </c>
    </row>
    <row r="80" spans="1:22" hidden="1" x14ac:dyDescent="0.3">
      <c r="A80" t="e" vm="3">
        <v>#VALUE!</v>
      </c>
      <c r="B80" t="s">
        <v>225</v>
      </c>
      <c r="C80" t="s">
        <v>185</v>
      </c>
      <c r="D80" s="1" t="s">
        <v>123</v>
      </c>
      <c r="E80" t="s">
        <v>92</v>
      </c>
      <c r="F80" t="s">
        <v>19</v>
      </c>
      <c r="G80" s="1">
        <v>0.28999999999999998</v>
      </c>
      <c r="H80" s="1">
        <v>22</v>
      </c>
      <c r="I80" s="1">
        <v>1</v>
      </c>
      <c r="J80" s="1">
        <v>8</v>
      </c>
      <c r="K80" s="1">
        <v>9</v>
      </c>
      <c r="L80" s="1">
        <v>8</v>
      </c>
      <c r="M80" s="3">
        <f>Table1[[#This Row],[G]]/Table1[[#This Row],[GP]]</f>
        <v>4.5454545454545456E-2</v>
      </c>
      <c r="N80" s="3">
        <f>Table1[[#This Row],[A]]/Table1[[#This Row],[GP]]</f>
        <v>0.36363636363636365</v>
      </c>
      <c r="O80" s="3">
        <f>Table1[[#This Row],[PTS]]/Table1[[#This Row],[GP]]</f>
        <v>0.40909090909090912</v>
      </c>
      <c r="P80" s="3">
        <f>Table1[[#This Row],[PPG]]*Table1[[#This Row],[NHLe SCORE]]</f>
        <v>0.11863636363636364</v>
      </c>
      <c r="Q80" s="3">
        <f>Table1[[#This Row],[PIM]]/Table1[[#This Row],[GP]]</f>
        <v>0.36363636363636365</v>
      </c>
      <c r="R80" s="3" t="str">
        <f>IF(P80&lt;=$AA$2,"Q1", IF(P80&lt;=$AA$3,"Q2", IF(P80&lt;=$AA$4,"Q3","Q4")))</f>
        <v>Q1</v>
      </c>
      <c r="S80" s="2">
        <v>39519</v>
      </c>
      <c r="T80" s="1" t="s">
        <v>104</v>
      </c>
      <c r="U80" s="1">
        <v>170</v>
      </c>
      <c r="V80" s="1" t="s">
        <v>100</v>
      </c>
    </row>
    <row r="81" spans="1:22" hidden="1" x14ac:dyDescent="0.3">
      <c r="A81" t="e" vm="6">
        <v>#VALUE!</v>
      </c>
      <c r="B81" t="s">
        <v>228</v>
      </c>
      <c r="C81" t="s">
        <v>181</v>
      </c>
      <c r="D81" s="1" t="s">
        <v>123</v>
      </c>
      <c r="E81" t="s">
        <v>83</v>
      </c>
      <c r="F81" t="s">
        <v>10</v>
      </c>
      <c r="G81" s="1">
        <v>0.3</v>
      </c>
      <c r="H81" s="1">
        <v>20</v>
      </c>
      <c r="I81" s="1">
        <v>1</v>
      </c>
      <c r="J81" s="1">
        <v>6</v>
      </c>
      <c r="K81" s="1">
        <v>7</v>
      </c>
      <c r="L81" s="1">
        <v>10</v>
      </c>
      <c r="M81" s="3">
        <f>Table1[[#This Row],[G]]/Table1[[#This Row],[GP]]</f>
        <v>0.05</v>
      </c>
      <c r="N81" s="3">
        <f>Table1[[#This Row],[A]]/Table1[[#This Row],[GP]]</f>
        <v>0.3</v>
      </c>
      <c r="O81" s="3">
        <f>Table1[[#This Row],[PTS]]/Table1[[#This Row],[GP]]</f>
        <v>0.35</v>
      </c>
      <c r="P81" s="3">
        <f>Table1[[#This Row],[PPG]]*Table1[[#This Row],[NHLe SCORE]]</f>
        <v>0.105</v>
      </c>
      <c r="Q81" s="3">
        <f>Table1[[#This Row],[PIM]]/Table1[[#This Row],[GP]]</f>
        <v>0.5</v>
      </c>
      <c r="R81" s="3" t="str">
        <f>IF(P81&lt;=$AA$2,"Q1", IF(P81&lt;=$AA$3,"Q2", IF(P81&lt;=$AA$4,"Q3","Q4")))</f>
        <v>Q1</v>
      </c>
      <c r="S81" s="2">
        <v>39510</v>
      </c>
      <c r="T81" s="1" t="s">
        <v>101</v>
      </c>
      <c r="U81" s="1">
        <v>198</v>
      </c>
      <c r="V81" s="1" t="s">
        <v>100</v>
      </c>
    </row>
    <row r="82" spans="1:22" hidden="1" x14ac:dyDescent="0.3">
      <c r="A82" t="e" vm="2">
        <v>#VALUE!</v>
      </c>
      <c r="B82" t="s">
        <v>226</v>
      </c>
      <c r="C82" t="s">
        <v>166</v>
      </c>
      <c r="D82" s="1" t="s">
        <v>123</v>
      </c>
      <c r="E82" t="s">
        <v>5</v>
      </c>
      <c r="F82" t="s">
        <v>6</v>
      </c>
      <c r="G82" s="1">
        <v>0.35</v>
      </c>
      <c r="H82" s="1">
        <v>27</v>
      </c>
      <c r="I82" s="1">
        <v>0</v>
      </c>
      <c r="J82" s="1">
        <v>8</v>
      </c>
      <c r="K82" s="1">
        <v>8</v>
      </c>
      <c r="L82" s="1">
        <v>51</v>
      </c>
      <c r="M82" s="3">
        <f>Table1[[#This Row],[G]]/Table1[[#This Row],[GP]]</f>
        <v>0</v>
      </c>
      <c r="N82" s="3">
        <f>Table1[[#This Row],[A]]/Table1[[#This Row],[GP]]</f>
        <v>0.29629629629629628</v>
      </c>
      <c r="O82" s="3">
        <f>Table1[[#This Row],[PTS]]/Table1[[#This Row],[GP]]</f>
        <v>0.29629629629629628</v>
      </c>
      <c r="P82" s="3">
        <f>Table1[[#This Row],[PPG]]*Table1[[#This Row],[NHLe SCORE]]</f>
        <v>0.10370370370370369</v>
      </c>
      <c r="Q82" s="3">
        <f>Table1[[#This Row],[PIM]]/Table1[[#This Row],[GP]]</f>
        <v>1.8888888888888888</v>
      </c>
      <c r="R82" s="3" t="str">
        <f>IF(P82&lt;=$AA$2,"Q1", IF(P82&lt;=$AA$3,"Q2", IF(P82&lt;=$AA$4,"Q3","Q4")))</f>
        <v>Q1</v>
      </c>
      <c r="S82" s="2">
        <v>39476</v>
      </c>
      <c r="T82" s="1" t="s">
        <v>105</v>
      </c>
      <c r="U82" s="1">
        <v>201</v>
      </c>
      <c r="V82" s="1" t="s">
        <v>100</v>
      </c>
    </row>
    <row r="83" spans="1:22" hidden="1" x14ac:dyDescent="0.3">
      <c r="A83" t="e" vm="3">
        <v>#VALUE!</v>
      </c>
      <c r="B83" t="s">
        <v>225</v>
      </c>
      <c r="C83" t="s">
        <v>205</v>
      </c>
      <c r="D83" s="1" t="s">
        <v>122</v>
      </c>
      <c r="E83" t="s">
        <v>81</v>
      </c>
      <c r="F83" t="s">
        <v>10</v>
      </c>
      <c r="G83" s="1">
        <v>0.3</v>
      </c>
      <c r="H83" s="1">
        <v>32</v>
      </c>
      <c r="I83" s="1">
        <v>7</v>
      </c>
      <c r="J83" s="1">
        <v>3</v>
      </c>
      <c r="K83" s="1">
        <v>10</v>
      </c>
      <c r="L83" s="1">
        <v>29</v>
      </c>
      <c r="M83" s="3">
        <f>Table1[[#This Row],[G]]/Table1[[#This Row],[GP]]</f>
        <v>0.21875</v>
      </c>
      <c r="N83" s="3">
        <f>Table1[[#This Row],[A]]/Table1[[#This Row],[GP]]</f>
        <v>9.375E-2</v>
      </c>
      <c r="O83" s="3">
        <f>Table1[[#This Row],[PTS]]/Table1[[#This Row],[GP]]</f>
        <v>0.3125</v>
      </c>
      <c r="P83" s="3">
        <f>Table1[[#This Row],[PPG]]*Table1[[#This Row],[NHLe SCORE]]</f>
        <v>9.375E-2</v>
      </c>
      <c r="Q83" s="3">
        <f>Table1[[#This Row],[PIM]]/Table1[[#This Row],[GP]]</f>
        <v>0.90625</v>
      </c>
      <c r="R83" s="3" t="str">
        <f>IF(P83&lt;=$AA$2,"Q1", IF(P83&lt;=$AA$3,"Q2", IF(P83&lt;=$AA$4,"Q3","Q4")))</f>
        <v>Q1</v>
      </c>
      <c r="S83" s="2">
        <v>39463</v>
      </c>
      <c r="T83" s="1" t="s">
        <v>103</v>
      </c>
      <c r="U83" s="1">
        <v>172</v>
      </c>
      <c r="V83" s="1" t="s">
        <v>100</v>
      </c>
    </row>
    <row r="84" spans="1:22" hidden="1" x14ac:dyDescent="0.3">
      <c r="A84" t="e" vm="3">
        <v>#VALUE!</v>
      </c>
      <c r="B84" t="s">
        <v>225</v>
      </c>
      <c r="C84" t="s">
        <v>173</v>
      </c>
      <c r="D84" s="1" t="s">
        <v>123</v>
      </c>
      <c r="E84" t="s">
        <v>58</v>
      </c>
      <c r="F84" t="s">
        <v>38</v>
      </c>
      <c r="G84" s="1">
        <v>0.28000000000000003</v>
      </c>
      <c r="H84" s="1">
        <v>17</v>
      </c>
      <c r="I84" s="1">
        <v>2</v>
      </c>
      <c r="J84" s="1">
        <v>3</v>
      </c>
      <c r="K84" s="1">
        <v>5</v>
      </c>
      <c r="L84" s="1">
        <v>6</v>
      </c>
      <c r="M84" s="3">
        <f>Table1[[#This Row],[G]]/Table1[[#This Row],[GP]]</f>
        <v>0.11764705882352941</v>
      </c>
      <c r="N84" s="3">
        <f>Table1[[#This Row],[A]]/Table1[[#This Row],[GP]]</f>
        <v>0.17647058823529413</v>
      </c>
      <c r="O84" s="3">
        <f>Table1[[#This Row],[PTS]]/Table1[[#This Row],[GP]]</f>
        <v>0.29411764705882354</v>
      </c>
      <c r="P84" s="3">
        <f>Table1[[#This Row],[PPG]]*Table1[[#This Row],[NHLe SCORE]]</f>
        <v>8.2352941176470601E-2</v>
      </c>
      <c r="Q84" s="3">
        <f>Table1[[#This Row],[PIM]]/Table1[[#This Row],[GP]]</f>
        <v>0.35294117647058826</v>
      </c>
      <c r="R84" s="3" t="str">
        <f>IF(P84&lt;=$AA$2,"Q1", IF(P84&lt;=$AA$3,"Q2", IF(P84&lt;=$AA$4,"Q3","Q4")))</f>
        <v>Q1</v>
      </c>
      <c r="S84" s="2">
        <v>39509</v>
      </c>
      <c r="T84" s="1" t="s">
        <v>96</v>
      </c>
      <c r="U84" s="1">
        <v>201</v>
      </c>
      <c r="V84" s="1" t="s">
        <v>100</v>
      </c>
    </row>
    <row r="85" spans="1:22" hidden="1" x14ac:dyDescent="0.3">
      <c r="A85" t="e" vm="1">
        <v>#VALUE!</v>
      </c>
      <c r="B85" t="s">
        <v>227</v>
      </c>
      <c r="C85" t="s">
        <v>180</v>
      </c>
      <c r="D85" s="1" t="s">
        <v>123</v>
      </c>
      <c r="E85" t="s">
        <v>74</v>
      </c>
      <c r="F85" t="s">
        <v>8</v>
      </c>
      <c r="G85" s="1">
        <v>0.78</v>
      </c>
      <c r="H85" s="1">
        <v>22</v>
      </c>
      <c r="I85" s="1">
        <v>0</v>
      </c>
      <c r="J85" s="1">
        <v>2</v>
      </c>
      <c r="K85" s="1">
        <v>2</v>
      </c>
      <c r="L85" s="1">
        <v>8</v>
      </c>
      <c r="M85" s="3">
        <f>Table1[[#This Row],[G]]/Table1[[#This Row],[GP]]</f>
        <v>0</v>
      </c>
      <c r="N85" s="3">
        <f>Table1[[#This Row],[A]]/Table1[[#This Row],[GP]]</f>
        <v>9.0909090909090912E-2</v>
      </c>
      <c r="O85" s="3">
        <f>Table1[[#This Row],[PTS]]/Table1[[#This Row],[GP]]</f>
        <v>9.0909090909090912E-2</v>
      </c>
      <c r="P85" s="3">
        <f>Table1[[#This Row],[PPG]]*Table1[[#This Row],[NHLe SCORE]]</f>
        <v>7.0909090909090908E-2</v>
      </c>
      <c r="Q85" s="3">
        <f>Table1[[#This Row],[PIM]]/Table1[[#This Row],[GP]]</f>
        <v>0.36363636363636365</v>
      </c>
      <c r="R85" s="3" t="str">
        <f>IF(P85&lt;=$AA$2,"Q1", IF(P85&lt;=$AA$3,"Q2", IF(P85&lt;=$AA$4,"Q3","Q4")))</f>
        <v>Q1</v>
      </c>
      <c r="S85" s="2">
        <v>39362</v>
      </c>
      <c r="T85" s="1" t="s">
        <v>103</v>
      </c>
      <c r="U85" s="1">
        <v>207</v>
      </c>
      <c r="V85" s="1" t="s">
        <v>97</v>
      </c>
    </row>
    <row r="86" spans="1:22" hidden="1" x14ac:dyDescent="0.3">
      <c r="A86" t="e" vm="9">
        <v>#VALUE!</v>
      </c>
      <c r="B86" t="s">
        <v>107</v>
      </c>
      <c r="C86" t="s">
        <v>158</v>
      </c>
      <c r="D86" s="1" t="s">
        <v>122</v>
      </c>
      <c r="E86" t="s">
        <v>86</v>
      </c>
      <c r="F86" t="s">
        <v>38</v>
      </c>
      <c r="G86" s="1">
        <v>0.28000000000000003</v>
      </c>
      <c r="H86" s="1">
        <v>26</v>
      </c>
      <c r="I86" s="1">
        <v>2</v>
      </c>
      <c r="J86" s="1">
        <v>4</v>
      </c>
      <c r="K86" s="1">
        <v>6</v>
      </c>
      <c r="L86" s="1">
        <v>8</v>
      </c>
      <c r="M86" s="3">
        <f>Table1[[#This Row],[G]]/Table1[[#This Row],[GP]]</f>
        <v>7.6923076923076927E-2</v>
      </c>
      <c r="N86" s="3">
        <f>Table1[[#This Row],[A]]/Table1[[#This Row],[GP]]</f>
        <v>0.15384615384615385</v>
      </c>
      <c r="O86" s="3">
        <f>Table1[[#This Row],[PTS]]/Table1[[#This Row],[GP]]</f>
        <v>0.23076923076923078</v>
      </c>
      <c r="P86" s="3">
        <f>Table1[[#This Row],[PPG]]*Table1[[#This Row],[NHLe SCORE]]</f>
        <v>6.461538461538463E-2</v>
      </c>
      <c r="Q86" s="3">
        <f>Table1[[#This Row],[PIM]]/Table1[[#This Row],[GP]]</f>
        <v>0.30769230769230771</v>
      </c>
      <c r="R86" s="3" t="str">
        <f>IF(P86&lt;=$AA$2,"Q1", IF(P86&lt;=$AA$3,"Q2", IF(P86&lt;=$AA$4,"Q3","Q4")))</f>
        <v>Q1</v>
      </c>
      <c r="S86" s="2">
        <v>39636</v>
      </c>
      <c r="T86" s="1" t="s">
        <v>104</v>
      </c>
      <c r="U86" s="1">
        <v>190</v>
      </c>
      <c r="V86" s="1" t="s">
        <v>97</v>
      </c>
    </row>
    <row r="87" spans="1:22" hidden="1" x14ac:dyDescent="0.3">
      <c r="A87" t="e" vm="4">
        <v>#VALUE!</v>
      </c>
      <c r="B87" t="s">
        <v>229</v>
      </c>
      <c r="C87" t="s">
        <v>163</v>
      </c>
      <c r="D87" s="1" t="s">
        <v>123</v>
      </c>
      <c r="E87" t="s">
        <v>31</v>
      </c>
      <c r="F87" t="s">
        <v>32</v>
      </c>
      <c r="G87" s="1">
        <v>0.54</v>
      </c>
      <c r="H87" s="1">
        <v>26</v>
      </c>
      <c r="I87" s="1">
        <v>0</v>
      </c>
      <c r="J87" s="1">
        <v>3</v>
      </c>
      <c r="K87" s="1">
        <v>3</v>
      </c>
      <c r="L87" s="1">
        <v>8</v>
      </c>
      <c r="M87" s="3">
        <f>Table1[[#This Row],[G]]/Table1[[#This Row],[GP]]</f>
        <v>0</v>
      </c>
      <c r="N87" s="3">
        <f>Table1[[#This Row],[A]]/Table1[[#This Row],[GP]]</f>
        <v>0.11538461538461539</v>
      </c>
      <c r="O87" s="3">
        <f>Table1[[#This Row],[PTS]]/Table1[[#This Row],[GP]]</f>
        <v>0.11538461538461539</v>
      </c>
      <c r="P87" s="3">
        <f>Table1[[#This Row],[PPG]]*Table1[[#This Row],[NHLe SCORE]]</f>
        <v>6.2307692307692314E-2</v>
      </c>
      <c r="Q87" s="3">
        <f>Table1[[#This Row],[PIM]]/Table1[[#This Row],[GP]]</f>
        <v>0.30769230769230771</v>
      </c>
      <c r="R87" s="3" t="str">
        <f>IF(P87&lt;=$AA$2,"Q1", IF(P87&lt;=$AA$3,"Q2", IF(P87&lt;=$AA$4,"Q3","Q4")))</f>
        <v>Q1</v>
      </c>
      <c r="S87" s="2">
        <v>39669</v>
      </c>
      <c r="T87" s="1" t="s">
        <v>105</v>
      </c>
      <c r="U87" s="1">
        <v>203</v>
      </c>
      <c r="V87" s="1" t="s">
        <v>100</v>
      </c>
    </row>
    <row r="88" spans="1:22" hidden="1" x14ac:dyDescent="0.3">
      <c r="A88" t="e" vm="3">
        <v>#VALUE!</v>
      </c>
      <c r="B88" t="s">
        <v>225</v>
      </c>
      <c r="C88" t="s">
        <v>198</v>
      </c>
      <c r="D88" s="1" t="s">
        <v>122</v>
      </c>
      <c r="E88" t="s">
        <v>35</v>
      </c>
      <c r="F88" t="s">
        <v>4</v>
      </c>
      <c r="G88" s="1">
        <v>0.3</v>
      </c>
      <c r="H88" s="1">
        <v>31</v>
      </c>
      <c r="I88" s="1">
        <v>1</v>
      </c>
      <c r="J88" s="1">
        <v>5</v>
      </c>
      <c r="K88" s="1">
        <v>6</v>
      </c>
      <c r="L88" s="1">
        <v>29</v>
      </c>
      <c r="M88" s="3">
        <f>Table1[[#This Row],[G]]/Table1[[#This Row],[GP]]</f>
        <v>3.2258064516129031E-2</v>
      </c>
      <c r="N88" s="3">
        <f>Table1[[#This Row],[A]]/Table1[[#This Row],[GP]]</f>
        <v>0.16129032258064516</v>
      </c>
      <c r="O88" s="3">
        <f>Table1[[#This Row],[PTS]]/Table1[[#This Row],[GP]]</f>
        <v>0.19354838709677419</v>
      </c>
      <c r="P88" s="3">
        <f>Table1[[#This Row],[PPG]]*Table1[[#This Row],[NHLe SCORE]]</f>
        <v>5.8064516129032254E-2</v>
      </c>
      <c r="Q88" s="3">
        <f>Table1[[#This Row],[PIM]]/Table1[[#This Row],[GP]]</f>
        <v>0.93548387096774188</v>
      </c>
      <c r="R88" s="3" t="str">
        <f>IF(P88&lt;=$AA$2,"Q1", IF(P88&lt;=$AA$3,"Q2", IF(P88&lt;=$AA$4,"Q3","Q4")))</f>
        <v>Q1</v>
      </c>
      <c r="S88" s="2">
        <v>39370</v>
      </c>
      <c r="T88" s="1" t="s">
        <v>99</v>
      </c>
      <c r="U88" s="1">
        <v>174</v>
      </c>
      <c r="V88" s="1" t="s">
        <v>97</v>
      </c>
    </row>
    <row r="89" spans="1:22" hidden="1" x14ac:dyDescent="0.3">
      <c r="A89" t="e" vm="5">
        <v>#VALUE!</v>
      </c>
      <c r="B89" t="s">
        <v>230</v>
      </c>
      <c r="C89" t="s">
        <v>219</v>
      </c>
      <c r="D89" s="1" t="s">
        <v>122</v>
      </c>
      <c r="E89" t="s">
        <v>78</v>
      </c>
      <c r="F89" t="s">
        <v>53</v>
      </c>
      <c r="G89" s="1">
        <v>0.27</v>
      </c>
      <c r="H89" s="1">
        <v>34</v>
      </c>
      <c r="I89" s="1">
        <v>3</v>
      </c>
      <c r="J89" s="1">
        <v>4</v>
      </c>
      <c r="K89" s="1">
        <v>7</v>
      </c>
      <c r="L89" s="1">
        <v>6</v>
      </c>
      <c r="M89" s="3">
        <f>Table1[[#This Row],[G]]/Table1[[#This Row],[GP]]</f>
        <v>8.8235294117647065E-2</v>
      </c>
      <c r="N89" s="3">
        <f>Table1[[#This Row],[A]]/Table1[[#This Row],[GP]]</f>
        <v>0.11764705882352941</v>
      </c>
      <c r="O89" s="3">
        <f>Table1[[#This Row],[PTS]]/Table1[[#This Row],[GP]]</f>
        <v>0.20588235294117646</v>
      </c>
      <c r="P89" s="3">
        <f>Table1[[#This Row],[PPG]]*Table1[[#This Row],[NHLe SCORE]]</f>
        <v>5.5588235294117647E-2</v>
      </c>
      <c r="Q89" s="3">
        <f>Table1[[#This Row],[PIM]]/Table1[[#This Row],[GP]]</f>
        <v>0.17647058823529413</v>
      </c>
      <c r="R89" s="3" t="str">
        <f>IF(P89&lt;=$AA$2,"Q1", IF(P89&lt;=$AA$3,"Q2", IF(P89&lt;=$AA$4,"Q3","Q4")))</f>
        <v>Q1</v>
      </c>
      <c r="S89" s="2">
        <v>39439</v>
      </c>
      <c r="T89" s="1" t="s">
        <v>101</v>
      </c>
      <c r="U89" s="1">
        <v>170</v>
      </c>
      <c r="V89" s="1" t="s">
        <v>97</v>
      </c>
    </row>
    <row r="90" spans="1:22" hidden="1" x14ac:dyDescent="0.3">
      <c r="A90" t="e" vm="12">
        <v>#VALUE!</v>
      </c>
      <c r="B90" t="s">
        <v>231</v>
      </c>
      <c r="C90" t="s">
        <v>155</v>
      </c>
      <c r="D90" s="1" t="s">
        <v>122</v>
      </c>
      <c r="E90" t="s">
        <v>45</v>
      </c>
      <c r="F90" t="s">
        <v>38</v>
      </c>
      <c r="G90" s="1">
        <v>0.28000000000000003</v>
      </c>
      <c r="H90" s="1">
        <v>13</v>
      </c>
      <c r="I90" s="1">
        <v>0</v>
      </c>
      <c r="J90" s="1">
        <v>2</v>
      </c>
      <c r="K90" s="1">
        <v>2</v>
      </c>
      <c r="L90" s="1">
        <v>4</v>
      </c>
      <c r="M90" s="3">
        <f>Table1[[#This Row],[G]]/Table1[[#This Row],[GP]]</f>
        <v>0</v>
      </c>
      <c r="N90" s="3">
        <f>Table1[[#This Row],[A]]/Table1[[#This Row],[GP]]</f>
        <v>0.15384615384615385</v>
      </c>
      <c r="O90" s="3">
        <f>Table1[[#This Row],[PTS]]/Table1[[#This Row],[GP]]</f>
        <v>0.15384615384615385</v>
      </c>
      <c r="P90" s="3">
        <f>Table1[[#This Row],[PPG]]*Table1[[#This Row],[NHLe SCORE]]</f>
        <v>4.3076923076923082E-2</v>
      </c>
      <c r="Q90" s="3">
        <f>Table1[[#This Row],[PIM]]/Table1[[#This Row],[GP]]</f>
        <v>0.30769230769230771</v>
      </c>
      <c r="R90" s="3" t="str">
        <f>IF(P90&lt;=$AA$2,"Q1", IF(P90&lt;=$AA$3,"Q2", IF(P90&lt;=$AA$4,"Q3","Q4")))</f>
        <v>Q1</v>
      </c>
      <c r="S90" s="2">
        <v>39597</v>
      </c>
      <c r="T90" s="1" t="s">
        <v>102</v>
      </c>
      <c r="U90" s="1">
        <v>172</v>
      </c>
      <c r="V90" s="1" t="s">
        <v>97</v>
      </c>
    </row>
    <row r="91" spans="1:22" hidden="1" x14ac:dyDescent="0.3">
      <c r="A91" t="e" vm="1">
        <v>#VALUE!</v>
      </c>
      <c r="B91" t="s">
        <v>227</v>
      </c>
      <c r="C91" t="s">
        <v>183</v>
      </c>
      <c r="D91" s="1" t="s">
        <v>123</v>
      </c>
      <c r="E91" t="s">
        <v>87</v>
      </c>
      <c r="F91" t="s">
        <v>1</v>
      </c>
      <c r="G91" s="1">
        <v>0.26</v>
      </c>
      <c r="H91" s="1">
        <v>13</v>
      </c>
      <c r="I91" s="1">
        <v>0</v>
      </c>
      <c r="J91" s="1">
        <v>1</v>
      </c>
      <c r="K91" s="1">
        <v>1</v>
      </c>
      <c r="L91" s="1">
        <v>37</v>
      </c>
      <c r="M91" s="3">
        <f>Table1[[#This Row],[G]]/Table1[[#This Row],[GP]]</f>
        <v>0</v>
      </c>
      <c r="N91" s="3">
        <f>Table1[[#This Row],[A]]/Table1[[#This Row],[GP]]</f>
        <v>7.6923076923076927E-2</v>
      </c>
      <c r="O91" s="3">
        <f>Table1[[#This Row],[PTS]]/Table1[[#This Row],[GP]]</f>
        <v>7.6923076923076927E-2</v>
      </c>
      <c r="P91" s="3">
        <f>Table1[[#This Row],[PPG]]*Table1[[#This Row],[NHLe SCORE]]</f>
        <v>0.02</v>
      </c>
      <c r="Q91" s="3">
        <f>Table1[[#This Row],[PIM]]/Table1[[#This Row],[GP]]</f>
        <v>2.8461538461538463</v>
      </c>
      <c r="R91" s="3" t="str">
        <f>IF(P91&lt;=$AA$2,"Q1", IF(P91&lt;=$AA$3,"Q2", IF(P91&lt;=$AA$4,"Q3","Q4")))</f>
        <v>Q1</v>
      </c>
      <c r="S91" s="2">
        <v>39553</v>
      </c>
      <c r="T91" s="1" t="s">
        <v>103</v>
      </c>
      <c r="U91" s="1">
        <v>203</v>
      </c>
      <c r="V91" s="1" t="s">
        <v>97</v>
      </c>
    </row>
    <row r="92" spans="1:22" x14ac:dyDescent="0.3">
      <c r="A92" t="e" vm="3">
        <v>#VALUE!</v>
      </c>
      <c r="B92" t="s">
        <v>225</v>
      </c>
      <c r="C92" t="s">
        <v>194</v>
      </c>
      <c r="D92" s="1" t="s">
        <v>122</v>
      </c>
      <c r="E92" t="s">
        <v>36</v>
      </c>
      <c r="F92" t="s">
        <v>10</v>
      </c>
      <c r="G92" s="1">
        <v>0.3</v>
      </c>
      <c r="H92" s="1">
        <v>32</v>
      </c>
      <c r="I92" s="1">
        <v>6</v>
      </c>
      <c r="J92" s="1">
        <v>27</v>
      </c>
      <c r="K92" s="1">
        <v>33</v>
      </c>
      <c r="L92" s="1">
        <v>18</v>
      </c>
      <c r="M92" s="3">
        <f>Table1[[#This Row],[G]]/Table1[[#This Row],[GP]]</f>
        <v>0.1875</v>
      </c>
      <c r="N92" s="3">
        <f>Table1[[#This Row],[A]]/Table1[[#This Row],[GP]]</f>
        <v>0.84375</v>
      </c>
      <c r="O92" s="3">
        <f>Table1[[#This Row],[PTS]]/Table1[[#This Row],[GP]]</f>
        <v>1.03125</v>
      </c>
      <c r="P92" s="3">
        <f>Table1[[#This Row],[PPG]]*Table1[[#This Row],[NHLe SCORE]]</f>
        <v>0.30937500000000001</v>
      </c>
      <c r="Q92" s="3">
        <f>Table1[[#This Row],[PIM]]/Table1[[#This Row],[GP]]</f>
        <v>0.5625</v>
      </c>
      <c r="R92" s="3" t="str">
        <f>IF(P92&lt;=$AA$2,"Q1", IF(P92&lt;=$AA$3,"Q2", IF(P92&lt;=$AA$4,"Q3","Q4")))</f>
        <v>Q4</v>
      </c>
      <c r="S92" s="2">
        <v>39477</v>
      </c>
      <c r="T92" s="1" t="s">
        <v>99</v>
      </c>
      <c r="U92" s="1">
        <v>165</v>
      </c>
      <c r="V92" s="1" t="s">
        <v>100</v>
      </c>
    </row>
    <row r="93" spans="1:22" x14ac:dyDescent="0.3">
      <c r="A93" t="e" vm="3">
        <v>#VALUE!</v>
      </c>
      <c r="B93" t="s">
        <v>225</v>
      </c>
      <c r="C93" t="s">
        <v>150</v>
      </c>
      <c r="D93" s="1" t="s">
        <v>122</v>
      </c>
      <c r="E93" t="s">
        <v>88</v>
      </c>
      <c r="F93" t="s">
        <v>10</v>
      </c>
      <c r="G93" s="1">
        <v>0.3</v>
      </c>
      <c r="H93" s="1">
        <v>32</v>
      </c>
      <c r="I93" s="1">
        <v>10</v>
      </c>
      <c r="J93" s="1">
        <v>23</v>
      </c>
      <c r="K93" s="1">
        <v>33</v>
      </c>
      <c r="L93" s="1">
        <v>8</v>
      </c>
      <c r="M93" s="3">
        <f>Table1[[#This Row],[G]]/Table1[[#This Row],[GP]]</f>
        <v>0.3125</v>
      </c>
      <c r="N93" s="3">
        <f>Table1[[#This Row],[A]]/Table1[[#This Row],[GP]]</f>
        <v>0.71875</v>
      </c>
      <c r="O93" s="3">
        <f>Table1[[#This Row],[PTS]]/Table1[[#This Row],[GP]]</f>
        <v>1.03125</v>
      </c>
      <c r="P93" s="3">
        <f>Table1[[#This Row],[PPG]]*Table1[[#This Row],[NHLe SCORE]]</f>
        <v>0.30937500000000001</v>
      </c>
      <c r="Q93" s="3">
        <f>Table1[[#This Row],[PIM]]/Table1[[#This Row],[GP]]</f>
        <v>0.25</v>
      </c>
      <c r="R93" s="3" t="str">
        <f>IF(P93&lt;=$AA$2,"Q1", IF(P93&lt;=$AA$3,"Q2", IF(P93&lt;=$AA$4,"Q3","Q4")))</f>
        <v>Q4</v>
      </c>
      <c r="S93" s="2">
        <v>39677</v>
      </c>
      <c r="T93" s="1" t="s">
        <v>102</v>
      </c>
      <c r="U93" s="1">
        <v>170</v>
      </c>
      <c r="V93" s="1" t="s">
        <v>97</v>
      </c>
    </row>
    <row r="94" spans="1:22" hidden="1" x14ac:dyDescent="0.3">
      <c r="A94" t="e" vm="3">
        <v>#VALUE!</v>
      </c>
      <c r="B94" t="s">
        <v>225</v>
      </c>
      <c r="C94" t="s">
        <v>168</v>
      </c>
      <c r="D94" s="1" t="s">
        <v>123</v>
      </c>
      <c r="E94" t="s">
        <v>42</v>
      </c>
      <c r="F94" t="s">
        <v>27</v>
      </c>
      <c r="G94" s="1">
        <v>0.41</v>
      </c>
      <c r="H94" s="1">
        <v>16</v>
      </c>
      <c r="I94" s="1">
        <v>4</v>
      </c>
      <c r="J94" s="1">
        <v>7</v>
      </c>
      <c r="K94" s="1">
        <v>11</v>
      </c>
      <c r="L94" s="1">
        <v>21</v>
      </c>
      <c r="M94" s="3">
        <f>Table1[[#This Row],[G]]/Table1[[#This Row],[GP]]</f>
        <v>0.25</v>
      </c>
      <c r="N94" s="3">
        <f>Table1[[#This Row],[A]]/Table1[[#This Row],[GP]]</f>
        <v>0.4375</v>
      </c>
      <c r="O94" s="3">
        <f>Table1[[#This Row],[PTS]]/Table1[[#This Row],[GP]]</f>
        <v>0.6875</v>
      </c>
      <c r="P94" s="3">
        <f>Table1[[#This Row],[PPG]]*Table1[[#This Row],[NHLe SCORE]]</f>
        <v>0.28187499999999999</v>
      </c>
      <c r="Q94" s="3">
        <f>Table1[[#This Row],[PIM]]/Table1[[#This Row],[GP]]</f>
        <v>1.3125</v>
      </c>
      <c r="R94" s="3" t="str">
        <f t="shared" ref="R66:R101" si="0">IF(P94&lt;=$AA$2,"Q1", IF(P94&lt;=$AA$3,"Q2", IF(P94&lt;=$AA$4,"Q3","Q4")))</f>
        <v>Q3</v>
      </c>
      <c r="S94" s="2">
        <v>39617</v>
      </c>
      <c r="T94" s="1" t="s">
        <v>103</v>
      </c>
      <c r="U94" s="1">
        <v>212</v>
      </c>
      <c r="V94" s="1" t="s">
        <v>100</v>
      </c>
    </row>
    <row r="95" spans="1:22" hidden="1" x14ac:dyDescent="0.3">
      <c r="A95" t="e" vm="1">
        <v>#VALUE!</v>
      </c>
      <c r="B95" t="s">
        <v>227</v>
      </c>
      <c r="C95" t="s">
        <v>218</v>
      </c>
      <c r="D95" s="1" t="s">
        <v>122</v>
      </c>
      <c r="E95" t="s">
        <v>16</v>
      </c>
      <c r="F95" t="s">
        <v>17</v>
      </c>
      <c r="G95" s="1">
        <v>0.45</v>
      </c>
      <c r="H95" s="1">
        <v>18</v>
      </c>
      <c r="I95" s="1">
        <v>7</v>
      </c>
      <c r="J95" s="1">
        <v>3</v>
      </c>
      <c r="K95" s="1">
        <v>10</v>
      </c>
      <c r="L95" s="1">
        <v>14</v>
      </c>
      <c r="M95" s="3">
        <f>Table1[[#This Row],[G]]/Table1[[#This Row],[GP]]</f>
        <v>0.3888888888888889</v>
      </c>
      <c r="N95" s="3">
        <f>Table1[[#This Row],[A]]/Table1[[#This Row],[GP]]</f>
        <v>0.16666666666666666</v>
      </c>
      <c r="O95" s="3">
        <f>Table1[[#This Row],[PTS]]/Table1[[#This Row],[GP]]</f>
        <v>0.55555555555555558</v>
      </c>
      <c r="P95" s="3">
        <f>Table1[[#This Row],[PPG]]*Table1[[#This Row],[NHLe SCORE]]</f>
        <v>0.25</v>
      </c>
      <c r="Q95" s="3">
        <f>Table1[[#This Row],[PIM]]/Table1[[#This Row],[GP]]</f>
        <v>0.77777777777777779</v>
      </c>
      <c r="R95" s="3" t="str">
        <f t="shared" si="0"/>
        <v>Q3</v>
      </c>
      <c r="S95" s="2">
        <v>39482</v>
      </c>
      <c r="T95" s="1" t="s">
        <v>96</v>
      </c>
      <c r="U95" s="1">
        <v>181</v>
      </c>
      <c r="V95" s="1" t="s">
        <v>100</v>
      </c>
    </row>
    <row r="96" spans="1:22" hidden="1" x14ac:dyDescent="0.3">
      <c r="A96" t="e" vm="2">
        <v>#VALUE!</v>
      </c>
      <c r="B96" t="s">
        <v>226</v>
      </c>
      <c r="C96" t="s">
        <v>208</v>
      </c>
      <c r="D96" s="1" t="s">
        <v>114</v>
      </c>
      <c r="E96" t="s">
        <v>51</v>
      </c>
      <c r="F96" t="s">
        <v>10</v>
      </c>
      <c r="G96" s="1">
        <v>0.3</v>
      </c>
      <c r="H96" s="1">
        <v>16</v>
      </c>
      <c r="I96" s="1" t="s">
        <v>2</v>
      </c>
      <c r="J96" s="1" t="s">
        <v>2</v>
      </c>
      <c r="K96" s="1" t="s">
        <v>2</v>
      </c>
      <c r="L96" s="1" t="s">
        <v>2</v>
      </c>
      <c r="M96" s="3">
        <v>0</v>
      </c>
      <c r="N96" s="3">
        <v>0</v>
      </c>
      <c r="O96" s="3">
        <v>0</v>
      </c>
      <c r="P96" s="3">
        <f>Table1[[#This Row],[PPG]]*Table1[[#This Row],[NHLe SCORE]]</f>
        <v>0</v>
      </c>
      <c r="Q96" s="3">
        <v>0</v>
      </c>
      <c r="R96" s="3" t="str">
        <f t="shared" si="0"/>
        <v>Q1</v>
      </c>
      <c r="S96" s="2">
        <v>39426</v>
      </c>
      <c r="T96" s="1" t="s">
        <v>105</v>
      </c>
      <c r="U96" s="1">
        <v>194</v>
      </c>
      <c r="V96" s="1" t="s">
        <v>2</v>
      </c>
    </row>
    <row r="97" spans="1:22" hidden="1" x14ac:dyDescent="0.3">
      <c r="A97" t="e" vm="5">
        <v>#VALUE!</v>
      </c>
      <c r="B97" t="s">
        <v>230</v>
      </c>
      <c r="C97" t="s">
        <v>209</v>
      </c>
      <c r="D97" s="1" t="s">
        <v>114</v>
      </c>
      <c r="E97" t="s">
        <v>52</v>
      </c>
      <c r="F97" t="s">
        <v>53</v>
      </c>
      <c r="G97" s="1">
        <v>0.27</v>
      </c>
      <c r="H97" s="1">
        <v>11</v>
      </c>
      <c r="I97" s="1" t="s">
        <v>2</v>
      </c>
      <c r="J97" s="1" t="s">
        <v>2</v>
      </c>
      <c r="K97" s="1" t="s">
        <v>2</v>
      </c>
      <c r="L97" s="1" t="s">
        <v>2</v>
      </c>
      <c r="M97" s="3">
        <v>0</v>
      </c>
      <c r="N97" s="3">
        <v>0</v>
      </c>
      <c r="O97" s="3">
        <v>0</v>
      </c>
      <c r="P97" s="3">
        <f>Table1[[#This Row],[PPG]]*Table1[[#This Row],[NHLe SCORE]]</f>
        <v>0</v>
      </c>
      <c r="Q97" s="3">
        <v>0</v>
      </c>
      <c r="R97" s="3" t="str">
        <f t="shared" si="0"/>
        <v>Q1</v>
      </c>
      <c r="S97" s="2">
        <v>39617</v>
      </c>
      <c r="T97" s="1" t="s">
        <v>105</v>
      </c>
      <c r="U97" s="1">
        <v>198</v>
      </c>
      <c r="V97" s="1" t="s">
        <v>2</v>
      </c>
    </row>
    <row r="98" spans="1:22" hidden="1" x14ac:dyDescent="0.3">
      <c r="A98" t="e" vm="3">
        <v>#VALUE!</v>
      </c>
      <c r="B98" t="s">
        <v>225</v>
      </c>
      <c r="C98" t="s">
        <v>210</v>
      </c>
      <c r="D98" s="1" t="s">
        <v>114</v>
      </c>
      <c r="E98" t="s">
        <v>82</v>
      </c>
      <c r="F98" t="s">
        <v>4</v>
      </c>
      <c r="G98" s="1">
        <v>0.3</v>
      </c>
      <c r="H98" s="1">
        <v>25</v>
      </c>
      <c r="I98" s="1" t="s">
        <v>2</v>
      </c>
      <c r="J98" s="1" t="s">
        <v>2</v>
      </c>
      <c r="K98" s="1" t="s">
        <v>2</v>
      </c>
      <c r="L98" s="1" t="s">
        <v>2</v>
      </c>
      <c r="M98" s="3">
        <v>0</v>
      </c>
      <c r="N98" s="3">
        <v>0</v>
      </c>
      <c r="O98" s="3">
        <v>0</v>
      </c>
      <c r="P98" s="3">
        <f>Table1[[#This Row],[PPG]]*Table1[[#This Row],[NHLe SCORE]]</f>
        <v>0</v>
      </c>
      <c r="Q98" s="3">
        <v>0</v>
      </c>
      <c r="R98" s="3" t="str">
        <f t="shared" si="0"/>
        <v>Q1</v>
      </c>
      <c r="S98" s="2">
        <v>39361</v>
      </c>
      <c r="T98" s="1" t="s">
        <v>101</v>
      </c>
      <c r="U98" s="1">
        <v>170</v>
      </c>
      <c r="V98" s="1" t="s">
        <v>2</v>
      </c>
    </row>
    <row r="99" spans="1:22" hidden="1" x14ac:dyDescent="0.3">
      <c r="A99" t="e" vm="5">
        <v>#VALUE!</v>
      </c>
      <c r="B99" t="s">
        <v>230</v>
      </c>
      <c r="C99" t="s">
        <v>211</v>
      </c>
      <c r="D99" s="1" t="s">
        <v>114</v>
      </c>
      <c r="E99" t="s">
        <v>84</v>
      </c>
      <c r="F99" t="s">
        <v>53</v>
      </c>
      <c r="G99" s="1">
        <v>0.27</v>
      </c>
      <c r="H99" s="1">
        <v>21</v>
      </c>
      <c r="I99" s="1" t="s">
        <v>2</v>
      </c>
      <c r="J99" s="1" t="s">
        <v>2</v>
      </c>
      <c r="K99" s="1" t="s">
        <v>2</v>
      </c>
      <c r="L99" s="1" t="s">
        <v>2</v>
      </c>
      <c r="M99" s="3">
        <v>0</v>
      </c>
      <c r="N99" s="3">
        <v>0</v>
      </c>
      <c r="O99" s="3">
        <v>0</v>
      </c>
      <c r="P99" s="3">
        <f>Table1[[#This Row],[PPG]]*Table1[[#This Row],[NHLe SCORE]]</f>
        <v>0</v>
      </c>
      <c r="Q99" s="3">
        <v>0</v>
      </c>
      <c r="R99" s="3" t="str">
        <f t="shared" si="0"/>
        <v>Q1</v>
      </c>
      <c r="S99" s="2">
        <v>39391</v>
      </c>
      <c r="T99" s="1" t="s">
        <v>96</v>
      </c>
      <c r="U99" s="1">
        <v>181</v>
      </c>
      <c r="V99" s="1" t="s">
        <v>2</v>
      </c>
    </row>
    <row r="100" spans="1:22" hidden="1" x14ac:dyDescent="0.3">
      <c r="A100" t="e" vm="2">
        <v>#VALUE!</v>
      </c>
      <c r="B100" t="s">
        <v>226</v>
      </c>
      <c r="C100" t="s">
        <v>212</v>
      </c>
      <c r="D100" s="1" t="s">
        <v>114</v>
      </c>
      <c r="E100" t="s">
        <v>5</v>
      </c>
      <c r="F100" t="s">
        <v>6</v>
      </c>
      <c r="G100" s="1">
        <v>0.35</v>
      </c>
      <c r="H100" s="1">
        <v>15</v>
      </c>
      <c r="I100" s="1" t="s">
        <v>2</v>
      </c>
      <c r="J100" s="1" t="s">
        <v>2</v>
      </c>
      <c r="K100" s="1" t="s">
        <v>2</v>
      </c>
      <c r="L100" s="1" t="s">
        <v>2</v>
      </c>
      <c r="M100" s="3">
        <v>0</v>
      </c>
      <c r="N100" s="3">
        <v>0</v>
      </c>
      <c r="O100" s="3">
        <v>0</v>
      </c>
      <c r="P100" s="3">
        <f>Table1[[#This Row],[PPG]]*Table1[[#This Row],[NHLe SCORE]]</f>
        <v>0</v>
      </c>
      <c r="Q100" s="3">
        <v>0</v>
      </c>
      <c r="R100" s="3" t="str">
        <f t="shared" si="0"/>
        <v>Q1</v>
      </c>
      <c r="S100" s="2">
        <v>39515</v>
      </c>
      <c r="T100" s="1" t="s">
        <v>98</v>
      </c>
      <c r="U100" s="1">
        <v>203</v>
      </c>
      <c r="V100" s="1" t="s">
        <v>2</v>
      </c>
    </row>
    <row r="101" spans="1:22" hidden="1" x14ac:dyDescent="0.3">
      <c r="A101" t="e" vm="2">
        <v>#VALUE!</v>
      </c>
      <c r="B101" t="s">
        <v>226</v>
      </c>
      <c r="C101" t="s">
        <v>184</v>
      </c>
      <c r="D101" s="1" t="s">
        <v>123</v>
      </c>
      <c r="E101" t="s">
        <v>89</v>
      </c>
      <c r="F101" t="s">
        <v>27</v>
      </c>
      <c r="G101" s="1">
        <v>0.41</v>
      </c>
      <c r="H101" s="1">
        <v>16</v>
      </c>
      <c r="I101" s="1">
        <v>0</v>
      </c>
      <c r="J101" s="1">
        <v>0</v>
      </c>
      <c r="K101" s="1">
        <v>0</v>
      </c>
      <c r="L101" s="1">
        <v>18</v>
      </c>
      <c r="M101" s="3">
        <f>Table1[[#This Row],[G]]/Table1[[#This Row],[GP]]</f>
        <v>0</v>
      </c>
      <c r="N101" s="3">
        <f>Table1[[#This Row],[A]]/Table1[[#This Row],[GP]]</f>
        <v>0</v>
      </c>
      <c r="O101" s="3">
        <f>Table1[[#This Row],[PTS]]/Table1[[#This Row],[GP]]</f>
        <v>0</v>
      </c>
      <c r="P101" s="3">
        <f>Table1[[#This Row],[PPG]]*Table1[[#This Row],[NHLe SCORE]]</f>
        <v>0</v>
      </c>
      <c r="Q101" s="3">
        <f>Table1[[#This Row],[PIM]]/Table1[[#This Row],[GP]]</f>
        <v>1.125</v>
      </c>
      <c r="R101" s="3" t="str">
        <f t="shared" si="0"/>
        <v>Q1</v>
      </c>
      <c r="S101" s="2">
        <v>39413</v>
      </c>
      <c r="T101" s="1" t="s">
        <v>101</v>
      </c>
      <c r="U101" s="1">
        <v>205</v>
      </c>
      <c r="V101" s="1" t="s">
        <v>100</v>
      </c>
    </row>
  </sheetData>
  <conditionalFormatting sqref="M2:M1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R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62C7-54FD-4499-BDE6-B3581A04F5D8}">
  <dimension ref="A1:V26"/>
  <sheetViews>
    <sheetView tabSelected="1" workbookViewId="0">
      <selection activeCell="B1" sqref="B1:P26"/>
    </sheetView>
  </sheetViews>
  <sheetFormatPr defaultRowHeight="14.4" x14ac:dyDescent="0.3"/>
  <cols>
    <col min="2" max="2" width="13.88671875" customWidth="1"/>
    <col min="3" max="3" width="18.21875" bestFit="1" customWidth="1"/>
    <col min="4" max="4" width="11.109375" customWidth="1"/>
    <col min="5" max="5" width="20" bestFit="1" customWidth="1"/>
    <col min="6" max="6" width="13.21875" bestFit="1" customWidth="1"/>
    <col min="7" max="7" width="13.5546875" customWidth="1"/>
    <col min="13" max="13" width="12.44140625" customWidth="1"/>
    <col min="14" max="14" width="13" customWidth="1"/>
    <col min="16" max="16" width="12.77734375" bestFit="1" customWidth="1"/>
    <col min="17" max="17" width="11" bestFit="1" customWidth="1"/>
    <col min="18" max="18" width="17.6640625" customWidth="1"/>
    <col min="19" max="19" width="10.33203125" bestFit="1" customWidth="1"/>
    <col min="20" max="20" width="9.33203125" customWidth="1"/>
    <col min="21" max="21" width="9.6640625" customWidth="1"/>
    <col min="22" max="22" width="10" customWidth="1"/>
  </cols>
  <sheetData>
    <row r="1" spans="1:22" x14ac:dyDescent="0.3">
      <c r="A1" s="12" t="s">
        <v>234</v>
      </c>
      <c r="B1" s="12" t="s">
        <v>108</v>
      </c>
      <c r="C1" s="12" t="s">
        <v>109</v>
      </c>
      <c r="D1" s="13" t="s">
        <v>110</v>
      </c>
      <c r="E1" s="12" t="s">
        <v>111</v>
      </c>
      <c r="F1" s="12" t="s">
        <v>112</v>
      </c>
      <c r="G1" s="13" t="s">
        <v>247</v>
      </c>
      <c r="H1" s="13" t="s">
        <v>113</v>
      </c>
      <c r="I1" s="13" t="s">
        <v>114</v>
      </c>
      <c r="J1" s="13" t="s">
        <v>115</v>
      </c>
      <c r="K1" s="13" t="s">
        <v>116</v>
      </c>
      <c r="L1" s="13" t="s">
        <v>117</v>
      </c>
      <c r="M1" s="13" t="s">
        <v>235</v>
      </c>
      <c r="N1" s="13" t="s">
        <v>236</v>
      </c>
      <c r="O1" s="13" t="s">
        <v>237</v>
      </c>
      <c r="P1" s="13" t="s">
        <v>248</v>
      </c>
      <c r="Q1" s="13" t="s">
        <v>238</v>
      </c>
      <c r="R1" s="13" t="s">
        <v>258</v>
      </c>
      <c r="S1" s="13" t="s">
        <v>118</v>
      </c>
      <c r="T1" s="13" t="s">
        <v>119</v>
      </c>
      <c r="U1" s="13" t="s">
        <v>120</v>
      </c>
      <c r="V1" s="13" t="s">
        <v>121</v>
      </c>
    </row>
    <row r="2" spans="1:22" x14ac:dyDescent="0.3">
      <c r="A2" s="7" t="e" vm="1">
        <v>#VALUE!</v>
      </c>
      <c r="B2" s="7" t="s">
        <v>227</v>
      </c>
      <c r="C2" s="7" t="s">
        <v>216</v>
      </c>
      <c r="D2" s="9" t="s">
        <v>122</v>
      </c>
      <c r="E2" s="7" t="s">
        <v>40</v>
      </c>
      <c r="F2" s="7" t="s">
        <v>8</v>
      </c>
      <c r="G2" s="9">
        <v>0.78</v>
      </c>
      <c r="H2" s="9">
        <v>25</v>
      </c>
      <c r="I2" s="9">
        <v>6</v>
      </c>
      <c r="J2" s="9">
        <v>18</v>
      </c>
      <c r="K2" s="9">
        <v>24</v>
      </c>
      <c r="L2" s="9">
        <v>4</v>
      </c>
      <c r="M2" s="10">
        <v>0.24</v>
      </c>
      <c r="N2" s="10">
        <v>0.72</v>
      </c>
      <c r="O2" s="10">
        <v>0.96</v>
      </c>
      <c r="P2" s="10">
        <v>0.74880000000000002</v>
      </c>
      <c r="Q2" s="10">
        <v>0.16</v>
      </c>
      <c r="R2" s="10" t="s">
        <v>256</v>
      </c>
      <c r="S2" s="11">
        <v>39354</v>
      </c>
      <c r="T2" s="9" t="s">
        <v>104</v>
      </c>
      <c r="U2" s="9">
        <v>181</v>
      </c>
      <c r="V2" s="9" t="s">
        <v>97</v>
      </c>
    </row>
    <row r="3" spans="1:22" x14ac:dyDescent="0.3">
      <c r="A3" s="7" t="e" vm="2">
        <v>#VALUE!</v>
      </c>
      <c r="B3" s="7" t="s">
        <v>226</v>
      </c>
      <c r="C3" s="7" t="s">
        <v>187</v>
      </c>
      <c r="D3" s="9" t="s">
        <v>122</v>
      </c>
      <c r="E3" s="7" t="s">
        <v>20</v>
      </c>
      <c r="F3" s="7" t="s">
        <v>10</v>
      </c>
      <c r="G3" s="9">
        <v>0.3</v>
      </c>
      <c r="H3" s="9">
        <v>33</v>
      </c>
      <c r="I3" s="9">
        <v>22</v>
      </c>
      <c r="J3" s="9">
        <v>33</v>
      </c>
      <c r="K3" s="9">
        <v>55</v>
      </c>
      <c r="L3" s="9">
        <v>16</v>
      </c>
      <c r="M3" s="10">
        <v>0.66666666666666663</v>
      </c>
      <c r="N3" s="10">
        <v>1</v>
      </c>
      <c r="O3" s="10">
        <v>1.6666666666666667</v>
      </c>
      <c r="P3" s="10">
        <v>0.5</v>
      </c>
      <c r="Q3" s="10">
        <v>0.48484848484848486</v>
      </c>
      <c r="R3" s="10" t="s">
        <v>256</v>
      </c>
      <c r="S3" s="11">
        <v>39548</v>
      </c>
      <c r="T3" s="9" t="s">
        <v>104</v>
      </c>
      <c r="U3" s="9">
        <v>183</v>
      </c>
      <c r="V3" s="9" t="s">
        <v>100</v>
      </c>
    </row>
    <row r="4" spans="1:22" x14ac:dyDescent="0.3">
      <c r="A4" s="7" t="e" vm="3">
        <v>#VALUE!</v>
      </c>
      <c r="B4" s="7" t="s">
        <v>225</v>
      </c>
      <c r="C4" s="7" t="s">
        <v>154</v>
      </c>
      <c r="D4" s="9" t="s">
        <v>122</v>
      </c>
      <c r="E4" s="7" t="s">
        <v>26</v>
      </c>
      <c r="F4" s="7" t="s">
        <v>27</v>
      </c>
      <c r="G4" s="9">
        <v>0.41</v>
      </c>
      <c r="H4" s="9">
        <v>16</v>
      </c>
      <c r="I4" s="9">
        <v>4</v>
      </c>
      <c r="J4" s="9">
        <v>14</v>
      </c>
      <c r="K4" s="9">
        <v>18</v>
      </c>
      <c r="L4" s="9">
        <v>4</v>
      </c>
      <c r="M4" s="10">
        <v>0.25</v>
      </c>
      <c r="N4" s="10">
        <v>0.875</v>
      </c>
      <c r="O4" s="10">
        <v>1.125</v>
      </c>
      <c r="P4" s="10">
        <v>0.46124999999999999</v>
      </c>
      <c r="Q4" s="10">
        <v>0.25</v>
      </c>
      <c r="R4" s="10" t="s">
        <v>256</v>
      </c>
      <c r="S4" s="11">
        <v>39435</v>
      </c>
      <c r="T4" s="9" t="s">
        <v>104</v>
      </c>
      <c r="U4" s="9">
        <v>170</v>
      </c>
      <c r="V4" s="9" t="s">
        <v>97</v>
      </c>
    </row>
    <row r="5" spans="1:22" x14ac:dyDescent="0.3">
      <c r="A5" s="7" t="e" vm="3">
        <v>#VALUE!</v>
      </c>
      <c r="B5" s="7" t="s">
        <v>225</v>
      </c>
      <c r="C5" s="7" t="s">
        <v>134</v>
      </c>
      <c r="D5" s="9" t="s">
        <v>122</v>
      </c>
      <c r="E5" s="7" t="s">
        <v>22</v>
      </c>
      <c r="F5" s="7" t="s">
        <v>19</v>
      </c>
      <c r="G5" s="9">
        <v>0.28999999999999998</v>
      </c>
      <c r="H5" s="9">
        <v>9</v>
      </c>
      <c r="I5" s="9">
        <v>8</v>
      </c>
      <c r="J5" s="9">
        <v>5</v>
      </c>
      <c r="K5" s="9">
        <v>13</v>
      </c>
      <c r="L5" s="9">
        <v>6</v>
      </c>
      <c r="M5" s="10">
        <v>0.88888888888888884</v>
      </c>
      <c r="N5" s="10">
        <v>0.55555555555555558</v>
      </c>
      <c r="O5" s="10">
        <v>1.4444444444444444</v>
      </c>
      <c r="P5" s="10">
        <v>0.41888888888888887</v>
      </c>
      <c r="Q5" s="10">
        <v>0.66666666666666663</v>
      </c>
      <c r="R5" s="10" t="s">
        <v>256</v>
      </c>
      <c r="S5" s="11">
        <v>39662</v>
      </c>
      <c r="T5" s="9" t="s">
        <v>104</v>
      </c>
      <c r="U5" s="9">
        <v>185</v>
      </c>
      <c r="V5" s="9" t="s">
        <v>97</v>
      </c>
    </row>
    <row r="6" spans="1:22" x14ac:dyDescent="0.3">
      <c r="A6" s="7" t="e" vm="3">
        <v>#VALUE!</v>
      </c>
      <c r="B6" s="7" t="s">
        <v>225</v>
      </c>
      <c r="C6" s="7" t="s">
        <v>135</v>
      </c>
      <c r="D6" s="9" t="s">
        <v>122</v>
      </c>
      <c r="E6" s="7" t="s">
        <v>24</v>
      </c>
      <c r="F6" s="7" t="s">
        <v>4</v>
      </c>
      <c r="G6" s="9">
        <v>0.3</v>
      </c>
      <c r="H6" s="9">
        <v>32</v>
      </c>
      <c r="I6" s="9">
        <v>17</v>
      </c>
      <c r="J6" s="9">
        <v>27</v>
      </c>
      <c r="K6" s="9">
        <v>44</v>
      </c>
      <c r="L6" s="9">
        <v>22</v>
      </c>
      <c r="M6" s="10">
        <v>0.53125</v>
      </c>
      <c r="N6" s="10">
        <v>0.84375</v>
      </c>
      <c r="O6" s="10">
        <v>1.375</v>
      </c>
      <c r="P6" s="10">
        <v>0.41249999999999998</v>
      </c>
      <c r="Q6" s="10">
        <v>0.6875</v>
      </c>
      <c r="R6" s="10" t="s">
        <v>256</v>
      </c>
      <c r="S6" s="11">
        <v>39600</v>
      </c>
      <c r="T6" s="9" t="s">
        <v>101</v>
      </c>
      <c r="U6" s="9">
        <v>183</v>
      </c>
      <c r="V6" s="9" t="s">
        <v>97</v>
      </c>
    </row>
    <row r="7" spans="1:22" x14ac:dyDescent="0.3">
      <c r="A7" s="7" t="e" vm="4">
        <v>#VALUE!</v>
      </c>
      <c r="B7" s="7" t="s">
        <v>229</v>
      </c>
      <c r="C7" s="7" t="s">
        <v>202</v>
      </c>
      <c r="D7" s="9" t="s">
        <v>122</v>
      </c>
      <c r="E7" s="7" t="s">
        <v>71</v>
      </c>
      <c r="F7" s="7" t="s">
        <v>72</v>
      </c>
      <c r="G7" s="9">
        <v>0.33</v>
      </c>
      <c r="H7" s="9">
        <v>6</v>
      </c>
      <c r="I7" s="9">
        <v>5</v>
      </c>
      <c r="J7" s="9">
        <v>2</v>
      </c>
      <c r="K7" s="9">
        <v>7</v>
      </c>
      <c r="L7" s="9">
        <v>4</v>
      </c>
      <c r="M7" s="10">
        <v>0.83333333333333337</v>
      </c>
      <c r="N7" s="10">
        <v>0.33333333333333331</v>
      </c>
      <c r="O7" s="10">
        <v>1.1666666666666667</v>
      </c>
      <c r="P7" s="10">
        <v>0.38500000000000006</v>
      </c>
      <c r="Q7" s="10">
        <v>0.66666666666666663</v>
      </c>
      <c r="R7" s="10" t="s">
        <v>256</v>
      </c>
      <c r="S7" s="11">
        <v>39672</v>
      </c>
      <c r="T7" s="9" t="s">
        <v>103</v>
      </c>
      <c r="U7" s="9">
        <v>196</v>
      </c>
      <c r="V7" s="9" t="s">
        <v>97</v>
      </c>
    </row>
    <row r="8" spans="1:22" x14ac:dyDescent="0.3">
      <c r="A8" s="7" t="e" vm="1">
        <v>#VALUE!</v>
      </c>
      <c r="B8" s="7" t="s">
        <v>227</v>
      </c>
      <c r="C8" s="7" t="s">
        <v>213</v>
      </c>
      <c r="D8" s="9" t="s">
        <v>122</v>
      </c>
      <c r="E8" s="7" t="s">
        <v>28</v>
      </c>
      <c r="F8" s="7" t="s">
        <v>1</v>
      </c>
      <c r="G8" s="9">
        <v>0.26</v>
      </c>
      <c r="H8" s="9">
        <v>17</v>
      </c>
      <c r="I8" s="9">
        <v>7</v>
      </c>
      <c r="J8" s="9">
        <v>18</v>
      </c>
      <c r="K8" s="9">
        <v>25</v>
      </c>
      <c r="L8" s="9">
        <v>38</v>
      </c>
      <c r="M8" s="10">
        <v>0.41176470588235292</v>
      </c>
      <c r="N8" s="10">
        <v>1.0588235294117647</v>
      </c>
      <c r="O8" s="10">
        <v>1.4705882352941178</v>
      </c>
      <c r="P8" s="10">
        <v>0.38235294117647062</v>
      </c>
      <c r="Q8" s="10">
        <v>2.2352941176470589</v>
      </c>
      <c r="R8" s="10" t="s">
        <v>256</v>
      </c>
      <c r="S8" s="11">
        <v>39571</v>
      </c>
      <c r="T8" s="9" t="s">
        <v>101</v>
      </c>
      <c r="U8" s="9">
        <v>187</v>
      </c>
      <c r="V8" s="9" t="s">
        <v>97</v>
      </c>
    </row>
    <row r="9" spans="1:22" x14ac:dyDescent="0.3">
      <c r="A9" s="7" t="e" vm="1">
        <v>#VALUE!</v>
      </c>
      <c r="B9" s="7" t="s">
        <v>227</v>
      </c>
      <c r="C9" s="7" t="s">
        <v>130</v>
      </c>
      <c r="D9" s="9" t="s">
        <v>122</v>
      </c>
      <c r="E9" s="7" t="s">
        <v>0</v>
      </c>
      <c r="F9" s="7" t="s">
        <v>1</v>
      </c>
      <c r="G9" s="9">
        <v>0.26</v>
      </c>
      <c r="H9" s="9">
        <v>18</v>
      </c>
      <c r="I9" s="9">
        <v>12</v>
      </c>
      <c r="J9" s="9">
        <v>14</v>
      </c>
      <c r="K9" s="9">
        <v>26</v>
      </c>
      <c r="L9" s="9">
        <v>18</v>
      </c>
      <c r="M9" s="10">
        <v>0.66666666666666663</v>
      </c>
      <c r="N9" s="10">
        <v>0.77777777777777779</v>
      </c>
      <c r="O9" s="10">
        <v>1.4444444444444444</v>
      </c>
      <c r="P9" s="10">
        <v>0.37555555555555559</v>
      </c>
      <c r="Q9" s="10">
        <v>1</v>
      </c>
      <c r="R9" s="10" t="s">
        <v>256</v>
      </c>
      <c r="S9" s="11">
        <v>39614</v>
      </c>
      <c r="T9" s="9" t="s">
        <v>96</v>
      </c>
      <c r="U9" s="9">
        <v>183</v>
      </c>
      <c r="V9" s="9" t="s">
        <v>97</v>
      </c>
    </row>
    <row r="10" spans="1:22" x14ac:dyDescent="0.3">
      <c r="A10" s="7" t="e" vm="2">
        <v>#VALUE!</v>
      </c>
      <c r="B10" s="7" t="s">
        <v>226</v>
      </c>
      <c r="C10" s="7" t="s">
        <v>188</v>
      </c>
      <c r="D10" s="9" t="s">
        <v>122</v>
      </c>
      <c r="E10" s="7" t="s">
        <v>21</v>
      </c>
      <c r="F10" s="7" t="s">
        <v>4</v>
      </c>
      <c r="G10" s="9">
        <v>0.3</v>
      </c>
      <c r="H10" s="9">
        <v>32</v>
      </c>
      <c r="I10" s="9">
        <v>19</v>
      </c>
      <c r="J10" s="9">
        <v>21</v>
      </c>
      <c r="K10" s="9">
        <v>40</v>
      </c>
      <c r="L10" s="9">
        <v>21</v>
      </c>
      <c r="M10" s="10">
        <v>0.59375</v>
      </c>
      <c r="N10" s="10">
        <v>0.65625</v>
      </c>
      <c r="O10" s="10">
        <v>1.25</v>
      </c>
      <c r="P10" s="10">
        <v>0.375</v>
      </c>
      <c r="Q10" s="10">
        <v>0.65625</v>
      </c>
      <c r="R10" s="10" t="s">
        <v>256</v>
      </c>
      <c r="S10" s="11">
        <v>39625</v>
      </c>
      <c r="T10" s="9" t="s">
        <v>104</v>
      </c>
      <c r="U10" s="9">
        <v>181</v>
      </c>
      <c r="V10" s="9" t="s">
        <v>97</v>
      </c>
    </row>
    <row r="11" spans="1:22" x14ac:dyDescent="0.3">
      <c r="A11" s="7" t="e" vm="3">
        <v>#VALUE!</v>
      </c>
      <c r="B11" s="7" t="s">
        <v>225</v>
      </c>
      <c r="C11" s="7" t="s">
        <v>161</v>
      </c>
      <c r="D11" s="9" t="s">
        <v>123</v>
      </c>
      <c r="E11" s="7" t="s">
        <v>23</v>
      </c>
      <c r="F11" s="7" t="s">
        <v>10</v>
      </c>
      <c r="G11" s="9">
        <v>0.3</v>
      </c>
      <c r="H11" s="9">
        <v>34</v>
      </c>
      <c r="I11" s="9">
        <v>9</v>
      </c>
      <c r="J11" s="9">
        <v>33</v>
      </c>
      <c r="K11" s="9">
        <v>42</v>
      </c>
      <c r="L11" s="9">
        <v>20</v>
      </c>
      <c r="M11" s="10">
        <v>0.26470588235294118</v>
      </c>
      <c r="N11" s="10">
        <v>0.97058823529411764</v>
      </c>
      <c r="O11" s="10">
        <v>1.2352941176470589</v>
      </c>
      <c r="P11" s="10">
        <v>0.37058823529411766</v>
      </c>
      <c r="Q11" s="10">
        <v>0.58823529411764708</v>
      </c>
      <c r="R11" s="10" t="s">
        <v>256</v>
      </c>
      <c r="S11" s="11">
        <v>39555</v>
      </c>
      <c r="T11" s="9" t="s">
        <v>102</v>
      </c>
      <c r="U11" s="9">
        <v>176</v>
      </c>
      <c r="V11" s="9" t="s">
        <v>100</v>
      </c>
    </row>
    <row r="12" spans="1:22" x14ac:dyDescent="0.3">
      <c r="A12" s="7" t="e" vm="5">
        <v>#VALUE!</v>
      </c>
      <c r="B12" s="7" t="s">
        <v>230</v>
      </c>
      <c r="C12" s="7" t="s">
        <v>147</v>
      </c>
      <c r="D12" s="9" t="s">
        <v>122</v>
      </c>
      <c r="E12" s="7" t="s">
        <v>67</v>
      </c>
      <c r="F12" s="7" t="s">
        <v>53</v>
      </c>
      <c r="G12" s="9">
        <v>0.27</v>
      </c>
      <c r="H12" s="9">
        <v>32</v>
      </c>
      <c r="I12" s="9">
        <v>11</v>
      </c>
      <c r="J12" s="9">
        <v>32</v>
      </c>
      <c r="K12" s="9">
        <v>43</v>
      </c>
      <c r="L12" s="9">
        <v>16</v>
      </c>
      <c r="M12" s="10">
        <v>0.34375</v>
      </c>
      <c r="N12" s="10">
        <v>1</v>
      </c>
      <c r="O12" s="10">
        <v>1.34375</v>
      </c>
      <c r="P12" s="10">
        <v>0.36281250000000004</v>
      </c>
      <c r="Q12" s="10">
        <v>0.5</v>
      </c>
      <c r="R12" s="10" t="s">
        <v>256</v>
      </c>
      <c r="S12" s="11">
        <v>39347</v>
      </c>
      <c r="T12" s="9" t="s">
        <v>101</v>
      </c>
      <c r="U12" s="9">
        <v>170</v>
      </c>
      <c r="V12" s="9" t="s">
        <v>97</v>
      </c>
    </row>
    <row r="13" spans="1:22" x14ac:dyDescent="0.3">
      <c r="A13" s="7" t="e" vm="6">
        <v>#VALUE!</v>
      </c>
      <c r="B13" s="7" t="s">
        <v>228</v>
      </c>
      <c r="C13" s="7" t="s">
        <v>215</v>
      </c>
      <c r="D13" s="9" t="s">
        <v>122</v>
      </c>
      <c r="E13" s="7" t="s">
        <v>29</v>
      </c>
      <c r="F13" s="7" t="s">
        <v>4</v>
      </c>
      <c r="G13" s="9">
        <v>0.3</v>
      </c>
      <c r="H13" s="9">
        <v>29</v>
      </c>
      <c r="I13" s="9">
        <v>19</v>
      </c>
      <c r="J13" s="9">
        <v>16</v>
      </c>
      <c r="K13" s="9">
        <v>35</v>
      </c>
      <c r="L13" s="9">
        <v>6</v>
      </c>
      <c r="M13" s="10">
        <v>0.65517241379310343</v>
      </c>
      <c r="N13" s="10">
        <v>0.55172413793103448</v>
      </c>
      <c r="O13" s="10">
        <v>1.2068965517241379</v>
      </c>
      <c r="P13" s="10">
        <v>0.36206896551724138</v>
      </c>
      <c r="Q13" s="10">
        <v>0.20689655172413793</v>
      </c>
      <c r="R13" s="10" t="s">
        <v>256</v>
      </c>
      <c r="S13" s="11">
        <v>39398</v>
      </c>
      <c r="T13" s="9" t="s">
        <v>96</v>
      </c>
      <c r="U13" s="9">
        <v>205</v>
      </c>
      <c r="V13" s="9" t="s">
        <v>97</v>
      </c>
    </row>
    <row r="14" spans="1:22" x14ac:dyDescent="0.3">
      <c r="A14" s="7" t="e" vm="5">
        <v>#VALUE!</v>
      </c>
      <c r="B14" s="7" t="s">
        <v>230</v>
      </c>
      <c r="C14" s="7" t="s">
        <v>137</v>
      </c>
      <c r="D14" s="9" t="s">
        <v>122</v>
      </c>
      <c r="E14" s="7" t="s">
        <v>37</v>
      </c>
      <c r="F14" s="7" t="s">
        <v>38</v>
      </c>
      <c r="G14" s="9">
        <v>0.28000000000000003</v>
      </c>
      <c r="H14" s="9">
        <v>31</v>
      </c>
      <c r="I14" s="9">
        <v>15</v>
      </c>
      <c r="J14" s="9">
        <v>25</v>
      </c>
      <c r="K14" s="9">
        <v>40</v>
      </c>
      <c r="L14" s="9">
        <v>21</v>
      </c>
      <c r="M14" s="10">
        <v>0.4838709677419355</v>
      </c>
      <c r="N14" s="10">
        <v>0.80645161290322576</v>
      </c>
      <c r="O14" s="10">
        <v>1.2903225806451613</v>
      </c>
      <c r="P14" s="10">
        <v>0.3612903225806452</v>
      </c>
      <c r="Q14" s="10">
        <v>0.67741935483870963</v>
      </c>
      <c r="R14" s="10" t="s">
        <v>256</v>
      </c>
      <c r="S14" s="11">
        <v>39567</v>
      </c>
      <c r="T14" s="9" t="s">
        <v>96</v>
      </c>
      <c r="U14" s="9">
        <v>181</v>
      </c>
      <c r="V14" s="9" t="s">
        <v>97</v>
      </c>
    </row>
    <row r="15" spans="1:22" x14ac:dyDescent="0.3">
      <c r="A15" s="7" t="e" vm="3">
        <v>#VALUE!</v>
      </c>
      <c r="B15" s="7" t="s">
        <v>225</v>
      </c>
      <c r="C15" s="7" t="s">
        <v>136</v>
      </c>
      <c r="D15" s="9" t="s">
        <v>122</v>
      </c>
      <c r="E15" s="7" t="s">
        <v>35</v>
      </c>
      <c r="F15" s="7" t="s">
        <v>4</v>
      </c>
      <c r="G15" s="9">
        <v>0.3</v>
      </c>
      <c r="H15" s="9">
        <v>32</v>
      </c>
      <c r="I15" s="9">
        <v>18</v>
      </c>
      <c r="J15" s="9">
        <v>20</v>
      </c>
      <c r="K15" s="9">
        <v>38</v>
      </c>
      <c r="L15" s="9">
        <v>18</v>
      </c>
      <c r="M15" s="10">
        <v>0.5625</v>
      </c>
      <c r="N15" s="10">
        <v>0.625</v>
      </c>
      <c r="O15" s="10">
        <v>1.1875</v>
      </c>
      <c r="P15" s="10">
        <v>0.35625000000000001</v>
      </c>
      <c r="Q15" s="10">
        <v>0.5625</v>
      </c>
      <c r="R15" s="10" t="s">
        <v>256</v>
      </c>
      <c r="S15" s="11">
        <v>39349</v>
      </c>
      <c r="T15" s="9" t="s">
        <v>103</v>
      </c>
      <c r="U15" s="9">
        <v>216</v>
      </c>
      <c r="V15" s="9" t="s">
        <v>97</v>
      </c>
    </row>
    <row r="16" spans="1:22" x14ac:dyDescent="0.3">
      <c r="A16" s="7" t="e" vm="3">
        <v>#VALUE!</v>
      </c>
      <c r="B16" s="7" t="s">
        <v>225</v>
      </c>
      <c r="C16" s="7" t="s">
        <v>153</v>
      </c>
      <c r="D16" s="9" t="s">
        <v>122</v>
      </c>
      <c r="E16" s="7" t="s">
        <v>25</v>
      </c>
      <c r="F16" s="7" t="s">
        <v>4</v>
      </c>
      <c r="G16" s="9">
        <v>0.3</v>
      </c>
      <c r="H16" s="9">
        <v>36</v>
      </c>
      <c r="I16" s="9">
        <v>19</v>
      </c>
      <c r="J16" s="9">
        <v>23</v>
      </c>
      <c r="K16" s="9">
        <v>42</v>
      </c>
      <c r="L16" s="9">
        <v>55</v>
      </c>
      <c r="M16" s="10">
        <v>0.52777777777777779</v>
      </c>
      <c r="N16" s="10">
        <v>0.63888888888888884</v>
      </c>
      <c r="O16" s="10">
        <v>1.1666666666666667</v>
      </c>
      <c r="P16" s="10">
        <v>0.35000000000000003</v>
      </c>
      <c r="Q16" s="10">
        <v>1.5277777777777777</v>
      </c>
      <c r="R16" s="10" t="s">
        <v>256</v>
      </c>
      <c r="S16" s="11">
        <v>39554</v>
      </c>
      <c r="T16" s="9" t="s">
        <v>102</v>
      </c>
      <c r="U16" s="9">
        <v>159</v>
      </c>
      <c r="V16" s="9" t="s">
        <v>97</v>
      </c>
    </row>
    <row r="17" spans="1:22" x14ac:dyDescent="0.3">
      <c r="A17" s="7" t="e" vm="2">
        <v>#VALUE!</v>
      </c>
      <c r="B17" s="7" t="s">
        <v>226</v>
      </c>
      <c r="C17" s="7" t="s">
        <v>195</v>
      </c>
      <c r="D17" s="9" t="s">
        <v>122</v>
      </c>
      <c r="E17" s="7" t="s">
        <v>5</v>
      </c>
      <c r="F17" s="7" t="s">
        <v>6</v>
      </c>
      <c r="G17" s="9">
        <v>0.35</v>
      </c>
      <c r="H17" s="9">
        <v>8</v>
      </c>
      <c r="I17" s="9">
        <v>2</v>
      </c>
      <c r="J17" s="9">
        <v>6</v>
      </c>
      <c r="K17" s="9">
        <v>8</v>
      </c>
      <c r="L17" s="9">
        <v>0</v>
      </c>
      <c r="M17" s="10">
        <v>0.25</v>
      </c>
      <c r="N17" s="10">
        <v>0.75</v>
      </c>
      <c r="O17" s="10">
        <v>1</v>
      </c>
      <c r="P17" s="10">
        <v>0.35</v>
      </c>
      <c r="Q17" s="10">
        <v>0</v>
      </c>
      <c r="R17" s="10" t="s">
        <v>256</v>
      </c>
      <c r="S17" s="11">
        <v>39698</v>
      </c>
      <c r="T17" s="9" t="s">
        <v>104</v>
      </c>
      <c r="U17" s="9">
        <v>172</v>
      </c>
      <c r="V17" s="9" t="s">
        <v>97</v>
      </c>
    </row>
    <row r="18" spans="1:22" x14ac:dyDescent="0.3">
      <c r="A18" s="7" t="e" vm="3">
        <v>#VALUE!</v>
      </c>
      <c r="B18" s="7" t="s">
        <v>225</v>
      </c>
      <c r="C18" s="7" t="s">
        <v>190</v>
      </c>
      <c r="D18" s="9" t="s">
        <v>122</v>
      </c>
      <c r="E18" s="7" t="s">
        <v>41</v>
      </c>
      <c r="F18" s="7" t="s">
        <v>27</v>
      </c>
      <c r="G18" s="9">
        <v>0.41</v>
      </c>
      <c r="H18" s="9">
        <v>20</v>
      </c>
      <c r="I18" s="9">
        <v>5</v>
      </c>
      <c r="J18" s="9">
        <v>12</v>
      </c>
      <c r="K18" s="9">
        <v>17</v>
      </c>
      <c r="L18" s="9">
        <v>28</v>
      </c>
      <c r="M18" s="10">
        <v>0.25</v>
      </c>
      <c r="N18" s="10">
        <v>0.6</v>
      </c>
      <c r="O18" s="10">
        <v>0.85</v>
      </c>
      <c r="P18" s="10">
        <v>0.34849999999999998</v>
      </c>
      <c r="Q18" s="10">
        <v>1.4</v>
      </c>
      <c r="R18" s="10" t="s">
        <v>256</v>
      </c>
      <c r="S18" s="11">
        <v>39548</v>
      </c>
      <c r="T18" s="9" t="s">
        <v>102</v>
      </c>
      <c r="U18" s="9">
        <v>185</v>
      </c>
      <c r="V18" s="9" t="s">
        <v>97</v>
      </c>
    </row>
    <row r="19" spans="1:22" x14ac:dyDescent="0.3">
      <c r="A19" s="7" t="e" vm="7">
        <v>#VALUE!</v>
      </c>
      <c r="B19" s="7" t="s">
        <v>224</v>
      </c>
      <c r="C19" s="7" t="s">
        <v>124</v>
      </c>
      <c r="D19" s="9" t="s">
        <v>122</v>
      </c>
      <c r="E19" s="7" t="s">
        <v>0</v>
      </c>
      <c r="F19" s="7" t="s">
        <v>1</v>
      </c>
      <c r="G19" s="9">
        <v>0.26</v>
      </c>
      <c r="H19" s="9">
        <v>18</v>
      </c>
      <c r="I19" s="9">
        <v>14</v>
      </c>
      <c r="J19" s="9">
        <v>10</v>
      </c>
      <c r="K19" s="9">
        <v>24</v>
      </c>
      <c r="L19" s="9">
        <v>12</v>
      </c>
      <c r="M19" s="10">
        <v>0.77777777777777779</v>
      </c>
      <c r="N19" s="10">
        <v>0.55555555555555558</v>
      </c>
      <c r="O19" s="10">
        <v>1.3333333333333333</v>
      </c>
      <c r="P19" s="10">
        <v>0.34666666666666668</v>
      </c>
      <c r="Q19" s="10">
        <v>0.66666666666666663</v>
      </c>
      <c r="R19" s="10" t="s">
        <v>256</v>
      </c>
      <c r="S19" s="11">
        <v>39556</v>
      </c>
      <c r="T19" s="9" t="s">
        <v>96</v>
      </c>
      <c r="U19" s="9">
        <v>185</v>
      </c>
      <c r="V19" s="9" t="s">
        <v>97</v>
      </c>
    </row>
    <row r="20" spans="1:22" x14ac:dyDescent="0.3">
      <c r="A20" s="7" t="e" vm="2">
        <v>#VALUE!</v>
      </c>
      <c r="B20" s="7" t="s">
        <v>226</v>
      </c>
      <c r="C20" s="7" t="s">
        <v>164</v>
      </c>
      <c r="D20" s="9" t="s">
        <v>123</v>
      </c>
      <c r="E20" s="7" t="s">
        <v>34</v>
      </c>
      <c r="F20" s="7" t="s">
        <v>4</v>
      </c>
      <c r="G20" s="9">
        <v>0.3</v>
      </c>
      <c r="H20" s="9">
        <v>31</v>
      </c>
      <c r="I20" s="9">
        <v>14</v>
      </c>
      <c r="J20" s="9">
        <v>21</v>
      </c>
      <c r="K20" s="9">
        <v>35</v>
      </c>
      <c r="L20" s="9">
        <v>24</v>
      </c>
      <c r="M20" s="10">
        <v>0.45161290322580644</v>
      </c>
      <c r="N20" s="10">
        <v>0.67741935483870963</v>
      </c>
      <c r="O20" s="10">
        <v>1.1290322580645162</v>
      </c>
      <c r="P20" s="10">
        <v>0.33870967741935487</v>
      </c>
      <c r="Q20" s="10">
        <v>0.77419354838709675</v>
      </c>
      <c r="R20" s="10" t="s">
        <v>256</v>
      </c>
      <c r="S20" s="11">
        <v>39445</v>
      </c>
      <c r="T20" s="9" t="s">
        <v>101</v>
      </c>
      <c r="U20" s="9">
        <v>187</v>
      </c>
      <c r="V20" s="9" t="s">
        <v>100</v>
      </c>
    </row>
    <row r="21" spans="1:22" x14ac:dyDescent="0.3">
      <c r="A21" s="7" t="e" vm="1">
        <v>#VALUE!</v>
      </c>
      <c r="B21" s="7" t="s">
        <v>227</v>
      </c>
      <c r="C21" s="7" t="s">
        <v>177</v>
      </c>
      <c r="D21" s="9" t="s">
        <v>123</v>
      </c>
      <c r="E21" s="7" t="s">
        <v>0</v>
      </c>
      <c r="F21" s="7" t="s">
        <v>1</v>
      </c>
      <c r="G21" s="9">
        <v>0.26</v>
      </c>
      <c r="H21" s="9">
        <v>20</v>
      </c>
      <c r="I21" s="9">
        <v>4</v>
      </c>
      <c r="J21" s="9">
        <v>22</v>
      </c>
      <c r="K21" s="9">
        <v>26</v>
      </c>
      <c r="L21" s="9">
        <v>10</v>
      </c>
      <c r="M21" s="10">
        <v>0.2</v>
      </c>
      <c r="N21" s="10">
        <v>1.1000000000000001</v>
      </c>
      <c r="O21" s="10">
        <v>1.3</v>
      </c>
      <c r="P21" s="10">
        <v>0.33800000000000002</v>
      </c>
      <c r="Q21" s="10">
        <v>0.5</v>
      </c>
      <c r="R21" s="10" t="s">
        <v>256</v>
      </c>
      <c r="S21" s="11">
        <v>39601</v>
      </c>
      <c r="T21" s="9" t="s">
        <v>102</v>
      </c>
      <c r="U21" s="9">
        <v>165</v>
      </c>
      <c r="V21" s="9" t="s">
        <v>100</v>
      </c>
    </row>
    <row r="22" spans="1:22" x14ac:dyDescent="0.3">
      <c r="A22" s="7" t="e" vm="2">
        <v>#VALUE!</v>
      </c>
      <c r="B22" s="7" t="s">
        <v>226</v>
      </c>
      <c r="C22" s="7" t="s">
        <v>199</v>
      </c>
      <c r="D22" s="9" t="s">
        <v>122</v>
      </c>
      <c r="E22" s="7" t="s">
        <v>69</v>
      </c>
      <c r="F22" s="7" t="s">
        <v>19</v>
      </c>
      <c r="G22" s="9">
        <v>0.28999999999999998</v>
      </c>
      <c r="H22" s="9">
        <v>20</v>
      </c>
      <c r="I22" s="9">
        <v>7</v>
      </c>
      <c r="J22" s="9">
        <v>15</v>
      </c>
      <c r="K22" s="9">
        <v>22</v>
      </c>
      <c r="L22" s="9">
        <v>31</v>
      </c>
      <c r="M22" s="10">
        <v>0.35</v>
      </c>
      <c r="N22" s="10">
        <v>0.75</v>
      </c>
      <c r="O22" s="10">
        <v>1.1000000000000001</v>
      </c>
      <c r="P22" s="10">
        <v>0.31900000000000001</v>
      </c>
      <c r="Q22" s="10">
        <v>1.55</v>
      </c>
      <c r="R22" s="10" t="s">
        <v>256</v>
      </c>
      <c r="S22" s="11">
        <v>39342</v>
      </c>
      <c r="T22" s="9" t="s">
        <v>104</v>
      </c>
      <c r="U22" s="9">
        <v>187</v>
      </c>
      <c r="V22" s="9" t="s">
        <v>97</v>
      </c>
    </row>
    <row r="23" spans="1:22" x14ac:dyDescent="0.3">
      <c r="A23" s="7" t="e" vm="3">
        <v>#VALUE!</v>
      </c>
      <c r="B23" s="7" t="s">
        <v>225</v>
      </c>
      <c r="C23" s="7" t="s">
        <v>128</v>
      </c>
      <c r="D23" s="9" t="s">
        <v>123</v>
      </c>
      <c r="E23" s="7" t="s">
        <v>9</v>
      </c>
      <c r="F23" s="7" t="s">
        <v>10</v>
      </c>
      <c r="G23" s="9">
        <v>0.3</v>
      </c>
      <c r="H23" s="9">
        <v>28</v>
      </c>
      <c r="I23" s="9">
        <v>8</v>
      </c>
      <c r="J23" s="9">
        <v>21</v>
      </c>
      <c r="K23" s="9">
        <v>29</v>
      </c>
      <c r="L23" s="9">
        <v>32</v>
      </c>
      <c r="M23" s="10">
        <v>0.2857142857142857</v>
      </c>
      <c r="N23" s="10">
        <v>0.75</v>
      </c>
      <c r="O23" s="10">
        <v>1.0357142857142858</v>
      </c>
      <c r="P23" s="10">
        <v>0.31071428571428572</v>
      </c>
      <c r="Q23" s="10">
        <v>1.1428571428571428</v>
      </c>
      <c r="R23" s="10" t="s">
        <v>256</v>
      </c>
      <c r="S23" s="11">
        <v>39621</v>
      </c>
      <c r="T23" s="9" t="s">
        <v>101</v>
      </c>
      <c r="U23" s="9">
        <v>194</v>
      </c>
      <c r="V23" s="9" t="s">
        <v>97</v>
      </c>
    </row>
    <row r="24" spans="1:22" x14ac:dyDescent="0.3">
      <c r="A24" s="7" t="e" vm="3">
        <v>#VALUE!</v>
      </c>
      <c r="B24" s="7" t="s">
        <v>225</v>
      </c>
      <c r="C24" s="7" t="s">
        <v>125</v>
      </c>
      <c r="D24" s="9" t="s">
        <v>122</v>
      </c>
      <c r="E24" s="7" t="s">
        <v>3</v>
      </c>
      <c r="F24" s="7" t="s">
        <v>4</v>
      </c>
      <c r="G24" s="9">
        <v>0.3</v>
      </c>
      <c r="H24" s="9">
        <v>31</v>
      </c>
      <c r="I24" s="9">
        <v>18</v>
      </c>
      <c r="J24" s="9">
        <v>14</v>
      </c>
      <c r="K24" s="9">
        <v>32</v>
      </c>
      <c r="L24" s="9">
        <v>26</v>
      </c>
      <c r="M24" s="10">
        <v>0.58064516129032262</v>
      </c>
      <c r="N24" s="10">
        <v>0.45161290322580644</v>
      </c>
      <c r="O24" s="10">
        <v>1.032258064516129</v>
      </c>
      <c r="P24" s="10">
        <v>0.30967741935483867</v>
      </c>
      <c r="Q24" s="10">
        <v>0.83870967741935487</v>
      </c>
      <c r="R24" s="10" t="s">
        <v>256</v>
      </c>
      <c r="S24" s="11">
        <v>39536</v>
      </c>
      <c r="T24" s="9" t="s">
        <v>98</v>
      </c>
      <c r="U24" s="9">
        <v>227</v>
      </c>
      <c r="V24" s="9" t="s">
        <v>97</v>
      </c>
    </row>
    <row r="25" spans="1:22" x14ac:dyDescent="0.3">
      <c r="A25" s="7" t="e" vm="3">
        <v>#VALUE!</v>
      </c>
      <c r="B25" s="7" t="s">
        <v>225</v>
      </c>
      <c r="C25" s="7" t="s">
        <v>194</v>
      </c>
      <c r="D25" s="9" t="s">
        <v>122</v>
      </c>
      <c r="E25" s="7" t="s">
        <v>36</v>
      </c>
      <c r="F25" s="7" t="s">
        <v>10</v>
      </c>
      <c r="G25" s="9">
        <v>0.3</v>
      </c>
      <c r="H25" s="9">
        <v>32</v>
      </c>
      <c r="I25" s="9">
        <v>6</v>
      </c>
      <c r="J25" s="9">
        <v>27</v>
      </c>
      <c r="K25" s="9">
        <v>33</v>
      </c>
      <c r="L25" s="9">
        <v>18</v>
      </c>
      <c r="M25" s="10">
        <v>0.1875</v>
      </c>
      <c r="N25" s="10">
        <v>0.84375</v>
      </c>
      <c r="O25" s="10">
        <v>1.03125</v>
      </c>
      <c r="P25" s="10">
        <v>0.30937500000000001</v>
      </c>
      <c r="Q25" s="10">
        <v>0.5625</v>
      </c>
      <c r="R25" s="10" t="s">
        <v>256</v>
      </c>
      <c r="S25" s="11">
        <v>39477</v>
      </c>
      <c r="T25" s="9" t="s">
        <v>99</v>
      </c>
      <c r="U25" s="9">
        <v>165</v>
      </c>
      <c r="V25" s="9" t="s">
        <v>100</v>
      </c>
    </row>
    <row r="26" spans="1:22" x14ac:dyDescent="0.3">
      <c r="A26" s="7" t="e" vm="3">
        <v>#VALUE!</v>
      </c>
      <c r="B26" s="7" t="s">
        <v>225</v>
      </c>
      <c r="C26" s="7" t="s">
        <v>150</v>
      </c>
      <c r="D26" s="9" t="s">
        <v>122</v>
      </c>
      <c r="E26" s="7" t="s">
        <v>88</v>
      </c>
      <c r="F26" s="7" t="s">
        <v>10</v>
      </c>
      <c r="G26" s="9">
        <v>0.3</v>
      </c>
      <c r="H26" s="9">
        <v>32</v>
      </c>
      <c r="I26" s="9">
        <v>10</v>
      </c>
      <c r="J26" s="9">
        <v>23</v>
      </c>
      <c r="K26" s="9">
        <v>33</v>
      </c>
      <c r="L26" s="9">
        <v>8</v>
      </c>
      <c r="M26" s="10">
        <v>0.3125</v>
      </c>
      <c r="N26" s="10">
        <v>0.71875</v>
      </c>
      <c r="O26" s="10">
        <v>1.03125</v>
      </c>
      <c r="P26" s="10">
        <v>0.30937500000000001</v>
      </c>
      <c r="Q26" s="10">
        <v>0.25</v>
      </c>
      <c r="R26" s="10" t="s">
        <v>256</v>
      </c>
      <c r="S26" s="11">
        <v>39677</v>
      </c>
      <c r="T26" s="9" t="s">
        <v>102</v>
      </c>
      <c r="U26" s="9">
        <v>170</v>
      </c>
      <c r="V26" s="9" t="s">
        <v>97</v>
      </c>
    </row>
  </sheetData>
  <conditionalFormatting sqref="M2:M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R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8498-E2BE-4701-8890-CC35910B6E09}">
  <dimension ref="A3:B14"/>
  <sheetViews>
    <sheetView workbookViewId="0">
      <selection activeCell="A17" sqref="A17"/>
    </sheetView>
  </sheetViews>
  <sheetFormatPr defaultRowHeight="14.4" x14ac:dyDescent="0.3"/>
  <cols>
    <col min="1" max="1" width="13.21875" bestFit="1" customWidth="1"/>
    <col min="2" max="2" width="13.109375" bestFit="1" customWidth="1"/>
  </cols>
  <sheetData>
    <row r="3" spans="1:2" x14ac:dyDescent="0.3">
      <c r="A3" s="4" t="s">
        <v>239</v>
      </c>
      <c r="B3" t="s">
        <v>241</v>
      </c>
    </row>
    <row r="4" spans="1:2" x14ac:dyDescent="0.3">
      <c r="A4" s="5" t="s">
        <v>72</v>
      </c>
      <c r="B4" s="8">
        <v>1</v>
      </c>
    </row>
    <row r="5" spans="1:2" x14ac:dyDescent="0.3">
      <c r="A5" s="5" t="s">
        <v>53</v>
      </c>
      <c r="B5" s="8">
        <v>1</v>
      </c>
    </row>
    <row r="6" spans="1:2" x14ac:dyDescent="0.3">
      <c r="A6" s="5" t="s">
        <v>27</v>
      </c>
      <c r="B6" s="8">
        <v>2</v>
      </c>
    </row>
    <row r="7" spans="1:2" x14ac:dyDescent="0.3">
      <c r="A7" s="5" t="s">
        <v>6</v>
      </c>
      <c r="B7" s="8">
        <v>1</v>
      </c>
    </row>
    <row r="8" spans="1:2" x14ac:dyDescent="0.3">
      <c r="A8" s="5" t="s">
        <v>4</v>
      </c>
      <c r="B8" s="8">
        <v>7</v>
      </c>
    </row>
    <row r="9" spans="1:2" x14ac:dyDescent="0.3">
      <c r="A9" s="5" t="s">
        <v>38</v>
      </c>
      <c r="B9" s="8">
        <v>1</v>
      </c>
    </row>
    <row r="10" spans="1:2" x14ac:dyDescent="0.3">
      <c r="A10" s="5" t="s">
        <v>8</v>
      </c>
      <c r="B10" s="8">
        <v>1</v>
      </c>
    </row>
    <row r="11" spans="1:2" x14ac:dyDescent="0.3">
      <c r="A11" s="5" t="s">
        <v>1</v>
      </c>
      <c r="B11" s="8">
        <v>4</v>
      </c>
    </row>
    <row r="12" spans="1:2" x14ac:dyDescent="0.3">
      <c r="A12" s="5" t="s">
        <v>19</v>
      </c>
      <c r="B12" s="8">
        <v>2</v>
      </c>
    </row>
    <row r="13" spans="1:2" x14ac:dyDescent="0.3">
      <c r="A13" s="5" t="s">
        <v>10</v>
      </c>
      <c r="B13" s="8">
        <v>5</v>
      </c>
    </row>
    <row r="14" spans="1:2" x14ac:dyDescent="0.3">
      <c r="A14" s="5" t="s">
        <v>240</v>
      </c>
      <c r="B14" s="8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A381-82B6-404F-8766-F275CE44FD60}">
  <dimension ref="A1:D30"/>
  <sheetViews>
    <sheetView workbookViewId="0">
      <selection activeCell="A4" sqref="A4:D29"/>
    </sheetView>
  </sheetViews>
  <sheetFormatPr defaultRowHeight="14.4" x14ac:dyDescent="0.3"/>
  <cols>
    <col min="1" max="1" width="18.21875" bestFit="1" customWidth="1"/>
    <col min="2" max="2" width="15.5546875" bestFit="1" customWidth="1"/>
    <col min="3" max="3" width="5" bestFit="1" customWidth="1"/>
    <col min="4" max="6" width="10.5546875" bestFit="1" customWidth="1"/>
  </cols>
  <sheetData>
    <row r="1" spans="1:4" x14ac:dyDescent="0.3">
      <c r="A1" s="4" t="s">
        <v>258</v>
      </c>
      <c r="B1" t="s">
        <v>256</v>
      </c>
    </row>
    <row r="3" spans="1:4" x14ac:dyDescent="0.3">
      <c r="A3" s="4" t="s">
        <v>249</v>
      </c>
      <c r="B3" s="4" t="s">
        <v>259</v>
      </c>
    </row>
    <row r="4" spans="1:4" x14ac:dyDescent="0.3">
      <c r="A4" s="4" t="s">
        <v>260</v>
      </c>
      <c r="B4" t="s">
        <v>123</v>
      </c>
      <c r="C4" t="s">
        <v>122</v>
      </c>
      <c r="D4" t="s">
        <v>240</v>
      </c>
    </row>
    <row r="5" spans="1:4" x14ac:dyDescent="0.3">
      <c r="A5" s="5" t="s">
        <v>215</v>
      </c>
      <c r="B5" s="8"/>
      <c r="C5" s="8">
        <v>0.3</v>
      </c>
      <c r="D5" s="8">
        <v>0.3</v>
      </c>
    </row>
    <row r="6" spans="1:4" x14ac:dyDescent="0.3">
      <c r="A6" s="5" t="s">
        <v>190</v>
      </c>
      <c r="B6" s="8"/>
      <c r="C6" s="8">
        <v>0.41</v>
      </c>
      <c r="D6" s="8">
        <v>0.41</v>
      </c>
    </row>
    <row r="7" spans="1:4" x14ac:dyDescent="0.3">
      <c r="A7" s="5" t="s">
        <v>130</v>
      </c>
      <c r="B7" s="8"/>
      <c r="C7" s="8">
        <v>0.26</v>
      </c>
      <c r="D7" s="8">
        <v>0.26</v>
      </c>
    </row>
    <row r="8" spans="1:4" x14ac:dyDescent="0.3">
      <c r="A8" s="5" t="s">
        <v>177</v>
      </c>
      <c r="B8" s="8">
        <v>0.26</v>
      </c>
      <c r="C8" s="8"/>
      <c r="D8" s="8">
        <v>0.26</v>
      </c>
    </row>
    <row r="9" spans="1:4" x14ac:dyDescent="0.3">
      <c r="A9" s="5" t="s">
        <v>135</v>
      </c>
      <c r="B9" s="8"/>
      <c r="C9" s="8">
        <v>0.3</v>
      </c>
      <c r="D9" s="8">
        <v>0.3</v>
      </c>
    </row>
    <row r="10" spans="1:4" x14ac:dyDescent="0.3">
      <c r="A10" s="5" t="s">
        <v>128</v>
      </c>
      <c r="B10" s="8">
        <v>0.3</v>
      </c>
      <c r="C10" s="8"/>
      <c r="D10" s="8">
        <v>0.3</v>
      </c>
    </row>
    <row r="11" spans="1:4" x14ac:dyDescent="0.3">
      <c r="A11" s="5" t="s">
        <v>164</v>
      </c>
      <c r="B11" s="8">
        <v>0.3</v>
      </c>
      <c r="C11" s="8"/>
      <c r="D11" s="8">
        <v>0.3</v>
      </c>
    </row>
    <row r="12" spans="1:4" x14ac:dyDescent="0.3">
      <c r="A12" s="5" t="s">
        <v>125</v>
      </c>
      <c r="B12" s="8"/>
      <c r="C12" s="8">
        <v>0.3</v>
      </c>
      <c r="D12" s="8">
        <v>0.3</v>
      </c>
    </row>
    <row r="13" spans="1:4" x14ac:dyDescent="0.3">
      <c r="A13" s="5" t="s">
        <v>154</v>
      </c>
      <c r="B13" s="8"/>
      <c r="C13" s="8">
        <v>0.41</v>
      </c>
      <c r="D13" s="8">
        <v>0.41</v>
      </c>
    </row>
    <row r="14" spans="1:4" x14ac:dyDescent="0.3">
      <c r="A14" s="5" t="s">
        <v>216</v>
      </c>
      <c r="B14" s="8"/>
      <c r="C14" s="8">
        <v>0.78</v>
      </c>
      <c r="D14" s="8">
        <v>0.78</v>
      </c>
    </row>
    <row r="15" spans="1:4" x14ac:dyDescent="0.3">
      <c r="A15" s="5" t="s">
        <v>187</v>
      </c>
      <c r="B15" s="8"/>
      <c r="C15" s="8">
        <v>0.3</v>
      </c>
      <c r="D15" s="8">
        <v>0.3</v>
      </c>
    </row>
    <row r="16" spans="1:4" x14ac:dyDescent="0.3">
      <c r="A16" s="5" t="s">
        <v>199</v>
      </c>
      <c r="B16" s="8"/>
      <c r="C16" s="8">
        <v>0.28999999999999998</v>
      </c>
      <c r="D16" s="8">
        <v>0.28999999999999998</v>
      </c>
    </row>
    <row r="17" spans="1:4" x14ac:dyDescent="0.3">
      <c r="A17" s="5" t="s">
        <v>147</v>
      </c>
      <c r="B17" s="8"/>
      <c r="C17" s="8">
        <v>0.27</v>
      </c>
      <c r="D17" s="8">
        <v>0.27</v>
      </c>
    </row>
    <row r="18" spans="1:4" x14ac:dyDescent="0.3">
      <c r="A18" s="5" t="s">
        <v>213</v>
      </c>
      <c r="B18" s="8"/>
      <c r="C18" s="8">
        <v>0.26</v>
      </c>
      <c r="D18" s="8">
        <v>0.26</v>
      </c>
    </row>
    <row r="19" spans="1:4" x14ac:dyDescent="0.3">
      <c r="A19" s="5" t="s">
        <v>188</v>
      </c>
      <c r="B19" s="8"/>
      <c r="C19" s="8">
        <v>0.3</v>
      </c>
      <c r="D19" s="8">
        <v>0.3</v>
      </c>
    </row>
    <row r="20" spans="1:4" x14ac:dyDescent="0.3">
      <c r="A20" s="5" t="s">
        <v>124</v>
      </c>
      <c r="B20" s="8"/>
      <c r="C20" s="8">
        <v>0.26</v>
      </c>
      <c r="D20" s="8">
        <v>0.26</v>
      </c>
    </row>
    <row r="21" spans="1:4" x14ac:dyDescent="0.3">
      <c r="A21" s="5" t="s">
        <v>150</v>
      </c>
      <c r="B21" s="8"/>
      <c r="C21" s="8">
        <v>0.3</v>
      </c>
      <c r="D21" s="8">
        <v>0.3</v>
      </c>
    </row>
    <row r="22" spans="1:4" x14ac:dyDescent="0.3">
      <c r="A22" s="5" t="s">
        <v>202</v>
      </c>
      <c r="B22" s="8"/>
      <c r="C22" s="8">
        <v>0.33</v>
      </c>
      <c r="D22" s="8">
        <v>0.33</v>
      </c>
    </row>
    <row r="23" spans="1:4" x14ac:dyDescent="0.3">
      <c r="A23" s="5" t="s">
        <v>153</v>
      </c>
      <c r="B23" s="8"/>
      <c r="C23" s="8">
        <v>0.3</v>
      </c>
      <c r="D23" s="8">
        <v>0.3</v>
      </c>
    </row>
    <row r="24" spans="1:4" x14ac:dyDescent="0.3">
      <c r="A24" s="5" t="s">
        <v>194</v>
      </c>
      <c r="B24" s="8"/>
      <c r="C24" s="8">
        <v>0.3</v>
      </c>
      <c r="D24" s="8">
        <v>0.3</v>
      </c>
    </row>
    <row r="25" spans="1:4" x14ac:dyDescent="0.3">
      <c r="A25" s="5" t="s">
        <v>161</v>
      </c>
      <c r="B25" s="8">
        <v>0.3</v>
      </c>
      <c r="C25" s="8"/>
      <c r="D25" s="8">
        <v>0.3</v>
      </c>
    </row>
    <row r="26" spans="1:4" x14ac:dyDescent="0.3">
      <c r="A26" s="5" t="s">
        <v>136</v>
      </c>
      <c r="B26" s="8"/>
      <c r="C26" s="8">
        <v>0.3</v>
      </c>
      <c r="D26" s="8">
        <v>0.3</v>
      </c>
    </row>
    <row r="27" spans="1:4" x14ac:dyDescent="0.3">
      <c r="A27" s="5" t="s">
        <v>134</v>
      </c>
      <c r="B27" s="8"/>
      <c r="C27" s="8">
        <v>0.28999999999999998</v>
      </c>
      <c r="D27" s="8">
        <v>0.28999999999999998</v>
      </c>
    </row>
    <row r="28" spans="1:4" x14ac:dyDescent="0.3">
      <c r="A28" s="5" t="s">
        <v>195</v>
      </c>
      <c r="B28" s="8"/>
      <c r="C28" s="8">
        <v>0.35</v>
      </c>
      <c r="D28" s="8">
        <v>0.35</v>
      </c>
    </row>
    <row r="29" spans="1:4" x14ac:dyDescent="0.3">
      <c r="A29" s="5" t="s">
        <v>137</v>
      </c>
      <c r="B29" s="8"/>
      <c r="C29" s="8">
        <v>0.28000000000000003</v>
      </c>
      <c r="D29" s="8">
        <v>0.28000000000000003</v>
      </c>
    </row>
    <row r="30" spans="1:4" x14ac:dyDescent="0.3">
      <c r="A30" s="5" t="s">
        <v>240</v>
      </c>
      <c r="B30" s="8">
        <v>1.1600000000000001</v>
      </c>
      <c r="C30" s="8">
        <v>6.8899999999999988</v>
      </c>
      <c r="D30" s="8">
        <v>8.0499999999999989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EE3E-9DFD-4E25-82DA-67FC6A5092DB}">
  <dimension ref="A1:C26"/>
  <sheetViews>
    <sheetView workbookViewId="0">
      <selection activeCell="B30" sqref="B30"/>
    </sheetView>
  </sheetViews>
  <sheetFormatPr defaultRowHeight="14.4" x14ac:dyDescent="0.3"/>
  <cols>
    <col min="1" max="1" width="21.77734375" customWidth="1"/>
    <col min="2" max="2" width="12.44140625" style="1" customWidth="1"/>
    <col min="3" max="3" width="13.33203125" style="1" customWidth="1"/>
  </cols>
  <sheetData>
    <row r="1" spans="1:3" x14ac:dyDescent="0.3">
      <c r="A1" t="s">
        <v>109</v>
      </c>
      <c r="B1" s="1" t="s">
        <v>123</v>
      </c>
      <c r="C1" s="1" t="s">
        <v>122</v>
      </c>
    </row>
    <row r="2" spans="1:3" x14ac:dyDescent="0.3">
      <c r="A2" t="s">
        <v>216</v>
      </c>
      <c r="C2" s="1">
        <v>0.78</v>
      </c>
    </row>
    <row r="3" spans="1:3" x14ac:dyDescent="0.3">
      <c r="A3" t="s">
        <v>190</v>
      </c>
      <c r="C3" s="1">
        <v>0.41</v>
      </c>
    </row>
    <row r="4" spans="1:3" x14ac:dyDescent="0.3">
      <c r="A4" t="s">
        <v>154</v>
      </c>
      <c r="C4" s="1">
        <v>0.41</v>
      </c>
    </row>
    <row r="5" spans="1:3" x14ac:dyDescent="0.3">
      <c r="A5" t="s">
        <v>195</v>
      </c>
      <c r="C5" s="1">
        <v>0.35</v>
      </c>
    </row>
    <row r="6" spans="1:3" x14ac:dyDescent="0.3">
      <c r="A6" t="s">
        <v>202</v>
      </c>
      <c r="C6" s="1">
        <v>0.33</v>
      </c>
    </row>
    <row r="7" spans="1:3" x14ac:dyDescent="0.3">
      <c r="A7" t="s">
        <v>215</v>
      </c>
      <c r="C7" s="1">
        <v>0.3</v>
      </c>
    </row>
    <row r="8" spans="1:3" x14ac:dyDescent="0.3">
      <c r="A8" t="s">
        <v>135</v>
      </c>
      <c r="C8" s="1">
        <v>0.3</v>
      </c>
    </row>
    <row r="9" spans="1:3" x14ac:dyDescent="0.3">
      <c r="A9" t="s">
        <v>125</v>
      </c>
      <c r="C9" s="1">
        <v>0.3</v>
      </c>
    </row>
    <row r="10" spans="1:3" x14ac:dyDescent="0.3">
      <c r="A10" t="s">
        <v>187</v>
      </c>
      <c r="C10" s="1">
        <v>0.3</v>
      </c>
    </row>
    <row r="11" spans="1:3" x14ac:dyDescent="0.3">
      <c r="A11" t="s">
        <v>188</v>
      </c>
      <c r="C11" s="1">
        <v>0.3</v>
      </c>
    </row>
    <row r="12" spans="1:3" x14ac:dyDescent="0.3">
      <c r="A12" t="s">
        <v>150</v>
      </c>
      <c r="C12" s="1">
        <v>0.3</v>
      </c>
    </row>
    <row r="13" spans="1:3" x14ac:dyDescent="0.3">
      <c r="A13" t="s">
        <v>153</v>
      </c>
      <c r="C13" s="1">
        <v>0.3</v>
      </c>
    </row>
    <row r="14" spans="1:3" x14ac:dyDescent="0.3">
      <c r="A14" t="s">
        <v>194</v>
      </c>
      <c r="C14" s="1">
        <v>0.3</v>
      </c>
    </row>
    <row r="15" spans="1:3" x14ac:dyDescent="0.3">
      <c r="A15" t="s">
        <v>136</v>
      </c>
      <c r="C15" s="1">
        <v>0.3</v>
      </c>
    </row>
    <row r="16" spans="1:3" x14ac:dyDescent="0.3">
      <c r="A16" t="s">
        <v>199</v>
      </c>
      <c r="C16" s="1">
        <v>0.28999999999999998</v>
      </c>
    </row>
    <row r="17" spans="1:3" x14ac:dyDescent="0.3">
      <c r="A17" t="s">
        <v>134</v>
      </c>
      <c r="C17" s="1">
        <v>0.28999999999999998</v>
      </c>
    </row>
    <row r="18" spans="1:3" x14ac:dyDescent="0.3">
      <c r="A18" t="s">
        <v>137</v>
      </c>
      <c r="C18" s="1">
        <v>0.28000000000000003</v>
      </c>
    </row>
    <row r="19" spans="1:3" x14ac:dyDescent="0.3">
      <c r="A19" t="s">
        <v>147</v>
      </c>
      <c r="C19" s="1">
        <v>0.27</v>
      </c>
    </row>
    <row r="20" spans="1:3" x14ac:dyDescent="0.3">
      <c r="A20" t="s">
        <v>130</v>
      </c>
      <c r="C20" s="1">
        <v>0.26</v>
      </c>
    </row>
    <row r="21" spans="1:3" x14ac:dyDescent="0.3">
      <c r="A21" t="s">
        <v>213</v>
      </c>
      <c r="C21" s="1">
        <v>0.26</v>
      </c>
    </row>
    <row r="22" spans="1:3" x14ac:dyDescent="0.3">
      <c r="A22" t="s">
        <v>124</v>
      </c>
      <c r="C22" s="1">
        <v>0.26</v>
      </c>
    </row>
    <row r="23" spans="1:3" x14ac:dyDescent="0.3">
      <c r="A23" t="s">
        <v>177</v>
      </c>
      <c r="B23" s="1">
        <v>0.26</v>
      </c>
    </row>
    <row r="24" spans="1:3" x14ac:dyDescent="0.3">
      <c r="A24" t="s">
        <v>128</v>
      </c>
      <c r="B24" s="1">
        <v>0.3</v>
      </c>
    </row>
    <row r="25" spans="1:3" x14ac:dyDescent="0.3">
      <c r="A25" t="s">
        <v>164</v>
      </c>
      <c r="B25" s="1">
        <v>0.3</v>
      </c>
    </row>
    <row r="26" spans="1:3" x14ac:dyDescent="0.3">
      <c r="A26" t="s">
        <v>161</v>
      </c>
      <c r="B26" s="1">
        <v>0.3</v>
      </c>
    </row>
  </sheetData>
  <conditionalFormatting sqref="C2:C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3BD7-16A4-420B-A35C-B3ABE0C16BE1}">
  <dimension ref="A1:C13"/>
  <sheetViews>
    <sheetView workbookViewId="0">
      <selection activeCell="N3" sqref="N3"/>
    </sheetView>
  </sheetViews>
  <sheetFormatPr defaultRowHeight="14.4" x14ac:dyDescent="0.3"/>
  <cols>
    <col min="1" max="1" width="18.21875" customWidth="1"/>
    <col min="2" max="2" width="15.77734375" style="1" customWidth="1"/>
    <col min="3" max="3" width="21.6640625" style="1" customWidth="1"/>
  </cols>
  <sheetData>
    <row r="1" spans="1:3" x14ac:dyDescent="0.3">
      <c r="A1" t="s">
        <v>245</v>
      </c>
      <c r="B1" s="1" t="s">
        <v>244</v>
      </c>
      <c r="C1" s="1" t="s">
        <v>246</v>
      </c>
    </row>
    <row r="2" spans="1:3" x14ac:dyDescent="0.3">
      <c r="A2" t="s">
        <v>225</v>
      </c>
      <c r="B2" s="1">
        <v>40</v>
      </c>
      <c r="C2" s="6">
        <f>Table4[[#This Row],[COUNT]]/100</f>
        <v>0.4</v>
      </c>
    </row>
    <row r="3" spans="1:3" x14ac:dyDescent="0.3">
      <c r="A3" t="s">
        <v>226</v>
      </c>
      <c r="B3" s="1">
        <v>16</v>
      </c>
      <c r="C3" s="6">
        <f>Table4[[#This Row],[COUNT]]/100</f>
        <v>0.16</v>
      </c>
    </row>
    <row r="4" spans="1:3" x14ac:dyDescent="0.3">
      <c r="A4" t="s">
        <v>227</v>
      </c>
      <c r="B4" s="1">
        <v>15</v>
      </c>
      <c r="C4" s="6">
        <f>Table4[[#This Row],[COUNT]]/100</f>
        <v>0.15</v>
      </c>
    </row>
    <row r="5" spans="1:3" x14ac:dyDescent="0.3">
      <c r="A5" t="s">
        <v>230</v>
      </c>
      <c r="B5" s="1">
        <v>8</v>
      </c>
      <c r="C5" s="6">
        <f>Table4[[#This Row],[COUNT]]/100</f>
        <v>0.08</v>
      </c>
    </row>
    <row r="6" spans="1:3" x14ac:dyDescent="0.3">
      <c r="A6" t="s">
        <v>229</v>
      </c>
      <c r="B6" s="1">
        <v>7</v>
      </c>
      <c r="C6" s="6">
        <f>Table4[[#This Row],[COUNT]]/100</f>
        <v>7.0000000000000007E-2</v>
      </c>
    </row>
    <row r="7" spans="1:3" x14ac:dyDescent="0.3">
      <c r="A7" t="s">
        <v>228</v>
      </c>
      <c r="B7" s="1">
        <v>4</v>
      </c>
      <c r="C7" s="6">
        <f>Table4[[#This Row],[COUNT]]/100</f>
        <v>0.04</v>
      </c>
    </row>
    <row r="8" spans="1:3" x14ac:dyDescent="0.3">
      <c r="A8" t="s">
        <v>107</v>
      </c>
      <c r="B8" s="1">
        <v>4</v>
      </c>
      <c r="C8" s="6">
        <f>Table4[[#This Row],[COUNT]]/100</f>
        <v>0.04</v>
      </c>
    </row>
    <row r="9" spans="1:3" x14ac:dyDescent="0.3">
      <c r="A9" t="s">
        <v>12</v>
      </c>
      <c r="B9" s="1">
        <v>2</v>
      </c>
      <c r="C9" s="6">
        <f>Table4[[#This Row],[COUNT]]/100</f>
        <v>0.02</v>
      </c>
    </row>
    <row r="10" spans="1:3" x14ac:dyDescent="0.3">
      <c r="A10" t="s">
        <v>233</v>
      </c>
      <c r="B10" s="1">
        <v>1</v>
      </c>
      <c r="C10" s="6">
        <f>Table4[[#This Row],[COUNT]]/100</f>
        <v>0.01</v>
      </c>
    </row>
    <row r="11" spans="1:3" x14ac:dyDescent="0.3">
      <c r="A11" t="s">
        <v>232</v>
      </c>
      <c r="B11" s="1">
        <v>1</v>
      </c>
      <c r="C11" s="6">
        <f>Table4[[#This Row],[COUNT]]/100</f>
        <v>0.01</v>
      </c>
    </row>
    <row r="12" spans="1:3" x14ac:dyDescent="0.3">
      <c r="A12" t="s">
        <v>224</v>
      </c>
      <c r="B12" s="1">
        <v>1</v>
      </c>
      <c r="C12" s="6">
        <f>Table4[[#This Row],[COUNT]]/100</f>
        <v>0.01</v>
      </c>
    </row>
    <row r="13" spans="1:3" x14ac:dyDescent="0.3">
      <c r="A13" t="s">
        <v>231</v>
      </c>
      <c r="B13" s="1">
        <v>1</v>
      </c>
      <c r="C13" s="6">
        <f>Table4[[#This Row],[COUNT]]/100</f>
        <v>0.01</v>
      </c>
    </row>
  </sheetData>
  <conditionalFormatting sqref="B2: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{2E5321DD-F326-4D5C-A355-AE3C88778A5E}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5321DD-F326-4D5C-A355-AE3C88778A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3037-3ED0-4BF5-A005-DBC5BB505891}">
  <dimension ref="A1:C18"/>
  <sheetViews>
    <sheetView workbookViewId="0">
      <selection activeCell="C31" sqref="C31"/>
    </sheetView>
  </sheetViews>
  <sheetFormatPr defaultRowHeight="14.4" x14ac:dyDescent="0.3"/>
  <cols>
    <col min="1" max="1" width="22.109375" customWidth="1"/>
    <col min="2" max="2" width="17.6640625" style="1" customWidth="1"/>
    <col min="3" max="3" width="24.109375" style="1" customWidth="1"/>
  </cols>
  <sheetData>
    <row r="1" spans="1:3" x14ac:dyDescent="0.3">
      <c r="A1" t="s">
        <v>112</v>
      </c>
      <c r="B1" s="1" t="s">
        <v>242</v>
      </c>
      <c r="C1" s="1" t="s">
        <v>243</v>
      </c>
    </row>
    <row r="2" spans="1:3" x14ac:dyDescent="0.3">
      <c r="A2" t="s">
        <v>77</v>
      </c>
      <c r="B2" s="3">
        <v>0.22857142857142856</v>
      </c>
      <c r="C2" s="1">
        <v>1</v>
      </c>
    </row>
    <row r="3" spans="1:3" x14ac:dyDescent="0.3">
      <c r="A3" t="s">
        <v>17</v>
      </c>
      <c r="B3" s="3">
        <v>0.55555555555555558</v>
      </c>
      <c r="C3" s="1">
        <v>1</v>
      </c>
    </row>
    <row r="4" spans="1:3" x14ac:dyDescent="0.3">
      <c r="A4" t="s">
        <v>55</v>
      </c>
      <c r="B4" s="3">
        <v>0.66666666666666663</v>
      </c>
      <c r="C4" s="1">
        <v>1</v>
      </c>
    </row>
    <row r="5" spans="1:3" x14ac:dyDescent="0.3">
      <c r="A5" t="s">
        <v>62</v>
      </c>
      <c r="B5" s="3">
        <v>0.8125</v>
      </c>
      <c r="C5" s="1">
        <v>1</v>
      </c>
    </row>
    <row r="6" spans="1:3" x14ac:dyDescent="0.3">
      <c r="A6" t="s">
        <v>72</v>
      </c>
      <c r="B6" s="3">
        <v>1.1666666666666667</v>
      </c>
      <c r="C6" s="1">
        <v>1</v>
      </c>
    </row>
    <row r="7" spans="1:3" x14ac:dyDescent="0.3">
      <c r="A7" t="s">
        <v>12</v>
      </c>
      <c r="B7" s="3">
        <v>0.4878917378917379</v>
      </c>
      <c r="C7" s="1">
        <v>2</v>
      </c>
    </row>
    <row r="8" spans="1:3" x14ac:dyDescent="0.3">
      <c r="A8" t="s">
        <v>32</v>
      </c>
      <c r="B8" s="3">
        <v>0.25417035072207489</v>
      </c>
      <c r="C8" s="1">
        <v>3</v>
      </c>
    </row>
    <row r="9" spans="1:3" x14ac:dyDescent="0.3">
      <c r="A9" t="s">
        <v>8</v>
      </c>
      <c r="B9" s="3">
        <v>0.46141414141414133</v>
      </c>
      <c r="C9" s="1">
        <v>3</v>
      </c>
    </row>
    <row r="10" spans="1:3" x14ac:dyDescent="0.3">
      <c r="A10" t="s">
        <v>27</v>
      </c>
      <c r="B10" s="3">
        <v>0.66562500000000002</v>
      </c>
      <c r="C10" s="1">
        <v>4</v>
      </c>
    </row>
    <row r="11" spans="1:3" x14ac:dyDescent="0.3">
      <c r="A11" t="s">
        <v>47</v>
      </c>
      <c r="B11" s="3">
        <v>0.60202564102564105</v>
      </c>
      <c r="C11" s="1">
        <v>5</v>
      </c>
    </row>
    <row r="12" spans="1:3" x14ac:dyDescent="0.3">
      <c r="A12" t="s">
        <v>6</v>
      </c>
      <c r="B12" s="3">
        <v>0.52442297369833601</v>
      </c>
      <c r="C12" s="1">
        <v>6</v>
      </c>
    </row>
    <row r="13" spans="1:3" x14ac:dyDescent="0.3">
      <c r="A13" t="s">
        <v>19</v>
      </c>
      <c r="B13" s="3">
        <v>0.89329875706687289</v>
      </c>
      <c r="C13" s="1">
        <v>6</v>
      </c>
    </row>
    <row r="14" spans="1:3" x14ac:dyDescent="0.3">
      <c r="A14" t="s">
        <v>53</v>
      </c>
      <c r="B14" s="3">
        <v>0.53705868711120819</v>
      </c>
      <c r="C14" s="1">
        <v>7</v>
      </c>
    </row>
    <row r="15" spans="1:3" x14ac:dyDescent="0.3">
      <c r="A15" t="s">
        <v>38</v>
      </c>
      <c r="B15" s="3">
        <v>0.70598309377296709</v>
      </c>
      <c r="C15" s="1">
        <v>10</v>
      </c>
    </row>
    <row r="16" spans="1:3" x14ac:dyDescent="0.3">
      <c r="A16" t="s">
        <v>1</v>
      </c>
      <c r="B16" s="3">
        <v>0.93659575718399235</v>
      </c>
      <c r="C16" s="1">
        <v>11</v>
      </c>
    </row>
    <row r="17" spans="1:3" x14ac:dyDescent="0.3">
      <c r="A17" t="s">
        <v>10</v>
      </c>
      <c r="B17" s="3">
        <v>0.81594187732114676</v>
      </c>
      <c r="C17" s="1">
        <v>18</v>
      </c>
    </row>
    <row r="18" spans="1:3" x14ac:dyDescent="0.3">
      <c r="A18" t="s">
        <v>4</v>
      </c>
      <c r="B18" s="3">
        <v>0.82240169160559462</v>
      </c>
      <c r="C18" s="1">
        <v>20</v>
      </c>
    </row>
  </sheetData>
  <conditionalFormatting sqref="B2:B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{559C7A19-7450-4DE4-9F9E-2A0AA4C9336C}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9C7A19-7450-4DE4-9F9E-2A0AA4C93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570D-8C29-433B-ABEC-EF5F9FC7439F}">
  <dimension ref="A1:B4"/>
  <sheetViews>
    <sheetView workbookViewId="0">
      <selection activeCell="A13" sqref="A13"/>
    </sheetView>
  </sheetViews>
  <sheetFormatPr defaultRowHeight="14.4" x14ac:dyDescent="0.3"/>
  <cols>
    <col min="1" max="1" width="16.109375" style="1" customWidth="1"/>
    <col min="2" max="2" width="15.77734375" style="1" customWidth="1"/>
  </cols>
  <sheetData>
    <row r="1" spans="1:2" x14ac:dyDescent="0.3">
      <c r="A1" s="1" t="s">
        <v>110</v>
      </c>
      <c r="B1" s="1" t="s">
        <v>244</v>
      </c>
    </row>
    <row r="2" spans="1:2" x14ac:dyDescent="0.3">
      <c r="A2" s="1" t="s">
        <v>122</v>
      </c>
      <c r="B2" s="1">
        <v>66</v>
      </c>
    </row>
    <row r="3" spans="1:2" x14ac:dyDescent="0.3">
      <c r="A3" s="1" t="s">
        <v>123</v>
      </c>
      <c r="B3" s="1">
        <v>29</v>
      </c>
    </row>
    <row r="4" spans="1:2" x14ac:dyDescent="0.3">
      <c r="A4" s="1" t="s">
        <v>114</v>
      </c>
      <c r="B4" s="1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0C84-6C44-4369-B18E-CFAD4B875FC0}">
  <dimension ref="A1:B14"/>
  <sheetViews>
    <sheetView workbookViewId="0">
      <selection activeCell="C5" sqref="C5"/>
    </sheetView>
  </sheetViews>
  <sheetFormatPr defaultRowHeight="14.4" x14ac:dyDescent="0.3"/>
  <cols>
    <col min="1" max="1" width="11" customWidth="1"/>
    <col min="2" max="2" width="19.6640625" customWidth="1"/>
  </cols>
  <sheetData>
    <row r="1" spans="1:2" x14ac:dyDescent="0.3">
      <c r="A1" t="s">
        <v>245</v>
      </c>
      <c r="B1" t="s">
        <v>247</v>
      </c>
    </row>
    <row r="2" spans="1:2" x14ac:dyDescent="0.3">
      <c r="A2" t="s">
        <v>232</v>
      </c>
      <c r="B2" s="3">
        <v>0.65</v>
      </c>
    </row>
    <row r="3" spans="1:2" x14ac:dyDescent="0.3">
      <c r="A3" t="s">
        <v>12</v>
      </c>
      <c r="B3" s="3">
        <v>0.47</v>
      </c>
    </row>
    <row r="4" spans="1:2" x14ac:dyDescent="0.3">
      <c r="A4" t="s">
        <v>227</v>
      </c>
      <c r="B4" s="3">
        <v>0.378</v>
      </c>
    </row>
    <row r="5" spans="1:2" x14ac:dyDescent="0.3">
      <c r="A5" t="s">
        <v>229</v>
      </c>
      <c r="B5" s="3">
        <v>0.36</v>
      </c>
    </row>
    <row r="6" spans="1:2" x14ac:dyDescent="0.3">
      <c r="A6" t="s">
        <v>107</v>
      </c>
      <c r="B6" s="3">
        <v>0.34500000000000003</v>
      </c>
    </row>
    <row r="7" spans="1:2" x14ac:dyDescent="0.3">
      <c r="A7" t="s">
        <v>250</v>
      </c>
      <c r="B7" s="3">
        <v>0.32600000000000023</v>
      </c>
    </row>
    <row r="8" spans="1:2" x14ac:dyDescent="0.3">
      <c r="A8" t="s">
        <v>226</v>
      </c>
      <c r="B8" s="3">
        <v>0.32</v>
      </c>
    </row>
    <row r="9" spans="1:2" x14ac:dyDescent="0.3">
      <c r="A9" t="s">
        <v>225</v>
      </c>
      <c r="B9" s="3">
        <v>0.30399999999999999</v>
      </c>
    </row>
    <row r="10" spans="1:2" x14ac:dyDescent="0.3">
      <c r="A10" t="s">
        <v>228</v>
      </c>
      <c r="B10" s="3">
        <v>0.29249999999999998</v>
      </c>
    </row>
    <row r="11" spans="1:2" x14ac:dyDescent="0.3">
      <c r="A11" t="s">
        <v>231</v>
      </c>
      <c r="B11" s="3">
        <v>0.28000000000000003</v>
      </c>
    </row>
    <row r="12" spans="1:2" x14ac:dyDescent="0.3">
      <c r="A12" t="s">
        <v>230</v>
      </c>
      <c r="B12" s="3">
        <v>0.27250000000000002</v>
      </c>
    </row>
    <row r="13" spans="1:2" x14ac:dyDescent="0.3">
      <c r="A13" t="s">
        <v>233</v>
      </c>
      <c r="B13" s="3">
        <v>0.27</v>
      </c>
    </row>
    <row r="14" spans="1:2" x14ac:dyDescent="0.3">
      <c r="A14" t="s">
        <v>224</v>
      </c>
      <c r="B14" s="3">
        <v>0.26</v>
      </c>
    </row>
  </sheetData>
  <conditionalFormatting sqref="B2: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C4C7-1ECF-4CC8-838A-EA72ED98EBD0}">
  <dimension ref="A1:C13"/>
  <sheetViews>
    <sheetView workbookViewId="0">
      <selection activeCell="O29" sqref="O29"/>
    </sheetView>
  </sheetViews>
  <sheetFormatPr defaultRowHeight="14.4" x14ac:dyDescent="0.3"/>
  <cols>
    <col min="1" max="1" width="18.33203125" customWidth="1"/>
    <col min="2" max="2" width="17.88671875" customWidth="1"/>
    <col min="3" max="3" width="18.88671875" customWidth="1"/>
  </cols>
  <sheetData>
    <row r="1" spans="1:3" x14ac:dyDescent="0.3">
      <c r="A1" t="s">
        <v>245</v>
      </c>
      <c r="B1" t="s">
        <v>247</v>
      </c>
      <c r="C1" t="s">
        <v>251</v>
      </c>
    </row>
    <row r="2" spans="1:3" x14ac:dyDescent="0.3">
      <c r="A2" t="s">
        <v>232</v>
      </c>
      <c r="B2" s="3">
        <v>0.65</v>
      </c>
      <c r="C2" s="1">
        <v>1</v>
      </c>
    </row>
    <row r="3" spans="1:3" x14ac:dyDescent="0.3">
      <c r="A3" t="s">
        <v>12</v>
      </c>
      <c r="B3" s="3">
        <v>0.47</v>
      </c>
      <c r="C3" s="1">
        <v>2</v>
      </c>
    </row>
    <row r="4" spans="1:3" x14ac:dyDescent="0.3">
      <c r="A4" t="s">
        <v>227</v>
      </c>
      <c r="B4" s="3">
        <v>0.378</v>
      </c>
      <c r="C4" s="1">
        <v>15</v>
      </c>
    </row>
    <row r="5" spans="1:3" x14ac:dyDescent="0.3">
      <c r="A5" t="s">
        <v>229</v>
      </c>
      <c r="B5" s="3">
        <v>0.36</v>
      </c>
      <c r="C5" s="1">
        <v>7</v>
      </c>
    </row>
    <row r="6" spans="1:3" x14ac:dyDescent="0.3">
      <c r="A6" t="s">
        <v>107</v>
      </c>
      <c r="B6" s="3">
        <v>0.34500000000000003</v>
      </c>
      <c r="C6" s="1">
        <v>4</v>
      </c>
    </row>
    <row r="7" spans="1:3" x14ac:dyDescent="0.3">
      <c r="A7" t="s">
        <v>226</v>
      </c>
      <c r="B7" s="3">
        <v>0.32</v>
      </c>
      <c r="C7" s="1">
        <v>16</v>
      </c>
    </row>
    <row r="8" spans="1:3" x14ac:dyDescent="0.3">
      <c r="A8" t="s">
        <v>225</v>
      </c>
      <c r="B8" s="3">
        <v>0.30399999999999999</v>
      </c>
      <c r="C8" s="1">
        <v>40</v>
      </c>
    </row>
    <row r="9" spans="1:3" x14ac:dyDescent="0.3">
      <c r="A9" t="s">
        <v>228</v>
      </c>
      <c r="B9" s="3">
        <v>0.29249999999999998</v>
      </c>
      <c r="C9" s="1">
        <v>4</v>
      </c>
    </row>
    <row r="10" spans="1:3" x14ac:dyDescent="0.3">
      <c r="A10" t="s">
        <v>231</v>
      </c>
      <c r="B10" s="3">
        <v>0.28000000000000003</v>
      </c>
      <c r="C10" s="1">
        <v>1</v>
      </c>
    </row>
    <row r="11" spans="1:3" x14ac:dyDescent="0.3">
      <c r="A11" t="s">
        <v>230</v>
      </c>
      <c r="B11" s="3">
        <v>0.27250000000000002</v>
      </c>
      <c r="C11" s="1">
        <v>8</v>
      </c>
    </row>
    <row r="12" spans="1:3" x14ac:dyDescent="0.3">
      <c r="A12" t="s">
        <v>233</v>
      </c>
      <c r="B12" s="3">
        <v>0.27</v>
      </c>
      <c r="C12" s="1">
        <v>1</v>
      </c>
    </row>
    <row r="13" spans="1:3" x14ac:dyDescent="0.3">
      <c r="A13" t="s">
        <v>224</v>
      </c>
      <c r="B13" s="3">
        <v>0.26</v>
      </c>
      <c r="C13" s="1">
        <v>1</v>
      </c>
    </row>
  </sheetData>
  <conditionalFormatting sqref="C2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TOP_100_PROSPECTS</vt:lpstr>
      <vt:lpstr>TOP_QUARTILE</vt:lpstr>
      <vt:lpstr>PIVOT_TOP_QUART</vt:lpstr>
      <vt:lpstr>PIVOT_TABLE_TOP_100</vt:lpstr>
      <vt:lpstr>TOP_Q_BY_POS</vt:lpstr>
      <vt:lpstr>NATIONALITY</vt:lpstr>
      <vt:lpstr>LEAGUES</vt:lpstr>
      <vt:lpstr>POSITION</vt:lpstr>
      <vt:lpstr>NHLe_BY_COUNTRY</vt:lpstr>
      <vt:lpstr>NHLe_AND_PLAYER_TOT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2025-12-26T19:51:13Z</dcterms:created>
  <dcterms:modified xsi:type="dcterms:W3CDTF">2025-12-27T00:27:50Z</dcterms:modified>
</cp:coreProperties>
</file>