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unk_Media_GH\data_punk_media\Living_Course_Modules\Module_5_Team_and_Player_Performance\3_Analysis\"/>
    </mc:Choice>
  </mc:AlternateContent>
  <xr:revisionPtr revIDLastSave="0" documentId="13_ncr:1_{2E3677C8-7D56-4AB1-811C-B3798B96BAA0}" xr6:coauthVersionLast="47" xr6:coauthVersionMax="47" xr10:uidLastSave="{00000000-0000-0000-0000-000000000000}"/>
  <bookViews>
    <workbookView xWindow="-108" yWindow="-108" windowWidth="30936" windowHeight="18696" xr2:uid="{29CFFA18-9C58-4A55-A15E-9115CA3476BD}"/>
  </bookViews>
  <sheets>
    <sheet name="All_Data" sheetId="1" r:id="rId1"/>
    <sheet name="Pivot_Table" sheetId="3" r:id="rId2"/>
    <sheet name="Divisions" sheetId="5" r:id="rId3"/>
    <sheet name="Points" sheetId="8" r:id="rId4"/>
    <sheet name="Win_Prob" sheetId="2" r:id="rId5"/>
    <sheet name="Balance" sheetId="4" r:id="rId6"/>
    <sheet name="Sheet1" sheetId="9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" l="1"/>
  <c r="K12" i="9"/>
  <c r="D13" i="9"/>
  <c r="K13" i="9"/>
  <c r="D14" i="9"/>
  <c r="K14" i="9"/>
  <c r="D15" i="9"/>
  <c r="K15" i="9"/>
  <c r="D16" i="9"/>
  <c r="K16" i="9"/>
  <c r="D17" i="9"/>
  <c r="K17" i="9"/>
  <c r="D18" i="9"/>
  <c r="K18" i="9"/>
  <c r="D19" i="9"/>
  <c r="K19" i="9"/>
  <c r="D20" i="9"/>
  <c r="K20" i="9"/>
  <c r="D21" i="9"/>
  <c r="K21" i="9"/>
  <c r="D22" i="9"/>
  <c r="K22" i="9"/>
  <c r="D23" i="9"/>
  <c r="K23" i="9"/>
  <c r="D24" i="9"/>
  <c r="K24" i="9"/>
  <c r="D25" i="9"/>
  <c r="K25" i="9"/>
  <c r="D26" i="9"/>
  <c r="K26" i="9"/>
  <c r="D27" i="9"/>
  <c r="K27" i="9"/>
  <c r="D28" i="9"/>
  <c r="K28" i="9"/>
  <c r="D29" i="9"/>
  <c r="K29" i="9"/>
  <c r="D30" i="9"/>
  <c r="K30" i="9"/>
  <c r="D31" i="9"/>
  <c r="K31" i="9"/>
  <c r="D32" i="9"/>
  <c r="K32" i="9"/>
  <c r="D33" i="9"/>
  <c r="K33" i="9"/>
  <c r="K2" i="9"/>
  <c r="K3" i="9"/>
  <c r="K4" i="9"/>
  <c r="K5" i="9"/>
  <c r="K6" i="9"/>
  <c r="K7" i="9"/>
  <c r="K8" i="9"/>
  <c r="K9" i="9"/>
  <c r="K10" i="9"/>
  <c r="K11" i="9"/>
  <c r="D11" i="9"/>
  <c r="D10" i="9"/>
  <c r="D9" i="9"/>
  <c r="D8" i="9"/>
  <c r="D7" i="9"/>
  <c r="D6" i="9"/>
  <c r="D5" i="9"/>
  <c r="D4" i="9"/>
  <c r="D3" i="9"/>
  <c r="D2" i="9"/>
  <c r="C34" i="2"/>
  <c r="D34" i="2"/>
  <c r="B34" i="2"/>
  <c r="K19" i="4"/>
  <c r="K10" i="4"/>
  <c r="K9" i="4"/>
  <c r="K26" i="4"/>
  <c r="K5" i="4"/>
  <c r="K29" i="4"/>
  <c r="K2" i="4"/>
  <c r="K18" i="4"/>
  <c r="K4" i="4"/>
  <c r="K17" i="4"/>
  <c r="K15" i="4"/>
  <c r="K21" i="4"/>
  <c r="K25" i="4"/>
  <c r="K7" i="4"/>
  <c r="K13" i="4"/>
  <c r="K27" i="4"/>
  <c r="K31" i="4"/>
  <c r="K14" i="4"/>
  <c r="K30" i="4"/>
  <c r="K16" i="4"/>
  <c r="K22" i="4"/>
  <c r="K6" i="4"/>
  <c r="K28" i="4"/>
  <c r="K20" i="4"/>
  <c r="K32" i="4"/>
  <c r="K3" i="4"/>
  <c r="K23" i="4"/>
  <c r="K8" i="4"/>
  <c r="K33" i="4"/>
  <c r="K11" i="4"/>
  <c r="K12" i="4"/>
  <c r="K24" i="4"/>
  <c r="D24" i="4"/>
  <c r="D12" i="4"/>
  <c r="D11" i="4"/>
  <c r="D33" i="4"/>
  <c r="D8" i="4"/>
  <c r="D23" i="4"/>
  <c r="D3" i="4"/>
  <c r="D32" i="4"/>
  <c r="D20" i="4"/>
  <c r="D28" i="4"/>
  <c r="D6" i="4"/>
  <c r="D22" i="4"/>
  <c r="D16" i="4"/>
  <c r="D30" i="4"/>
  <c r="D14" i="4"/>
  <c r="D31" i="4"/>
  <c r="D27" i="4"/>
  <c r="D13" i="4"/>
  <c r="D7" i="4"/>
  <c r="D25" i="4"/>
  <c r="D21" i="4"/>
  <c r="D15" i="4"/>
  <c r="D17" i="4"/>
  <c r="D4" i="4"/>
  <c r="D18" i="4"/>
  <c r="D2" i="4"/>
  <c r="D29" i="4"/>
  <c r="D5" i="4"/>
  <c r="D26" i="4"/>
  <c r="D9" i="4"/>
  <c r="D10" i="4"/>
  <c r="D19" i="4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2" i="1"/>
</calcChain>
</file>

<file path=xl/sharedStrings.xml><?xml version="1.0" encoding="utf-8"?>
<sst xmlns="http://schemas.openxmlformats.org/spreadsheetml/2006/main" count="397" uniqueCount="129">
  <si>
    <t>SEASON</t>
  </si>
  <si>
    <t>SNAPSHOT_DATE</t>
  </si>
  <si>
    <t>TEAM_ID</t>
  </si>
  <si>
    <t>TEAM</t>
  </si>
  <si>
    <t>TEAM_ABBR</t>
  </si>
  <si>
    <t>GAMES_PLAYED</t>
  </si>
  <si>
    <t>WINS</t>
  </si>
  <si>
    <t>LOSSES</t>
  </si>
  <si>
    <t>WL_RATIO</t>
  </si>
  <si>
    <t>GF</t>
  </si>
  <si>
    <t>GA</t>
  </si>
  <si>
    <t>GF_PG</t>
  </si>
  <si>
    <t>GA_PG</t>
  </si>
  <si>
    <t>GPG_DIFF</t>
  </si>
  <si>
    <t>SF_PG</t>
  </si>
  <si>
    <t>SHOT_PCT</t>
  </si>
  <si>
    <t>PTS</t>
  </si>
  <si>
    <t>FO_PCT</t>
  </si>
  <si>
    <t>PP</t>
  </si>
  <si>
    <t>PPG</t>
  </si>
  <si>
    <t>PP_PCT</t>
  </si>
  <si>
    <t>PK</t>
  </si>
  <si>
    <t>PKGA</t>
  </si>
  <si>
    <t>PK_PCT</t>
  </si>
  <si>
    <t>ST_PCT</t>
  </si>
  <si>
    <t>P</t>
  </si>
  <si>
    <t>PIM</t>
  </si>
  <si>
    <t>UNF_ERRORS</t>
  </si>
  <si>
    <t>OFF</t>
  </si>
  <si>
    <t>DEF</t>
  </si>
  <si>
    <t>GOAL</t>
  </si>
  <si>
    <t>GRIT</t>
  </si>
  <si>
    <t>BALANCE</t>
  </si>
  <si>
    <t>PYTH_WIN_PCT</t>
  </si>
  <si>
    <t>PYTH_WINS</t>
  </si>
  <si>
    <t>WINS_ABOVE_EXPECTED</t>
  </si>
  <si>
    <t>DIVISION</t>
  </si>
  <si>
    <t>CONFERENCE</t>
  </si>
  <si>
    <t>2024-2025</t>
  </si>
  <si>
    <t>Anaheim Ducks</t>
  </si>
  <si>
    <t>ANA</t>
  </si>
  <si>
    <t>Pacific</t>
  </si>
  <si>
    <t>Western</t>
  </si>
  <si>
    <t>Boston Bruins</t>
  </si>
  <si>
    <t>BOS</t>
  </si>
  <si>
    <t>Atlantic</t>
  </si>
  <si>
    <t>Eastern</t>
  </si>
  <si>
    <t>Buffalo Sabres</t>
  </si>
  <si>
    <t>BUF</t>
  </si>
  <si>
    <t>Calgary Flames</t>
  </si>
  <si>
    <t>CGY</t>
  </si>
  <si>
    <t>Carolina Hurricanes</t>
  </si>
  <si>
    <t>CAR</t>
  </si>
  <si>
    <t>Metropolitan</t>
  </si>
  <si>
    <t>Chicago Blackhawks</t>
  </si>
  <si>
    <t>CHI</t>
  </si>
  <si>
    <t>Central</t>
  </si>
  <si>
    <t>Colorado Avalanche</t>
  </si>
  <si>
    <t>COL</t>
  </si>
  <si>
    <t>Columbus Blue Jackets</t>
  </si>
  <si>
    <t>CBJ</t>
  </si>
  <si>
    <t>Dallas Stars</t>
  </si>
  <si>
    <t>DAL</t>
  </si>
  <si>
    <t>Detroit Red Wings</t>
  </si>
  <si>
    <t>DET</t>
  </si>
  <si>
    <t>Edmonton Oilers</t>
  </si>
  <si>
    <t>EDM</t>
  </si>
  <si>
    <t>Florida Panthers</t>
  </si>
  <si>
    <t>FLO</t>
  </si>
  <si>
    <t>Los Angeles Kings</t>
  </si>
  <si>
    <t>LAK</t>
  </si>
  <si>
    <t>Minnesota Wild</t>
  </si>
  <si>
    <t>MIN</t>
  </si>
  <si>
    <t>Montreal Canadiens</t>
  </si>
  <si>
    <t>MTL</t>
  </si>
  <si>
    <t>Nashville Predators</t>
  </si>
  <si>
    <t>NSH</t>
  </si>
  <si>
    <t>New Jersey Devils</t>
  </si>
  <si>
    <t>NJD</t>
  </si>
  <si>
    <t>New York Islanders</t>
  </si>
  <si>
    <t>NYI</t>
  </si>
  <si>
    <t>New York Rangers</t>
  </si>
  <si>
    <t>NYR</t>
  </si>
  <si>
    <t>Ottawa Senators</t>
  </si>
  <si>
    <t>OTT</t>
  </si>
  <si>
    <t>Philadelphia Flyers</t>
  </si>
  <si>
    <t>PHI</t>
  </si>
  <si>
    <t>Pittsburgh Penguins</t>
  </si>
  <si>
    <t>PIT</t>
  </si>
  <si>
    <t>San Jose Sharks</t>
  </si>
  <si>
    <t>SJS</t>
  </si>
  <si>
    <t>Seattle Kraken</t>
  </si>
  <si>
    <t>SEA</t>
  </si>
  <si>
    <t>St. Louis Blues</t>
  </si>
  <si>
    <t>STL</t>
  </si>
  <si>
    <t>Tampa Bay Lightning</t>
  </si>
  <si>
    <t>TBL</t>
  </si>
  <si>
    <t>Toronto Maple Leafs</t>
  </si>
  <si>
    <t>TOR</t>
  </si>
  <si>
    <t>Utah Mammoth</t>
  </si>
  <si>
    <t>UTA</t>
  </si>
  <si>
    <t>Vancouver Canucks</t>
  </si>
  <si>
    <t>VAN</t>
  </si>
  <si>
    <t>Vegas Golden Knights</t>
  </si>
  <si>
    <t>VGK</t>
  </si>
  <si>
    <t>Washington Capitals</t>
  </si>
  <si>
    <t>WSH</t>
  </si>
  <si>
    <t>Winnipeg Jets</t>
  </si>
  <si>
    <t>WPJ</t>
  </si>
  <si>
    <t>GOAL_DIFF</t>
  </si>
  <si>
    <t>WIN_PROB</t>
  </si>
  <si>
    <t>Row Labels</t>
  </si>
  <si>
    <t>Grand Total</t>
  </si>
  <si>
    <t>Division</t>
  </si>
  <si>
    <t>Win PCT</t>
  </si>
  <si>
    <t>Sum of PTS</t>
  </si>
  <si>
    <t>Team</t>
  </si>
  <si>
    <t>Points</t>
  </si>
  <si>
    <t>Averages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</si>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</sst>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16" fillId="35" borderId="10" xfId="0" applyFont="1" applyFill="1" applyBorder="1"/>
    <xf numFmtId="2" fontId="16" fillId="35" borderId="11" xfId="0" applyNumberFormat="1" applyFont="1" applyFill="1" applyBorder="1" applyAlignment="1">
      <alignment horizontal="center"/>
    </xf>
    <xf numFmtId="164" fontId="0" fillId="34" borderId="0" xfId="0" applyNumberFormat="1" applyFill="1" applyAlignment="1">
      <alignment horizontal="center"/>
    </xf>
    <xf numFmtId="164" fontId="16" fillId="35" borderId="11" xfId="0" applyNumberFormat="1" applyFont="1" applyFill="1" applyBorder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Divisions!$B$1</c:f>
              <c:strCache>
                <c:ptCount val="1"/>
                <c:pt idx="0">
                  <c:v>Win 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eko" pitchFamily="2" charset="0"/>
                    <a:ea typeface="+mn-ea"/>
                    <a:cs typeface="Teko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Divisions!$A$2:$A$5</c:f>
              <c:strCache>
                <c:ptCount val="4"/>
                <c:pt idx="0">
                  <c:v>Pacific</c:v>
                </c:pt>
                <c:pt idx="1">
                  <c:v>Metropolitan</c:v>
                </c:pt>
                <c:pt idx="2">
                  <c:v>Central</c:v>
                </c:pt>
                <c:pt idx="3">
                  <c:v>Atlantic</c:v>
                </c:pt>
              </c:strCache>
            </c:strRef>
          </c:cat>
          <c:val>
            <c:numRef>
              <c:f>Divisions!$B$2:$B$5</c:f>
              <c:numCache>
                <c:formatCode>0.000</c:formatCode>
                <c:ptCount val="4"/>
                <c:pt idx="0">
                  <c:v>0.45999999999999996</c:v>
                </c:pt>
                <c:pt idx="1">
                  <c:v>0.50749999999999995</c:v>
                </c:pt>
                <c:pt idx="2">
                  <c:v>0.51875000000000004</c:v>
                </c:pt>
                <c:pt idx="3">
                  <c:v>0.53625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8-4307-A079-B9D7BFF4E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837996095"/>
        <c:axId val="837996575"/>
      </c:barChart>
      <c:catAx>
        <c:axId val="83799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837996575"/>
        <c:crosses val="autoZero"/>
        <c:auto val="1"/>
        <c:lblAlgn val="ctr"/>
        <c:lblOffset val="100"/>
        <c:noMultiLvlLbl val="0"/>
      </c:catAx>
      <c:valAx>
        <c:axId val="837996575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83799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Points!$B$1</c:f>
              <c:strCache>
                <c:ptCount val="1"/>
                <c:pt idx="0">
                  <c:v>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eko" pitchFamily="2" charset="0"/>
                    <a:ea typeface="+mn-ea"/>
                    <a:cs typeface="Teko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Points!$A$2:$A$33</c:f>
              <c:strCache>
                <c:ptCount val="32"/>
                <c:pt idx="0">
                  <c:v>Vancouver Canucks</c:v>
                </c:pt>
                <c:pt idx="1">
                  <c:v>New York Rangers</c:v>
                </c:pt>
                <c:pt idx="2">
                  <c:v>St. Louis Blues</c:v>
                </c:pt>
                <c:pt idx="3">
                  <c:v>Chicago Blackhawks</c:v>
                </c:pt>
                <c:pt idx="4">
                  <c:v>Calgary Flames</c:v>
                </c:pt>
                <c:pt idx="5">
                  <c:v>Winnipeg Jets</c:v>
                </c:pt>
                <c:pt idx="6">
                  <c:v>New Jersey Devils</c:v>
                </c:pt>
                <c:pt idx="7">
                  <c:v>San Jose Sharks</c:v>
                </c:pt>
                <c:pt idx="8">
                  <c:v>Los Angeles Kings</c:v>
                </c:pt>
                <c:pt idx="9">
                  <c:v>Nashville Predators</c:v>
                </c:pt>
                <c:pt idx="10">
                  <c:v>Florida Panthers</c:v>
                </c:pt>
                <c:pt idx="11">
                  <c:v>Philadelphia Flyers</c:v>
                </c:pt>
                <c:pt idx="12">
                  <c:v>Seattle Kraken</c:v>
                </c:pt>
                <c:pt idx="13">
                  <c:v>Toronto Maple Leafs</c:v>
                </c:pt>
                <c:pt idx="14">
                  <c:v>Ottawa Senators</c:v>
                </c:pt>
                <c:pt idx="15">
                  <c:v>Columbus Blue Jackets</c:v>
                </c:pt>
                <c:pt idx="16">
                  <c:v>Edmonton Oilers</c:v>
                </c:pt>
                <c:pt idx="17">
                  <c:v>Utah Mammoth</c:v>
                </c:pt>
                <c:pt idx="18">
                  <c:v>Anaheim Ducks</c:v>
                </c:pt>
                <c:pt idx="19">
                  <c:v>Washington Capitals</c:v>
                </c:pt>
                <c:pt idx="20">
                  <c:v>Vegas Golden Knights</c:v>
                </c:pt>
                <c:pt idx="21">
                  <c:v>Boston Bruins</c:v>
                </c:pt>
                <c:pt idx="22">
                  <c:v>New York Islanders</c:v>
                </c:pt>
                <c:pt idx="23">
                  <c:v>Pittsburgh Penguins</c:v>
                </c:pt>
                <c:pt idx="24">
                  <c:v>Montreal Canadiens</c:v>
                </c:pt>
                <c:pt idx="25">
                  <c:v>Buffalo Sabres</c:v>
                </c:pt>
                <c:pt idx="26">
                  <c:v>Detroit Red Wings</c:v>
                </c:pt>
                <c:pt idx="27">
                  <c:v>Dallas Stars</c:v>
                </c:pt>
                <c:pt idx="28">
                  <c:v>Carolina Hurricanes</c:v>
                </c:pt>
                <c:pt idx="29">
                  <c:v>Minnesota Wild</c:v>
                </c:pt>
                <c:pt idx="30">
                  <c:v>Tampa Bay Lightning</c:v>
                </c:pt>
                <c:pt idx="31">
                  <c:v>Colorado Avalanche</c:v>
                </c:pt>
              </c:strCache>
            </c:strRef>
          </c:cat>
          <c:val>
            <c:numRef>
              <c:f>Points!$B$2:$B$33</c:f>
              <c:numCache>
                <c:formatCode>General</c:formatCode>
                <c:ptCount val="32"/>
                <c:pt idx="0">
                  <c:v>43</c:v>
                </c:pt>
                <c:pt idx="1">
                  <c:v>51</c:v>
                </c:pt>
                <c:pt idx="2">
                  <c:v>51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58</c:v>
                </c:pt>
                <c:pt idx="7">
                  <c:v>58</c:v>
                </c:pt>
                <c:pt idx="8">
                  <c:v>60</c:v>
                </c:pt>
                <c:pt idx="9">
                  <c:v>61</c:v>
                </c:pt>
                <c:pt idx="10">
                  <c:v>63</c:v>
                </c:pt>
                <c:pt idx="11">
                  <c:v>63</c:v>
                </c:pt>
                <c:pt idx="12">
                  <c:v>63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66</c:v>
                </c:pt>
                <c:pt idx="18">
                  <c:v>67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  <c:pt idx="25">
                  <c:v>74</c:v>
                </c:pt>
                <c:pt idx="26">
                  <c:v>74</c:v>
                </c:pt>
                <c:pt idx="27">
                  <c:v>79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C-4BEB-8578-28C27761F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892341775"/>
        <c:axId val="892343695"/>
      </c:barChart>
      <c:catAx>
        <c:axId val="89234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892343695"/>
        <c:crosses val="autoZero"/>
        <c:auto val="1"/>
        <c:lblAlgn val="ctr"/>
        <c:lblOffset val="100"/>
        <c:noMultiLvlLbl val="0"/>
      </c:catAx>
      <c:valAx>
        <c:axId val="892343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234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Win_Prob!$D$1</c:f>
              <c:strCache>
                <c:ptCount val="1"/>
                <c:pt idx="0">
                  <c:v>PYTH_WIN_PCT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eko" pitchFamily="2" charset="0"/>
                    <a:ea typeface="+mn-ea"/>
                    <a:cs typeface="Teko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Win_Prob!$A$2:$A$34</c15:sqref>
                  </c15:fullRef>
                </c:ext>
              </c:extLst>
              <c:f>Win_Prob!$A$2:$A$33</c:f>
              <c:strCache>
                <c:ptCount val="32"/>
                <c:pt idx="0">
                  <c:v>Vancouver Canucks</c:v>
                </c:pt>
                <c:pt idx="1">
                  <c:v>St. Louis Blues</c:v>
                </c:pt>
                <c:pt idx="2">
                  <c:v>New Jersey Devils</c:v>
                </c:pt>
                <c:pt idx="3">
                  <c:v>New York Rangers</c:v>
                </c:pt>
                <c:pt idx="4">
                  <c:v>Chicago Blackhawks</c:v>
                </c:pt>
                <c:pt idx="5">
                  <c:v>San Jose Sharks</c:v>
                </c:pt>
                <c:pt idx="6">
                  <c:v>Calgary Flames</c:v>
                </c:pt>
                <c:pt idx="7">
                  <c:v>Nashville Predators</c:v>
                </c:pt>
                <c:pt idx="8">
                  <c:v>Los Angeles Kings</c:v>
                </c:pt>
                <c:pt idx="9">
                  <c:v>Winnipeg Jets</c:v>
                </c:pt>
                <c:pt idx="10">
                  <c:v>Philadelphia Flyers</c:v>
                </c:pt>
                <c:pt idx="11">
                  <c:v>Florida Panthers</c:v>
                </c:pt>
                <c:pt idx="12">
                  <c:v>Anaheim Ducks</c:v>
                </c:pt>
                <c:pt idx="13">
                  <c:v>Toronto Maple Leafs</c:v>
                </c:pt>
                <c:pt idx="14">
                  <c:v>Seattle Kraken</c:v>
                </c:pt>
                <c:pt idx="15">
                  <c:v>Columbus Blue Jackets</c:v>
                </c:pt>
                <c:pt idx="16">
                  <c:v>Ottawa Senators</c:v>
                </c:pt>
                <c:pt idx="17">
                  <c:v>Detroit Red Wings</c:v>
                </c:pt>
                <c:pt idx="18">
                  <c:v>Montreal Canadiens</c:v>
                </c:pt>
                <c:pt idx="19">
                  <c:v>Boston Bruins</c:v>
                </c:pt>
                <c:pt idx="20">
                  <c:v>New York Islanders</c:v>
                </c:pt>
                <c:pt idx="21">
                  <c:v>Edmonton Oilers</c:v>
                </c:pt>
                <c:pt idx="22">
                  <c:v>Vegas Golden Knights</c:v>
                </c:pt>
                <c:pt idx="23">
                  <c:v>Buffalo Sabres</c:v>
                </c:pt>
                <c:pt idx="24">
                  <c:v>Pittsburgh Penguins</c:v>
                </c:pt>
                <c:pt idx="25">
                  <c:v>Washington Capitals</c:v>
                </c:pt>
                <c:pt idx="26">
                  <c:v>Utah Mammoth</c:v>
                </c:pt>
                <c:pt idx="27">
                  <c:v>Minnesota Wild</c:v>
                </c:pt>
                <c:pt idx="28">
                  <c:v>Carolina Hurricanes</c:v>
                </c:pt>
                <c:pt idx="29">
                  <c:v>Dallas Stars</c:v>
                </c:pt>
                <c:pt idx="30">
                  <c:v>Tampa Bay Lightning</c:v>
                </c:pt>
                <c:pt idx="31">
                  <c:v>Colorado Avalanche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Win_Prob!$D$2:$D$34</c15:sqref>
                  </c15:fullRef>
                </c:ext>
              </c:extLst>
              <c:f>Win_Prob!$D$2:$D$33</c:f>
              <c:numCache>
                <c:formatCode>0.000</c:formatCode>
                <c:ptCount val="32"/>
                <c:pt idx="0">
                  <c:v>0.34</c:v>
                </c:pt>
                <c:pt idx="1">
                  <c:v>0.36</c:v>
                </c:pt>
                <c:pt idx="2">
                  <c:v>0.4</c:v>
                </c:pt>
                <c:pt idx="3">
                  <c:v>0.41</c:v>
                </c:pt>
                <c:pt idx="4">
                  <c:v>0.42</c:v>
                </c:pt>
                <c:pt idx="5">
                  <c:v>0.43</c:v>
                </c:pt>
                <c:pt idx="6">
                  <c:v>0.43</c:v>
                </c:pt>
                <c:pt idx="7">
                  <c:v>0.43</c:v>
                </c:pt>
                <c:pt idx="8">
                  <c:v>0.44</c:v>
                </c:pt>
                <c:pt idx="9">
                  <c:v>0.46</c:v>
                </c:pt>
                <c:pt idx="10">
                  <c:v>0.47</c:v>
                </c:pt>
                <c:pt idx="11">
                  <c:v>0.47</c:v>
                </c:pt>
                <c:pt idx="12">
                  <c:v>0.48</c:v>
                </c:pt>
                <c:pt idx="13">
                  <c:v>0.47</c:v>
                </c:pt>
                <c:pt idx="14">
                  <c:v>0.48</c:v>
                </c:pt>
                <c:pt idx="15">
                  <c:v>0.5</c:v>
                </c:pt>
                <c:pt idx="16">
                  <c:v>0.52</c:v>
                </c:pt>
                <c:pt idx="17">
                  <c:v>0.51</c:v>
                </c:pt>
                <c:pt idx="18">
                  <c:v>0.54</c:v>
                </c:pt>
                <c:pt idx="19">
                  <c:v>0.55000000000000004</c:v>
                </c:pt>
                <c:pt idx="20">
                  <c:v>0.54</c:v>
                </c:pt>
                <c:pt idx="21">
                  <c:v>0.53</c:v>
                </c:pt>
                <c:pt idx="22">
                  <c:v>0.55000000000000004</c:v>
                </c:pt>
                <c:pt idx="23">
                  <c:v>0.56000000000000005</c:v>
                </c:pt>
                <c:pt idx="24">
                  <c:v>0.59</c:v>
                </c:pt>
                <c:pt idx="25">
                  <c:v>0.55000000000000004</c:v>
                </c:pt>
                <c:pt idx="26">
                  <c:v>0.57999999999999996</c:v>
                </c:pt>
                <c:pt idx="27">
                  <c:v>0.57999999999999996</c:v>
                </c:pt>
                <c:pt idx="28">
                  <c:v>0.6</c:v>
                </c:pt>
                <c:pt idx="29">
                  <c:v>0.61</c:v>
                </c:pt>
                <c:pt idx="30">
                  <c:v>0.67</c:v>
                </c:pt>
                <c:pt idx="31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51-4023-9A90-19A2B8357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04147967"/>
        <c:axId val="1041484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Win_Prob!$B$1</c15:sqref>
                        </c15:formulaRef>
                      </c:ext>
                    </c:extLst>
                    <c:strCache>
                      <c:ptCount val="1"/>
                      <c:pt idx="0">
                        <c:v>WL_RATIO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Win_Prob!$A$2:$A$34</c15:sqref>
                        </c15:fullRef>
                        <c15:formulaRef>
                          <c15:sqref>Win_Prob!$A$2:$A$33</c15:sqref>
                        </c15:formulaRef>
                      </c:ext>
                    </c:extLst>
                    <c:strCache>
                      <c:ptCount val="32"/>
                      <c:pt idx="0">
                        <c:v>Vancouver Canucks</c:v>
                      </c:pt>
                      <c:pt idx="1">
                        <c:v>St. Louis Blues</c:v>
                      </c:pt>
                      <c:pt idx="2">
                        <c:v>New Jersey Devils</c:v>
                      </c:pt>
                      <c:pt idx="3">
                        <c:v>New York Rangers</c:v>
                      </c:pt>
                      <c:pt idx="4">
                        <c:v>Chicago Blackhawks</c:v>
                      </c:pt>
                      <c:pt idx="5">
                        <c:v>San Jose Sharks</c:v>
                      </c:pt>
                      <c:pt idx="6">
                        <c:v>Calgary Flames</c:v>
                      </c:pt>
                      <c:pt idx="7">
                        <c:v>Nashville Predators</c:v>
                      </c:pt>
                      <c:pt idx="8">
                        <c:v>Los Angeles Kings</c:v>
                      </c:pt>
                      <c:pt idx="9">
                        <c:v>Winnipeg Jets</c:v>
                      </c:pt>
                      <c:pt idx="10">
                        <c:v>Philadelphia Flyers</c:v>
                      </c:pt>
                      <c:pt idx="11">
                        <c:v>Florida Panthers</c:v>
                      </c:pt>
                      <c:pt idx="12">
                        <c:v>Anaheim Ducks</c:v>
                      </c:pt>
                      <c:pt idx="13">
                        <c:v>Toronto Maple Leafs</c:v>
                      </c:pt>
                      <c:pt idx="14">
                        <c:v>Seattle Kraken</c:v>
                      </c:pt>
                      <c:pt idx="15">
                        <c:v>Columbus Blue Jackets</c:v>
                      </c:pt>
                      <c:pt idx="16">
                        <c:v>Ottawa Senators</c:v>
                      </c:pt>
                      <c:pt idx="17">
                        <c:v>Detroit Red Wings</c:v>
                      </c:pt>
                      <c:pt idx="18">
                        <c:v>Montreal Canadiens</c:v>
                      </c:pt>
                      <c:pt idx="19">
                        <c:v>Boston Bruins</c:v>
                      </c:pt>
                      <c:pt idx="20">
                        <c:v>New York Islanders</c:v>
                      </c:pt>
                      <c:pt idx="21">
                        <c:v>Edmonton Oilers</c:v>
                      </c:pt>
                      <c:pt idx="22">
                        <c:v>Vegas Golden Knights</c:v>
                      </c:pt>
                      <c:pt idx="23">
                        <c:v>Buffalo Sabres</c:v>
                      </c:pt>
                      <c:pt idx="24">
                        <c:v>Pittsburgh Penguins</c:v>
                      </c:pt>
                      <c:pt idx="25">
                        <c:v>Washington Capitals</c:v>
                      </c:pt>
                      <c:pt idx="26">
                        <c:v>Utah Mammoth</c:v>
                      </c:pt>
                      <c:pt idx="27">
                        <c:v>Minnesota Wild</c:v>
                      </c:pt>
                      <c:pt idx="28">
                        <c:v>Carolina Hurricanes</c:v>
                      </c:pt>
                      <c:pt idx="29">
                        <c:v>Dallas Stars</c:v>
                      </c:pt>
                      <c:pt idx="30">
                        <c:v>Tampa Bay Lightning</c:v>
                      </c:pt>
                      <c:pt idx="31">
                        <c:v>Colorado Avalanche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Win_Prob!$B$2:$B$34</c15:sqref>
                        </c15:fullRef>
                        <c15:formulaRef>
                          <c15:sqref>Win_Prob!$B$2:$B$33</c15:sqref>
                        </c15:formulaRef>
                      </c:ext>
                    </c:extLst>
                    <c:numCache>
                      <c:formatCode>0.00</c:formatCode>
                      <c:ptCount val="32"/>
                      <c:pt idx="0">
                        <c:v>0.55000000000000004</c:v>
                      </c:pt>
                      <c:pt idx="1">
                        <c:v>0.75</c:v>
                      </c:pt>
                      <c:pt idx="2">
                        <c:v>0.97</c:v>
                      </c:pt>
                      <c:pt idx="3">
                        <c:v>0.76</c:v>
                      </c:pt>
                      <c:pt idx="4">
                        <c:v>0.81</c:v>
                      </c:pt>
                      <c:pt idx="5">
                        <c:v>1.08</c:v>
                      </c:pt>
                      <c:pt idx="6">
                        <c:v>0.89</c:v>
                      </c:pt>
                      <c:pt idx="7">
                        <c:v>1.1200000000000001</c:v>
                      </c:pt>
                      <c:pt idx="8">
                        <c:v>1.1000000000000001</c:v>
                      </c:pt>
                      <c:pt idx="9">
                        <c:v>0.88</c:v>
                      </c:pt>
                      <c:pt idx="10">
                        <c:v>1.24</c:v>
                      </c:pt>
                      <c:pt idx="11">
                        <c:v>1.1499999999999999</c:v>
                      </c:pt>
                      <c:pt idx="12">
                        <c:v>1.39</c:v>
                      </c:pt>
                      <c:pt idx="13">
                        <c:v>1.17</c:v>
                      </c:pt>
                      <c:pt idx="14">
                        <c:v>1.23</c:v>
                      </c:pt>
                      <c:pt idx="15">
                        <c:v>1.38</c:v>
                      </c:pt>
                      <c:pt idx="16">
                        <c:v>1.27</c:v>
                      </c:pt>
                      <c:pt idx="17">
                        <c:v>1.79</c:v>
                      </c:pt>
                      <c:pt idx="18">
                        <c:v>1.88</c:v>
                      </c:pt>
                      <c:pt idx="19">
                        <c:v>1.65</c:v>
                      </c:pt>
                      <c:pt idx="20">
                        <c:v>1.57</c:v>
                      </c:pt>
                      <c:pt idx="21">
                        <c:v>1.26</c:v>
                      </c:pt>
                      <c:pt idx="22">
                        <c:v>1.65</c:v>
                      </c:pt>
                      <c:pt idx="23">
                        <c:v>1.79</c:v>
                      </c:pt>
                      <c:pt idx="24">
                        <c:v>2</c:v>
                      </c:pt>
                      <c:pt idx="25">
                        <c:v>1.35</c:v>
                      </c:pt>
                      <c:pt idx="26">
                        <c:v>1.29</c:v>
                      </c:pt>
                      <c:pt idx="27">
                        <c:v>2.33</c:v>
                      </c:pt>
                      <c:pt idx="28">
                        <c:v>2.4700000000000002</c:v>
                      </c:pt>
                      <c:pt idx="29">
                        <c:v>2.5</c:v>
                      </c:pt>
                      <c:pt idx="30">
                        <c:v>2.5299999999999998</c:v>
                      </c:pt>
                      <c:pt idx="31">
                        <c:v>3.8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151-4023-9A90-19A2B8357F8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Win_Prob!$C$1</c15:sqref>
                        </c15:formulaRef>
                      </c:ext>
                    </c:extLst>
                    <c:strCache>
                      <c:ptCount val="1"/>
                      <c:pt idx="0">
                        <c:v>GPG_DIFF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Win_Prob!$A$2:$A$34</c15:sqref>
                        </c15:fullRef>
                        <c15:formulaRef>
                          <c15:sqref>Win_Prob!$A$2:$A$33</c15:sqref>
                        </c15:formulaRef>
                      </c:ext>
                    </c:extLst>
                    <c:strCache>
                      <c:ptCount val="32"/>
                      <c:pt idx="0">
                        <c:v>Vancouver Canucks</c:v>
                      </c:pt>
                      <c:pt idx="1">
                        <c:v>St. Louis Blues</c:v>
                      </c:pt>
                      <c:pt idx="2">
                        <c:v>New Jersey Devils</c:v>
                      </c:pt>
                      <c:pt idx="3">
                        <c:v>New York Rangers</c:v>
                      </c:pt>
                      <c:pt idx="4">
                        <c:v>Chicago Blackhawks</c:v>
                      </c:pt>
                      <c:pt idx="5">
                        <c:v>San Jose Sharks</c:v>
                      </c:pt>
                      <c:pt idx="6">
                        <c:v>Calgary Flames</c:v>
                      </c:pt>
                      <c:pt idx="7">
                        <c:v>Nashville Predators</c:v>
                      </c:pt>
                      <c:pt idx="8">
                        <c:v>Los Angeles Kings</c:v>
                      </c:pt>
                      <c:pt idx="9">
                        <c:v>Winnipeg Jets</c:v>
                      </c:pt>
                      <c:pt idx="10">
                        <c:v>Philadelphia Flyers</c:v>
                      </c:pt>
                      <c:pt idx="11">
                        <c:v>Florida Panthers</c:v>
                      </c:pt>
                      <c:pt idx="12">
                        <c:v>Anaheim Ducks</c:v>
                      </c:pt>
                      <c:pt idx="13">
                        <c:v>Toronto Maple Leafs</c:v>
                      </c:pt>
                      <c:pt idx="14">
                        <c:v>Seattle Kraken</c:v>
                      </c:pt>
                      <c:pt idx="15">
                        <c:v>Columbus Blue Jackets</c:v>
                      </c:pt>
                      <c:pt idx="16">
                        <c:v>Ottawa Senators</c:v>
                      </c:pt>
                      <c:pt idx="17">
                        <c:v>Detroit Red Wings</c:v>
                      </c:pt>
                      <c:pt idx="18">
                        <c:v>Montreal Canadiens</c:v>
                      </c:pt>
                      <c:pt idx="19">
                        <c:v>Boston Bruins</c:v>
                      </c:pt>
                      <c:pt idx="20">
                        <c:v>New York Islanders</c:v>
                      </c:pt>
                      <c:pt idx="21">
                        <c:v>Edmonton Oilers</c:v>
                      </c:pt>
                      <c:pt idx="22">
                        <c:v>Vegas Golden Knights</c:v>
                      </c:pt>
                      <c:pt idx="23">
                        <c:v>Buffalo Sabres</c:v>
                      </c:pt>
                      <c:pt idx="24">
                        <c:v>Pittsburgh Penguins</c:v>
                      </c:pt>
                      <c:pt idx="25">
                        <c:v>Washington Capitals</c:v>
                      </c:pt>
                      <c:pt idx="26">
                        <c:v>Utah Mammoth</c:v>
                      </c:pt>
                      <c:pt idx="27">
                        <c:v>Minnesota Wild</c:v>
                      </c:pt>
                      <c:pt idx="28">
                        <c:v>Carolina Hurricanes</c:v>
                      </c:pt>
                      <c:pt idx="29">
                        <c:v>Dallas Stars</c:v>
                      </c:pt>
                      <c:pt idx="30">
                        <c:v>Tampa Bay Lightning</c:v>
                      </c:pt>
                      <c:pt idx="31">
                        <c:v>Colorado Avalanche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Win_Prob!$C$2:$C$34</c15:sqref>
                        </c15:fullRef>
                        <c15:formulaRef>
                          <c15:sqref>Win_Prob!$C$2:$C$33</c15:sqref>
                        </c15:formulaRef>
                      </c:ext>
                    </c:extLst>
                    <c:numCache>
                      <c:formatCode>0.00</c:formatCode>
                      <c:ptCount val="32"/>
                      <c:pt idx="0">
                        <c:v>-1.04</c:v>
                      </c:pt>
                      <c:pt idx="1">
                        <c:v>-0.85</c:v>
                      </c:pt>
                      <c:pt idx="2">
                        <c:v>-0.56000000000000005</c:v>
                      </c:pt>
                      <c:pt idx="3">
                        <c:v>-0.52</c:v>
                      </c:pt>
                      <c:pt idx="4">
                        <c:v>-0.48</c:v>
                      </c:pt>
                      <c:pt idx="5">
                        <c:v>-0.43</c:v>
                      </c:pt>
                      <c:pt idx="6">
                        <c:v>-0.39</c:v>
                      </c:pt>
                      <c:pt idx="7">
                        <c:v>-0.47</c:v>
                      </c:pt>
                      <c:pt idx="8">
                        <c:v>-0.31</c:v>
                      </c:pt>
                      <c:pt idx="9">
                        <c:v>-0.22</c:v>
                      </c:pt>
                      <c:pt idx="10">
                        <c:v>-0.19</c:v>
                      </c:pt>
                      <c:pt idx="11">
                        <c:v>-0.22</c:v>
                      </c:pt>
                      <c:pt idx="12">
                        <c:v>-0.14000000000000001</c:v>
                      </c:pt>
                      <c:pt idx="13">
                        <c:v>-0.18</c:v>
                      </c:pt>
                      <c:pt idx="14">
                        <c:v>-0.1</c:v>
                      </c:pt>
                      <c:pt idx="15">
                        <c:v>0.02</c:v>
                      </c:pt>
                      <c:pt idx="16">
                        <c:v>0.1</c:v>
                      </c:pt>
                      <c:pt idx="17">
                        <c:v>0.05</c:v>
                      </c:pt>
                      <c:pt idx="18">
                        <c:v>0.26</c:v>
                      </c:pt>
                      <c:pt idx="19">
                        <c:v>0.31</c:v>
                      </c:pt>
                      <c:pt idx="20">
                        <c:v>0.22</c:v>
                      </c:pt>
                      <c:pt idx="21">
                        <c:v>0.22</c:v>
                      </c:pt>
                      <c:pt idx="22">
                        <c:v>0.32</c:v>
                      </c:pt>
                      <c:pt idx="23">
                        <c:v>0.36</c:v>
                      </c:pt>
                      <c:pt idx="24">
                        <c:v>0.57999999999999996</c:v>
                      </c:pt>
                      <c:pt idx="25">
                        <c:v>0.33</c:v>
                      </c:pt>
                      <c:pt idx="26">
                        <c:v>0.46</c:v>
                      </c:pt>
                      <c:pt idx="27">
                        <c:v>0.5</c:v>
                      </c:pt>
                      <c:pt idx="28">
                        <c:v>0.65</c:v>
                      </c:pt>
                      <c:pt idx="29">
                        <c:v>0.68</c:v>
                      </c:pt>
                      <c:pt idx="30">
                        <c:v>1.0900000000000001</c:v>
                      </c:pt>
                      <c:pt idx="31">
                        <c:v>1.36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151-4023-9A90-19A2B8357F88}"/>
                  </c:ext>
                </c:extLst>
              </c15:ser>
            </c15:filteredBarSeries>
          </c:ext>
        </c:extLst>
      </c:barChart>
      <c:catAx>
        <c:axId val="10414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04148447"/>
        <c:crosses val="autoZero"/>
        <c:auto val="1"/>
        <c:lblAlgn val="ctr"/>
        <c:lblOffset val="100"/>
        <c:noMultiLvlLbl val="0"/>
      </c:catAx>
      <c:valAx>
        <c:axId val="104148447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0414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eko" pitchFamily="2" charset="0"/>
              <a:ea typeface="+mn-ea"/>
              <a:cs typeface="Teko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1</xdr:row>
      <xdr:rowOff>72390</xdr:rowOff>
    </xdr:from>
    <xdr:to>
      <xdr:col>11</xdr:col>
      <xdr:colOff>274320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7EC24-4E7B-2E1C-4B74-27B32EFBA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5</xdr:row>
      <xdr:rowOff>160020</xdr:rowOff>
    </xdr:from>
    <xdr:to>
      <xdr:col>17</xdr:col>
      <xdr:colOff>205740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B743E-1EF8-2A58-28B8-679109DCD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7</xdr:row>
      <xdr:rowOff>106680</xdr:rowOff>
    </xdr:from>
    <xdr:to>
      <xdr:col>20</xdr:col>
      <xdr:colOff>15240</xdr:colOff>
      <xdr:row>30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5E7357-1648-AD10-417C-5A5970B68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6081.713192708332" createdVersion="8" refreshedVersion="8" minRefreshableVersion="3" recordCount="32" xr:uid="{A9E7C512-F59E-47AD-BE36-ED41BC303712}">
  <cacheSource type="worksheet">
    <worksheetSource ref="A1:AM33" sheet="All_Data"/>
  </cacheSource>
  <cacheFields count="39">
    <cacheField name="SEASON" numFmtId="0">
      <sharedItems/>
    </cacheField>
    <cacheField name="SNAPSHOT_DATE" numFmtId="0">
      <sharedItems containsSemiMixedTypes="0" containsString="0" containsNumber="1" containsInteger="1" minValue="20260228" maxValue="20260228"/>
    </cacheField>
    <cacheField name="TEAM_ID" numFmtId="0">
      <sharedItems containsSemiMixedTypes="0" containsString="0" containsNumber="1" containsInteger="1" minValue="1" maxValue="143"/>
    </cacheField>
    <cacheField name="TEAM" numFmtId="0">
      <sharedItems count="32">
        <s v="Anaheim Ducks"/>
        <s v="Boston Bruins"/>
        <s v="Buffalo Sabres"/>
        <s v="Calgary Flames"/>
        <s v="Carolina Hurricanes"/>
        <s v="Chicago Blackhawks"/>
        <s v="Colorado Avalanche"/>
        <s v="Columbus Blue Jackets"/>
        <s v="Dallas Stars"/>
        <s v="Detroit Red Wings"/>
        <s v="Edmonton Oilers"/>
        <s v="Florida Panthers"/>
        <s v="Los Angeles Kings"/>
        <s v="Minnesota Wild"/>
        <s v="Montreal Canadiens"/>
        <s v="Nashville Predators"/>
        <s v="New Jersey Devils"/>
        <s v="New York Islanders"/>
        <s v="New York Rangers"/>
        <s v="Ottawa Senators"/>
        <s v="Philadelphia Flyers"/>
        <s v="Pittsburgh Penguins"/>
        <s v="San Jose Sharks"/>
        <s v="Seattle Kraken"/>
        <s v="St. Louis Blues"/>
        <s v="Tampa Bay Lightning"/>
        <s v="Toronto Maple Leafs"/>
        <s v="Utah Mammoth"/>
        <s v="Vancouver Canucks"/>
        <s v="Vegas Golden Knights"/>
        <s v="Washington Capitals"/>
        <s v="Winnipeg Jets"/>
      </sharedItems>
    </cacheField>
    <cacheField name="TEAM_ABBR" numFmtId="0">
      <sharedItems/>
    </cacheField>
    <cacheField name="GAMES_PLAYED" numFmtId="0">
      <sharedItems containsSemiMixedTypes="0" containsString="0" containsNumber="1" containsInteger="1" minValue="56" maxValue="61"/>
    </cacheField>
    <cacheField name="WINS" numFmtId="0">
      <sharedItems containsSemiMixedTypes="0" containsString="0" containsNumber="1" containsInteger="1" minValue="18" maxValue="38"/>
    </cacheField>
    <cacheField name="LOSSES" numFmtId="0">
      <sharedItems containsSemiMixedTypes="0" containsString="0" containsNumber="1" containsInteger="1" minValue="10" maxValue="33"/>
    </cacheField>
    <cacheField name="WL_RATIO" numFmtId="0">
      <sharedItems containsSemiMixedTypes="0" containsString="0" containsNumber="1" minValue="0.55000000000000004" maxValue="3.8"/>
    </cacheField>
    <cacheField name="GF" numFmtId="0">
      <sharedItems containsSemiMixedTypes="0" containsString="0" containsNumber="1" containsInteger="1" minValue="146" maxValue="218"/>
    </cacheField>
    <cacheField name="GA" numFmtId="0">
      <sharedItems containsSemiMixedTypes="0" containsString="0" containsNumber="1" containsInteger="1" minValue="140" maxValue="211"/>
    </cacheField>
    <cacheField name="GF_PG" numFmtId="0">
      <sharedItems containsSemiMixedTypes="0" containsString="0" containsNumber="1" minValue="2.5099999999999998" maxValue="3.82"/>
    </cacheField>
    <cacheField name="GA_PG" numFmtId="0">
      <sharedItems containsSemiMixedTypes="0" containsString="0" containsNumber="1" minValue="2.46" maxValue="3.64"/>
    </cacheField>
    <cacheField name="GPG_DIFF" numFmtId="0">
      <sharedItems containsSemiMixedTypes="0" containsString="0" containsNumber="1" minValue="-1.04" maxValue="1.36"/>
    </cacheField>
    <cacheField name="SF_PG" numFmtId="0">
      <sharedItems containsSemiMixedTypes="0" containsString="0" containsNumber="1" minValue="24.72" maxValue="34.19"/>
    </cacheField>
    <cacheField name="SHOT_PCT" numFmtId="0">
      <sharedItems containsSemiMixedTypes="0" containsString="0" containsNumber="1" minValue="8.56" maxValue="13.29"/>
    </cacheField>
    <cacheField name="PTS" numFmtId="0">
      <sharedItems containsSemiMixedTypes="0" containsString="0" containsNumber="1" containsInteger="1" minValue="43" maxValue="85"/>
    </cacheField>
    <cacheField name="FO_PCT" numFmtId="0">
      <sharedItems containsSemiMixedTypes="0" containsString="0" containsNumber="1" minValue="44.5" maxValue="56"/>
    </cacheField>
    <cacheField name="PP" numFmtId="0">
      <sharedItems containsSemiMixedTypes="0" containsString="0" containsNumber="1" containsInteger="1" minValue="135" maxValue="212"/>
    </cacheField>
    <cacheField name="PPG" numFmtId="0">
      <sharedItems containsSemiMixedTypes="0" containsString="0" containsNumber="1" containsInteger="1" minValue="27" maxValue="53"/>
    </cacheField>
    <cacheField name="PP_PCT" numFmtId="0">
      <sharedItems containsSemiMixedTypes="0" containsString="0" containsNumber="1" minValue="15.1" maxValue="33.299999999999997"/>
    </cacheField>
    <cacheField name="PK" numFmtId="0">
      <sharedItems containsSemiMixedTypes="0" containsString="0" containsNumber="1" containsInteger="1" minValue="137" maxValue="209"/>
    </cacheField>
    <cacheField name="PKGA" numFmtId="0">
      <sharedItems containsSemiMixedTypes="0" containsString="0" containsNumber="1" containsInteger="1" minValue="24" maxValue="50"/>
    </cacheField>
    <cacheField name="PK_PCT" numFmtId="0">
      <sharedItems containsSemiMixedTypes="0" containsString="0" containsNumber="1" minValue="70.8" maxValue="85.1"/>
    </cacheField>
    <cacheField name="ST_PCT" numFmtId="0">
      <sharedItems containsSemiMixedTypes="0" containsString="0" containsNumber="1" minValue="89.4" maxValue="110.4"/>
    </cacheField>
    <cacheField name="P" numFmtId="0">
      <sharedItems containsSemiMixedTypes="0" containsString="0" containsNumber="1" containsInteger="1" minValue="172" maxValue="295"/>
    </cacheField>
    <cacheField name="PIM" numFmtId="0">
      <sharedItems containsSemiMixedTypes="0" containsString="0" containsNumber="1" containsInteger="1" minValue="404" maxValue="810"/>
    </cacheField>
    <cacheField name="UNF_ERRORS" numFmtId="0">
      <sharedItems containsSemiMixedTypes="0" containsString="0" containsNumber="1" minValue="2.3959999999999999" maxValue="3.8860000000000001"/>
    </cacheField>
    <cacheField name="OFF" numFmtId="0">
      <sharedItems containsSemiMixedTypes="0" containsString="0" containsNumber="1" minValue="26.94" maxValue="77.2"/>
    </cacheField>
    <cacheField name="DEF" numFmtId="0">
      <sharedItems containsSemiMixedTypes="0" containsString="0" containsNumber="1" minValue="12.51" maxValue="80.19"/>
    </cacheField>
    <cacheField name="GOAL" numFmtId="0">
      <sharedItems containsSemiMixedTypes="0" containsString="0" containsNumber="1" minValue="15.62" maxValue="82.73"/>
    </cacheField>
    <cacheField name="GRIT" numFmtId="0">
      <sharedItems containsSemiMixedTypes="0" containsString="0" containsNumber="1" minValue="23.39" maxValue="86.97"/>
    </cacheField>
    <cacheField name="BALANCE" numFmtId="0">
      <sharedItems containsSemiMixedTypes="0" containsString="0" containsNumber="1" minValue="28.01" maxValue="68.8"/>
    </cacheField>
    <cacheField name="PYTH_WIN_PCT" numFmtId="0">
      <sharedItems containsSemiMixedTypes="0" containsString="0" containsNumber="1" minValue="0.34" maxValue="0.71"/>
    </cacheField>
    <cacheField name="PYTH_WINS" numFmtId="0">
      <sharedItems containsSemiMixedTypes="0" containsString="0" containsNumber="1" minValue="19.59" maxValue="40.29"/>
    </cacheField>
    <cacheField name="WINS_ABOVE_EXPECTED" numFmtId="0">
      <sharedItems containsSemiMixedTypes="0" containsString="0" containsNumber="1" minValue="-4.43" maxValue="4.3600000000000003"/>
    </cacheField>
    <cacheField name="TEAM_ABBR_CANON" numFmtId="0">
      <sharedItems/>
    </cacheField>
    <cacheField name="DIVISION" numFmtId="0">
      <sharedItems count="4">
        <s v="Pacific"/>
        <s v="Atlantic"/>
        <s v="Metropolitan"/>
        <s v="Central"/>
      </sharedItems>
    </cacheField>
    <cacheField name="CONFERENCE" numFmtId="0">
      <sharedItems count="2">
        <s v="Western"/>
        <s v="Easter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2024-2025"/>
    <n v="20260228"/>
    <n v="29"/>
    <x v="0"/>
    <s v="ANA"/>
    <n v="58"/>
    <n v="32"/>
    <n v="23"/>
    <n v="1.39"/>
    <n v="196"/>
    <n v="204"/>
    <n v="3.38"/>
    <n v="3.52"/>
    <n v="-0.14000000000000001"/>
    <n v="30.26"/>
    <n v="11.17"/>
    <n v="67"/>
    <n v="47"/>
    <n v="175"/>
    <n v="32"/>
    <n v="18.3"/>
    <n v="183"/>
    <n v="41"/>
    <n v="77.599999999999994"/>
    <n v="95.9"/>
    <n v="227"/>
    <n v="556"/>
    <n v="3.2829999999999999"/>
    <n v="56.48"/>
    <n v="33.479999999999997"/>
    <n v="27.21"/>
    <n v="60.99"/>
    <n v="44.54"/>
    <n v="0.48"/>
    <n v="27.82"/>
    <n v="4.18"/>
    <s v="ANA"/>
    <x v="0"/>
    <x v="0"/>
  </r>
  <r>
    <s v="2024-2025"/>
    <n v="20260228"/>
    <n v="11"/>
    <x v="1"/>
    <s v="BOS"/>
    <n v="58"/>
    <n v="33"/>
    <n v="20"/>
    <n v="1.65"/>
    <n v="199"/>
    <n v="181"/>
    <n v="3.43"/>
    <n v="3.12"/>
    <n v="0.31"/>
    <n v="27.1"/>
    <n v="12.66"/>
    <n v="71"/>
    <n v="52"/>
    <n v="168"/>
    <n v="45"/>
    <n v="26.8"/>
    <n v="209"/>
    <n v="50"/>
    <n v="76.099999999999994"/>
    <n v="102.9"/>
    <n v="288"/>
    <n v="771"/>
    <n v="3.8860000000000001"/>
    <n v="66.349999999999994"/>
    <n v="34.07"/>
    <n v="37.71"/>
    <n v="73.040000000000006"/>
    <n v="52.79"/>
    <n v="0.55000000000000004"/>
    <n v="31.74"/>
    <n v="1.26"/>
    <s v="BOS"/>
    <x v="1"/>
    <x v="1"/>
  </r>
  <r>
    <s v="2024-2025"/>
    <n v="20260228"/>
    <n v="15"/>
    <x v="2"/>
    <s v="BUF"/>
    <n v="59"/>
    <n v="34"/>
    <n v="19"/>
    <n v="1.79"/>
    <n v="200"/>
    <n v="179"/>
    <n v="3.39"/>
    <n v="3.03"/>
    <n v="0.36"/>
    <n v="27.85"/>
    <n v="12.17"/>
    <n v="74"/>
    <n v="44.5"/>
    <n v="175"/>
    <n v="35"/>
    <n v="20"/>
    <n v="160"/>
    <n v="28"/>
    <n v="82.5"/>
    <n v="102.5"/>
    <n v="213"/>
    <n v="530"/>
    <n v="2.9790000000000001"/>
    <n v="57.54"/>
    <n v="60.42"/>
    <n v="57.74"/>
    <n v="47.41"/>
    <n v="55.78"/>
    <n v="0.56000000000000005"/>
    <n v="32.799999999999997"/>
    <n v="1.2"/>
    <s v="BUF"/>
    <x v="1"/>
    <x v="1"/>
  </r>
  <r>
    <s v="2024-2025"/>
    <n v="20260228"/>
    <n v="23"/>
    <x v="3"/>
    <s v="CGY"/>
    <n v="57"/>
    <n v="24"/>
    <n v="27"/>
    <n v="0.89"/>
    <n v="146"/>
    <n v="168"/>
    <n v="2.56"/>
    <n v="2.95"/>
    <n v="-0.39"/>
    <n v="29"/>
    <n v="8.83"/>
    <n v="54"/>
    <n v="49"/>
    <n v="173"/>
    <n v="28"/>
    <n v="16.2"/>
    <n v="164"/>
    <n v="29"/>
    <n v="82.3"/>
    <n v="98.5"/>
    <n v="238"/>
    <n v="685"/>
    <n v="3.5449999999999999"/>
    <n v="26.94"/>
    <n v="60.03"/>
    <n v="59.71"/>
    <n v="70.349999999999994"/>
    <n v="54.26"/>
    <n v="0.43"/>
    <n v="24.49"/>
    <n v="-0.49"/>
    <s v="CGY"/>
    <x v="0"/>
    <x v="0"/>
  </r>
  <r>
    <s v="2024-2025"/>
    <n v="20260228"/>
    <n v="3"/>
    <x v="4"/>
    <s v="CAR"/>
    <n v="58"/>
    <n v="37"/>
    <n v="15"/>
    <n v="2.4700000000000002"/>
    <n v="202"/>
    <n v="164"/>
    <n v="3.48"/>
    <n v="2.83"/>
    <n v="0.65"/>
    <n v="31.93"/>
    <n v="10.91"/>
    <n v="80"/>
    <n v="50.5"/>
    <n v="176"/>
    <n v="39"/>
    <n v="22.2"/>
    <n v="159"/>
    <n v="32"/>
    <n v="79.900000000000006"/>
    <n v="102.1"/>
    <n v="205"/>
    <n v="461"/>
    <n v="2.6920000000000002"/>
    <n v="65.260000000000005"/>
    <n v="61.98"/>
    <n v="63.01"/>
    <n v="46.46"/>
    <n v="59.18"/>
    <n v="0.6"/>
    <n v="34.909999999999997"/>
    <n v="2.09"/>
    <s v="CAR"/>
    <x v="2"/>
    <x v="1"/>
  </r>
  <r>
    <s v="2024-2025"/>
    <n v="20260228"/>
    <n v="20"/>
    <x v="5"/>
    <s v="CHI"/>
    <n v="58"/>
    <n v="22"/>
    <n v="27"/>
    <n v="0.81"/>
    <n v="156"/>
    <n v="184"/>
    <n v="2.69"/>
    <n v="3.17"/>
    <n v="-0.48"/>
    <n v="24.72"/>
    <n v="10.88"/>
    <n v="53"/>
    <n v="47.3"/>
    <n v="166"/>
    <n v="32"/>
    <n v="19.3"/>
    <n v="175"/>
    <n v="26"/>
    <n v="85.1"/>
    <n v="104.4"/>
    <n v="220"/>
    <n v="551"/>
    <n v="3.1309999999999998"/>
    <n v="32.01"/>
    <n v="61.55"/>
    <n v="52.89"/>
    <n v="35.42"/>
    <n v="45.47"/>
    <n v="0.42"/>
    <n v="24.28"/>
    <n v="-2.2799999999999998"/>
    <s v="CHI"/>
    <x v="3"/>
    <x v="0"/>
  </r>
  <r>
    <s v="2024-2025"/>
    <n v="20260228"/>
    <n v="22"/>
    <x v="6"/>
    <s v="COL"/>
    <n v="57"/>
    <n v="38"/>
    <n v="10"/>
    <n v="3.8"/>
    <n v="218"/>
    <n v="140"/>
    <n v="3.82"/>
    <n v="2.46"/>
    <n v="1.36"/>
    <n v="34.19"/>
    <n v="11.19"/>
    <n v="85"/>
    <n v="51.1"/>
    <n v="185"/>
    <n v="28"/>
    <n v="15.1"/>
    <n v="160"/>
    <n v="26"/>
    <n v="83.8"/>
    <n v="98.9"/>
    <n v="190"/>
    <n v="405"/>
    <n v="2.3959999999999999"/>
    <n v="69.41"/>
    <n v="80.19"/>
    <n v="82.73"/>
    <n v="23.39"/>
    <n v="63.93"/>
    <n v="0.71"/>
    <n v="40.29"/>
    <n v="-2.29"/>
    <s v="COL"/>
    <x v="3"/>
    <x v="0"/>
  </r>
  <r>
    <s v="2024-2025"/>
    <n v="20260228"/>
    <n v="19"/>
    <x v="7"/>
    <s v="CBJ"/>
    <n v="57"/>
    <n v="29"/>
    <n v="21"/>
    <n v="1.38"/>
    <n v="181"/>
    <n v="180"/>
    <n v="3.18"/>
    <n v="3.16"/>
    <n v="0.02"/>
    <n v="29.96"/>
    <n v="10.6"/>
    <n v="65"/>
    <n v="50.9"/>
    <n v="135"/>
    <n v="27"/>
    <n v="20"/>
    <n v="162"/>
    <n v="37"/>
    <n v="77.2"/>
    <n v="97.2"/>
    <n v="198"/>
    <n v="451"/>
    <n v="2.8010000000000002"/>
    <n v="50.86"/>
    <n v="47.64"/>
    <n v="44.92"/>
    <n v="44.09"/>
    <n v="46.88"/>
    <n v="0.5"/>
    <n v="28.68"/>
    <n v="0.32"/>
    <s v="CBJ"/>
    <x v="2"/>
    <x v="1"/>
  </r>
  <r>
    <s v="2024-2025"/>
    <n v="20260228"/>
    <n v="27"/>
    <x v="8"/>
    <s v="DAL"/>
    <n v="58"/>
    <n v="35"/>
    <n v="14"/>
    <n v="2.5"/>
    <n v="197"/>
    <n v="158"/>
    <n v="3.4"/>
    <n v="2.72"/>
    <n v="0.68"/>
    <n v="25.67"/>
    <n v="13.23"/>
    <n v="79"/>
    <n v="52.2"/>
    <n v="169"/>
    <n v="51"/>
    <n v="30.2"/>
    <n v="175"/>
    <n v="35"/>
    <n v="80"/>
    <n v="110.2"/>
    <n v="207"/>
    <n v="484"/>
    <n v="2.7309999999999999"/>
    <n v="69"/>
    <n v="64.5"/>
    <n v="65.52"/>
    <n v="38.25"/>
    <n v="59.32"/>
    <n v="0.61"/>
    <n v="35.369999999999997"/>
    <n v="-0.37"/>
    <s v="DAL"/>
    <x v="3"/>
    <x v="0"/>
  </r>
  <r>
    <s v="2024-2025"/>
    <n v="20260228"/>
    <n v="16"/>
    <x v="9"/>
    <s v="DET"/>
    <n v="59"/>
    <n v="34"/>
    <n v="19"/>
    <n v="1.79"/>
    <n v="176"/>
    <n v="173"/>
    <n v="2.98"/>
    <n v="2.93"/>
    <n v="0.05"/>
    <n v="28.2"/>
    <n v="10.58"/>
    <n v="74"/>
    <n v="50.8"/>
    <n v="183"/>
    <n v="43"/>
    <n v="23.5"/>
    <n v="153"/>
    <n v="32"/>
    <n v="79.099999999999994"/>
    <n v="102.6"/>
    <n v="196"/>
    <n v="459"/>
    <n v="2.6970000000000001"/>
    <n v="48.61"/>
    <n v="56.92"/>
    <n v="59.15"/>
    <n v="27.1"/>
    <n v="47.95"/>
    <n v="0.51"/>
    <n v="30"/>
    <n v="4"/>
    <s v="DET"/>
    <x v="1"/>
    <x v="1"/>
  </r>
  <r>
    <s v="2024-2025"/>
    <n v="20260228"/>
    <n v="24"/>
    <x v="10"/>
    <s v="EDM"/>
    <n v="60"/>
    <n v="29"/>
    <n v="23"/>
    <n v="1.26"/>
    <n v="211"/>
    <n v="198"/>
    <n v="3.52"/>
    <n v="3.3"/>
    <n v="0.22"/>
    <n v="30.08"/>
    <n v="11.69"/>
    <n v="66"/>
    <n v="52.7"/>
    <n v="159"/>
    <n v="53"/>
    <n v="33.299999999999997"/>
    <n v="166"/>
    <n v="38"/>
    <n v="77.099999999999994"/>
    <n v="110.4"/>
    <n v="208"/>
    <n v="568"/>
    <n v="3.1760000000000002"/>
    <n v="77.2"/>
    <n v="38.25"/>
    <n v="39.630000000000003"/>
    <n v="36.03"/>
    <n v="47.78"/>
    <n v="0.53"/>
    <n v="31.93"/>
    <n v="-2.93"/>
    <s v="EDM"/>
    <x v="0"/>
    <x v="0"/>
  </r>
  <r>
    <s v="2024-2025"/>
    <n v="20260228"/>
    <n v="4"/>
    <x v="11"/>
    <s v="FLO"/>
    <n v="59"/>
    <n v="30"/>
    <n v="26"/>
    <n v="1.1499999999999999"/>
    <n v="181"/>
    <n v="194"/>
    <n v="3.07"/>
    <n v="3.29"/>
    <n v="-0.22"/>
    <n v="29.17"/>
    <n v="10.52"/>
    <n v="63"/>
    <n v="47.9"/>
    <n v="212"/>
    <n v="42"/>
    <n v="19.8"/>
    <n v="206"/>
    <n v="37"/>
    <n v="82"/>
    <n v="101.8"/>
    <n v="295"/>
    <n v="717"/>
    <n v="3.7240000000000002"/>
    <n v="48.49"/>
    <n v="43.68"/>
    <n v="40.32"/>
    <n v="86.97"/>
    <n v="54.86"/>
    <n v="0.47"/>
    <n v="27.46"/>
    <n v="2.54"/>
    <s v="FLA"/>
    <x v="1"/>
    <x v="1"/>
  </r>
  <r>
    <s v="2024-2025"/>
    <n v="20260228"/>
    <n v="28"/>
    <x v="12"/>
    <s v="LAK"/>
    <n v="58"/>
    <n v="23"/>
    <n v="21"/>
    <n v="1.1000000000000001"/>
    <n v="151"/>
    <n v="169"/>
    <n v="2.6"/>
    <n v="2.91"/>
    <n v="-0.31"/>
    <n v="27.34"/>
    <n v="9.52"/>
    <n v="60"/>
    <n v="48.2"/>
    <n v="170"/>
    <n v="28"/>
    <n v="16.5"/>
    <n v="185"/>
    <n v="46"/>
    <n v="75.099999999999994"/>
    <n v="91.6"/>
    <n v="218"/>
    <n v="508"/>
    <n v="2.8879999999999999"/>
    <n v="27.24"/>
    <n v="47.49"/>
    <n v="49.52"/>
    <n v="45.29"/>
    <n v="42.38"/>
    <n v="0.44"/>
    <n v="25.75"/>
    <n v="-2.75"/>
    <s v="LAK"/>
    <x v="0"/>
    <x v="0"/>
  </r>
  <r>
    <s v="2024-2025"/>
    <n v="20260228"/>
    <n v="25"/>
    <x v="13"/>
    <s v="MIN"/>
    <n v="60"/>
    <n v="35"/>
    <n v="15"/>
    <n v="2.33"/>
    <n v="203"/>
    <n v="173"/>
    <n v="3.38"/>
    <n v="2.88"/>
    <n v="0.5"/>
    <n v="28.9"/>
    <n v="11.71"/>
    <n v="80"/>
    <n v="46.2"/>
    <n v="197"/>
    <n v="51"/>
    <n v="25.9"/>
    <n v="152"/>
    <n v="35"/>
    <n v="77"/>
    <n v="102.9"/>
    <n v="179"/>
    <n v="412"/>
    <n v="2.4940000000000002"/>
    <n v="65.12"/>
    <n v="56.43"/>
    <n v="59.57"/>
    <n v="45.89"/>
    <n v="56.75"/>
    <n v="0.57999999999999996"/>
    <n v="34.76"/>
    <n v="0.24"/>
    <s v="MIN"/>
    <x v="3"/>
    <x v="0"/>
  </r>
  <r>
    <s v="2024-2025"/>
    <n v="20260228"/>
    <n v="14"/>
    <x v="14"/>
    <s v="MTL"/>
    <n v="58"/>
    <n v="32"/>
    <n v="17"/>
    <n v="1.88"/>
    <n v="202"/>
    <n v="187"/>
    <n v="3.48"/>
    <n v="3.22"/>
    <n v="0.26"/>
    <n v="26.21"/>
    <n v="13.29"/>
    <n v="73"/>
    <n v="50.8"/>
    <n v="164"/>
    <n v="41"/>
    <n v="25"/>
    <n v="186"/>
    <n v="44"/>
    <n v="76.3"/>
    <n v="101.3"/>
    <n v="249"/>
    <n v="592"/>
    <n v="3.294"/>
    <n v="65.72"/>
    <n v="38.299999999999997"/>
    <n v="37.79"/>
    <n v="62.86"/>
    <n v="51.17"/>
    <n v="0.54"/>
    <n v="31.25"/>
    <n v="0.75"/>
    <s v="MTL"/>
    <x v="1"/>
    <x v="1"/>
  </r>
  <r>
    <s v="2024-2025"/>
    <n v="20260228"/>
    <n v="18"/>
    <x v="15"/>
    <s v="NSH"/>
    <n v="58"/>
    <n v="27"/>
    <n v="24"/>
    <n v="1.1200000000000001"/>
    <n v="173"/>
    <n v="200"/>
    <n v="2.98"/>
    <n v="3.45"/>
    <n v="-0.47"/>
    <n v="28.55"/>
    <n v="10.45"/>
    <n v="61"/>
    <n v="51.4"/>
    <n v="171"/>
    <n v="38"/>
    <n v="22.2"/>
    <n v="175"/>
    <n v="35"/>
    <n v="80"/>
    <n v="102.2"/>
    <n v="222"/>
    <n v="500"/>
    <n v="3.0579999999999998"/>
    <n v="47.05"/>
    <n v="42.52"/>
    <n v="34.51"/>
    <n v="43.41"/>
    <n v="41.87"/>
    <n v="0.43"/>
    <n v="24.78"/>
    <n v="2.2200000000000002"/>
    <s v="NSH"/>
    <x v="3"/>
    <x v="0"/>
  </r>
  <r>
    <s v="2024-2025"/>
    <n v="20260228"/>
    <n v="7"/>
    <x v="16"/>
    <s v="NJD"/>
    <n v="59"/>
    <n v="28"/>
    <n v="29"/>
    <n v="0.97"/>
    <n v="148"/>
    <n v="181"/>
    <n v="2.5099999999999998"/>
    <n v="3.07"/>
    <n v="-0.56000000000000005"/>
    <n v="29.29"/>
    <n v="8.56"/>
    <n v="58"/>
    <n v="50.5"/>
    <n v="150"/>
    <n v="30"/>
    <n v="20"/>
    <n v="148"/>
    <n v="31"/>
    <n v="79.099999999999994"/>
    <n v="99.1"/>
    <n v="180"/>
    <n v="422"/>
    <n v="2.613"/>
    <n v="29.18"/>
    <n v="56.07"/>
    <n v="53.92"/>
    <n v="38.880000000000003"/>
    <n v="44.51"/>
    <n v="0.4"/>
    <n v="23.64"/>
    <n v="4.3600000000000003"/>
    <s v="NJD"/>
    <x v="2"/>
    <x v="1"/>
  </r>
  <r>
    <s v="2024-2025"/>
    <n v="20260228"/>
    <n v="8"/>
    <x v="17"/>
    <s v="NYI"/>
    <n v="59"/>
    <n v="33"/>
    <n v="21"/>
    <n v="1.57"/>
    <n v="173"/>
    <n v="160"/>
    <n v="2.93"/>
    <n v="2.71"/>
    <n v="0.22"/>
    <n v="27.42"/>
    <n v="10.69"/>
    <n v="71"/>
    <n v="51.8"/>
    <n v="171"/>
    <n v="28"/>
    <n v="16.399999999999999"/>
    <n v="161"/>
    <n v="30"/>
    <n v="81.400000000000006"/>
    <n v="97.8"/>
    <n v="200"/>
    <n v="477"/>
    <n v="2.6749999999999998"/>
    <n v="38.01"/>
    <n v="68.37"/>
    <n v="69.92"/>
    <n v="46.52"/>
    <n v="55.7"/>
    <n v="0.54"/>
    <n v="31.8"/>
    <n v="1.2"/>
    <s v="NYI"/>
    <x v="2"/>
    <x v="1"/>
  </r>
  <r>
    <s v="2024-2025"/>
    <n v="20260228"/>
    <n v="9"/>
    <x v="18"/>
    <s v="NYR"/>
    <n v="58"/>
    <n v="22"/>
    <n v="29"/>
    <n v="0.76"/>
    <n v="153"/>
    <n v="183"/>
    <n v="2.64"/>
    <n v="3.16"/>
    <n v="-0.52"/>
    <n v="25.47"/>
    <n v="10.36"/>
    <n v="51"/>
    <n v="54.6"/>
    <n v="143"/>
    <n v="32"/>
    <n v="22.4"/>
    <n v="165"/>
    <n v="35"/>
    <n v="78.8"/>
    <n v="101.2"/>
    <n v="203"/>
    <n v="447"/>
    <n v="2.7869999999999999"/>
    <n v="33.46"/>
    <n v="44.57"/>
    <n v="46.83"/>
    <n v="72.38"/>
    <n v="49.31"/>
    <n v="0.41"/>
    <n v="23.84"/>
    <n v="-1.84"/>
    <s v="NYR"/>
    <x v="2"/>
    <x v="1"/>
  </r>
  <r>
    <s v="2024-2025"/>
    <n v="20260228"/>
    <n v="13"/>
    <x v="19"/>
    <s v="OTT"/>
    <n v="58"/>
    <n v="28"/>
    <n v="22"/>
    <n v="1.27"/>
    <n v="192"/>
    <n v="186"/>
    <n v="3.31"/>
    <n v="3.21"/>
    <n v="0.1"/>
    <n v="28.48"/>
    <n v="11.62"/>
    <n v="64"/>
    <n v="54.9"/>
    <n v="188"/>
    <n v="44"/>
    <n v="23.4"/>
    <n v="167"/>
    <n v="46"/>
    <n v="72.5"/>
    <n v="95.9"/>
    <n v="234"/>
    <n v="576"/>
    <n v="3.2309999999999999"/>
    <n v="59.59"/>
    <n v="30.63"/>
    <n v="36.770000000000003"/>
    <n v="67.77"/>
    <n v="48.69"/>
    <n v="0.52"/>
    <n v="29.89"/>
    <n v="-1.89"/>
    <s v="OTT"/>
    <x v="1"/>
    <x v="1"/>
  </r>
  <r>
    <s v="2024-2025"/>
    <n v="20260228"/>
    <n v="6"/>
    <x v="20"/>
    <s v="PHI"/>
    <n v="58"/>
    <n v="26"/>
    <n v="21"/>
    <n v="1.24"/>
    <n v="171"/>
    <n v="182"/>
    <n v="2.95"/>
    <n v="3.14"/>
    <n v="-0.19"/>
    <n v="25.59"/>
    <n v="11.52"/>
    <n v="63"/>
    <n v="49"/>
    <n v="167"/>
    <n v="27"/>
    <n v="16.2"/>
    <n v="175"/>
    <n v="36"/>
    <n v="79.400000000000006"/>
    <n v="95.6"/>
    <n v="231"/>
    <n v="582"/>
    <n v="3.24"/>
    <n v="37.630000000000003"/>
    <n v="45.93"/>
    <n v="46.96"/>
    <n v="65.62"/>
    <n v="49.04"/>
    <n v="0.47"/>
    <n v="27.19"/>
    <n v="-1.19"/>
    <s v="PHI"/>
    <x v="2"/>
    <x v="1"/>
  </r>
  <r>
    <s v="2024-2025"/>
    <n v="20260228"/>
    <n v="10"/>
    <x v="21"/>
    <s v="PIT"/>
    <n v="57"/>
    <n v="30"/>
    <n v="15"/>
    <n v="2"/>
    <n v="196"/>
    <n v="163"/>
    <n v="3.44"/>
    <n v="2.86"/>
    <n v="0.57999999999999996"/>
    <n v="29.16"/>
    <n v="11.79"/>
    <n v="72"/>
    <n v="49.9"/>
    <n v="149"/>
    <n v="39"/>
    <n v="26.2"/>
    <n v="165"/>
    <n v="26"/>
    <n v="84.2"/>
    <n v="110.4"/>
    <n v="196"/>
    <n v="450"/>
    <n v="2.6989999999999998"/>
    <n v="66.12"/>
    <n v="69.209999999999994"/>
    <n v="65.73"/>
    <n v="29.77"/>
    <n v="57.71"/>
    <n v="0.59"/>
    <n v="33.700000000000003"/>
    <n v="-3.7"/>
    <s v="PIT"/>
    <x v="2"/>
    <x v="1"/>
  </r>
  <r>
    <s v="2024-2025"/>
    <n v="20260228"/>
    <n v="26"/>
    <x v="22"/>
    <s v="SJS"/>
    <n v="56"/>
    <n v="27"/>
    <n v="25"/>
    <n v="1.08"/>
    <n v="172"/>
    <n v="196"/>
    <n v="3.07"/>
    <n v="3.5"/>
    <n v="-0.43"/>
    <n v="25.66"/>
    <n v="11.97"/>
    <n v="58"/>
    <n v="47.5"/>
    <n v="189"/>
    <n v="38"/>
    <n v="20.100000000000001"/>
    <n v="173"/>
    <n v="37"/>
    <n v="78.599999999999994"/>
    <n v="98.7"/>
    <n v="208"/>
    <n v="466"/>
    <n v="3.0489999999999999"/>
    <n v="47"/>
    <n v="32.03"/>
    <n v="29.99"/>
    <n v="46.89"/>
    <n v="38.979999999999997"/>
    <n v="0.43"/>
    <n v="24.35"/>
    <n v="2.65"/>
    <s v="SJS"/>
    <x v="0"/>
    <x v="0"/>
  </r>
  <r>
    <s v="2024-2025"/>
    <n v="20260228"/>
    <n v="143"/>
    <x v="23"/>
    <s v="SEA"/>
    <n v="58"/>
    <n v="27"/>
    <n v="22"/>
    <n v="1.23"/>
    <n v="164"/>
    <n v="170"/>
    <n v="2.83"/>
    <n v="2.93"/>
    <n v="-0.1"/>
    <n v="25.22"/>
    <n v="11.21"/>
    <n v="63"/>
    <n v="47.6"/>
    <n v="166"/>
    <n v="37"/>
    <n v="22.3"/>
    <n v="159"/>
    <n v="46"/>
    <n v="71.099999999999994"/>
    <n v="93.4"/>
    <n v="193"/>
    <n v="458"/>
    <n v="2.74"/>
    <n v="40.380000000000003"/>
    <n v="35.6"/>
    <n v="48.67"/>
    <n v="29.5"/>
    <n v="38.54"/>
    <n v="0.48"/>
    <n v="27.99"/>
    <n v="-0.99"/>
    <s v="SEA"/>
    <x v="0"/>
    <x v="0"/>
  </r>
  <r>
    <s v="2024-2025"/>
    <n v="20260228"/>
    <n v="17"/>
    <x v="24"/>
    <s v="STL"/>
    <n v="58"/>
    <n v="21"/>
    <n v="28"/>
    <n v="0.75"/>
    <n v="152"/>
    <n v="201"/>
    <n v="2.62"/>
    <n v="3.47"/>
    <n v="-0.85"/>
    <n v="25.19"/>
    <n v="10.4"/>
    <n v="51"/>
    <n v="50"/>
    <n v="153"/>
    <n v="28"/>
    <n v="18.3"/>
    <n v="160"/>
    <n v="42"/>
    <n v="73.8"/>
    <n v="92.1"/>
    <n v="192"/>
    <n v="452"/>
    <n v="2.907"/>
    <n v="28.35"/>
    <n v="28.03"/>
    <n v="28.61"/>
    <n v="61.72"/>
    <n v="36.68"/>
    <n v="0.36"/>
    <n v="21.06"/>
    <n v="-0.06"/>
    <s v="STL"/>
    <x v="3"/>
    <x v="0"/>
  </r>
  <r>
    <s v="2024-2025"/>
    <n v="20260228"/>
    <n v="1"/>
    <x v="25"/>
    <s v="TBL"/>
    <n v="57"/>
    <n v="38"/>
    <n v="15"/>
    <n v="2.5299999999999998"/>
    <n v="207"/>
    <n v="145"/>
    <n v="3.63"/>
    <n v="2.54"/>
    <n v="1.0900000000000001"/>
    <n v="28.28"/>
    <n v="12.84"/>
    <n v="80"/>
    <n v="47.1"/>
    <n v="178"/>
    <n v="40"/>
    <n v="22.5"/>
    <n v="176"/>
    <n v="30"/>
    <n v="83"/>
    <n v="105.5"/>
    <n v="282"/>
    <n v="810"/>
    <n v="3.827"/>
    <n v="68.69"/>
    <n v="72.33"/>
    <n v="76.39"/>
    <n v="57.79"/>
    <n v="68.8"/>
    <n v="0.67"/>
    <n v="38.26"/>
    <n v="-0.26"/>
    <s v="TBL"/>
    <x v="1"/>
    <x v="1"/>
  </r>
  <r>
    <s v="2024-2025"/>
    <n v="20260228"/>
    <n v="12"/>
    <x v="26"/>
    <s v="TOR"/>
    <n v="59"/>
    <n v="27"/>
    <n v="23"/>
    <n v="1.17"/>
    <n v="191"/>
    <n v="202"/>
    <n v="3.24"/>
    <n v="3.42"/>
    <n v="-0.18"/>
    <n v="27.46"/>
    <n v="11.79"/>
    <n v="63"/>
    <n v="56"/>
    <n v="138"/>
    <n v="27"/>
    <n v="19.600000000000001"/>
    <n v="147"/>
    <n v="24"/>
    <n v="83.7"/>
    <n v="103.3"/>
    <n v="187"/>
    <n v="418"/>
    <n v="2.754"/>
    <n v="51.04"/>
    <n v="49.22"/>
    <n v="44.01"/>
    <n v="53.04"/>
    <n v="49.33"/>
    <n v="0.47"/>
    <n v="27.91"/>
    <n v="-0.91"/>
    <s v="TOR"/>
    <x v="1"/>
    <x v="1"/>
  </r>
  <r>
    <s v="2024-2025"/>
    <n v="20260228"/>
    <n v="30"/>
    <x v="27"/>
    <s v="UTA"/>
    <n v="59"/>
    <n v="31"/>
    <n v="24"/>
    <n v="1.29"/>
    <n v="190"/>
    <n v="163"/>
    <n v="3.22"/>
    <n v="2.76"/>
    <n v="0.46"/>
    <n v="27.97"/>
    <n v="11.52"/>
    <n v="66"/>
    <n v="49.4"/>
    <n v="164"/>
    <n v="27"/>
    <n v="16.5"/>
    <n v="180"/>
    <n v="39"/>
    <n v="78.3"/>
    <n v="94.8"/>
    <n v="227"/>
    <n v="538"/>
    <n v="2.8780000000000001"/>
    <n v="47.78"/>
    <n v="64.06"/>
    <n v="61.41"/>
    <n v="44.88"/>
    <n v="54.53"/>
    <n v="0.57999999999999996"/>
    <n v="34.01"/>
    <n v="-3.01"/>
    <s v="UTA"/>
    <x v="3"/>
    <x v="0"/>
  </r>
  <r>
    <s v="2024-2025"/>
    <n v="20260228"/>
    <n v="21"/>
    <x v="28"/>
    <s v="VAN"/>
    <n v="58"/>
    <n v="18"/>
    <n v="33"/>
    <n v="0.55000000000000004"/>
    <n v="151"/>
    <n v="211"/>
    <n v="2.6"/>
    <n v="3.64"/>
    <n v="-1.04"/>
    <n v="26.81"/>
    <n v="9.7100000000000009"/>
    <n v="43"/>
    <n v="48.6"/>
    <n v="172"/>
    <n v="32"/>
    <n v="18.600000000000001"/>
    <n v="171"/>
    <n v="50"/>
    <n v="70.8"/>
    <n v="89.4"/>
    <n v="211"/>
    <n v="475"/>
    <n v="3.0659999999999998"/>
    <n v="29.38"/>
    <n v="12.51"/>
    <n v="15.62"/>
    <n v="54.52"/>
    <n v="28.01"/>
    <n v="0.34"/>
    <n v="19.59"/>
    <n v="-1.59"/>
    <s v="VAN"/>
    <x v="0"/>
    <x v="0"/>
  </r>
  <r>
    <s v="2024-2025"/>
    <n v="20260228"/>
    <n v="142"/>
    <x v="29"/>
    <s v="VGK"/>
    <n v="59"/>
    <n v="28"/>
    <n v="17"/>
    <n v="1.65"/>
    <n v="199"/>
    <n v="180"/>
    <n v="3.37"/>
    <n v="3.05"/>
    <n v="0.32"/>
    <n v="28.73"/>
    <n v="11.74"/>
    <n v="70"/>
    <n v="50.7"/>
    <n v="169"/>
    <n v="44"/>
    <n v="26"/>
    <n v="137"/>
    <n v="26"/>
    <n v="81"/>
    <n v="107"/>
    <n v="172"/>
    <n v="404"/>
    <n v="2.5590000000000002"/>
    <n v="64"/>
    <n v="57.99"/>
    <n v="58.31"/>
    <n v="41.74"/>
    <n v="55.51"/>
    <n v="0.55000000000000004"/>
    <n v="32.43"/>
    <n v="-4.43"/>
    <s v="VGK"/>
    <x v="0"/>
    <x v="0"/>
  </r>
  <r>
    <s v="2024-2025"/>
    <n v="20260228"/>
    <n v="5"/>
    <x v="30"/>
    <s v="WSH"/>
    <n v="61"/>
    <n v="31"/>
    <n v="23"/>
    <n v="1.35"/>
    <n v="195"/>
    <n v="175"/>
    <n v="3.2"/>
    <n v="2.87"/>
    <n v="0.33"/>
    <n v="29.16"/>
    <n v="10.96"/>
    <n v="69"/>
    <n v="49.8"/>
    <n v="181"/>
    <n v="29"/>
    <n v="16"/>
    <n v="195"/>
    <n v="41"/>
    <n v="79"/>
    <n v="95"/>
    <n v="238"/>
    <n v="568"/>
    <n v="2.99"/>
    <n v="47.32"/>
    <n v="54.86"/>
    <n v="56.28"/>
    <n v="43.85"/>
    <n v="50.58"/>
    <n v="0.55000000000000004"/>
    <n v="33.81"/>
    <n v="-2.81"/>
    <s v="WSH"/>
    <x v="2"/>
    <x v="1"/>
  </r>
  <r>
    <s v="2024-2025"/>
    <n v="20260228"/>
    <n v="2"/>
    <x v="31"/>
    <s v="WPJ"/>
    <n v="58"/>
    <n v="23"/>
    <n v="26"/>
    <n v="0.88"/>
    <n v="167"/>
    <n v="180"/>
    <n v="2.88"/>
    <n v="3.1"/>
    <n v="-0.22"/>
    <n v="26.41"/>
    <n v="10.9"/>
    <n v="55"/>
    <n v="50.5"/>
    <n v="162"/>
    <n v="31"/>
    <n v="19.100000000000001"/>
    <n v="169"/>
    <n v="36"/>
    <n v="78.7"/>
    <n v="97.8"/>
    <n v="205"/>
    <n v="496"/>
    <n v="2.91"/>
    <n v="38.79"/>
    <n v="51.16"/>
    <n v="48.66"/>
    <n v="58.17"/>
    <n v="49.19"/>
    <n v="0.46"/>
    <n v="26.87"/>
    <n v="-3.87"/>
    <s v="WPG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B1A8F-5871-40C1-941A-CCE3443177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39">
    <pivotField showAll="0"/>
    <pivotField showAll="0"/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1">
    <field x="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PT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CC0970-AE96-41A0-B9C5-9D0A9E6C0FC2}" name="Table4" displayName="Table4" ref="A1:B5" totalsRowShown="0">
  <autoFilter ref="A1:B5" xr:uid="{79CC0970-AE96-41A0-B9C5-9D0A9E6C0FC2}"/>
  <sortState xmlns:xlrd2="http://schemas.microsoft.com/office/spreadsheetml/2017/richdata2" ref="A2:B5">
    <sortCondition ref="B1:B5"/>
  </sortState>
  <tableColumns count="2">
    <tableColumn id="1" xr3:uid="{F7B7576C-757B-4361-9DB1-9D6CF3A70B2E}" name="Division"/>
    <tableColumn id="2" xr3:uid="{6FB4DBAD-209C-41B8-A5E3-A26E42D0A646}" name="Win PCT" dataDxfId="3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632EBF-16A5-4B07-9148-CE312B908028}" name="Table5" displayName="Table5" ref="A1:B33" totalsRowShown="0">
  <autoFilter ref="A1:B33" xr:uid="{7C632EBF-16A5-4B07-9148-CE312B908028}"/>
  <sortState xmlns:xlrd2="http://schemas.microsoft.com/office/spreadsheetml/2017/richdata2" ref="A2:B33">
    <sortCondition ref="B1:B33"/>
  </sortState>
  <tableColumns count="2">
    <tableColumn id="1" xr3:uid="{3B71DCB0-06E4-4C51-AF4A-09EFD9585EB3}" name="Team"/>
    <tableColumn id="2" xr3:uid="{97D3C662-F3B5-4958-AA88-3B24FD01D0D9}" name="Points" dataDxfId="29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4A56A-58B3-4D04-9E6F-2502A46B928E}" name="Table1" displayName="Table1" ref="A1:D34" totalsRowShown="0" headerRowDxfId="28" dataDxfId="27">
  <autoFilter ref="A1:D34" xr:uid="{6DD4A56A-58B3-4D04-9E6F-2502A46B928E}"/>
  <tableColumns count="4">
    <tableColumn id="1" xr3:uid="{9AD5A7CA-87E9-48E8-AFF0-A8A59C518A72}" name="TEAM"/>
    <tableColumn id="2" xr3:uid="{6364095B-9522-4455-A8DD-481F5E70C873}" name="WL_RATIO" dataDxfId="26"/>
    <tableColumn id="3" xr3:uid="{BF5E473B-3D47-49B8-8FE5-03D94041394B}" name="GPG_DIFF" dataDxfId="25"/>
    <tableColumn id="4" xr3:uid="{0FA31180-BAA9-45C3-B979-4247BDF59D76}" name="PYTH_WIN_PCT" dataDxfId="2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54FD3A-A71D-4BFB-8F05-6289FB35F325}" name="Table2" displayName="Table2" ref="A1:K33" totalsRowShown="0" headerRowDxfId="23" dataDxfId="22">
  <autoFilter ref="A1:K33" xr:uid="{E054FD3A-A71D-4BFB-8F05-6289FB35F325}"/>
  <sortState xmlns:xlrd2="http://schemas.microsoft.com/office/spreadsheetml/2017/richdata2" ref="A2:K33">
    <sortCondition descending="1" ref="K1:K33"/>
  </sortState>
  <tableColumns count="11">
    <tableColumn id="1" xr3:uid="{32D6DCD8-DD74-442F-88C6-E1DEF73BAE1D}" name="TEAM"/>
    <tableColumn id="2" xr3:uid="{A7175157-3087-49ED-9F8C-DC834080AA20}" name="GF" dataDxfId="21"/>
    <tableColumn id="3" xr3:uid="{59B2A7DA-4FD6-4D3D-BFE8-C011F805E8DA}" name="GA" dataDxfId="20"/>
    <tableColumn id="4" xr3:uid="{E8FF4CF0-A5B7-446E-BE0D-923176196F7B}" name="GOAL_DIFF" dataDxfId="19">
      <calculatedColumnFormula>B2-C2</calculatedColumnFormula>
    </tableColumn>
    <tableColumn id="5" xr3:uid="{503826D0-2699-4B70-B4F8-99C1B71DA22F}" name="OFF" dataDxfId="18"/>
    <tableColumn id="6" xr3:uid="{9A2102E3-6B96-4F3B-8A33-ABF660D65DB4}" name="DEF" dataDxfId="17"/>
    <tableColumn id="7" xr3:uid="{478FDB10-0DDC-482D-932C-66191031DC79}" name="GOAL" dataDxfId="16"/>
    <tableColumn id="8" xr3:uid="{BFA2D125-795A-44D3-A9FC-4DA0E8908051}" name="GRIT" dataDxfId="15"/>
    <tableColumn id="9" xr3:uid="{D6DE19FF-54DD-42F7-89E2-9A47E775A9E9}" name="BALANCE" dataDxfId="14"/>
    <tableColumn id="10" xr3:uid="{1A926F34-E77A-43D4-BABC-2F874DA7F675}" name="PYTH_WIN_PCT" dataDxfId="13"/>
    <tableColumn id="11" xr3:uid="{40E47F6C-B3C5-4492-8BF9-5067C4C4E903}" name="WIN_PROB" dataDxfId="12">
      <calculatedColumnFormula>Table2[[#This Row],[PYTH_WIN_PCT]]*100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D5B4CC-BDDF-47D4-A825-E990CB76C6E5}" name="Table24" displayName="Table24" ref="A1:K33" totalsRowShown="0" headerRowDxfId="11" dataDxfId="10">
  <autoFilter ref="A1:K33" xr:uid="{FED5B4CC-BDDF-47D4-A825-E990CB76C6E5}"/>
  <sortState xmlns:xlrd2="http://schemas.microsoft.com/office/spreadsheetml/2017/richdata2" ref="A2:K33">
    <sortCondition descending="1" ref="K1:K33"/>
  </sortState>
  <tableColumns count="11">
    <tableColumn id="1" xr3:uid="{97B7E0C2-8906-4A52-8555-4EC8A7F7B9C0}" name="TEAM"/>
    <tableColumn id="2" xr3:uid="{386CFB9D-10EE-4B34-B28C-091042BB7E0F}" name="GF" dataDxfId="9"/>
    <tableColumn id="3" xr3:uid="{9E33C63F-AC4F-4A7C-989A-5173EA52EFF7}" name="GA" dataDxfId="8"/>
    <tableColumn id="4" xr3:uid="{6D966DBB-3906-4F48-A40C-D440C3C3BEA9}" name="GOAL_DIFF" dataDxfId="7">
      <calculatedColumnFormula>B2-C2</calculatedColumnFormula>
    </tableColumn>
    <tableColumn id="5" xr3:uid="{8F15FA89-9EBD-49A8-B666-A2FD4856476A}" name="OFF" dataDxfId="6"/>
    <tableColumn id="6" xr3:uid="{DF4B9589-0653-425C-8350-92E4BDBDA599}" name="DEF" dataDxfId="5"/>
    <tableColumn id="7" xr3:uid="{A618CD31-9591-4EEB-BE16-1DF80E7BB0E9}" name="GOAL" dataDxfId="4"/>
    <tableColumn id="8" xr3:uid="{143E6962-2A79-4B9F-B213-F3593F5C42B0}" name="GRIT" dataDxfId="3"/>
    <tableColumn id="9" xr3:uid="{6B2483C1-9606-4972-9B04-EF23817346EB}" name="BALANCE" dataDxfId="2"/>
    <tableColumn id="10" xr3:uid="{31CA498D-447B-4BEF-B1FF-9D12426A8799}" name="PYTH_WIN_PCT" dataDxfId="1"/>
    <tableColumn id="11" xr3:uid="{6317D5A7-DB5D-443C-BB43-7805E86EC35E}" name="WIN_PROB" dataDxfId="0">
      <calculatedColumnFormula>Table24[[#This Row],[PYTH_WIN_PCT]]*100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00DE-9EEF-4694-8E25-952876AB9363}">
  <dimension ref="A1:AM33"/>
  <sheetViews>
    <sheetView tabSelected="1" workbookViewId="0">
      <selection activeCell="N39" sqref="N39"/>
    </sheetView>
  </sheetViews>
  <sheetFormatPr defaultRowHeight="14.4" x14ac:dyDescent="0.3"/>
  <cols>
    <col min="1" max="1" width="9.6640625" bestFit="1" customWidth="1"/>
    <col min="2" max="2" width="15.21875" style="1" bestFit="1" customWidth="1"/>
    <col min="3" max="3" width="8.88671875" style="1"/>
    <col min="4" max="4" width="21" bestFit="1" customWidth="1"/>
    <col min="5" max="5" width="10.77734375" bestFit="1" customWidth="1"/>
    <col min="6" max="11" width="8.88671875" style="1"/>
    <col min="12" max="12" width="10.109375" style="1" bestFit="1" customWidth="1"/>
    <col min="13" max="39" width="8.88671875" style="1"/>
  </cols>
  <sheetData>
    <row r="1" spans="1:39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0" t="s">
        <v>5</v>
      </c>
      <c r="G1" s="10" t="s">
        <v>6</v>
      </c>
      <c r="H1" s="10" t="s">
        <v>7</v>
      </c>
      <c r="I1" s="1" t="s">
        <v>8</v>
      </c>
      <c r="J1" s="10" t="s">
        <v>9</v>
      </c>
      <c r="K1" s="10" t="s">
        <v>10</v>
      </c>
      <c r="L1" s="1" t="s">
        <v>109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0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0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">
      <c r="A2" t="s">
        <v>38</v>
      </c>
      <c r="B2" s="1">
        <v>20260228</v>
      </c>
      <c r="C2" s="1">
        <v>29</v>
      </c>
      <c r="D2" t="s">
        <v>39</v>
      </c>
      <c r="E2" t="s">
        <v>40</v>
      </c>
      <c r="F2" s="10">
        <v>58</v>
      </c>
      <c r="G2" s="10">
        <v>32</v>
      </c>
      <c r="H2" s="10">
        <v>23</v>
      </c>
      <c r="I2" s="1">
        <v>1.39</v>
      </c>
      <c r="J2" s="10">
        <v>196</v>
      </c>
      <c r="K2" s="10">
        <v>204</v>
      </c>
      <c r="L2" s="1">
        <f>J2-K2</f>
        <v>-8</v>
      </c>
      <c r="M2" s="1">
        <v>3.38</v>
      </c>
      <c r="N2" s="1">
        <v>3.52</v>
      </c>
      <c r="O2" s="1">
        <v>-0.14000000000000001</v>
      </c>
      <c r="P2" s="1">
        <v>30.26</v>
      </c>
      <c r="Q2" s="1">
        <v>11.17</v>
      </c>
      <c r="R2" s="10">
        <v>67</v>
      </c>
      <c r="S2" s="1">
        <v>47</v>
      </c>
      <c r="T2" s="1">
        <v>175</v>
      </c>
      <c r="U2" s="1">
        <v>32</v>
      </c>
      <c r="V2" s="1">
        <v>18.3</v>
      </c>
      <c r="W2" s="1">
        <v>183</v>
      </c>
      <c r="X2" s="1">
        <v>41</v>
      </c>
      <c r="Y2" s="1">
        <v>77.599999999999994</v>
      </c>
      <c r="Z2" s="1">
        <v>95.9</v>
      </c>
      <c r="AA2" s="1">
        <v>227</v>
      </c>
      <c r="AB2" s="10">
        <v>556</v>
      </c>
      <c r="AC2" s="1">
        <v>3.2829999999999999</v>
      </c>
      <c r="AD2" s="1">
        <v>56.48</v>
      </c>
      <c r="AE2" s="1">
        <v>33.479999999999997</v>
      </c>
      <c r="AF2" s="1">
        <v>27.21</v>
      </c>
      <c r="AG2" s="1">
        <v>60.99</v>
      </c>
      <c r="AH2" s="1">
        <v>44.54</v>
      </c>
      <c r="AI2" s="1">
        <v>0.48</v>
      </c>
      <c r="AJ2" s="1">
        <v>27.82</v>
      </c>
      <c r="AK2" s="1">
        <v>4.18</v>
      </c>
      <c r="AL2" s="1" t="s">
        <v>41</v>
      </c>
      <c r="AM2" s="1" t="s">
        <v>42</v>
      </c>
    </row>
    <row r="3" spans="1:39" x14ac:dyDescent="0.3">
      <c r="A3" t="s">
        <v>38</v>
      </c>
      <c r="B3" s="1">
        <v>20260228</v>
      </c>
      <c r="C3" s="1">
        <v>11</v>
      </c>
      <c r="D3" t="s">
        <v>43</v>
      </c>
      <c r="E3" t="s">
        <v>44</v>
      </c>
      <c r="F3" s="10">
        <v>58</v>
      </c>
      <c r="G3" s="10">
        <v>33</v>
      </c>
      <c r="H3" s="10">
        <v>20</v>
      </c>
      <c r="I3" s="1">
        <v>1.65</v>
      </c>
      <c r="J3" s="10">
        <v>199</v>
      </c>
      <c r="K3" s="10">
        <v>181</v>
      </c>
      <c r="L3" s="1">
        <f t="shared" ref="L3:L33" si="0">J3-K3</f>
        <v>18</v>
      </c>
      <c r="M3" s="1">
        <v>3.43</v>
      </c>
      <c r="N3" s="1">
        <v>3.12</v>
      </c>
      <c r="O3" s="1">
        <v>0.31</v>
      </c>
      <c r="P3" s="1">
        <v>27.1</v>
      </c>
      <c r="Q3" s="1">
        <v>12.66</v>
      </c>
      <c r="R3" s="10">
        <v>71</v>
      </c>
      <c r="S3" s="1">
        <v>52</v>
      </c>
      <c r="T3" s="1">
        <v>168</v>
      </c>
      <c r="U3" s="1">
        <v>45</v>
      </c>
      <c r="V3" s="1">
        <v>26.8</v>
      </c>
      <c r="W3" s="1">
        <v>209</v>
      </c>
      <c r="X3" s="1">
        <v>50</v>
      </c>
      <c r="Y3" s="1">
        <v>76.099999999999994</v>
      </c>
      <c r="Z3" s="1">
        <v>102.9</v>
      </c>
      <c r="AA3" s="1">
        <v>288</v>
      </c>
      <c r="AB3" s="10">
        <v>771</v>
      </c>
      <c r="AC3" s="1">
        <v>3.8860000000000001</v>
      </c>
      <c r="AD3" s="1">
        <v>66.349999999999994</v>
      </c>
      <c r="AE3" s="1">
        <v>34.07</v>
      </c>
      <c r="AF3" s="1">
        <v>37.71</v>
      </c>
      <c r="AG3" s="1">
        <v>73.040000000000006</v>
      </c>
      <c r="AH3" s="1">
        <v>52.79</v>
      </c>
      <c r="AI3" s="1">
        <v>0.55000000000000004</v>
      </c>
      <c r="AJ3" s="1">
        <v>31.74</v>
      </c>
      <c r="AK3" s="1">
        <v>1.26</v>
      </c>
      <c r="AL3" s="1" t="s">
        <v>45</v>
      </c>
      <c r="AM3" s="1" t="s">
        <v>46</v>
      </c>
    </row>
    <row r="4" spans="1:39" x14ac:dyDescent="0.3">
      <c r="A4" t="s">
        <v>38</v>
      </c>
      <c r="B4" s="1">
        <v>20260228</v>
      </c>
      <c r="C4" s="1">
        <v>15</v>
      </c>
      <c r="D4" t="s">
        <v>47</v>
      </c>
      <c r="E4" t="s">
        <v>48</v>
      </c>
      <c r="F4" s="10">
        <v>59</v>
      </c>
      <c r="G4" s="10">
        <v>34</v>
      </c>
      <c r="H4" s="10">
        <v>19</v>
      </c>
      <c r="I4" s="1">
        <v>1.79</v>
      </c>
      <c r="J4" s="10">
        <v>200</v>
      </c>
      <c r="K4" s="10">
        <v>179</v>
      </c>
      <c r="L4" s="1">
        <f t="shared" si="0"/>
        <v>21</v>
      </c>
      <c r="M4" s="1">
        <v>3.39</v>
      </c>
      <c r="N4" s="1">
        <v>3.03</v>
      </c>
      <c r="O4" s="1">
        <v>0.36</v>
      </c>
      <c r="P4" s="1">
        <v>27.85</v>
      </c>
      <c r="Q4" s="1">
        <v>12.17</v>
      </c>
      <c r="R4" s="10">
        <v>74</v>
      </c>
      <c r="S4" s="1">
        <v>44.5</v>
      </c>
      <c r="T4" s="1">
        <v>175</v>
      </c>
      <c r="U4" s="1">
        <v>35</v>
      </c>
      <c r="V4" s="1">
        <v>20</v>
      </c>
      <c r="W4" s="1">
        <v>160</v>
      </c>
      <c r="X4" s="1">
        <v>28</v>
      </c>
      <c r="Y4" s="1">
        <v>82.5</v>
      </c>
      <c r="Z4" s="1">
        <v>102.5</v>
      </c>
      <c r="AA4" s="1">
        <v>213</v>
      </c>
      <c r="AB4" s="10">
        <v>530</v>
      </c>
      <c r="AC4" s="1">
        <v>2.9790000000000001</v>
      </c>
      <c r="AD4" s="1">
        <v>57.54</v>
      </c>
      <c r="AE4" s="1">
        <v>60.42</v>
      </c>
      <c r="AF4" s="1">
        <v>57.74</v>
      </c>
      <c r="AG4" s="1">
        <v>47.41</v>
      </c>
      <c r="AH4" s="1">
        <v>55.78</v>
      </c>
      <c r="AI4" s="1">
        <v>0.56000000000000005</v>
      </c>
      <c r="AJ4" s="1">
        <v>32.799999999999997</v>
      </c>
      <c r="AK4" s="1">
        <v>1.2</v>
      </c>
      <c r="AL4" s="1" t="s">
        <v>45</v>
      </c>
      <c r="AM4" s="1" t="s">
        <v>46</v>
      </c>
    </row>
    <row r="5" spans="1:39" x14ac:dyDescent="0.3">
      <c r="A5" t="s">
        <v>38</v>
      </c>
      <c r="B5" s="1">
        <v>20260228</v>
      </c>
      <c r="C5" s="1">
        <v>23</v>
      </c>
      <c r="D5" t="s">
        <v>49</v>
      </c>
      <c r="E5" t="s">
        <v>50</v>
      </c>
      <c r="F5" s="10">
        <v>57</v>
      </c>
      <c r="G5" s="10">
        <v>24</v>
      </c>
      <c r="H5" s="10">
        <v>27</v>
      </c>
      <c r="I5" s="1">
        <v>0.89</v>
      </c>
      <c r="J5" s="10">
        <v>146</v>
      </c>
      <c r="K5" s="10">
        <v>168</v>
      </c>
      <c r="L5" s="1">
        <f t="shared" si="0"/>
        <v>-22</v>
      </c>
      <c r="M5" s="1">
        <v>2.56</v>
      </c>
      <c r="N5" s="1">
        <v>2.95</v>
      </c>
      <c r="O5" s="1">
        <v>-0.39</v>
      </c>
      <c r="P5" s="1">
        <v>29</v>
      </c>
      <c r="Q5" s="1">
        <v>8.83</v>
      </c>
      <c r="R5" s="10">
        <v>54</v>
      </c>
      <c r="S5" s="1">
        <v>49</v>
      </c>
      <c r="T5" s="1">
        <v>173</v>
      </c>
      <c r="U5" s="1">
        <v>28</v>
      </c>
      <c r="V5" s="1">
        <v>16.2</v>
      </c>
      <c r="W5" s="1">
        <v>164</v>
      </c>
      <c r="X5" s="1">
        <v>29</v>
      </c>
      <c r="Y5" s="1">
        <v>82.3</v>
      </c>
      <c r="Z5" s="1">
        <v>98.5</v>
      </c>
      <c r="AA5" s="1">
        <v>238</v>
      </c>
      <c r="AB5" s="10">
        <v>685</v>
      </c>
      <c r="AC5" s="1">
        <v>3.5449999999999999</v>
      </c>
      <c r="AD5" s="1">
        <v>26.94</v>
      </c>
      <c r="AE5" s="1">
        <v>60.03</v>
      </c>
      <c r="AF5" s="1">
        <v>59.71</v>
      </c>
      <c r="AG5" s="1">
        <v>70.349999999999994</v>
      </c>
      <c r="AH5" s="1">
        <v>54.26</v>
      </c>
      <c r="AI5" s="1">
        <v>0.43</v>
      </c>
      <c r="AJ5" s="1">
        <v>24.49</v>
      </c>
      <c r="AK5" s="1">
        <v>-0.49</v>
      </c>
      <c r="AL5" s="1" t="s">
        <v>41</v>
      </c>
      <c r="AM5" s="1" t="s">
        <v>42</v>
      </c>
    </row>
    <row r="6" spans="1:39" x14ac:dyDescent="0.3">
      <c r="A6" t="s">
        <v>38</v>
      </c>
      <c r="B6" s="1">
        <v>20260228</v>
      </c>
      <c r="C6" s="1">
        <v>3</v>
      </c>
      <c r="D6" t="s">
        <v>51</v>
      </c>
      <c r="E6" t="s">
        <v>52</v>
      </c>
      <c r="F6" s="10">
        <v>58</v>
      </c>
      <c r="G6" s="10">
        <v>37</v>
      </c>
      <c r="H6" s="10">
        <v>15</v>
      </c>
      <c r="I6" s="1">
        <v>2.4700000000000002</v>
      </c>
      <c r="J6" s="10">
        <v>202</v>
      </c>
      <c r="K6" s="10">
        <v>164</v>
      </c>
      <c r="L6" s="1">
        <f t="shared" si="0"/>
        <v>38</v>
      </c>
      <c r="M6" s="1">
        <v>3.48</v>
      </c>
      <c r="N6" s="1">
        <v>2.83</v>
      </c>
      <c r="O6" s="1">
        <v>0.65</v>
      </c>
      <c r="P6" s="1">
        <v>31.93</v>
      </c>
      <c r="Q6" s="1">
        <v>10.91</v>
      </c>
      <c r="R6" s="10">
        <v>80</v>
      </c>
      <c r="S6" s="1">
        <v>50.5</v>
      </c>
      <c r="T6" s="1">
        <v>176</v>
      </c>
      <c r="U6" s="1">
        <v>39</v>
      </c>
      <c r="V6" s="1">
        <v>22.2</v>
      </c>
      <c r="W6" s="1">
        <v>159</v>
      </c>
      <c r="X6" s="1">
        <v>32</v>
      </c>
      <c r="Y6" s="1">
        <v>79.900000000000006</v>
      </c>
      <c r="Z6" s="1">
        <v>102.1</v>
      </c>
      <c r="AA6" s="1">
        <v>205</v>
      </c>
      <c r="AB6" s="10">
        <v>461</v>
      </c>
      <c r="AC6" s="1">
        <v>2.6920000000000002</v>
      </c>
      <c r="AD6" s="1">
        <v>65.260000000000005</v>
      </c>
      <c r="AE6" s="1">
        <v>61.98</v>
      </c>
      <c r="AF6" s="1">
        <v>63.01</v>
      </c>
      <c r="AG6" s="1">
        <v>46.46</v>
      </c>
      <c r="AH6" s="1">
        <v>59.18</v>
      </c>
      <c r="AI6" s="1">
        <v>0.6</v>
      </c>
      <c r="AJ6" s="1">
        <v>34.909999999999997</v>
      </c>
      <c r="AK6" s="1">
        <v>2.09</v>
      </c>
      <c r="AL6" s="1" t="s">
        <v>53</v>
      </c>
      <c r="AM6" s="1" t="s">
        <v>46</v>
      </c>
    </row>
    <row r="7" spans="1:39" x14ac:dyDescent="0.3">
      <c r="A7" t="s">
        <v>38</v>
      </c>
      <c r="B7" s="1">
        <v>20260228</v>
      </c>
      <c r="C7" s="1">
        <v>20</v>
      </c>
      <c r="D7" t="s">
        <v>54</v>
      </c>
      <c r="E7" t="s">
        <v>55</v>
      </c>
      <c r="F7" s="10">
        <v>58</v>
      </c>
      <c r="G7" s="10">
        <v>22</v>
      </c>
      <c r="H7" s="10">
        <v>27</v>
      </c>
      <c r="I7" s="1">
        <v>0.81</v>
      </c>
      <c r="J7" s="10">
        <v>156</v>
      </c>
      <c r="K7" s="10">
        <v>184</v>
      </c>
      <c r="L7" s="1">
        <f t="shared" si="0"/>
        <v>-28</v>
      </c>
      <c r="M7" s="1">
        <v>2.69</v>
      </c>
      <c r="N7" s="1">
        <v>3.17</v>
      </c>
      <c r="O7" s="1">
        <v>-0.48</v>
      </c>
      <c r="P7" s="1">
        <v>24.72</v>
      </c>
      <c r="Q7" s="1">
        <v>10.88</v>
      </c>
      <c r="R7" s="10">
        <v>53</v>
      </c>
      <c r="S7" s="1">
        <v>47.3</v>
      </c>
      <c r="T7" s="1">
        <v>166</v>
      </c>
      <c r="U7" s="1">
        <v>32</v>
      </c>
      <c r="V7" s="1">
        <v>19.3</v>
      </c>
      <c r="W7" s="1">
        <v>175</v>
      </c>
      <c r="X7" s="1">
        <v>26</v>
      </c>
      <c r="Y7" s="1">
        <v>85.1</v>
      </c>
      <c r="Z7" s="1">
        <v>104.4</v>
      </c>
      <c r="AA7" s="1">
        <v>220</v>
      </c>
      <c r="AB7" s="10">
        <v>551</v>
      </c>
      <c r="AC7" s="1">
        <v>3.1309999999999998</v>
      </c>
      <c r="AD7" s="1">
        <v>32.01</v>
      </c>
      <c r="AE7" s="1">
        <v>61.55</v>
      </c>
      <c r="AF7" s="1">
        <v>52.89</v>
      </c>
      <c r="AG7" s="1">
        <v>35.42</v>
      </c>
      <c r="AH7" s="1">
        <v>45.47</v>
      </c>
      <c r="AI7" s="1">
        <v>0.42</v>
      </c>
      <c r="AJ7" s="1">
        <v>24.28</v>
      </c>
      <c r="AK7" s="1">
        <v>-2.2799999999999998</v>
      </c>
      <c r="AL7" s="1" t="s">
        <v>56</v>
      </c>
      <c r="AM7" s="1" t="s">
        <v>42</v>
      </c>
    </row>
    <row r="8" spans="1:39" x14ac:dyDescent="0.3">
      <c r="A8" t="s">
        <v>38</v>
      </c>
      <c r="B8" s="1">
        <v>20260228</v>
      </c>
      <c r="C8" s="1">
        <v>22</v>
      </c>
      <c r="D8" t="s">
        <v>57</v>
      </c>
      <c r="E8" t="s">
        <v>58</v>
      </c>
      <c r="F8" s="10">
        <v>57</v>
      </c>
      <c r="G8" s="10">
        <v>38</v>
      </c>
      <c r="H8" s="10">
        <v>10</v>
      </c>
      <c r="I8" s="1">
        <v>3.8</v>
      </c>
      <c r="J8" s="10">
        <v>218</v>
      </c>
      <c r="K8" s="10">
        <v>140</v>
      </c>
      <c r="L8" s="1">
        <f t="shared" si="0"/>
        <v>78</v>
      </c>
      <c r="M8" s="1">
        <v>3.82</v>
      </c>
      <c r="N8" s="1">
        <v>2.46</v>
      </c>
      <c r="O8" s="1">
        <v>1.36</v>
      </c>
      <c r="P8" s="1">
        <v>34.19</v>
      </c>
      <c r="Q8" s="1">
        <v>11.19</v>
      </c>
      <c r="R8" s="10">
        <v>85</v>
      </c>
      <c r="S8" s="1">
        <v>51.1</v>
      </c>
      <c r="T8" s="1">
        <v>185</v>
      </c>
      <c r="U8" s="1">
        <v>28</v>
      </c>
      <c r="V8" s="1">
        <v>15.1</v>
      </c>
      <c r="W8" s="1">
        <v>160</v>
      </c>
      <c r="X8" s="1">
        <v>26</v>
      </c>
      <c r="Y8" s="1">
        <v>83.8</v>
      </c>
      <c r="Z8" s="1">
        <v>98.9</v>
      </c>
      <c r="AA8" s="1">
        <v>190</v>
      </c>
      <c r="AB8" s="10">
        <v>405</v>
      </c>
      <c r="AC8" s="1">
        <v>2.3959999999999999</v>
      </c>
      <c r="AD8" s="1">
        <v>69.41</v>
      </c>
      <c r="AE8" s="1">
        <v>80.19</v>
      </c>
      <c r="AF8" s="1">
        <v>82.73</v>
      </c>
      <c r="AG8" s="1">
        <v>23.39</v>
      </c>
      <c r="AH8" s="1">
        <v>63.93</v>
      </c>
      <c r="AI8" s="1">
        <v>0.71</v>
      </c>
      <c r="AJ8" s="1">
        <v>40.29</v>
      </c>
      <c r="AK8" s="1">
        <v>-2.29</v>
      </c>
      <c r="AL8" s="1" t="s">
        <v>56</v>
      </c>
      <c r="AM8" s="1" t="s">
        <v>42</v>
      </c>
    </row>
    <row r="9" spans="1:39" x14ac:dyDescent="0.3">
      <c r="A9" t="s">
        <v>38</v>
      </c>
      <c r="B9" s="1">
        <v>20260228</v>
      </c>
      <c r="C9" s="1">
        <v>19</v>
      </c>
      <c r="D9" t="s">
        <v>59</v>
      </c>
      <c r="E9" t="s">
        <v>60</v>
      </c>
      <c r="F9" s="10">
        <v>57</v>
      </c>
      <c r="G9" s="10">
        <v>29</v>
      </c>
      <c r="H9" s="10">
        <v>21</v>
      </c>
      <c r="I9" s="1">
        <v>1.38</v>
      </c>
      <c r="J9" s="10">
        <v>181</v>
      </c>
      <c r="K9" s="10">
        <v>180</v>
      </c>
      <c r="L9" s="1">
        <f t="shared" si="0"/>
        <v>1</v>
      </c>
      <c r="M9" s="1">
        <v>3.18</v>
      </c>
      <c r="N9" s="1">
        <v>3.16</v>
      </c>
      <c r="O9" s="1">
        <v>0.02</v>
      </c>
      <c r="P9" s="1">
        <v>29.96</v>
      </c>
      <c r="Q9" s="1">
        <v>10.6</v>
      </c>
      <c r="R9" s="10">
        <v>65</v>
      </c>
      <c r="S9" s="1">
        <v>50.9</v>
      </c>
      <c r="T9" s="1">
        <v>135</v>
      </c>
      <c r="U9" s="1">
        <v>27</v>
      </c>
      <c r="V9" s="1">
        <v>20</v>
      </c>
      <c r="W9" s="1">
        <v>162</v>
      </c>
      <c r="X9" s="1">
        <v>37</v>
      </c>
      <c r="Y9" s="1">
        <v>77.2</v>
      </c>
      <c r="Z9" s="1">
        <v>97.2</v>
      </c>
      <c r="AA9" s="1">
        <v>198</v>
      </c>
      <c r="AB9" s="10">
        <v>451</v>
      </c>
      <c r="AC9" s="1">
        <v>2.8010000000000002</v>
      </c>
      <c r="AD9" s="1">
        <v>50.86</v>
      </c>
      <c r="AE9" s="1">
        <v>47.64</v>
      </c>
      <c r="AF9" s="1">
        <v>44.92</v>
      </c>
      <c r="AG9" s="1">
        <v>44.09</v>
      </c>
      <c r="AH9" s="1">
        <v>46.88</v>
      </c>
      <c r="AI9" s="1">
        <v>0.5</v>
      </c>
      <c r="AJ9" s="1">
        <v>28.68</v>
      </c>
      <c r="AK9" s="1">
        <v>0.32</v>
      </c>
      <c r="AL9" s="1" t="s">
        <v>53</v>
      </c>
      <c r="AM9" s="1" t="s">
        <v>46</v>
      </c>
    </row>
    <row r="10" spans="1:39" x14ac:dyDescent="0.3">
      <c r="A10" t="s">
        <v>38</v>
      </c>
      <c r="B10" s="1">
        <v>20260228</v>
      </c>
      <c r="C10" s="1">
        <v>27</v>
      </c>
      <c r="D10" t="s">
        <v>61</v>
      </c>
      <c r="E10" t="s">
        <v>62</v>
      </c>
      <c r="F10" s="10">
        <v>58</v>
      </c>
      <c r="G10" s="10">
        <v>35</v>
      </c>
      <c r="H10" s="10">
        <v>14</v>
      </c>
      <c r="I10" s="1">
        <v>2.5</v>
      </c>
      <c r="J10" s="10">
        <v>197</v>
      </c>
      <c r="K10" s="10">
        <v>158</v>
      </c>
      <c r="L10" s="1">
        <f t="shared" si="0"/>
        <v>39</v>
      </c>
      <c r="M10" s="1">
        <v>3.4</v>
      </c>
      <c r="N10" s="1">
        <v>2.72</v>
      </c>
      <c r="O10" s="1">
        <v>0.68</v>
      </c>
      <c r="P10" s="1">
        <v>25.67</v>
      </c>
      <c r="Q10" s="1">
        <v>13.23</v>
      </c>
      <c r="R10" s="10">
        <v>79</v>
      </c>
      <c r="S10" s="1">
        <v>52.2</v>
      </c>
      <c r="T10" s="1">
        <v>169</v>
      </c>
      <c r="U10" s="1">
        <v>51</v>
      </c>
      <c r="V10" s="1">
        <v>30.2</v>
      </c>
      <c r="W10" s="1">
        <v>175</v>
      </c>
      <c r="X10" s="1">
        <v>35</v>
      </c>
      <c r="Y10" s="1">
        <v>80</v>
      </c>
      <c r="Z10" s="1">
        <v>110.2</v>
      </c>
      <c r="AA10" s="1">
        <v>207</v>
      </c>
      <c r="AB10" s="10">
        <v>484</v>
      </c>
      <c r="AC10" s="1">
        <v>2.7309999999999999</v>
      </c>
      <c r="AD10" s="1">
        <v>69</v>
      </c>
      <c r="AE10" s="1">
        <v>64.5</v>
      </c>
      <c r="AF10" s="1">
        <v>65.52</v>
      </c>
      <c r="AG10" s="1">
        <v>38.25</v>
      </c>
      <c r="AH10" s="1">
        <v>59.32</v>
      </c>
      <c r="AI10" s="1">
        <v>0.61</v>
      </c>
      <c r="AJ10" s="1">
        <v>35.369999999999997</v>
      </c>
      <c r="AK10" s="1">
        <v>-0.37</v>
      </c>
      <c r="AL10" s="1" t="s">
        <v>56</v>
      </c>
      <c r="AM10" s="1" t="s">
        <v>42</v>
      </c>
    </row>
    <row r="11" spans="1:39" x14ac:dyDescent="0.3">
      <c r="A11" t="s">
        <v>38</v>
      </c>
      <c r="B11" s="1">
        <v>20260228</v>
      </c>
      <c r="C11" s="1">
        <v>16</v>
      </c>
      <c r="D11" t="s">
        <v>63</v>
      </c>
      <c r="E11" t="s">
        <v>64</v>
      </c>
      <c r="F11" s="10">
        <v>59</v>
      </c>
      <c r="G11" s="10">
        <v>34</v>
      </c>
      <c r="H11" s="10">
        <v>19</v>
      </c>
      <c r="I11" s="1">
        <v>1.79</v>
      </c>
      <c r="J11" s="10">
        <v>176</v>
      </c>
      <c r="K11" s="10">
        <v>173</v>
      </c>
      <c r="L11" s="1">
        <f t="shared" si="0"/>
        <v>3</v>
      </c>
      <c r="M11" s="1">
        <v>2.98</v>
      </c>
      <c r="N11" s="1">
        <v>2.93</v>
      </c>
      <c r="O11" s="1">
        <v>0.05</v>
      </c>
      <c r="P11" s="1">
        <v>28.2</v>
      </c>
      <c r="Q11" s="1">
        <v>10.58</v>
      </c>
      <c r="R11" s="10">
        <v>74</v>
      </c>
      <c r="S11" s="1">
        <v>50.8</v>
      </c>
      <c r="T11" s="1">
        <v>183</v>
      </c>
      <c r="U11" s="1">
        <v>43</v>
      </c>
      <c r="V11" s="1">
        <v>23.5</v>
      </c>
      <c r="W11" s="1">
        <v>153</v>
      </c>
      <c r="X11" s="1">
        <v>32</v>
      </c>
      <c r="Y11" s="1">
        <v>79.099999999999994</v>
      </c>
      <c r="Z11" s="1">
        <v>102.6</v>
      </c>
      <c r="AA11" s="1">
        <v>196</v>
      </c>
      <c r="AB11" s="10">
        <v>459</v>
      </c>
      <c r="AC11" s="1">
        <v>2.6970000000000001</v>
      </c>
      <c r="AD11" s="1">
        <v>48.61</v>
      </c>
      <c r="AE11" s="1">
        <v>56.92</v>
      </c>
      <c r="AF11" s="1">
        <v>59.15</v>
      </c>
      <c r="AG11" s="1">
        <v>27.1</v>
      </c>
      <c r="AH11" s="1">
        <v>47.95</v>
      </c>
      <c r="AI11" s="1">
        <v>0.51</v>
      </c>
      <c r="AJ11" s="1">
        <v>30</v>
      </c>
      <c r="AK11" s="1">
        <v>4</v>
      </c>
      <c r="AL11" s="1" t="s">
        <v>45</v>
      </c>
      <c r="AM11" s="1" t="s">
        <v>46</v>
      </c>
    </row>
    <row r="12" spans="1:39" x14ac:dyDescent="0.3">
      <c r="A12" t="s">
        <v>38</v>
      </c>
      <c r="B12" s="1">
        <v>20260228</v>
      </c>
      <c r="C12" s="1">
        <v>24</v>
      </c>
      <c r="D12" t="s">
        <v>65</v>
      </c>
      <c r="E12" t="s">
        <v>66</v>
      </c>
      <c r="F12" s="10">
        <v>60</v>
      </c>
      <c r="G12" s="10">
        <v>29</v>
      </c>
      <c r="H12" s="10">
        <v>23</v>
      </c>
      <c r="I12" s="1">
        <v>1.26</v>
      </c>
      <c r="J12" s="10">
        <v>211</v>
      </c>
      <c r="K12" s="10">
        <v>198</v>
      </c>
      <c r="L12" s="1">
        <f t="shared" si="0"/>
        <v>13</v>
      </c>
      <c r="M12" s="1">
        <v>3.52</v>
      </c>
      <c r="N12" s="1">
        <v>3.3</v>
      </c>
      <c r="O12" s="1">
        <v>0.22</v>
      </c>
      <c r="P12" s="1">
        <v>30.08</v>
      </c>
      <c r="Q12" s="1">
        <v>11.69</v>
      </c>
      <c r="R12" s="10">
        <v>66</v>
      </c>
      <c r="S12" s="1">
        <v>52.7</v>
      </c>
      <c r="T12" s="1">
        <v>159</v>
      </c>
      <c r="U12" s="1">
        <v>53</v>
      </c>
      <c r="V12" s="1">
        <v>33.299999999999997</v>
      </c>
      <c r="W12" s="1">
        <v>166</v>
      </c>
      <c r="X12" s="1">
        <v>38</v>
      </c>
      <c r="Y12" s="1">
        <v>77.099999999999994</v>
      </c>
      <c r="Z12" s="1">
        <v>110.4</v>
      </c>
      <c r="AA12" s="1">
        <v>208</v>
      </c>
      <c r="AB12" s="10">
        <v>568</v>
      </c>
      <c r="AC12" s="1">
        <v>3.1760000000000002</v>
      </c>
      <c r="AD12" s="1">
        <v>77.2</v>
      </c>
      <c r="AE12" s="1">
        <v>38.25</v>
      </c>
      <c r="AF12" s="1">
        <v>39.630000000000003</v>
      </c>
      <c r="AG12" s="1">
        <v>36.03</v>
      </c>
      <c r="AH12" s="1">
        <v>47.78</v>
      </c>
      <c r="AI12" s="1">
        <v>0.53</v>
      </c>
      <c r="AJ12" s="1">
        <v>31.93</v>
      </c>
      <c r="AK12" s="1">
        <v>-2.93</v>
      </c>
      <c r="AL12" s="1" t="s">
        <v>41</v>
      </c>
      <c r="AM12" s="1" t="s">
        <v>42</v>
      </c>
    </row>
    <row r="13" spans="1:39" x14ac:dyDescent="0.3">
      <c r="A13" t="s">
        <v>38</v>
      </c>
      <c r="B13" s="1">
        <v>20260228</v>
      </c>
      <c r="C13" s="1">
        <v>4</v>
      </c>
      <c r="D13" t="s">
        <v>67</v>
      </c>
      <c r="E13" t="s">
        <v>68</v>
      </c>
      <c r="F13" s="10">
        <v>59</v>
      </c>
      <c r="G13" s="10">
        <v>30</v>
      </c>
      <c r="H13" s="10">
        <v>26</v>
      </c>
      <c r="I13" s="1">
        <v>1.1499999999999999</v>
      </c>
      <c r="J13" s="10">
        <v>181</v>
      </c>
      <c r="K13" s="10">
        <v>194</v>
      </c>
      <c r="L13" s="1">
        <f t="shared" si="0"/>
        <v>-13</v>
      </c>
      <c r="M13" s="1">
        <v>3.07</v>
      </c>
      <c r="N13" s="1">
        <v>3.29</v>
      </c>
      <c r="O13" s="1">
        <v>-0.22</v>
      </c>
      <c r="P13" s="1">
        <v>29.17</v>
      </c>
      <c r="Q13" s="1">
        <v>10.52</v>
      </c>
      <c r="R13" s="10">
        <v>63</v>
      </c>
      <c r="S13" s="1">
        <v>47.9</v>
      </c>
      <c r="T13" s="1">
        <v>212</v>
      </c>
      <c r="U13" s="1">
        <v>42</v>
      </c>
      <c r="V13" s="1">
        <v>19.8</v>
      </c>
      <c r="W13" s="1">
        <v>206</v>
      </c>
      <c r="X13" s="1">
        <v>37</v>
      </c>
      <c r="Y13" s="1">
        <v>82</v>
      </c>
      <c r="Z13" s="1">
        <v>101.8</v>
      </c>
      <c r="AA13" s="1">
        <v>295</v>
      </c>
      <c r="AB13" s="10">
        <v>717</v>
      </c>
      <c r="AC13" s="1">
        <v>3.7240000000000002</v>
      </c>
      <c r="AD13" s="1">
        <v>48.49</v>
      </c>
      <c r="AE13" s="1">
        <v>43.68</v>
      </c>
      <c r="AF13" s="1">
        <v>40.32</v>
      </c>
      <c r="AG13" s="1">
        <v>86.97</v>
      </c>
      <c r="AH13" s="1">
        <v>54.86</v>
      </c>
      <c r="AI13" s="1">
        <v>0.47</v>
      </c>
      <c r="AJ13" s="1">
        <v>27.46</v>
      </c>
      <c r="AK13" s="1">
        <v>2.54</v>
      </c>
      <c r="AL13" s="1" t="s">
        <v>45</v>
      </c>
      <c r="AM13" s="1" t="s">
        <v>46</v>
      </c>
    </row>
    <row r="14" spans="1:39" x14ac:dyDescent="0.3">
      <c r="A14" t="s">
        <v>38</v>
      </c>
      <c r="B14" s="1">
        <v>20260228</v>
      </c>
      <c r="C14" s="1">
        <v>28</v>
      </c>
      <c r="D14" t="s">
        <v>69</v>
      </c>
      <c r="E14" t="s">
        <v>70</v>
      </c>
      <c r="F14" s="10">
        <v>58</v>
      </c>
      <c r="G14" s="10">
        <v>23</v>
      </c>
      <c r="H14" s="10">
        <v>21</v>
      </c>
      <c r="I14" s="1">
        <v>1.1000000000000001</v>
      </c>
      <c r="J14" s="10">
        <v>151</v>
      </c>
      <c r="K14" s="10">
        <v>169</v>
      </c>
      <c r="L14" s="1">
        <f t="shared" si="0"/>
        <v>-18</v>
      </c>
      <c r="M14" s="1">
        <v>2.6</v>
      </c>
      <c r="N14" s="1">
        <v>2.91</v>
      </c>
      <c r="O14" s="1">
        <v>-0.31</v>
      </c>
      <c r="P14" s="1">
        <v>27.34</v>
      </c>
      <c r="Q14" s="1">
        <v>9.52</v>
      </c>
      <c r="R14" s="10">
        <v>60</v>
      </c>
      <c r="S14" s="1">
        <v>48.2</v>
      </c>
      <c r="T14" s="1">
        <v>170</v>
      </c>
      <c r="U14" s="1">
        <v>28</v>
      </c>
      <c r="V14" s="1">
        <v>16.5</v>
      </c>
      <c r="W14" s="1">
        <v>185</v>
      </c>
      <c r="X14" s="1">
        <v>46</v>
      </c>
      <c r="Y14" s="1">
        <v>75.099999999999994</v>
      </c>
      <c r="Z14" s="1">
        <v>91.6</v>
      </c>
      <c r="AA14" s="1">
        <v>218</v>
      </c>
      <c r="AB14" s="10">
        <v>508</v>
      </c>
      <c r="AC14" s="1">
        <v>2.8879999999999999</v>
      </c>
      <c r="AD14" s="1">
        <v>27.24</v>
      </c>
      <c r="AE14" s="1">
        <v>47.49</v>
      </c>
      <c r="AF14" s="1">
        <v>49.52</v>
      </c>
      <c r="AG14" s="1">
        <v>45.29</v>
      </c>
      <c r="AH14" s="1">
        <v>42.38</v>
      </c>
      <c r="AI14" s="1">
        <v>0.44</v>
      </c>
      <c r="AJ14" s="1">
        <v>25.75</v>
      </c>
      <c r="AK14" s="1">
        <v>-2.75</v>
      </c>
      <c r="AL14" s="1" t="s">
        <v>41</v>
      </c>
      <c r="AM14" s="1" t="s">
        <v>42</v>
      </c>
    </row>
    <row r="15" spans="1:39" x14ac:dyDescent="0.3">
      <c r="A15" t="s">
        <v>38</v>
      </c>
      <c r="B15" s="1">
        <v>20260228</v>
      </c>
      <c r="C15" s="1">
        <v>25</v>
      </c>
      <c r="D15" t="s">
        <v>71</v>
      </c>
      <c r="E15" t="s">
        <v>72</v>
      </c>
      <c r="F15" s="10">
        <v>60</v>
      </c>
      <c r="G15" s="10">
        <v>35</v>
      </c>
      <c r="H15" s="10">
        <v>15</v>
      </c>
      <c r="I15" s="1">
        <v>2.33</v>
      </c>
      <c r="J15" s="10">
        <v>203</v>
      </c>
      <c r="K15" s="10">
        <v>173</v>
      </c>
      <c r="L15" s="1">
        <f t="shared" si="0"/>
        <v>30</v>
      </c>
      <c r="M15" s="1">
        <v>3.38</v>
      </c>
      <c r="N15" s="1">
        <v>2.88</v>
      </c>
      <c r="O15" s="1">
        <v>0.5</v>
      </c>
      <c r="P15" s="1">
        <v>28.9</v>
      </c>
      <c r="Q15" s="1">
        <v>11.71</v>
      </c>
      <c r="R15" s="10">
        <v>80</v>
      </c>
      <c r="S15" s="1">
        <v>46.2</v>
      </c>
      <c r="T15" s="1">
        <v>197</v>
      </c>
      <c r="U15" s="1">
        <v>51</v>
      </c>
      <c r="V15" s="1">
        <v>25.9</v>
      </c>
      <c r="W15" s="1">
        <v>152</v>
      </c>
      <c r="X15" s="1">
        <v>35</v>
      </c>
      <c r="Y15" s="1">
        <v>77</v>
      </c>
      <c r="Z15" s="1">
        <v>102.9</v>
      </c>
      <c r="AA15" s="1">
        <v>179</v>
      </c>
      <c r="AB15" s="10">
        <v>412</v>
      </c>
      <c r="AC15" s="1">
        <v>2.4940000000000002</v>
      </c>
      <c r="AD15" s="1">
        <v>65.12</v>
      </c>
      <c r="AE15" s="1">
        <v>56.43</v>
      </c>
      <c r="AF15" s="1">
        <v>59.57</v>
      </c>
      <c r="AG15" s="1">
        <v>45.89</v>
      </c>
      <c r="AH15" s="1">
        <v>56.75</v>
      </c>
      <c r="AI15" s="1">
        <v>0.57999999999999996</v>
      </c>
      <c r="AJ15" s="1">
        <v>34.76</v>
      </c>
      <c r="AK15" s="1">
        <v>0.24</v>
      </c>
      <c r="AL15" s="1" t="s">
        <v>56</v>
      </c>
      <c r="AM15" s="1" t="s">
        <v>42</v>
      </c>
    </row>
    <row r="16" spans="1:39" x14ac:dyDescent="0.3">
      <c r="A16" t="s">
        <v>38</v>
      </c>
      <c r="B16" s="1">
        <v>20260228</v>
      </c>
      <c r="C16" s="1">
        <v>14</v>
      </c>
      <c r="D16" t="s">
        <v>73</v>
      </c>
      <c r="E16" t="s">
        <v>74</v>
      </c>
      <c r="F16" s="10">
        <v>58</v>
      </c>
      <c r="G16" s="10">
        <v>32</v>
      </c>
      <c r="H16" s="10">
        <v>17</v>
      </c>
      <c r="I16" s="1">
        <v>1.88</v>
      </c>
      <c r="J16" s="10">
        <v>202</v>
      </c>
      <c r="K16" s="10">
        <v>187</v>
      </c>
      <c r="L16" s="1">
        <f t="shared" si="0"/>
        <v>15</v>
      </c>
      <c r="M16" s="1">
        <v>3.48</v>
      </c>
      <c r="N16" s="1">
        <v>3.22</v>
      </c>
      <c r="O16" s="1">
        <v>0.26</v>
      </c>
      <c r="P16" s="1">
        <v>26.21</v>
      </c>
      <c r="Q16" s="1">
        <v>13.29</v>
      </c>
      <c r="R16" s="10">
        <v>73</v>
      </c>
      <c r="S16" s="1">
        <v>50.8</v>
      </c>
      <c r="T16" s="1">
        <v>164</v>
      </c>
      <c r="U16" s="1">
        <v>41</v>
      </c>
      <c r="V16" s="1">
        <v>25</v>
      </c>
      <c r="W16" s="1">
        <v>186</v>
      </c>
      <c r="X16" s="1">
        <v>44</v>
      </c>
      <c r="Y16" s="1">
        <v>76.3</v>
      </c>
      <c r="Z16" s="1">
        <v>101.3</v>
      </c>
      <c r="AA16" s="1">
        <v>249</v>
      </c>
      <c r="AB16" s="10">
        <v>592</v>
      </c>
      <c r="AC16" s="1">
        <v>3.294</v>
      </c>
      <c r="AD16" s="1">
        <v>65.72</v>
      </c>
      <c r="AE16" s="1">
        <v>38.299999999999997</v>
      </c>
      <c r="AF16" s="1">
        <v>37.79</v>
      </c>
      <c r="AG16" s="1">
        <v>62.86</v>
      </c>
      <c r="AH16" s="1">
        <v>51.17</v>
      </c>
      <c r="AI16" s="1">
        <v>0.54</v>
      </c>
      <c r="AJ16" s="1">
        <v>31.25</v>
      </c>
      <c r="AK16" s="1">
        <v>0.75</v>
      </c>
      <c r="AL16" s="1" t="s">
        <v>45</v>
      </c>
      <c r="AM16" s="1" t="s">
        <v>46</v>
      </c>
    </row>
    <row r="17" spans="1:39" x14ac:dyDescent="0.3">
      <c r="A17" t="s">
        <v>38</v>
      </c>
      <c r="B17" s="1">
        <v>20260228</v>
      </c>
      <c r="C17" s="1">
        <v>18</v>
      </c>
      <c r="D17" t="s">
        <v>75</v>
      </c>
      <c r="E17" t="s">
        <v>76</v>
      </c>
      <c r="F17" s="10">
        <v>58</v>
      </c>
      <c r="G17" s="10">
        <v>27</v>
      </c>
      <c r="H17" s="10">
        <v>24</v>
      </c>
      <c r="I17" s="1">
        <v>1.1200000000000001</v>
      </c>
      <c r="J17" s="10">
        <v>173</v>
      </c>
      <c r="K17" s="10">
        <v>200</v>
      </c>
      <c r="L17" s="1">
        <f t="shared" si="0"/>
        <v>-27</v>
      </c>
      <c r="M17" s="1">
        <v>2.98</v>
      </c>
      <c r="N17" s="1">
        <v>3.45</v>
      </c>
      <c r="O17" s="1">
        <v>-0.47</v>
      </c>
      <c r="P17" s="1">
        <v>28.55</v>
      </c>
      <c r="Q17" s="1">
        <v>10.45</v>
      </c>
      <c r="R17" s="10">
        <v>61</v>
      </c>
      <c r="S17" s="1">
        <v>51.4</v>
      </c>
      <c r="T17" s="1">
        <v>171</v>
      </c>
      <c r="U17" s="1">
        <v>38</v>
      </c>
      <c r="V17" s="1">
        <v>22.2</v>
      </c>
      <c r="W17" s="1">
        <v>175</v>
      </c>
      <c r="X17" s="1">
        <v>35</v>
      </c>
      <c r="Y17" s="1">
        <v>80</v>
      </c>
      <c r="Z17" s="1">
        <v>102.2</v>
      </c>
      <c r="AA17" s="1">
        <v>222</v>
      </c>
      <c r="AB17" s="10">
        <v>500</v>
      </c>
      <c r="AC17" s="1">
        <v>3.0579999999999998</v>
      </c>
      <c r="AD17" s="1">
        <v>47.05</v>
      </c>
      <c r="AE17" s="1">
        <v>42.52</v>
      </c>
      <c r="AF17" s="1">
        <v>34.51</v>
      </c>
      <c r="AG17" s="1">
        <v>43.41</v>
      </c>
      <c r="AH17" s="1">
        <v>41.87</v>
      </c>
      <c r="AI17" s="1">
        <v>0.43</v>
      </c>
      <c r="AJ17" s="1">
        <v>24.78</v>
      </c>
      <c r="AK17" s="1">
        <v>2.2200000000000002</v>
      </c>
      <c r="AL17" s="1" t="s">
        <v>56</v>
      </c>
      <c r="AM17" s="1" t="s">
        <v>42</v>
      </c>
    </row>
    <row r="18" spans="1:39" x14ac:dyDescent="0.3">
      <c r="A18" t="s">
        <v>38</v>
      </c>
      <c r="B18" s="1">
        <v>20260228</v>
      </c>
      <c r="C18" s="1">
        <v>7</v>
      </c>
      <c r="D18" t="s">
        <v>77</v>
      </c>
      <c r="E18" t="s">
        <v>78</v>
      </c>
      <c r="F18" s="10">
        <v>59</v>
      </c>
      <c r="G18" s="10">
        <v>28</v>
      </c>
      <c r="H18" s="10">
        <v>29</v>
      </c>
      <c r="I18" s="1">
        <v>0.97</v>
      </c>
      <c r="J18" s="10">
        <v>148</v>
      </c>
      <c r="K18" s="10">
        <v>181</v>
      </c>
      <c r="L18" s="1">
        <f t="shared" si="0"/>
        <v>-33</v>
      </c>
      <c r="M18" s="1">
        <v>2.5099999999999998</v>
      </c>
      <c r="N18" s="1">
        <v>3.07</v>
      </c>
      <c r="O18" s="1">
        <v>-0.56000000000000005</v>
      </c>
      <c r="P18" s="1">
        <v>29.29</v>
      </c>
      <c r="Q18" s="1">
        <v>8.56</v>
      </c>
      <c r="R18" s="10">
        <v>58</v>
      </c>
      <c r="S18" s="1">
        <v>50.5</v>
      </c>
      <c r="T18" s="1">
        <v>150</v>
      </c>
      <c r="U18" s="1">
        <v>30</v>
      </c>
      <c r="V18" s="1">
        <v>20</v>
      </c>
      <c r="W18" s="1">
        <v>148</v>
      </c>
      <c r="X18" s="1">
        <v>31</v>
      </c>
      <c r="Y18" s="1">
        <v>79.099999999999994</v>
      </c>
      <c r="Z18" s="1">
        <v>99.1</v>
      </c>
      <c r="AA18" s="1">
        <v>180</v>
      </c>
      <c r="AB18" s="10">
        <v>422</v>
      </c>
      <c r="AC18" s="1">
        <v>2.613</v>
      </c>
      <c r="AD18" s="1">
        <v>29.18</v>
      </c>
      <c r="AE18" s="1">
        <v>56.07</v>
      </c>
      <c r="AF18" s="1">
        <v>53.92</v>
      </c>
      <c r="AG18" s="1">
        <v>38.880000000000003</v>
      </c>
      <c r="AH18" s="1">
        <v>44.51</v>
      </c>
      <c r="AI18" s="1">
        <v>0.4</v>
      </c>
      <c r="AJ18" s="1">
        <v>23.64</v>
      </c>
      <c r="AK18" s="1">
        <v>4.3600000000000003</v>
      </c>
      <c r="AL18" s="1" t="s">
        <v>53</v>
      </c>
      <c r="AM18" s="1" t="s">
        <v>46</v>
      </c>
    </row>
    <row r="19" spans="1:39" x14ac:dyDescent="0.3">
      <c r="A19" t="s">
        <v>38</v>
      </c>
      <c r="B19" s="1">
        <v>20260228</v>
      </c>
      <c r="C19" s="1">
        <v>8</v>
      </c>
      <c r="D19" t="s">
        <v>79</v>
      </c>
      <c r="E19" t="s">
        <v>80</v>
      </c>
      <c r="F19" s="10">
        <v>59</v>
      </c>
      <c r="G19" s="10">
        <v>33</v>
      </c>
      <c r="H19" s="10">
        <v>21</v>
      </c>
      <c r="I19" s="1">
        <v>1.57</v>
      </c>
      <c r="J19" s="10">
        <v>173</v>
      </c>
      <c r="K19" s="10">
        <v>160</v>
      </c>
      <c r="L19" s="1">
        <f t="shared" si="0"/>
        <v>13</v>
      </c>
      <c r="M19" s="1">
        <v>2.93</v>
      </c>
      <c r="N19" s="1">
        <v>2.71</v>
      </c>
      <c r="O19" s="1">
        <v>0.22</v>
      </c>
      <c r="P19" s="1">
        <v>27.42</v>
      </c>
      <c r="Q19" s="1">
        <v>10.69</v>
      </c>
      <c r="R19" s="10">
        <v>71</v>
      </c>
      <c r="S19" s="1">
        <v>51.8</v>
      </c>
      <c r="T19" s="1">
        <v>171</v>
      </c>
      <c r="U19" s="1">
        <v>28</v>
      </c>
      <c r="V19" s="1">
        <v>16.399999999999999</v>
      </c>
      <c r="W19" s="1">
        <v>161</v>
      </c>
      <c r="X19" s="1">
        <v>30</v>
      </c>
      <c r="Y19" s="1">
        <v>81.400000000000006</v>
      </c>
      <c r="Z19" s="1">
        <v>97.8</v>
      </c>
      <c r="AA19" s="1">
        <v>200</v>
      </c>
      <c r="AB19" s="10">
        <v>477</v>
      </c>
      <c r="AC19" s="1">
        <v>2.6749999999999998</v>
      </c>
      <c r="AD19" s="1">
        <v>38.01</v>
      </c>
      <c r="AE19" s="1">
        <v>68.37</v>
      </c>
      <c r="AF19" s="1">
        <v>69.92</v>
      </c>
      <c r="AG19" s="1">
        <v>46.52</v>
      </c>
      <c r="AH19" s="1">
        <v>55.7</v>
      </c>
      <c r="AI19" s="1">
        <v>0.54</v>
      </c>
      <c r="AJ19" s="1">
        <v>31.8</v>
      </c>
      <c r="AK19" s="1">
        <v>1.2</v>
      </c>
      <c r="AL19" s="1" t="s">
        <v>53</v>
      </c>
      <c r="AM19" s="1" t="s">
        <v>46</v>
      </c>
    </row>
    <row r="20" spans="1:39" x14ac:dyDescent="0.3">
      <c r="A20" t="s">
        <v>38</v>
      </c>
      <c r="B20" s="1">
        <v>20260228</v>
      </c>
      <c r="C20" s="1">
        <v>9</v>
      </c>
      <c r="D20" t="s">
        <v>81</v>
      </c>
      <c r="E20" t="s">
        <v>82</v>
      </c>
      <c r="F20" s="10">
        <v>58</v>
      </c>
      <c r="G20" s="10">
        <v>22</v>
      </c>
      <c r="H20" s="10">
        <v>29</v>
      </c>
      <c r="I20" s="1">
        <v>0.76</v>
      </c>
      <c r="J20" s="10">
        <v>153</v>
      </c>
      <c r="K20" s="10">
        <v>183</v>
      </c>
      <c r="L20" s="1">
        <f t="shared" si="0"/>
        <v>-30</v>
      </c>
      <c r="M20" s="1">
        <v>2.64</v>
      </c>
      <c r="N20" s="1">
        <v>3.16</v>
      </c>
      <c r="O20" s="1">
        <v>-0.52</v>
      </c>
      <c r="P20" s="1">
        <v>25.47</v>
      </c>
      <c r="Q20" s="1">
        <v>10.36</v>
      </c>
      <c r="R20" s="10">
        <v>51</v>
      </c>
      <c r="S20" s="1">
        <v>54.6</v>
      </c>
      <c r="T20" s="1">
        <v>143</v>
      </c>
      <c r="U20" s="1">
        <v>32</v>
      </c>
      <c r="V20" s="1">
        <v>22.4</v>
      </c>
      <c r="W20" s="1">
        <v>165</v>
      </c>
      <c r="X20" s="1">
        <v>35</v>
      </c>
      <c r="Y20" s="1">
        <v>78.8</v>
      </c>
      <c r="Z20" s="1">
        <v>101.2</v>
      </c>
      <c r="AA20" s="1">
        <v>203</v>
      </c>
      <c r="AB20" s="10">
        <v>447</v>
      </c>
      <c r="AC20" s="1">
        <v>2.7869999999999999</v>
      </c>
      <c r="AD20" s="1">
        <v>33.46</v>
      </c>
      <c r="AE20" s="1">
        <v>44.57</v>
      </c>
      <c r="AF20" s="1">
        <v>46.83</v>
      </c>
      <c r="AG20" s="1">
        <v>72.38</v>
      </c>
      <c r="AH20" s="1">
        <v>49.31</v>
      </c>
      <c r="AI20" s="1">
        <v>0.41</v>
      </c>
      <c r="AJ20" s="1">
        <v>23.84</v>
      </c>
      <c r="AK20" s="1">
        <v>-1.84</v>
      </c>
      <c r="AL20" s="1" t="s">
        <v>53</v>
      </c>
      <c r="AM20" s="1" t="s">
        <v>46</v>
      </c>
    </row>
    <row r="21" spans="1:39" x14ac:dyDescent="0.3">
      <c r="A21" t="s">
        <v>38</v>
      </c>
      <c r="B21" s="1">
        <v>20260228</v>
      </c>
      <c r="C21" s="1">
        <v>13</v>
      </c>
      <c r="D21" t="s">
        <v>83</v>
      </c>
      <c r="E21" t="s">
        <v>84</v>
      </c>
      <c r="F21" s="10">
        <v>58</v>
      </c>
      <c r="G21" s="10">
        <v>28</v>
      </c>
      <c r="H21" s="10">
        <v>22</v>
      </c>
      <c r="I21" s="1">
        <v>1.27</v>
      </c>
      <c r="J21" s="10">
        <v>192</v>
      </c>
      <c r="K21" s="10">
        <v>186</v>
      </c>
      <c r="L21" s="1">
        <f t="shared" si="0"/>
        <v>6</v>
      </c>
      <c r="M21" s="1">
        <v>3.31</v>
      </c>
      <c r="N21" s="1">
        <v>3.21</v>
      </c>
      <c r="O21" s="1">
        <v>0.1</v>
      </c>
      <c r="P21" s="1">
        <v>28.48</v>
      </c>
      <c r="Q21" s="1">
        <v>11.62</v>
      </c>
      <c r="R21" s="10">
        <v>64</v>
      </c>
      <c r="S21" s="1">
        <v>54.9</v>
      </c>
      <c r="T21" s="1">
        <v>188</v>
      </c>
      <c r="U21" s="1">
        <v>44</v>
      </c>
      <c r="V21" s="1">
        <v>23.4</v>
      </c>
      <c r="W21" s="1">
        <v>167</v>
      </c>
      <c r="X21" s="1">
        <v>46</v>
      </c>
      <c r="Y21" s="1">
        <v>72.5</v>
      </c>
      <c r="Z21" s="1">
        <v>95.9</v>
      </c>
      <c r="AA21" s="1">
        <v>234</v>
      </c>
      <c r="AB21" s="10">
        <v>576</v>
      </c>
      <c r="AC21" s="1">
        <v>3.2309999999999999</v>
      </c>
      <c r="AD21" s="1">
        <v>59.59</v>
      </c>
      <c r="AE21" s="1">
        <v>30.63</v>
      </c>
      <c r="AF21" s="1">
        <v>36.770000000000003</v>
      </c>
      <c r="AG21" s="1">
        <v>67.77</v>
      </c>
      <c r="AH21" s="1">
        <v>48.69</v>
      </c>
      <c r="AI21" s="1">
        <v>0.52</v>
      </c>
      <c r="AJ21" s="1">
        <v>29.89</v>
      </c>
      <c r="AK21" s="1">
        <v>-1.89</v>
      </c>
      <c r="AL21" s="1" t="s">
        <v>45</v>
      </c>
      <c r="AM21" s="1" t="s">
        <v>46</v>
      </c>
    </row>
    <row r="22" spans="1:39" x14ac:dyDescent="0.3">
      <c r="A22" t="s">
        <v>38</v>
      </c>
      <c r="B22" s="1">
        <v>20260228</v>
      </c>
      <c r="C22" s="1">
        <v>6</v>
      </c>
      <c r="D22" t="s">
        <v>85</v>
      </c>
      <c r="E22" t="s">
        <v>86</v>
      </c>
      <c r="F22" s="10">
        <v>58</v>
      </c>
      <c r="G22" s="10">
        <v>26</v>
      </c>
      <c r="H22" s="10">
        <v>21</v>
      </c>
      <c r="I22" s="1">
        <v>1.24</v>
      </c>
      <c r="J22" s="10">
        <v>171</v>
      </c>
      <c r="K22" s="10">
        <v>182</v>
      </c>
      <c r="L22" s="1">
        <f t="shared" si="0"/>
        <v>-11</v>
      </c>
      <c r="M22" s="1">
        <v>2.95</v>
      </c>
      <c r="N22" s="1">
        <v>3.14</v>
      </c>
      <c r="O22" s="1">
        <v>-0.19</v>
      </c>
      <c r="P22" s="1">
        <v>25.59</v>
      </c>
      <c r="Q22" s="1">
        <v>11.52</v>
      </c>
      <c r="R22" s="10">
        <v>63</v>
      </c>
      <c r="S22" s="1">
        <v>49</v>
      </c>
      <c r="T22" s="1">
        <v>167</v>
      </c>
      <c r="U22" s="1">
        <v>27</v>
      </c>
      <c r="V22" s="1">
        <v>16.2</v>
      </c>
      <c r="W22" s="1">
        <v>175</v>
      </c>
      <c r="X22" s="1">
        <v>36</v>
      </c>
      <c r="Y22" s="1">
        <v>79.400000000000006</v>
      </c>
      <c r="Z22" s="1">
        <v>95.6</v>
      </c>
      <c r="AA22" s="1">
        <v>231</v>
      </c>
      <c r="AB22" s="10">
        <v>582</v>
      </c>
      <c r="AC22" s="1">
        <v>3.24</v>
      </c>
      <c r="AD22" s="1">
        <v>37.630000000000003</v>
      </c>
      <c r="AE22" s="1">
        <v>45.93</v>
      </c>
      <c r="AF22" s="1">
        <v>46.96</v>
      </c>
      <c r="AG22" s="1">
        <v>65.62</v>
      </c>
      <c r="AH22" s="1">
        <v>49.04</v>
      </c>
      <c r="AI22" s="1">
        <v>0.47</v>
      </c>
      <c r="AJ22" s="1">
        <v>27.19</v>
      </c>
      <c r="AK22" s="1">
        <v>-1.19</v>
      </c>
      <c r="AL22" s="1" t="s">
        <v>53</v>
      </c>
      <c r="AM22" s="1" t="s">
        <v>46</v>
      </c>
    </row>
    <row r="23" spans="1:39" x14ac:dyDescent="0.3">
      <c r="A23" t="s">
        <v>38</v>
      </c>
      <c r="B23" s="1">
        <v>20260228</v>
      </c>
      <c r="C23" s="1">
        <v>10</v>
      </c>
      <c r="D23" t="s">
        <v>87</v>
      </c>
      <c r="E23" t="s">
        <v>88</v>
      </c>
      <c r="F23" s="10">
        <v>57</v>
      </c>
      <c r="G23" s="10">
        <v>30</v>
      </c>
      <c r="H23" s="10">
        <v>15</v>
      </c>
      <c r="I23" s="1">
        <v>2</v>
      </c>
      <c r="J23" s="10">
        <v>196</v>
      </c>
      <c r="K23" s="10">
        <v>163</v>
      </c>
      <c r="L23" s="1">
        <f t="shared" si="0"/>
        <v>33</v>
      </c>
      <c r="M23" s="1">
        <v>3.44</v>
      </c>
      <c r="N23" s="1">
        <v>2.86</v>
      </c>
      <c r="O23" s="1">
        <v>0.57999999999999996</v>
      </c>
      <c r="P23" s="1">
        <v>29.16</v>
      </c>
      <c r="Q23" s="1">
        <v>11.79</v>
      </c>
      <c r="R23" s="10">
        <v>72</v>
      </c>
      <c r="S23" s="1">
        <v>49.9</v>
      </c>
      <c r="T23" s="1">
        <v>149</v>
      </c>
      <c r="U23" s="1">
        <v>39</v>
      </c>
      <c r="V23" s="1">
        <v>26.2</v>
      </c>
      <c r="W23" s="1">
        <v>165</v>
      </c>
      <c r="X23" s="1">
        <v>26</v>
      </c>
      <c r="Y23" s="1">
        <v>84.2</v>
      </c>
      <c r="Z23" s="1">
        <v>110.4</v>
      </c>
      <c r="AA23" s="1">
        <v>196</v>
      </c>
      <c r="AB23" s="10">
        <v>450</v>
      </c>
      <c r="AC23" s="1">
        <v>2.6989999999999998</v>
      </c>
      <c r="AD23" s="1">
        <v>66.12</v>
      </c>
      <c r="AE23" s="1">
        <v>69.209999999999994</v>
      </c>
      <c r="AF23" s="1">
        <v>65.73</v>
      </c>
      <c r="AG23" s="1">
        <v>29.77</v>
      </c>
      <c r="AH23" s="1">
        <v>57.71</v>
      </c>
      <c r="AI23" s="1">
        <v>0.59</v>
      </c>
      <c r="AJ23" s="1">
        <v>33.700000000000003</v>
      </c>
      <c r="AK23" s="1">
        <v>-3.7</v>
      </c>
      <c r="AL23" s="1" t="s">
        <v>53</v>
      </c>
      <c r="AM23" s="1" t="s">
        <v>46</v>
      </c>
    </row>
    <row r="24" spans="1:39" x14ac:dyDescent="0.3">
      <c r="A24" t="s">
        <v>38</v>
      </c>
      <c r="B24" s="1">
        <v>20260228</v>
      </c>
      <c r="C24" s="1">
        <v>26</v>
      </c>
      <c r="D24" t="s">
        <v>89</v>
      </c>
      <c r="E24" t="s">
        <v>90</v>
      </c>
      <c r="F24" s="10">
        <v>56</v>
      </c>
      <c r="G24" s="10">
        <v>27</v>
      </c>
      <c r="H24" s="10">
        <v>25</v>
      </c>
      <c r="I24" s="1">
        <v>1.08</v>
      </c>
      <c r="J24" s="10">
        <v>172</v>
      </c>
      <c r="K24" s="10">
        <v>196</v>
      </c>
      <c r="L24" s="1">
        <f t="shared" si="0"/>
        <v>-24</v>
      </c>
      <c r="M24" s="1">
        <v>3.07</v>
      </c>
      <c r="N24" s="1">
        <v>3.5</v>
      </c>
      <c r="O24" s="1">
        <v>-0.43</v>
      </c>
      <c r="P24" s="1">
        <v>25.66</v>
      </c>
      <c r="Q24" s="1">
        <v>11.97</v>
      </c>
      <c r="R24" s="10">
        <v>58</v>
      </c>
      <c r="S24" s="1">
        <v>47.5</v>
      </c>
      <c r="T24" s="1">
        <v>189</v>
      </c>
      <c r="U24" s="1">
        <v>38</v>
      </c>
      <c r="V24" s="1">
        <v>20.100000000000001</v>
      </c>
      <c r="W24" s="1">
        <v>173</v>
      </c>
      <c r="X24" s="1">
        <v>37</v>
      </c>
      <c r="Y24" s="1">
        <v>78.599999999999994</v>
      </c>
      <c r="Z24" s="1">
        <v>98.7</v>
      </c>
      <c r="AA24" s="1">
        <v>208</v>
      </c>
      <c r="AB24" s="10">
        <v>466</v>
      </c>
      <c r="AC24" s="1">
        <v>3.0489999999999999</v>
      </c>
      <c r="AD24" s="1">
        <v>47</v>
      </c>
      <c r="AE24" s="1">
        <v>32.03</v>
      </c>
      <c r="AF24" s="1">
        <v>29.99</v>
      </c>
      <c r="AG24" s="1">
        <v>46.89</v>
      </c>
      <c r="AH24" s="1">
        <v>38.979999999999997</v>
      </c>
      <c r="AI24" s="1">
        <v>0.43</v>
      </c>
      <c r="AJ24" s="1">
        <v>24.35</v>
      </c>
      <c r="AK24" s="1">
        <v>2.65</v>
      </c>
      <c r="AL24" s="1" t="s">
        <v>41</v>
      </c>
      <c r="AM24" s="1" t="s">
        <v>42</v>
      </c>
    </row>
    <row r="25" spans="1:39" x14ac:dyDescent="0.3">
      <c r="A25" t="s">
        <v>38</v>
      </c>
      <c r="B25" s="1">
        <v>20260228</v>
      </c>
      <c r="C25" s="1">
        <v>143</v>
      </c>
      <c r="D25" t="s">
        <v>91</v>
      </c>
      <c r="E25" t="s">
        <v>92</v>
      </c>
      <c r="F25" s="10">
        <v>58</v>
      </c>
      <c r="G25" s="10">
        <v>27</v>
      </c>
      <c r="H25" s="10">
        <v>22</v>
      </c>
      <c r="I25" s="1">
        <v>1.23</v>
      </c>
      <c r="J25" s="10">
        <v>164</v>
      </c>
      <c r="K25" s="10">
        <v>170</v>
      </c>
      <c r="L25" s="1">
        <f t="shared" si="0"/>
        <v>-6</v>
      </c>
      <c r="M25" s="1">
        <v>2.83</v>
      </c>
      <c r="N25" s="1">
        <v>2.93</v>
      </c>
      <c r="O25" s="1">
        <v>-0.1</v>
      </c>
      <c r="P25" s="1">
        <v>25.22</v>
      </c>
      <c r="Q25" s="1">
        <v>11.21</v>
      </c>
      <c r="R25" s="10">
        <v>63</v>
      </c>
      <c r="S25" s="1">
        <v>47.6</v>
      </c>
      <c r="T25" s="1">
        <v>166</v>
      </c>
      <c r="U25" s="1">
        <v>37</v>
      </c>
      <c r="V25" s="1">
        <v>22.3</v>
      </c>
      <c r="W25" s="1">
        <v>159</v>
      </c>
      <c r="X25" s="1">
        <v>46</v>
      </c>
      <c r="Y25" s="1">
        <v>71.099999999999994</v>
      </c>
      <c r="Z25" s="1">
        <v>93.4</v>
      </c>
      <c r="AA25" s="1">
        <v>193</v>
      </c>
      <c r="AB25" s="10">
        <v>458</v>
      </c>
      <c r="AC25" s="1">
        <v>2.74</v>
      </c>
      <c r="AD25" s="1">
        <v>40.380000000000003</v>
      </c>
      <c r="AE25" s="1">
        <v>35.6</v>
      </c>
      <c r="AF25" s="1">
        <v>48.67</v>
      </c>
      <c r="AG25" s="1">
        <v>29.5</v>
      </c>
      <c r="AH25" s="1">
        <v>38.54</v>
      </c>
      <c r="AI25" s="1">
        <v>0.48</v>
      </c>
      <c r="AJ25" s="1">
        <v>27.99</v>
      </c>
      <c r="AK25" s="1">
        <v>-0.99</v>
      </c>
      <c r="AL25" s="1" t="s">
        <v>41</v>
      </c>
      <c r="AM25" s="1" t="s">
        <v>42</v>
      </c>
    </row>
    <row r="26" spans="1:39" x14ac:dyDescent="0.3">
      <c r="A26" t="s">
        <v>38</v>
      </c>
      <c r="B26" s="1">
        <v>20260228</v>
      </c>
      <c r="C26" s="1">
        <v>17</v>
      </c>
      <c r="D26" t="s">
        <v>93</v>
      </c>
      <c r="E26" t="s">
        <v>94</v>
      </c>
      <c r="F26" s="10">
        <v>58</v>
      </c>
      <c r="G26" s="10">
        <v>21</v>
      </c>
      <c r="H26" s="10">
        <v>28</v>
      </c>
      <c r="I26" s="1">
        <v>0.75</v>
      </c>
      <c r="J26" s="10">
        <v>152</v>
      </c>
      <c r="K26" s="10">
        <v>201</v>
      </c>
      <c r="L26" s="1">
        <f t="shared" si="0"/>
        <v>-49</v>
      </c>
      <c r="M26" s="1">
        <v>2.62</v>
      </c>
      <c r="N26" s="1">
        <v>3.47</v>
      </c>
      <c r="O26" s="1">
        <v>-0.85</v>
      </c>
      <c r="P26" s="1">
        <v>25.19</v>
      </c>
      <c r="Q26" s="1">
        <v>10.4</v>
      </c>
      <c r="R26" s="10">
        <v>51</v>
      </c>
      <c r="S26" s="1">
        <v>50</v>
      </c>
      <c r="T26" s="1">
        <v>153</v>
      </c>
      <c r="U26" s="1">
        <v>28</v>
      </c>
      <c r="V26" s="1">
        <v>18.3</v>
      </c>
      <c r="W26" s="1">
        <v>160</v>
      </c>
      <c r="X26" s="1">
        <v>42</v>
      </c>
      <c r="Y26" s="1">
        <v>73.8</v>
      </c>
      <c r="Z26" s="1">
        <v>92.1</v>
      </c>
      <c r="AA26" s="1">
        <v>192</v>
      </c>
      <c r="AB26" s="10">
        <v>452</v>
      </c>
      <c r="AC26" s="1">
        <v>2.907</v>
      </c>
      <c r="AD26" s="1">
        <v>28.35</v>
      </c>
      <c r="AE26" s="1">
        <v>28.03</v>
      </c>
      <c r="AF26" s="1">
        <v>28.61</v>
      </c>
      <c r="AG26" s="1">
        <v>61.72</v>
      </c>
      <c r="AH26" s="1">
        <v>36.68</v>
      </c>
      <c r="AI26" s="1">
        <v>0.36</v>
      </c>
      <c r="AJ26" s="1">
        <v>21.06</v>
      </c>
      <c r="AK26" s="1">
        <v>-0.06</v>
      </c>
      <c r="AL26" s="1" t="s">
        <v>56</v>
      </c>
      <c r="AM26" s="1" t="s">
        <v>42</v>
      </c>
    </row>
    <row r="27" spans="1:39" x14ac:dyDescent="0.3">
      <c r="A27" t="s">
        <v>38</v>
      </c>
      <c r="B27" s="1">
        <v>20260228</v>
      </c>
      <c r="C27" s="1">
        <v>1</v>
      </c>
      <c r="D27" t="s">
        <v>95</v>
      </c>
      <c r="E27" t="s">
        <v>96</v>
      </c>
      <c r="F27" s="10">
        <v>57</v>
      </c>
      <c r="G27" s="10">
        <v>38</v>
      </c>
      <c r="H27" s="10">
        <v>15</v>
      </c>
      <c r="I27" s="1">
        <v>2.5299999999999998</v>
      </c>
      <c r="J27" s="10">
        <v>207</v>
      </c>
      <c r="K27" s="10">
        <v>145</v>
      </c>
      <c r="L27" s="1">
        <f t="shared" si="0"/>
        <v>62</v>
      </c>
      <c r="M27" s="1">
        <v>3.63</v>
      </c>
      <c r="N27" s="1">
        <v>2.54</v>
      </c>
      <c r="O27" s="1">
        <v>1.0900000000000001</v>
      </c>
      <c r="P27" s="1">
        <v>28.28</v>
      </c>
      <c r="Q27" s="1">
        <v>12.84</v>
      </c>
      <c r="R27" s="10">
        <v>80</v>
      </c>
      <c r="S27" s="1">
        <v>47.1</v>
      </c>
      <c r="T27" s="1">
        <v>178</v>
      </c>
      <c r="U27" s="1">
        <v>40</v>
      </c>
      <c r="V27" s="1">
        <v>22.5</v>
      </c>
      <c r="W27" s="1">
        <v>176</v>
      </c>
      <c r="X27" s="1">
        <v>30</v>
      </c>
      <c r="Y27" s="1">
        <v>83</v>
      </c>
      <c r="Z27" s="1">
        <v>105.5</v>
      </c>
      <c r="AA27" s="1">
        <v>282</v>
      </c>
      <c r="AB27" s="10">
        <v>810</v>
      </c>
      <c r="AC27" s="1">
        <v>3.827</v>
      </c>
      <c r="AD27" s="1">
        <v>68.69</v>
      </c>
      <c r="AE27" s="1">
        <v>72.33</v>
      </c>
      <c r="AF27" s="1">
        <v>76.39</v>
      </c>
      <c r="AG27" s="1">
        <v>57.79</v>
      </c>
      <c r="AH27" s="1">
        <v>68.8</v>
      </c>
      <c r="AI27" s="1">
        <v>0.67</v>
      </c>
      <c r="AJ27" s="1">
        <v>38.26</v>
      </c>
      <c r="AK27" s="1">
        <v>-0.26</v>
      </c>
      <c r="AL27" s="1" t="s">
        <v>45</v>
      </c>
      <c r="AM27" s="1" t="s">
        <v>46</v>
      </c>
    </row>
    <row r="28" spans="1:39" x14ac:dyDescent="0.3">
      <c r="A28" t="s">
        <v>38</v>
      </c>
      <c r="B28" s="1">
        <v>20260228</v>
      </c>
      <c r="C28" s="1">
        <v>12</v>
      </c>
      <c r="D28" t="s">
        <v>97</v>
      </c>
      <c r="E28" t="s">
        <v>98</v>
      </c>
      <c r="F28" s="10">
        <v>59</v>
      </c>
      <c r="G28" s="10">
        <v>27</v>
      </c>
      <c r="H28" s="10">
        <v>23</v>
      </c>
      <c r="I28" s="1">
        <v>1.17</v>
      </c>
      <c r="J28" s="10">
        <v>191</v>
      </c>
      <c r="K28" s="10">
        <v>202</v>
      </c>
      <c r="L28" s="1">
        <f t="shared" si="0"/>
        <v>-11</v>
      </c>
      <c r="M28" s="1">
        <v>3.24</v>
      </c>
      <c r="N28" s="1">
        <v>3.42</v>
      </c>
      <c r="O28" s="1">
        <v>-0.18</v>
      </c>
      <c r="P28" s="1">
        <v>27.46</v>
      </c>
      <c r="Q28" s="1">
        <v>11.79</v>
      </c>
      <c r="R28" s="10">
        <v>63</v>
      </c>
      <c r="S28" s="1">
        <v>56</v>
      </c>
      <c r="T28" s="1">
        <v>138</v>
      </c>
      <c r="U28" s="1">
        <v>27</v>
      </c>
      <c r="V28" s="1">
        <v>19.600000000000001</v>
      </c>
      <c r="W28" s="1">
        <v>147</v>
      </c>
      <c r="X28" s="1">
        <v>24</v>
      </c>
      <c r="Y28" s="1">
        <v>83.7</v>
      </c>
      <c r="Z28" s="1">
        <v>103.3</v>
      </c>
      <c r="AA28" s="1">
        <v>187</v>
      </c>
      <c r="AB28" s="10">
        <v>418</v>
      </c>
      <c r="AC28" s="1">
        <v>2.754</v>
      </c>
      <c r="AD28" s="1">
        <v>51.04</v>
      </c>
      <c r="AE28" s="1">
        <v>49.22</v>
      </c>
      <c r="AF28" s="1">
        <v>44.01</v>
      </c>
      <c r="AG28" s="1">
        <v>53.04</v>
      </c>
      <c r="AH28" s="1">
        <v>49.33</v>
      </c>
      <c r="AI28" s="1">
        <v>0.47</v>
      </c>
      <c r="AJ28" s="1">
        <v>27.91</v>
      </c>
      <c r="AK28" s="1">
        <v>-0.91</v>
      </c>
      <c r="AL28" s="1" t="s">
        <v>45</v>
      </c>
      <c r="AM28" s="1" t="s">
        <v>46</v>
      </c>
    </row>
    <row r="29" spans="1:39" x14ac:dyDescent="0.3">
      <c r="A29" t="s">
        <v>38</v>
      </c>
      <c r="B29" s="1">
        <v>20260228</v>
      </c>
      <c r="C29" s="1">
        <v>30</v>
      </c>
      <c r="D29" t="s">
        <v>99</v>
      </c>
      <c r="E29" t="s">
        <v>100</v>
      </c>
      <c r="F29" s="10">
        <v>59</v>
      </c>
      <c r="G29" s="10">
        <v>31</v>
      </c>
      <c r="H29" s="10">
        <v>24</v>
      </c>
      <c r="I29" s="1">
        <v>1.29</v>
      </c>
      <c r="J29" s="10">
        <v>190</v>
      </c>
      <c r="K29" s="10">
        <v>163</v>
      </c>
      <c r="L29" s="1">
        <f t="shared" si="0"/>
        <v>27</v>
      </c>
      <c r="M29" s="1">
        <v>3.22</v>
      </c>
      <c r="N29" s="1">
        <v>2.76</v>
      </c>
      <c r="O29" s="1">
        <v>0.46</v>
      </c>
      <c r="P29" s="1">
        <v>27.97</v>
      </c>
      <c r="Q29" s="1">
        <v>11.52</v>
      </c>
      <c r="R29" s="10">
        <v>66</v>
      </c>
      <c r="S29" s="1">
        <v>49.4</v>
      </c>
      <c r="T29" s="1">
        <v>164</v>
      </c>
      <c r="U29" s="1">
        <v>27</v>
      </c>
      <c r="V29" s="1">
        <v>16.5</v>
      </c>
      <c r="W29" s="1">
        <v>180</v>
      </c>
      <c r="X29" s="1">
        <v>39</v>
      </c>
      <c r="Y29" s="1">
        <v>78.3</v>
      </c>
      <c r="Z29" s="1">
        <v>94.8</v>
      </c>
      <c r="AA29" s="1">
        <v>227</v>
      </c>
      <c r="AB29" s="10">
        <v>538</v>
      </c>
      <c r="AC29" s="1">
        <v>2.8780000000000001</v>
      </c>
      <c r="AD29" s="1">
        <v>47.78</v>
      </c>
      <c r="AE29" s="1">
        <v>64.06</v>
      </c>
      <c r="AF29" s="1">
        <v>61.41</v>
      </c>
      <c r="AG29" s="1">
        <v>44.88</v>
      </c>
      <c r="AH29" s="1">
        <v>54.53</v>
      </c>
      <c r="AI29" s="1">
        <v>0.57999999999999996</v>
      </c>
      <c r="AJ29" s="1">
        <v>34.01</v>
      </c>
      <c r="AK29" s="1">
        <v>-3.01</v>
      </c>
      <c r="AL29" s="1" t="s">
        <v>56</v>
      </c>
      <c r="AM29" s="1" t="s">
        <v>42</v>
      </c>
    </row>
    <row r="30" spans="1:39" x14ac:dyDescent="0.3">
      <c r="A30" t="s">
        <v>38</v>
      </c>
      <c r="B30" s="1">
        <v>20260228</v>
      </c>
      <c r="C30" s="1">
        <v>21</v>
      </c>
      <c r="D30" t="s">
        <v>101</v>
      </c>
      <c r="E30" t="s">
        <v>102</v>
      </c>
      <c r="F30" s="10">
        <v>58</v>
      </c>
      <c r="G30" s="10">
        <v>18</v>
      </c>
      <c r="H30" s="10">
        <v>33</v>
      </c>
      <c r="I30" s="1">
        <v>0.55000000000000004</v>
      </c>
      <c r="J30" s="10">
        <v>151</v>
      </c>
      <c r="K30" s="10">
        <v>211</v>
      </c>
      <c r="L30" s="1">
        <f t="shared" si="0"/>
        <v>-60</v>
      </c>
      <c r="M30" s="1">
        <v>2.6</v>
      </c>
      <c r="N30" s="1">
        <v>3.64</v>
      </c>
      <c r="O30" s="1">
        <v>-1.04</v>
      </c>
      <c r="P30" s="1">
        <v>26.81</v>
      </c>
      <c r="Q30" s="1">
        <v>9.7100000000000009</v>
      </c>
      <c r="R30" s="10">
        <v>43</v>
      </c>
      <c r="S30" s="1">
        <v>48.6</v>
      </c>
      <c r="T30" s="1">
        <v>172</v>
      </c>
      <c r="U30" s="1">
        <v>32</v>
      </c>
      <c r="V30" s="1">
        <v>18.600000000000001</v>
      </c>
      <c r="W30" s="1">
        <v>171</v>
      </c>
      <c r="X30" s="1">
        <v>50</v>
      </c>
      <c r="Y30" s="1">
        <v>70.8</v>
      </c>
      <c r="Z30" s="1">
        <v>89.4</v>
      </c>
      <c r="AA30" s="1">
        <v>211</v>
      </c>
      <c r="AB30" s="10">
        <v>475</v>
      </c>
      <c r="AC30" s="1">
        <v>3.0659999999999998</v>
      </c>
      <c r="AD30" s="1">
        <v>29.38</v>
      </c>
      <c r="AE30" s="1">
        <v>12.51</v>
      </c>
      <c r="AF30" s="1">
        <v>15.62</v>
      </c>
      <c r="AG30" s="1">
        <v>54.52</v>
      </c>
      <c r="AH30" s="1">
        <v>28.01</v>
      </c>
      <c r="AI30" s="1">
        <v>0.34</v>
      </c>
      <c r="AJ30" s="1">
        <v>19.59</v>
      </c>
      <c r="AK30" s="1">
        <v>-1.59</v>
      </c>
      <c r="AL30" s="1" t="s">
        <v>41</v>
      </c>
      <c r="AM30" s="1" t="s">
        <v>42</v>
      </c>
    </row>
    <row r="31" spans="1:39" x14ac:dyDescent="0.3">
      <c r="A31" t="s">
        <v>38</v>
      </c>
      <c r="B31" s="1">
        <v>20260228</v>
      </c>
      <c r="C31" s="1">
        <v>142</v>
      </c>
      <c r="D31" t="s">
        <v>103</v>
      </c>
      <c r="E31" t="s">
        <v>104</v>
      </c>
      <c r="F31" s="10">
        <v>59</v>
      </c>
      <c r="G31" s="10">
        <v>28</v>
      </c>
      <c r="H31" s="10">
        <v>17</v>
      </c>
      <c r="I31" s="1">
        <v>1.65</v>
      </c>
      <c r="J31" s="10">
        <v>199</v>
      </c>
      <c r="K31" s="10">
        <v>180</v>
      </c>
      <c r="L31" s="1">
        <f t="shared" si="0"/>
        <v>19</v>
      </c>
      <c r="M31" s="1">
        <v>3.37</v>
      </c>
      <c r="N31" s="1">
        <v>3.05</v>
      </c>
      <c r="O31" s="1">
        <v>0.32</v>
      </c>
      <c r="P31" s="1">
        <v>28.73</v>
      </c>
      <c r="Q31" s="1">
        <v>11.74</v>
      </c>
      <c r="R31" s="10">
        <v>70</v>
      </c>
      <c r="S31" s="1">
        <v>50.7</v>
      </c>
      <c r="T31" s="1">
        <v>169</v>
      </c>
      <c r="U31" s="1">
        <v>44</v>
      </c>
      <c r="V31" s="1">
        <v>26</v>
      </c>
      <c r="W31" s="1">
        <v>137</v>
      </c>
      <c r="X31" s="1">
        <v>26</v>
      </c>
      <c r="Y31" s="1">
        <v>81</v>
      </c>
      <c r="Z31" s="1">
        <v>107</v>
      </c>
      <c r="AA31" s="1">
        <v>172</v>
      </c>
      <c r="AB31" s="10">
        <v>404</v>
      </c>
      <c r="AC31" s="1">
        <v>2.5590000000000002</v>
      </c>
      <c r="AD31" s="1">
        <v>64</v>
      </c>
      <c r="AE31" s="1">
        <v>57.99</v>
      </c>
      <c r="AF31" s="1">
        <v>58.31</v>
      </c>
      <c r="AG31" s="1">
        <v>41.74</v>
      </c>
      <c r="AH31" s="1">
        <v>55.51</v>
      </c>
      <c r="AI31" s="1">
        <v>0.55000000000000004</v>
      </c>
      <c r="AJ31" s="1">
        <v>32.43</v>
      </c>
      <c r="AK31" s="1">
        <v>-4.43</v>
      </c>
      <c r="AL31" s="1" t="s">
        <v>41</v>
      </c>
      <c r="AM31" s="1" t="s">
        <v>42</v>
      </c>
    </row>
    <row r="32" spans="1:39" x14ac:dyDescent="0.3">
      <c r="A32" t="s">
        <v>38</v>
      </c>
      <c r="B32" s="1">
        <v>20260228</v>
      </c>
      <c r="C32" s="1">
        <v>5</v>
      </c>
      <c r="D32" t="s">
        <v>105</v>
      </c>
      <c r="E32" t="s">
        <v>106</v>
      </c>
      <c r="F32" s="10">
        <v>61</v>
      </c>
      <c r="G32" s="10">
        <v>31</v>
      </c>
      <c r="H32" s="10">
        <v>23</v>
      </c>
      <c r="I32" s="1">
        <v>1.35</v>
      </c>
      <c r="J32" s="10">
        <v>195</v>
      </c>
      <c r="K32" s="10">
        <v>175</v>
      </c>
      <c r="L32" s="1">
        <f t="shared" si="0"/>
        <v>20</v>
      </c>
      <c r="M32" s="1">
        <v>3.2</v>
      </c>
      <c r="N32" s="1">
        <v>2.87</v>
      </c>
      <c r="O32" s="1">
        <v>0.33</v>
      </c>
      <c r="P32" s="1">
        <v>29.16</v>
      </c>
      <c r="Q32" s="1">
        <v>10.96</v>
      </c>
      <c r="R32" s="10">
        <v>69</v>
      </c>
      <c r="S32" s="1">
        <v>49.8</v>
      </c>
      <c r="T32" s="1">
        <v>181</v>
      </c>
      <c r="U32" s="1">
        <v>29</v>
      </c>
      <c r="V32" s="1">
        <v>16</v>
      </c>
      <c r="W32" s="1">
        <v>195</v>
      </c>
      <c r="X32" s="1">
        <v>41</v>
      </c>
      <c r="Y32" s="1">
        <v>79</v>
      </c>
      <c r="Z32" s="1">
        <v>95</v>
      </c>
      <c r="AA32" s="1">
        <v>238</v>
      </c>
      <c r="AB32" s="10">
        <v>568</v>
      </c>
      <c r="AC32" s="1">
        <v>2.99</v>
      </c>
      <c r="AD32" s="1">
        <v>47.32</v>
      </c>
      <c r="AE32" s="1">
        <v>54.86</v>
      </c>
      <c r="AF32" s="1">
        <v>56.28</v>
      </c>
      <c r="AG32" s="1">
        <v>43.85</v>
      </c>
      <c r="AH32" s="1">
        <v>50.58</v>
      </c>
      <c r="AI32" s="1">
        <v>0.55000000000000004</v>
      </c>
      <c r="AJ32" s="1">
        <v>33.81</v>
      </c>
      <c r="AK32" s="1">
        <v>-2.81</v>
      </c>
      <c r="AL32" s="1" t="s">
        <v>53</v>
      </c>
      <c r="AM32" s="1" t="s">
        <v>46</v>
      </c>
    </row>
    <row r="33" spans="1:39" x14ac:dyDescent="0.3">
      <c r="A33" t="s">
        <v>38</v>
      </c>
      <c r="B33" s="1">
        <v>20260228</v>
      </c>
      <c r="C33" s="1">
        <v>2</v>
      </c>
      <c r="D33" t="s">
        <v>107</v>
      </c>
      <c r="E33" t="s">
        <v>108</v>
      </c>
      <c r="F33" s="10">
        <v>58</v>
      </c>
      <c r="G33" s="10">
        <v>23</v>
      </c>
      <c r="H33" s="10">
        <v>26</v>
      </c>
      <c r="I33" s="1">
        <v>0.88</v>
      </c>
      <c r="J33" s="10">
        <v>167</v>
      </c>
      <c r="K33" s="10">
        <v>180</v>
      </c>
      <c r="L33" s="1">
        <f t="shared" si="0"/>
        <v>-13</v>
      </c>
      <c r="M33" s="1">
        <v>2.88</v>
      </c>
      <c r="N33" s="1">
        <v>3.1</v>
      </c>
      <c r="O33" s="1">
        <v>-0.22</v>
      </c>
      <c r="P33" s="1">
        <v>26.41</v>
      </c>
      <c r="Q33" s="1">
        <v>10.9</v>
      </c>
      <c r="R33" s="10">
        <v>55</v>
      </c>
      <c r="S33" s="1">
        <v>50.5</v>
      </c>
      <c r="T33" s="1">
        <v>162</v>
      </c>
      <c r="U33" s="1">
        <v>31</v>
      </c>
      <c r="V33" s="1">
        <v>19.100000000000001</v>
      </c>
      <c r="W33" s="1">
        <v>169</v>
      </c>
      <c r="X33" s="1">
        <v>36</v>
      </c>
      <c r="Y33" s="1">
        <v>78.7</v>
      </c>
      <c r="Z33" s="1">
        <v>97.8</v>
      </c>
      <c r="AA33" s="1">
        <v>205</v>
      </c>
      <c r="AB33" s="10">
        <v>496</v>
      </c>
      <c r="AC33" s="1">
        <v>2.91</v>
      </c>
      <c r="AD33" s="1">
        <v>38.79</v>
      </c>
      <c r="AE33" s="1">
        <v>51.16</v>
      </c>
      <c r="AF33" s="1">
        <v>48.66</v>
      </c>
      <c r="AG33" s="1">
        <v>58.17</v>
      </c>
      <c r="AH33" s="1">
        <v>49.19</v>
      </c>
      <c r="AI33" s="1">
        <v>0.46</v>
      </c>
      <c r="AJ33" s="1">
        <v>26.87</v>
      </c>
      <c r="AK33" s="1">
        <v>-3.87</v>
      </c>
      <c r="AL33" s="1" t="s">
        <v>56</v>
      </c>
      <c r="AM33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41DB-C42A-4E9B-BA26-2B375FA57AC1}">
  <dimension ref="A3:B36"/>
  <sheetViews>
    <sheetView workbookViewId="0">
      <selection activeCell="A3" sqref="A3:B36"/>
    </sheetView>
  </sheetViews>
  <sheetFormatPr defaultRowHeight="14.4" x14ac:dyDescent="0.3"/>
  <cols>
    <col min="1" max="1" width="19.5546875" bestFit="1" customWidth="1"/>
    <col min="2" max="2" width="10.109375" bestFit="1" customWidth="1"/>
  </cols>
  <sheetData>
    <row r="3" spans="1:2" x14ac:dyDescent="0.3">
      <c r="A3" s="3" t="s">
        <v>111</v>
      </c>
      <c r="B3" t="s">
        <v>115</v>
      </c>
    </row>
    <row r="4" spans="1:2" x14ac:dyDescent="0.3">
      <c r="A4" s="4" t="s">
        <v>39</v>
      </c>
      <c r="B4">
        <v>67</v>
      </c>
    </row>
    <row r="5" spans="1:2" x14ac:dyDescent="0.3">
      <c r="A5" s="4" t="s">
        <v>43</v>
      </c>
      <c r="B5">
        <v>71</v>
      </c>
    </row>
    <row r="6" spans="1:2" x14ac:dyDescent="0.3">
      <c r="A6" s="4" t="s">
        <v>47</v>
      </c>
      <c r="B6">
        <v>74</v>
      </c>
    </row>
    <row r="7" spans="1:2" x14ac:dyDescent="0.3">
      <c r="A7" s="4" t="s">
        <v>49</v>
      </c>
      <c r="B7">
        <v>54</v>
      </c>
    </row>
    <row r="8" spans="1:2" x14ac:dyDescent="0.3">
      <c r="A8" s="4" t="s">
        <v>51</v>
      </c>
      <c r="B8">
        <v>80</v>
      </c>
    </row>
    <row r="9" spans="1:2" x14ac:dyDescent="0.3">
      <c r="A9" s="4" t="s">
        <v>54</v>
      </c>
      <c r="B9">
        <v>53</v>
      </c>
    </row>
    <row r="10" spans="1:2" x14ac:dyDescent="0.3">
      <c r="A10" s="4" t="s">
        <v>57</v>
      </c>
      <c r="B10">
        <v>85</v>
      </c>
    </row>
    <row r="11" spans="1:2" x14ac:dyDescent="0.3">
      <c r="A11" s="4" t="s">
        <v>59</v>
      </c>
      <c r="B11">
        <v>65</v>
      </c>
    </row>
    <row r="12" spans="1:2" x14ac:dyDescent="0.3">
      <c r="A12" s="4" t="s">
        <v>61</v>
      </c>
      <c r="B12">
        <v>79</v>
      </c>
    </row>
    <row r="13" spans="1:2" x14ac:dyDescent="0.3">
      <c r="A13" s="4" t="s">
        <v>63</v>
      </c>
      <c r="B13">
        <v>74</v>
      </c>
    </row>
    <row r="14" spans="1:2" x14ac:dyDescent="0.3">
      <c r="A14" s="4" t="s">
        <v>65</v>
      </c>
      <c r="B14">
        <v>66</v>
      </c>
    </row>
    <row r="15" spans="1:2" x14ac:dyDescent="0.3">
      <c r="A15" s="4" t="s">
        <v>67</v>
      </c>
      <c r="B15">
        <v>63</v>
      </c>
    </row>
    <row r="16" spans="1:2" x14ac:dyDescent="0.3">
      <c r="A16" s="4" t="s">
        <v>69</v>
      </c>
      <c r="B16">
        <v>60</v>
      </c>
    </row>
    <row r="17" spans="1:2" x14ac:dyDescent="0.3">
      <c r="A17" s="4" t="s">
        <v>71</v>
      </c>
      <c r="B17">
        <v>80</v>
      </c>
    </row>
    <row r="18" spans="1:2" x14ac:dyDescent="0.3">
      <c r="A18" s="4" t="s">
        <v>73</v>
      </c>
      <c r="B18">
        <v>73</v>
      </c>
    </row>
    <row r="19" spans="1:2" x14ac:dyDescent="0.3">
      <c r="A19" s="4" t="s">
        <v>75</v>
      </c>
      <c r="B19">
        <v>61</v>
      </c>
    </row>
    <row r="20" spans="1:2" x14ac:dyDescent="0.3">
      <c r="A20" s="4" t="s">
        <v>77</v>
      </c>
      <c r="B20">
        <v>58</v>
      </c>
    </row>
    <row r="21" spans="1:2" x14ac:dyDescent="0.3">
      <c r="A21" s="4" t="s">
        <v>79</v>
      </c>
      <c r="B21">
        <v>71</v>
      </c>
    </row>
    <row r="22" spans="1:2" x14ac:dyDescent="0.3">
      <c r="A22" s="4" t="s">
        <v>81</v>
      </c>
      <c r="B22">
        <v>51</v>
      </c>
    </row>
    <row r="23" spans="1:2" x14ac:dyDescent="0.3">
      <c r="A23" s="4" t="s">
        <v>83</v>
      </c>
      <c r="B23">
        <v>64</v>
      </c>
    </row>
    <row r="24" spans="1:2" x14ac:dyDescent="0.3">
      <c r="A24" s="4" t="s">
        <v>85</v>
      </c>
      <c r="B24">
        <v>63</v>
      </c>
    </row>
    <row r="25" spans="1:2" x14ac:dyDescent="0.3">
      <c r="A25" s="4" t="s">
        <v>87</v>
      </c>
      <c r="B25">
        <v>72</v>
      </c>
    </row>
    <row r="26" spans="1:2" x14ac:dyDescent="0.3">
      <c r="A26" s="4" t="s">
        <v>89</v>
      </c>
      <c r="B26">
        <v>58</v>
      </c>
    </row>
    <row r="27" spans="1:2" x14ac:dyDescent="0.3">
      <c r="A27" s="4" t="s">
        <v>91</v>
      </c>
      <c r="B27">
        <v>63</v>
      </c>
    </row>
    <row r="28" spans="1:2" x14ac:dyDescent="0.3">
      <c r="A28" s="4" t="s">
        <v>93</v>
      </c>
      <c r="B28">
        <v>51</v>
      </c>
    </row>
    <row r="29" spans="1:2" x14ac:dyDescent="0.3">
      <c r="A29" s="4" t="s">
        <v>95</v>
      </c>
      <c r="B29">
        <v>80</v>
      </c>
    </row>
    <row r="30" spans="1:2" x14ac:dyDescent="0.3">
      <c r="A30" s="4" t="s">
        <v>97</v>
      </c>
      <c r="B30">
        <v>63</v>
      </c>
    </row>
    <row r="31" spans="1:2" x14ac:dyDescent="0.3">
      <c r="A31" s="4" t="s">
        <v>99</v>
      </c>
      <c r="B31">
        <v>66</v>
      </c>
    </row>
    <row r="32" spans="1:2" x14ac:dyDescent="0.3">
      <c r="A32" s="4" t="s">
        <v>101</v>
      </c>
      <c r="B32">
        <v>43</v>
      </c>
    </row>
    <row r="33" spans="1:2" x14ac:dyDescent="0.3">
      <c r="A33" s="4" t="s">
        <v>103</v>
      </c>
      <c r="B33">
        <v>70</v>
      </c>
    </row>
    <row r="34" spans="1:2" x14ac:dyDescent="0.3">
      <c r="A34" s="4" t="s">
        <v>105</v>
      </c>
      <c r="B34">
        <v>69</v>
      </c>
    </row>
    <row r="35" spans="1:2" x14ac:dyDescent="0.3">
      <c r="A35" s="4" t="s">
        <v>107</v>
      </c>
      <c r="B35">
        <v>55</v>
      </c>
    </row>
    <row r="36" spans="1:2" x14ac:dyDescent="0.3">
      <c r="A36" s="4" t="s">
        <v>112</v>
      </c>
      <c r="B36">
        <v>2102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88DE-AC3F-46CE-8B14-3EDC97F81FCE}">
  <dimension ref="A1:B5"/>
  <sheetViews>
    <sheetView workbookViewId="0">
      <selection activeCell="I35" sqref="I35"/>
    </sheetView>
  </sheetViews>
  <sheetFormatPr defaultRowHeight="14.4" x14ac:dyDescent="0.3"/>
  <cols>
    <col min="1" max="1" width="14.6640625" customWidth="1"/>
    <col min="2" max="2" width="12.88671875" customWidth="1"/>
  </cols>
  <sheetData>
    <row r="1" spans="1:2" x14ac:dyDescent="0.3">
      <c r="A1" t="s">
        <v>113</v>
      </c>
      <c r="B1" s="1" t="s">
        <v>114</v>
      </c>
    </row>
    <row r="2" spans="1:2" x14ac:dyDescent="0.3">
      <c r="A2" t="s">
        <v>41</v>
      </c>
      <c r="B2" s="5">
        <v>0.45999999999999996</v>
      </c>
    </row>
    <row r="3" spans="1:2" x14ac:dyDescent="0.3">
      <c r="A3" t="s">
        <v>53</v>
      </c>
      <c r="B3" s="5">
        <v>0.50749999999999995</v>
      </c>
    </row>
    <row r="4" spans="1:2" x14ac:dyDescent="0.3">
      <c r="A4" t="s">
        <v>56</v>
      </c>
      <c r="B4" s="5">
        <v>0.51875000000000004</v>
      </c>
    </row>
    <row r="5" spans="1:2" x14ac:dyDescent="0.3">
      <c r="A5" t="s">
        <v>45</v>
      </c>
      <c r="B5" s="5">
        <v>0.53625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7A71-ED36-40E1-B8DD-F8F542ADBBA5}">
  <dimension ref="A1:B33"/>
  <sheetViews>
    <sheetView workbookViewId="0">
      <selection activeCell="B1" sqref="B1:B1048576"/>
    </sheetView>
  </sheetViews>
  <sheetFormatPr defaultRowHeight="14.4" x14ac:dyDescent="0.3"/>
  <cols>
    <col min="1" max="1" width="19.5546875" bestFit="1" customWidth="1"/>
    <col min="2" max="2" width="12.77734375" style="1" customWidth="1"/>
  </cols>
  <sheetData>
    <row r="1" spans="1:2" x14ac:dyDescent="0.3">
      <c r="A1" t="s">
        <v>116</v>
      </c>
      <c r="B1" s="1" t="s">
        <v>117</v>
      </c>
    </row>
    <row r="2" spans="1:2" x14ac:dyDescent="0.3">
      <c r="A2" t="s">
        <v>101</v>
      </c>
      <c r="B2" s="1">
        <v>43</v>
      </c>
    </row>
    <row r="3" spans="1:2" x14ac:dyDescent="0.3">
      <c r="A3" t="s">
        <v>81</v>
      </c>
      <c r="B3" s="1">
        <v>51</v>
      </c>
    </row>
    <row r="4" spans="1:2" x14ac:dyDescent="0.3">
      <c r="A4" t="s">
        <v>93</v>
      </c>
      <c r="B4" s="1">
        <v>51</v>
      </c>
    </row>
    <row r="5" spans="1:2" x14ac:dyDescent="0.3">
      <c r="A5" t="s">
        <v>54</v>
      </c>
      <c r="B5" s="1">
        <v>53</v>
      </c>
    </row>
    <row r="6" spans="1:2" x14ac:dyDescent="0.3">
      <c r="A6" t="s">
        <v>49</v>
      </c>
      <c r="B6" s="1">
        <v>54</v>
      </c>
    </row>
    <row r="7" spans="1:2" x14ac:dyDescent="0.3">
      <c r="A7" t="s">
        <v>107</v>
      </c>
      <c r="B7" s="1">
        <v>55</v>
      </c>
    </row>
    <row r="8" spans="1:2" x14ac:dyDescent="0.3">
      <c r="A8" t="s">
        <v>77</v>
      </c>
      <c r="B8" s="1">
        <v>58</v>
      </c>
    </row>
    <row r="9" spans="1:2" x14ac:dyDescent="0.3">
      <c r="A9" t="s">
        <v>89</v>
      </c>
      <c r="B9" s="1">
        <v>58</v>
      </c>
    </row>
    <row r="10" spans="1:2" x14ac:dyDescent="0.3">
      <c r="A10" t="s">
        <v>69</v>
      </c>
      <c r="B10" s="1">
        <v>60</v>
      </c>
    </row>
    <row r="11" spans="1:2" x14ac:dyDescent="0.3">
      <c r="A11" t="s">
        <v>75</v>
      </c>
      <c r="B11" s="1">
        <v>61</v>
      </c>
    </row>
    <row r="12" spans="1:2" x14ac:dyDescent="0.3">
      <c r="A12" t="s">
        <v>67</v>
      </c>
      <c r="B12" s="1">
        <v>63</v>
      </c>
    </row>
    <row r="13" spans="1:2" x14ac:dyDescent="0.3">
      <c r="A13" t="s">
        <v>85</v>
      </c>
      <c r="B13" s="1">
        <v>63</v>
      </c>
    </row>
    <row r="14" spans="1:2" x14ac:dyDescent="0.3">
      <c r="A14" t="s">
        <v>91</v>
      </c>
      <c r="B14" s="1">
        <v>63</v>
      </c>
    </row>
    <row r="15" spans="1:2" x14ac:dyDescent="0.3">
      <c r="A15" t="s">
        <v>97</v>
      </c>
      <c r="B15" s="1">
        <v>63</v>
      </c>
    </row>
    <row r="16" spans="1:2" x14ac:dyDescent="0.3">
      <c r="A16" t="s">
        <v>83</v>
      </c>
      <c r="B16" s="1">
        <v>64</v>
      </c>
    </row>
    <row r="17" spans="1:2" x14ac:dyDescent="0.3">
      <c r="A17" t="s">
        <v>59</v>
      </c>
      <c r="B17" s="1">
        <v>65</v>
      </c>
    </row>
    <row r="18" spans="1:2" x14ac:dyDescent="0.3">
      <c r="A18" t="s">
        <v>65</v>
      </c>
      <c r="B18" s="1">
        <v>66</v>
      </c>
    </row>
    <row r="19" spans="1:2" x14ac:dyDescent="0.3">
      <c r="A19" t="s">
        <v>99</v>
      </c>
      <c r="B19" s="1">
        <v>66</v>
      </c>
    </row>
    <row r="20" spans="1:2" x14ac:dyDescent="0.3">
      <c r="A20" t="s">
        <v>39</v>
      </c>
      <c r="B20" s="1">
        <v>67</v>
      </c>
    </row>
    <row r="21" spans="1:2" x14ac:dyDescent="0.3">
      <c r="A21" t="s">
        <v>105</v>
      </c>
      <c r="B21" s="1">
        <v>69</v>
      </c>
    </row>
    <row r="22" spans="1:2" x14ac:dyDescent="0.3">
      <c r="A22" t="s">
        <v>103</v>
      </c>
      <c r="B22" s="1">
        <v>70</v>
      </c>
    </row>
    <row r="23" spans="1:2" x14ac:dyDescent="0.3">
      <c r="A23" t="s">
        <v>43</v>
      </c>
      <c r="B23" s="1">
        <v>71</v>
      </c>
    </row>
    <row r="24" spans="1:2" x14ac:dyDescent="0.3">
      <c r="A24" t="s">
        <v>79</v>
      </c>
      <c r="B24" s="1">
        <v>71</v>
      </c>
    </row>
    <row r="25" spans="1:2" x14ac:dyDescent="0.3">
      <c r="A25" t="s">
        <v>87</v>
      </c>
      <c r="B25" s="1">
        <v>72</v>
      </c>
    </row>
    <row r="26" spans="1:2" x14ac:dyDescent="0.3">
      <c r="A26" t="s">
        <v>73</v>
      </c>
      <c r="B26" s="1">
        <v>73</v>
      </c>
    </row>
    <row r="27" spans="1:2" x14ac:dyDescent="0.3">
      <c r="A27" t="s">
        <v>47</v>
      </c>
      <c r="B27" s="1">
        <v>74</v>
      </c>
    </row>
    <row r="28" spans="1:2" x14ac:dyDescent="0.3">
      <c r="A28" t="s">
        <v>63</v>
      </c>
      <c r="B28" s="1">
        <v>74</v>
      </c>
    </row>
    <row r="29" spans="1:2" x14ac:dyDescent="0.3">
      <c r="A29" t="s">
        <v>61</v>
      </c>
      <c r="B29" s="1">
        <v>79</v>
      </c>
    </row>
    <row r="30" spans="1:2" x14ac:dyDescent="0.3">
      <c r="A30" t="s">
        <v>51</v>
      </c>
      <c r="B30" s="1">
        <v>80</v>
      </c>
    </row>
    <row r="31" spans="1:2" x14ac:dyDescent="0.3">
      <c r="A31" t="s">
        <v>71</v>
      </c>
      <c r="B31" s="1">
        <v>80</v>
      </c>
    </row>
    <row r="32" spans="1:2" x14ac:dyDescent="0.3">
      <c r="A32" t="s">
        <v>95</v>
      </c>
      <c r="B32" s="1">
        <v>80</v>
      </c>
    </row>
    <row r="33" spans="1:2" x14ac:dyDescent="0.3">
      <c r="A33" t="s">
        <v>57</v>
      </c>
      <c r="B33" s="1">
        <v>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46DF-77C5-4189-81A8-65ABBB1235E5}">
  <dimension ref="A1:D34"/>
  <sheetViews>
    <sheetView workbookViewId="0">
      <selection activeCell="J41" sqref="J41"/>
    </sheetView>
  </sheetViews>
  <sheetFormatPr defaultRowHeight="14.4" x14ac:dyDescent="0.3"/>
  <cols>
    <col min="1" max="1" width="19.5546875" bestFit="1" customWidth="1"/>
    <col min="2" max="2" width="11.109375" style="1" customWidth="1"/>
    <col min="3" max="3" width="12.77734375" style="1" customWidth="1"/>
    <col min="4" max="4" width="18.21875" style="1" bestFit="1" customWidth="1"/>
  </cols>
  <sheetData>
    <row r="1" spans="1:4" x14ac:dyDescent="0.3">
      <c r="A1" t="s">
        <v>3</v>
      </c>
      <c r="B1" s="1" t="s">
        <v>8</v>
      </c>
      <c r="C1" s="1" t="s">
        <v>13</v>
      </c>
      <c r="D1" s="1" t="s">
        <v>33</v>
      </c>
    </row>
    <row r="2" spans="1:4" x14ac:dyDescent="0.3">
      <c r="A2" t="s">
        <v>101</v>
      </c>
      <c r="B2" s="2">
        <v>0.55000000000000004</v>
      </c>
      <c r="C2" s="2">
        <v>-1.04</v>
      </c>
      <c r="D2" s="8">
        <v>0.34</v>
      </c>
    </row>
    <row r="3" spans="1:4" x14ac:dyDescent="0.3">
      <c r="A3" t="s">
        <v>93</v>
      </c>
      <c r="B3" s="2">
        <v>0.75</v>
      </c>
      <c r="C3" s="2">
        <v>-0.85</v>
      </c>
      <c r="D3" s="8">
        <v>0.36</v>
      </c>
    </row>
    <row r="4" spans="1:4" x14ac:dyDescent="0.3">
      <c r="A4" t="s">
        <v>77</v>
      </c>
      <c r="B4" s="2">
        <v>0.97</v>
      </c>
      <c r="C4" s="2">
        <v>-0.56000000000000005</v>
      </c>
      <c r="D4" s="8">
        <v>0.4</v>
      </c>
    </row>
    <row r="5" spans="1:4" x14ac:dyDescent="0.3">
      <c r="A5" t="s">
        <v>81</v>
      </c>
      <c r="B5" s="2">
        <v>0.76</v>
      </c>
      <c r="C5" s="2">
        <v>-0.52</v>
      </c>
      <c r="D5" s="8">
        <v>0.41</v>
      </c>
    </row>
    <row r="6" spans="1:4" x14ac:dyDescent="0.3">
      <c r="A6" t="s">
        <v>54</v>
      </c>
      <c r="B6" s="2">
        <v>0.81</v>
      </c>
      <c r="C6" s="2">
        <v>-0.48</v>
      </c>
      <c r="D6" s="8">
        <v>0.42</v>
      </c>
    </row>
    <row r="7" spans="1:4" x14ac:dyDescent="0.3">
      <c r="A7" t="s">
        <v>89</v>
      </c>
      <c r="B7" s="2">
        <v>1.08</v>
      </c>
      <c r="C7" s="2">
        <v>-0.43</v>
      </c>
      <c r="D7" s="8">
        <v>0.43</v>
      </c>
    </row>
    <row r="8" spans="1:4" x14ac:dyDescent="0.3">
      <c r="A8" t="s">
        <v>49</v>
      </c>
      <c r="B8" s="2">
        <v>0.89</v>
      </c>
      <c r="C8" s="2">
        <v>-0.39</v>
      </c>
      <c r="D8" s="8">
        <v>0.43</v>
      </c>
    </row>
    <row r="9" spans="1:4" x14ac:dyDescent="0.3">
      <c r="A9" t="s">
        <v>75</v>
      </c>
      <c r="B9" s="2">
        <v>1.1200000000000001</v>
      </c>
      <c r="C9" s="2">
        <v>-0.47</v>
      </c>
      <c r="D9" s="8">
        <v>0.43</v>
      </c>
    </row>
    <row r="10" spans="1:4" x14ac:dyDescent="0.3">
      <c r="A10" t="s">
        <v>69</v>
      </c>
      <c r="B10" s="2">
        <v>1.1000000000000001</v>
      </c>
      <c r="C10" s="2">
        <v>-0.31</v>
      </c>
      <c r="D10" s="8">
        <v>0.44</v>
      </c>
    </row>
    <row r="11" spans="1:4" x14ac:dyDescent="0.3">
      <c r="A11" t="s">
        <v>107</v>
      </c>
      <c r="B11" s="2">
        <v>0.88</v>
      </c>
      <c r="C11" s="2">
        <v>-0.22</v>
      </c>
      <c r="D11" s="8">
        <v>0.46</v>
      </c>
    </row>
    <row r="12" spans="1:4" x14ac:dyDescent="0.3">
      <c r="A12" t="s">
        <v>85</v>
      </c>
      <c r="B12" s="2">
        <v>1.24</v>
      </c>
      <c r="C12" s="2">
        <v>-0.19</v>
      </c>
      <c r="D12" s="8">
        <v>0.47</v>
      </c>
    </row>
    <row r="13" spans="1:4" x14ac:dyDescent="0.3">
      <c r="A13" t="s">
        <v>67</v>
      </c>
      <c r="B13" s="2">
        <v>1.1499999999999999</v>
      </c>
      <c r="C13" s="2">
        <v>-0.22</v>
      </c>
      <c r="D13" s="8">
        <v>0.47</v>
      </c>
    </row>
    <row r="14" spans="1:4" x14ac:dyDescent="0.3">
      <c r="A14" t="s">
        <v>39</v>
      </c>
      <c r="B14" s="2">
        <v>1.39</v>
      </c>
      <c r="C14" s="2">
        <v>-0.14000000000000001</v>
      </c>
      <c r="D14" s="8">
        <v>0.48</v>
      </c>
    </row>
    <row r="15" spans="1:4" x14ac:dyDescent="0.3">
      <c r="A15" t="s">
        <v>97</v>
      </c>
      <c r="B15" s="2">
        <v>1.17</v>
      </c>
      <c r="C15" s="2">
        <v>-0.18</v>
      </c>
      <c r="D15" s="8">
        <v>0.47</v>
      </c>
    </row>
    <row r="16" spans="1:4" x14ac:dyDescent="0.3">
      <c r="A16" t="s">
        <v>91</v>
      </c>
      <c r="B16" s="2">
        <v>1.23</v>
      </c>
      <c r="C16" s="2">
        <v>-0.1</v>
      </c>
      <c r="D16" s="8">
        <v>0.48</v>
      </c>
    </row>
    <row r="17" spans="1:4" x14ac:dyDescent="0.3">
      <c r="A17" t="s">
        <v>59</v>
      </c>
      <c r="B17" s="2">
        <v>1.38</v>
      </c>
      <c r="C17" s="2">
        <v>0.02</v>
      </c>
      <c r="D17" s="8">
        <v>0.5</v>
      </c>
    </row>
    <row r="18" spans="1:4" x14ac:dyDescent="0.3">
      <c r="A18" t="s">
        <v>83</v>
      </c>
      <c r="B18" s="2">
        <v>1.27</v>
      </c>
      <c r="C18" s="2">
        <v>0.1</v>
      </c>
      <c r="D18" s="8">
        <v>0.52</v>
      </c>
    </row>
    <row r="19" spans="1:4" x14ac:dyDescent="0.3">
      <c r="A19" t="s">
        <v>63</v>
      </c>
      <c r="B19" s="2">
        <v>1.79</v>
      </c>
      <c r="C19" s="2">
        <v>0.05</v>
      </c>
      <c r="D19" s="8">
        <v>0.51</v>
      </c>
    </row>
    <row r="20" spans="1:4" x14ac:dyDescent="0.3">
      <c r="A20" t="s">
        <v>73</v>
      </c>
      <c r="B20" s="2">
        <v>1.88</v>
      </c>
      <c r="C20" s="2">
        <v>0.26</v>
      </c>
      <c r="D20" s="8">
        <v>0.54</v>
      </c>
    </row>
    <row r="21" spans="1:4" x14ac:dyDescent="0.3">
      <c r="A21" t="s">
        <v>43</v>
      </c>
      <c r="B21" s="2">
        <v>1.65</v>
      </c>
      <c r="C21" s="2">
        <v>0.31</v>
      </c>
      <c r="D21" s="8">
        <v>0.55000000000000004</v>
      </c>
    </row>
    <row r="22" spans="1:4" x14ac:dyDescent="0.3">
      <c r="A22" t="s">
        <v>79</v>
      </c>
      <c r="B22" s="2">
        <v>1.57</v>
      </c>
      <c r="C22" s="2">
        <v>0.22</v>
      </c>
      <c r="D22" s="8">
        <v>0.54</v>
      </c>
    </row>
    <row r="23" spans="1:4" x14ac:dyDescent="0.3">
      <c r="A23" t="s">
        <v>65</v>
      </c>
      <c r="B23" s="2">
        <v>1.26</v>
      </c>
      <c r="C23" s="2">
        <v>0.22</v>
      </c>
      <c r="D23" s="8">
        <v>0.53</v>
      </c>
    </row>
    <row r="24" spans="1:4" x14ac:dyDescent="0.3">
      <c r="A24" t="s">
        <v>103</v>
      </c>
      <c r="B24" s="2">
        <v>1.65</v>
      </c>
      <c r="C24" s="2">
        <v>0.32</v>
      </c>
      <c r="D24" s="8">
        <v>0.55000000000000004</v>
      </c>
    </row>
    <row r="25" spans="1:4" x14ac:dyDescent="0.3">
      <c r="A25" t="s">
        <v>47</v>
      </c>
      <c r="B25" s="2">
        <v>1.79</v>
      </c>
      <c r="C25" s="2">
        <v>0.36</v>
      </c>
      <c r="D25" s="8">
        <v>0.56000000000000005</v>
      </c>
    </row>
    <row r="26" spans="1:4" x14ac:dyDescent="0.3">
      <c r="A26" t="s">
        <v>87</v>
      </c>
      <c r="B26" s="2">
        <v>2</v>
      </c>
      <c r="C26" s="2">
        <v>0.57999999999999996</v>
      </c>
      <c r="D26" s="8">
        <v>0.59</v>
      </c>
    </row>
    <row r="27" spans="1:4" x14ac:dyDescent="0.3">
      <c r="A27" t="s">
        <v>105</v>
      </c>
      <c r="B27" s="2">
        <v>1.35</v>
      </c>
      <c r="C27" s="2">
        <v>0.33</v>
      </c>
      <c r="D27" s="8">
        <v>0.55000000000000004</v>
      </c>
    </row>
    <row r="28" spans="1:4" x14ac:dyDescent="0.3">
      <c r="A28" t="s">
        <v>99</v>
      </c>
      <c r="B28" s="2">
        <v>1.29</v>
      </c>
      <c r="C28" s="2">
        <v>0.46</v>
      </c>
      <c r="D28" s="8">
        <v>0.57999999999999996</v>
      </c>
    </row>
    <row r="29" spans="1:4" x14ac:dyDescent="0.3">
      <c r="A29" t="s">
        <v>71</v>
      </c>
      <c r="B29" s="2">
        <v>2.33</v>
      </c>
      <c r="C29" s="2">
        <v>0.5</v>
      </c>
      <c r="D29" s="8">
        <v>0.57999999999999996</v>
      </c>
    </row>
    <row r="30" spans="1:4" x14ac:dyDescent="0.3">
      <c r="A30" t="s">
        <v>51</v>
      </c>
      <c r="B30" s="2">
        <v>2.4700000000000002</v>
      </c>
      <c r="C30" s="2">
        <v>0.65</v>
      </c>
      <c r="D30" s="8">
        <v>0.6</v>
      </c>
    </row>
    <row r="31" spans="1:4" x14ac:dyDescent="0.3">
      <c r="A31" t="s">
        <v>61</v>
      </c>
      <c r="B31" s="2">
        <v>2.5</v>
      </c>
      <c r="C31" s="2">
        <v>0.68</v>
      </c>
      <c r="D31" s="8">
        <v>0.61</v>
      </c>
    </row>
    <row r="32" spans="1:4" x14ac:dyDescent="0.3">
      <c r="A32" t="s">
        <v>95</v>
      </c>
      <c r="B32" s="2">
        <v>2.5299999999999998</v>
      </c>
      <c r="C32" s="2">
        <v>1.0900000000000001</v>
      </c>
      <c r="D32" s="8">
        <v>0.67</v>
      </c>
    </row>
    <row r="33" spans="1:4" ht="15" thickBot="1" x14ac:dyDescent="0.35">
      <c r="A33" t="s">
        <v>57</v>
      </c>
      <c r="B33" s="2">
        <v>3.8</v>
      </c>
      <c r="C33" s="2">
        <v>1.36</v>
      </c>
      <c r="D33" s="8">
        <v>0.71</v>
      </c>
    </row>
    <row r="34" spans="1:4" ht="15" thickBot="1" x14ac:dyDescent="0.35">
      <c r="A34" s="6" t="s">
        <v>118</v>
      </c>
      <c r="B34" s="7">
        <f>AVERAGE(B2:B33)</f>
        <v>1.4874999999999998</v>
      </c>
      <c r="C34" s="7">
        <f t="shared" ref="C34:D34" si="0">AVERAGE(C2:C33)</f>
        <v>4.4062500000000004E-2</v>
      </c>
      <c r="D34" s="9">
        <f t="shared" si="0"/>
        <v>0.50562499999999999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9B3C-0A47-492C-9C00-DA66B7CE8758}">
  <dimension ref="A1:K33"/>
  <sheetViews>
    <sheetView workbookViewId="0">
      <selection activeCell="M36" sqref="M36"/>
    </sheetView>
  </sheetViews>
  <sheetFormatPr defaultRowHeight="14.4" x14ac:dyDescent="0.3"/>
  <cols>
    <col min="1" max="1" width="21" bestFit="1" customWidth="1"/>
    <col min="2" max="3" width="0" style="1" hidden="1" customWidth="1"/>
    <col min="4" max="4" width="12" style="1" hidden="1" customWidth="1"/>
    <col min="5" max="5" width="10.77734375" style="1" customWidth="1"/>
    <col min="6" max="6" width="11" style="1" customWidth="1"/>
    <col min="7" max="7" width="12.109375" style="1" customWidth="1"/>
    <col min="8" max="8" width="11.5546875" style="1" customWidth="1"/>
    <col min="9" max="9" width="13.33203125" style="1" customWidth="1"/>
    <col min="10" max="10" width="18.21875" style="1" hidden="1" customWidth="1"/>
    <col min="11" max="11" width="13" customWidth="1"/>
  </cols>
  <sheetData>
    <row r="1" spans="1:11" x14ac:dyDescent="0.3">
      <c r="A1" t="s">
        <v>3</v>
      </c>
      <c r="B1" s="1" t="s">
        <v>9</v>
      </c>
      <c r="C1" s="1" t="s">
        <v>10</v>
      </c>
      <c r="D1" s="1" t="s">
        <v>109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110</v>
      </c>
    </row>
    <row r="2" spans="1:11" x14ac:dyDescent="0.3">
      <c r="A2" t="s">
        <v>57</v>
      </c>
      <c r="B2" s="1">
        <v>218</v>
      </c>
      <c r="C2" s="1">
        <v>140</v>
      </c>
      <c r="D2" s="1">
        <f t="shared" ref="D2:D33" si="0">B2-C2</f>
        <v>78</v>
      </c>
      <c r="E2" s="2">
        <v>69.41</v>
      </c>
      <c r="F2" s="2">
        <v>80.19</v>
      </c>
      <c r="G2" s="2">
        <v>82.73</v>
      </c>
      <c r="H2" s="2">
        <v>23.39</v>
      </c>
      <c r="I2" s="2">
        <v>63.93</v>
      </c>
      <c r="J2" s="2">
        <v>0.71</v>
      </c>
      <c r="K2" s="2">
        <f>Table2[[#This Row],[PYTH_WIN_PCT]]*100</f>
        <v>71</v>
      </c>
    </row>
    <row r="3" spans="1:11" x14ac:dyDescent="0.3">
      <c r="A3" t="s">
        <v>95</v>
      </c>
      <c r="B3" s="1">
        <v>207</v>
      </c>
      <c r="C3" s="1">
        <v>145</v>
      </c>
      <c r="D3" s="1">
        <f t="shared" si="0"/>
        <v>62</v>
      </c>
      <c r="E3" s="2">
        <v>68.69</v>
      </c>
      <c r="F3" s="2">
        <v>72.33</v>
      </c>
      <c r="G3" s="2">
        <v>76.39</v>
      </c>
      <c r="H3" s="2">
        <v>57.79</v>
      </c>
      <c r="I3" s="2">
        <v>68.8</v>
      </c>
      <c r="J3" s="2">
        <v>0.67</v>
      </c>
      <c r="K3" s="2">
        <f>Table2[[#This Row],[PYTH_WIN_PCT]]*100</f>
        <v>67</v>
      </c>
    </row>
    <row r="4" spans="1:11" x14ac:dyDescent="0.3">
      <c r="A4" t="s">
        <v>61</v>
      </c>
      <c r="B4" s="1">
        <v>197</v>
      </c>
      <c r="C4" s="1">
        <v>158</v>
      </c>
      <c r="D4" s="1">
        <f t="shared" si="0"/>
        <v>39</v>
      </c>
      <c r="E4" s="2">
        <v>69</v>
      </c>
      <c r="F4" s="2">
        <v>64.5</v>
      </c>
      <c r="G4" s="2">
        <v>65.52</v>
      </c>
      <c r="H4" s="2">
        <v>38.25</v>
      </c>
      <c r="I4" s="2">
        <v>59.32</v>
      </c>
      <c r="J4" s="2">
        <v>0.61</v>
      </c>
      <c r="K4" s="2">
        <f>Table2[[#This Row],[PYTH_WIN_PCT]]*100</f>
        <v>61</v>
      </c>
    </row>
    <row r="5" spans="1:11" x14ac:dyDescent="0.3">
      <c r="A5" t="s">
        <v>51</v>
      </c>
      <c r="B5" s="1">
        <v>202</v>
      </c>
      <c r="C5" s="1">
        <v>164</v>
      </c>
      <c r="D5" s="1">
        <f t="shared" si="0"/>
        <v>38</v>
      </c>
      <c r="E5" s="2">
        <v>65.260000000000005</v>
      </c>
      <c r="F5" s="2">
        <v>61.98</v>
      </c>
      <c r="G5" s="2">
        <v>63.01</v>
      </c>
      <c r="H5" s="2">
        <v>46.46</v>
      </c>
      <c r="I5" s="2">
        <v>59.18</v>
      </c>
      <c r="J5" s="2">
        <v>0.6</v>
      </c>
      <c r="K5" s="2">
        <f>Table2[[#This Row],[PYTH_WIN_PCT]]*100</f>
        <v>60</v>
      </c>
    </row>
    <row r="6" spans="1:11" x14ac:dyDescent="0.3">
      <c r="A6" t="s">
        <v>87</v>
      </c>
      <c r="B6" s="1">
        <v>196</v>
      </c>
      <c r="C6" s="1">
        <v>163</v>
      </c>
      <c r="D6" s="1">
        <f t="shared" si="0"/>
        <v>33</v>
      </c>
      <c r="E6" s="2">
        <v>66.12</v>
      </c>
      <c r="F6" s="2">
        <v>69.209999999999994</v>
      </c>
      <c r="G6" s="2">
        <v>65.73</v>
      </c>
      <c r="H6" s="2">
        <v>29.77</v>
      </c>
      <c r="I6" s="2">
        <v>57.71</v>
      </c>
      <c r="J6" s="2">
        <v>0.59</v>
      </c>
      <c r="K6" s="2">
        <f>Table2[[#This Row],[PYTH_WIN_PCT]]*100</f>
        <v>59</v>
      </c>
    </row>
    <row r="7" spans="1:11" x14ac:dyDescent="0.3">
      <c r="A7" t="s">
        <v>71</v>
      </c>
      <c r="B7" s="1">
        <v>203</v>
      </c>
      <c r="C7" s="1">
        <v>173</v>
      </c>
      <c r="D7" s="1">
        <f t="shared" si="0"/>
        <v>30</v>
      </c>
      <c r="E7" s="2">
        <v>65.12</v>
      </c>
      <c r="F7" s="2">
        <v>56.43</v>
      </c>
      <c r="G7" s="2">
        <v>59.57</v>
      </c>
      <c r="H7" s="2">
        <v>45.89</v>
      </c>
      <c r="I7" s="2">
        <v>56.75</v>
      </c>
      <c r="J7" s="2">
        <v>0.57999999999999996</v>
      </c>
      <c r="K7" s="2">
        <f>Table2[[#This Row],[PYTH_WIN_PCT]]*100</f>
        <v>57.999999999999993</v>
      </c>
    </row>
    <row r="8" spans="1:11" x14ac:dyDescent="0.3">
      <c r="A8" t="s">
        <v>99</v>
      </c>
      <c r="B8" s="1">
        <v>190</v>
      </c>
      <c r="C8" s="1">
        <v>163</v>
      </c>
      <c r="D8" s="1">
        <f t="shared" si="0"/>
        <v>27</v>
      </c>
      <c r="E8" s="2">
        <v>47.78</v>
      </c>
      <c r="F8" s="2">
        <v>64.06</v>
      </c>
      <c r="G8" s="2">
        <v>61.41</v>
      </c>
      <c r="H8" s="2">
        <v>44.88</v>
      </c>
      <c r="I8" s="2">
        <v>54.53</v>
      </c>
      <c r="J8" s="2">
        <v>0.57999999999999996</v>
      </c>
      <c r="K8" s="2">
        <f>Table2[[#This Row],[PYTH_WIN_PCT]]*100</f>
        <v>57.999999999999993</v>
      </c>
    </row>
    <row r="9" spans="1:11" x14ac:dyDescent="0.3">
      <c r="A9" t="s">
        <v>47</v>
      </c>
      <c r="B9" s="1">
        <v>200</v>
      </c>
      <c r="C9" s="1">
        <v>179</v>
      </c>
      <c r="D9" s="1">
        <f t="shared" si="0"/>
        <v>21</v>
      </c>
      <c r="E9" s="2">
        <v>57.54</v>
      </c>
      <c r="F9" s="2">
        <v>60.42</v>
      </c>
      <c r="G9" s="2">
        <v>57.74</v>
      </c>
      <c r="H9" s="2">
        <v>47.41</v>
      </c>
      <c r="I9" s="2">
        <v>55.78</v>
      </c>
      <c r="J9" s="2">
        <v>0.56000000000000005</v>
      </c>
      <c r="K9" s="2">
        <f>Table2[[#This Row],[PYTH_WIN_PCT]]*100</f>
        <v>56.000000000000007</v>
      </c>
    </row>
    <row r="10" spans="1:11" x14ac:dyDescent="0.3">
      <c r="A10" t="s">
        <v>43</v>
      </c>
      <c r="B10" s="1">
        <v>199</v>
      </c>
      <c r="C10" s="1">
        <v>181</v>
      </c>
      <c r="D10" s="1">
        <f t="shared" si="0"/>
        <v>18</v>
      </c>
      <c r="E10" s="2">
        <v>66.349999999999994</v>
      </c>
      <c r="F10" s="2">
        <v>34.07</v>
      </c>
      <c r="G10" s="2">
        <v>37.71</v>
      </c>
      <c r="H10" s="2">
        <v>73.040000000000006</v>
      </c>
      <c r="I10" s="2">
        <v>52.79</v>
      </c>
      <c r="J10" s="2">
        <v>0.55000000000000004</v>
      </c>
      <c r="K10" s="2">
        <f>Table2[[#This Row],[PYTH_WIN_PCT]]*100</f>
        <v>55.000000000000007</v>
      </c>
    </row>
    <row r="11" spans="1:11" x14ac:dyDescent="0.3">
      <c r="A11" t="s">
        <v>103</v>
      </c>
      <c r="B11" s="1">
        <v>199</v>
      </c>
      <c r="C11" s="1">
        <v>180</v>
      </c>
      <c r="D11" s="1">
        <f t="shared" si="0"/>
        <v>19</v>
      </c>
      <c r="E11" s="2">
        <v>64</v>
      </c>
      <c r="F11" s="2">
        <v>57.99</v>
      </c>
      <c r="G11" s="2">
        <v>58.31</v>
      </c>
      <c r="H11" s="2">
        <v>41.74</v>
      </c>
      <c r="I11" s="2">
        <v>55.51</v>
      </c>
      <c r="J11" s="2">
        <v>0.55000000000000004</v>
      </c>
      <c r="K11" s="2">
        <f>Table2[[#This Row],[PYTH_WIN_PCT]]*100</f>
        <v>55.000000000000007</v>
      </c>
    </row>
    <row r="12" spans="1:11" x14ac:dyDescent="0.3">
      <c r="A12" t="s">
        <v>105</v>
      </c>
      <c r="B12" s="1">
        <v>195</v>
      </c>
      <c r="C12" s="1">
        <v>175</v>
      </c>
      <c r="D12" s="1">
        <f t="shared" si="0"/>
        <v>20</v>
      </c>
      <c r="E12" s="2">
        <v>47.32</v>
      </c>
      <c r="F12" s="2">
        <v>54.86</v>
      </c>
      <c r="G12" s="2">
        <v>56.28</v>
      </c>
      <c r="H12" s="2">
        <v>43.85</v>
      </c>
      <c r="I12" s="2">
        <v>50.58</v>
      </c>
      <c r="J12" s="2">
        <v>0.55000000000000004</v>
      </c>
      <c r="K12" s="2">
        <f>Table2[[#This Row],[PYTH_WIN_PCT]]*100</f>
        <v>55.000000000000007</v>
      </c>
    </row>
    <row r="13" spans="1:11" x14ac:dyDescent="0.3">
      <c r="A13" t="s">
        <v>73</v>
      </c>
      <c r="B13" s="1">
        <v>202</v>
      </c>
      <c r="C13" s="1">
        <v>187</v>
      </c>
      <c r="D13" s="1">
        <f t="shared" si="0"/>
        <v>15</v>
      </c>
      <c r="E13" s="2">
        <v>65.72</v>
      </c>
      <c r="F13" s="2">
        <v>38.299999999999997</v>
      </c>
      <c r="G13" s="2">
        <v>37.79</v>
      </c>
      <c r="H13" s="2">
        <v>62.86</v>
      </c>
      <c r="I13" s="2">
        <v>51.17</v>
      </c>
      <c r="J13" s="2">
        <v>0.54</v>
      </c>
      <c r="K13" s="2">
        <f>Table2[[#This Row],[PYTH_WIN_PCT]]*100</f>
        <v>54</v>
      </c>
    </row>
    <row r="14" spans="1:11" x14ac:dyDescent="0.3">
      <c r="A14" t="s">
        <v>79</v>
      </c>
      <c r="B14" s="1">
        <v>173</v>
      </c>
      <c r="C14" s="1">
        <v>160</v>
      </c>
      <c r="D14" s="1">
        <f t="shared" si="0"/>
        <v>13</v>
      </c>
      <c r="E14" s="2">
        <v>38.01</v>
      </c>
      <c r="F14" s="2">
        <v>68.37</v>
      </c>
      <c r="G14" s="2">
        <v>69.92</v>
      </c>
      <c r="H14" s="2">
        <v>46.52</v>
      </c>
      <c r="I14" s="2">
        <v>55.7</v>
      </c>
      <c r="J14" s="2">
        <v>0.54</v>
      </c>
      <c r="K14" s="2">
        <f>Table2[[#This Row],[PYTH_WIN_PCT]]*100</f>
        <v>54</v>
      </c>
    </row>
    <row r="15" spans="1:11" x14ac:dyDescent="0.3">
      <c r="A15" t="s">
        <v>65</v>
      </c>
      <c r="B15" s="1">
        <v>211</v>
      </c>
      <c r="C15" s="1">
        <v>198</v>
      </c>
      <c r="D15" s="1">
        <f t="shared" si="0"/>
        <v>13</v>
      </c>
      <c r="E15" s="2">
        <v>77.2</v>
      </c>
      <c r="F15" s="2">
        <v>38.25</v>
      </c>
      <c r="G15" s="2">
        <v>39.630000000000003</v>
      </c>
      <c r="H15" s="2">
        <v>36.03</v>
      </c>
      <c r="I15" s="2">
        <v>47.78</v>
      </c>
      <c r="J15" s="2">
        <v>0.53</v>
      </c>
      <c r="K15" s="2">
        <f>Table2[[#This Row],[PYTH_WIN_PCT]]*100</f>
        <v>53</v>
      </c>
    </row>
    <row r="16" spans="1:11" x14ac:dyDescent="0.3">
      <c r="A16" t="s">
        <v>83</v>
      </c>
      <c r="B16" s="1">
        <v>192</v>
      </c>
      <c r="C16" s="1">
        <v>186</v>
      </c>
      <c r="D16" s="1">
        <f t="shared" si="0"/>
        <v>6</v>
      </c>
      <c r="E16" s="2">
        <v>59.59</v>
      </c>
      <c r="F16" s="2">
        <v>30.63</v>
      </c>
      <c r="G16" s="2">
        <v>36.770000000000003</v>
      </c>
      <c r="H16" s="2">
        <v>67.77</v>
      </c>
      <c r="I16" s="2">
        <v>48.69</v>
      </c>
      <c r="J16" s="2">
        <v>0.52</v>
      </c>
      <c r="K16" s="2">
        <f>Table2[[#This Row],[PYTH_WIN_PCT]]*100</f>
        <v>52</v>
      </c>
    </row>
    <row r="17" spans="1:11" x14ac:dyDescent="0.3">
      <c r="A17" t="s">
        <v>63</v>
      </c>
      <c r="B17" s="1">
        <v>176</v>
      </c>
      <c r="C17" s="1">
        <v>173</v>
      </c>
      <c r="D17" s="1">
        <f t="shared" si="0"/>
        <v>3</v>
      </c>
      <c r="E17" s="2">
        <v>48.61</v>
      </c>
      <c r="F17" s="2">
        <v>56.92</v>
      </c>
      <c r="G17" s="2">
        <v>59.15</v>
      </c>
      <c r="H17" s="2">
        <v>27.1</v>
      </c>
      <c r="I17" s="2">
        <v>47.95</v>
      </c>
      <c r="J17" s="2">
        <v>0.51</v>
      </c>
      <c r="K17" s="2">
        <f>Table2[[#This Row],[PYTH_WIN_PCT]]*100</f>
        <v>51</v>
      </c>
    </row>
    <row r="18" spans="1:11" x14ac:dyDescent="0.3">
      <c r="A18" t="s">
        <v>59</v>
      </c>
      <c r="B18" s="1">
        <v>181</v>
      </c>
      <c r="C18" s="1">
        <v>180</v>
      </c>
      <c r="D18" s="1">
        <f t="shared" si="0"/>
        <v>1</v>
      </c>
      <c r="E18" s="2">
        <v>50.86</v>
      </c>
      <c r="F18" s="2">
        <v>47.64</v>
      </c>
      <c r="G18" s="2">
        <v>44.92</v>
      </c>
      <c r="H18" s="2">
        <v>44.09</v>
      </c>
      <c r="I18" s="2">
        <v>46.88</v>
      </c>
      <c r="J18" s="2">
        <v>0.5</v>
      </c>
      <c r="K18" s="2">
        <f>Table2[[#This Row],[PYTH_WIN_PCT]]*100</f>
        <v>50</v>
      </c>
    </row>
    <row r="19" spans="1:11" x14ac:dyDescent="0.3">
      <c r="A19" t="s">
        <v>39</v>
      </c>
      <c r="B19" s="1">
        <v>196</v>
      </c>
      <c r="C19" s="1">
        <v>204</v>
      </c>
      <c r="D19" s="1">
        <f t="shared" si="0"/>
        <v>-8</v>
      </c>
      <c r="E19" s="2">
        <v>56.48</v>
      </c>
      <c r="F19" s="2">
        <v>33.479999999999997</v>
      </c>
      <c r="G19" s="2">
        <v>27.21</v>
      </c>
      <c r="H19" s="2">
        <v>60.99</v>
      </c>
      <c r="I19" s="2">
        <v>44.54</v>
      </c>
      <c r="J19" s="2">
        <v>0.48</v>
      </c>
      <c r="K19" s="2">
        <f>Table2[[#This Row],[PYTH_WIN_PCT]]*100</f>
        <v>48</v>
      </c>
    </row>
    <row r="20" spans="1:11" x14ac:dyDescent="0.3">
      <c r="A20" t="s">
        <v>91</v>
      </c>
      <c r="B20" s="1">
        <v>164</v>
      </c>
      <c r="C20" s="1">
        <v>170</v>
      </c>
      <c r="D20" s="1">
        <f t="shared" si="0"/>
        <v>-6</v>
      </c>
      <c r="E20" s="2">
        <v>40.380000000000003</v>
      </c>
      <c r="F20" s="2">
        <v>35.6</v>
      </c>
      <c r="G20" s="2">
        <v>48.67</v>
      </c>
      <c r="H20" s="2">
        <v>29.5</v>
      </c>
      <c r="I20" s="2">
        <v>38.54</v>
      </c>
      <c r="J20" s="2">
        <v>0.48</v>
      </c>
      <c r="K20" s="2">
        <f>Table2[[#This Row],[PYTH_WIN_PCT]]*100</f>
        <v>48</v>
      </c>
    </row>
    <row r="21" spans="1:11" x14ac:dyDescent="0.3">
      <c r="A21" t="s">
        <v>67</v>
      </c>
      <c r="B21" s="1">
        <v>181</v>
      </c>
      <c r="C21" s="1">
        <v>194</v>
      </c>
      <c r="D21" s="1">
        <f t="shared" si="0"/>
        <v>-13</v>
      </c>
      <c r="E21" s="2">
        <v>48.49</v>
      </c>
      <c r="F21" s="2">
        <v>43.68</v>
      </c>
      <c r="G21" s="2">
        <v>40.32</v>
      </c>
      <c r="H21" s="2">
        <v>86.97</v>
      </c>
      <c r="I21" s="2">
        <v>54.86</v>
      </c>
      <c r="J21" s="2">
        <v>0.47</v>
      </c>
      <c r="K21" s="2">
        <f>Table2[[#This Row],[PYTH_WIN_PCT]]*100</f>
        <v>47</v>
      </c>
    </row>
    <row r="22" spans="1:11" x14ac:dyDescent="0.3">
      <c r="A22" t="s">
        <v>85</v>
      </c>
      <c r="B22" s="1">
        <v>171</v>
      </c>
      <c r="C22" s="1">
        <v>182</v>
      </c>
      <c r="D22" s="1">
        <f t="shared" si="0"/>
        <v>-11</v>
      </c>
      <c r="E22" s="2">
        <v>37.630000000000003</v>
      </c>
      <c r="F22" s="2">
        <v>45.93</v>
      </c>
      <c r="G22" s="2">
        <v>46.96</v>
      </c>
      <c r="H22" s="2">
        <v>65.62</v>
      </c>
      <c r="I22" s="2">
        <v>49.04</v>
      </c>
      <c r="J22" s="2">
        <v>0.47</v>
      </c>
      <c r="K22" s="2">
        <f>Table2[[#This Row],[PYTH_WIN_PCT]]*100</f>
        <v>47</v>
      </c>
    </row>
    <row r="23" spans="1:11" x14ac:dyDescent="0.3">
      <c r="A23" t="s">
        <v>97</v>
      </c>
      <c r="B23" s="1">
        <v>191</v>
      </c>
      <c r="C23" s="1">
        <v>202</v>
      </c>
      <c r="D23" s="1">
        <f t="shared" si="0"/>
        <v>-11</v>
      </c>
      <c r="E23" s="2">
        <v>51.04</v>
      </c>
      <c r="F23" s="2">
        <v>49.22</v>
      </c>
      <c r="G23" s="2">
        <v>44.01</v>
      </c>
      <c r="H23" s="2">
        <v>53.04</v>
      </c>
      <c r="I23" s="2">
        <v>49.33</v>
      </c>
      <c r="J23" s="2">
        <v>0.47</v>
      </c>
      <c r="K23" s="2">
        <f>Table2[[#This Row],[PYTH_WIN_PCT]]*100</f>
        <v>47</v>
      </c>
    </row>
    <row r="24" spans="1:11" x14ac:dyDescent="0.3">
      <c r="A24" t="s">
        <v>107</v>
      </c>
      <c r="B24" s="1">
        <v>167</v>
      </c>
      <c r="C24" s="1">
        <v>180</v>
      </c>
      <c r="D24" s="1">
        <f t="shared" si="0"/>
        <v>-13</v>
      </c>
      <c r="E24" s="2">
        <v>38.79</v>
      </c>
      <c r="F24" s="2">
        <v>51.16</v>
      </c>
      <c r="G24" s="2">
        <v>48.66</v>
      </c>
      <c r="H24" s="2">
        <v>58.17</v>
      </c>
      <c r="I24" s="2">
        <v>49.19</v>
      </c>
      <c r="J24" s="2">
        <v>0.46</v>
      </c>
      <c r="K24" s="2">
        <f>Table2[[#This Row],[PYTH_WIN_PCT]]*100</f>
        <v>46</v>
      </c>
    </row>
    <row r="25" spans="1:11" x14ac:dyDescent="0.3">
      <c r="A25" t="s">
        <v>69</v>
      </c>
      <c r="B25" s="1">
        <v>151</v>
      </c>
      <c r="C25" s="1">
        <v>169</v>
      </c>
      <c r="D25" s="1">
        <f t="shared" si="0"/>
        <v>-18</v>
      </c>
      <c r="E25" s="2">
        <v>27.24</v>
      </c>
      <c r="F25" s="2">
        <v>47.49</v>
      </c>
      <c r="G25" s="2">
        <v>49.52</v>
      </c>
      <c r="H25" s="2">
        <v>45.29</v>
      </c>
      <c r="I25" s="2">
        <v>42.38</v>
      </c>
      <c r="J25" s="2">
        <v>0.44</v>
      </c>
      <c r="K25" s="2">
        <f>Table2[[#This Row],[PYTH_WIN_PCT]]*100</f>
        <v>44</v>
      </c>
    </row>
    <row r="26" spans="1:11" x14ac:dyDescent="0.3">
      <c r="A26" t="s">
        <v>49</v>
      </c>
      <c r="B26" s="1">
        <v>146</v>
      </c>
      <c r="C26" s="1">
        <v>168</v>
      </c>
      <c r="D26" s="1">
        <f t="shared" si="0"/>
        <v>-22</v>
      </c>
      <c r="E26" s="2">
        <v>26.94</v>
      </c>
      <c r="F26" s="2">
        <v>60.03</v>
      </c>
      <c r="G26" s="2">
        <v>59.71</v>
      </c>
      <c r="H26" s="2">
        <v>70.349999999999994</v>
      </c>
      <c r="I26" s="2">
        <v>54.26</v>
      </c>
      <c r="J26" s="2">
        <v>0.43</v>
      </c>
      <c r="K26" s="2">
        <f>Table2[[#This Row],[PYTH_WIN_PCT]]*100</f>
        <v>43</v>
      </c>
    </row>
    <row r="27" spans="1:11" x14ac:dyDescent="0.3">
      <c r="A27" t="s">
        <v>75</v>
      </c>
      <c r="B27" s="1">
        <v>173</v>
      </c>
      <c r="C27" s="1">
        <v>200</v>
      </c>
      <c r="D27" s="1">
        <f t="shared" si="0"/>
        <v>-27</v>
      </c>
      <c r="E27" s="2">
        <v>47.05</v>
      </c>
      <c r="F27" s="2">
        <v>42.52</v>
      </c>
      <c r="G27" s="2">
        <v>34.51</v>
      </c>
      <c r="H27" s="2">
        <v>43.41</v>
      </c>
      <c r="I27" s="2">
        <v>41.87</v>
      </c>
      <c r="J27" s="2">
        <v>0.43</v>
      </c>
      <c r="K27" s="2">
        <f>Table2[[#This Row],[PYTH_WIN_PCT]]*100</f>
        <v>43</v>
      </c>
    </row>
    <row r="28" spans="1:11" x14ac:dyDescent="0.3">
      <c r="A28" t="s">
        <v>89</v>
      </c>
      <c r="B28" s="1">
        <v>172</v>
      </c>
      <c r="C28" s="1">
        <v>196</v>
      </c>
      <c r="D28" s="1">
        <f t="shared" si="0"/>
        <v>-24</v>
      </c>
      <c r="E28" s="2">
        <v>47</v>
      </c>
      <c r="F28" s="2">
        <v>32.03</v>
      </c>
      <c r="G28" s="2">
        <v>29.99</v>
      </c>
      <c r="H28" s="2">
        <v>46.89</v>
      </c>
      <c r="I28" s="2">
        <v>38.979999999999997</v>
      </c>
      <c r="J28" s="2">
        <v>0.43</v>
      </c>
      <c r="K28" s="2">
        <f>Table2[[#This Row],[PYTH_WIN_PCT]]*100</f>
        <v>43</v>
      </c>
    </row>
    <row r="29" spans="1:11" x14ac:dyDescent="0.3">
      <c r="A29" t="s">
        <v>54</v>
      </c>
      <c r="B29" s="1">
        <v>156</v>
      </c>
      <c r="C29" s="1">
        <v>184</v>
      </c>
      <c r="D29" s="1">
        <f t="shared" si="0"/>
        <v>-28</v>
      </c>
      <c r="E29" s="2">
        <v>32.01</v>
      </c>
      <c r="F29" s="2">
        <v>61.55</v>
      </c>
      <c r="G29" s="2">
        <v>52.89</v>
      </c>
      <c r="H29" s="2">
        <v>35.42</v>
      </c>
      <c r="I29" s="2">
        <v>45.47</v>
      </c>
      <c r="J29" s="2">
        <v>0.42</v>
      </c>
      <c r="K29" s="2">
        <f>Table2[[#This Row],[PYTH_WIN_PCT]]*100</f>
        <v>42</v>
      </c>
    </row>
    <row r="30" spans="1:11" x14ac:dyDescent="0.3">
      <c r="A30" t="s">
        <v>81</v>
      </c>
      <c r="B30" s="1">
        <v>153</v>
      </c>
      <c r="C30" s="1">
        <v>183</v>
      </c>
      <c r="D30" s="1">
        <f t="shared" si="0"/>
        <v>-30</v>
      </c>
      <c r="E30" s="2">
        <v>33.46</v>
      </c>
      <c r="F30" s="2">
        <v>44.57</v>
      </c>
      <c r="G30" s="2">
        <v>46.83</v>
      </c>
      <c r="H30" s="2">
        <v>72.38</v>
      </c>
      <c r="I30" s="2">
        <v>49.31</v>
      </c>
      <c r="J30" s="2">
        <v>0.41</v>
      </c>
      <c r="K30" s="2">
        <f>Table2[[#This Row],[PYTH_WIN_PCT]]*100</f>
        <v>41</v>
      </c>
    </row>
    <row r="31" spans="1:11" x14ac:dyDescent="0.3">
      <c r="A31" t="s">
        <v>77</v>
      </c>
      <c r="B31" s="1">
        <v>148</v>
      </c>
      <c r="C31" s="1">
        <v>181</v>
      </c>
      <c r="D31" s="1">
        <f t="shared" si="0"/>
        <v>-33</v>
      </c>
      <c r="E31" s="2">
        <v>29.18</v>
      </c>
      <c r="F31" s="2">
        <v>56.07</v>
      </c>
      <c r="G31" s="2">
        <v>53.92</v>
      </c>
      <c r="H31" s="2">
        <v>38.880000000000003</v>
      </c>
      <c r="I31" s="2">
        <v>44.51</v>
      </c>
      <c r="J31" s="2">
        <v>0.4</v>
      </c>
      <c r="K31" s="2">
        <f>Table2[[#This Row],[PYTH_WIN_PCT]]*100</f>
        <v>40</v>
      </c>
    </row>
    <row r="32" spans="1:11" x14ac:dyDescent="0.3">
      <c r="A32" t="s">
        <v>93</v>
      </c>
      <c r="B32" s="1">
        <v>152</v>
      </c>
      <c r="C32" s="1">
        <v>201</v>
      </c>
      <c r="D32" s="1">
        <f t="shared" si="0"/>
        <v>-49</v>
      </c>
      <c r="E32" s="2">
        <v>28.35</v>
      </c>
      <c r="F32" s="2">
        <v>28.03</v>
      </c>
      <c r="G32" s="2">
        <v>28.61</v>
      </c>
      <c r="H32" s="2">
        <v>61.72</v>
      </c>
      <c r="I32" s="2">
        <v>36.68</v>
      </c>
      <c r="J32" s="2">
        <v>0.36</v>
      </c>
      <c r="K32" s="2">
        <f>Table2[[#This Row],[PYTH_WIN_PCT]]*100</f>
        <v>36</v>
      </c>
    </row>
    <row r="33" spans="1:11" x14ac:dyDescent="0.3">
      <c r="A33" t="s">
        <v>101</v>
      </c>
      <c r="B33" s="1">
        <v>151</v>
      </c>
      <c r="C33" s="1">
        <v>211</v>
      </c>
      <c r="D33" s="1">
        <f t="shared" si="0"/>
        <v>-60</v>
      </c>
      <c r="E33" s="2">
        <v>29.38</v>
      </c>
      <c r="F33" s="2">
        <v>12.51</v>
      </c>
      <c r="G33" s="2">
        <v>15.62</v>
      </c>
      <c r="H33" s="2">
        <v>54.52</v>
      </c>
      <c r="I33" s="2">
        <v>28.01</v>
      </c>
      <c r="J33" s="2">
        <v>0.34</v>
      </c>
      <c r="K33" s="2">
        <f>Table2[[#This Row],[PYTH_WIN_PCT]]*100</f>
        <v>34</v>
      </c>
    </row>
  </sheetData>
  <conditionalFormatting sqref="E2:E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2F94-1DCF-44BD-B557-F21B07F0ACA3}">
  <dimension ref="A1:K33"/>
  <sheetViews>
    <sheetView workbookViewId="0">
      <selection sqref="A1:K11"/>
    </sheetView>
  </sheetViews>
  <sheetFormatPr defaultRowHeight="14.4" x14ac:dyDescent="0.3"/>
  <cols>
    <col min="1" max="1" width="21" bestFit="1" customWidth="1"/>
    <col min="2" max="3" width="0" style="1" hidden="1" customWidth="1"/>
    <col min="4" max="4" width="12" style="1" hidden="1" customWidth="1"/>
    <col min="5" max="5" width="10.77734375" style="1" customWidth="1"/>
    <col min="6" max="6" width="11" style="1" customWidth="1"/>
    <col min="7" max="7" width="12.109375" style="1" customWidth="1"/>
    <col min="8" max="8" width="11.5546875" style="1" customWidth="1"/>
    <col min="9" max="9" width="13.33203125" style="1" customWidth="1"/>
    <col min="10" max="10" width="18.21875" style="1" hidden="1" customWidth="1"/>
    <col min="11" max="11" width="13" customWidth="1"/>
  </cols>
  <sheetData>
    <row r="1" spans="1:11" x14ac:dyDescent="0.3">
      <c r="A1" t="s">
        <v>3</v>
      </c>
      <c r="B1" s="1" t="s">
        <v>9</v>
      </c>
      <c r="C1" s="1" t="s">
        <v>10</v>
      </c>
      <c r="D1" s="1" t="s">
        <v>109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110</v>
      </c>
    </row>
    <row r="2" spans="1:11" x14ac:dyDescent="0.3">
      <c r="A2" t="s">
        <v>119</v>
      </c>
      <c r="B2" s="1">
        <v>218</v>
      </c>
      <c r="C2" s="1">
        <v>140</v>
      </c>
      <c r="D2" s="1">
        <f t="shared" ref="D2:D33" si="0">B2-C2</f>
        <v>78</v>
      </c>
      <c r="E2" s="2">
        <v>69.41</v>
      </c>
      <c r="F2" s="2">
        <v>80.19</v>
      </c>
      <c r="G2" s="2">
        <v>82.73</v>
      </c>
      <c r="H2" s="2">
        <v>23.39</v>
      </c>
      <c r="I2" s="2">
        <v>63.93</v>
      </c>
      <c r="J2" s="2">
        <v>0.71</v>
      </c>
      <c r="K2" s="2">
        <f>Table24[[#This Row],[PYTH_WIN_PCT]]*100</f>
        <v>71</v>
      </c>
    </row>
    <row r="3" spans="1:11" x14ac:dyDescent="0.3">
      <c r="A3" t="s">
        <v>120</v>
      </c>
      <c r="B3" s="1">
        <v>207</v>
      </c>
      <c r="C3" s="1">
        <v>145</v>
      </c>
      <c r="D3" s="1">
        <f t="shared" si="0"/>
        <v>62</v>
      </c>
      <c r="E3" s="2">
        <v>68.69</v>
      </c>
      <c r="F3" s="2">
        <v>72.33</v>
      </c>
      <c r="G3" s="2">
        <v>76.39</v>
      </c>
      <c r="H3" s="2">
        <v>57.79</v>
      </c>
      <c r="I3" s="2">
        <v>68.8</v>
      </c>
      <c r="J3" s="2">
        <v>0.67</v>
      </c>
      <c r="K3" s="2">
        <f>Table24[[#This Row],[PYTH_WIN_PCT]]*100</f>
        <v>67</v>
      </c>
    </row>
    <row r="4" spans="1:11" x14ac:dyDescent="0.3">
      <c r="A4" t="s">
        <v>121</v>
      </c>
      <c r="B4" s="1">
        <v>197</v>
      </c>
      <c r="C4" s="1">
        <v>158</v>
      </c>
      <c r="D4" s="1">
        <f t="shared" si="0"/>
        <v>39</v>
      </c>
      <c r="E4" s="2">
        <v>69</v>
      </c>
      <c r="F4" s="2">
        <v>64.5</v>
      </c>
      <c r="G4" s="2">
        <v>65.52</v>
      </c>
      <c r="H4" s="2">
        <v>38.25</v>
      </c>
      <c r="I4" s="2">
        <v>59.32</v>
      </c>
      <c r="J4" s="2">
        <v>0.61</v>
      </c>
      <c r="K4" s="2">
        <f>Table24[[#This Row],[PYTH_WIN_PCT]]*100</f>
        <v>61</v>
      </c>
    </row>
    <row r="5" spans="1:11" x14ac:dyDescent="0.3">
      <c r="A5" t="s">
        <v>122</v>
      </c>
      <c r="B5" s="1">
        <v>202</v>
      </c>
      <c r="C5" s="1">
        <v>164</v>
      </c>
      <c r="D5" s="1">
        <f t="shared" si="0"/>
        <v>38</v>
      </c>
      <c r="E5" s="2">
        <v>65.260000000000005</v>
      </c>
      <c r="F5" s="2">
        <v>61.98</v>
      </c>
      <c r="G5" s="2">
        <v>63.01</v>
      </c>
      <c r="H5" s="2">
        <v>46.46</v>
      </c>
      <c r="I5" s="2">
        <v>59.18</v>
      </c>
      <c r="J5" s="2">
        <v>0.6</v>
      </c>
      <c r="K5" s="2">
        <f>Table24[[#This Row],[PYTH_WIN_PCT]]*100</f>
        <v>60</v>
      </c>
    </row>
    <row r="6" spans="1:11" x14ac:dyDescent="0.3">
      <c r="A6" t="s">
        <v>123</v>
      </c>
      <c r="B6" s="1">
        <v>196</v>
      </c>
      <c r="C6" s="1">
        <v>163</v>
      </c>
      <c r="D6" s="1">
        <f t="shared" si="0"/>
        <v>33</v>
      </c>
      <c r="E6" s="2">
        <v>66.12</v>
      </c>
      <c r="F6" s="2">
        <v>69.209999999999994</v>
      </c>
      <c r="G6" s="2">
        <v>65.73</v>
      </c>
      <c r="H6" s="2">
        <v>29.77</v>
      </c>
      <c r="I6" s="2">
        <v>57.71</v>
      </c>
      <c r="J6" s="2">
        <v>0.59</v>
      </c>
      <c r="K6" s="2">
        <f>Table24[[#This Row],[PYTH_WIN_PCT]]*100</f>
        <v>59</v>
      </c>
    </row>
    <row r="7" spans="1:11" x14ac:dyDescent="0.3">
      <c r="A7" t="s">
        <v>124</v>
      </c>
      <c r="B7" s="1">
        <v>203</v>
      </c>
      <c r="C7" s="1">
        <v>173</v>
      </c>
      <c r="D7" s="1">
        <f t="shared" si="0"/>
        <v>30</v>
      </c>
      <c r="E7" s="2">
        <v>65.12</v>
      </c>
      <c r="F7" s="2">
        <v>56.43</v>
      </c>
      <c r="G7" s="2">
        <v>59.57</v>
      </c>
      <c r="H7" s="2">
        <v>45.89</v>
      </c>
      <c r="I7" s="2">
        <v>56.75</v>
      </c>
      <c r="J7" s="2">
        <v>0.57999999999999996</v>
      </c>
      <c r="K7" s="2">
        <f>Table24[[#This Row],[PYTH_WIN_PCT]]*100</f>
        <v>57.999999999999993</v>
      </c>
    </row>
    <row r="8" spans="1:11" x14ac:dyDescent="0.3">
      <c r="A8" t="s">
        <v>125</v>
      </c>
      <c r="B8" s="1">
        <v>190</v>
      </c>
      <c r="C8" s="1">
        <v>163</v>
      </c>
      <c r="D8" s="1">
        <f t="shared" si="0"/>
        <v>27</v>
      </c>
      <c r="E8" s="2">
        <v>47.78</v>
      </c>
      <c r="F8" s="2">
        <v>64.06</v>
      </c>
      <c r="G8" s="2">
        <v>61.41</v>
      </c>
      <c r="H8" s="2">
        <v>44.88</v>
      </c>
      <c r="I8" s="2">
        <v>54.53</v>
      </c>
      <c r="J8" s="2">
        <v>0.57999999999999996</v>
      </c>
      <c r="K8" s="2">
        <f>Table24[[#This Row],[PYTH_WIN_PCT]]*100</f>
        <v>57.999999999999993</v>
      </c>
    </row>
    <row r="9" spans="1:11" x14ac:dyDescent="0.3">
      <c r="A9" t="s">
        <v>126</v>
      </c>
      <c r="B9" s="1">
        <v>200</v>
      </c>
      <c r="C9" s="1">
        <v>179</v>
      </c>
      <c r="D9" s="1">
        <f t="shared" si="0"/>
        <v>21</v>
      </c>
      <c r="E9" s="2">
        <v>57.54</v>
      </c>
      <c r="F9" s="2">
        <v>60.42</v>
      </c>
      <c r="G9" s="2">
        <v>57.74</v>
      </c>
      <c r="H9" s="2">
        <v>47.41</v>
      </c>
      <c r="I9" s="2">
        <v>55.78</v>
      </c>
      <c r="J9" s="2">
        <v>0.56000000000000005</v>
      </c>
      <c r="K9" s="2">
        <f>Table24[[#This Row],[PYTH_WIN_PCT]]*100</f>
        <v>56.000000000000007</v>
      </c>
    </row>
    <row r="10" spans="1:11" x14ac:dyDescent="0.3">
      <c r="A10" t="s">
        <v>127</v>
      </c>
      <c r="B10" s="1">
        <v>199</v>
      </c>
      <c r="C10" s="1">
        <v>181</v>
      </c>
      <c r="D10" s="1">
        <f t="shared" si="0"/>
        <v>18</v>
      </c>
      <c r="E10" s="2">
        <v>66.349999999999994</v>
      </c>
      <c r="F10" s="2">
        <v>34.07</v>
      </c>
      <c r="G10" s="2">
        <v>37.71</v>
      </c>
      <c r="H10" s="2">
        <v>73.040000000000006</v>
      </c>
      <c r="I10" s="2">
        <v>52.79</v>
      </c>
      <c r="J10" s="2">
        <v>0.55000000000000004</v>
      </c>
      <c r="K10" s="2">
        <f>Table24[[#This Row],[PYTH_WIN_PCT]]*100</f>
        <v>55.000000000000007</v>
      </c>
    </row>
    <row r="11" spans="1:11" x14ac:dyDescent="0.3">
      <c r="A11" t="s">
        <v>128</v>
      </c>
      <c r="B11" s="1">
        <v>199</v>
      </c>
      <c r="C11" s="1">
        <v>180</v>
      </c>
      <c r="D11" s="1">
        <f t="shared" si="0"/>
        <v>19</v>
      </c>
      <c r="E11" s="2">
        <v>64</v>
      </c>
      <c r="F11" s="2">
        <v>57.99</v>
      </c>
      <c r="G11" s="2">
        <v>58.31</v>
      </c>
      <c r="H11" s="2">
        <v>41.74</v>
      </c>
      <c r="I11" s="2">
        <v>55.51</v>
      </c>
      <c r="J11" s="2">
        <v>0.55000000000000004</v>
      </c>
      <c r="K11" s="2">
        <f>Table24[[#This Row],[PYTH_WIN_PCT]]*100</f>
        <v>55.000000000000007</v>
      </c>
    </row>
    <row r="12" spans="1:11" x14ac:dyDescent="0.3">
      <c r="A12" t="s">
        <v>105</v>
      </c>
      <c r="B12" s="1">
        <v>195</v>
      </c>
      <c r="C12" s="1">
        <v>175</v>
      </c>
      <c r="D12" s="1">
        <f t="shared" si="0"/>
        <v>20</v>
      </c>
      <c r="E12" s="2">
        <v>47.32</v>
      </c>
      <c r="F12" s="2">
        <v>54.86</v>
      </c>
      <c r="G12" s="2">
        <v>56.28</v>
      </c>
      <c r="H12" s="2">
        <v>43.85</v>
      </c>
      <c r="I12" s="2">
        <v>50.58</v>
      </c>
      <c r="J12" s="2">
        <v>0.55000000000000004</v>
      </c>
      <c r="K12" s="2">
        <f>Table24[[#This Row],[PYTH_WIN_PCT]]*100</f>
        <v>55.000000000000007</v>
      </c>
    </row>
    <row r="13" spans="1:11" x14ac:dyDescent="0.3">
      <c r="A13" t="s">
        <v>73</v>
      </c>
      <c r="B13" s="1">
        <v>202</v>
      </c>
      <c r="C13" s="1">
        <v>187</v>
      </c>
      <c r="D13" s="1">
        <f t="shared" si="0"/>
        <v>15</v>
      </c>
      <c r="E13" s="2">
        <v>65.72</v>
      </c>
      <c r="F13" s="2">
        <v>38.299999999999997</v>
      </c>
      <c r="G13" s="2">
        <v>37.79</v>
      </c>
      <c r="H13" s="2">
        <v>62.86</v>
      </c>
      <c r="I13" s="2">
        <v>51.17</v>
      </c>
      <c r="J13" s="2">
        <v>0.54</v>
      </c>
      <c r="K13" s="2">
        <f>Table24[[#This Row],[PYTH_WIN_PCT]]*100</f>
        <v>54</v>
      </c>
    </row>
    <row r="14" spans="1:11" x14ac:dyDescent="0.3">
      <c r="A14" t="s">
        <v>79</v>
      </c>
      <c r="B14" s="1">
        <v>173</v>
      </c>
      <c r="C14" s="1">
        <v>160</v>
      </c>
      <c r="D14" s="1">
        <f t="shared" si="0"/>
        <v>13</v>
      </c>
      <c r="E14" s="2">
        <v>38.01</v>
      </c>
      <c r="F14" s="2">
        <v>68.37</v>
      </c>
      <c r="G14" s="2">
        <v>69.92</v>
      </c>
      <c r="H14" s="2">
        <v>46.52</v>
      </c>
      <c r="I14" s="2">
        <v>55.7</v>
      </c>
      <c r="J14" s="2">
        <v>0.54</v>
      </c>
      <c r="K14" s="2">
        <f>Table24[[#This Row],[PYTH_WIN_PCT]]*100</f>
        <v>54</v>
      </c>
    </row>
    <row r="15" spans="1:11" x14ac:dyDescent="0.3">
      <c r="A15" t="s">
        <v>65</v>
      </c>
      <c r="B15" s="1">
        <v>211</v>
      </c>
      <c r="C15" s="1">
        <v>198</v>
      </c>
      <c r="D15" s="1">
        <f t="shared" si="0"/>
        <v>13</v>
      </c>
      <c r="E15" s="2">
        <v>77.2</v>
      </c>
      <c r="F15" s="2">
        <v>38.25</v>
      </c>
      <c r="G15" s="2">
        <v>39.630000000000003</v>
      </c>
      <c r="H15" s="2">
        <v>36.03</v>
      </c>
      <c r="I15" s="2">
        <v>47.78</v>
      </c>
      <c r="J15" s="2">
        <v>0.53</v>
      </c>
      <c r="K15" s="2">
        <f>Table24[[#This Row],[PYTH_WIN_PCT]]*100</f>
        <v>53</v>
      </c>
    </row>
    <row r="16" spans="1:11" x14ac:dyDescent="0.3">
      <c r="A16" t="s">
        <v>83</v>
      </c>
      <c r="B16" s="1">
        <v>192</v>
      </c>
      <c r="C16" s="1">
        <v>186</v>
      </c>
      <c r="D16" s="1">
        <f t="shared" si="0"/>
        <v>6</v>
      </c>
      <c r="E16" s="2">
        <v>59.59</v>
      </c>
      <c r="F16" s="2">
        <v>30.63</v>
      </c>
      <c r="G16" s="2">
        <v>36.770000000000003</v>
      </c>
      <c r="H16" s="2">
        <v>67.77</v>
      </c>
      <c r="I16" s="2">
        <v>48.69</v>
      </c>
      <c r="J16" s="2">
        <v>0.52</v>
      </c>
      <c r="K16" s="2">
        <f>Table24[[#This Row],[PYTH_WIN_PCT]]*100</f>
        <v>52</v>
      </c>
    </row>
    <row r="17" spans="1:11" x14ac:dyDescent="0.3">
      <c r="A17" t="s">
        <v>63</v>
      </c>
      <c r="B17" s="1">
        <v>176</v>
      </c>
      <c r="C17" s="1">
        <v>173</v>
      </c>
      <c r="D17" s="1">
        <f t="shared" si="0"/>
        <v>3</v>
      </c>
      <c r="E17" s="2">
        <v>48.61</v>
      </c>
      <c r="F17" s="2">
        <v>56.92</v>
      </c>
      <c r="G17" s="2">
        <v>59.15</v>
      </c>
      <c r="H17" s="2">
        <v>27.1</v>
      </c>
      <c r="I17" s="2">
        <v>47.95</v>
      </c>
      <c r="J17" s="2">
        <v>0.51</v>
      </c>
      <c r="K17" s="2">
        <f>Table24[[#This Row],[PYTH_WIN_PCT]]*100</f>
        <v>51</v>
      </c>
    </row>
    <row r="18" spans="1:11" x14ac:dyDescent="0.3">
      <c r="A18" t="s">
        <v>59</v>
      </c>
      <c r="B18" s="1">
        <v>181</v>
      </c>
      <c r="C18" s="1">
        <v>180</v>
      </c>
      <c r="D18" s="1">
        <f t="shared" si="0"/>
        <v>1</v>
      </c>
      <c r="E18" s="2">
        <v>50.86</v>
      </c>
      <c r="F18" s="2">
        <v>47.64</v>
      </c>
      <c r="G18" s="2">
        <v>44.92</v>
      </c>
      <c r="H18" s="2">
        <v>44.09</v>
      </c>
      <c r="I18" s="2">
        <v>46.88</v>
      </c>
      <c r="J18" s="2">
        <v>0.5</v>
      </c>
      <c r="K18" s="2">
        <f>Table24[[#This Row],[PYTH_WIN_PCT]]*100</f>
        <v>50</v>
      </c>
    </row>
    <row r="19" spans="1:11" x14ac:dyDescent="0.3">
      <c r="A19" t="s">
        <v>39</v>
      </c>
      <c r="B19" s="1">
        <v>196</v>
      </c>
      <c r="C19" s="1">
        <v>204</v>
      </c>
      <c r="D19" s="1">
        <f t="shared" si="0"/>
        <v>-8</v>
      </c>
      <c r="E19" s="2">
        <v>56.48</v>
      </c>
      <c r="F19" s="2">
        <v>33.479999999999997</v>
      </c>
      <c r="G19" s="2">
        <v>27.21</v>
      </c>
      <c r="H19" s="2">
        <v>60.99</v>
      </c>
      <c r="I19" s="2">
        <v>44.54</v>
      </c>
      <c r="J19" s="2">
        <v>0.48</v>
      </c>
      <c r="K19" s="2">
        <f>Table24[[#This Row],[PYTH_WIN_PCT]]*100</f>
        <v>48</v>
      </c>
    </row>
    <row r="20" spans="1:11" x14ac:dyDescent="0.3">
      <c r="A20" t="s">
        <v>91</v>
      </c>
      <c r="B20" s="1">
        <v>164</v>
      </c>
      <c r="C20" s="1">
        <v>170</v>
      </c>
      <c r="D20" s="1">
        <f t="shared" si="0"/>
        <v>-6</v>
      </c>
      <c r="E20" s="2">
        <v>40.380000000000003</v>
      </c>
      <c r="F20" s="2">
        <v>35.6</v>
      </c>
      <c r="G20" s="2">
        <v>48.67</v>
      </c>
      <c r="H20" s="2">
        <v>29.5</v>
      </c>
      <c r="I20" s="2">
        <v>38.54</v>
      </c>
      <c r="J20" s="2">
        <v>0.48</v>
      </c>
      <c r="K20" s="2">
        <f>Table24[[#This Row],[PYTH_WIN_PCT]]*100</f>
        <v>48</v>
      </c>
    </row>
    <row r="21" spans="1:11" x14ac:dyDescent="0.3">
      <c r="A21" t="s">
        <v>67</v>
      </c>
      <c r="B21" s="1">
        <v>181</v>
      </c>
      <c r="C21" s="1">
        <v>194</v>
      </c>
      <c r="D21" s="1">
        <f t="shared" si="0"/>
        <v>-13</v>
      </c>
      <c r="E21" s="2">
        <v>48.49</v>
      </c>
      <c r="F21" s="2">
        <v>43.68</v>
      </c>
      <c r="G21" s="2">
        <v>40.32</v>
      </c>
      <c r="H21" s="2">
        <v>86.97</v>
      </c>
      <c r="I21" s="2">
        <v>54.86</v>
      </c>
      <c r="J21" s="2">
        <v>0.47</v>
      </c>
      <c r="K21" s="2">
        <f>Table24[[#This Row],[PYTH_WIN_PCT]]*100</f>
        <v>47</v>
      </c>
    </row>
    <row r="22" spans="1:11" x14ac:dyDescent="0.3">
      <c r="A22" t="s">
        <v>85</v>
      </c>
      <c r="B22" s="1">
        <v>171</v>
      </c>
      <c r="C22" s="1">
        <v>182</v>
      </c>
      <c r="D22" s="1">
        <f t="shared" si="0"/>
        <v>-11</v>
      </c>
      <c r="E22" s="2">
        <v>37.630000000000003</v>
      </c>
      <c r="F22" s="2">
        <v>45.93</v>
      </c>
      <c r="G22" s="2">
        <v>46.96</v>
      </c>
      <c r="H22" s="2">
        <v>65.62</v>
      </c>
      <c r="I22" s="2">
        <v>49.04</v>
      </c>
      <c r="J22" s="2">
        <v>0.47</v>
      </c>
      <c r="K22" s="2">
        <f>Table24[[#This Row],[PYTH_WIN_PCT]]*100</f>
        <v>47</v>
      </c>
    </row>
    <row r="23" spans="1:11" x14ac:dyDescent="0.3">
      <c r="A23" t="s">
        <v>97</v>
      </c>
      <c r="B23" s="1">
        <v>191</v>
      </c>
      <c r="C23" s="1">
        <v>202</v>
      </c>
      <c r="D23" s="1">
        <f t="shared" si="0"/>
        <v>-11</v>
      </c>
      <c r="E23" s="2">
        <v>51.04</v>
      </c>
      <c r="F23" s="2">
        <v>49.22</v>
      </c>
      <c r="G23" s="2">
        <v>44.01</v>
      </c>
      <c r="H23" s="2">
        <v>53.04</v>
      </c>
      <c r="I23" s="2">
        <v>49.33</v>
      </c>
      <c r="J23" s="2">
        <v>0.47</v>
      </c>
      <c r="K23" s="2">
        <f>Table24[[#This Row],[PYTH_WIN_PCT]]*100</f>
        <v>47</v>
      </c>
    </row>
    <row r="24" spans="1:11" x14ac:dyDescent="0.3">
      <c r="A24" t="s">
        <v>107</v>
      </c>
      <c r="B24" s="1">
        <v>167</v>
      </c>
      <c r="C24" s="1">
        <v>180</v>
      </c>
      <c r="D24" s="1">
        <f t="shared" si="0"/>
        <v>-13</v>
      </c>
      <c r="E24" s="2">
        <v>38.79</v>
      </c>
      <c r="F24" s="2">
        <v>51.16</v>
      </c>
      <c r="G24" s="2">
        <v>48.66</v>
      </c>
      <c r="H24" s="2">
        <v>58.17</v>
      </c>
      <c r="I24" s="2">
        <v>49.19</v>
      </c>
      <c r="J24" s="2">
        <v>0.46</v>
      </c>
      <c r="K24" s="2">
        <f>Table24[[#This Row],[PYTH_WIN_PCT]]*100</f>
        <v>46</v>
      </c>
    </row>
    <row r="25" spans="1:11" x14ac:dyDescent="0.3">
      <c r="A25" t="s">
        <v>69</v>
      </c>
      <c r="B25" s="1">
        <v>151</v>
      </c>
      <c r="C25" s="1">
        <v>169</v>
      </c>
      <c r="D25" s="1">
        <f t="shared" si="0"/>
        <v>-18</v>
      </c>
      <c r="E25" s="2">
        <v>27.24</v>
      </c>
      <c r="F25" s="2">
        <v>47.49</v>
      </c>
      <c r="G25" s="2">
        <v>49.52</v>
      </c>
      <c r="H25" s="2">
        <v>45.29</v>
      </c>
      <c r="I25" s="2">
        <v>42.38</v>
      </c>
      <c r="J25" s="2">
        <v>0.44</v>
      </c>
      <c r="K25" s="2">
        <f>Table24[[#This Row],[PYTH_WIN_PCT]]*100</f>
        <v>44</v>
      </c>
    </row>
    <row r="26" spans="1:11" x14ac:dyDescent="0.3">
      <c r="A26" t="s">
        <v>49</v>
      </c>
      <c r="B26" s="1">
        <v>146</v>
      </c>
      <c r="C26" s="1">
        <v>168</v>
      </c>
      <c r="D26" s="1">
        <f t="shared" si="0"/>
        <v>-22</v>
      </c>
      <c r="E26" s="2">
        <v>26.94</v>
      </c>
      <c r="F26" s="2">
        <v>60.03</v>
      </c>
      <c r="G26" s="2">
        <v>59.71</v>
      </c>
      <c r="H26" s="2">
        <v>70.349999999999994</v>
      </c>
      <c r="I26" s="2">
        <v>54.26</v>
      </c>
      <c r="J26" s="2">
        <v>0.43</v>
      </c>
      <c r="K26" s="2">
        <f>Table24[[#This Row],[PYTH_WIN_PCT]]*100</f>
        <v>43</v>
      </c>
    </row>
    <row r="27" spans="1:11" x14ac:dyDescent="0.3">
      <c r="A27" t="s">
        <v>75</v>
      </c>
      <c r="B27" s="1">
        <v>173</v>
      </c>
      <c r="C27" s="1">
        <v>200</v>
      </c>
      <c r="D27" s="1">
        <f t="shared" si="0"/>
        <v>-27</v>
      </c>
      <c r="E27" s="2">
        <v>47.05</v>
      </c>
      <c r="F27" s="2">
        <v>42.52</v>
      </c>
      <c r="G27" s="2">
        <v>34.51</v>
      </c>
      <c r="H27" s="2">
        <v>43.41</v>
      </c>
      <c r="I27" s="2">
        <v>41.87</v>
      </c>
      <c r="J27" s="2">
        <v>0.43</v>
      </c>
      <c r="K27" s="2">
        <f>Table24[[#This Row],[PYTH_WIN_PCT]]*100</f>
        <v>43</v>
      </c>
    </row>
    <row r="28" spans="1:11" x14ac:dyDescent="0.3">
      <c r="A28" t="s">
        <v>89</v>
      </c>
      <c r="B28" s="1">
        <v>172</v>
      </c>
      <c r="C28" s="1">
        <v>196</v>
      </c>
      <c r="D28" s="1">
        <f t="shared" si="0"/>
        <v>-24</v>
      </c>
      <c r="E28" s="2">
        <v>47</v>
      </c>
      <c r="F28" s="2">
        <v>32.03</v>
      </c>
      <c r="G28" s="2">
        <v>29.99</v>
      </c>
      <c r="H28" s="2">
        <v>46.89</v>
      </c>
      <c r="I28" s="2">
        <v>38.979999999999997</v>
      </c>
      <c r="J28" s="2">
        <v>0.43</v>
      </c>
      <c r="K28" s="2">
        <f>Table24[[#This Row],[PYTH_WIN_PCT]]*100</f>
        <v>43</v>
      </c>
    </row>
    <row r="29" spans="1:11" x14ac:dyDescent="0.3">
      <c r="A29" t="s">
        <v>54</v>
      </c>
      <c r="B29" s="1">
        <v>156</v>
      </c>
      <c r="C29" s="1">
        <v>184</v>
      </c>
      <c r="D29" s="1">
        <f t="shared" si="0"/>
        <v>-28</v>
      </c>
      <c r="E29" s="2">
        <v>32.01</v>
      </c>
      <c r="F29" s="2">
        <v>61.55</v>
      </c>
      <c r="G29" s="2">
        <v>52.89</v>
      </c>
      <c r="H29" s="2">
        <v>35.42</v>
      </c>
      <c r="I29" s="2">
        <v>45.47</v>
      </c>
      <c r="J29" s="2">
        <v>0.42</v>
      </c>
      <c r="K29" s="2">
        <f>Table24[[#This Row],[PYTH_WIN_PCT]]*100</f>
        <v>42</v>
      </c>
    </row>
    <row r="30" spans="1:11" x14ac:dyDescent="0.3">
      <c r="A30" t="s">
        <v>81</v>
      </c>
      <c r="B30" s="1">
        <v>153</v>
      </c>
      <c r="C30" s="1">
        <v>183</v>
      </c>
      <c r="D30" s="1">
        <f t="shared" si="0"/>
        <v>-30</v>
      </c>
      <c r="E30" s="2">
        <v>33.46</v>
      </c>
      <c r="F30" s="2">
        <v>44.57</v>
      </c>
      <c r="G30" s="2">
        <v>46.83</v>
      </c>
      <c r="H30" s="2">
        <v>72.38</v>
      </c>
      <c r="I30" s="2">
        <v>49.31</v>
      </c>
      <c r="J30" s="2">
        <v>0.41</v>
      </c>
      <c r="K30" s="2">
        <f>Table24[[#This Row],[PYTH_WIN_PCT]]*100</f>
        <v>41</v>
      </c>
    </row>
    <row r="31" spans="1:11" x14ac:dyDescent="0.3">
      <c r="A31" t="s">
        <v>77</v>
      </c>
      <c r="B31" s="1">
        <v>148</v>
      </c>
      <c r="C31" s="1">
        <v>181</v>
      </c>
      <c r="D31" s="1">
        <f t="shared" si="0"/>
        <v>-33</v>
      </c>
      <c r="E31" s="2">
        <v>29.18</v>
      </c>
      <c r="F31" s="2">
        <v>56.07</v>
      </c>
      <c r="G31" s="2">
        <v>53.92</v>
      </c>
      <c r="H31" s="2">
        <v>38.880000000000003</v>
      </c>
      <c r="I31" s="2">
        <v>44.51</v>
      </c>
      <c r="J31" s="2">
        <v>0.4</v>
      </c>
      <c r="K31" s="2">
        <f>Table24[[#This Row],[PYTH_WIN_PCT]]*100</f>
        <v>40</v>
      </c>
    </row>
    <row r="32" spans="1:11" x14ac:dyDescent="0.3">
      <c r="A32" t="s">
        <v>93</v>
      </c>
      <c r="B32" s="1">
        <v>152</v>
      </c>
      <c r="C32" s="1">
        <v>201</v>
      </c>
      <c r="D32" s="1">
        <f t="shared" si="0"/>
        <v>-49</v>
      </c>
      <c r="E32" s="2">
        <v>28.35</v>
      </c>
      <c r="F32" s="2">
        <v>28.03</v>
      </c>
      <c r="G32" s="2">
        <v>28.61</v>
      </c>
      <c r="H32" s="2">
        <v>61.72</v>
      </c>
      <c r="I32" s="2">
        <v>36.68</v>
      </c>
      <c r="J32" s="2">
        <v>0.36</v>
      </c>
      <c r="K32" s="2">
        <f>Table24[[#This Row],[PYTH_WIN_PCT]]*100</f>
        <v>36</v>
      </c>
    </row>
    <row r="33" spans="1:11" x14ac:dyDescent="0.3">
      <c r="A33" t="s">
        <v>101</v>
      </c>
      <c r="B33" s="1">
        <v>151</v>
      </c>
      <c r="C33" s="1">
        <v>211</v>
      </c>
      <c r="D33" s="1">
        <f t="shared" si="0"/>
        <v>-60</v>
      </c>
      <c r="E33" s="2">
        <v>29.38</v>
      </c>
      <c r="F33" s="2">
        <v>12.51</v>
      </c>
      <c r="G33" s="2">
        <v>15.62</v>
      </c>
      <c r="H33" s="2">
        <v>54.52</v>
      </c>
      <c r="I33" s="2">
        <v>28.01</v>
      </c>
      <c r="J33" s="2">
        <v>0.34</v>
      </c>
      <c r="K33" s="2">
        <f>Table24[[#This Row],[PYTH_WIN_PCT]]*100</f>
        <v>34</v>
      </c>
    </row>
  </sheetData>
  <conditionalFormatting sqref="E2:E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All_Data</vt:lpstr>
      <vt:lpstr>Pivot_Table</vt:lpstr>
      <vt:lpstr>Divisions</vt:lpstr>
      <vt:lpstr>Points</vt:lpstr>
      <vt:lpstr>Win_Prob</vt:lpstr>
      <vt:lpstr>Balance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2026-02-28T21:59:46Z</dcterms:created>
  <dcterms:modified xsi:type="dcterms:W3CDTF">2026-03-08T04:58:11Z</dcterms:modified>
</cp:coreProperties>
</file>